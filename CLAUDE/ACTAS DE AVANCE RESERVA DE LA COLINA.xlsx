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8_{9BCE28E1-1B22-244A-B99B-44D29B6F5697}" xr6:coauthVersionLast="47" xr6:coauthVersionMax="47" xr10:uidLastSave="{00000000-0000-0000-0000-000000000000}"/>
  <bookViews>
    <workbookView xWindow="20" yWindow="680" windowWidth="29400" windowHeight="18460" activeTab="4" xr2:uid="{0DD5E44B-4051-4804-93B6-EBF62DE60A83}"/>
  </bookViews>
  <sheets>
    <sheet name="Acta #1 Bloque A-B" sheetId="4" r:id="rId1"/>
    <sheet name="Acta #2 Bloque C" sheetId="7" r:id="rId2"/>
    <sheet name="Acta #3 Bloque D" sheetId="3" r:id="rId3"/>
    <sheet name="Acta #4 Bloque E" sheetId="9" r:id="rId4"/>
    <sheet name="Acta #5 Bloque F" sheetId="10" r:id="rId5"/>
    <sheet name="Acta #6 Bloque G" sheetId="12" r:id="rId6"/>
  </sheets>
  <externalReferences>
    <externalReference r:id="rId7"/>
  </externalReferences>
  <definedNames>
    <definedName name="_xlnm.Print_Area" localSheetId="0">'Acta #1 Bloque A-B'!$A$1:$P$37</definedName>
    <definedName name="_xlnm.Print_Area" localSheetId="1">'Acta #2 Bloque C'!$A$1:$P$38</definedName>
    <definedName name="_xlnm.Print_Area" localSheetId="2">'Acta #3 Bloque D'!$A$1:$P$38</definedName>
    <definedName name="_xlnm.Print_Area" localSheetId="3">'Acta #4 Bloque E'!$A$1:$P$34</definedName>
    <definedName name="_xlnm.Print_Area" localSheetId="4">'Acta #5 Bloque F'!$A$1:$P$37</definedName>
    <definedName name="_xlnm.Print_Area" localSheetId="5">'Acta #6 Bloque G'!$A$1:$P$34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0" l="1"/>
  <c r="R18" i="10" s="1"/>
  <c r="N18" i="10"/>
  <c r="K18" i="10"/>
  <c r="L18" i="10" s="1"/>
  <c r="J18" i="10"/>
  <c r="H18" i="10"/>
  <c r="F18" i="10"/>
  <c r="R17" i="10"/>
  <c r="O17" i="10"/>
  <c r="P17" i="10" s="1"/>
  <c r="N17" i="10"/>
  <c r="K17" i="10"/>
  <c r="L17" i="10" s="1"/>
  <c r="J17" i="10"/>
  <c r="H17" i="10"/>
  <c r="F17" i="10"/>
  <c r="P18" i="10" l="1"/>
  <c r="K16" i="10" l="1"/>
  <c r="K15" i="10"/>
  <c r="K14" i="10"/>
  <c r="K16" i="12"/>
  <c r="K15" i="12"/>
  <c r="K14" i="12"/>
  <c r="L19" i="10" l="1"/>
  <c r="O19" i="10"/>
  <c r="P19" i="10" s="1"/>
  <c r="N19" i="10"/>
  <c r="I19" i="10"/>
  <c r="J19" i="10" s="1"/>
  <c r="H19" i="10"/>
  <c r="F19" i="10"/>
  <c r="E25" i="12"/>
  <c r="E28" i="10"/>
  <c r="E25" i="9"/>
  <c r="E29" i="3"/>
  <c r="E29" i="7"/>
  <c r="E28" i="4"/>
  <c r="O17" i="12" l="1"/>
  <c r="L17" i="12" s="1"/>
  <c r="N17" i="12"/>
  <c r="I17" i="12"/>
  <c r="J17" i="12" s="1"/>
  <c r="H17" i="12"/>
  <c r="F17" i="12"/>
  <c r="O16" i="12"/>
  <c r="L16" i="12" s="1"/>
  <c r="N16" i="12"/>
  <c r="I16" i="12"/>
  <c r="J16" i="12" s="1"/>
  <c r="H16" i="12"/>
  <c r="F16" i="12"/>
  <c r="O15" i="12"/>
  <c r="L15" i="12" s="1"/>
  <c r="N15" i="12"/>
  <c r="I15" i="12"/>
  <c r="J15" i="12" s="1"/>
  <c r="H15" i="12"/>
  <c r="F15" i="12"/>
  <c r="O14" i="12"/>
  <c r="L14" i="12" s="1"/>
  <c r="N14" i="12"/>
  <c r="I14" i="12"/>
  <c r="J14" i="12" s="1"/>
  <c r="H14" i="12"/>
  <c r="F14" i="12"/>
  <c r="O13" i="12"/>
  <c r="L13" i="12" s="1"/>
  <c r="N13" i="12"/>
  <c r="I13" i="12"/>
  <c r="J13" i="12" s="1"/>
  <c r="H13" i="12"/>
  <c r="F13" i="12"/>
  <c r="O12" i="12"/>
  <c r="L12" i="12" s="1"/>
  <c r="N12" i="12"/>
  <c r="I12" i="12"/>
  <c r="J12" i="12" s="1"/>
  <c r="J18" i="12" s="1"/>
  <c r="H12" i="12"/>
  <c r="H18" i="12" s="1"/>
  <c r="F12" i="12"/>
  <c r="F18" i="12" s="1"/>
  <c r="N18" i="12" l="1"/>
  <c r="L18" i="12"/>
  <c r="L20" i="12" s="1"/>
  <c r="R17" i="12"/>
  <c r="R12" i="12"/>
  <c r="P12" i="12"/>
  <c r="P16" i="12"/>
  <c r="R16" i="12"/>
  <c r="P17" i="12"/>
  <c r="P14" i="12"/>
  <c r="R14" i="12"/>
  <c r="P13" i="12"/>
  <c r="R13" i="12"/>
  <c r="P15" i="12"/>
  <c r="R15" i="12"/>
  <c r="N20" i="12"/>
  <c r="H20" i="12"/>
  <c r="H21" i="12" s="1"/>
  <c r="F20" i="12"/>
  <c r="F23" i="12" s="1"/>
  <c r="J20" i="12"/>
  <c r="P18" i="12" l="1"/>
  <c r="P20" i="12"/>
  <c r="P22" i="12" s="1"/>
  <c r="H22" i="12"/>
  <c r="H25" i="12"/>
  <c r="H24" i="12"/>
  <c r="H26" i="12" s="1"/>
  <c r="H23" i="12"/>
  <c r="N22" i="12"/>
  <c r="P23" i="12"/>
  <c r="P21" i="12"/>
  <c r="P24" i="12"/>
  <c r="P26" i="12" s="1"/>
  <c r="N23" i="12"/>
  <c r="N24" i="12"/>
  <c r="N26" i="12" s="1"/>
  <c r="N25" i="12"/>
  <c r="N21" i="12"/>
  <c r="F22" i="12"/>
  <c r="F24" i="12"/>
  <c r="F26" i="12" s="1"/>
  <c r="F21" i="12"/>
  <c r="F25" i="12" s="1"/>
  <c r="J23" i="12"/>
  <c r="J22" i="12"/>
  <c r="J21" i="12"/>
  <c r="J24" i="12"/>
  <c r="J26" i="12" s="1"/>
  <c r="J25" i="12"/>
  <c r="L23" i="12"/>
  <c r="L26" i="12"/>
  <c r="L24" i="12"/>
  <c r="L22" i="12"/>
  <c r="L21" i="12"/>
  <c r="L25" i="12"/>
  <c r="F27" i="12" l="1"/>
  <c r="H27" i="12"/>
  <c r="J27" i="12"/>
  <c r="N27" i="12"/>
  <c r="P25" i="12"/>
  <c r="P27" i="12" s="1"/>
  <c r="O29" i="12" s="1"/>
  <c r="L27" i="12"/>
  <c r="M29" i="12"/>
  <c r="M33" i="12" l="1"/>
  <c r="N34" i="12" s="1"/>
  <c r="L33" i="12"/>
  <c r="O33" i="12" l="1"/>
  <c r="O34" i="12" s="1"/>
  <c r="I15" i="10"/>
  <c r="J15" i="10" s="1"/>
  <c r="I16" i="10"/>
  <c r="J16" i="10" s="1"/>
  <c r="I20" i="10"/>
  <c r="J20" i="10" s="1"/>
  <c r="O20" i="10"/>
  <c r="L20" i="10" s="1"/>
  <c r="N20" i="10"/>
  <c r="F20" i="10"/>
  <c r="O16" i="10"/>
  <c r="P16" i="10" s="1"/>
  <c r="N16" i="10"/>
  <c r="F16" i="10"/>
  <c r="O15" i="10"/>
  <c r="L15" i="10" s="1"/>
  <c r="N15" i="10"/>
  <c r="F15" i="10"/>
  <c r="O14" i="10"/>
  <c r="L14" i="10" s="1"/>
  <c r="N14" i="10"/>
  <c r="F14" i="10"/>
  <c r="O13" i="10"/>
  <c r="L13" i="10" s="1"/>
  <c r="N13" i="10"/>
  <c r="F13" i="10"/>
  <c r="O12" i="10"/>
  <c r="P12" i="10" s="1"/>
  <c r="N12" i="10"/>
  <c r="F12" i="10"/>
  <c r="O17" i="9"/>
  <c r="L17" i="9" s="1"/>
  <c r="N17" i="9"/>
  <c r="F17" i="9"/>
  <c r="O16" i="9"/>
  <c r="R16" i="9" s="1"/>
  <c r="F16" i="9"/>
  <c r="O15" i="9"/>
  <c r="P15" i="9" s="1"/>
  <c r="N15" i="9"/>
  <c r="F15" i="9"/>
  <c r="O14" i="9"/>
  <c r="R14" i="9" s="1"/>
  <c r="N14" i="9"/>
  <c r="F14" i="9"/>
  <c r="O13" i="9"/>
  <c r="R13" i="9" s="1"/>
  <c r="N13" i="9"/>
  <c r="F13" i="9"/>
  <c r="O12" i="9"/>
  <c r="P12" i="9" s="1"/>
  <c r="N12" i="9"/>
  <c r="F12" i="9"/>
  <c r="O21" i="7"/>
  <c r="R21" i="7" s="1"/>
  <c r="N21" i="7"/>
  <c r="L21" i="7" s="1"/>
  <c r="I21" i="7"/>
  <c r="J21" i="7" s="1"/>
  <c r="F21" i="7"/>
  <c r="O20" i="7"/>
  <c r="P20" i="7" s="1"/>
  <c r="N20" i="7"/>
  <c r="L20" i="7" s="1"/>
  <c r="H20" i="7"/>
  <c r="F20" i="7"/>
  <c r="M19" i="7"/>
  <c r="O19" i="7" s="1"/>
  <c r="F19" i="7"/>
  <c r="M18" i="7"/>
  <c r="N18" i="7" s="1"/>
  <c r="F18" i="7"/>
  <c r="O17" i="7"/>
  <c r="F17" i="7"/>
  <c r="O16" i="7"/>
  <c r="L16" i="7" s="1"/>
  <c r="N16" i="7"/>
  <c r="F16" i="7"/>
  <c r="O15" i="7"/>
  <c r="L15" i="7" s="1"/>
  <c r="N15" i="7"/>
  <c r="F15" i="7"/>
  <c r="O14" i="7"/>
  <c r="P14" i="7" s="1"/>
  <c r="N14" i="7"/>
  <c r="F14" i="7"/>
  <c r="O13" i="7"/>
  <c r="P13" i="7" s="1"/>
  <c r="N13" i="7"/>
  <c r="L13" i="7"/>
  <c r="I13" i="7"/>
  <c r="J13" i="7" s="1"/>
  <c r="F13" i="7"/>
  <c r="O12" i="7"/>
  <c r="R12" i="7" s="1"/>
  <c r="N12" i="7"/>
  <c r="F12" i="7"/>
  <c r="O20" i="4"/>
  <c r="R20" i="4" s="1"/>
  <c r="N20" i="4"/>
  <c r="L20" i="4" s="1"/>
  <c r="I20" i="4" s="1"/>
  <c r="J20" i="4" s="1"/>
  <c r="F20" i="4"/>
  <c r="D19" i="4"/>
  <c r="F19" i="4" s="1"/>
  <c r="M18" i="4"/>
  <c r="O18" i="4" s="1"/>
  <c r="R18" i="4" s="1"/>
  <c r="L18" i="4" s="1"/>
  <c r="F18" i="4"/>
  <c r="D17" i="4"/>
  <c r="F17" i="4" s="1"/>
  <c r="O16" i="4"/>
  <c r="L16" i="4" s="1"/>
  <c r="N16" i="4"/>
  <c r="F16" i="4"/>
  <c r="O15" i="4"/>
  <c r="R15" i="4" s="1"/>
  <c r="N15" i="4"/>
  <c r="L15" i="4" s="1"/>
  <c r="I15" i="4" s="1"/>
  <c r="J15" i="4" s="1"/>
  <c r="F15" i="4"/>
  <c r="O14" i="4"/>
  <c r="P14" i="4" s="1"/>
  <c r="N14" i="4"/>
  <c r="L14" i="4" s="1"/>
  <c r="H14" i="4"/>
  <c r="I14" i="4" s="1"/>
  <c r="J14" i="4" s="1"/>
  <c r="F14" i="4"/>
  <c r="O13" i="4"/>
  <c r="R13" i="4" s="1"/>
  <c r="N13" i="4"/>
  <c r="L13" i="4" s="1"/>
  <c r="I13" i="4" s="1"/>
  <c r="J13" i="4" s="1"/>
  <c r="F13" i="4"/>
  <c r="O12" i="4"/>
  <c r="N12" i="4"/>
  <c r="F12" i="4"/>
  <c r="O20" i="3"/>
  <c r="P20" i="3" s="1"/>
  <c r="N20" i="3"/>
  <c r="L20" i="3" s="1"/>
  <c r="I20" i="3" s="1"/>
  <c r="J20" i="3" s="1"/>
  <c r="F20" i="3"/>
  <c r="L16" i="10" s="1"/>
  <c r="H15" i="10"/>
  <c r="I14" i="10"/>
  <c r="J14" i="10" s="1"/>
  <c r="H14" i="10"/>
  <c r="H13" i="10"/>
  <c r="I13" i="10"/>
  <c r="J13" i="10" s="1"/>
  <c r="H20" i="10"/>
  <c r="H16" i="10"/>
  <c r="R14" i="10"/>
  <c r="H13" i="9" s="1"/>
  <c r="L13" i="9" s="1"/>
  <c r="R12" i="9"/>
  <c r="R17" i="9"/>
  <c r="I14" i="9"/>
  <c r="J14" i="9" s="1"/>
  <c r="H14" i="9"/>
  <c r="H12" i="9"/>
  <c r="P14" i="9"/>
  <c r="R15" i="9"/>
  <c r="N16" i="9"/>
  <c r="L14" i="9" s="1"/>
  <c r="L15" i="9" s="1"/>
  <c r="I14" i="7"/>
  <c r="J14" i="7" s="1"/>
  <c r="H14" i="7"/>
  <c r="P19" i="7"/>
  <c r="R19" i="7"/>
  <c r="L19" i="7" s="1"/>
  <c r="R17" i="7"/>
  <c r="P17" i="7"/>
  <c r="L17" i="7" s="1"/>
  <c r="H12" i="7"/>
  <c r="H13" i="7"/>
  <c r="N17" i="7"/>
  <c r="I20" i="7"/>
  <c r="J20" i="7" s="1"/>
  <c r="N19" i="7"/>
  <c r="R14" i="7"/>
  <c r="P15" i="7"/>
  <c r="H21" i="7"/>
  <c r="H12" i="4"/>
  <c r="I12" i="4"/>
  <c r="J12" i="4" s="1"/>
  <c r="H13" i="4"/>
  <c r="H20" i="4"/>
  <c r="P12" i="4"/>
  <c r="H15" i="4"/>
  <c r="R12" i="4"/>
  <c r="H20" i="3"/>
  <c r="F18" i="9" l="1"/>
  <c r="F20" i="9" s="1"/>
  <c r="F23" i="9" s="1"/>
  <c r="H17" i="9" s="1"/>
  <c r="R16" i="7"/>
  <c r="P16" i="7"/>
  <c r="P16" i="4"/>
  <c r="P13" i="9"/>
  <c r="P18" i="9" s="1"/>
  <c r="P20" i="9" s="1"/>
  <c r="L12" i="9"/>
  <c r="N18" i="9"/>
  <c r="N21" i="10"/>
  <c r="N23" i="10" s="1"/>
  <c r="R13" i="7"/>
  <c r="F22" i="7"/>
  <c r="F24" i="7" s="1"/>
  <c r="F27" i="7" s="1"/>
  <c r="P16" i="9"/>
  <c r="L12" i="7"/>
  <c r="N22" i="7"/>
  <c r="L12" i="4"/>
  <c r="F21" i="4"/>
  <c r="F23" i="4" s="1"/>
  <c r="F26" i="4" s="1"/>
  <c r="R16" i="4"/>
  <c r="M17" i="4"/>
  <c r="N17" i="4" s="1"/>
  <c r="R16" i="10"/>
  <c r="L12" i="10"/>
  <c r="L21" i="10" s="1"/>
  <c r="L23" i="10" s="1"/>
  <c r="R12" i="10"/>
  <c r="F21" i="10"/>
  <c r="F23" i="10" s="1"/>
  <c r="N18" i="4"/>
  <c r="R20" i="10"/>
  <c r="P15" i="4"/>
  <c r="P18" i="4"/>
  <c r="P20" i="4"/>
  <c r="O18" i="7"/>
  <c r="L14" i="7" s="1"/>
  <c r="P17" i="9"/>
  <c r="L16" i="9" s="1"/>
  <c r="P15" i="10"/>
  <c r="P13" i="4"/>
  <c r="M19" i="4"/>
  <c r="P12" i="7"/>
  <c r="P21" i="7"/>
  <c r="P13" i="10"/>
  <c r="P14" i="10"/>
  <c r="R13" i="10"/>
  <c r="R15" i="7"/>
  <c r="P20" i="10"/>
  <c r="R14" i="4"/>
  <c r="R15" i="10"/>
  <c r="I13" i="9"/>
  <c r="J13" i="9" s="1"/>
  <c r="I12" i="10"/>
  <c r="J12" i="10" s="1"/>
  <c r="H12" i="10"/>
  <c r="F24" i="9"/>
  <c r="F26" i="9" s="1"/>
  <c r="F21" i="9"/>
  <c r="F22" i="9"/>
  <c r="I17" i="9"/>
  <c r="J17" i="9" s="1"/>
  <c r="N20" i="9"/>
  <c r="N23" i="9" s="1"/>
  <c r="I15" i="9"/>
  <c r="J15" i="9" s="1"/>
  <c r="H15" i="9"/>
  <c r="H18" i="9" s="1"/>
  <c r="H16" i="9"/>
  <c r="I16" i="9"/>
  <c r="J16" i="9" s="1"/>
  <c r="N24" i="7"/>
  <c r="F28" i="7"/>
  <c r="F30" i="7" s="1"/>
  <c r="F25" i="7"/>
  <c r="F29" i="7" s="1"/>
  <c r="F26" i="7"/>
  <c r="I16" i="7"/>
  <c r="J16" i="7" s="1"/>
  <c r="H16" i="7"/>
  <c r="I17" i="7"/>
  <c r="J17" i="7" s="1"/>
  <c r="H17" i="7"/>
  <c r="I15" i="7"/>
  <c r="J15" i="7" s="1"/>
  <c r="H15" i="7"/>
  <c r="P18" i="7"/>
  <c r="H19" i="7"/>
  <c r="I19" i="7"/>
  <c r="J19" i="7" s="1"/>
  <c r="I19" i="4"/>
  <c r="J19" i="4" s="1"/>
  <c r="H19" i="4"/>
  <c r="I16" i="4"/>
  <c r="J16" i="4" s="1"/>
  <c r="H16" i="4"/>
  <c r="I18" i="4"/>
  <c r="J18" i="4" s="1"/>
  <c r="H18" i="4"/>
  <c r="M18" i="3"/>
  <c r="O18" i="3" s="1"/>
  <c r="F19" i="3"/>
  <c r="M17" i="3"/>
  <c r="N17" i="3" s="1"/>
  <c r="O21" i="3"/>
  <c r="P21" i="3" s="1"/>
  <c r="N21" i="3"/>
  <c r="L21" i="3" s="1"/>
  <c r="I21" i="3" s="1"/>
  <c r="J21" i="3" s="1"/>
  <c r="F21" i="3"/>
  <c r="F18" i="3"/>
  <c r="O16" i="3"/>
  <c r="L16" i="3" s="1"/>
  <c r="N16" i="3"/>
  <c r="F16" i="3"/>
  <c r="O15" i="3"/>
  <c r="N15" i="3"/>
  <c r="F15" i="3"/>
  <c r="O14" i="3"/>
  <c r="L14" i="3" s="1"/>
  <c r="N14" i="3"/>
  <c r="F14" i="3"/>
  <c r="O13" i="3"/>
  <c r="P13" i="3" s="1"/>
  <c r="N13" i="3"/>
  <c r="L13" i="3" s="1"/>
  <c r="F13" i="3"/>
  <c r="O12" i="3"/>
  <c r="R12" i="3" s="1"/>
  <c r="N12" i="3"/>
  <c r="F12" i="3"/>
  <c r="O17" i="4" l="1"/>
  <c r="F27" i="4"/>
  <c r="F29" i="4" s="1"/>
  <c r="P22" i="9"/>
  <c r="P25" i="9"/>
  <c r="F25" i="4"/>
  <c r="N25" i="10"/>
  <c r="P21" i="10"/>
  <c r="P23" i="10" s="1"/>
  <c r="P24" i="10" s="1"/>
  <c r="N24" i="10"/>
  <c r="F24" i="4"/>
  <c r="F28" i="4" s="1"/>
  <c r="F30" i="4" s="1"/>
  <c r="N26" i="10"/>
  <c r="N28" i="10"/>
  <c r="P22" i="7"/>
  <c r="P24" i="7" s="1"/>
  <c r="I12" i="9"/>
  <c r="J12" i="9" s="1"/>
  <c r="J18" i="9" s="1"/>
  <c r="L18" i="9"/>
  <c r="L20" i="9" s="1"/>
  <c r="L21" i="9" s="1"/>
  <c r="I12" i="7"/>
  <c r="J12" i="7" s="1"/>
  <c r="L22" i="7"/>
  <c r="F31" i="7"/>
  <c r="N27" i="7"/>
  <c r="N29" i="7"/>
  <c r="F25" i="9"/>
  <c r="F27" i="9"/>
  <c r="N27" i="10"/>
  <c r="N29" i="10" s="1"/>
  <c r="R18" i="7"/>
  <c r="L18" i="7" s="1"/>
  <c r="L26" i="10"/>
  <c r="L29" i="10"/>
  <c r="F27" i="10"/>
  <c r="F29" i="10" s="1"/>
  <c r="F25" i="10"/>
  <c r="F26" i="10"/>
  <c r="F24" i="10"/>
  <c r="F28" i="10" s="1"/>
  <c r="L28" i="10"/>
  <c r="H21" i="10"/>
  <c r="H23" i="10" s="1"/>
  <c r="J21" i="10"/>
  <c r="J23" i="10" s="1"/>
  <c r="L27" i="10"/>
  <c r="L25" i="10"/>
  <c r="L24" i="10"/>
  <c r="N38" i="12"/>
  <c r="N26" i="7"/>
  <c r="N28" i="7"/>
  <c r="N30" i="7" s="1"/>
  <c r="N31" i="7" s="1"/>
  <c r="M33" i="7" s="1"/>
  <c r="N25" i="7"/>
  <c r="O19" i="4"/>
  <c r="N19" i="4"/>
  <c r="N21" i="4" s="1"/>
  <c r="N23" i="4" s="1"/>
  <c r="N18" i="3"/>
  <c r="N25" i="9"/>
  <c r="N22" i="9"/>
  <c r="N24" i="9"/>
  <c r="N26" i="9" s="1"/>
  <c r="H20" i="9"/>
  <c r="H22" i="9" s="1"/>
  <c r="L26" i="9"/>
  <c r="L25" i="9"/>
  <c r="P24" i="9"/>
  <c r="P26" i="9" s="1"/>
  <c r="P27" i="9" s="1"/>
  <c r="L22" i="9"/>
  <c r="N21" i="9"/>
  <c r="P23" i="9"/>
  <c r="P21" i="9"/>
  <c r="J20" i="9"/>
  <c r="J21" i="9" s="1"/>
  <c r="H18" i="7"/>
  <c r="I18" i="7"/>
  <c r="J18" i="7" s="1"/>
  <c r="R17" i="4"/>
  <c r="P17" i="4"/>
  <c r="P16" i="3"/>
  <c r="P14" i="3"/>
  <c r="H14" i="3" s="1"/>
  <c r="L12" i="3" s="1"/>
  <c r="R13" i="3"/>
  <c r="I13" i="3" s="1"/>
  <c r="J13" i="3" s="1"/>
  <c r="F17" i="3"/>
  <c r="F22" i="3" s="1"/>
  <c r="F24" i="3" s="1"/>
  <c r="F28" i="3" s="1"/>
  <c r="F30" i="3" s="1"/>
  <c r="M19" i="3"/>
  <c r="N19" i="3" s="1"/>
  <c r="N22" i="3" s="1"/>
  <c r="N24" i="3" s="1"/>
  <c r="N27" i="3" s="1"/>
  <c r="R16" i="3"/>
  <c r="I16" i="3" s="1"/>
  <c r="J16" i="3" s="1"/>
  <c r="I18" i="3" s="1"/>
  <c r="J18" i="3" s="1"/>
  <c r="L18" i="3" s="1"/>
  <c r="O17" i="3"/>
  <c r="I15" i="3"/>
  <c r="J15" i="3" s="1"/>
  <c r="H15" i="3"/>
  <c r="R14" i="3"/>
  <c r="P15" i="3"/>
  <c r="P12" i="3"/>
  <c r="H21" i="3"/>
  <c r="P18" i="3"/>
  <c r="R18" i="3"/>
  <c r="R21" i="3"/>
  <c r="R15" i="3"/>
  <c r="N30" i="10" l="1"/>
  <c r="M32" i="10" s="1"/>
  <c r="P25" i="7"/>
  <c r="P26" i="7"/>
  <c r="P27" i="7"/>
  <c r="P28" i="7"/>
  <c r="P30" i="7" s="1"/>
  <c r="P29" i="7"/>
  <c r="P27" i="10"/>
  <c r="P29" i="10" s="1"/>
  <c r="J22" i="7"/>
  <c r="J24" i="7" s="1"/>
  <c r="L17" i="4" s="1"/>
  <c r="H24" i="7"/>
  <c r="H28" i="7" s="1"/>
  <c r="H30" i="7" s="1"/>
  <c r="P28" i="10"/>
  <c r="P30" i="10" s="1"/>
  <c r="O32" i="10" s="1"/>
  <c r="N27" i="9"/>
  <c r="L24" i="7"/>
  <c r="L23" i="9"/>
  <c r="L27" i="9" s="1"/>
  <c r="P26" i="10"/>
  <c r="O19" i="3"/>
  <c r="P19" i="3" s="1"/>
  <c r="P25" i="10"/>
  <c r="L24" i="9"/>
  <c r="H22" i="7"/>
  <c r="N24" i="4"/>
  <c r="N28" i="4"/>
  <c r="N25" i="4"/>
  <c r="N27" i="4"/>
  <c r="N29" i="4" s="1"/>
  <c r="N26" i="4"/>
  <c r="L15" i="3" s="1"/>
  <c r="L19" i="3"/>
  <c r="L30" i="10"/>
  <c r="J26" i="10"/>
  <c r="J25" i="10"/>
  <c r="J28" i="10"/>
  <c r="J27" i="10"/>
  <c r="J29" i="10" s="1"/>
  <c r="J24" i="10"/>
  <c r="H28" i="10"/>
  <c r="H27" i="10"/>
  <c r="H29" i="10" s="1"/>
  <c r="H26" i="10"/>
  <c r="H25" i="10"/>
  <c r="H24" i="10"/>
  <c r="F30" i="10"/>
  <c r="M36" i="10"/>
  <c r="N37" i="10" s="1"/>
  <c r="M37" i="7"/>
  <c r="N38" i="7" s="1"/>
  <c r="L37" i="7"/>
  <c r="P19" i="4"/>
  <c r="L19" i="4" s="1"/>
  <c r="L21" i="4" s="1"/>
  <c r="L23" i="4" s="1"/>
  <c r="R19" i="4"/>
  <c r="J25" i="9"/>
  <c r="J22" i="9"/>
  <c r="H24" i="9"/>
  <c r="H26" i="9" s="1"/>
  <c r="M29" i="9"/>
  <c r="H21" i="9"/>
  <c r="H23" i="9"/>
  <c r="J24" i="9"/>
  <c r="J26" i="9" s="1"/>
  <c r="H25" i="9"/>
  <c r="J23" i="9"/>
  <c r="O29" i="9"/>
  <c r="H25" i="7"/>
  <c r="J28" i="7"/>
  <c r="J30" i="7" s="1"/>
  <c r="J26" i="7"/>
  <c r="J27" i="7"/>
  <c r="J29" i="7"/>
  <c r="H17" i="4"/>
  <c r="I17" i="4"/>
  <c r="J17" i="4" s="1"/>
  <c r="I14" i="3"/>
  <c r="J14" i="3" s="1"/>
  <c r="H13" i="3"/>
  <c r="F26" i="3"/>
  <c r="F27" i="3"/>
  <c r="F25" i="3"/>
  <c r="R19" i="3"/>
  <c r="H16" i="3"/>
  <c r="H18" i="3"/>
  <c r="P17" i="3"/>
  <c r="N28" i="3"/>
  <c r="N30" i="3" s="1"/>
  <c r="N26" i="3"/>
  <c r="R17" i="3"/>
  <c r="N29" i="3"/>
  <c r="N25" i="3"/>
  <c r="I12" i="3"/>
  <c r="J12" i="3" s="1"/>
  <c r="H12" i="3"/>
  <c r="H29" i="7" l="1"/>
  <c r="H31" i="7" s="1"/>
  <c r="P22" i="3"/>
  <c r="P24" i="3" s="1"/>
  <c r="H19" i="3"/>
  <c r="F29" i="3"/>
  <c r="F31" i="3" s="1"/>
  <c r="J31" i="7"/>
  <c r="O37" i="7"/>
  <c r="P31" i="7"/>
  <c r="L25" i="7"/>
  <c r="L26" i="7"/>
  <c r="L28" i="7"/>
  <c r="L29" i="7"/>
  <c r="L30" i="7"/>
  <c r="L27" i="7"/>
  <c r="J25" i="7"/>
  <c r="J27" i="9"/>
  <c r="H27" i="7"/>
  <c r="H26" i="7"/>
  <c r="N31" i="3"/>
  <c r="H27" i="9"/>
  <c r="L28" i="4"/>
  <c r="L26" i="4"/>
  <c r="L27" i="4"/>
  <c r="L29" i="4"/>
  <c r="L24" i="4"/>
  <c r="L25" i="4"/>
  <c r="J21" i="4"/>
  <c r="J23" i="4" s="1"/>
  <c r="N30" i="4"/>
  <c r="M32" i="4" s="1"/>
  <c r="M36" i="4" s="1"/>
  <c r="O36" i="4" s="1"/>
  <c r="H21" i="4"/>
  <c r="H23" i="4" s="1"/>
  <c r="H27" i="4" s="1"/>
  <c r="H29" i="4" s="1"/>
  <c r="P21" i="4"/>
  <c r="P23" i="4" s="1"/>
  <c r="M33" i="9"/>
  <c r="N34" i="9"/>
  <c r="J30" i="10"/>
  <c r="H30" i="10"/>
  <c r="N39" i="12"/>
  <c r="N42" i="12"/>
  <c r="N45" i="12"/>
  <c r="O36" i="10"/>
  <c r="O37" i="10" s="1"/>
  <c r="L36" i="10"/>
  <c r="O33" i="9"/>
  <c r="O34" i="9" s="1"/>
  <c r="L33" i="9"/>
  <c r="O33" i="7"/>
  <c r="I19" i="3"/>
  <c r="J19" i="3" s="1"/>
  <c r="J22" i="3" s="1"/>
  <c r="M33" i="3"/>
  <c r="H17" i="3"/>
  <c r="H22" i="3" s="1"/>
  <c r="I17" i="3"/>
  <c r="J17" i="3" s="1"/>
  <c r="L17" i="3" l="1"/>
  <c r="P29" i="3"/>
  <c r="P25" i="3"/>
  <c r="P28" i="3"/>
  <c r="P30" i="3" s="1"/>
  <c r="P27" i="3"/>
  <c r="P26" i="3"/>
  <c r="O38" i="7"/>
  <c r="J24" i="3"/>
  <c r="J25" i="3" s="1"/>
  <c r="H24" i="3"/>
  <c r="H28" i="3" s="1"/>
  <c r="H30" i="3" s="1"/>
  <c r="L31" i="7"/>
  <c r="J28" i="4"/>
  <c r="J27" i="4"/>
  <c r="J29" i="4" s="1"/>
  <c r="J26" i="4"/>
  <c r="J24" i="4"/>
  <c r="J25" i="4"/>
  <c r="H25" i="4"/>
  <c r="H24" i="4"/>
  <c r="L30" i="4"/>
  <c r="H26" i="4"/>
  <c r="P24" i="4"/>
  <c r="P27" i="4"/>
  <c r="P29" i="4" s="1"/>
  <c r="P28" i="4"/>
  <c r="P26" i="4"/>
  <c r="P25" i="4"/>
  <c r="H28" i="4"/>
  <c r="N37" i="4"/>
  <c r="N44" i="12"/>
  <c r="M37" i="3"/>
  <c r="N38" i="3" s="1"/>
  <c r="L37" i="3"/>
  <c r="H25" i="3" l="1"/>
  <c r="H26" i="3"/>
  <c r="J27" i="3"/>
  <c r="H29" i="3"/>
  <c r="H31" i="3" s="1"/>
  <c r="P31" i="3"/>
  <c r="J26" i="3"/>
  <c r="J29" i="3"/>
  <c r="H27" i="3"/>
  <c r="J28" i="3"/>
  <c r="J30" i="3" s="1"/>
  <c r="L22" i="3"/>
  <c r="L24" i="3" s="1"/>
  <c r="H30" i="4"/>
  <c r="J30" i="4"/>
  <c r="P30" i="4"/>
  <c r="O32" i="4" s="1"/>
  <c r="O37" i="4" s="1"/>
  <c r="N47" i="12"/>
  <c r="N41" i="12"/>
  <c r="O37" i="3"/>
  <c r="O33" i="3"/>
  <c r="O38" i="3" s="1"/>
  <c r="L30" i="3" l="1"/>
  <c r="L27" i="3"/>
  <c r="L26" i="3"/>
  <c r="L25" i="3"/>
  <c r="L28" i="3"/>
  <c r="L29" i="3"/>
  <c r="J31" i="3"/>
  <c r="L31" i="3" l="1"/>
</calcChain>
</file>

<file path=xl/sharedStrings.xml><?xml version="1.0" encoding="utf-8"?>
<sst xmlns="http://schemas.openxmlformats.org/spreadsheetml/2006/main" count="517" uniqueCount="84">
  <si>
    <t>NOMBRE DE LA OBRA</t>
  </si>
  <si>
    <t>MANTENIMIENTO DE FACHADAS CONJUNTO RESERVA DE LA COLINA APARTASOLES</t>
  </si>
  <si>
    <t>MANTENIMIENTO INTREGRAL DE FACHADAS CONJUNTO RESERVA DE LA COLINA
BLOQUE D - ACTA DE AVANCE DE OBRA</t>
  </si>
  <si>
    <t>NÚMERO DE ACTA</t>
  </si>
  <si>
    <t>DIRECCIÓN</t>
  </si>
  <si>
    <t>Calle 10 # 3 - 03, La Tebaida, El Edén</t>
  </si>
  <si>
    <t>CONTRATANTE</t>
  </si>
  <si>
    <t>CONJUNTO RESERVA DE LA COLINA APARTASOLES</t>
  </si>
  <si>
    <t>CONSTRATISTA</t>
  </si>
  <si>
    <t>FRESHOUSE S.A.S</t>
  </si>
  <si>
    <t>NIT</t>
  </si>
  <si>
    <t>901718258 - 4</t>
  </si>
  <si>
    <t xml:space="preserve">ITEM </t>
  </si>
  <si>
    <t>Descripción</t>
  </si>
  <si>
    <t>Presupuesto oficial</t>
  </si>
  <si>
    <t>Balance del Contrato</t>
  </si>
  <si>
    <t>Actas</t>
  </si>
  <si>
    <t xml:space="preserve">Acumulado </t>
  </si>
  <si>
    <t>Obra Contratada 
Ejecutada</t>
  </si>
  <si>
    <t>Obra Contratada 
No Ejecutada</t>
  </si>
  <si>
    <t>Obra Ejecutada No Contratada</t>
  </si>
  <si>
    <t>Acta parcial No. 003</t>
  </si>
  <si>
    <t>Und</t>
  </si>
  <si>
    <t>Cant.</t>
  </si>
  <si>
    <t>Vr. Unitario</t>
  </si>
  <si>
    <t>Vr. Total</t>
  </si>
  <si>
    <t>Valor. Total</t>
  </si>
  <si>
    <t>BLOQUE D</t>
  </si>
  <si>
    <t>1.1.1</t>
  </si>
  <si>
    <t>INSTALACION Y DEMARCACIÓN DE SEÑALETICA</t>
  </si>
  <si>
    <t>GLB</t>
  </si>
  <si>
    <t>%</t>
  </si>
  <si>
    <t>1.2.1</t>
  </si>
  <si>
    <t>LAVADO Y LIMPIEZA DE SUPERFICIES QUE PRESENTAN HONGOS, INCLUYE PAREDES, VENTANAS Y VIDRIERAS. EL LAVADO SE REALIZARA CON BACTERICIDAS O HIPOCLORITO AL 10%, SE DEBEN ELIMINAR POLVOS Y GRASAS QUE IMPIDAN EL CORRECTO FUNCIONAMIENTO DE LOS PRODUCTOS</t>
  </si>
  <si>
    <t>M2</t>
  </si>
  <si>
    <t>1.2.2</t>
  </si>
  <si>
    <t>LEVANTAMIENTO Y REMOCION DE TEXTURAS EN MAL ESTADO Y QUE YA NO PRESENTAN ADHERENCIA, SE REMOVERAN TEXTURAS SOPLADAS A LA VISTA Y EL QUE POR REMOCION CON LA ESPATULA NO PRESENTE SUFICIENTE ADHERENCIA, EN LOS RESANES MAYORES A UN M2 SE REALIZARA EL PAÑO COMPLETO</t>
  </si>
  <si>
    <t>1.2.3</t>
  </si>
  <si>
    <t>APLICACIÓN DE IMPRIMANTE O ACRONAL, RESANE CON ESTUKA PAÑETE DE SIKA Y REPOSICION DE TEXTURA CON GRANIPLAST DE LA MARCA IMPATEXTURA, SE VOLVERA A IMPRIMAR PARA PERMITIR UN CORRECTO PUENTE DE ADHERENCIA</t>
  </si>
  <si>
    <t>ML</t>
  </si>
  <si>
    <t>1.2.4</t>
  </si>
  <si>
    <t>SE HARA TRATAMIENTO A ALFAJIAS, INCLUYE RESANE Y SELLO DE LAS MISMAS</t>
  </si>
  <si>
    <t>1.2.5</t>
  </si>
  <si>
    <t xml:space="preserve">REPARACIÓN DE MORTEROS EN CUCHILLAS DE CUBIERTA, TODA EL AREA PERIMETRAL CON MORTERO ACRILICO </t>
  </si>
  <si>
    <t>1.3.1</t>
  </si>
  <si>
    <t xml:space="preserve">SUMINISTRO Y APLICACIÓN DE PINTURA KORAZA PRO 550 EN IGUALES COLORES A LOS ACTUALES A DOS MANOS TENIENDO UN TIEMPO MINIMO ENTRE MANOS DE DOS HORAS </t>
  </si>
  <si>
    <t>1.3.2</t>
  </si>
  <si>
    <t>SUMINISTRO Y APLICACIÓN DE PINTURA KORAZA PRO 550 EN IGUALES COLORES A LOS ACTUALES A DOS MANOS TENIENDO UN TIEMPO MINIMO ENTRE MANOS DE DOS HORAS, EN AREA DE CUCHILLAS REPARADAS DE CUBIERTA</t>
  </si>
  <si>
    <t>1.4.1</t>
  </si>
  <si>
    <t>RETIRO Y REPOSICIÓN DE SUPERBOARD EN BUITRONES, INCLUYE SELLO DE LOS MISMOS Y APLICACIÓN DE PINTURA KORAZA</t>
  </si>
  <si>
    <t>UND</t>
  </si>
  <si>
    <t>1.4.2</t>
  </si>
  <si>
    <t>ASEO GENERAL Y RETIRO DE PINTURA</t>
  </si>
  <si>
    <t>SUBTOTAL GENERAL</t>
  </si>
  <si>
    <t xml:space="preserve">VALOR TOTAL COSTOS DIRECTOS </t>
  </si>
  <si>
    <t xml:space="preserve">ADMINISTRACIÓN </t>
  </si>
  <si>
    <t>SEGURIDAD SOCIAL</t>
  </si>
  <si>
    <t xml:space="preserve">IMPREVISTOS </t>
  </si>
  <si>
    <t xml:space="preserve">UTILIDADES </t>
  </si>
  <si>
    <t xml:space="preserve">TOTAL AIU </t>
  </si>
  <si>
    <t>IVA SOBRE UTILIDAD</t>
  </si>
  <si>
    <t>VALOR TOTAL DEL PRESUPUESTO</t>
  </si>
  <si>
    <t>Valor Total Presente Acta</t>
  </si>
  <si>
    <t>(-) Rete fuente</t>
  </si>
  <si>
    <t>(-) Rete ICA</t>
  </si>
  <si>
    <t>No</t>
  </si>
  <si>
    <t>(-) Rete Garantía</t>
  </si>
  <si>
    <t>(-) Anticipo</t>
  </si>
  <si>
    <t>VALOR NETO A PAGAR</t>
  </si>
  <si>
    <t>MANTENIMIENTO INTREGRAL DE FACHADAS CONJUNTO RESERVA DE LA COLINA</t>
  </si>
  <si>
    <t>Acta parcial No. 001</t>
  </si>
  <si>
    <t>BLOQUE A Y B</t>
  </si>
  <si>
    <t>Representante Legal</t>
  </si>
  <si>
    <t>MANTENIMIENTO INTREGRAL DE FACHADAS CONJUNTO RESERVA DE LA COLINA
BLOQUE C - ACTA DE AVANCE DE OBRA</t>
  </si>
  <si>
    <t>Acta parcial No. 002</t>
  </si>
  <si>
    <t>Acta parcial No. 004</t>
  </si>
  <si>
    <t>MANTENIMIENTO INTREGRAL DE FACHADAS CONJUNTO RESERVA DE LA COLINA
BLOQUE E - ACTA DE AVANCE DE OBRA</t>
  </si>
  <si>
    <t>MANTENIMIENTO INTREGRAL DE FACHADAS CONJUNTO RESERVA DE LA COLINA
BLOQUE F - ACTA DE AVANCE DE OBRA</t>
  </si>
  <si>
    <t>Acta parcial No. 005</t>
  </si>
  <si>
    <t>MANTENIMIENTO INTREGRAL DE FACHADAS CONJUNTO RESERVA DE LA COLINA
BLOQUE G - ACTA DE AVANCE DE OBRA</t>
  </si>
  <si>
    <t>Acta parcial No. 006</t>
  </si>
  <si>
    <t xml:space="preserve"> RENSO MONTOYA UPEGUI </t>
  </si>
  <si>
    <r>
      <t xml:space="preserve">LAVADO Y LIMPIEZA DE SUPERFICIES QUE PRESENTAN HONGOS, INCLUYE PAREDES, VENTANAS Y VIDRIERAS. EL LAVADO SE REALIZARA CON BACTERICIDAS O HIPOCLORITO AL 10%, SE DEBEN ELIMINAR POLVOS Y GRASAS QUE IMPIDAN EL CORRECTO FUNCIONAMIENTO DE LOS PRODUCTOS </t>
    </r>
    <r>
      <rPr>
        <b/>
        <u/>
        <sz val="12"/>
        <color theme="1"/>
        <rFont val="Arial Narrow"/>
        <family val="2"/>
      </rPr>
      <t>EN ZONAS SOCIALES</t>
    </r>
  </si>
  <si>
    <r>
      <t xml:space="preserve">SUMINISTRO Y APLICACIÓN DE PINTURA KORAZA PRO 550 EN IGUALES COLORES A LOS ACTUALES A DOS MANOS TENIENDO UN TIEMPO MINIMO ENTRE MANOS DE DOS HORAS </t>
    </r>
    <r>
      <rPr>
        <b/>
        <u/>
        <sz val="12"/>
        <color theme="1"/>
        <rFont val="Arial Narrow"/>
        <family val="2"/>
      </rPr>
      <t>EN ZONAS SOCIALES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</si>
</sst>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(&quot;$&quot;\ * #,##0.00_);_(&quot;$&quot;\ * \(#,##0.00\);_(&quot;$&quot;\ * &quot;-&quot;??_);_(@_)"/>
    <numFmt numFmtId="165" formatCode="[$$-240A]\ #,##0.000"/>
    <numFmt numFmtId="166" formatCode="_-&quot;$&quot;\ * #,##0_-;\-&quot;$&quot;\ * #,##0_-;_-&quot;$&quot;\ * &quot;-&quot;??_-;_-@_-"/>
    <numFmt numFmtId="167" formatCode="0.0"/>
    <numFmt numFmtId="168" formatCode="_-&quot;$&quot;* #,##0_-;\-&quot;$&quot;* #,##0_-;_-&quot;$&quot;* &quot;-&quot;??_-;_-@_-"/>
    <numFmt numFmtId="169" formatCode="_-&quot;$&quot;\ * #,##0.00_-;\-&quot;$&quot;\ * #,##0.00_-;_-&quot;$&quot;\ * &quot;-&quot;_-;_-@_-"/>
    <numFmt numFmtId="170" formatCode="&quot;$&quot;\ #,##0.00"/>
    <numFmt numFmtId="171" formatCode="&quot;$&quot;\ #,##0"/>
    <numFmt numFmtId="172" formatCode="0.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b/>
      <sz val="12"/>
      <color rgb="FF000000"/>
      <name val="Arial Narrow"/>
      <family val="2"/>
    </font>
    <font>
      <sz val="12"/>
      <color theme="0"/>
      <name val="Arial Narrow"/>
      <family val="2"/>
    </font>
    <font>
      <b/>
      <sz val="12"/>
      <color theme="0"/>
      <name val="Arial Narrow"/>
      <family val="2"/>
    </font>
    <font>
      <b/>
      <sz val="35"/>
      <name val="Arial Narrow"/>
      <family val="2"/>
    </font>
    <font>
      <sz val="12"/>
      <color rgb="FF000000"/>
      <name val="Arial Narrow"/>
      <family val="2"/>
    </font>
    <font>
      <sz val="12"/>
      <color rgb="FFFF0000"/>
      <name val="Arial Narrow"/>
      <family val="2"/>
    </font>
    <font>
      <sz val="12"/>
      <name val="Arial Narrow"/>
      <family val="2"/>
    </font>
    <font>
      <b/>
      <sz val="14"/>
      <name val="Arial Narrow"/>
      <family val="2"/>
    </font>
    <font>
      <b/>
      <sz val="14"/>
      <color rgb="FF000000"/>
      <name val="Arial Narrow"/>
      <family val="2"/>
    </font>
    <font>
      <sz val="14"/>
      <color theme="1"/>
      <name val="Arial Narrow"/>
      <family val="2"/>
    </font>
    <font>
      <b/>
      <sz val="36"/>
      <name val="Arial Narrow"/>
      <family val="2"/>
    </font>
    <font>
      <sz val="14"/>
      <color theme="0"/>
      <name val="Arial Narrow"/>
      <family val="2"/>
    </font>
    <font>
      <b/>
      <sz val="14"/>
      <color theme="0"/>
      <name val="Arial Narrow"/>
      <family val="2"/>
    </font>
    <font>
      <b/>
      <sz val="16"/>
      <color theme="0"/>
      <name val="Arial Narrow"/>
      <family val="2"/>
    </font>
    <font>
      <sz val="14"/>
      <color rgb="FFFF0000"/>
      <name val="Arial Narrow"/>
      <family val="2"/>
    </font>
    <font>
      <sz val="14"/>
      <color rgb="FF000000"/>
      <name val="Arial Narrow"/>
      <family val="2"/>
    </font>
    <font>
      <sz val="14"/>
      <name val="Arial Narrow"/>
      <family val="2"/>
    </font>
    <font>
      <b/>
      <u/>
      <sz val="12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5C9BAC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95">
    <xf numFmtId="0" fontId="0" fillId="0" borderId="0" xfId="0"/>
    <xf numFmtId="0" fontId="3" fillId="0" borderId="4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4" fontId="4" fillId="0" borderId="0" xfId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4" applyFont="1" applyAlignment="1">
      <alignment vertical="center" wrapText="1"/>
    </xf>
    <xf numFmtId="0" fontId="5" fillId="0" borderId="0" xfId="4" applyFont="1" applyAlignment="1">
      <alignment vertical="center" wrapText="1"/>
    </xf>
    <xf numFmtId="10" fontId="4" fillId="0" borderId="0" xfId="3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44" fontId="4" fillId="0" borderId="0" xfId="0" applyNumberFormat="1" applyFont="1" applyAlignment="1">
      <alignment vertical="center"/>
    </xf>
    <xf numFmtId="44" fontId="5" fillId="0" borderId="0" xfId="4" applyNumberFormat="1" applyFont="1" applyAlignment="1">
      <alignment vertical="center" wrapText="1"/>
    </xf>
    <xf numFmtId="49" fontId="8" fillId="0" borderId="0" xfId="4" applyNumberFormat="1" applyFont="1" applyAlignment="1">
      <alignment vertical="center" wrapText="1"/>
    </xf>
    <xf numFmtId="44" fontId="8" fillId="0" borderId="0" xfId="1" applyFont="1" applyAlignment="1">
      <alignment vertical="center" wrapText="1"/>
    </xf>
    <xf numFmtId="172" fontId="4" fillId="0" borderId="0" xfId="0" applyNumberFormat="1" applyFont="1" applyAlignment="1">
      <alignment vertical="center"/>
    </xf>
    <xf numFmtId="9" fontId="4" fillId="0" borderId="0" xfId="3" applyFont="1" applyAlignment="1">
      <alignment vertical="center"/>
    </xf>
    <xf numFmtId="0" fontId="12" fillId="2" borderId="11" xfId="0" applyFont="1" applyFill="1" applyBorder="1" applyAlignment="1">
      <alignment vertical="center"/>
    </xf>
    <xf numFmtId="0" fontId="12" fillId="2" borderId="32" xfId="0" applyFont="1" applyFill="1" applyBorder="1" applyAlignment="1">
      <alignment vertical="center"/>
    </xf>
    <xf numFmtId="42" fontId="12" fillId="2" borderId="12" xfId="2" applyFont="1" applyFill="1" applyBorder="1" applyAlignment="1">
      <alignment vertical="center"/>
    </xf>
    <xf numFmtId="9" fontId="12" fillId="2" borderId="11" xfId="3" applyFont="1" applyFill="1" applyBorder="1" applyAlignment="1">
      <alignment horizontal="center" vertical="center" wrapText="1"/>
    </xf>
    <xf numFmtId="164" fontId="12" fillId="2" borderId="12" xfId="4" applyNumberFormat="1" applyFont="1" applyFill="1" applyBorder="1" applyAlignment="1">
      <alignment horizontal="center" vertical="center" wrapText="1"/>
    </xf>
    <xf numFmtId="165" fontId="12" fillId="2" borderId="12" xfId="4" applyNumberFormat="1" applyFont="1" applyFill="1" applyBorder="1" applyAlignment="1">
      <alignment horizontal="center" vertical="center" wrapText="1"/>
    </xf>
    <xf numFmtId="165" fontId="12" fillId="2" borderId="11" xfId="4" applyNumberFormat="1" applyFont="1" applyFill="1" applyBorder="1" applyAlignment="1">
      <alignment horizontal="center" vertical="center" wrapText="1"/>
    </xf>
    <xf numFmtId="42" fontId="12" fillId="2" borderId="12" xfId="2" applyFont="1" applyFill="1" applyBorder="1" applyAlignment="1">
      <alignment horizontal="center" vertical="center" wrapText="1"/>
    </xf>
    <xf numFmtId="2" fontId="12" fillId="2" borderId="11" xfId="4" applyNumberFormat="1" applyFont="1" applyFill="1" applyBorder="1" applyAlignment="1">
      <alignment horizontal="center" vertical="center" wrapText="1"/>
    </xf>
    <xf numFmtId="169" fontId="10" fillId="4" borderId="5" xfId="2" applyNumberFormat="1" applyFont="1" applyFill="1" applyBorder="1" applyAlignment="1">
      <alignment vertical="center"/>
    </xf>
    <xf numFmtId="169" fontId="10" fillId="0" borderId="4" xfId="3" applyNumberFormat="1" applyFont="1" applyFill="1" applyBorder="1" applyAlignment="1">
      <alignment vertical="center"/>
    </xf>
    <xf numFmtId="169" fontId="10" fillId="0" borderId="6" xfId="0" applyNumberFormat="1" applyFont="1" applyBorder="1" applyAlignment="1">
      <alignment vertical="center"/>
    </xf>
    <xf numFmtId="169" fontId="10" fillId="0" borderId="4" xfId="0" applyNumberFormat="1" applyFont="1" applyBorder="1" applyAlignment="1">
      <alignment vertical="center"/>
    </xf>
    <xf numFmtId="9" fontId="14" fillId="4" borderId="0" xfId="3" applyFont="1" applyFill="1" applyBorder="1" applyAlignment="1">
      <alignment vertical="center"/>
    </xf>
    <xf numFmtId="169" fontId="14" fillId="4" borderId="0" xfId="2" applyNumberFormat="1" applyFont="1" applyFill="1" applyBorder="1" applyAlignment="1">
      <alignment vertical="center"/>
    </xf>
    <xf numFmtId="169" fontId="14" fillId="0" borderId="10" xfId="3" applyNumberFormat="1" applyFont="1" applyFill="1" applyBorder="1" applyAlignment="1">
      <alignment vertical="center"/>
    </xf>
    <xf numFmtId="169" fontId="14" fillId="0" borderId="20" xfId="0" applyNumberFormat="1" applyFont="1" applyBorder="1" applyAlignment="1">
      <alignment vertical="center"/>
    </xf>
    <xf numFmtId="169" fontId="14" fillId="0" borderId="10" xfId="0" applyNumberFormat="1" applyFont="1" applyBorder="1" applyAlignment="1">
      <alignment vertical="center"/>
    </xf>
    <xf numFmtId="9" fontId="15" fillId="4" borderId="0" xfId="3" applyFont="1" applyFill="1" applyBorder="1" applyAlignment="1">
      <alignment vertical="center"/>
    </xf>
    <xf numFmtId="9" fontId="10" fillId="4" borderId="0" xfId="3" applyFont="1" applyFill="1" applyBorder="1" applyAlignment="1">
      <alignment vertical="center"/>
    </xf>
    <xf numFmtId="169" fontId="10" fillId="4" borderId="0" xfId="2" applyNumberFormat="1" applyFont="1" applyFill="1" applyBorder="1" applyAlignment="1">
      <alignment vertical="center"/>
    </xf>
    <xf numFmtId="169" fontId="10" fillId="0" borderId="10" xfId="3" applyNumberFormat="1" applyFont="1" applyFill="1" applyBorder="1" applyAlignment="1">
      <alignment vertical="center"/>
    </xf>
    <xf numFmtId="169" fontId="10" fillId="0" borderId="10" xfId="0" applyNumberFormat="1" applyFont="1" applyBorder="1" applyAlignment="1">
      <alignment vertical="center"/>
    </xf>
    <xf numFmtId="169" fontId="10" fillId="0" borderId="20" xfId="2" applyNumberFormat="1" applyFont="1" applyFill="1" applyBorder="1" applyAlignment="1">
      <alignment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 wrapText="1"/>
    </xf>
    <xf numFmtId="0" fontId="14" fillId="4" borderId="0" xfId="0" applyFont="1" applyFill="1" applyAlignment="1">
      <alignment vertical="center"/>
    </xf>
    <xf numFmtId="169" fontId="14" fillId="0" borderId="16" xfId="3" applyNumberFormat="1" applyFont="1" applyFill="1" applyBorder="1" applyAlignment="1">
      <alignment vertical="center"/>
    </xf>
    <xf numFmtId="169" fontId="14" fillId="0" borderId="42" xfId="0" applyNumberFormat="1" applyFont="1" applyBorder="1" applyAlignment="1">
      <alignment vertical="center"/>
    </xf>
    <xf numFmtId="169" fontId="14" fillId="0" borderId="16" xfId="0" applyNumberFormat="1" applyFont="1" applyBorder="1" applyAlignment="1">
      <alignment vertical="center"/>
    </xf>
    <xf numFmtId="169" fontId="14" fillId="0" borderId="42" xfId="2" applyNumberFormat="1" applyFont="1" applyFill="1" applyBorder="1" applyAlignment="1">
      <alignment vertical="center"/>
    </xf>
    <xf numFmtId="0" fontId="9" fillId="0" borderId="4" xfId="4" applyFont="1" applyBorder="1" applyAlignment="1">
      <alignment vertical="center" wrapText="1"/>
    </xf>
    <xf numFmtId="0" fontId="9" fillId="0" borderId="5" xfId="4" applyFont="1" applyBorder="1" applyAlignment="1">
      <alignment vertical="center" wrapText="1"/>
    </xf>
    <xf numFmtId="0" fontId="16" fillId="0" borderId="5" xfId="4" applyFont="1" applyBorder="1" applyAlignment="1">
      <alignment vertical="center" wrapText="1"/>
    </xf>
    <xf numFmtId="0" fontId="16" fillId="0" borderId="6" xfId="4" applyFont="1" applyBorder="1" applyAlignment="1">
      <alignment vertical="center" wrapText="1"/>
    </xf>
    <xf numFmtId="9" fontId="9" fillId="0" borderId="0" xfId="3" applyFont="1" applyFill="1" applyBorder="1" applyAlignment="1">
      <alignment vertical="center" wrapText="1"/>
    </xf>
    <xf numFmtId="0" fontId="9" fillId="0" borderId="10" xfId="4" applyFont="1" applyBorder="1" applyAlignment="1">
      <alignment vertical="center" wrapText="1"/>
    </xf>
    <xf numFmtId="0" fontId="9" fillId="0" borderId="0" xfId="4" applyFont="1" applyAlignment="1">
      <alignment vertical="center" wrapText="1"/>
    </xf>
    <xf numFmtId="0" fontId="16" fillId="0" borderId="0" xfId="4" applyFont="1" applyAlignment="1">
      <alignment vertical="center" wrapText="1"/>
    </xf>
    <xf numFmtId="9" fontId="16" fillId="0" borderId="0" xfId="3" applyFont="1" applyFill="1" applyBorder="1" applyAlignment="1">
      <alignment vertical="center" wrapText="1"/>
    </xf>
    <xf numFmtId="0" fontId="16" fillId="0" borderId="20" xfId="4" applyFont="1" applyBorder="1" applyAlignment="1">
      <alignment vertical="center" wrapText="1"/>
    </xf>
    <xf numFmtId="9" fontId="16" fillId="0" borderId="0" xfId="3" applyFont="1" applyFill="1" applyBorder="1" applyAlignment="1">
      <alignment vertical="center"/>
    </xf>
    <xf numFmtId="9" fontId="16" fillId="0" borderId="0" xfId="3" applyFont="1" applyFill="1" applyBorder="1" applyAlignment="1">
      <alignment horizontal="right" vertical="center" wrapText="1"/>
    </xf>
    <xf numFmtId="164" fontId="16" fillId="0" borderId="0" xfId="4" applyNumberFormat="1" applyFont="1" applyAlignment="1">
      <alignment horizontal="right" vertical="center" wrapText="1"/>
    </xf>
    <xf numFmtId="0" fontId="16" fillId="0" borderId="10" xfId="4" applyFont="1" applyBorder="1" applyAlignment="1">
      <alignment vertical="center" wrapText="1"/>
    </xf>
    <xf numFmtId="10" fontId="16" fillId="0" borderId="0" xfId="3" applyNumberFormat="1" applyFont="1" applyFill="1" applyBorder="1" applyAlignment="1">
      <alignment vertical="center"/>
    </xf>
    <xf numFmtId="171" fontId="16" fillId="0" borderId="0" xfId="3" applyNumberFormat="1" applyFont="1" applyFill="1" applyBorder="1" applyAlignment="1">
      <alignment horizontal="right" vertical="center" wrapText="1"/>
    </xf>
    <xf numFmtId="170" fontId="16" fillId="0" borderId="16" xfId="4" applyNumberFormat="1" applyFont="1" applyBorder="1" applyAlignment="1">
      <alignment vertical="center" wrapText="1"/>
    </xf>
    <xf numFmtId="170" fontId="9" fillId="0" borderId="42" xfId="4" applyNumberFormat="1" applyFont="1" applyBorder="1" applyAlignment="1">
      <alignment vertical="center" wrapText="1"/>
    </xf>
    <xf numFmtId="0" fontId="12" fillId="6" borderId="33" xfId="0" applyFont="1" applyFill="1" applyBorder="1" applyAlignment="1">
      <alignment vertical="center"/>
    </xf>
    <xf numFmtId="0" fontId="12" fillId="6" borderId="34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6" borderId="6" xfId="0" applyFont="1" applyFill="1" applyBorder="1" applyAlignment="1">
      <alignment vertical="center"/>
    </xf>
    <xf numFmtId="2" fontId="3" fillId="0" borderId="18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 wrapText="1"/>
    </xf>
    <xf numFmtId="0" fontId="3" fillId="3" borderId="25" xfId="1" applyNumberFormat="1" applyFont="1" applyFill="1" applyBorder="1" applyAlignment="1">
      <alignment horizontal="center" vertical="center"/>
    </xf>
    <xf numFmtId="2" fontId="15" fillId="0" borderId="36" xfId="1" applyNumberFormat="1" applyFont="1" applyFill="1" applyBorder="1" applyAlignment="1">
      <alignment horizontal="center" vertical="center"/>
    </xf>
    <xf numFmtId="166" fontId="3" fillId="3" borderId="36" xfId="1" applyNumberFormat="1" applyFont="1" applyFill="1" applyBorder="1" applyAlignment="1">
      <alignment horizontal="center" vertical="center"/>
    </xf>
    <xf numFmtId="166" fontId="3" fillId="3" borderId="18" xfId="1" applyNumberFormat="1" applyFont="1" applyFill="1" applyBorder="1" applyAlignment="1">
      <alignment vertical="center"/>
    </xf>
    <xf numFmtId="2" fontId="3" fillId="0" borderId="7" xfId="3" applyNumberFormat="1" applyFont="1" applyBorder="1" applyAlignment="1">
      <alignment vertical="center"/>
    </xf>
    <xf numFmtId="42" fontId="3" fillId="0" borderId="27" xfId="0" applyNumberFormat="1" applyFont="1" applyBorder="1" applyAlignment="1">
      <alignment vertical="center"/>
    </xf>
    <xf numFmtId="1" fontId="3" fillId="0" borderId="7" xfId="3" applyNumberFormat="1" applyFont="1" applyBorder="1" applyAlignment="1">
      <alignment vertical="center"/>
    </xf>
    <xf numFmtId="42" fontId="3" fillId="0" borderId="8" xfId="0" applyNumberFormat="1" applyFont="1" applyBorder="1" applyAlignment="1">
      <alignment vertical="center"/>
    </xf>
    <xf numFmtId="1" fontId="3" fillId="0" borderId="37" xfId="3" applyNumberFormat="1" applyFont="1" applyBorder="1" applyAlignment="1">
      <alignment vertical="center"/>
    </xf>
    <xf numFmtId="2" fontId="3" fillId="0" borderId="37" xfId="3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38" xfId="0" applyFont="1" applyBorder="1" applyAlignment="1">
      <alignment horizontal="left" vertical="center" wrapText="1"/>
    </xf>
    <xf numFmtId="0" fontId="3" fillId="3" borderId="7" xfId="1" applyNumberFormat="1" applyFont="1" applyFill="1" applyBorder="1" applyAlignment="1">
      <alignment horizontal="center" vertical="center"/>
    </xf>
    <xf numFmtId="166" fontId="3" fillId="3" borderId="9" xfId="1" applyNumberFormat="1" applyFont="1" applyFill="1" applyBorder="1" applyAlignment="1">
      <alignment horizontal="center" vertical="center"/>
    </xf>
    <xf numFmtId="166" fontId="3" fillId="3" borderId="27" xfId="1" applyNumberFormat="1" applyFont="1" applyFill="1" applyBorder="1" applyAlignment="1">
      <alignment vertical="center"/>
    </xf>
    <xf numFmtId="1" fontId="3" fillId="0" borderId="7" xfId="0" applyNumberFormat="1" applyFont="1" applyBorder="1" applyAlignment="1">
      <alignment vertical="center"/>
    </xf>
    <xf numFmtId="166" fontId="3" fillId="0" borderId="8" xfId="0" applyNumberFormat="1" applyFont="1" applyBorder="1" applyAlignment="1">
      <alignment vertical="center"/>
    </xf>
    <xf numFmtId="168" fontId="3" fillId="3" borderId="9" xfId="1" applyNumberFormat="1" applyFont="1" applyFill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 wrapText="1"/>
    </xf>
    <xf numFmtId="1" fontId="15" fillId="0" borderId="36" xfId="1" applyNumberFormat="1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vertical="center"/>
    </xf>
    <xf numFmtId="0" fontId="14" fillId="4" borderId="41" xfId="0" applyFont="1" applyFill="1" applyBorder="1" applyAlignment="1">
      <alignment vertical="center"/>
    </xf>
    <xf numFmtId="0" fontId="14" fillId="4" borderId="11" xfId="0" applyFont="1" applyFill="1" applyBorder="1" applyAlignment="1">
      <alignment vertical="center"/>
    </xf>
    <xf numFmtId="0" fontId="14" fillId="4" borderId="32" xfId="0" applyFont="1" applyFill="1" applyBorder="1" applyAlignment="1">
      <alignment vertical="center"/>
    </xf>
    <xf numFmtId="42" fontId="14" fillId="4" borderId="31" xfId="2" applyFont="1" applyFill="1" applyBorder="1" applyAlignment="1">
      <alignment vertical="center"/>
    </xf>
    <xf numFmtId="1" fontId="14" fillId="4" borderId="13" xfId="3" applyNumberFormat="1" applyFont="1" applyFill="1" applyBorder="1" applyAlignment="1">
      <alignment vertical="center"/>
    </xf>
    <xf numFmtId="42" fontId="14" fillId="4" borderId="14" xfId="0" applyNumberFormat="1" applyFont="1" applyFill="1" applyBorder="1" applyAlignment="1">
      <alignment vertical="center"/>
    </xf>
    <xf numFmtId="0" fontId="14" fillId="4" borderId="13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22" fillId="2" borderId="11" xfId="0" applyFont="1" applyFill="1" applyBorder="1" applyAlignment="1">
      <alignment vertical="center"/>
    </xf>
    <xf numFmtId="0" fontId="22" fillId="2" borderId="32" xfId="0" applyFont="1" applyFill="1" applyBorder="1" applyAlignment="1">
      <alignment vertical="center"/>
    </xf>
    <xf numFmtId="42" fontId="22" fillId="2" borderId="12" xfId="2" applyFont="1" applyFill="1" applyBorder="1" applyAlignment="1">
      <alignment vertical="center"/>
    </xf>
    <xf numFmtId="9" fontId="22" fillId="2" borderId="11" xfId="3" applyFont="1" applyFill="1" applyBorder="1" applyAlignment="1">
      <alignment horizontal="center" vertical="center" wrapText="1"/>
    </xf>
    <xf numFmtId="164" fontId="22" fillId="2" borderId="12" xfId="4" applyNumberFormat="1" applyFont="1" applyFill="1" applyBorder="1" applyAlignment="1">
      <alignment horizontal="center" vertical="center" wrapText="1"/>
    </xf>
    <xf numFmtId="165" fontId="22" fillId="2" borderId="12" xfId="4" applyNumberFormat="1" applyFont="1" applyFill="1" applyBorder="1" applyAlignment="1">
      <alignment horizontal="center" vertical="center" wrapText="1"/>
    </xf>
    <xf numFmtId="165" fontId="22" fillId="2" borderId="11" xfId="4" applyNumberFormat="1" applyFont="1" applyFill="1" applyBorder="1" applyAlignment="1">
      <alignment horizontal="center" vertical="center" wrapText="1"/>
    </xf>
    <xf numFmtId="42" fontId="22" fillId="2" borderId="12" xfId="2" applyFont="1" applyFill="1" applyBorder="1" applyAlignment="1">
      <alignment horizontal="center" vertical="center" wrapText="1"/>
    </xf>
    <xf numFmtId="2" fontId="22" fillId="2" borderId="11" xfId="4" applyNumberFormat="1" applyFont="1" applyFill="1" applyBorder="1" applyAlignment="1">
      <alignment horizontal="center" vertical="center" wrapText="1"/>
    </xf>
    <xf numFmtId="0" fontId="23" fillId="6" borderId="33" xfId="0" applyFont="1" applyFill="1" applyBorder="1" applyAlignment="1">
      <alignment vertical="center"/>
    </xf>
    <xf numFmtId="0" fontId="22" fillId="6" borderId="34" xfId="0" applyFont="1" applyFill="1" applyBorder="1" applyAlignment="1">
      <alignment vertical="center"/>
    </xf>
    <xf numFmtId="0" fontId="22" fillId="6" borderId="5" xfId="0" applyFont="1" applyFill="1" applyBorder="1" applyAlignment="1">
      <alignment vertical="center"/>
    </xf>
    <xf numFmtId="0" fontId="22" fillId="6" borderId="6" xfId="0" applyFont="1" applyFill="1" applyBorder="1" applyAlignment="1">
      <alignment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 wrapText="1"/>
    </xf>
    <xf numFmtId="0" fontId="19" fillId="3" borderId="25" xfId="1" applyNumberFormat="1" applyFont="1" applyFill="1" applyBorder="1" applyAlignment="1">
      <alignment horizontal="center" vertical="center"/>
    </xf>
    <xf numFmtId="1" fontId="24" fillId="0" borderId="36" xfId="1" applyNumberFormat="1" applyFont="1" applyFill="1" applyBorder="1" applyAlignment="1">
      <alignment horizontal="center" vertical="center"/>
    </xf>
    <xf numFmtId="166" fontId="19" fillId="3" borderId="36" xfId="1" applyNumberFormat="1" applyFont="1" applyFill="1" applyBorder="1" applyAlignment="1">
      <alignment horizontal="center" vertical="center"/>
    </xf>
    <xf numFmtId="166" fontId="19" fillId="3" borderId="18" xfId="1" applyNumberFormat="1" applyFont="1" applyFill="1" applyBorder="1" applyAlignment="1">
      <alignment vertical="center"/>
    </xf>
    <xf numFmtId="2" fontId="19" fillId="0" borderId="7" xfId="3" applyNumberFormat="1" applyFont="1" applyBorder="1" applyAlignment="1">
      <alignment vertical="center"/>
    </xf>
    <xf numFmtId="42" fontId="19" fillId="0" borderId="27" xfId="0" applyNumberFormat="1" applyFont="1" applyBorder="1" applyAlignment="1">
      <alignment vertical="center"/>
    </xf>
    <xf numFmtId="1" fontId="19" fillId="0" borderId="7" xfId="3" applyNumberFormat="1" applyFont="1" applyBorder="1" applyAlignment="1">
      <alignment vertical="center"/>
    </xf>
    <xf numFmtId="42" fontId="19" fillId="0" borderId="8" xfId="0" applyNumberFormat="1" applyFont="1" applyBorder="1" applyAlignment="1">
      <alignment vertical="center"/>
    </xf>
    <xf numFmtId="1" fontId="19" fillId="0" borderId="37" xfId="3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166" fontId="19" fillId="0" borderId="2" xfId="0" applyNumberFormat="1" applyFont="1" applyBorder="1" applyAlignment="1">
      <alignment vertical="center"/>
    </xf>
    <xf numFmtId="167" fontId="19" fillId="0" borderId="0" xfId="0" applyNumberFormat="1" applyFont="1" applyAlignment="1">
      <alignment vertical="center"/>
    </xf>
    <xf numFmtId="0" fontId="19" fillId="0" borderId="38" xfId="0" applyFont="1" applyBorder="1" applyAlignment="1">
      <alignment horizontal="left" vertical="center" wrapText="1"/>
    </xf>
    <xf numFmtId="0" fontId="19" fillId="3" borderId="7" xfId="1" applyNumberFormat="1" applyFont="1" applyFill="1" applyBorder="1" applyAlignment="1">
      <alignment horizontal="center" vertical="center"/>
    </xf>
    <xf numFmtId="167" fontId="24" fillId="0" borderId="36" xfId="1" applyNumberFormat="1" applyFont="1" applyFill="1" applyBorder="1" applyAlignment="1">
      <alignment horizontal="center" vertical="center"/>
    </xf>
    <xf numFmtId="166" fontId="19" fillId="3" borderId="9" xfId="1" applyNumberFormat="1" applyFont="1" applyFill="1" applyBorder="1" applyAlignment="1">
      <alignment horizontal="center" vertical="center"/>
    </xf>
    <xf numFmtId="166" fontId="19" fillId="3" borderId="27" xfId="1" applyNumberFormat="1" applyFont="1" applyFill="1" applyBorder="1" applyAlignment="1">
      <alignment vertical="center"/>
    </xf>
    <xf numFmtId="1" fontId="19" fillId="0" borderId="7" xfId="0" applyNumberFormat="1" applyFont="1" applyBorder="1" applyAlignment="1">
      <alignment vertical="center"/>
    </xf>
    <xf numFmtId="166" fontId="19" fillId="0" borderId="8" xfId="0" applyNumberFormat="1" applyFont="1" applyBorder="1" applyAlignment="1">
      <alignment vertical="center"/>
    </xf>
    <xf numFmtId="168" fontId="19" fillId="3" borderId="9" xfId="1" applyNumberFormat="1" applyFont="1" applyFill="1" applyBorder="1" applyAlignment="1">
      <alignment horizontal="center" vertical="center"/>
    </xf>
    <xf numFmtId="2" fontId="24" fillId="0" borderId="36" xfId="1" applyNumberFormat="1" applyFont="1" applyFill="1" applyBorder="1" applyAlignment="1">
      <alignment horizontal="center" vertical="center"/>
    </xf>
    <xf numFmtId="2" fontId="19" fillId="0" borderId="27" xfId="0" applyNumberFormat="1" applyFont="1" applyBorder="1" applyAlignment="1">
      <alignment horizontal="center" vertical="center"/>
    </xf>
    <xf numFmtId="0" fontId="19" fillId="0" borderId="39" xfId="0" applyFont="1" applyBorder="1" applyAlignment="1">
      <alignment horizontal="left" vertical="center" wrapText="1"/>
    </xf>
    <xf numFmtId="0" fontId="18" fillId="4" borderId="40" xfId="0" applyFont="1" applyFill="1" applyBorder="1" applyAlignment="1">
      <alignment vertical="center"/>
    </xf>
    <xf numFmtId="0" fontId="25" fillId="4" borderId="41" xfId="0" applyFont="1" applyFill="1" applyBorder="1" applyAlignment="1">
      <alignment vertical="center"/>
    </xf>
    <xf numFmtId="0" fontId="25" fillId="4" borderId="11" xfId="0" applyFont="1" applyFill="1" applyBorder="1" applyAlignment="1">
      <alignment vertical="center"/>
    </xf>
    <xf numFmtId="0" fontId="25" fillId="4" borderId="32" xfId="0" applyFont="1" applyFill="1" applyBorder="1" applyAlignment="1">
      <alignment vertical="center"/>
    </xf>
    <xf numFmtId="42" fontId="25" fillId="4" borderId="31" xfId="2" applyFont="1" applyFill="1" applyBorder="1" applyAlignment="1">
      <alignment vertical="center"/>
    </xf>
    <xf numFmtId="1" fontId="25" fillId="4" borderId="13" xfId="3" applyNumberFormat="1" applyFont="1" applyFill="1" applyBorder="1" applyAlignment="1">
      <alignment vertical="center"/>
    </xf>
    <xf numFmtId="42" fontId="25" fillId="4" borderId="14" xfId="0" applyNumberFormat="1" applyFont="1" applyFill="1" applyBorder="1" applyAlignment="1">
      <alignment vertical="center"/>
    </xf>
    <xf numFmtId="0" fontId="25" fillId="4" borderId="1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169" fontId="18" fillId="4" borderId="5" xfId="2" applyNumberFormat="1" applyFont="1" applyFill="1" applyBorder="1" applyAlignment="1">
      <alignment vertical="center"/>
    </xf>
    <xf numFmtId="169" fontId="18" fillId="0" borderId="4" xfId="3" applyNumberFormat="1" applyFont="1" applyFill="1" applyBorder="1" applyAlignment="1">
      <alignment vertical="center"/>
    </xf>
    <xf numFmtId="169" fontId="18" fillId="0" borderId="6" xfId="0" applyNumberFormat="1" applyFont="1" applyBorder="1" applyAlignment="1">
      <alignment vertical="center"/>
    </xf>
    <xf numFmtId="169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9" fontId="25" fillId="4" borderId="0" xfId="3" applyFont="1" applyFill="1" applyBorder="1" applyAlignment="1">
      <alignment vertical="center"/>
    </xf>
    <xf numFmtId="169" fontId="25" fillId="4" borderId="0" xfId="2" applyNumberFormat="1" applyFont="1" applyFill="1" applyBorder="1" applyAlignment="1">
      <alignment vertical="center"/>
    </xf>
    <xf numFmtId="169" fontId="25" fillId="0" borderId="10" xfId="3" applyNumberFormat="1" applyFont="1" applyFill="1" applyBorder="1" applyAlignment="1">
      <alignment vertical="center"/>
    </xf>
    <xf numFmtId="169" fontId="25" fillId="0" borderId="20" xfId="0" applyNumberFormat="1" applyFont="1" applyBorder="1" applyAlignment="1">
      <alignment vertical="center"/>
    </xf>
    <xf numFmtId="169" fontId="25" fillId="0" borderId="10" xfId="0" applyNumberFormat="1" applyFont="1" applyBorder="1" applyAlignment="1">
      <alignment vertical="center"/>
    </xf>
    <xf numFmtId="9" fontId="24" fillId="4" borderId="0" xfId="3" applyFont="1" applyFill="1" applyBorder="1" applyAlignment="1">
      <alignment vertical="center"/>
    </xf>
    <xf numFmtId="9" fontId="18" fillId="4" borderId="0" xfId="3" applyFont="1" applyFill="1" applyBorder="1" applyAlignment="1">
      <alignment vertical="center"/>
    </xf>
    <xf numFmtId="169" fontId="18" fillId="4" borderId="0" xfId="2" applyNumberFormat="1" applyFont="1" applyFill="1" applyBorder="1" applyAlignment="1">
      <alignment vertical="center"/>
    </xf>
    <xf numFmtId="169" fontId="18" fillId="0" borderId="10" xfId="3" applyNumberFormat="1" applyFont="1" applyFill="1" applyBorder="1" applyAlignment="1">
      <alignment vertical="center"/>
    </xf>
    <xf numFmtId="169" fontId="18" fillId="0" borderId="10" xfId="0" applyNumberFormat="1" applyFont="1" applyBorder="1" applyAlignment="1">
      <alignment vertical="center"/>
    </xf>
    <xf numFmtId="169" fontId="18" fillId="0" borderId="20" xfId="2" applyNumberFormat="1" applyFont="1" applyFill="1" applyBorder="1" applyAlignment="1">
      <alignment vertical="center"/>
    </xf>
    <xf numFmtId="0" fontId="25" fillId="4" borderId="10" xfId="0" applyFont="1" applyFill="1" applyBorder="1" applyAlignment="1">
      <alignment horizontal="center" vertical="center"/>
    </xf>
    <xf numFmtId="0" fontId="25" fillId="4" borderId="0" xfId="0" applyFont="1" applyFill="1" applyAlignment="1">
      <alignment vertical="center" wrapText="1"/>
    </xf>
    <xf numFmtId="0" fontId="25" fillId="4" borderId="0" xfId="0" applyFont="1" applyFill="1" applyAlignment="1">
      <alignment vertical="center"/>
    </xf>
    <xf numFmtId="169" fontId="25" fillId="0" borderId="16" xfId="3" applyNumberFormat="1" applyFont="1" applyFill="1" applyBorder="1" applyAlignment="1">
      <alignment vertical="center"/>
    </xf>
    <xf numFmtId="169" fontId="25" fillId="0" borderId="42" xfId="0" applyNumberFormat="1" applyFont="1" applyBorder="1" applyAlignment="1">
      <alignment vertical="center"/>
    </xf>
    <xf numFmtId="169" fontId="25" fillId="0" borderId="16" xfId="0" applyNumberFormat="1" applyFont="1" applyBorder="1" applyAlignment="1">
      <alignment vertical="center"/>
    </xf>
    <xf numFmtId="169" fontId="25" fillId="0" borderId="42" xfId="2" applyNumberFormat="1" applyFont="1" applyFill="1" applyBorder="1" applyAlignment="1">
      <alignment vertical="center"/>
    </xf>
    <xf numFmtId="0" fontId="17" fillId="0" borderId="31" xfId="4" applyFont="1" applyBorder="1" applyAlignment="1">
      <alignment vertical="center" wrapText="1"/>
    </xf>
    <xf numFmtId="0" fontId="17" fillId="0" borderId="44" xfId="4" applyFont="1" applyBorder="1" applyAlignment="1">
      <alignment vertical="center" wrapText="1"/>
    </xf>
    <xf numFmtId="0" fontId="26" fillId="0" borderId="44" xfId="4" applyFont="1" applyBorder="1" applyAlignment="1">
      <alignment vertical="center" wrapText="1"/>
    </xf>
    <xf numFmtId="0" fontId="26" fillId="0" borderId="47" xfId="4" applyFont="1" applyBorder="1" applyAlignment="1">
      <alignment vertical="center" wrapText="1"/>
    </xf>
    <xf numFmtId="9" fontId="17" fillId="0" borderId="0" xfId="3" applyFont="1" applyFill="1" applyBorder="1" applyAlignment="1">
      <alignment vertical="center" wrapText="1"/>
    </xf>
    <xf numFmtId="0" fontId="26" fillId="0" borderId="0" xfId="4" applyFont="1" applyAlignment="1">
      <alignment vertical="center" wrapText="1"/>
    </xf>
    <xf numFmtId="0" fontId="17" fillId="0" borderId="48" xfId="4" applyFont="1" applyBorder="1" applyAlignment="1">
      <alignment vertical="center" wrapText="1"/>
    </xf>
    <xf numFmtId="0" fontId="17" fillId="0" borderId="0" xfId="4" applyFont="1" applyAlignment="1">
      <alignment vertical="center" wrapText="1"/>
    </xf>
    <xf numFmtId="9" fontId="26" fillId="0" borderId="0" xfId="3" applyFont="1" applyFill="1" applyBorder="1" applyAlignment="1">
      <alignment vertical="center"/>
    </xf>
    <xf numFmtId="9" fontId="26" fillId="0" borderId="0" xfId="3" applyFont="1" applyFill="1" applyBorder="1" applyAlignment="1">
      <alignment horizontal="right" vertical="center" wrapText="1"/>
    </xf>
    <xf numFmtId="0" fontId="26" fillId="0" borderId="48" xfId="4" applyFont="1" applyBorder="1" applyAlignment="1">
      <alignment vertical="center" wrapText="1"/>
    </xf>
    <xf numFmtId="164" fontId="26" fillId="0" borderId="0" xfId="4" applyNumberFormat="1" applyFont="1" applyAlignment="1">
      <alignment horizontal="right" vertical="center" wrapText="1"/>
    </xf>
    <xf numFmtId="10" fontId="26" fillId="0" borderId="0" xfId="3" applyNumberFormat="1" applyFont="1" applyFill="1" applyBorder="1" applyAlignment="1">
      <alignment vertical="center"/>
    </xf>
    <xf numFmtId="171" fontId="26" fillId="0" borderId="0" xfId="3" applyNumberFormat="1" applyFont="1" applyFill="1" applyBorder="1" applyAlignment="1">
      <alignment horizontal="right" vertical="center" wrapText="1"/>
    </xf>
    <xf numFmtId="0" fontId="26" fillId="0" borderId="18" xfId="4" applyFont="1" applyBorder="1" applyAlignment="1">
      <alignment vertical="center" wrapText="1"/>
    </xf>
    <xf numFmtId="0" fontId="26" fillId="0" borderId="29" xfId="4" applyFont="1" applyBorder="1" applyAlignment="1">
      <alignment vertical="center" wrapText="1"/>
    </xf>
    <xf numFmtId="170" fontId="26" fillId="0" borderId="16" xfId="4" applyNumberFormat="1" applyFont="1" applyBorder="1" applyAlignment="1">
      <alignment vertical="center" wrapText="1"/>
    </xf>
    <xf numFmtId="170" fontId="17" fillId="0" borderId="42" xfId="4" applyNumberFormat="1" applyFont="1" applyBorder="1" applyAlignment="1">
      <alignment vertical="center" wrapText="1"/>
    </xf>
    <xf numFmtId="44" fontId="19" fillId="0" borderId="0" xfId="1" applyFont="1" applyAlignment="1">
      <alignment vertical="center"/>
    </xf>
    <xf numFmtId="44" fontId="17" fillId="0" borderId="0" xfId="4" applyNumberFormat="1" applyFont="1" applyAlignment="1">
      <alignment vertical="center" wrapText="1"/>
    </xf>
    <xf numFmtId="49" fontId="26" fillId="0" borderId="0" xfId="4" applyNumberFormat="1" applyFont="1" applyAlignment="1">
      <alignment vertical="center" wrapText="1"/>
    </xf>
    <xf numFmtId="44" fontId="26" fillId="0" borderId="0" xfId="1" applyFont="1" applyAlignment="1">
      <alignment vertical="center" wrapText="1"/>
    </xf>
    <xf numFmtId="172" fontId="19" fillId="0" borderId="0" xfId="0" applyNumberFormat="1" applyFont="1" applyAlignment="1">
      <alignment vertical="center"/>
    </xf>
    <xf numFmtId="42" fontId="26" fillId="0" borderId="0" xfId="2" applyFont="1" applyAlignment="1">
      <alignment vertical="center" wrapText="1"/>
    </xf>
    <xf numFmtId="44" fontId="26" fillId="0" borderId="0" xfId="4" applyNumberFormat="1" applyFont="1" applyAlignment="1">
      <alignment vertical="center" wrapText="1"/>
    </xf>
    <xf numFmtId="42" fontId="26" fillId="0" borderId="49" xfId="2" applyFont="1" applyBorder="1" applyAlignment="1">
      <alignment vertical="center" wrapText="1"/>
    </xf>
    <xf numFmtId="170" fontId="4" fillId="0" borderId="0" xfId="3" applyNumberFormat="1" applyFont="1" applyAlignment="1">
      <alignment vertical="center"/>
    </xf>
    <xf numFmtId="170" fontId="26" fillId="0" borderId="0" xfId="3" applyNumberFormat="1" applyFont="1" applyFill="1" applyBorder="1" applyAlignment="1">
      <alignment vertical="center" wrapText="1"/>
    </xf>
    <xf numFmtId="170" fontId="26" fillId="0" borderId="0" xfId="4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7" fillId="0" borderId="49" xfId="4" applyFont="1" applyBorder="1" applyAlignment="1">
      <alignment vertical="center" wrapText="1"/>
    </xf>
    <xf numFmtId="42" fontId="17" fillId="0" borderId="0" xfId="2" applyFont="1" applyAlignment="1">
      <alignment vertical="center" wrapText="1"/>
    </xf>
    <xf numFmtId="1" fontId="14" fillId="0" borderId="37" xfId="0" applyNumberFormat="1" applyFont="1" applyBorder="1" applyAlignment="1">
      <alignment vertical="center"/>
    </xf>
    <xf numFmtId="171" fontId="26" fillId="0" borderId="0" xfId="4" applyNumberFormat="1" applyFont="1" applyAlignment="1">
      <alignment horizontal="right" vertical="center" wrapText="1"/>
    </xf>
    <xf numFmtId="170" fontId="26" fillId="0" borderId="49" xfId="4" applyNumberFormat="1" applyFont="1" applyBorder="1" applyAlignment="1">
      <alignment vertical="center" wrapText="1"/>
    </xf>
    <xf numFmtId="0" fontId="3" fillId="7" borderId="46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left" vertical="center" wrapText="1"/>
    </xf>
    <xf numFmtId="0" fontId="3" fillId="7" borderId="7" xfId="1" applyNumberFormat="1" applyFont="1" applyFill="1" applyBorder="1" applyAlignment="1">
      <alignment horizontal="center" vertical="center"/>
    </xf>
    <xf numFmtId="2" fontId="15" fillId="7" borderId="36" xfId="1" applyNumberFormat="1" applyFont="1" applyFill="1" applyBorder="1" applyAlignment="1">
      <alignment horizontal="center" vertical="center"/>
    </xf>
    <xf numFmtId="166" fontId="3" fillId="7" borderId="9" xfId="1" applyNumberFormat="1" applyFont="1" applyFill="1" applyBorder="1" applyAlignment="1">
      <alignment horizontal="center" vertical="center"/>
    </xf>
    <xf numFmtId="166" fontId="3" fillId="7" borderId="27" xfId="1" applyNumberFormat="1" applyFont="1" applyFill="1" applyBorder="1" applyAlignment="1">
      <alignment vertical="center"/>
    </xf>
    <xf numFmtId="2" fontId="3" fillId="7" borderId="7" xfId="3" applyNumberFormat="1" applyFont="1" applyFill="1" applyBorder="1" applyAlignment="1">
      <alignment vertical="center"/>
    </xf>
    <xf numFmtId="42" fontId="3" fillId="7" borderId="27" xfId="0" applyNumberFormat="1" applyFont="1" applyFill="1" applyBorder="1" applyAlignment="1">
      <alignment vertical="center"/>
    </xf>
    <xf numFmtId="1" fontId="3" fillId="7" borderId="7" xfId="3" applyNumberFormat="1" applyFont="1" applyFill="1" applyBorder="1" applyAlignment="1">
      <alignment vertical="center"/>
    </xf>
    <xf numFmtId="42" fontId="3" fillId="7" borderId="8" xfId="0" applyNumberFormat="1" applyFont="1" applyFill="1" applyBorder="1" applyAlignment="1">
      <alignment vertical="center"/>
    </xf>
    <xf numFmtId="1" fontId="14" fillId="7" borderId="37" xfId="0" applyNumberFormat="1" applyFont="1" applyFill="1" applyBorder="1" applyAlignment="1">
      <alignment vertical="center"/>
    </xf>
    <xf numFmtId="1" fontId="3" fillId="7" borderId="7" xfId="0" applyNumberFormat="1" applyFont="1" applyFill="1" applyBorder="1" applyAlignment="1">
      <alignment vertical="center"/>
    </xf>
    <xf numFmtId="166" fontId="3" fillId="7" borderId="8" xfId="0" applyNumberFormat="1" applyFont="1" applyFill="1" applyBorder="1" applyAlignment="1">
      <alignment vertical="center"/>
    </xf>
    <xf numFmtId="2" fontId="3" fillId="7" borderId="27" xfId="0" applyNumberFormat="1" applyFont="1" applyFill="1" applyBorder="1" applyAlignment="1">
      <alignment horizontal="center" vertical="center"/>
    </xf>
    <xf numFmtId="0" fontId="26" fillId="0" borderId="0" xfId="4" applyFont="1" applyAlignment="1">
      <alignment vertical="center"/>
    </xf>
    <xf numFmtId="171" fontId="26" fillId="0" borderId="49" xfId="2" applyNumberFormat="1" applyFont="1" applyBorder="1" applyAlignment="1">
      <alignment vertical="center" wrapText="1"/>
    </xf>
    <xf numFmtId="0" fontId="26" fillId="0" borderId="0" xfId="4" applyFont="1" applyAlignment="1">
      <alignment horizontal="left" vertical="center" wrapText="1"/>
    </xf>
    <xf numFmtId="0" fontId="26" fillId="0" borderId="29" xfId="4" applyFont="1" applyBorder="1" applyAlignment="1">
      <alignment horizontal="left" vertical="center" wrapText="1"/>
    </xf>
    <xf numFmtId="170" fontId="17" fillId="0" borderId="17" xfId="0" applyNumberFormat="1" applyFont="1" applyBorder="1" applyAlignment="1">
      <alignment horizontal="right" vertical="center"/>
    </xf>
    <xf numFmtId="170" fontId="17" fillId="5" borderId="17" xfId="4" applyNumberFormat="1" applyFont="1" applyFill="1" applyBorder="1" applyAlignment="1">
      <alignment horizontal="right" vertical="center" wrapText="1"/>
    </xf>
    <xf numFmtId="170" fontId="17" fillId="5" borderId="42" xfId="4" applyNumberFormat="1" applyFont="1" applyFill="1" applyBorder="1" applyAlignment="1">
      <alignment horizontal="right" vertical="center" wrapText="1"/>
    </xf>
    <xf numFmtId="171" fontId="26" fillId="0" borderId="29" xfId="4" applyNumberFormat="1" applyFont="1" applyBorder="1" applyAlignment="1">
      <alignment horizontal="center" vertical="center" wrapText="1"/>
    </xf>
    <xf numFmtId="171" fontId="26" fillId="0" borderId="50" xfId="4" applyNumberFormat="1" applyFont="1" applyBorder="1" applyAlignment="1">
      <alignment horizontal="center" vertical="center" wrapText="1"/>
    </xf>
    <xf numFmtId="170" fontId="26" fillId="0" borderId="0" xfId="0" applyNumberFormat="1" applyFont="1" applyAlignment="1">
      <alignment horizontal="left" vertical="center"/>
    </xf>
    <xf numFmtId="170" fontId="24" fillId="0" borderId="10" xfId="4" applyNumberFormat="1" applyFont="1" applyBorder="1" applyAlignment="1">
      <alignment horizontal="right" vertical="center" wrapText="1"/>
    </xf>
    <xf numFmtId="170" fontId="24" fillId="0" borderId="20" xfId="4" applyNumberFormat="1" applyFont="1" applyBorder="1" applyAlignment="1">
      <alignment horizontal="right" vertical="center" wrapText="1"/>
    </xf>
    <xf numFmtId="170" fontId="24" fillId="5" borderId="10" xfId="4" applyNumberFormat="1" applyFont="1" applyFill="1" applyBorder="1" applyAlignment="1">
      <alignment horizontal="right" vertical="center" wrapText="1"/>
    </xf>
    <xf numFmtId="170" fontId="24" fillId="5" borderId="20" xfId="4" applyNumberFormat="1" applyFont="1" applyFill="1" applyBorder="1" applyAlignment="1">
      <alignment horizontal="right" vertical="center" wrapText="1"/>
    </xf>
    <xf numFmtId="0" fontId="17" fillId="0" borderId="0" xfId="4" applyFont="1" applyAlignment="1">
      <alignment horizontal="left" vertical="center" wrapText="1"/>
    </xf>
    <xf numFmtId="170" fontId="17" fillId="5" borderId="10" xfId="4" applyNumberFormat="1" applyFont="1" applyFill="1" applyBorder="1" applyAlignment="1">
      <alignment horizontal="right" vertical="center" wrapText="1"/>
    </xf>
    <xf numFmtId="170" fontId="17" fillId="5" borderId="20" xfId="4" applyNumberFormat="1" applyFont="1" applyFill="1" applyBorder="1" applyAlignment="1">
      <alignment horizontal="right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right" vertical="center" wrapText="1"/>
    </xf>
    <xf numFmtId="0" fontId="25" fillId="4" borderId="0" xfId="0" applyFont="1" applyFill="1" applyAlignment="1">
      <alignment horizontal="right" vertical="center" wrapText="1"/>
    </xf>
    <xf numFmtId="0" fontId="18" fillId="4" borderId="10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horizontal="right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170" fontId="17" fillId="0" borderId="0" xfId="0" applyNumberFormat="1" applyFont="1" applyAlignment="1">
      <alignment horizontal="right" vertical="center"/>
    </xf>
    <xf numFmtId="170" fontId="17" fillId="0" borderId="4" xfId="4" applyNumberFormat="1" applyFont="1" applyBorder="1" applyAlignment="1">
      <alignment horizontal="right" vertical="center" wrapText="1"/>
    </xf>
    <xf numFmtId="170" fontId="17" fillId="0" borderId="6" xfId="4" applyNumberFormat="1" applyFont="1" applyBorder="1" applyAlignment="1">
      <alignment horizontal="right" vertical="center" wrapText="1"/>
    </xf>
    <xf numFmtId="0" fontId="22" fillId="2" borderId="21" xfId="4" applyFont="1" applyFill="1" applyBorder="1" applyAlignment="1">
      <alignment horizontal="center" vertical="center" wrapText="1"/>
    </xf>
    <xf numFmtId="0" fontId="22" fillId="2" borderId="22" xfId="4" applyFont="1" applyFill="1" applyBorder="1" applyAlignment="1">
      <alignment horizontal="center" vertical="center" wrapText="1"/>
    </xf>
    <xf numFmtId="0" fontId="22" fillId="2" borderId="23" xfId="4" applyFont="1" applyFill="1" applyBorder="1" applyAlignment="1">
      <alignment horizontal="center" vertical="center" wrapText="1"/>
    </xf>
    <xf numFmtId="0" fontId="22" fillId="2" borderId="24" xfId="4" applyFont="1" applyFill="1" applyBorder="1" applyAlignment="1">
      <alignment horizontal="center" vertical="center" wrapText="1"/>
    </xf>
    <xf numFmtId="0" fontId="22" fillId="2" borderId="25" xfId="4" applyFont="1" applyFill="1" applyBorder="1" applyAlignment="1">
      <alignment horizontal="center" vertical="center" wrapText="1"/>
    </xf>
    <xf numFmtId="0" fontId="22" fillId="2" borderId="26" xfId="4" applyFont="1" applyFill="1" applyBorder="1" applyAlignment="1">
      <alignment horizontal="center" vertical="center" wrapText="1"/>
    </xf>
    <xf numFmtId="0" fontId="22" fillId="2" borderId="7" xfId="4" applyFont="1" applyFill="1" applyBorder="1" applyAlignment="1">
      <alignment horizontal="center" vertical="center" wrapText="1"/>
    </xf>
    <xf numFmtId="0" fontId="22" fillId="2" borderId="8" xfId="4" applyFont="1" applyFill="1" applyBorder="1" applyAlignment="1">
      <alignment horizontal="center" vertical="center" wrapText="1"/>
    </xf>
    <xf numFmtId="0" fontId="22" fillId="2" borderId="1" xfId="4" applyFont="1" applyFill="1" applyBorder="1" applyAlignment="1">
      <alignment horizontal="center" vertical="center" wrapText="1"/>
    </xf>
    <xf numFmtId="0" fontId="22" fillId="2" borderId="2" xfId="4" applyFont="1" applyFill="1" applyBorder="1" applyAlignment="1">
      <alignment horizontal="center" vertical="center" wrapText="1"/>
    </xf>
    <xf numFmtId="14" fontId="22" fillId="2" borderId="7" xfId="4" applyNumberFormat="1" applyFont="1" applyFill="1" applyBorder="1" applyAlignment="1">
      <alignment horizontal="center" vertical="center" wrapText="1"/>
    </xf>
    <xf numFmtId="14" fontId="22" fillId="2" borderId="8" xfId="4" applyNumberFormat="1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 wrapText="1"/>
    </xf>
    <xf numFmtId="14" fontId="22" fillId="2" borderId="10" xfId="0" applyNumberFormat="1" applyFont="1" applyFill="1" applyBorder="1" applyAlignment="1">
      <alignment horizontal="center" vertical="center" wrapText="1"/>
    </xf>
    <xf numFmtId="14" fontId="22" fillId="2" borderId="0" xfId="0" applyNumberFormat="1" applyFont="1" applyFill="1" applyAlignment="1">
      <alignment horizontal="center" vertical="center" wrapText="1"/>
    </xf>
    <xf numFmtId="14" fontId="22" fillId="2" borderId="20" xfId="0" applyNumberFormat="1" applyFont="1" applyFill="1" applyBorder="1" applyAlignment="1">
      <alignment horizontal="center" vertical="center" wrapText="1"/>
    </xf>
    <xf numFmtId="14" fontId="22" fillId="2" borderId="28" xfId="0" applyNumberFormat="1" applyFont="1" applyFill="1" applyBorder="1" applyAlignment="1">
      <alignment horizontal="center" vertical="center" wrapText="1"/>
    </xf>
    <xf numFmtId="14" fontId="22" fillId="2" borderId="29" xfId="0" applyNumberFormat="1" applyFont="1" applyFill="1" applyBorder="1" applyAlignment="1">
      <alignment horizontal="center" vertical="center" wrapText="1"/>
    </xf>
    <xf numFmtId="14" fontId="22" fillId="2" borderId="30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2"/>
    </xf>
    <xf numFmtId="0" fontId="17" fillId="0" borderId="2" xfId="0" applyFont="1" applyBorder="1" applyAlignment="1">
      <alignment horizontal="left" vertical="center" wrapText="1" indent="2"/>
    </xf>
    <xf numFmtId="1" fontId="18" fillId="0" borderId="1" xfId="0" applyNumberFormat="1" applyFont="1" applyBorder="1" applyAlignment="1">
      <alignment horizontal="left" vertical="center" wrapText="1" indent="2"/>
    </xf>
    <xf numFmtId="1" fontId="18" fillId="0" borderId="3" xfId="0" applyNumberFormat="1" applyFont="1" applyBorder="1" applyAlignment="1">
      <alignment horizontal="left" vertical="center" wrapText="1" indent="2"/>
    </xf>
    <xf numFmtId="1" fontId="18" fillId="0" borderId="2" xfId="0" applyNumberFormat="1" applyFont="1" applyBorder="1" applyAlignment="1">
      <alignment horizontal="left" vertical="center" wrapText="1" indent="2"/>
    </xf>
    <xf numFmtId="49" fontId="17" fillId="0" borderId="7" xfId="0" applyNumberFormat="1" applyFont="1" applyBorder="1" applyAlignment="1">
      <alignment horizontal="left" vertical="center" wrapText="1" indent="2"/>
    </xf>
    <xf numFmtId="49" fontId="17" fillId="0" borderId="9" xfId="0" applyNumberFormat="1" applyFont="1" applyBorder="1" applyAlignment="1">
      <alignment horizontal="left" vertical="center" wrapText="1" indent="2"/>
    </xf>
    <xf numFmtId="49" fontId="17" fillId="0" borderId="8" xfId="0" applyNumberFormat="1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left" vertical="center" wrapText="1" indent="2"/>
    </xf>
    <xf numFmtId="0" fontId="17" fillId="0" borderId="8" xfId="0" applyFont="1" applyBorder="1" applyAlignment="1">
      <alignment horizontal="left" vertical="center" wrapText="1" indent="2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4" fontId="17" fillId="0" borderId="13" xfId="0" applyNumberFormat="1" applyFont="1" applyBorder="1" applyAlignment="1">
      <alignment horizontal="center" vertical="center" wrapText="1"/>
    </xf>
    <xf numFmtId="14" fontId="17" fillId="0" borderId="15" xfId="0" applyNumberFormat="1" applyFont="1" applyBorder="1" applyAlignment="1">
      <alignment horizontal="center" vertical="center" wrapText="1"/>
    </xf>
    <xf numFmtId="14" fontId="17" fillId="0" borderId="1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 wrapText="1" indent="2"/>
    </xf>
    <xf numFmtId="0" fontId="18" fillId="0" borderId="9" xfId="0" applyFont="1" applyBorder="1" applyAlignment="1">
      <alignment horizontal="left" vertical="center" wrapText="1" indent="2"/>
    </xf>
    <xf numFmtId="0" fontId="18" fillId="0" borderId="8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6" fillId="0" borderId="16" xfId="4" applyFont="1" applyBorder="1" applyAlignment="1">
      <alignment horizontal="center" vertical="center" wrapText="1"/>
    </xf>
    <xf numFmtId="0" fontId="16" fillId="0" borderId="17" xfId="4" applyFont="1" applyBorder="1" applyAlignment="1">
      <alignment horizontal="center" vertical="center" wrapText="1"/>
    </xf>
    <xf numFmtId="0" fontId="16" fillId="0" borderId="42" xfId="4" applyFont="1" applyBorder="1" applyAlignment="1">
      <alignment horizontal="center" vertical="center" wrapText="1"/>
    </xf>
    <xf numFmtId="170" fontId="9" fillId="0" borderId="17" xfId="0" applyNumberFormat="1" applyFont="1" applyBorder="1" applyAlignment="1">
      <alignment horizontal="right" vertical="center"/>
    </xf>
    <xf numFmtId="170" fontId="9" fillId="5" borderId="17" xfId="4" applyNumberFormat="1" applyFont="1" applyFill="1" applyBorder="1" applyAlignment="1">
      <alignment horizontal="right" vertical="center" wrapText="1"/>
    </xf>
    <xf numFmtId="170" fontId="9" fillId="5" borderId="42" xfId="4" applyNumberFormat="1" applyFont="1" applyFill="1" applyBorder="1" applyAlignment="1">
      <alignment horizontal="right" vertical="center" wrapText="1"/>
    </xf>
    <xf numFmtId="170" fontId="16" fillId="0" borderId="0" xfId="0" applyNumberFormat="1" applyFont="1" applyAlignment="1">
      <alignment horizontal="left" vertical="center"/>
    </xf>
    <xf numFmtId="170" fontId="15" fillId="0" borderId="10" xfId="4" applyNumberFormat="1" applyFont="1" applyBorder="1" applyAlignment="1">
      <alignment horizontal="right" vertical="center" wrapText="1"/>
    </xf>
    <xf numFmtId="170" fontId="15" fillId="0" borderId="20" xfId="4" applyNumberFormat="1" applyFont="1" applyBorder="1" applyAlignment="1">
      <alignment horizontal="right" vertical="center" wrapText="1"/>
    </xf>
    <xf numFmtId="170" fontId="15" fillId="5" borderId="10" xfId="4" applyNumberFormat="1" applyFont="1" applyFill="1" applyBorder="1" applyAlignment="1">
      <alignment horizontal="right" vertical="center" wrapText="1"/>
    </xf>
    <xf numFmtId="170" fontId="15" fillId="5" borderId="20" xfId="4" applyNumberFormat="1" applyFont="1" applyFill="1" applyBorder="1" applyAlignment="1">
      <alignment horizontal="right" vertical="center" wrapText="1"/>
    </xf>
    <xf numFmtId="0" fontId="9" fillId="0" borderId="43" xfId="4" applyFont="1" applyBorder="1" applyAlignment="1">
      <alignment horizontal="center" vertical="center" wrapText="1"/>
    </xf>
    <xf numFmtId="0" fontId="9" fillId="0" borderId="44" xfId="4" applyFont="1" applyBorder="1" applyAlignment="1">
      <alignment horizontal="center" vertical="center" wrapText="1"/>
    </xf>
    <xf numFmtId="0" fontId="9" fillId="0" borderId="45" xfId="4" applyFont="1" applyBorder="1" applyAlignment="1">
      <alignment horizontal="center" vertical="center" wrapText="1"/>
    </xf>
    <xf numFmtId="0" fontId="9" fillId="0" borderId="0" xfId="4" applyFont="1" applyAlignment="1">
      <alignment horizontal="left" vertical="center" wrapText="1"/>
    </xf>
    <xf numFmtId="170" fontId="15" fillId="0" borderId="10" xfId="4" applyNumberFormat="1" applyFont="1" applyBorder="1" applyAlignment="1">
      <alignment vertical="center" wrapText="1"/>
    </xf>
    <xf numFmtId="170" fontId="15" fillId="0" borderId="20" xfId="4" applyNumberFormat="1" applyFont="1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170" fontId="9" fillId="0" borderId="0" xfId="0" applyNumberFormat="1" applyFont="1" applyAlignment="1">
      <alignment horizontal="right" vertical="center"/>
    </xf>
    <xf numFmtId="0" fontId="14" fillId="4" borderId="10" xfId="0" applyFont="1" applyFill="1" applyBorder="1" applyAlignment="1">
      <alignment horizontal="right" vertical="center" wrapText="1"/>
    </xf>
    <xf numFmtId="0" fontId="14" fillId="4" borderId="0" xfId="0" applyFont="1" applyFill="1" applyAlignment="1">
      <alignment horizontal="right" vertical="center" wrapText="1"/>
    </xf>
    <xf numFmtId="170" fontId="9" fillId="5" borderId="10" xfId="4" applyNumberFormat="1" applyFont="1" applyFill="1" applyBorder="1" applyAlignment="1">
      <alignment horizontal="right" vertical="center" wrapText="1"/>
    </xf>
    <xf numFmtId="170" fontId="9" fillId="5" borderId="20" xfId="4" applyNumberFormat="1" applyFont="1" applyFill="1" applyBorder="1" applyAlignment="1">
      <alignment horizontal="right" vertical="center" wrapText="1"/>
    </xf>
    <xf numFmtId="170" fontId="9" fillId="0" borderId="4" xfId="4" applyNumberFormat="1" applyFont="1" applyBorder="1" applyAlignment="1">
      <alignment horizontal="right" vertical="center" wrapText="1"/>
    </xf>
    <xf numFmtId="170" fontId="9" fillId="0" borderId="6" xfId="4" applyNumberFormat="1" applyFont="1" applyBorder="1" applyAlignment="1">
      <alignment horizontal="right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12" fillId="2" borderId="2" xfId="4" applyFont="1" applyFill="1" applyBorder="1" applyAlignment="1">
      <alignment horizontal="center" vertical="center" wrapText="1"/>
    </xf>
    <xf numFmtId="14" fontId="12" fillId="2" borderId="7" xfId="4" applyNumberFormat="1" applyFont="1" applyFill="1" applyBorder="1" applyAlignment="1">
      <alignment horizontal="center" vertical="center" wrapText="1"/>
    </xf>
    <xf numFmtId="14" fontId="12" fillId="2" borderId="8" xfId="4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horizontal="left" vertical="center" wrapText="1" indent="2"/>
    </xf>
    <xf numFmtId="1" fontId="10" fillId="0" borderId="1" xfId="0" applyNumberFormat="1" applyFont="1" applyBorder="1" applyAlignment="1">
      <alignment horizontal="left" vertical="center" wrapText="1" indent="2"/>
    </xf>
    <xf numFmtId="1" fontId="10" fillId="0" borderId="3" xfId="0" applyNumberFormat="1" applyFont="1" applyBorder="1" applyAlignment="1">
      <alignment horizontal="left" vertical="center" wrapText="1" indent="2"/>
    </xf>
    <xf numFmtId="1" fontId="10" fillId="0" borderId="2" xfId="0" applyNumberFormat="1" applyFont="1" applyBorder="1" applyAlignment="1">
      <alignment horizontal="left" vertical="center" wrapText="1" indent="2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 wrapText="1"/>
    </xf>
    <xf numFmtId="14" fontId="12" fillId="2" borderId="10" xfId="0" applyNumberFormat="1" applyFont="1" applyFill="1" applyBorder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14" fontId="12" fillId="2" borderId="20" xfId="0" applyNumberFormat="1" applyFont="1" applyFill="1" applyBorder="1" applyAlignment="1">
      <alignment horizontal="center" vertical="center" wrapText="1"/>
    </xf>
    <xf numFmtId="14" fontId="12" fillId="2" borderId="28" xfId="0" applyNumberFormat="1" applyFont="1" applyFill="1" applyBorder="1" applyAlignment="1">
      <alignment horizontal="center" vertical="center" wrapText="1"/>
    </xf>
    <xf numFmtId="14" fontId="12" fillId="2" borderId="29" xfId="0" applyNumberFormat="1" applyFont="1" applyFill="1" applyBorder="1" applyAlignment="1">
      <alignment horizontal="center" vertical="center" wrapText="1"/>
    </xf>
    <xf numFmtId="14" fontId="12" fillId="2" borderId="30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2" borderId="21" xfId="4" applyFont="1" applyFill="1" applyBorder="1" applyAlignment="1">
      <alignment horizontal="center" vertical="center" wrapText="1"/>
    </xf>
    <xf numFmtId="0" fontId="12" fillId="2" borderId="22" xfId="4" applyFont="1" applyFill="1" applyBorder="1" applyAlignment="1">
      <alignment horizontal="center" vertical="center" wrapText="1"/>
    </xf>
    <xf numFmtId="0" fontId="12" fillId="2" borderId="23" xfId="4" applyFont="1" applyFill="1" applyBorder="1" applyAlignment="1">
      <alignment horizontal="center" vertical="center" wrapText="1"/>
    </xf>
    <xf numFmtId="0" fontId="12" fillId="2" borderId="24" xfId="4" applyFont="1" applyFill="1" applyBorder="1" applyAlignment="1">
      <alignment horizontal="center" vertical="center" wrapText="1"/>
    </xf>
    <xf numFmtId="0" fontId="12" fillId="2" borderId="25" xfId="4" applyFont="1" applyFill="1" applyBorder="1" applyAlignment="1">
      <alignment horizontal="center" vertical="center" wrapText="1"/>
    </xf>
    <xf numFmtId="0" fontId="12" fillId="2" borderId="26" xfId="4" applyFont="1" applyFill="1" applyBorder="1" applyAlignment="1">
      <alignment horizontal="center" vertical="center" wrapText="1"/>
    </xf>
    <xf numFmtId="0" fontId="12" fillId="2" borderId="7" xfId="4" applyFont="1" applyFill="1" applyBorder="1" applyAlignment="1">
      <alignment horizontal="center" vertical="center" wrapText="1"/>
    </xf>
    <xf numFmtId="0" fontId="12" fillId="2" borderId="8" xfId="4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 indent="2"/>
    </xf>
    <xf numFmtId="0" fontId="9" fillId="0" borderId="8" xfId="0" applyFont="1" applyBorder="1" applyAlignment="1">
      <alignment horizontal="left" vertical="center" wrapText="1" indent="2"/>
    </xf>
    <xf numFmtId="0" fontId="10" fillId="0" borderId="7" xfId="0" applyFont="1" applyBorder="1" applyAlignment="1">
      <alignment horizontal="left" vertical="center" wrapText="1" indent="2"/>
    </xf>
    <xf numFmtId="0" fontId="10" fillId="0" borderId="9" xfId="0" applyFont="1" applyBorder="1" applyAlignment="1">
      <alignment horizontal="left" vertical="center" wrapText="1" indent="2"/>
    </xf>
    <xf numFmtId="0" fontId="10" fillId="0" borderId="8" xfId="0" applyFont="1" applyBorder="1" applyAlignment="1">
      <alignment horizontal="left" vertical="center" wrapText="1" indent="2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 wrapText="1" indent="2"/>
    </xf>
    <xf numFmtId="49" fontId="9" fillId="0" borderId="9" xfId="0" applyNumberFormat="1" applyFont="1" applyBorder="1" applyAlignment="1">
      <alignment horizontal="left" vertical="center" wrapText="1" indent="2"/>
    </xf>
    <xf numFmtId="49" fontId="9" fillId="0" borderId="8" xfId="0" applyNumberFormat="1" applyFont="1" applyBorder="1" applyAlignment="1">
      <alignment horizontal="left" vertical="center" wrapText="1" indent="2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14" fontId="9" fillId="0" borderId="15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</cellXfs>
  <cellStyles count="5">
    <cellStyle name="Moneda" xfId="1" builtinId="4"/>
    <cellStyle name="Moneda [0]" xfId="2" builtinId="7"/>
    <cellStyle name="Normal" xfId="0" builtinId="0"/>
    <cellStyle name="Normal 2 2 2" xfId="4" xr:uid="{2433FFF2-CFC3-4518-AABE-20A37D1C1748}"/>
    <cellStyle name="Porcentaje" xfId="3" builtinId="5"/>
  </cellStyles>
  <dxfs count="0"/>
  <tableStyles count="0" defaultTableStyle="TableStyleMedium2" defaultPivotStyle="PivotStyleLight16"/>
  <colors>
    <mruColors>
      <color rgb="FF5C9B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2435679</xdr:colOff>
      <xdr:row>34</xdr:row>
      <xdr:rowOff>217932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F54DB0-1F8D-6A4D-9CE6-3D7C93166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12890500"/>
          <a:ext cx="2435679" cy="675132"/>
        </a:xfrm>
        <a:prstGeom prst="rect">
          <a:avLst/>
        </a:prstGeom>
        <a:noFill/>
        <a:ln>
          <a:noFill/>
        </a:ln>
        <a:effectLst>
          <a:glow rad="127000">
            <a:schemeClr val="bg1"/>
          </a:glo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44f0c26363ddbd6/ARCHIVOS%20PC%20OFICINA/FH/CLIENTES%20FRESH-HOUSE/7-RESERVA%20DE%20LA%20COLINA/ACTA%20DE%20AVANCE%20DE%20OBRA%2001%20-%20RESERVA%20DE%20LA%20COLINA.xlsx" TargetMode="External"/><Relationship Id="rId1" Type="http://schemas.openxmlformats.org/officeDocument/2006/relationships/externalLinkPath" Target="https://d.docs.live.net/e44f0c26363ddbd6/ARCHIVOS%20PC%20OFICINA/FH/CLIENTES%20FRESH-HOUSE/7-RESERVA%20DE%20LA%20COLINA/ACTA%20DE%20AVANCE%20DE%20OBRA%2001%20-%20RESERVA%20DE%20LA%20COL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A BLOQUE A"/>
      <sheetName val="ACTA BLOQUE B"/>
    </sheetNames>
    <sheetDataSet>
      <sheetData sheetId="0">
        <row r="13">
          <cell r="D13">
            <v>422</v>
          </cell>
        </row>
        <row r="14">
          <cell r="D14">
            <v>422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056A-5B53-2C40-BCE6-2EA3AB805912}">
  <sheetPr codeName="Hoja1"/>
  <dimension ref="A1:S43"/>
  <sheetViews>
    <sheetView view="pageBreakPreview" topLeftCell="A13" zoomScale="113" zoomScaleNormal="70" zoomScaleSheetLayoutView="70" workbookViewId="0">
      <selection activeCell="G41" sqref="G41"/>
    </sheetView>
  </sheetViews>
  <sheetFormatPr baseColWidth="10" defaultColWidth="11.5" defaultRowHeight="18" x14ac:dyDescent="0.2"/>
  <cols>
    <col min="1" max="1" width="10.33203125" style="102" customWidth="1"/>
    <col min="2" max="2" width="66.6640625" style="102" customWidth="1"/>
    <col min="3" max="3" width="13" style="102" customWidth="1"/>
    <col min="4" max="4" width="17.1640625" style="102" bestFit="1" customWidth="1"/>
    <col min="5" max="5" width="15.1640625" style="102" bestFit="1" customWidth="1"/>
    <col min="6" max="6" width="22.6640625" style="102" customWidth="1"/>
    <col min="7" max="7" width="22" style="102" bestFit="1" customWidth="1"/>
    <col min="8" max="8" width="22.6640625" style="102" customWidth="1"/>
    <col min="9" max="9" width="12" style="102" bestFit="1" customWidth="1"/>
    <col min="10" max="10" width="22.6640625" style="102" customWidth="1"/>
    <col min="11" max="11" width="12" style="102" bestFit="1" customWidth="1"/>
    <col min="12" max="12" width="22.6640625" style="102" customWidth="1"/>
    <col min="13" max="13" width="14.83203125" style="102" bestFit="1" customWidth="1"/>
    <col min="14" max="14" width="22.6640625" style="102" customWidth="1"/>
    <col min="15" max="15" width="12" style="102" bestFit="1" customWidth="1"/>
    <col min="16" max="16" width="22.6640625" style="102" customWidth="1"/>
    <col min="17" max="17" width="11.5" style="102"/>
    <col min="18" max="18" width="12" style="102" bestFit="1" customWidth="1"/>
    <col min="19" max="19" width="16.6640625" style="102" bestFit="1" customWidth="1"/>
    <col min="20" max="16384" width="11.5" style="102"/>
  </cols>
  <sheetData>
    <row r="1" spans="1:19" ht="40.25" customHeight="1" x14ac:dyDescent="0.2">
      <c r="A1" s="276" t="s">
        <v>0</v>
      </c>
      <c r="B1" s="277"/>
      <c r="C1" s="278" t="s">
        <v>1</v>
      </c>
      <c r="D1" s="279"/>
      <c r="E1" s="279"/>
      <c r="F1" s="280"/>
      <c r="G1" s="291" t="s">
        <v>69</v>
      </c>
      <c r="H1" s="292"/>
      <c r="I1" s="292"/>
      <c r="J1" s="292"/>
      <c r="K1" s="292"/>
      <c r="L1" s="292"/>
      <c r="M1" s="292"/>
      <c r="N1" s="292"/>
      <c r="O1" s="291" t="s">
        <v>3</v>
      </c>
      <c r="P1" s="297"/>
    </row>
    <row r="2" spans="1:19" ht="18" customHeight="1" x14ac:dyDescent="0.2">
      <c r="A2" s="284" t="s">
        <v>4</v>
      </c>
      <c r="B2" s="285"/>
      <c r="C2" s="298" t="s">
        <v>5</v>
      </c>
      <c r="D2" s="299"/>
      <c r="E2" s="299"/>
      <c r="F2" s="300"/>
      <c r="G2" s="293"/>
      <c r="H2" s="294"/>
      <c r="I2" s="294"/>
      <c r="J2" s="294"/>
      <c r="K2" s="294"/>
      <c r="L2" s="294"/>
      <c r="M2" s="294"/>
      <c r="N2" s="294"/>
      <c r="O2" s="301">
        <v>1</v>
      </c>
      <c r="P2" s="302"/>
    </row>
    <row r="3" spans="1:19" ht="18" customHeight="1" x14ac:dyDescent="0.2">
      <c r="A3" s="284" t="s">
        <v>6</v>
      </c>
      <c r="B3" s="285"/>
      <c r="C3" s="281" t="s">
        <v>7</v>
      </c>
      <c r="D3" s="282"/>
      <c r="E3" s="282"/>
      <c r="F3" s="283"/>
      <c r="G3" s="293"/>
      <c r="H3" s="294"/>
      <c r="I3" s="294"/>
      <c r="J3" s="294"/>
      <c r="K3" s="294"/>
      <c r="L3" s="294"/>
      <c r="M3" s="294"/>
      <c r="N3" s="294"/>
      <c r="O3" s="301"/>
      <c r="P3" s="302"/>
    </row>
    <row r="4" spans="1:19" ht="18" customHeight="1" x14ac:dyDescent="0.2">
      <c r="A4" s="284" t="s">
        <v>8</v>
      </c>
      <c r="B4" s="285"/>
      <c r="C4" s="281" t="s">
        <v>9</v>
      </c>
      <c r="D4" s="282"/>
      <c r="E4" s="282"/>
      <c r="F4" s="283"/>
      <c r="G4" s="293"/>
      <c r="H4" s="294"/>
      <c r="I4" s="294"/>
      <c r="J4" s="294"/>
      <c r="K4" s="294"/>
      <c r="L4" s="294"/>
      <c r="M4" s="294"/>
      <c r="N4" s="294"/>
      <c r="O4" s="301"/>
      <c r="P4" s="302"/>
    </row>
    <row r="5" spans="1:19" ht="18" customHeight="1" x14ac:dyDescent="0.2">
      <c r="A5" s="284" t="s">
        <v>10</v>
      </c>
      <c r="B5" s="285"/>
      <c r="C5" s="281" t="s">
        <v>11</v>
      </c>
      <c r="D5" s="282"/>
      <c r="E5" s="282"/>
      <c r="F5" s="283"/>
      <c r="G5" s="293"/>
      <c r="H5" s="294"/>
      <c r="I5" s="294"/>
      <c r="J5" s="294"/>
      <c r="K5" s="294"/>
      <c r="L5" s="294"/>
      <c r="M5" s="294"/>
      <c r="N5" s="294"/>
      <c r="O5" s="303"/>
      <c r="P5" s="304"/>
    </row>
    <row r="6" spans="1:19" ht="18" customHeight="1" thickBot="1" x14ac:dyDescent="0.25">
      <c r="A6" s="286"/>
      <c r="B6" s="287"/>
      <c r="C6" s="288"/>
      <c r="D6" s="289"/>
      <c r="E6" s="289"/>
      <c r="F6" s="290"/>
      <c r="G6" s="295"/>
      <c r="H6" s="296"/>
      <c r="I6" s="296"/>
      <c r="J6" s="296"/>
      <c r="K6" s="296"/>
      <c r="L6" s="296"/>
      <c r="M6" s="296"/>
      <c r="N6" s="296"/>
      <c r="O6" s="305"/>
      <c r="P6" s="306"/>
    </row>
    <row r="7" spans="1:19" ht="19" thickBot="1" x14ac:dyDescent="0.25">
      <c r="A7" s="266" t="s">
        <v>12</v>
      </c>
      <c r="B7" s="269" t="s">
        <v>13</v>
      </c>
      <c r="C7" s="270" t="s">
        <v>14</v>
      </c>
      <c r="D7" s="271"/>
      <c r="E7" s="271"/>
      <c r="F7" s="272"/>
      <c r="G7" s="254" t="s">
        <v>15</v>
      </c>
      <c r="H7" s="255"/>
      <c r="I7" s="255"/>
      <c r="J7" s="255"/>
      <c r="K7" s="255"/>
      <c r="L7" s="256"/>
      <c r="M7" s="257" t="s">
        <v>16</v>
      </c>
      <c r="N7" s="256"/>
      <c r="O7" s="258" t="s">
        <v>17</v>
      </c>
      <c r="P7" s="259"/>
    </row>
    <row r="8" spans="1:19" x14ac:dyDescent="0.2">
      <c r="A8" s="267"/>
      <c r="B8" s="269"/>
      <c r="C8" s="270"/>
      <c r="D8" s="271"/>
      <c r="E8" s="271"/>
      <c r="F8" s="272"/>
      <c r="G8" s="262" t="s">
        <v>18</v>
      </c>
      <c r="H8" s="263"/>
      <c r="I8" s="262" t="s">
        <v>19</v>
      </c>
      <c r="J8" s="263"/>
      <c r="K8" s="262" t="s">
        <v>20</v>
      </c>
      <c r="L8" s="263"/>
      <c r="M8" s="262" t="s">
        <v>70</v>
      </c>
      <c r="N8" s="263"/>
      <c r="O8" s="260"/>
      <c r="P8" s="261"/>
    </row>
    <row r="9" spans="1:19" x14ac:dyDescent="0.2">
      <c r="A9" s="267"/>
      <c r="B9" s="269"/>
      <c r="C9" s="273"/>
      <c r="D9" s="274"/>
      <c r="E9" s="274"/>
      <c r="F9" s="275"/>
      <c r="G9" s="260"/>
      <c r="H9" s="261"/>
      <c r="I9" s="260"/>
      <c r="J9" s="261"/>
      <c r="K9" s="260"/>
      <c r="L9" s="261"/>
      <c r="M9" s="264">
        <v>45925</v>
      </c>
      <c r="N9" s="265"/>
      <c r="O9" s="260"/>
      <c r="P9" s="261"/>
    </row>
    <row r="10" spans="1:19" ht="20" thickBot="1" x14ac:dyDescent="0.25">
      <c r="A10" s="268"/>
      <c r="B10" s="269"/>
      <c r="C10" s="103" t="s">
        <v>22</v>
      </c>
      <c r="D10" s="104" t="s">
        <v>23</v>
      </c>
      <c r="E10" s="104" t="s">
        <v>24</v>
      </c>
      <c r="F10" s="105" t="s">
        <v>25</v>
      </c>
      <c r="G10" s="106" t="s">
        <v>23</v>
      </c>
      <c r="H10" s="107" t="s">
        <v>25</v>
      </c>
      <c r="I10" s="106" t="s">
        <v>23</v>
      </c>
      <c r="J10" s="108" t="s">
        <v>25</v>
      </c>
      <c r="K10" s="106" t="s">
        <v>23</v>
      </c>
      <c r="L10" s="107" t="s">
        <v>25</v>
      </c>
      <c r="M10" s="109" t="s">
        <v>23</v>
      </c>
      <c r="N10" s="110" t="s">
        <v>26</v>
      </c>
      <c r="O10" s="111" t="s">
        <v>23</v>
      </c>
      <c r="P10" s="107" t="s">
        <v>25</v>
      </c>
    </row>
    <row r="11" spans="1:19" ht="32" customHeight="1" thickBot="1" x14ac:dyDescent="0.25">
      <c r="A11" s="112" t="s">
        <v>71</v>
      </c>
      <c r="B11" s="113"/>
      <c r="C11" s="113"/>
      <c r="D11" s="113"/>
      <c r="E11" s="113"/>
      <c r="F11" s="113"/>
      <c r="G11" s="114"/>
      <c r="H11" s="114"/>
      <c r="I11" s="114"/>
      <c r="J11" s="114"/>
      <c r="K11" s="114"/>
      <c r="L11" s="114"/>
      <c r="M11" s="114"/>
      <c r="N11" s="114"/>
      <c r="O11" s="114"/>
      <c r="P11" s="115"/>
    </row>
    <row r="12" spans="1:19" ht="43.25" customHeight="1" x14ac:dyDescent="0.2">
      <c r="A12" s="116" t="s">
        <v>28</v>
      </c>
      <c r="B12" s="117" t="s">
        <v>29</v>
      </c>
      <c r="C12" s="118" t="s">
        <v>30</v>
      </c>
      <c r="D12" s="119">
        <v>1</v>
      </c>
      <c r="E12" s="120">
        <v>80000</v>
      </c>
      <c r="F12" s="121">
        <f>D12*E12</f>
        <v>80000</v>
      </c>
      <c r="G12" s="122">
        <v>1</v>
      </c>
      <c r="H12" s="123">
        <f>G12*E12</f>
        <v>80000</v>
      </c>
      <c r="I12" s="124">
        <f>D12-G12</f>
        <v>0</v>
      </c>
      <c r="J12" s="125">
        <f>I12*E12</f>
        <v>0</v>
      </c>
      <c r="K12" s="126">
        <v>0</v>
      </c>
      <c r="L12" s="125">
        <f>K12*E12</f>
        <v>0</v>
      </c>
      <c r="M12" s="126">
        <v>1</v>
      </c>
      <c r="N12" s="125">
        <f>M12*E12</f>
        <v>80000</v>
      </c>
      <c r="O12" s="127">
        <f>M12</f>
        <v>1</v>
      </c>
      <c r="P12" s="128">
        <f t="shared" ref="P12:P20" si="0">O12*E12</f>
        <v>80000</v>
      </c>
      <c r="R12" s="129">
        <f>O12*100/D12</f>
        <v>100</v>
      </c>
      <c r="S12" s="102" t="s">
        <v>31</v>
      </c>
    </row>
    <row r="13" spans="1:19" ht="95" x14ac:dyDescent="0.2">
      <c r="A13" s="1" t="s">
        <v>32</v>
      </c>
      <c r="B13" s="130" t="s">
        <v>33</v>
      </c>
      <c r="C13" s="131" t="s">
        <v>34</v>
      </c>
      <c r="D13" s="132">
        <v>1122.4000000000001</v>
      </c>
      <c r="E13" s="133">
        <v>3300</v>
      </c>
      <c r="F13" s="134">
        <f>D13*E13</f>
        <v>3703920.0000000005</v>
      </c>
      <c r="G13" s="122">
        <v>1122.4000000000001</v>
      </c>
      <c r="H13" s="123">
        <f>G13*E13</f>
        <v>3703920.0000000005</v>
      </c>
      <c r="I13" s="124">
        <f>D13-G13</f>
        <v>0</v>
      </c>
      <c r="J13" s="125">
        <f>I13*E13</f>
        <v>0</v>
      </c>
      <c r="K13" s="126">
        <v>0</v>
      </c>
      <c r="L13" s="125">
        <f>K13*E13</f>
        <v>0</v>
      </c>
      <c r="M13" s="126">
        <v>1122.4000000000001</v>
      </c>
      <c r="N13" s="125">
        <f t="shared" ref="N13:N20" si="1">M13*E13</f>
        <v>3703920.0000000005</v>
      </c>
      <c r="O13" s="135">
        <f>M13</f>
        <v>1122.4000000000001</v>
      </c>
      <c r="P13" s="136">
        <f t="shared" si="0"/>
        <v>3703920.0000000005</v>
      </c>
      <c r="R13" s="129">
        <f>O13*100/D13</f>
        <v>100</v>
      </c>
      <c r="S13" s="102" t="s">
        <v>31</v>
      </c>
    </row>
    <row r="14" spans="1:19" ht="95" x14ac:dyDescent="0.2">
      <c r="A14" s="1" t="s">
        <v>35</v>
      </c>
      <c r="B14" s="130" t="s">
        <v>36</v>
      </c>
      <c r="C14" s="131" t="s">
        <v>34</v>
      </c>
      <c r="D14" s="119">
        <v>80</v>
      </c>
      <c r="E14" s="137">
        <v>3000</v>
      </c>
      <c r="F14" s="134">
        <f t="shared" ref="F14:F20" si="2">D14*E14</f>
        <v>240000</v>
      </c>
      <c r="G14" s="122">
        <v>80</v>
      </c>
      <c r="H14" s="123">
        <f t="shared" ref="H14:H20" si="3">G14*E14</f>
        <v>240000</v>
      </c>
      <c r="I14" s="124">
        <f t="shared" ref="I14:I20" si="4">D14-G14</f>
        <v>0</v>
      </c>
      <c r="J14" s="125">
        <f t="shared" ref="J14:J20" si="5">I14*E14</f>
        <v>0</v>
      </c>
      <c r="K14" s="126">
        <v>0</v>
      </c>
      <c r="L14" s="125">
        <f t="shared" ref="L14:L20" si="6">K14*E14</f>
        <v>0</v>
      </c>
      <c r="M14" s="126">
        <v>80</v>
      </c>
      <c r="N14" s="125">
        <f t="shared" si="1"/>
        <v>240000</v>
      </c>
      <c r="O14" s="135">
        <f t="shared" ref="O14:O20" si="7">M14</f>
        <v>80</v>
      </c>
      <c r="P14" s="136">
        <f t="shared" si="0"/>
        <v>240000</v>
      </c>
      <c r="R14" s="129">
        <f t="shared" ref="R14:R20" si="8">O14*100/D14</f>
        <v>100</v>
      </c>
      <c r="S14" s="102" t="s">
        <v>31</v>
      </c>
    </row>
    <row r="15" spans="1:19" ht="76" x14ac:dyDescent="0.2">
      <c r="A15" s="1" t="s">
        <v>37</v>
      </c>
      <c r="B15" s="130" t="s">
        <v>38</v>
      </c>
      <c r="C15" s="131" t="s">
        <v>39</v>
      </c>
      <c r="D15" s="119">
        <v>80</v>
      </c>
      <c r="E15" s="133">
        <v>37000</v>
      </c>
      <c r="F15" s="134">
        <f t="shared" si="2"/>
        <v>2960000</v>
      </c>
      <c r="G15" s="122">
        <v>80</v>
      </c>
      <c r="H15" s="123">
        <f t="shared" si="3"/>
        <v>2960000</v>
      </c>
      <c r="I15" s="124">
        <f t="shared" si="4"/>
        <v>0</v>
      </c>
      <c r="J15" s="125">
        <f>I15*E15</f>
        <v>0</v>
      </c>
      <c r="K15" s="126">
        <v>0</v>
      </c>
      <c r="L15" s="125">
        <f t="shared" si="6"/>
        <v>0</v>
      </c>
      <c r="M15" s="126">
        <v>80</v>
      </c>
      <c r="N15" s="125">
        <f t="shared" si="1"/>
        <v>2960000</v>
      </c>
      <c r="O15" s="135">
        <f t="shared" si="7"/>
        <v>80</v>
      </c>
      <c r="P15" s="136">
        <f t="shared" si="0"/>
        <v>2960000</v>
      </c>
      <c r="R15" s="129">
        <f t="shared" si="8"/>
        <v>100</v>
      </c>
      <c r="S15" s="102" t="s">
        <v>31</v>
      </c>
    </row>
    <row r="16" spans="1:19" ht="46.25" customHeight="1" x14ac:dyDescent="0.2">
      <c r="A16" s="1" t="s">
        <v>40</v>
      </c>
      <c r="B16" s="130" t="s">
        <v>41</v>
      </c>
      <c r="C16" s="131" t="s">
        <v>39</v>
      </c>
      <c r="D16" s="138">
        <v>122</v>
      </c>
      <c r="E16" s="133">
        <v>7000</v>
      </c>
      <c r="F16" s="134">
        <f t="shared" si="2"/>
        <v>854000</v>
      </c>
      <c r="G16" s="122">
        <v>15</v>
      </c>
      <c r="H16" s="123">
        <f t="shared" si="3"/>
        <v>105000</v>
      </c>
      <c r="I16" s="124">
        <f t="shared" si="4"/>
        <v>107</v>
      </c>
      <c r="J16" s="125">
        <f t="shared" si="5"/>
        <v>749000</v>
      </c>
      <c r="K16" s="126">
        <v>0</v>
      </c>
      <c r="L16" s="125">
        <f t="shared" si="6"/>
        <v>0</v>
      </c>
      <c r="M16" s="126">
        <v>15</v>
      </c>
      <c r="N16" s="125">
        <f t="shared" si="1"/>
        <v>105000</v>
      </c>
      <c r="O16" s="135">
        <f t="shared" si="7"/>
        <v>15</v>
      </c>
      <c r="P16" s="136">
        <f t="shared" si="0"/>
        <v>105000</v>
      </c>
      <c r="R16" s="129">
        <f t="shared" si="8"/>
        <v>12.295081967213115</v>
      </c>
      <c r="S16" s="102" t="s">
        <v>31</v>
      </c>
    </row>
    <row r="17" spans="1:19" ht="43.25" customHeight="1" x14ac:dyDescent="0.2">
      <c r="A17" s="1" t="s">
        <v>42</v>
      </c>
      <c r="B17" s="130" t="s">
        <v>43</v>
      </c>
      <c r="C17" s="131" t="s">
        <v>34</v>
      </c>
      <c r="D17" s="119">
        <f>384+'[1]ACTA BLOQUE A'!D13</f>
        <v>806</v>
      </c>
      <c r="E17" s="137">
        <v>26000</v>
      </c>
      <c r="F17" s="134">
        <f t="shared" si="2"/>
        <v>20956000</v>
      </c>
      <c r="G17" s="122">
        <v>806</v>
      </c>
      <c r="H17" s="123">
        <f t="shared" si="3"/>
        <v>20956000</v>
      </c>
      <c r="I17" s="124">
        <f t="shared" si="4"/>
        <v>0</v>
      </c>
      <c r="J17" s="125">
        <f t="shared" si="5"/>
        <v>0</v>
      </c>
      <c r="K17" s="126">
        <v>0</v>
      </c>
      <c r="L17" s="125">
        <f t="shared" si="6"/>
        <v>0</v>
      </c>
      <c r="M17" s="126">
        <f>D17</f>
        <v>806</v>
      </c>
      <c r="N17" s="125">
        <f t="shared" si="1"/>
        <v>20956000</v>
      </c>
      <c r="O17" s="135">
        <f t="shared" si="7"/>
        <v>806</v>
      </c>
      <c r="P17" s="136">
        <f t="shared" si="0"/>
        <v>20956000</v>
      </c>
      <c r="R17" s="129">
        <f t="shared" si="8"/>
        <v>100</v>
      </c>
      <c r="S17" s="102" t="s">
        <v>31</v>
      </c>
    </row>
    <row r="18" spans="1:19" ht="57" x14ac:dyDescent="0.2">
      <c r="A18" s="139" t="s">
        <v>44</v>
      </c>
      <c r="B18" s="130" t="s">
        <v>45</v>
      </c>
      <c r="C18" s="131" t="s">
        <v>34</v>
      </c>
      <c r="D18" s="119">
        <v>1122.4000000000001</v>
      </c>
      <c r="E18" s="133">
        <v>17500</v>
      </c>
      <c r="F18" s="134">
        <f t="shared" si="2"/>
        <v>19642000</v>
      </c>
      <c r="G18" s="122">
        <v>1122.4000000000001</v>
      </c>
      <c r="H18" s="123">
        <f>G18*E18</f>
        <v>19642000</v>
      </c>
      <c r="I18" s="124">
        <f t="shared" si="4"/>
        <v>0</v>
      </c>
      <c r="J18" s="125">
        <f t="shared" si="5"/>
        <v>0</v>
      </c>
      <c r="K18" s="126">
        <v>0</v>
      </c>
      <c r="L18" s="125">
        <f t="shared" si="6"/>
        <v>0</v>
      </c>
      <c r="M18" s="126">
        <f>D18</f>
        <v>1122.4000000000001</v>
      </c>
      <c r="N18" s="125">
        <f t="shared" si="1"/>
        <v>19642000</v>
      </c>
      <c r="O18" s="135">
        <f t="shared" si="7"/>
        <v>1122.4000000000001</v>
      </c>
      <c r="P18" s="136">
        <f t="shared" si="0"/>
        <v>19642000</v>
      </c>
      <c r="R18" s="129">
        <f t="shared" si="8"/>
        <v>100</v>
      </c>
      <c r="S18" s="102" t="s">
        <v>31</v>
      </c>
    </row>
    <row r="19" spans="1:19" ht="76" x14ac:dyDescent="0.2">
      <c r="A19" s="139" t="s">
        <v>46</v>
      </c>
      <c r="B19" s="130" t="s">
        <v>47</v>
      </c>
      <c r="C19" s="131" t="s">
        <v>34</v>
      </c>
      <c r="D19" s="119">
        <f>384+'[1]ACTA BLOQUE A'!D14</f>
        <v>806</v>
      </c>
      <c r="E19" s="133">
        <v>12000</v>
      </c>
      <c r="F19" s="134">
        <f t="shared" si="2"/>
        <v>9672000</v>
      </c>
      <c r="G19" s="122">
        <v>806</v>
      </c>
      <c r="H19" s="123">
        <f t="shared" si="3"/>
        <v>9672000</v>
      </c>
      <c r="I19" s="124">
        <f t="shared" si="4"/>
        <v>0</v>
      </c>
      <c r="J19" s="125">
        <f t="shared" si="5"/>
        <v>0</v>
      </c>
      <c r="K19" s="126">
        <v>0</v>
      </c>
      <c r="L19" s="125">
        <f t="shared" si="6"/>
        <v>0</v>
      </c>
      <c r="M19" s="126">
        <f>D19</f>
        <v>806</v>
      </c>
      <c r="N19" s="125">
        <f t="shared" si="1"/>
        <v>9672000</v>
      </c>
      <c r="O19" s="135">
        <f t="shared" si="7"/>
        <v>806</v>
      </c>
      <c r="P19" s="136">
        <f t="shared" si="0"/>
        <v>9672000</v>
      </c>
      <c r="R19" s="129">
        <f t="shared" si="8"/>
        <v>100</v>
      </c>
      <c r="S19" s="102" t="s">
        <v>31</v>
      </c>
    </row>
    <row r="20" spans="1:19" ht="31.25" customHeight="1" thickBot="1" x14ac:dyDescent="0.25">
      <c r="A20" s="139" t="s">
        <v>48</v>
      </c>
      <c r="B20" s="140" t="s">
        <v>52</v>
      </c>
      <c r="C20" s="131" t="s">
        <v>30</v>
      </c>
      <c r="D20" s="119">
        <v>1</v>
      </c>
      <c r="E20" s="137">
        <v>200000</v>
      </c>
      <c r="F20" s="134">
        <f t="shared" si="2"/>
        <v>200000</v>
      </c>
      <c r="G20" s="122">
        <v>1</v>
      </c>
      <c r="H20" s="123">
        <f t="shared" si="3"/>
        <v>200000</v>
      </c>
      <c r="I20" s="124">
        <f t="shared" si="4"/>
        <v>0</v>
      </c>
      <c r="J20" s="125">
        <f t="shared" si="5"/>
        <v>0</v>
      </c>
      <c r="K20" s="126">
        <v>0</v>
      </c>
      <c r="L20" s="125">
        <f t="shared" si="6"/>
        <v>0</v>
      </c>
      <c r="M20" s="126">
        <v>1</v>
      </c>
      <c r="N20" s="125">
        <f t="shared" si="1"/>
        <v>200000</v>
      </c>
      <c r="O20" s="135">
        <f t="shared" si="7"/>
        <v>1</v>
      </c>
      <c r="P20" s="136">
        <f t="shared" si="0"/>
        <v>200000</v>
      </c>
      <c r="R20" s="129">
        <f t="shared" si="8"/>
        <v>100</v>
      </c>
      <c r="S20" s="102" t="s">
        <v>31</v>
      </c>
    </row>
    <row r="21" spans="1:19" s="149" customFormat="1" ht="18" customHeight="1" thickBot="1" x14ac:dyDescent="0.25">
      <c r="A21" s="141" t="s">
        <v>53</v>
      </c>
      <c r="B21" s="142"/>
      <c r="C21" s="143"/>
      <c r="D21" s="144"/>
      <c r="E21" s="144"/>
      <c r="F21" s="145">
        <f>SUM(F12:F20)</f>
        <v>58307920</v>
      </c>
      <c r="G21" s="146"/>
      <c r="H21" s="147">
        <f>SUM(H12:H20)</f>
        <v>57558920</v>
      </c>
      <c r="I21" s="146"/>
      <c r="J21" s="147">
        <f>SUM(J12:J20)</f>
        <v>749000</v>
      </c>
      <c r="K21" s="146"/>
      <c r="L21" s="147">
        <f>SUM(L12:L20)</f>
        <v>0</v>
      </c>
      <c r="M21" s="146"/>
      <c r="N21" s="147">
        <f>SUM(N12:N20)</f>
        <v>57558920</v>
      </c>
      <c r="O21" s="148"/>
      <c r="P21" s="147">
        <f>SUM(P12:P20)</f>
        <v>57558920</v>
      </c>
      <c r="R21" s="129"/>
      <c r="S21" s="102"/>
    </row>
    <row r="22" spans="1:19" s="149" customFormat="1" ht="18" customHeight="1" thickBot="1" x14ac:dyDescent="0.25">
      <c r="A22" s="239"/>
      <c r="B22" s="240"/>
      <c r="C22" s="240"/>
      <c r="D22" s="240"/>
      <c r="E22" s="240"/>
      <c r="F22" s="240"/>
      <c r="G22" s="241"/>
      <c r="H22" s="241"/>
      <c r="I22" s="240"/>
      <c r="J22" s="240"/>
      <c r="K22" s="240"/>
      <c r="L22" s="240"/>
      <c r="M22" s="240"/>
      <c r="N22" s="240"/>
      <c r="O22" s="240"/>
      <c r="P22" s="242"/>
    </row>
    <row r="23" spans="1:19" s="154" customFormat="1" ht="18" customHeight="1" x14ac:dyDescent="0.2">
      <c r="A23" s="243" t="s">
        <v>54</v>
      </c>
      <c r="B23" s="244"/>
      <c r="C23" s="244"/>
      <c r="D23" s="244"/>
      <c r="E23" s="244"/>
      <c r="F23" s="150">
        <f>F21</f>
        <v>58307920</v>
      </c>
      <c r="G23" s="151"/>
      <c r="H23" s="152">
        <f>H21</f>
        <v>57558920</v>
      </c>
      <c r="I23" s="151"/>
      <c r="J23" s="152">
        <f>J21</f>
        <v>749000</v>
      </c>
      <c r="K23" s="151"/>
      <c r="L23" s="152">
        <f>L21</f>
        <v>0</v>
      </c>
      <c r="M23" s="153"/>
      <c r="N23" s="152">
        <f>N21</f>
        <v>57558920</v>
      </c>
      <c r="O23" s="153"/>
      <c r="P23" s="152">
        <f>P21</f>
        <v>57558920</v>
      </c>
    </row>
    <row r="24" spans="1:19" s="149" customFormat="1" ht="18" customHeight="1" x14ac:dyDescent="0.2">
      <c r="A24" s="245" t="s">
        <v>55</v>
      </c>
      <c r="B24" s="246"/>
      <c r="C24" s="246"/>
      <c r="D24" s="246"/>
      <c r="E24" s="155">
        <v>0.08</v>
      </c>
      <c r="F24" s="156">
        <f>$F$23*E24</f>
        <v>4664633.6000000006</v>
      </c>
      <c r="G24" s="157"/>
      <c r="H24" s="158">
        <f>$H$23*E24</f>
        <v>4604713.6000000006</v>
      </c>
      <c r="I24" s="157"/>
      <c r="J24" s="158">
        <f>$J$23*E24</f>
        <v>59920</v>
      </c>
      <c r="K24" s="157"/>
      <c r="L24" s="158">
        <f t="shared" ref="L24:L29" si="9">$L$23*E24</f>
        <v>0</v>
      </c>
      <c r="M24" s="159"/>
      <c r="N24" s="158">
        <f>$N$23*E24</f>
        <v>4604713.6000000006</v>
      </c>
      <c r="O24" s="159"/>
      <c r="P24" s="158">
        <f>$P$23*E24</f>
        <v>4604713.6000000006</v>
      </c>
    </row>
    <row r="25" spans="1:19" s="149" customFormat="1" ht="18" customHeight="1" x14ac:dyDescent="0.2">
      <c r="A25" s="245" t="s">
        <v>56</v>
      </c>
      <c r="B25" s="246"/>
      <c r="C25" s="246"/>
      <c r="D25" s="246"/>
      <c r="E25" s="160">
        <v>0</v>
      </c>
      <c r="F25" s="156">
        <f>$F$23*E25</f>
        <v>0</v>
      </c>
      <c r="G25" s="157"/>
      <c r="H25" s="158">
        <f>$H$23*E25</f>
        <v>0</v>
      </c>
      <c r="I25" s="157"/>
      <c r="J25" s="158">
        <f>$J$23*E25</f>
        <v>0</v>
      </c>
      <c r="K25" s="157"/>
      <c r="L25" s="158">
        <f t="shared" si="9"/>
        <v>0</v>
      </c>
      <c r="M25" s="159"/>
      <c r="N25" s="158">
        <f>$N$23*E25</f>
        <v>0</v>
      </c>
      <c r="O25" s="159"/>
      <c r="P25" s="158">
        <f>$P$23*E25</f>
        <v>0</v>
      </c>
    </row>
    <row r="26" spans="1:19" s="149" customFormat="1" ht="18" customHeight="1" x14ac:dyDescent="0.2">
      <c r="A26" s="245" t="s">
        <v>57</v>
      </c>
      <c r="B26" s="246"/>
      <c r="C26" s="246"/>
      <c r="D26" s="246"/>
      <c r="E26" s="155">
        <v>0.05</v>
      </c>
      <c r="F26" s="156">
        <f>$F$23*E26</f>
        <v>2915396</v>
      </c>
      <c r="G26" s="157"/>
      <c r="H26" s="158">
        <f>$H$23*E26</f>
        <v>2877946</v>
      </c>
      <c r="I26" s="157"/>
      <c r="J26" s="158">
        <f>$J$23*E26</f>
        <v>37450</v>
      </c>
      <c r="K26" s="157"/>
      <c r="L26" s="158">
        <f t="shared" si="9"/>
        <v>0</v>
      </c>
      <c r="M26" s="159"/>
      <c r="N26" s="158">
        <f>$N$23*E26</f>
        <v>2877946</v>
      </c>
      <c r="O26" s="159"/>
      <c r="P26" s="158">
        <f>$P$23*E26</f>
        <v>2877946</v>
      </c>
    </row>
    <row r="27" spans="1:19" s="149" customFormat="1" ht="18" customHeight="1" x14ac:dyDescent="0.2">
      <c r="A27" s="245" t="s">
        <v>58</v>
      </c>
      <c r="B27" s="246"/>
      <c r="C27" s="246"/>
      <c r="D27" s="246"/>
      <c r="E27" s="155">
        <v>0.05</v>
      </c>
      <c r="F27" s="156">
        <f>$F$23*E27</f>
        <v>2915396</v>
      </c>
      <c r="G27" s="157"/>
      <c r="H27" s="158">
        <f>$H$23*E27</f>
        <v>2877946</v>
      </c>
      <c r="I27" s="157"/>
      <c r="J27" s="158">
        <f>$J$23*E27</f>
        <v>37450</v>
      </c>
      <c r="K27" s="157"/>
      <c r="L27" s="158">
        <f t="shared" si="9"/>
        <v>0</v>
      </c>
      <c r="M27" s="159"/>
      <c r="N27" s="158">
        <f>$N$23*E27</f>
        <v>2877946</v>
      </c>
      <c r="O27" s="159"/>
      <c r="P27" s="158">
        <f>$P$23*E27</f>
        <v>2877946</v>
      </c>
    </row>
    <row r="28" spans="1:19" s="154" customFormat="1" ht="18" customHeight="1" x14ac:dyDescent="0.2">
      <c r="A28" s="247" t="s">
        <v>59</v>
      </c>
      <c r="B28" s="248"/>
      <c r="C28" s="248"/>
      <c r="D28" s="248"/>
      <c r="E28" s="161">
        <f>SUM(E24:E27)</f>
        <v>0.18</v>
      </c>
      <c r="F28" s="162">
        <f>SUM(F24:F27)</f>
        <v>10495425.600000001</v>
      </c>
      <c r="G28" s="163"/>
      <c r="H28" s="158">
        <f>$H$23*E28</f>
        <v>10360605.6</v>
      </c>
      <c r="I28" s="163"/>
      <c r="J28" s="158">
        <f>$J$23*E28</f>
        <v>134820</v>
      </c>
      <c r="K28" s="163"/>
      <c r="L28" s="158">
        <f t="shared" si="9"/>
        <v>0</v>
      </c>
      <c r="M28" s="164"/>
      <c r="N28" s="158">
        <f>$N$23*E28</f>
        <v>10360605.6</v>
      </c>
      <c r="O28" s="164"/>
      <c r="P28" s="158">
        <f>$P$23*E28</f>
        <v>10360605.6</v>
      </c>
    </row>
    <row r="29" spans="1:19" s="149" customFormat="1" ht="18" customHeight="1" x14ac:dyDescent="0.2">
      <c r="A29" s="245" t="s">
        <v>60</v>
      </c>
      <c r="B29" s="246"/>
      <c r="C29" s="246"/>
      <c r="D29" s="246"/>
      <c r="E29" s="155">
        <v>0.19</v>
      </c>
      <c r="F29" s="156">
        <f>E29*F27</f>
        <v>553925.24</v>
      </c>
      <c r="G29" s="157"/>
      <c r="H29" s="158">
        <f>H27*$E$29</f>
        <v>546809.74</v>
      </c>
      <c r="I29" s="157"/>
      <c r="J29" s="158">
        <f>J27*$E$29</f>
        <v>7115.5</v>
      </c>
      <c r="K29" s="157"/>
      <c r="L29" s="158">
        <f t="shared" si="9"/>
        <v>0</v>
      </c>
      <c r="M29" s="159"/>
      <c r="N29" s="158">
        <f>N27*$E$29</f>
        <v>546809.74</v>
      </c>
      <c r="O29" s="159"/>
      <c r="P29" s="158">
        <f>P27*$E$29</f>
        <v>546809.74</v>
      </c>
    </row>
    <row r="30" spans="1:19" s="154" customFormat="1" ht="18" customHeight="1" x14ac:dyDescent="0.2">
      <c r="A30" s="249" t="s">
        <v>61</v>
      </c>
      <c r="B30" s="250"/>
      <c r="C30" s="250"/>
      <c r="D30" s="250"/>
      <c r="E30" s="250"/>
      <c r="F30" s="162">
        <f>SUM(F23:F29)-F28</f>
        <v>69357270.839999974</v>
      </c>
      <c r="G30" s="163"/>
      <c r="H30" s="165">
        <f>SUM(H23:H29)-H28</f>
        <v>68466335.339999989</v>
      </c>
      <c r="I30" s="163"/>
      <c r="J30" s="165">
        <f>SUM(J23:J29)-J28</f>
        <v>890935.5</v>
      </c>
      <c r="K30" s="163"/>
      <c r="L30" s="165">
        <f>SUM(L23:L29)-L28</f>
        <v>0</v>
      </c>
      <c r="M30" s="164"/>
      <c r="N30" s="165">
        <f>SUM(N23:N29)-N28</f>
        <v>68466335.339999989</v>
      </c>
      <c r="O30" s="164"/>
      <c r="P30" s="165">
        <f>SUM(P23:P29)-P28</f>
        <v>68466335.339999989</v>
      </c>
    </row>
    <row r="31" spans="1:19" s="149" customFormat="1" ht="18" customHeight="1" thickBot="1" x14ac:dyDescent="0.25">
      <c r="A31" s="166"/>
      <c r="B31" s="167"/>
      <c r="C31" s="168"/>
      <c r="D31" s="168"/>
      <c r="E31" s="168"/>
      <c r="F31" s="156"/>
      <c r="G31" s="157"/>
      <c r="H31" s="158"/>
      <c r="I31" s="169"/>
      <c r="J31" s="170"/>
      <c r="K31" s="169"/>
      <c r="L31" s="170"/>
      <c r="M31" s="171"/>
      <c r="N31" s="172"/>
      <c r="O31" s="171"/>
      <c r="P31" s="170"/>
    </row>
    <row r="32" spans="1:19" s="178" customFormat="1" ht="18" customHeight="1" x14ac:dyDescent="0.2">
      <c r="A32" s="173"/>
      <c r="B32" s="174"/>
      <c r="C32" s="174"/>
      <c r="D32" s="174"/>
      <c r="E32" s="175"/>
      <c r="F32" s="174"/>
      <c r="G32" s="174"/>
      <c r="H32" s="176"/>
      <c r="I32" s="177"/>
      <c r="J32" s="251" t="s">
        <v>62</v>
      </c>
      <c r="K32" s="251"/>
      <c r="L32" s="251"/>
      <c r="M32" s="252">
        <f>N30</f>
        <v>68466335.339999989</v>
      </c>
      <c r="N32" s="253"/>
      <c r="O32" s="237">
        <f>P30</f>
        <v>68466335.339999989</v>
      </c>
      <c r="P32" s="238"/>
      <c r="S32" s="178">
        <v>1.1111111111111112</v>
      </c>
    </row>
    <row r="33" spans="1:16" s="178" customFormat="1" ht="18" customHeight="1" x14ac:dyDescent="0.2">
      <c r="A33" s="179"/>
      <c r="B33" s="180"/>
      <c r="C33" s="236"/>
      <c r="D33" s="236"/>
      <c r="F33" s="201"/>
      <c r="G33" s="200"/>
      <c r="H33" s="223"/>
      <c r="I33" s="231" t="s">
        <v>63</v>
      </c>
      <c r="J33" s="231"/>
      <c r="K33" s="181"/>
      <c r="L33" s="182">
        <v>0.02</v>
      </c>
      <c r="M33" s="232">
        <v>-1358390.5119999999</v>
      </c>
      <c r="N33" s="233"/>
      <c r="O33" s="234">
        <v>-1358390.5119999999</v>
      </c>
      <c r="P33" s="235"/>
    </row>
    <row r="34" spans="1:16" s="178" customFormat="1" ht="18" customHeight="1" x14ac:dyDescent="0.2">
      <c r="A34" s="183"/>
      <c r="D34" s="201"/>
      <c r="E34" s="222"/>
      <c r="F34" s="196"/>
      <c r="G34" s="201"/>
      <c r="H34" s="207"/>
      <c r="I34" s="231" t="s">
        <v>64</v>
      </c>
      <c r="J34" s="231"/>
      <c r="K34" s="181"/>
      <c r="L34" s="184" t="s">
        <v>65</v>
      </c>
      <c r="M34" s="232">
        <v>0</v>
      </c>
      <c r="N34" s="233"/>
      <c r="O34" s="234">
        <v>0</v>
      </c>
      <c r="P34" s="235"/>
    </row>
    <row r="35" spans="1:16" s="178" customFormat="1" ht="18" customHeight="1" x14ac:dyDescent="0.2">
      <c r="A35" s="179"/>
      <c r="B35" s="180"/>
      <c r="C35" s="180"/>
      <c r="D35" s="192"/>
      <c r="E35" s="180"/>
      <c r="F35" s="204"/>
      <c r="G35" s="204"/>
      <c r="H35" s="203"/>
      <c r="I35" s="231" t="s">
        <v>66</v>
      </c>
      <c r="J35" s="231"/>
      <c r="K35" s="181"/>
      <c r="L35" s="182">
        <v>0</v>
      </c>
      <c r="M35" s="232">
        <v>0</v>
      </c>
      <c r="N35" s="233"/>
      <c r="O35" s="234">
        <v>0</v>
      </c>
      <c r="P35" s="235"/>
    </row>
    <row r="36" spans="1:16" s="178" customFormat="1" ht="18" customHeight="1" x14ac:dyDescent="0.2">
      <c r="A36" s="183"/>
      <c r="B36" s="178" t="s">
        <v>81</v>
      </c>
      <c r="E36" s="224"/>
      <c r="F36" s="197"/>
      <c r="G36" s="206"/>
      <c r="H36" s="198"/>
      <c r="I36" s="231" t="s">
        <v>67</v>
      </c>
      <c r="J36" s="231"/>
      <c r="K36" s="185">
        <v>0.2</v>
      </c>
      <c r="L36" s="186">
        <v>6000000</v>
      </c>
      <c r="M36" s="232">
        <f>-M32*(0)</f>
        <v>0</v>
      </c>
      <c r="N36" s="233"/>
      <c r="O36" s="234">
        <f>M36</f>
        <v>0</v>
      </c>
      <c r="P36" s="235"/>
    </row>
    <row r="37" spans="1:16" s="178" customFormat="1" ht="18" customHeight="1" thickBot="1" x14ac:dyDescent="0.25">
      <c r="A37" s="187"/>
      <c r="B37" s="188" t="s">
        <v>72</v>
      </c>
      <c r="C37" s="188"/>
      <c r="D37" s="188"/>
      <c r="E37" s="225"/>
      <c r="F37" s="188"/>
      <c r="G37" s="229"/>
      <c r="H37" s="230"/>
      <c r="I37" s="226" t="s">
        <v>68</v>
      </c>
      <c r="J37" s="226"/>
      <c r="K37" s="226"/>
      <c r="L37" s="226"/>
      <c r="M37" s="189"/>
      <c r="N37" s="190">
        <f>SUM(M32:N36)</f>
        <v>67107944.827999987</v>
      </c>
      <c r="O37" s="227">
        <f>SUM(O32:P36)</f>
        <v>67107944.827999987</v>
      </c>
      <c r="P37" s="228"/>
    </row>
    <row r="40" spans="1:16" x14ac:dyDescent="0.2">
      <c r="F40" s="191"/>
    </row>
    <row r="41" spans="1:16" x14ac:dyDescent="0.2">
      <c r="A41" s="180"/>
      <c r="B41" s="180"/>
      <c r="C41" s="180"/>
      <c r="D41" s="180"/>
      <c r="E41" s="180"/>
      <c r="F41" s="192"/>
      <c r="G41" s="180"/>
      <c r="H41" s="180"/>
    </row>
    <row r="42" spans="1:16" x14ac:dyDescent="0.2">
      <c r="A42" s="178"/>
      <c r="B42" s="178"/>
      <c r="C42" s="193"/>
      <c r="D42" s="178"/>
      <c r="E42" s="178"/>
      <c r="F42" s="194"/>
      <c r="G42" s="178"/>
      <c r="H42" s="178"/>
    </row>
    <row r="43" spans="1:16" x14ac:dyDescent="0.2">
      <c r="L43" s="195"/>
    </row>
  </sheetData>
  <mergeCells count="55">
    <mergeCell ref="G1:N6"/>
    <mergeCell ref="O1:P1"/>
    <mergeCell ref="A2:B2"/>
    <mergeCell ref="C2:F2"/>
    <mergeCell ref="O2:P6"/>
    <mergeCell ref="A3:B3"/>
    <mergeCell ref="C3:F3"/>
    <mergeCell ref="A4:B4"/>
    <mergeCell ref="A7:A10"/>
    <mergeCell ref="B7:B10"/>
    <mergeCell ref="C7:F9"/>
    <mergeCell ref="A1:B1"/>
    <mergeCell ref="C1:F1"/>
    <mergeCell ref="C4:F4"/>
    <mergeCell ref="A5:B5"/>
    <mergeCell ref="C5:F5"/>
    <mergeCell ref="A6:B6"/>
    <mergeCell ref="C6:F6"/>
    <mergeCell ref="G7:L7"/>
    <mergeCell ref="M7:N7"/>
    <mergeCell ref="O7:P9"/>
    <mergeCell ref="G8:H9"/>
    <mergeCell ref="I8:J9"/>
    <mergeCell ref="K8:L9"/>
    <mergeCell ref="M8:N8"/>
    <mergeCell ref="M9:N9"/>
    <mergeCell ref="O32:P32"/>
    <mergeCell ref="A22:P22"/>
    <mergeCell ref="A23:E23"/>
    <mergeCell ref="A24:D24"/>
    <mergeCell ref="A25:D25"/>
    <mergeCell ref="A26:D26"/>
    <mergeCell ref="A27:D27"/>
    <mergeCell ref="A28:D28"/>
    <mergeCell ref="A29:D29"/>
    <mergeCell ref="A30:E30"/>
    <mergeCell ref="J32:L32"/>
    <mergeCell ref="M32:N32"/>
    <mergeCell ref="C33:D33"/>
    <mergeCell ref="I33:J33"/>
    <mergeCell ref="M33:N33"/>
    <mergeCell ref="O33:P33"/>
    <mergeCell ref="I34:J34"/>
    <mergeCell ref="M34:N34"/>
    <mergeCell ref="O34:P34"/>
    <mergeCell ref="E36:E37"/>
    <mergeCell ref="I37:L37"/>
    <mergeCell ref="O37:P37"/>
    <mergeCell ref="G37:H37"/>
    <mergeCell ref="I35:J35"/>
    <mergeCell ref="M35:N35"/>
    <mergeCell ref="O35:P35"/>
    <mergeCell ref="I36:J36"/>
    <mergeCell ref="M36:N36"/>
    <mergeCell ref="O36:P36"/>
  </mergeCells>
  <pageMargins left="0.25" right="0.25" top="0.75" bottom="0.75" header="0.3" footer="0.3"/>
  <pageSetup paperSize="345" scale="42" orientation="landscape" r:id="rId1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6750-C22C-C742-B8D3-587E0968A2EB}">
  <sheetPr codeName="Hoja2">
    <pageSetUpPr fitToPage="1"/>
  </sheetPr>
  <dimension ref="A1:S46"/>
  <sheetViews>
    <sheetView zoomScale="90" zoomScaleNormal="60" zoomScaleSheetLayoutView="55" workbookViewId="0">
      <selection activeCell="L37" sqref="L37"/>
    </sheetView>
  </sheetViews>
  <sheetFormatPr baseColWidth="10" defaultColWidth="11.5" defaultRowHeight="14" x14ac:dyDescent="0.2"/>
  <cols>
    <col min="1" max="1" width="10.33203125" style="2" customWidth="1"/>
    <col min="2" max="2" width="66.6640625" style="2" customWidth="1"/>
    <col min="3" max="3" width="11.5" style="2"/>
    <col min="4" max="4" width="12" style="2" bestFit="1" customWidth="1"/>
    <col min="5" max="5" width="15.1640625" style="2" bestFit="1" customWidth="1"/>
    <col min="6" max="6" width="22.6640625" style="2" customWidth="1"/>
    <col min="7" max="7" width="12" style="2" bestFit="1" customWidth="1"/>
    <col min="8" max="8" width="22.6640625" style="2" customWidth="1"/>
    <col min="9" max="9" width="12" style="2" bestFit="1" customWidth="1"/>
    <col min="10" max="10" width="22.6640625" style="2" customWidth="1"/>
    <col min="11" max="11" width="12" style="2" bestFit="1" customWidth="1"/>
    <col min="12" max="12" width="22.6640625" style="2" customWidth="1"/>
    <col min="13" max="13" width="13.6640625" style="2" bestFit="1" customWidth="1"/>
    <col min="14" max="14" width="22.6640625" style="2" customWidth="1"/>
    <col min="15" max="15" width="12" style="2" bestFit="1" customWidth="1"/>
    <col min="16" max="16" width="22.6640625" style="2" customWidth="1"/>
    <col min="17" max="17" width="11.5" style="2"/>
    <col min="18" max="18" width="12" style="2" bestFit="1" customWidth="1"/>
    <col min="19" max="19" width="16.6640625" style="2" bestFit="1" customWidth="1"/>
    <col min="20" max="16384" width="11.5" style="2"/>
  </cols>
  <sheetData>
    <row r="1" spans="1:19" ht="40.25" customHeight="1" x14ac:dyDescent="0.2">
      <c r="A1" s="339" t="s">
        <v>0</v>
      </c>
      <c r="B1" s="340"/>
      <c r="C1" s="341" t="s">
        <v>1</v>
      </c>
      <c r="D1" s="342"/>
      <c r="E1" s="342"/>
      <c r="F1" s="343"/>
      <c r="G1" s="344" t="s">
        <v>73</v>
      </c>
      <c r="H1" s="345"/>
      <c r="I1" s="345"/>
      <c r="J1" s="345"/>
      <c r="K1" s="345"/>
      <c r="L1" s="345"/>
      <c r="M1" s="345"/>
      <c r="N1" s="345"/>
      <c r="O1" s="374" t="s">
        <v>3</v>
      </c>
      <c r="P1" s="375"/>
    </row>
    <row r="2" spans="1:19" ht="18" customHeight="1" x14ac:dyDescent="0.2">
      <c r="A2" s="376" t="s">
        <v>4</v>
      </c>
      <c r="B2" s="377"/>
      <c r="C2" s="378" t="s">
        <v>5</v>
      </c>
      <c r="D2" s="379"/>
      <c r="E2" s="379"/>
      <c r="F2" s="380"/>
      <c r="G2" s="346"/>
      <c r="H2" s="347"/>
      <c r="I2" s="347"/>
      <c r="J2" s="347"/>
      <c r="K2" s="347"/>
      <c r="L2" s="347"/>
      <c r="M2" s="347"/>
      <c r="N2" s="347"/>
      <c r="O2" s="381">
        <v>2</v>
      </c>
      <c r="P2" s="382"/>
    </row>
    <row r="3" spans="1:19" ht="18" customHeight="1" x14ac:dyDescent="0.2">
      <c r="A3" s="376" t="s">
        <v>6</v>
      </c>
      <c r="B3" s="377"/>
      <c r="C3" s="387" t="s">
        <v>7</v>
      </c>
      <c r="D3" s="388"/>
      <c r="E3" s="388"/>
      <c r="F3" s="389"/>
      <c r="G3" s="346"/>
      <c r="H3" s="347"/>
      <c r="I3" s="347"/>
      <c r="J3" s="347"/>
      <c r="K3" s="347"/>
      <c r="L3" s="347"/>
      <c r="M3" s="347"/>
      <c r="N3" s="347"/>
      <c r="O3" s="381"/>
      <c r="P3" s="382"/>
    </row>
    <row r="4" spans="1:19" ht="18" customHeight="1" x14ac:dyDescent="0.2">
      <c r="A4" s="376" t="s">
        <v>8</v>
      </c>
      <c r="B4" s="377"/>
      <c r="C4" s="387" t="s">
        <v>9</v>
      </c>
      <c r="D4" s="388"/>
      <c r="E4" s="388"/>
      <c r="F4" s="389"/>
      <c r="G4" s="346"/>
      <c r="H4" s="347"/>
      <c r="I4" s="347"/>
      <c r="J4" s="347"/>
      <c r="K4" s="347"/>
      <c r="L4" s="347"/>
      <c r="M4" s="347"/>
      <c r="N4" s="347"/>
      <c r="O4" s="381"/>
      <c r="P4" s="382"/>
    </row>
    <row r="5" spans="1:19" ht="18" customHeight="1" x14ac:dyDescent="0.2">
      <c r="A5" s="376" t="s">
        <v>10</v>
      </c>
      <c r="B5" s="377"/>
      <c r="C5" s="387" t="s">
        <v>11</v>
      </c>
      <c r="D5" s="388"/>
      <c r="E5" s="388"/>
      <c r="F5" s="389"/>
      <c r="G5" s="346"/>
      <c r="H5" s="347"/>
      <c r="I5" s="347"/>
      <c r="J5" s="347"/>
      <c r="K5" s="347"/>
      <c r="L5" s="347"/>
      <c r="M5" s="347"/>
      <c r="N5" s="347"/>
      <c r="O5" s="383"/>
      <c r="P5" s="384"/>
    </row>
    <row r="6" spans="1:19" ht="18" customHeight="1" thickBot="1" x14ac:dyDescent="0.25">
      <c r="A6" s="390"/>
      <c r="B6" s="391"/>
      <c r="C6" s="392"/>
      <c r="D6" s="393"/>
      <c r="E6" s="393"/>
      <c r="F6" s="394"/>
      <c r="G6" s="348"/>
      <c r="H6" s="349"/>
      <c r="I6" s="349"/>
      <c r="J6" s="349"/>
      <c r="K6" s="349"/>
      <c r="L6" s="349"/>
      <c r="M6" s="349"/>
      <c r="N6" s="349"/>
      <c r="O6" s="385"/>
      <c r="P6" s="386"/>
    </row>
    <row r="7" spans="1:19" ht="17" thickBot="1" x14ac:dyDescent="0.25">
      <c r="A7" s="350" t="s">
        <v>12</v>
      </c>
      <c r="B7" s="353" t="s">
        <v>13</v>
      </c>
      <c r="C7" s="354" t="s">
        <v>14</v>
      </c>
      <c r="D7" s="355"/>
      <c r="E7" s="355"/>
      <c r="F7" s="356"/>
      <c r="G7" s="366" t="s">
        <v>15</v>
      </c>
      <c r="H7" s="367"/>
      <c r="I7" s="367"/>
      <c r="J7" s="367"/>
      <c r="K7" s="367"/>
      <c r="L7" s="368"/>
      <c r="M7" s="369" t="s">
        <v>16</v>
      </c>
      <c r="N7" s="368"/>
      <c r="O7" s="370" t="s">
        <v>17</v>
      </c>
      <c r="P7" s="371"/>
    </row>
    <row r="8" spans="1:19" ht="16" x14ac:dyDescent="0.2">
      <c r="A8" s="351"/>
      <c r="B8" s="353"/>
      <c r="C8" s="354"/>
      <c r="D8" s="355"/>
      <c r="E8" s="355"/>
      <c r="F8" s="356"/>
      <c r="G8" s="333" t="s">
        <v>18</v>
      </c>
      <c r="H8" s="334"/>
      <c r="I8" s="333" t="s">
        <v>19</v>
      </c>
      <c r="J8" s="334"/>
      <c r="K8" s="333" t="s">
        <v>20</v>
      </c>
      <c r="L8" s="334"/>
      <c r="M8" s="333" t="s">
        <v>74</v>
      </c>
      <c r="N8" s="334"/>
      <c r="O8" s="372"/>
      <c r="P8" s="373"/>
    </row>
    <row r="9" spans="1:19" ht="16" x14ac:dyDescent="0.2">
      <c r="A9" s="351"/>
      <c r="B9" s="353"/>
      <c r="C9" s="357"/>
      <c r="D9" s="358"/>
      <c r="E9" s="358"/>
      <c r="F9" s="359"/>
      <c r="G9" s="372"/>
      <c r="H9" s="373"/>
      <c r="I9" s="372"/>
      <c r="J9" s="373"/>
      <c r="K9" s="372"/>
      <c r="L9" s="373"/>
      <c r="M9" s="335">
        <v>45961</v>
      </c>
      <c r="N9" s="336"/>
      <c r="O9" s="372"/>
      <c r="P9" s="373"/>
    </row>
    <row r="10" spans="1:19" ht="18" thickBot="1" x14ac:dyDescent="0.25">
      <c r="A10" s="352"/>
      <c r="B10" s="353"/>
      <c r="C10" s="17" t="s">
        <v>22</v>
      </c>
      <c r="D10" s="18" t="s">
        <v>23</v>
      </c>
      <c r="E10" s="18" t="s">
        <v>24</v>
      </c>
      <c r="F10" s="19" t="s">
        <v>25</v>
      </c>
      <c r="G10" s="20" t="s">
        <v>23</v>
      </c>
      <c r="H10" s="21" t="s">
        <v>25</v>
      </c>
      <c r="I10" s="20" t="s">
        <v>23</v>
      </c>
      <c r="J10" s="22" t="s">
        <v>25</v>
      </c>
      <c r="K10" s="20" t="s">
        <v>23</v>
      </c>
      <c r="L10" s="21" t="s">
        <v>25</v>
      </c>
      <c r="M10" s="23" t="s">
        <v>23</v>
      </c>
      <c r="N10" s="24" t="s">
        <v>26</v>
      </c>
      <c r="O10" s="25" t="s">
        <v>23</v>
      </c>
      <c r="P10" s="21" t="s">
        <v>25</v>
      </c>
    </row>
    <row r="11" spans="1:19" ht="32" customHeight="1" thickBot="1" x14ac:dyDescent="0.25">
      <c r="A11" s="66" t="s">
        <v>27</v>
      </c>
      <c r="B11" s="67"/>
      <c r="C11" s="67"/>
      <c r="D11" s="67"/>
      <c r="E11" s="67"/>
      <c r="F11" s="67"/>
      <c r="G11" s="68"/>
      <c r="H11" s="68"/>
      <c r="I11" s="68"/>
      <c r="J11" s="68"/>
      <c r="K11" s="68"/>
      <c r="L11" s="68"/>
      <c r="M11" s="68"/>
      <c r="N11" s="68"/>
      <c r="O11" s="68"/>
      <c r="P11" s="69"/>
    </row>
    <row r="12" spans="1:19" ht="43.25" customHeight="1" x14ac:dyDescent="0.2">
      <c r="A12" s="70" t="s">
        <v>28</v>
      </c>
      <c r="B12" s="71" t="s">
        <v>29</v>
      </c>
      <c r="C12" s="72" t="s">
        <v>30</v>
      </c>
      <c r="D12" s="73">
        <v>1</v>
      </c>
      <c r="E12" s="74">
        <v>80000</v>
      </c>
      <c r="F12" s="75">
        <f>D12*E12</f>
        <v>80000</v>
      </c>
      <c r="G12" s="76">
        <v>1</v>
      </c>
      <c r="H12" s="77">
        <f>G12*E12</f>
        <v>80000</v>
      </c>
      <c r="I12" s="78">
        <f>D12-G12</f>
        <v>0</v>
      </c>
      <c r="J12" s="79">
        <f>I12*E12</f>
        <v>0</v>
      </c>
      <c r="K12" s="80">
        <v>0</v>
      </c>
      <c r="L12" s="79">
        <f>K12*E12</f>
        <v>0</v>
      </c>
      <c r="M12" s="81">
        <v>1</v>
      </c>
      <c r="N12" s="79">
        <f>M12*E12</f>
        <v>80000</v>
      </c>
      <c r="O12" s="82">
        <f>M12</f>
        <v>1</v>
      </c>
      <c r="P12" s="83">
        <f t="shared" ref="P12:P21" si="0">O12*E12</f>
        <v>80000</v>
      </c>
      <c r="R12" s="4">
        <f>O12*100/D12</f>
        <v>100</v>
      </c>
      <c r="S12" s="2" t="s">
        <v>31</v>
      </c>
    </row>
    <row r="13" spans="1:19" ht="85" x14ac:dyDescent="0.2">
      <c r="A13" s="1" t="s">
        <v>32</v>
      </c>
      <c r="B13" s="84" t="s">
        <v>33</v>
      </c>
      <c r="C13" s="85" t="s">
        <v>34</v>
      </c>
      <c r="D13" s="73">
        <v>2483</v>
      </c>
      <c r="E13" s="86">
        <v>3300</v>
      </c>
      <c r="F13" s="87">
        <f>D13*E13</f>
        <v>8193900</v>
      </c>
      <c r="G13" s="76">
        <v>2483</v>
      </c>
      <c r="H13" s="77">
        <f>G13*E13</f>
        <v>8193900</v>
      </c>
      <c r="I13" s="78">
        <f>D13-G13</f>
        <v>0</v>
      </c>
      <c r="J13" s="79">
        <f>I13*E13</f>
        <v>0</v>
      </c>
      <c r="K13" s="80">
        <v>0</v>
      </c>
      <c r="L13" s="79">
        <f>K13*E13</f>
        <v>0</v>
      </c>
      <c r="M13" s="81">
        <v>2483</v>
      </c>
      <c r="N13" s="79">
        <f t="shared" ref="N13:N21" si="1">M13*E13</f>
        <v>8193900</v>
      </c>
      <c r="O13" s="88">
        <f>M13</f>
        <v>2483</v>
      </c>
      <c r="P13" s="89">
        <f t="shared" si="0"/>
        <v>8193900</v>
      </c>
      <c r="R13" s="4">
        <f>O13*100/D13</f>
        <v>100</v>
      </c>
      <c r="S13" s="2" t="s">
        <v>31</v>
      </c>
    </row>
    <row r="14" spans="1:19" ht="85" x14ac:dyDescent="0.2">
      <c r="A14" s="1" t="s">
        <v>35</v>
      </c>
      <c r="B14" s="84" t="s">
        <v>36</v>
      </c>
      <c r="C14" s="85" t="s">
        <v>34</v>
      </c>
      <c r="D14" s="73">
        <v>180</v>
      </c>
      <c r="E14" s="90">
        <v>3000</v>
      </c>
      <c r="F14" s="87">
        <f t="shared" ref="F14:F21" si="2">D14*E14</f>
        <v>540000</v>
      </c>
      <c r="G14" s="76">
        <v>42</v>
      </c>
      <c r="H14" s="77">
        <f t="shared" ref="H14:H21" si="3">G14*E14</f>
        <v>126000</v>
      </c>
      <c r="I14" s="78">
        <f t="shared" ref="I14:I21" si="4">D14-G14</f>
        <v>138</v>
      </c>
      <c r="J14" s="79">
        <f t="shared" ref="J14:J21" si="5">I14*E14</f>
        <v>414000</v>
      </c>
      <c r="K14" s="80">
        <v>0</v>
      </c>
      <c r="L14" s="79">
        <f t="shared" ref="L14:L21" si="6">K14*E14</f>
        <v>0</v>
      </c>
      <c r="M14" s="81">
        <v>42</v>
      </c>
      <c r="N14" s="79">
        <f t="shared" si="1"/>
        <v>126000</v>
      </c>
      <c r="O14" s="88">
        <f t="shared" ref="O14:O21" si="7">M14</f>
        <v>42</v>
      </c>
      <c r="P14" s="89">
        <f t="shared" si="0"/>
        <v>126000</v>
      </c>
      <c r="R14" s="4">
        <f t="shared" ref="R14:R21" si="8">O14*100/D14</f>
        <v>23.333333333333332</v>
      </c>
      <c r="S14" s="2" t="s">
        <v>31</v>
      </c>
    </row>
    <row r="15" spans="1:19" ht="68" x14ac:dyDescent="0.2">
      <c r="A15" s="1" t="s">
        <v>37</v>
      </c>
      <c r="B15" s="84" t="s">
        <v>38</v>
      </c>
      <c r="C15" s="85" t="s">
        <v>39</v>
      </c>
      <c r="D15" s="73">
        <v>180</v>
      </c>
      <c r="E15" s="86">
        <v>37000</v>
      </c>
      <c r="F15" s="87">
        <f t="shared" si="2"/>
        <v>6660000</v>
      </c>
      <c r="G15" s="76">
        <v>42</v>
      </c>
      <c r="H15" s="77">
        <f t="shared" si="3"/>
        <v>1554000</v>
      </c>
      <c r="I15" s="78">
        <f t="shared" si="4"/>
        <v>138</v>
      </c>
      <c r="J15" s="79">
        <f>I15*E15</f>
        <v>5106000</v>
      </c>
      <c r="K15" s="80">
        <v>0</v>
      </c>
      <c r="L15" s="79">
        <f t="shared" si="6"/>
        <v>0</v>
      </c>
      <c r="M15" s="81">
        <v>42</v>
      </c>
      <c r="N15" s="79">
        <f t="shared" si="1"/>
        <v>1554000</v>
      </c>
      <c r="O15" s="88">
        <f t="shared" si="7"/>
        <v>42</v>
      </c>
      <c r="P15" s="89">
        <f t="shared" si="0"/>
        <v>1554000</v>
      </c>
      <c r="R15" s="4">
        <f t="shared" si="8"/>
        <v>23.333333333333332</v>
      </c>
      <c r="S15" s="2" t="s">
        <v>31</v>
      </c>
    </row>
    <row r="16" spans="1:19" ht="46.25" customHeight="1" x14ac:dyDescent="0.2">
      <c r="A16" s="1" t="s">
        <v>40</v>
      </c>
      <c r="B16" s="84" t="s">
        <v>41</v>
      </c>
      <c r="C16" s="85" t="s">
        <v>39</v>
      </c>
      <c r="D16" s="73">
        <v>276</v>
      </c>
      <c r="E16" s="86">
        <v>7000</v>
      </c>
      <c r="F16" s="87">
        <f t="shared" si="2"/>
        <v>1932000</v>
      </c>
      <c r="G16" s="76">
        <v>5</v>
      </c>
      <c r="H16" s="77">
        <f t="shared" si="3"/>
        <v>35000</v>
      </c>
      <c r="I16" s="78">
        <f t="shared" si="4"/>
        <v>271</v>
      </c>
      <c r="J16" s="79">
        <f t="shared" si="5"/>
        <v>1897000</v>
      </c>
      <c r="K16" s="80">
        <v>0</v>
      </c>
      <c r="L16" s="79">
        <f t="shared" si="6"/>
        <v>0</v>
      </c>
      <c r="M16" s="81">
        <v>5</v>
      </c>
      <c r="N16" s="79">
        <f t="shared" si="1"/>
        <v>35000</v>
      </c>
      <c r="O16" s="88">
        <f t="shared" si="7"/>
        <v>5</v>
      </c>
      <c r="P16" s="89">
        <f t="shared" si="0"/>
        <v>35000</v>
      </c>
      <c r="R16" s="4">
        <f t="shared" si="8"/>
        <v>1.8115942028985508</v>
      </c>
      <c r="S16" s="2" t="s">
        <v>31</v>
      </c>
    </row>
    <row r="17" spans="1:19" ht="43.25" customHeight="1" x14ac:dyDescent="0.2">
      <c r="A17" s="1" t="s">
        <v>42</v>
      </c>
      <c r="B17" s="84" t="s">
        <v>43</v>
      </c>
      <c r="C17" s="85" t="s">
        <v>34</v>
      </c>
      <c r="D17" s="73">
        <v>384</v>
      </c>
      <c r="E17" s="90">
        <v>26000</v>
      </c>
      <c r="F17" s="87">
        <f t="shared" si="2"/>
        <v>9984000</v>
      </c>
      <c r="G17" s="76">
        <v>384</v>
      </c>
      <c r="H17" s="77">
        <f t="shared" si="3"/>
        <v>9984000</v>
      </c>
      <c r="I17" s="78">
        <f t="shared" si="4"/>
        <v>0</v>
      </c>
      <c r="J17" s="79">
        <f t="shared" si="5"/>
        <v>0</v>
      </c>
      <c r="K17" s="80">
        <v>0</v>
      </c>
      <c r="L17" s="79">
        <f t="shared" si="6"/>
        <v>0</v>
      </c>
      <c r="M17" s="81">
        <v>384</v>
      </c>
      <c r="N17" s="79">
        <f t="shared" si="1"/>
        <v>9984000</v>
      </c>
      <c r="O17" s="88">
        <f t="shared" si="7"/>
        <v>384</v>
      </c>
      <c r="P17" s="89">
        <f t="shared" si="0"/>
        <v>9984000</v>
      </c>
      <c r="R17" s="4">
        <f t="shared" si="8"/>
        <v>100</v>
      </c>
      <c r="S17" s="2" t="s">
        <v>31</v>
      </c>
    </row>
    <row r="18" spans="1:19" ht="51" x14ac:dyDescent="0.2">
      <c r="A18" s="91" t="s">
        <v>44</v>
      </c>
      <c r="B18" s="84" t="s">
        <v>45</v>
      </c>
      <c r="C18" s="85" t="s">
        <v>34</v>
      </c>
      <c r="D18" s="73">
        <v>2483</v>
      </c>
      <c r="E18" s="86">
        <v>17500</v>
      </c>
      <c r="F18" s="87">
        <f t="shared" si="2"/>
        <v>43452500</v>
      </c>
      <c r="G18" s="76">
        <v>2483</v>
      </c>
      <c r="H18" s="77">
        <f>G18*E18</f>
        <v>43452500</v>
      </c>
      <c r="I18" s="78">
        <f t="shared" si="4"/>
        <v>0</v>
      </c>
      <c r="J18" s="79">
        <f t="shared" si="5"/>
        <v>0</v>
      </c>
      <c r="K18" s="80">
        <v>0</v>
      </c>
      <c r="L18" s="79">
        <f t="shared" si="6"/>
        <v>0</v>
      </c>
      <c r="M18" s="81">
        <f>D18</f>
        <v>2483</v>
      </c>
      <c r="N18" s="79">
        <f t="shared" si="1"/>
        <v>43452500</v>
      </c>
      <c r="O18" s="88">
        <f t="shared" si="7"/>
        <v>2483</v>
      </c>
      <c r="P18" s="89">
        <f t="shared" si="0"/>
        <v>43452500</v>
      </c>
      <c r="R18" s="4">
        <f t="shared" si="8"/>
        <v>100</v>
      </c>
      <c r="S18" s="2" t="s">
        <v>31</v>
      </c>
    </row>
    <row r="19" spans="1:19" ht="68" x14ac:dyDescent="0.2">
      <c r="A19" s="91" t="s">
        <v>46</v>
      </c>
      <c r="B19" s="84" t="s">
        <v>47</v>
      </c>
      <c r="C19" s="85" t="s">
        <v>34</v>
      </c>
      <c r="D19" s="73">
        <v>384</v>
      </c>
      <c r="E19" s="86">
        <v>12000</v>
      </c>
      <c r="F19" s="87">
        <f t="shared" si="2"/>
        <v>4608000</v>
      </c>
      <c r="G19" s="76">
        <v>384</v>
      </c>
      <c r="H19" s="77">
        <f t="shared" si="3"/>
        <v>4608000</v>
      </c>
      <c r="I19" s="78">
        <f t="shared" si="4"/>
        <v>0</v>
      </c>
      <c r="J19" s="79">
        <f t="shared" si="5"/>
        <v>0</v>
      </c>
      <c r="K19" s="80">
        <v>0</v>
      </c>
      <c r="L19" s="79">
        <f t="shared" si="6"/>
        <v>0</v>
      </c>
      <c r="M19" s="81">
        <f>D19</f>
        <v>384</v>
      </c>
      <c r="N19" s="79">
        <f t="shared" si="1"/>
        <v>4608000</v>
      </c>
      <c r="O19" s="88">
        <f t="shared" si="7"/>
        <v>384</v>
      </c>
      <c r="P19" s="89">
        <f t="shared" si="0"/>
        <v>4608000</v>
      </c>
      <c r="R19" s="4">
        <f t="shared" si="8"/>
        <v>100</v>
      </c>
      <c r="S19" s="2" t="s">
        <v>31</v>
      </c>
    </row>
    <row r="20" spans="1:19" ht="34" x14ac:dyDescent="0.2">
      <c r="A20" s="91" t="s">
        <v>48</v>
      </c>
      <c r="B20" s="92" t="s">
        <v>49</v>
      </c>
      <c r="C20" s="85" t="s">
        <v>50</v>
      </c>
      <c r="D20" s="93">
        <v>16</v>
      </c>
      <c r="E20" s="90">
        <v>126100</v>
      </c>
      <c r="F20" s="87">
        <f t="shared" si="2"/>
        <v>2017600</v>
      </c>
      <c r="G20" s="76">
        <v>16</v>
      </c>
      <c r="H20" s="77">
        <f t="shared" si="3"/>
        <v>2017600</v>
      </c>
      <c r="I20" s="78">
        <f t="shared" si="4"/>
        <v>0</v>
      </c>
      <c r="J20" s="79">
        <f t="shared" si="5"/>
        <v>0</v>
      </c>
      <c r="K20" s="80">
        <v>12</v>
      </c>
      <c r="L20" s="79">
        <f t="shared" si="6"/>
        <v>1513200</v>
      </c>
      <c r="M20" s="81">
        <v>28</v>
      </c>
      <c r="N20" s="79">
        <f t="shared" si="1"/>
        <v>3530800</v>
      </c>
      <c r="O20" s="88">
        <f t="shared" si="7"/>
        <v>28</v>
      </c>
      <c r="P20" s="89">
        <f t="shared" si="0"/>
        <v>3530800</v>
      </c>
      <c r="R20" s="4"/>
    </row>
    <row r="21" spans="1:19" ht="31.25" customHeight="1" thickBot="1" x14ac:dyDescent="0.25">
      <c r="A21" s="91" t="s">
        <v>51</v>
      </c>
      <c r="B21" s="92" t="s">
        <v>52</v>
      </c>
      <c r="C21" s="85" t="s">
        <v>30</v>
      </c>
      <c r="D21" s="73">
        <v>1</v>
      </c>
      <c r="E21" s="90">
        <v>200000</v>
      </c>
      <c r="F21" s="87">
        <f t="shared" si="2"/>
        <v>200000</v>
      </c>
      <c r="G21" s="76">
        <v>1</v>
      </c>
      <c r="H21" s="77">
        <f t="shared" si="3"/>
        <v>200000</v>
      </c>
      <c r="I21" s="78">
        <f t="shared" si="4"/>
        <v>0</v>
      </c>
      <c r="J21" s="79">
        <f t="shared" si="5"/>
        <v>0</v>
      </c>
      <c r="K21" s="80">
        <v>0</v>
      </c>
      <c r="L21" s="79">
        <f t="shared" si="6"/>
        <v>0</v>
      </c>
      <c r="M21" s="81">
        <v>1</v>
      </c>
      <c r="N21" s="79">
        <f t="shared" si="1"/>
        <v>200000</v>
      </c>
      <c r="O21" s="88">
        <f t="shared" si="7"/>
        <v>1</v>
      </c>
      <c r="P21" s="89">
        <f t="shared" si="0"/>
        <v>200000</v>
      </c>
      <c r="R21" s="4">
        <f t="shared" si="8"/>
        <v>100</v>
      </c>
      <c r="S21" s="2" t="s">
        <v>31</v>
      </c>
    </row>
    <row r="22" spans="1:19" s="5" customFormat="1" ht="18" customHeight="1" thickBot="1" x14ac:dyDescent="0.25">
      <c r="A22" s="94" t="s">
        <v>53</v>
      </c>
      <c r="B22" s="95"/>
      <c r="C22" s="96"/>
      <c r="D22" s="97"/>
      <c r="E22" s="97"/>
      <c r="F22" s="98">
        <f>SUM(F12:F21)</f>
        <v>77668000</v>
      </c>
      <c r="G22" s="99"/>
      <c r="H22" s="100">
        <f>SUM(H12:H21)</f>
        <v>70251000</v>
      </c>
      <c r="I22" s="99"/>
      <c r="J22" s="100">
        <f>SUM(J12:J21)</f>
        <v>7417000</v>
      </c>
      <c r="K22" s="99"/>
      <c r="L22" s="100">
        <f>SUM(L12:L21)</f>
        <v>1513200</v>
      </c>
      <c r="M22" s="99"/>
      <c r="N22" s="100">
        <f>SUM(N12:N21)</f>
        <v>71764200</v>
      </c>
      <c r="O22" s="101"/>
      <c r="P22" s="100">
        <f>SUM(P12:P21)</f>
        <v>71764200</v>
      </c>
      <c r="R22" s="4"/>
      <c r="S22" s="2"/>
    </row>
    <row r="23" spans="1:19" s="5" customFormat="1" ht="18" customHeight="1" thickBot="1" x14ac:dyDescent="0.25">
      <c r="A23" s="360"/>
      <c r="B23" s="361"/>
      <c r="C23" s="361"/>
      <c r="D23" s="361"/>
      <c r="E23" s="361"/>
      <c r="F23" s="361"/>
      <c r="G23" s="362"/>
      <c r="H23" s="362"/>
      <c r="I23" s="361"/>
      <c r="J23" s="361"/>
      <c r="K23" s="361"/>
      <c r="L23" s="361"/>
      <c r="M23" s="361"/>
      <c r="N23" s="361"/>
      <c r="O23" s="361"/>
      <c r="P23" s="363"/>
    </row>
    <row r="24" spans="1:19" s="6" customFormat="1" ht="18" customHeight="1" x14ac:dyDescent="0.2">
      <c r="A24" s="364" t="s">
        <v>54</v>
      </c>
      <c r="B24" s="365"/>
      <c r="C24" s="365"/>
      <c r="D24" s="365"/>
      <c r="E24" s="365"/>
      <c r="F24" s="26">
        <f>F22</f>
        <v>77668000</v>
      </c>
      <c r="G24" s="27"/>
      <c r="H24" s="28">
        <f>H22</f>
        <v>70251000</v>
      </c>
      <c r="I24" s="27"/>
      <c r="J24" s="28">
        <f>J22</f>
        <v>7417000</v>
      </c>
      <c r="K24" s="27"/>
      <c r="L24" s="28">
        <f>L22</f>
        <v>1513200</v>
      </c>
      <c r="M24" s="29"/>
      <c r="N24" s="28">
        <f>N22</f>
        <v>71764200</v>
      </c>
      <c r="O24" s="29"/>
      <c r="P24" s="28">
        <f>P22</f>
        <v>71764200</v>
      </c>
    </row>
    <row r="25" spans="1:19" s="5" customFormat="1" ht="18" customHeight="1" x14ac:dyDescent="0.2">
      <c r="A25" s="327" t="s">
        <v>55</v>
      </c>
      <c r="B25" s="328"/>
      <c r="C25" s="328"/>
      <c r="D25" s="328"/>
      <c r="E25" s="30">
        <v>0.08</v>
      </c>
      <c r="F25" s="31">
        <f>$F$24*E25</f>
        <v>6213440</v>
      </c>
      <c r="G25" s="32"/>
      <c r="H25" s="33">
        <f>$H$24*E25</f>
        <v>5620080</v>
      </c>
      <c r="I25" s="32"/>
      <c r="J25" s="33">
        <f>$J$24*E25</f>
        <v>593360</v>
      </c>
      <c r="K25" s="32"/>
      <c r="L25" s="33">
        <f t="shared" ref="L25:L30" si="9">$L$24*E25</f>
        <v>121056</v>
      </c>
      <c r="M25" s="34"/>
      <c r="N25" s="33">
        <f>$N$24*E25</f>
        <v>5741136</v>
      </c>
      <c r="O25" s="34"/>
      <c r="P25" s="33">
        <f>$P$24*E25</f>
        <v>5741136</v>
      </c>
    </row>
    <row r="26" spans="1:19" s="5" customFormat="1" ht="18" customHeight="1" x14ac:dyDescent="0.2">
      <c r="A26" s="327" t="s">
        <v>56</v>
      </c>
      <c r="B26" s="328"/>
      <c r="C26" s="328"/>
      <c r="D26" s="328"/>
      <c r="E26" s="35">
        <v>0</v>
      </c>
      <c r="F26" s="31">
        <f>$F$24*E26</f>
        <v>0</v>
      </c>
      <c r="G26" s="32"/>
      <c r="H26" s="33">
        <f>$H$24*E26</f>
        <v>0</v>
      </c>
      <c r="I26" s="32"/>
      <c r="J26" s="33">
        <f>$J$24*E26</f>
        <v>0</v>
      </c>
      <c r="K26" s="32"/>
      <c r="L26" s="33">
        <f t="shared" si="9"/>
        <v>0</v>
      </c>
      <c r="M26" s="34"/>
      <c r="N26" s="33">
        <f>$N$24*E26</f>
        <v>0</v>
      </c>
      <c r="O26" s="34"/>
      <c r="P26" s="33">
        <f>$P$24*E26</f>
        <v>0</v>
      </c>
    </row>
    <row r="27" spans="1:19" s="5" customFormat="1" ht="18" customHeight="1" x14ac:dyDescent="0.2">
      <c r="A27" s="327" t="s">
        <v>57</v>
      </c>
      <c r="B27" s="328"/>
      <c r="C27" s="328"/>
      <c r="D27" s="328"/>
      <c r="E27" s="30">
        <v>0.05</v>
      </c>
      <c r="F27" s="31">
        <f>$F$24*E27</f>
        <v>3883400</v>
      </c>
      <c r="G27" s="32"/>
      <c r="H27" s="33">
        <f>$H$24*E27</f>
        <v>3512550</v>
      </c>
      <c r="I27" s="32"/>
      <c r="J27" s="33">
        <f>$J$24*E27</f>
        <v>370850</v>
      </c>
      <c r="K27" s="32"/>
      <c r="L27" s="33">
        <f t="shared" si="9"/>
        <v>75660</v>
      </c>
      <c r="M27" s="34"/>
      <c r="N27" s="33">
        <f>$N$24*E27</f>
        <v>3588210</v>
      </c>
      <c r="O27" s="34"/>
      <c r="P27" s="33">
        <f>$P$24*E27</f>
        <v>3588210</v>
      </c>
    </row>
    <row r="28" spans="1:19" s="5" customFormat="1" ht="18" customHeight="1" x14ac:dyDescent="0.2">
      <c r="A28" s="327" t="s">
        <v>58</v>
      </c>
      <c r="B28" s="328"/>
      <c r="C28" s="328"/>
      <c r="D28" s="328"/>
      <c r="E28" s="30">
        <v>0.05</v>
      </c>
      <c r="F28" s="31">
        <f>$F$24*E28</f>
        <v>3883400</v>
      </c>
      <c r="G28" s="32"/>
      <c r="H28" s="33">
        <f>$H$24*E28</f>
        <v>3512550</v>
      </c>
      <c r="I28" s="32"/>
      <c r="J28" s="33">
        <f>$J$24*E28</f>
        <v>370850</v>
      </c>
      <c r="K28" s="32"/>
      <c r="L28" s="33">
        <f t="shared" si="9"/>
        <v>75660</v>
      </c>
      <c r="M28" s="34"/>
      <c r="N28" s="33">
        <f>$N$24*E28</f>
        <v>3588210</v>
      </c>
      <c r="O28" s="34"/>
      <c r="P28" s="33">
        <f>$P$24*E28</f>
        <v>3588210</v>
      </c>
    </row>
    <row r="29" spans="1:19" s="6" customFormat="1" ht="18" customHeight="1" x14ac:dyDescent="0.2">
      <c r="A29" s="337" t="s">
        <v>59</v>
      </c>
      <c r="B29" s="338"/>
      <c r="C29" s="338"/>
      <c r="D29" s="338"/>
      <c r="E29" s="36">
        <f>SUM(E25:E28)</f>
        <v>0.18</v>
      </c>
      <c r="F29" s="37">
        <f>SUM(F25:F28)</f>
        <v>13980240</v>
      </c>
      <c r="G29" s="38"/>
      <c r="H29" s="33">
        <f>$H$24*E29</f>
        <v>12645180</v>
      </c>
      <c r="I29" s="38"/>
      <c r="J29" s="33">
        <f>$J$24*E29</f>
        <v>1335060</v>
      </c>
      <c r="K29" s="38"/>
      <c r="L29" s="33">
        <f t="shared" si="9"/>
        <v>272376</v>
      </c>
      <c r="M29" s="39"/>
      <c r="N29" s="33">
        <f>$N$24*E29</f>
        <v>12917556</v>
      </c>
      <c r="O29" s="39"/>
      <c r="P29" s="33">
        <f>$P$24*E29</f>
        <v>12917556</v>
      </c>
    </row>
    <row r="30" spans="1:19" s="5" customFormat="1" ht="18" customHeight="1" x14ac:dyDescent="0.2">
      <c r="A30" s="327" t="s">
        <v>60</v>
      </c>
      <c r="B30" s="328"/>
      <c r="C30" s="328"/>
      <c r="D30" s="328"/>
      <c r="E30" s="30">
        <v>0.19</v>
      </c>
      <c r="F30" s="31">
        <f>E30*F28</f>
        <v>737846</v>
      </c>
      <c r="G30" s="32"/>
      <c r="H30" s="33">
        <f>H28*$E$30</f>
        <v>667384.5</v>
      </c>
      <c r="I30" s="32"/>
      <c r="J30" s="33">
        <f>J28*$E$30</f>
        <v>70461.5</v>
      </c>
      <c r="K30" s="32"/>
      <c r="L30" s="33">
        <f t="shared" si="9"/>
        <v>287508</v>
      </c>
      <c r="M30" s="34"/>
      <c r="N30" s="33">
        <f>N28*$E$30</f>
        <v>681759.9</v>
      </c>
      <c r="O30" s="34"/>
      <c r="P30" s="33">
        <f>P28*$E$30</f>
        <v>681759.9</v>
      </c>
    </row>
    <row r="31" spans="1:19" s="6" customFormat="1" ht="18" customHeight="1" x14ac:dyDescent="0.2">
      <c r="A31" s="324" t="s">
        <v>61</v>
      </c>
      <c r="B31" s="325"/>
      <c r="C31" s="325"/>
      <c r="D31" s="325"/>
      <c r="E31" s="325"/>
      <c r="F31" s="37">
        <f>SUM(F24:F30)-F29</f>
        <v>92386086</v>
      </c>
      <c r="G31" s="38"/>
      <c r="H31" s="40">
        <f>SUM(H24:H30)-H29</f>
        <v>83563564.5</v>
      </c>
      <c r="I31" s="38"/>
      <c r="J31" s="40">
        <f>SUM(J24:J30)-J29</f>
        <v>8822521.5</v>
      </c>
      <c r="K31" s="38"/>
      <c r="L31" s="40">
        <f>SUM(L24:L30)-L29</f>
        <v>2073084</v>
      </c>
      <c r="M31" s="39"/>
      <c r="N31" s="40">
        <f>SUM(N24:N30)-N29</f>
        <v>85363515.900000006</v>
      </c>
      <c r="O31" s="39"/>
      <c r="P31" s="40">
        <f>SUM(P24:P30)-P29</f>
        <v>85363515.900000006</v>
      </c>
    </row>
    <row r="32" spans="1:19" s="5" customFormat="1" ht="18" customHeight="1" thickBot="1" x14ac:dyDescent="0.25">
      <c r="A32" s="41"/>
      <c r="B32" s="42"/>
      <c r="C32" s="43"/>
      <c r="D32" s="43"/>
      <c r="E32" s="43"/>
      <c r="F32" s="31"/>
      <c r="G32" s="32"/>
      <c r="H32" s="33"/>
      <c r="I32" s="44"/>
      <c r="J32" s="45"/>
      <c r="K32" s="44"/>
      <c r="L32" s="45"/>
      <c r="M32" s="46"/>
      <c r="N32" s="47"/>
      <c r="O32" s="46"/>
      <c r="P32" s="45"/>
    </row>
    <row r="33" spans="1:16" s="7" customFormat="1" ht="18" customHeight="1" x14ac:dyDescent="0.2">
      <c r="A33" s="48"/>
      <c r="B33" s="49"/>
      <c r="C33" s="49"/>
      <c r="D33" s="49"/>
      <c r="E33" s="50"/>
      <c r="F33" s="49"/>
      <c r="G33" s="49"/>
      <c r="H33" s="51"/>
      <c r="I33" s="52"/>
      <c r="J33" s="326" t="s">
        <v>62</v>
      </c>
      <c r="K33" s="326"/>
      <c r="L33" s="326"/>
      <c r="M33" s="331">
        <f>N31</f>
        <v>85363515.900000006</v>
      </c>
      <c r="N33" s="332"/>
      <c r="O33" s="329">
        <f>P31</f>
        <v>85363515.900000006</v>
      </c>
      <c r="P33" s="330"/>
    </row>
    <row r="34" spans="1:16" s="7" customFormat="1" ht="18" customHeight="1" x14ac:dyDescent="0.2">
      <c r="A34" s="53"/>
      <c r="B34" s="54"/>
      <c r="C34" s="321"/>
      <c r="D34" s="321"/>
      <c r="E34" s="55"/>
      <c r="F34" s="55"/>
      <c r="G34" s="56"/>
      <c r="H34" s="57"/>
      <c r="I34" s="313" t="s">
        <v>63</v>
      </c>
      <c r="J34" s="313"/>
      <c r="K34" s="58"/>
      <c r="L34" s="59">
        <v>0.02</v>
      </c>
      <c r="M34" s="322">
        <v>-1693635.12</v>
      </c>
      <c r="N34" s="323"/>
      <c r="O34" s="316">
        <v>-1693635.12</v>
      </c>
      <c r="P34" s="317"/>
    </row>
    <row r="35" spans="1:16" s="7" customFormat="1" ht="18" customHeight="1" x14ac:dyDescent="0.2">
      <c r="A35" s="53"/>
      <c r="B35" s="54"/>
      <c r="C35" s="55"/>
      <c r="D35" s="55"/>
      <c r="E35" s="55"/>
      <c r="F35" s="55"/>
      <c r="G35" s="56"/>
      <c r="H35" s="57"/>
      <c r="I35" s="313" t="s">
        <v>64</v>
      </c>
      <c r="J35" s="313"/>
      <c r="K35" s="58"/>
      <c r="L35" s="60" t="s">
        <v>65</v>
      </c>
      <c r="M35" s="314">
        <v>0</v>
      </c>
      <c r="N35" s="315"/>
      <c r="O35" s="316">
        <v>0</v>
      </c>
      <c r="P35" s="317"/>
    </row>
    <row r="36" spans="1:16" s="7" customFormat="1" ht="18" customHeight="1" x14ac:dyDescent="0.2">
      <c r="A36" s="61"/>
      <c r="B36" s="55"/>
      <c r="C36" s="55"/>
      <c r="D36" s="55"/>
      <c r="E36" s="55"/>
      <c r="F36" s="55"/>
      <c r="G36" s="55"/>
      <c r="H36" s="57"/>
      <c r="I36" s="313" t="s">
        <v>66</v>
      </c>
      <c r="J36" s="313"/>
      <c r="K36" s="58"/>
      <c r="L36" s="59">
        <v>0</v>
      </c>
      <c r="M36" s="314">
        <v>0</v>
      </c>
      <c r="N36" s="315"/>
      <c r="O36" s="316">
        <v>0</v>
      </c>
      <c r="P36" s="317"/>
    </row>
    <row r="37" spans="1:16" s="7" customFormat="1" ht="18" customHeight="1" x14ac:dyDescent="0.2">
      <c r="A37" s="318"/>
      <c r="B37" s="319"/>
      <c r="C37" s="319"/>
      <c r="D37" s="319"/>
      <c r="E37" s="319"/>
      <c r="F37" s="319"/>
      <c r="G37" s="319"/>
      <c r="H37" s="320"/>
      <c r="I37" s="313" t="s">
        <v>67</v>
      </c>
      <c r="J37" s="313"/>
      <c r="K37" s="62">
        <v>0.4</v>
      </c>
      <c r="L37" s="63">
        <f>M33*K37</f>
        <v>34145406.360000007</v>
      </c>
      <c r="M37" s="314">
        <f>-M33*(K37)</f>
        <v>-34145406.360000007</v>
      </c>
      <c r="N37" s="315"/>
      <c r="O37" s="316">
        <f>M37</f>
        <v>-34145406.360000007</v>
      </c>
      <c r="P37" s="317"/>
    </row>
    <row r="38" spans="1:16" s="7" customFormat="1" ht="18" customHeight="1" thickBot="1" x14ac:dyDescent="0.25">
      <c r="A38" s="307"/>
      <c r="B38" s="308"/>
      <c r="C38" s="308"/>
      <c r="D38" s="308"/>
      <c r="E38" s="308"/>
      <c r="F38" s="308"/>
      <c r="G38" s="308"/>
      <c r="H38" s="309"/>
      <c r="I38" s="310" t="s">
        <v>68</v>
      </c>
      <c r="J38" s="310"/>
      <c r="K38" s="310"/>
      <c r="L38" s="310"/>
      <c r="M38" s="64"/>
      <c r="N38" s="65">
        <f>SUM(M33:N37)</f>
        <v>49524474.419999994</v>
      </c>
      <c r="O38" s="311">
        <f>SUM(O33:P37)</f>
        <v>49524474.419999994</v>
      </c>
      <c r="P38" s="312"/>
    </row>
    <row r="40" spans="1:16" x14ac:dyDescent="0.2">
      <c r="P40" s="3"/>
    </row>
    <row r="41" spans="1:16" x14ac:dyDescent="0.2">
      <c r="F41" s="3"/>
      <c r="K41" s="9"/>
      <c r="L41" s="10"/>
      <c r="N41" s="3"/>
      <c r="P41" s="11"/>
    </row>
    <row r="42" spans="1:16" x14ac:dyDescent="0.2">
      <c r="A42" s="8"/>
      <c r="B42" s="8"/>
      <c r="C42" s="8"/>
      <c r="D42" s="8"/>
      <c r="E42" s="8"/>
      <c r="F42" s="12"/>
      <c r="G42" s="8"/>
      <c r="H42" s="8"/>
      <c r="L42" s="10"/>
      <c r="N42" s="11"/>
    </row>
    <row r="43" spans="1:16" x14ac:dyDescent="0.2">
      <c r="A43" s="7"/>
      <c r="B43" s="7"/>
      <c r="C43" s="13"/>
      <c r="D43" s="7"/>
      <c r="E43" s="7"/>
      <c r="F43" s="14"/>
      <c r="G43" s="7"/>
      <c r="H43" s="7"/>
      <c r="K43" s="9"/>
      <c r="L43" s="3"/>
    </row>
    <row r="44" spans="1:16" x14ac:dyDescent="0.2">
      <c r="F44" s="11"/>
      <c r="L44" s="15"/>
    </row>
    <row r="45" spans="1:16" x14ac:dyDescent="0.2">
      <c r="N45" s="16"/>
    </row>
    <row r="46" spans="1:16" x14ac:dyDescent="0.2">
      <c r="L46" s="10"/>
    </row>
  </sheetData>
  <mergeCells count="55">
    <mergeCell ref="O1:P1"/>
    <mergeCell ref="A2:B2"/>
    <mergeCell ref="C2:F2"/>
    <mergeCell ref="O2:P6"/>
    <mergeCell ref="A3:B3"/>
    <mergeCell ref="C3:F3"/>
    <mergeCell ref="A4:B4"/>
    <mergeCell ref="C4:F4"/>
    <mergeCell ref="A5:B5"/>
    <mergeCell ref="C5:F5"/>
    <mergeCell ref="A6:B6"/>
    <mergeCell ref="C6:F6"/>
    <mergeCell ref="A1:B1"/>
    <mergeCell ref="C1:F1"/>
    <mergeCell ref="G1:N6"/>
    <mergeCell ref="A7:A10"/>
    <mergeCell ref="B7:B10"/>
    <mergeCell ref="C7:F9"/>
    <mergeCell ref="G7:L7"/>
    <mergeCell ref="M7:N7"/>
    <mergeCell ref="G8:H9"/>
    <mergeCell ref="I8:J9"/>
    <mergeCell ref="K8:L9"/>
    <mergeCell ref="M8:N8"/>
    <mergeCell ref="M9:N9"/>
    <mergeCell ref="A27:D27"/>
    <mergeCell ref="A29:D29"/>
    <mergeCell ref="A30:D30"/>
    <mergeCell ref="A25:D25"/>
    <mergeCell ref="A26:D26"/>
    <mergeCell ref="A23:P23"/>
    <mergeCell ref="A24:E24"/>
    <mergeCell ref="O7:P9"/>
    <mergeCell ref="A31:E31"/>
    <mergeCell ref="J33:L33"/>
    <mergeCell ref="A28:D28"/>
    <mergeCell ref="O33:P33"/>
    <mergeCell ref="M33:N33"/>
    <mergeCell ref="C34:D34"/>
    <mergeCell ref="I34:J34"/>
    <mergeCell ref="O34:P34"/>
    <mergeCell ref="I35:J35"/>
    <mergeCell ref="M35:N35"/>
    <mergeCell ref="O35:P35"/>
    <mergeCell ref="M34:N34"/>
    <mergeCell ref="A38:H38"/>
    <mergeCell ref="I38:L38"/>
    <mergeCell ref="O38:P38"/>
    <mergeCell ref="I36:J36"/>
    <mergeCell ref="M36:N36"/>
    <mergeCell ref="O36:P36"/>
    <mergeCell ref="A37:H37"/>
    <mergeCell ref="I37:J37"/>
    <mergeCell ref="M37:N37"/>
    <mergeCell ref="O37:P37"/>
  </mergeCells>
  <pageMargins left="0.25" right="0.25" top="0.75" bottom="0.75" header="0.3" footer="0.3"/>
  <pageSetup paperSize="345" scale="40" orientation="landscape" r:id="rId1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833B-E739-43C7-A6C0-3A2E398243F1}">
  <sheetPr codeName="Hoja3">
    <pageSetUpPr fitToPage="1"/>
  </sheetPr>
  <dimension ref="A1:S46"/>
  <sheetViews>
    <sheetView zoomScale="81" zoomScaleNormal="81" zoomScaleSheetLayoutView="55" workbookViewId="0">
      <selection activeCell="O38" sqref="A1:P38"/>
    </sheetView>
  </sheetViews>
  <sheetFormatPr baseColWidth="10" defaultColWidth="11.5" defaultRowHeight="14" x14ac:dyDescent="0.2"/>
  <cols>
    <col min="1" max="1" width="10.33203125" style="2" customWidth="1"/>
    <col min="2" max="2" width="66.6640625" style="2" customWidth="1"/>
    <col min="3" max="3" width="11.5" style="2"/>
    <col min="4" max="4" width="12" style="2" bestFit="1" customWidth="1"/>
    <col min="5" max="5" width="15.1640625" style="2" bestFit="1" customWidth="1"/>
    <col min="6" max="6" width="22.6640625" style="2" customWidth="1"/>
    <col min="7" max="7" width="12" style="2" bestFit="1" customWidth="1"/>
    <col min="8" max="8" width="22.6640625" style="2" customWidth="1"/>
    <col min="9" max="9" width="12" style="2" bestFit="1" customWidth="1"/>
    <col min="10" max="10" width="22.6640625" style="2" customWidth="1"/>
    <col min="11" max="11" width="12" style="2" bestFit="1" customWidth="1"/>
    <col min="12" max="12" width="22.6640625" style="2" customWidth="1"/>
    <col min="13" max="13" width="14.33203125" style="2" bestFit="1" customWidth="1"/>
    <col min="14" max="14" width="22.6640625" style="2" customWidth="1"/>
    <col min="15" max="15" width="12" style="2" bestFit="1" customWidth="1"/>
    <col min="16" max="16" width="22.6640625" style="2" customWidth="1"/>
    <col min="17" max="17" width="11.5" style="2"/>
    <col min="18" max="18" width="12" style="2" bestFit="1" customWidth="1"/>
    <col min="19" max="19" width="16.6640625" style="2" bestFit="1" customWidth="1"/>
    <col min="20" max="16384" width="11.5" style="2"/>
  </cols>
  <sheetData>
    <row r="1" spans="1:19" ht="40.25" customHeight="1" x14ac:dyDescent="0.2">
      <c r="A1" s="339" t="s">
        <v>0</v>
      </c>
      <c r="B1" s="340"/>
      <c r="C1" s="341" t="s">
        <v>1</v>
      </c>
      <c r="D1" s="342"/>
      <c r="E1" s="342"/>
      <c r="F1" s="343"/>
      <c r="G1" s="344" t="s">
        <v>2</v>
      </c>
      <c r="H1" s="345"/>
      <c r="I1" s="345"/>
      <c r="J1" s="345"/>
      <c r="K1" s="345"/>
      <c r="L1" s="345"/>
      <c r="M1" s="345"/>
      <c r="N1" s="345"/>
      <c r="O1" s="374" t="s">
        <v>3</v>
      </c>
      <c r="P1" s="375"/>
    </row>
    <row r="2" spans="1:19" ht="18" customHeight="1" x14ac:dyDescent="0.2">
      <c r="A2" s="376" t="s">
        <v>4</v>
      </c>
      <c r="B2" s="377"/>
      <c r="C2" s="378" t="s">
        <v>5</v>
      </c>
      <c r="D2" s="379"/>
      <c r="E2" s="379"/>
      <c r="F2" s="380"/>
      <c r="G2" s="346"/>
      <c r="H2" s="347"/>
      <c r="I2" s="347"/>
      <c r="J2" s="347"/>
      <c r="K2" s="347"/>
      <c r="L2" s="347"/>
      <c r="M2" s="347"/>
      <c r="N2" s="347"/>
      <c r="O2" s="381">
        <v>3</v>
      </c>
      <c r="P2" s="382"/>
    </row>
    <row r="3" spans="1:19" ht="18" customHeight="1" x14ac:dyDescent="0.2">
      <c r="A3" s="376" t="s">
        <v>6</v>
      </c>
      <c r="B3" s="377"/>
      <c r="C3" s="387" t="s">
        <v>7</v>
      </c>
      <c r="D3" s="388"/>
      <c r="E3" s="388"/>
      <c r="F3" s="389"/>
      <c r="G3" s="346"/>
      <c r="H3" s="347"/>
      <c r="I3" s="347"/>
      <c r="J3" s="347"/>
      <c r="K3" s="347"/>
      <c r="L3" s="347"/>
      <c r="M3" s="347"/>
      <c r="N3" s="347"/>
      <c r="O3" s="381"/>
      <c r="P3" s="382"/>
    </row>
    <row r="4" spans="1:19" ht="18" customHeight="1" x14ac:dyDescent="0.2">
      <c r="A4" s="376" t="s">
        <v>8</v>
      </c>
      <c r="B4" s="377"/>
      <c r="C4" s="387" t="s">
        <v>9</v>
      </c>
      <c r="D4" s="388"/>
      <c r="E4" s="388"/>
      <c r="F4" s="389"/>
      <c r="G4" s="346"/>
      <c r="H4" s="347"/>
      <c r="I4" s="347"/>
      <c r="J4" s="347"/>
      <c r="K4" s="347"/>
      <c r="L4" s="347"/>
      <c r="M4" s="347"/>
      <c r="N4" s="347"/>
      <c r="O4" s="381"/>
      <c r="P4" s="382"/>
    </row>
    <row r="5" spans="1:19" ht="18" customHeight="1" x14ac:dyDescent="0.2">
      <c r="A5" s="376" t="s">
        <v>10</v>
      </c>
      <c r="B5" s="377"/>
      <c r="C5" s="387" t="s">
        <v>11</v>
      </c>
      <c r="D5" s="388"/>
      <c r="E5" s="388"/>
      <c r="F5" s="389"/>
      <c r="G5" s="346"/>
      <c r="H5" s="347"/>
      <c r="I5" s="347"/>
      <c r="J5" s="347"/>
      <c r="K5" s="347"/>
      <c r="L5" s="347"/>
      <c r="M5" s="347"/>
      <c r="N5" s="347"/>
      <c r="O5" s="383"/>
      <c r="P5" s="384"/>
    </row>
    <row r="6" spans="1:19" ht="18" customHeight="1" thickBot="1" x14ac:dyDescent="0.25">
      <c r="A6" s="390"/>
      <c r="B6" s="391"/>
      <c r="C6" s="392"/>
      <c r="D6" s="393"/>
      <c r="E6" s="393"/>
      <c r="F6" s="394"/>
      <c r="G6" s="348"/>
      <c r="H6" s="349"/>
      <c r="I6" s="349"/>
      <c r="J6" s="349"/>
      <c r="K6" s="349"/>
      <c r="L6" s="349"/>
      <c r="M6" s="349"/>
      <c r="N6" s="349"/>
      <c r="O6" s="385"/>
      <c r="P6" s="386"/>
    </row>
    <row r="7" spans="1:19" ht="17" thickBot="1" x14ac:dyDescent="0.25">
      <c r="A7" s="350" t="s">
        <v>12</v>
      </c>
      <c r="B7" s="353" t="s">
        <v>13</v>
      </c>
      <c r="C7" s="354" t="s">
        <v>14</v>
      </c>
      <c r="D7" s="355"/>
      <c r="E7" s="355"/>
      <c r="F7" s="356"/>
      <c r="G7" s="366" t="s">
        <v>15</v>
      </c>
      <c r="H7" s="367"/>
      <c r="I7" s="367"/>
      <c r="J7" s="367"/>
      <c r="K7" s="367"/>
      <c r="L7" s="368"/>
      <c r="M7" s="369" t="s">
        <v>16</v>
      </c>
      <c r="N7" s="368"/>
      <c r="O7" s="370" t="s">
        <v>17</v>
      </c>
      <c r="P7" s="371"/>
    </row>
    <row r="8" spans="1:19" ht="16" x14ac:dyDescent="0.2">
      <c r="A8" s="351"/>
      <c r="B8" s="353"/>
      <c r="C8" s="354"/>
      <c r="D8" s="355"/>
      <c r="E8" s="355"/>
      <c r="F8" s="356"/>
      <c r="G8" s="333" t="s">
        <v>18</v>
      </c>
      <c r="H8" s="334"/>
      <c r="I8" s="333" t="s">
        <v>19</v>
      </c>
      <c r="J8" s="334"/>
      <c r="K8" s="333" t="s">
        <v>20</v>
      </c>
      <c r="L8" s="334"/>
      <c r="M8" s="333" t="s">
        <v>21</v>
      </c>
      <c r="N8" s="334"/>
      <c r="O8" s="372"/>
      <c r="P8" s="373"/>
    </row>
    <row r="9" spans="1:19" ht="16" x14ac:dyDescent="0.2">
      <c r="A9" s="351"/>
      <c r="B9" s="353"/>
      <c r="C9" s="357"/>
      <c r="D9" s="358"/>
      <c r="E9" s="358"/>
      <c r="F9" s="359"/>
      <c r="G9" s="372"/>
      <c r="H9" s="373"/>
      <c r="I9" s="372"/>
      <c r="J9" s="373"/>
      <c r="K9" s="372"/>
      <c r="L9" s="373"/>
      <c r="M9" s="335">
        <v>46006</v>
      </c>
      <c r="N9" s="336"/>
      <c r="O9" s="372"/>
      <c r="P9" s="373"/>
    </row>
    <row r="10" spans="1:19" ht="18" thickBot="1" x14ac:dyDescent="0.25">
      <c r="A10" s="352"/>
      <c r="B10" s="353"/>
      <c r="C10" s="17" t="s">
        <v>22</v>
      </c>
      <c r="D10" s="18" t="s">
        <v>23</v>
      </c>
      <c r="E10" s="18" t="s">
        <v>24</v>
      </c>
      <c r="F10" s="19" t="s">
        <v>25</v>
      </c>
      <c r="G10" s="20" t="s">
        <v>23</v>
      </c>
      <c r="H10" s="21" t="s">
        <v>25</v>
      </c>
      <c r="I10" s="20" t="s">
        <v>23</v>
      </c>
      <c r="J10" s="22" t="s">
        <v>25</v>
      </c>
      <c r="K10" s="20" t="s">
        <v>23</v>
      </c>
      <c r="L10" s="21" t="s">
        <v>25</v>
      </c>
      <c r="M10" s="23" t="s">
        <v>23</v>
      </c>
      <c r="N10" s="24" t="s">
        <v>26</v>
      </c>
      <c r="O10" s="25" t="s">
        <v>23</v>
      </c>
      <c r="P10" s="21" t="s">
        <v>25</v>
      </c>
    </row>
    <row r="11" spans="1:19" ht="32" customHeight="1" thickBot="1" x14ac:dyDescent="0.25">
      <c r="A11" s="66" t="s">
        <v>27</v>
      </c>
      <c r="B11" s="67"/>
      <c r="C11" s="67"/>
      <c r="D11" s="67"/>
      <c r="E11" s="67"/>
      <c r="F11" s="67"/>
      <c r="G11" s="68"/>
      <c r="H11" s="68"/>
      <c r="I11" s="68"/>
      <c r="J11" s="68"/>
      <c r="K11" s="68"/>
      <c r="L11" s="68"/>
      <c r="M11" s="68"/>
      <c r="N11" s="68"/>
      <c r="O11" s="68"/>
      <c r="P11" s="69"/>
    </row>
    <row r="12" spans="1:19" ht="43.25" customHeight="1" x14ac:dyDescent="0.2">
      <c r="A12" s="70" t="s">
        <v>28</v>
      </c>
      <c r="B12" s="71" t="s">
        <v>29</v>
      </c>
      <c r="C12" s="72" t="s">
        <v>30</v>
      </c>
      <c r="D12" s="73">
        <v>1</v>
      </c>
      <c r="E12" s="74">
        <v>80000</v>
      </c>
      <c r="F12" s="75">
        <f>D12*E12</f>
        <v>80000</v>
      </c>
      <c r="G12" s="76">
        <v>1</v>
      </c>
      <c r="H12" s="77">
        <f>G12*E12</f>
        <v>80000</v>
      </c>
      <c r="I12" s="78">
        <f>D12-G12</f>
        <v>0</v>
      </c>
      <c r="J12" s="79">
        <f>I12*E12</f>
        <v>0</v>
      </c>
      <c r="K12" s="80">
        <v>0</v>
      </c>
      <c r="L12" s="79">
        <f>K12*E12</f>
        <v>0</v>
      </c>
      <c r="M12" s="81">
        <v>1</v>
      </c>
      <c r="N12" s="79">
        <f>M12*E12</f>
        <v>80000</v>
      </c>
      <c r="O12" s="82">
        <f>M12</f>
        <v>1</v>
      </c>
      <c r="P12" s="83">
        <f t="shared" ref="P12:P21" si="0">O12*E12</f>
        <v>80000</v>
      </c>
      <c r="R12" s="4">
        <f>O12*100/D12</f>
        <v>100</v>
      </c>
      <c r="S12" s="2" t="s">
        <v>31</v>
      </c>
    </row>
    <row r="13" spans="1:19" ht="85" x14ac:dyDescent="0.2">
      <c r="A13" s="1" t="s">
        <v>32</v>
      </c>
      <c r="B13" s="84" t="s">
        <v>33</v>
      </c>
      <c r="C13" s="85" t="s">
        <v>34</v>
      </c>
      <c r="D13" s="73">
        <v>1987</v>
      </c>
      <c r="E13" s="86">
        <v>3300</v>
      </c>
      <c r="F13" s="87">
        <f>D13*E13</f>
        <v>6557100</v>
      </c>
      <c r="G13" s="76">
        <v>1987</v>
      </c>
      <c r="H13" s="77">
        <f>G13*E13</f>
        <v>6557100</v>
      </c>
      <c r="I13" s="78">
        <f>D13-G13</f>
        <v>0</v>
      </c>
      <c r="J13" s="79">
        <f>I13*E13</f>
        <v>0</v>
      </c>
      <c r="K13" s="80">
        <v>0</v>
      </c>
      <c r="L13" s="79">
        <f>K13*E13</f>
        <v>0</v>
      </c>
      <c r="M13" s="81">
        <v>1987</v>
      </c>
      <c r="N13" s="79">
        <f t="shared" ref="N13:N21" si="1">M13*E13</f>
        <v>6557100</v>
      </c>
      <c r="O13" s="88">
        <f>M13</f>
        <v>1987</v>
      </c>
      <c r="P13" s="89">
        <f t="shared" si="0"/>
        <v>6557100</v>
      </c>
      <c r="R13" s="4">
        <f>O13*100/D13</f>
        <v>100</v>
      </c>
      <c r="S13" s="2" t="s">
        <v>31</v>
      </c>
    </row>
    <row r="14" spans="1:19" ht="85" x14ac:dyDescent="0.2">
      <c r="A14" s="1" t="s">
        <v>35</v>
      </c>
      <c r="B14" s="84" t="s">
        <v>36</v>
      </c>
      <c r="C14" s="85" t="s">
        <v>34</v>
      </c>
      <c r="D14" s="73">
        <v>139</v>
      </c>
      <c r="E14" s="90">
        <v>3000</v>
      </c>
      <c r="F14" s="87">
        <f t="shared" ref="F14:F21" si="2">D14*E14</f>
        <v>417000</v>
      </c>
      <c r="G14" s="76">
        <v>72.55</v>
      </c>
      <c r="H14" s="77">
        <f t="shared" ref="H14:H21" si="3">G14*E14</f>
        <v>217650</v>
      </c>
      <c r="I14" s="78">
        <f t="shared" ref="I14:I21" si="4">D14-G14</f>
        <v>66.45</v>
      </c>
      <c r="J14" s="79">
        <f t="shared" ref="J14:J21" si="5">I14*E14</f>
        <v>199350</v>
      </c>
      <c r="K14" s="80">
        <v>0</v>
      </c>
      <c r="L14" s="79">
        <f t="shared" ref="L14:L21" si="6">K14*E14</f>
        <v>0</v>
      </c>
      <c r="M14" s="81">
        <v>72.55</v>
      </c>
      <c r="N14" s="79">
        <f t="shared" si="1"/>
        <v>217650</v>
      </c>
      <c r="O14" s="88">
        <f t="shared" ref="O14:O21" si="7">M14</f>
        <v>72.55</v>
      </c>
      <c r="P14" s="89">
        <f t="shared" si="0"/>
        <v>217650</v>
      </c>
      <c r="R14" s="4">
        <f t="shared" ref="R14:R21" si="8">O14*100/D14</f>
        <v>52.194244604316545</v>
      </c>
      <c r="S14" s="2" t="s">
        <v>31</v>
      </c>
    </row>
    <row r="15" spans="1:19" ht="68" x14ac:dyDescent="0.2">
      <c r="A15" s="1" t="s">
        <v>37</v>
      </c>
      <c r="B15" s="84" t="s">
        <v>38</v>
      </c>
      <c r="C15" s="85" t="s">
        <v>39</v>
      </c>
      <c r="D15" s="73">
        <v>139</v>
      </c>
      <c r="E15" s="86">
        <v>37000</v>
      </c>
      <c r="F15" s="87">
        <f t="shared" si="2"/>
        <v>5143000</v>
      </c>
      <c r="G15" s="76">
        <v>73</v>
      </c>
      <c r="H15" s="77">
        <f t="shared" si="3"/>
        <v>2701000</v>
      </c>
      <c r="I15" s="78">
        <f t="shared" si="4"/>
        <v>66</v>
      </c>
      <c r="J15" s="79">
        <f>I15*E15</f>
        <v>2442000</v>
      </c>
      <c r="K15" s="80">
        <v>0</v>
      </c>
      <c r="L15" s="79">
        <f t="shared" si="6"/>
        <v>0</v>
      </c>
      <c r="M15" s="81">
        <v>73</v>
      </c>
      <c r="N15" s="79">
        <f t="shared" si="1"/>
        <v>2701000</v>
      </c>
      <c r="O15" s="88">
        <f t="shared" si="7"/>
        <v>73</v>
      </c>
      <c r="P15" s="89">
        <f t="shared" si="0"/>
        <v>2701000</v>
      </c>
      <c r="R15" s="4">
        <f t="shared" si="8"/>
        <v>52.517985611510788</v>
      </c>
      <c r="S15" s="2" t="s">
        <v>31</v>
      </c>
    </row>
    <row r="16" spans="1:19" ht="46.25" customHeight="1" x14ac:dyDescent="0.2">
      <c r="A16" s="1" t="s">
        <v>40</v>
      </c>
      <c r="B16" s="84" t="s">
        <v>41</v>
      </c>
      <c r="C16" s="85" t="s">
        <v>39</v>
      </c>
      <c r="D16" s="73">
        <v>212</v>
      </c>
      <c r="E16" s="86">
        <v>7000</v>
      </c>
      <c r="F16" s="87">
        <f t="shared" si="2"/>
        <v>1484000</v>
      </c>
      <c r="G16" s="76">
        <v>0</v>
      </c>
      <c r="H16" s="77">
        <f t="shared" si="3"/>
        <v>0</v>
      </c>
      <c r="I16" s="78">
        <f t="shared" si="4"/>
        <v>212</v>
      </c>
      <c r="J16" s="79">
        <f t="shared" si="5"/>
        <v>1484000</v>
      </c>
      <c r="K16" s="80">
        <v>0</v>
      </c>
      <c r="L16" s="79">
        <f t="shared" si="6"/>
        <v>0</v>
      </c>
      <c r="M16" s="81">
        <v>0</v>
      </c>
      <c r="N16" s="79">
        <f t="shared" si="1"/>
        <v>0</v>
      </c>
      <c r="O16" s="88">
        <f t="shared" si="7"/>
        <v>0</v>
      </c>
      <c r="P16" s="89">
        <f t="shared" si="0"/>
        <v>0</v>
      </c>
      <c r="R16" s="4">
        <f t="shared" si="8"/>
        <v>0</v>
      </c>
      <c r="S16" s="2" t="s">
        <v>31</v>
      </c>
    </row>
    <row r="17" spans="1:19" ht="43.25" customHeight="1" x14ac:dyDescent="0.2">
      <c r="A17" s="1" t="s">
        <v>42</v>
      </c>
      <c r="B17" s="84" t="s">
        <v>43</v>
      </c>
      <c r="C17" s="85" t="s">
        <v>34</v>
      </c>
      <c r="D17" s="73">
        <v>345.6</v>
      </c>
      <c r="E17" s="90">
        <v>26000</v>
      </c>
      <c r="F17" s="87">
        <f t="shared" si="2"/>
        <v>8985600</v>
      </c>
      <c r="G17" s="76">
        <v>345.6</v>
      </c>
      <c r="H17" s="77">
        <f t="shared" si="3"/>
        <v>8985600</v>
      </c>
      <c r="I17" s="78">
        <f t="shared" si="4"/>
        <v>0</v>
      </c>
      <c r="J17" s="79">
        <f t="shared" si="5"/>
        <v>0</v>
      </c>
      <c r="K17" s="80">
        <v>0</v>
      </c>
      <c r="L17" s="79">
        <f t="shared" si="6"/>
        <v>0</v>
      </c>
      <c r="M17" s="81">
        <f>D17</f>
        <v>345.6</v>
      </c>
      <c r="N17" s="79">
        <f t="shared" si="1"/>
        <v>8985600</v>
      </c>
      <c r="O17" s="88">
        <f t="shared" si="7"/>
        <v>345.6</v>
      </c>
      <c r="P17" s="89">
        <f t="shared" si="0"/>
        <v>8985600</v>
      </c>
      <c r="R17" s="4">
        <f t="shared" si="8"/>
        <v>100</v>
      </c>
      <c r="S17" s="2" t="s">
        <v>31</v>
      </c>
    </row>
    <row r="18" spans="1:19" ht="51" x14ac:dyDescent="0.2">
      <c r="A18" s="91" t="s">
        <v>44</v>
      </c>
      <c r="B18" s="84" t="s">
        <v>45</v>
      </c>
      <c r="C18" s="85" t="s">
        <v>34</v>
      </c>
      <c r="D18" s="73">
        <v>1950.4</v>
      </c>
      <c r="E18" s="86">
        <v>17500</v>
      </c>
      <c r="F18" s="87">
        <f t="shared" si="2"/>
        <v>34132000</v>
      </c>
      <c r="G18" s="76">
        <v>1950.4</v>
      </c>
      <c r="H18" s="77">
        <f>G18*E18</f>
        <v>34132000</v>
      </c>
      <c r="I18" s="78">
        <f t="shared" si="4"/>
        <v>0</v>
      </c>
      <c r="J18" s="79">
        <f t="shared" si="5"/>
        <v>0</v>
      </c>
      <c r="K18" s="80">
        <v>0</v>
      </c>
      <c r="L18" s="79">
        <f t="shared" si="6"/>
        <v>0</v>
      </c>
      <c r="M18" s="81">
        <f>D18</f>
        <v>1950.4</v>
      </c>
      <c r="N18" s="79">
        <f t="shared" si="1"/>
        <v>34132000</v>
      </c>
      <c r="O18" s="88">
        <f t="shared" si="7"/>
        <v>1950.4</v>
      </c>
      <c r="P18" s="89">
        <f t="shared" si="0"/>
        <v>34132000</v>
      </c>
      <c r="R18" s="4">
        <f t="shared" si="8"/>
        <v>100</v>
      </c>
      <c r="S18" s="2" t="s">
        <v>31</v>
      </c>
    </row>
    <row r="19" spans="1:19" ht="68" x14ac:dyDescent="0.2">
      <c r="A19" s="91" t="s">
        <v>46</v>
      </c>
      <c r="B19" s="84" t="s">
        <v>47</v>
      </c>
      <c r="C19" s="85" t="s">
        <v>34</v>
      </c>
      <c r="D19" s="73">
        <v>345.6</v>
      </c>
      <c r="E19" s="86">
        <v>12000</v>
      </c>
      <c r="F19" s="87">
        <f t="shared" si="2"/>
        <v>4147200.0000000005</v>
      </c>
      <c r="G19" s="76">
        <v>345.6</v>
      </c>
      <c r="H19" s="77">
        <f t="shared" si="3"/>
        <v>4147200.0000000005</v>
      </c>
      <c r="I19" s="78">
        <f t="shared" si="4"/>
        <v>0</v>
      </c>
      <c r="J19" s="79">
        <f t="shared" si="5"/>
        <v>0</v>
      </c>
      <c r="K19" s="80">
        <v>0</v>
      </c>
      <c r="L19" s="79">
        <f t="shared" si="6"/>
        <v>0</v>
      </c>
      <c r="M19" s="81">
        <f>D19</f>
        <v>345.6</v>
      </c>
      <c r="N19" s="79">
        <f t="shared" si="1"/>
        <v>4147200.0000000005</v>
      </c>
      <c r="O19" s="88">
        <f t="shared" si="7"/>
        <v>345.6</v>
      </c>
      <c r="P19" s="89">
        <f t="shared" si="0"/>
        <v>4147200.0000000005</v>
      </c>
      <c r="R19" s="4">
        <f t="shared" si="8"/>
        <v>100</v>
      </c>
      <c r="S19" s="2" t="s">
        <v>31</v>
      </c>
    </row>
    <row r="20" spans="1:19" ht="34" x14ac:dyDescent="0.2">
      <c r="A20" s="91" t="s">
        <v>48</v>
      </c>
      <c r="B20" s="92" t="s">
        <v>49</v>
      </c>
      <c r="C20" s="85" t="s">
        <v>50</v>
      </c>
      <c r="D20" s="93">
        <v>12</v>
      </c>
      <c r="E20" s="90">
        <v>140000</v>
      </c>
      <c r="F20" s="87">
        <f t="shared" si="2"/>
        <v>1680000</v>
      </c>
      <c r="G20" s="76">
        <v>12</v>
      </c>
      <c r="H20" s="77">
        <f t="shared" si="3"/>
        <v>1680000</v>
      </c>
      <c r="I20" s="78">
        <f t="shared" si="4"/>
        <v>0</v>
      </c>
      <c r="J20" s="79">
        <f t="shared" si="5"/>
        <v>0</v>
      </c>
      <c r="K20" s="80">
        <v>0</v>
      </c>
      <c r="L20" s="79">
        <f t="shared" si="6"/>
        <v>0</v>
      </c>
      <c r="M20" s="81">
        <v>12</v>
      </c>
      <c r="N20" s="79">
        <f t="shared" si="1"/>
        <v>1680000</v>
      </c>
      <c r="O20" s="88">
        <f t="shared" si="7"/>
        <v>12</v>
      </c>
      <c r="P20" s="89">
        <f t="shared" si="0"/>
        <v>1680000</v>
      </c>
      <c r="R20" s="4"/>
    </row>
    <row r="21" spans="1:19" ht="31.25" customHeight="1" thickBot="1" x14ac:dyDescent="0.25">
      <c r="A21" s="91" t="s">
        <v>51</v>
      </c>
      <c r="B21" s="92" t="s">
        <v>52</v>
      </c>
      <c r="C21" s="85" t="s">
        <v>30</v>
      </c>
      <c r="D21" s="73">
        <v>1</v>
      </c>
      <c r="E21" s="90">
        <v>200000</v>
      </c>
      <c r="F21" s="87">
        <f t="shared" si="2"/>
        <v>200000</v>
      </c>
      <c r="G21" s="76">
        <v>1</v>
      </c>
      <c r="H21" s="77">
        <f t="shared" si="3"/>
        <v>200000</v>
      </c>
      <c r="I21" s="78">
        <f t="shared" si="4"/>
        <v>0</v>
      </c>
      <c r="J21" s="79">
        <f t="shared" si="5"/>
        <v>0</v>
      </c>
      <c r="K21" s="80">
        <v>0</v>
      </c>
      <c r="L21" s="79">
        <f t="shared" si="6"/>
        <v>0</v>
      </c>
      <c r="M21" s="81">
        <v>1</v>
      </c>
      <c r="N21" s="79">
        <f t="shared" si="1"/>
        <v>200000</v>
      </c>
      <c r="O21" s="88">
        <f t="shared" si="7"/>
        <v>1</v>
      </c>
      <c r="P21" s="89">
        <f t="shared" si="0"/>
        <v>200000</v>
      </c>
      <c r="R21" s="4">
        <f t="shared" si="8"/>
        <v>100</v>
      </c>
      <c r="S21" s="2" t="s">
        <v>31</v>
      </c>
    </row>
    <row r="22" spans="1:19" s="5" customFormat="1" ht="18" customHeight="1" thickBot="1" x14ac:dyDescent="0.25">
      <c r="A22" s="94" t="s">
        <v>53</v>
      </c>
      <c r="B22" s="95"/>
      <c r="C22" s="96"/>
      <c r="D22" s="97"/>
      <c r="E22" s="97"/>
      <c r="F22" s="98">
        <f>SUM(F12:F21)</f>
        <v>62825900</v>
      </c>
      <c r="G22" s="99"/>
      <c r="H22" s="100">
        <f>SUM(H12:H21)</f>
        <v>58700550</v>
      </c>
      <c r="I22" s="99"/>
      <c r="J22" s="100">
        <f>SUM(J12:J21)</f>
        <v>4125350</v>
      </c>
      <c r="K22" s="99"/>
      <c r="L22" s="100">
        <f>SUM(L12:L21)</f>
        <v>0</v>
      </c>
      <c r="M22" s="99"/>
      <c r="N22" s="100">
        <f>SUM(N12:N21)</f>
        <v>58700550</v>
      </c>
      <c r="O22" s="101"/>
      <c r="P22" s="100">
        <f>SUM(P12:P21)</f>
        <v>58700550</v>
      </c>
      <c r="R22" s="4"/>
      <c r="S22" s="2"/>
    </row>
    <row r="23" spans="1:19" s="5" customFormat="1" ht="18" customHeight="1" thickBot="1" x14ac:dyDescent="0.25">
      <c r="A23" s="360"/>
      <c r="B23" s="361"/>
      <c r="C23" s="361"/>
      <c r="D23" s="361"/>
      <c r="E23" s="361"/>
      <c r="F23" s="361"/>
      <c r="G23" s="362"/>
      <c r="H23" s="362"/>
      <c r="I23" s="361"/>
      <c r="J23" s="361"/>
      <c r="K23" s="361"/>
      <c r="L23" s="361"/>
      <c r="M23" s="361"/>
      <c r="N23" s="361"/>
      <c r="O23" s="361"/>
      <c r="P23" s="363"/>
    </row>
    <row r="24" spans="1:19" s="6" customFormat="1" ht="18" customHeight="1" x14ac:dyDescent="0.2">
      <c r="A24" s="364" t="s">
        <v>54</v>
      </c>
      <c r="B24" s="365"/>
      <c r="C24" s="365"/>
      <c r="D24" s="365"/>
      <c r="E24" s="365"/>
      <c r="F24" s="26">
        <f>F22</f>
        <v>62825900</v>
      </c>
      <c r="G24" s="27"/>
      <c r="H24" s="28">
        <f>H22</f>
        <v>58700550</v>
      </c>
      <c r="I24" s="27"/>
      <c r="J24" s="28">
        <f>J22</f>
        <v>4125350</v>
      </c>
      <c r="K24" s="27"/>
      <c r="L24" s="28">
        <f>L22</f>
        <v>0</v>
      </c>
      <c r="M24" s="29"/>
      <c r="N24" s="28">
        <f>N22</f>
        <v>58700550</v>
      </c>
      <c r="O24" s="29"/>
      <c r="P24" s="28">
        <f>P22</f>
        <v>58700550</v>
      </c>
    </row>
    <row r="25" spans="1:19" s="5" customFormat="1" ht="18" customHeight="1" x14ac:dyDescent="0.2">
      <c r="A25" s="327" t="s">
        <v>55</v>
      </c>
      <c r="B25" s="328"/>
      <c r="C25" s="328"/>
      <c r="D25" s="328"/>
      <c r="E25" s="30">
        <v>0.08</v>
      </c>
      <c r="F25" s="31">
        <f>$F$24*E25</f>
        <v>5026072</v>
      </c>
      <c r="G25" s="32"/>
      <c r="H25" s="33">
        <f>$H$24*E25</f>
        <v>4696044</v>
      </c>
      <c r="I25" s="32"/>
      <c r="J25" s="33">
        <f>$J$24*E25</f>
        <v>330028</v>
      </c>
      <c r="K25" s="32"/>
      <c r="L25" s="33">
        <f t="shared" ref="L25:L30" si="9">$L$24*E25</f>
        <v>0</v>
      </c>
      <c r="M25" s="34"/>
      <c r="N25" s="33">
        <f>$N$24*E25</f>
        <v>4696044</v>
      </c>
      <c r="O25" s="34"/>
      <c r="P25" s="33">
        <f>$P$24*E25</f>
        <v>4696044</v>
      </c>
    </row>
    <row r="26" spans="1:19" s="5" customFormat="1" ht="18" customHeight="1" x14ac:dyDescent="0.2">
      <c r="A26" s="327" t="s">
        <v>56</v>
      </c>
      <c r="B26" s="328"/>
      <c r="C26" s="328"/>
      <c r="D26" s="328"/>
      <c r="E26" s="35">
        <v>0</v>
      </c>
      <c r="F26" s="31">
        <f>$F$24*E26</f>
        <v>0</v>
      </c>
      <c r="G26" s="32"/>
      <c r="H26" s="33">
        <f>$H$24*E26</f>
        <v>0</v>
      </c>
      <c r="I26" s="32"/>
      <c r="J26" s="33">
        <f>$J$24*E26</f>
        <v>0</v>
      </c>
      <c r="K26" s="32"/>
      <c r="L26" s="33">
        <f t="shared" si="9"/>
        <v>0</v>
      </c>
      <c r="M26" s="34"/>
      <c r="N26" s="33">
        <f>$N$24*E26</f>
        <v>0</v>
      </c>
      <c r="O26" s="34"/>
      <c r="P26" s="33">
        <f>$P$24*E26</f>
        <v>0</v>
      </c>
    </row>
    <row r="27" spans="1:19" s="5" customFormat="1" ht="18" customHeight="1" x14ac:dyDescent="0.2">
      <c r="A27" s="327" t="s">
        <v>57</v>
      </c>
      <c r="B27" s="328"/>
      <c r="C27" s="328"/>
      <c r="D27" s="328"/>
      <c r="E27" s="30">
        <v>0.05</v>
      </c>
      <c r="F27" s="31">
        <f>$F$24*E27</f>
        <v>3141295</v>
      </c>
      <c r="G27" s="32"/>
      <c r="H27" s="33">
        <f>$H$24*E27</f>
        <v>2935027.5</v>
      </c>
      <c r="I27" s="32"/>
      <c r="J27" s="33">
        <f>$J$24*E27</f>
        <v>206267.5</v>
      </c>
      <c r="K27" s="32"/>
      <c r="L27" s="33">
        <f t="shared" si="9"/>
        <v>0</v>
      </c>
      <c r="M27" s="34"/>
      <c r="N27" s="33">
        <f>$N$24*E27</f>
        <v>2935027.5</v>
      </c>
      <c r="O27" s="34"/>
      <c r="P27" s="33">
        <f>$P$24*E27</f>
        <v>2935027.5</v>
      </c>
    </row>
    <row r="28" spans="1:19" s="5" customFormat="1" ht="18" customHeight="1" x14ac:dyDescent="0.2">
      <c r="A28" s="327" t="s">
        <v>58</v>
      </c>
      <c r="B28" s="328"/>
      <c r="C28" s="328"/>
      <c r="D28" s="328"/>
      <c r="E28" s="30">
        <v>0.05</v>
      </c>
      <c r="F28" s="31">
        <f>$F$24*E28</f>
        <v>3141295</v>
      </c>
      <c r="G28" s="32"/>
      <c r="H28" s="33">
        <f>$H$24*E28</f>
        <v>2935027.5</v>
      </c>
      <c r="I28" s="32"/>
      <c r="J28" s="33">
        <f>$J$24*E28</f>
        <v>206267.5</v>
      </c>
      <c r="K28" s="32"/>
      <c r="L28" s="33">
        <f t="shared" si="9"/>
        <v>0</v>
      </c>
      <c r="M28" s="34"/>
      <c r="N28" s="33">
        <f>$N$24*E28</f>
        <v>2935027.5</v>
      </c>
      <c r="O28" s="34"/>
      <c r="P28" s="33">
        <f>$P$24*E28</f>
        <v>2935027.5</v>
      </c>
    </row>
    <row r="29" spans="1:19" s="6" customFormat="1" ht="18" customHeight="1" x14ac:dyDescent="0.2">
      <c r="A29" s="337" t="s">
        <v>59</v>
      </c>
      <c r="B29" s="338"/>
      <c r="C29" s="338"/>
      <c r="D29" s="338"/>
      <c r="E29" s="36">
        <f>SUM(E25:E28)</f>
        <v>0.18</v>
      </c>
      <c r="F29" s="37">
        <f>SUM(F25:F28)</f>
        <v>11308662</v>
      </c>
      <c r="G29" s="38"/>
      <c r="H29" s="33">
        <f>$H$24*E29</f>
        <v>10566099</v>
      </c>
      <c r="I29" s="38"/>
      <c r="J29" s="33">
        <f>$J$24*E29</f>
        <v>742563</v>
      </c>
      <c r="K29" s="38"/>
      <c r="L29" s="33">
        <f t="shared" si="9"/>
        <v>0</v>
      </c>
      <c r="M29" s="39"/>
      <c r="N29" s="33">
        <f>$N$24*E29</f>
        <v>10566099</v>
      </c>
      <c r="O29" s="39"/>
      <c r="P29" s="33">
        <f>$P$24*E29</f>
        <v>10566099</v>
      </c>
    </row>
    <row r="30" spans="1:19" s="5" customFormat="1" ht="18" customHeight="1" x14ac:dyDescent="0.2">
      <c r="A30" s="327" t="s">
        <v>60</v>
      </c>
      <c r="B30" s="328"/>
      <c r="C30" s="328"/>
      <c r="D30" s="328"/>
      <c r="E30" s="30">
        <v>0.19</v>
      </c>
      <c r="F30" s="31">
        <f>E30*F28</f>
        <v>596846.05000000005</v>
      </c>
      <c r="G30" s="32"/>
      <c r="H30" s="33">
        <f>H28*$E$30</f>
        <v>557655.22499999998</v>
      </c>
      <c r="I30" s="32"/>
      <c r="J30" s="33">
        <f>J28*$E$30</f>
        <v>39190.824999999997</v>
      </c>
      <c r="K30" s="32"/>
      <c r="L30" s="33">
        <f t="shared" si="9"/>
        <v>0</v>
      </c>
      <c r="M30" s="34"/>
      <c r="N30" s="33">
        <f>N28*$E$30</f>
        <v>557655.22499999998</v>
      </c>
      <c r="O30" s="34"/>
      <c r="P30" s="33">
        <f>P28*$E$30</f>
        <v>557655.22499999998</v>
      </c>
    </row>
    <row r="31" spans="1:19" s="6" customFormat="1" ht="18" customHeight="1" x14ac:dyDescent="0.2">
      <c r="A31" s="324" t="s">
        <v>61</v>
      </c>
      <c r="B31" s="325"/>
      <c r="C31" s="325"/>
      <c r="D31" s="325"/>
      <c r="E31" s="325"/>
      <c r="F31" s="37">
        <f>SUM(F24:F30)-F29</f>
        <v>74731408.049999997</v>
      </c>
      <c r="G31" s="38"/>
      <c r="H31" s="40">
        <f>SUM(H24:H30)-H29</f>
        <v>69824304.224999994</v>
      </c>
      <c r="I31" s="38"/>
      <c r="J31" s="40">
        <f>SUM(J24:J30)-J29</f>
        <v>4907103.8250000002</v>
      </c>
      <c r="K31" s="38"/>
      <c r="L31" s="40">
        <f>SUM(L24:L30)-L29</f>
        <v>0</v>
      </c>
      <c r="M31" s="39"/>
      <c r="N31" s="40">
        <f>SUM(N24:N30)-N29</f>
        <v>69824304.224999994</v>
      </c>
      <c r="O31" s="39"/>
      <c r="P31" s="40">
        <f>SUM(P24:P30)-P29</f>
        <v>69824304.224999994</v>
      </c>
    </row>
    <row r="32" spans="1:19" s="5" customFormat="1" ht="18" customHeight="1" thickBot="1" x14ac:dyDescent="0.25">
      <c r="A32" s="41"/>
      <c r="B32" s="42"/>
      <c r="C32" s="43"/>
      <c r="D32" s="43"/>
      <c r="E32" s="43"/>
      <c r="F32" s="31"/>
      <c r="G32" s="32"/>
      <c r="H32" s="33"/>
      <c r="I32" s="44"/>
      <c r="J32" s="45"/>
      <c r="K32" s="44"/>
      <c r="L32" s="45"/>
      <c r="M32" s="46"/>
      <c r="N32" s="47"/>
      <c r="O32" s="46"/>
      <c r="P32" s="45"/>
    </row>
    <row r="33" spans="1:16" s="7" customFormat="1" ht="18" customHeight="1" x14ac:dyDescent="0.2">
      <c r="A33" s="48"/>
      <c r="B33" s="49"/>
      <c r="C33" s="49"/>
      <c r="D33" s="49"/>
      <c r="E33" s="50"/>
      <c r="F33" s="49"/>
      <c r="G33" s="49"/>
      <c r="H33" s="51"/>
      <c r="I33" s="52"/>
      <c r="J33" s="326" t="s">
        <v>62</v>
      </c>
      <c r="K33" s="326"/>
      <c r="L33" s="326"/>
      <c r="M33" s="331">
        <f>N31</f>
        <v>69824304.224999994</v>
      </c>
      <c r="N33" s="332"/>
      <c r="O33" s="329">
        <f>P31</f>
        <v>69824304.224999994</v>
      </c>
      <c r="P33" s="330"/>
    </row>
    <row r="34" spans="1:16" s="7" customFormat="1" ht="18" customHeight="1" x14ac:dyDescent="0.2">
      <c r="A34" s="53"/>
      <c r="B34" s="54"/>
      <c r="C34" s="321"/>
      <c r="D34" s="321"/>
      <c r="E34" s="55"/>
      <c r="F34" s="55"/>
      <c r="G34" s="56"/>
      <c r="H34" s="57"/>
      <c r="I34" s="313" t="s">
        <v>63</v>
      </c>
      <c r="J34" s="313"/>
      <c r="K34" s="58"/>
      <c r="L34" s="59">
        <v>0.02</v>
      </c>
      <c r="M34" s="314">
        <v>-1385332.98</v>
      </c>
      <c r="N34" s="315"/>
      <c r="O34" s="316">
        <v>-1385332.98</v>
      </c>
      <c r="P34" s="317"/>
    </row>
    <row r="35" spans="1:16" s="7" customFormat="1" ht="18" customHeight="1" x14ac:dyDescent="0.2">
      <c r="A35" s="53"/>
      <c r="B35" s="54"/>
      <c r="C35" s="55"/>
      <c r="D35" s="55"/>
      <c r="E35" s="55"/>
      <c r="F35" s="55"/>
      <c r="G35" s="56"/>
      <c r="H35" s="57"/>
      <c r="I35" s="313" t="s">
        <v>64</v>
      </c>
      <c r="J35" s="313"/>
      <c r="K35" s="58"/>
      <c r="L35" s="60" t="s">
        <v>65</v>
      </c>
      <c r="M35" s="314">
        <v>0</v>
      </c>
      <c r="N35" s="315"/>
      <c r="O35" s="316">
        <v>0</v>
      </c>
      <c r="P35" s="317"/>
    </row>
    <row r="36" spans="1:16" s="7" customFormat="1" ht="18" customHeight="1" x14ac:dyDescent="0.2">
      <c r="A36" s="61"/>
      <c r="B36" s="55"/>
      <c r="C36" s="55"/>
      <c r="D36" s="55"/>
      <c r="E36" s="55"/>
      <c r="F36" s="55"/>
      <c r="G36" s="55"/>
      <c r="H36" s="57"/>
      <c r="I36" s="313" t="s">
        <v>66</v>
      </c>
      <c r="J36" s="313"/>
      <c r="K36" s="58"/>
      <c r="L36" s="59">
        <v>0</v>
      </c>
      <c r="M36" s="314">
        <v>0</v>
      </c>
      <c r="N36" s="315"/>
      <c r="O36" s="316">
        <v>0</v>
      </c>
      <c r="P36" s="317"/>
    </row>
    <row r="37" spans="1:16" s="7" customFormat="1" ht="18" customHeight="1" x14ac:dyDescent="0.2">
      <c r="A37" s="318"/>
      <c r="B37" s="319"/>
      <c r="C37" s="319"/>
      <c r="D37" s="319"/>
      <c r="E37" s="319"/>
      <c r="F37" s="319"/>
      <c r="G37" s="319"/>
      <c r="H37" s="320"/>
      <c r="I37" s="313" t="s">
        <v>67</v>
      </c>
      <c r="J37" s="313"/>
      <c r="K37" s="62">
        <v>0.17078130791785917</v>
      </c>
      <c r="L37" s="63">
        <f>M33*K37</f>
        <v>11924685.999999998</v>
      </c>
      <c r="M37" s="314">
        <f>-M33*(K37)</f>
        <v>-11924685.999999998</v>
      </c>
      <c r="N37" s="315"/>
      <c r="O37" s="316">
        <f>M37</f>
        <v>-11924685.999999998</v>
      </c>
      <c r="P37" s="317"/>
    </row>
    <row r="38" spans="1:16" s="7" customFormat="1" ht="18" customHeight="1" thickBot="1" x14ac:dyDescent="0.25">
      <c r="A38" s="307"/>
      <c r="B38" s="308"/>
      <c r="C38" s="308"/>
      <c r="D38" s="308"/>
      <c r="E38" s="308"/>
      <c r="F38" s="308"/>
      <c r="G38" s="308"/>
      <c r="H38" s="309"/>
      <c r="I38" s="310" t="s">
        <v>68</v>
      </c>
      <c r="J38" s="310"/>
      <c r="K38" s="310"/>
      <c r="L38" s="310"/>
      <c r="M38" s="64"/>
      <c r="N38" s="65">
        <f>SUM(M33:N37)</f>
        <v>56514285.24499999</v>
      </c>
      <c r="O38" s="311">
        <f>SUM(O33:P37)</f>
        <v>56514285.24499999</v>
      </c>
      <c r="P38" s="312"/>
    </row>
    <row r="40" spans="1:16" x14ac:dyDescent="0.2">
      <c r="P40" s="3"/>
    </row>
    <row r="41" spans="1:16" x14ac:dyDescent="0.2">
      <c r="F41" s="3"/>
      <c r="K41" s="9"/>
      <c r="L41" s="10"/>
      <c r="N41" s="3"/>
      <c r="P41" s="11"/>
    </row>
    <row r="42" spans="1:16" x14ac:dyDescent="0.2">
      <c r="A42" s="8"/>
      <c r="B42" s="8"/>
      <c r="C42" s="8"/>
      <c r="D42" s="8"/>
      <c r="E42" s="8"/>
      <c r="F42" s="12"/>
      <c r="G42" s="8"/>
      <c r="H42" s="8"/>
      <c r="L42" s="10"/>
      <c r="N42" s="11"/>
    </row>
    <row r="43" spans="1:16" x14ac:dyDescent="0.2">
      <c r="A43" s="7"/>
      <c r="B43" s="7"/>
      <c r="C43" s="13"/>
      <c r="D43" s="7"/>
      <c r="E43" s="7"/>
      <c r="F43" s="14"/>
      <c r="G43" s="7"/>
      <c r="H43" s="7"/>
      <c r="K43" s="9"/>
      <c r="L43" s="3"/>
    </row>
    <row r="44" spans="1:16" x14ac:dyDescent="0.2">
      <c r="F44" s="11"/>
      <c r="L44" s="15"/>
    </row>
    <row r="45" spans="1:16" x14ac:dyDescent="0.2">
      <c r="N45" s="16"/>
    </row>
    <row r="46" spans="1:16" x14ac:dyDescent="0.2">
      <c r="L46" s="10"/>
    </row>
  </sheetData>
  <mergeCells count="55">
    <mergeCell ref="G1:N6"/>
    <mergeCell ref="O1:P1"/>
    <mergeCell ref="A2:B2"/>
    <mergeCell ref="C2:F2"/>
    <mergeCell ref="O2:P6"/>
    <mergeCell ref="A3:B3"/>
    <mergeCell ref="C3:F3"/>
    <mergeCell ref="A4:B4"/>
    <mergeCell ref="A7:A10"/>
    <mergeCell ref="B7:B10"/>
    <mergeCell ref="C7:F9"/>
    <mergeCell ref="A1:B1"/>
    <mergeCell ref="C1:F1"/>
    <mergeCell ref="C4:F4"/>
    <mergeCell ref="A5:B5"/>
    <mergeCell ref="C5:F5"/>
    <mergeCell ref="A6:B6"/>
    <mergeCell ref="C6:F6"/>
    <mergeCell ref="G7:L7"/>
    <mergeCell ref="M7:N7"/>
    <mergeCell ref="O7:P9"/>
    <mergeCell ref="G8:H9"/>
    <mergeCell ref="I8:J9"/>
    <mergeCell ref="K8:L9"/>
    <mergeCell ref="M8:N8"/>
    <mergeCell ref="M9:N9"/>
    <mergeCell ref="O33:P33"/>
    <mergeCell ref="A23:P23"/>
    <mergeCell ref="A24:E24"/>
    <mergeCell ref="A25:D25"/>
    <mergeCell ref="A26:D26"/>
    <mergeCell ref="A27:D27"/>
    <mergeCell ref="A28:D28"/>
    <mergeCell ref="A29:D29"/>
    <mergeCell ref="A30:D30"/>
    <mergeCell ref="A31:E31"/>
    <mergeCell ref="J33:L33"/>
    <mergeCell ref="M33:N33"/>
    <mergeCell ref="C34:D34"/>
    <mergeCell ref="I34:J34"/>
    <mergeCell ref="O34:P34"/>
    <mergeCell ref="I35:J35"/>
    <mergeCell ref="M35:N35"/>
    <mergeCell ref="O35:P35"/>
    <mergeCell ref="M34:N34"/>
    <mergeCell ref="A38:H38"/>
    <mergeCell ref="I38:L38"/>
    <mergeCell ref="O38:P38"/>
    <mergeCell ref="I36:J36"/>
    <mergeCell ref="M36:N36"/>
    <mergeCell ref="O36:P36"/>
    <mergeCell ref="A37:H37"/>
    <mergeCell ref="I37:J37"/>
    <mergeCell ref="M37:N37"/>
    <mergeCell ref="O37:P37"/>
  </mergeCells>
  <pageMargins left="0.25" right="0.25" top="0.75" bottom="0.75" header="0.3" footer="0.3"/>
  <pageSetup paperSize="345" scale="40" orientation="landscape" r:id="rId1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5631-186D-1143-BCA4-8FE3189E38EE}">
  <sheetPr codeName="Hoja4">
    <pageSetUpPr fitToPage="1"/>
  </sheetPr>
  <dimension ref="A1:S42"/>
  <sheetViews>
    <sheetView topLeftCell="C4" zoomScale="125" zoomScaleNormal="60" zoomScaleSheetLayoutView="55" workbookViewId="0">
      <selection sqref="A1:P34"/>
    </sheetView>
  </sheetViews>
  <sheetFormatPr baseColWidth="10" defaultColWidth="11.5" defaultRowHeight="14" x14ac:dyDescent="0.2"/>
  <cols>
    <col min="1" max="1" width="10.33203125" style="2" customWidth="1"/>
    <col min="2" max="2" width="66.6640625" style="2" customWidth="1"/>
    <col min="3" max="3" width="11.5" style="2"/>
    <col min="4" max="4" width="12" style="2" bestFit="1" customWidth="1"/>
    <col min="5" max="5" width="15.1640625" style="2" bestFit="1" customWidth="1"/>
    <col min="6" max="6" width="22.6640625" style="2" customWidth="1"/>
    <col min="7" max="7" width="12" style="2" bestFit="1" customWidth="1"/>
    <col min="8" max="8" width="22.6640625" style="2" customWidth="1"/>
    <col min="9" max="9" width="12" style="2" bestFit="1" customWidth="1"/>
    <col min="10" max="10" width="22.6640625" style="2" customWidth="1"/>
    <col min="11" max="11" width="12" style="2" bestFit="1" customWidth="1"/>
    <col min="12" max="12" width="22.6640625" style="2" customWidth="1"/>
    <col min="13" max="13" width="12.6640625" style="2" bestFit="1" customWidth="1"/>
    <col min="14" max="14" width="22.6640625" style="2" customWidth="1"/>
    <col min="15" max="15" width="12" style="2" bestFit="1" customWidth="1"/>
    <col min="16" max="16" width="22.6640625" style="2" customWidth="1"/>
    <col min="17" max="17" width="11.5" style="2"/>
    <col min="18" max="18" width="12" style="2" bestFit="1" customWidth="1"/>
    <col min="19" max="19" width="16.6640625" style="2" bestFit="1" customWidth="1"/>
    <col min="20" max="16384" width="11.5" style="2"/>
  </cols>
  <sheetData>
    <row r="1" spans="1:19" ht="40.25" customHeight="1" x14ac:dyDescent="0.2">
      <c r="A1" s="339" t="s">
        <v>0</v>
      </c>
      <c r="B1" s="340"/>
      <c r="C1" s="341" t="s">
        <v>1</v>
      </c>
      <c r="D1" s="342"/>
      <c r="E1" s="342"/>
      <c r="F1" s="343"/>
      <c r="G1" s="344" t="s">
        <v>76</v>
      </c>
      <c r="H1" s="345"/>
      <c r="I1" s="345"/>
      <c r="J1" s="345"/>
      <c r="K1" s="345"/>
      <c r="L1" s="345"/>
      <c r="M1" s="345"/>
      <c r="N1" s="345"/>
      <c r="O1" s="374" t="s">
        <v>3</v>
      </c>
      <c r="P1" s="375"/>
    </row>
    <row r="2" spans="1:19" ht="18" customHeight="1" x14ac:dyDescent="0.2">
      <c r="A2" s="376" t="s">
        <v>4</v>
      </c>
      <c r="B2" s="377"/>
      <c r="C2" s="378" t="s">
        <v>5</v>
      </c>
      <c r="D2" s="379"/>
      <c r="E2" s="379"/>
      <c r="F2" s="380"/>
      <c r="G2" s="346"/>
      <c r="H2" s="347"/>
      <c r="I2" s="347"/>
      <c r="J2" s="347"/>
      <c r="K2" s="347"/>
      <c r="L2" s="347"/>
      <c r="M2" s="347"/>
      <c r="N2" s="347"/>
      <c r="O2" s="381">
        <v>4</v>
      </c>
      <c r="P2" s="382"/>
    </row>
    <row r="3" spans="1:19" ht="18" customHeight="1" x14ac:dyDescent="0.2">
      <c r="A3" s="376" t="s">
        <v>6</v>
      </c>
      <c r="B3" s="377"/>
      <c r="C3" s="387" t="s">
        <v>7</v>
      </c>
      <c r="D3" s="388"/>
      <c r="E3" s="388"/>
      <c r="F3" s="389"/>
      <c r="G3" s="346"/>
      <c r="H3" s="347"/>
      <c r="I3" s="347"/>
      <c r="J3" s="347"/>
      <c r="K3" s="347"/>
      <c r="L3" s="347"/>
      <c r="M3" s="347"/>
      <c r="N3" s="347"/>
      <c r="O3" s="381"/>
      <c r="P3" s="382"/>
    </row>
    <row r="4" spans="1:19" ht="18" customHeight="1" x14ac:dyDescent="0.2">
      <c r="A4" s="376" t="s">
        <v>8</v>
      </c>
      <c r="B4" s="377"/>
      <c r="C4" s="387" t="s">
        <v>9</v>
      </c>
      <c r="D4" s="388"/>
      <c r="E4" s="388"/>
      <c r="F4" s="389"/>
      <c r="G4" s="346"/>
      <c r="H4" s="347"/>
      <c r="I4" s="347"/>
      <c r="J4" s="347"/>
      <c r="K4" s="347"/>
      <c r="L4" s="347"/>
      <c r="M4" s="347"/>
      <c r="N4" s="347"/>
      <c r="O4" s="381"/>
      <c r="P4" s="382"/>
    </row>
    <row r="5" spans="1:19" ht="18" customHeight="1" x14ac:dyDescent="0.2">
      <c r="A5" s="376" t="s">
        <v>10</v>
      </c>
      <c r="B5" s="377"/>
      <c r="C5" s="387" t="s">
        <v>11</v>
      </c>
      <c r="D5" s="388"/>
      <c r="E5" s="388"/>
      <c r="F5" s="389"/>
      <c r="G5" s="346"/>
      <c r="H5" s="347"/>
      <c r="I5" s="347"/>
      <c r="J5" s="347"/>
      <c r="K5" s="347"/>
      <c r="L5" s="347"/>
      <c r="M5" s="347"/>
      <c r="N5" s="347"/>
      <c r="O5" s="383"/>
      <c r="P5" s="384"/>
    </row>
    <row r="6" spans="1:19" ht="18" customHeight="1" thickBot="1" x14ac:dyDescent="0.25">
      <c r="A6" s="390"/>
      <c r="B6" s="391"/>
      <c r="C6" s="392"/>
      <c r="D6" s="393"/>
      <c r="E6" s="393"/>
      <c r="F6" s="394"/>
      <c r="G6" s="348"/>
      <c r="H6" s="349"/>
      <c r="I6" s="349"/>
      <c r="J6" s="349"/>
      <c r="K6" s="349"/>
      <c r="L6" s="349"/>
      <c r="M6" s="349"/>
      <c r="N6" s="349"/>
      <c r="O6" s="385"/>
      <c r="P6" s="386"/>
    </row>
    <row r="7" spans="1:19" ht="17" thickBot="1" x14ac:dyDescent="0.25">
      <c r="A7" s="350" t="s">
        <v>12</v>
      </c>
      <c r="B7" s="353" t="s">
        <v>13</v>
      </c>
      <c r="C7" s="354" t="s">
        <v>14</v>
      </c>
      <c r="D7" s="355"/>
      <c r="E7" s="355"/>
      <c r="F7" s="356"/>
      <c r="G7" s="366" t="s">
        <v>15</v>
      </c>
      <c r="H7" s="367"/>
      <c r="I7" s="367"/>
      <c r="J7" s="367"/>
      <c r="K7" s="367"/>
      <c r="L7" s="368"/>
      <c r="M7" s="369" t="s">
        <v>16</v>
      </c>
      <c r="N7" s="368"/>
      <c r="O7" s="370" t="s">
        <v>17</v>
      </c>
      <c r="P7" s="371"/>
    </row>
    <row r="8" spans="1:19" ht="16" x14ac:dyDescent="0.2">
      <c r="A8" s="351"/>
      <c r="B8" s="353"/>
      <c r="C8" s="354"/>
      <c r="D8" s="355"/>
      <c r="E8" s="355"/>
      <c r="F8" s="356"/>
      <c r="G8" s="333" t="s">
        <v>18</v>
      </c>
      <c r="H8" s="334"/>
      <c r="I8" s="333" t="s">
        <v>19</v>
      </c>
      <c r="J8" s="334"/>
      <c r="K8" s="333" t="s">
        <v>20</v>
      </c>
      <c r="L8" s="334"/>
      <c r="M8" s="333" t="s">
        <v>75</v>
      </c>
      <c r="N8" s="334"/>
      <c r="O8" s="372"/>
      <c r="P8" s="373"/>
    </row>
    <row r="9" spans="1:19" ht="16" x14ac:dyDescent="0.2">
      <c r="A9" s="351"/>
      <c r="B9" s="353"/>
      <c r="C9" s="357"/>
      <c r="D9" s="358"/>
      <c r="E9" s="358"/>
      <c r="F9" s="359"/>
      <c r="G9" s="372"/>
      <c r="H9" s="373"/>
      <c r="I9" s="372"/>
      <c r="J9" s="373"/>
      <c r="K9" s="372"/>
      <c r="L9" s="373"/>
      <c r="M9" s="335">
        <v>46055</v>
      </c>
      <c r="N9" s="336"/>
      <c r="O9" s="372"/>
      <c r="P9" s="373"/>
    </row>
    <row r="10" spans="1:19" ht="18" thickBot="1" x14ac:dyDescent="0.25">
      <c r="A10" s="352"/>
      <c r="B10" s="353"/>
      <c r="C10" s="17" t="s">
        <v>22</v>
      </c>
      <c r="D10" s="18" t="s">
        <v>23</v>
      </c>
      <c r="E10" s="18" t="s">
        <v>24</v>
      </c>
      <c r="F10" s="19" t="s">
        <v>25</v>
      </c>
      <c r="G10" s="20" t="s">
        <v>23</v>
      </c>
      <c r="H10" s="21" t="s">
        <v>25</v>
      </c>
      <c r="I10" s="20" t="s">
        <v>23</v>
      </c>
      <c r="J10" s="22" t="s">
        <v>25</v>
      </c>
      <c r="K10" s="20" t="s">
        <v>23</v>
      </c>
      <c r="L10" s="21" t="s">
        <v>25</v>
      </c>
      <c r="M10" s="23" t="s">
        <v>23</v>
      </c>
      <c r="N10" s="24" t="s">
        <v>26</v>
      </c>
      <c r="O10" s="25" t="s">
        <v>23</v>
      </c>
      <c r="P10" s="21" t="s">
        <v>25</v>
      </c>
    </row>
    <row r="11" spans="1:19" ht="32" customHeight="1" thickBot="1" x14ac:dyDescent="0.25">
      <c r="A11" s="66" t="s">
        <v>27</v>
      </c>
      <c r="B11" s="67"/>
      <c r="C11" s="67"/>
      <c r="D11" s="67"/>
      <c r="E11" s="67"/>
      <c r="F11" s="67"/>
      <c r="G11" s="68"/>
      <c r="H11" s="68"/>
      <c r="I11" s="68"/>
      <c r="J11" s="68"/>
      <c r="K11" s="68"/>
      <c r="L11" s="68"/>
      <c r="M11" s="68"/>
      <c r="N11" s="68"/>
      <c r="O11" s="68"/>
      <c r="P11" s="69"/>
    </row>
    <row r="12" spans="1:19" ht="43.25" customHeight="1" x14ac:dyDescent="0.2">
      <c r="A12" s="70" t="s">
        <v>28</v>
      </c>
      <c r="B12" s="71" t="s">
        <v>29</v>
      </c>
      <c r="C12" s="72" t="s">
        <v>30</v>
      </c>
      <c r="D12" s="73">
        <v>1</v>
      </c>
      <c r="E12" s="74">
        <v>80000</v>
      </c>
      <c r="F12" s="75">
        <f t="shared" ref="F12:F17" si="0">D12*E12</f>
        <v>80000</v>
      </c>
      <c r="G12" s="76">
        <v>1</v>
      </c>
      <c r="H12" s="77">
        <f t="shared" ref="H12:H17" si="1">G12*E12</f>
        <v>80000</v>
      </c>
      <c r="I12" s="78">
        <f t="shared" ref="I12:I17" si="2">D12-G12</f>
        <v>0</v>
      </c>
      <c r="J12" s="79">
        <f t="shared" ref="J12:J17" si="3">I12*E12</f>
        <v>0</v>
      </c>
      <c r="K12" s="80">
        <v>0</v>
      </c>
      <c r="L12" s="79">
        <f t="shared" ref="L12:L17" si="4">K12*E12</f>
        <v>0</v>
      </c>
      <c r="M12" s="81">
        <v>1</v>
      </c>
      <c r="N12" s="79">
        <f t="shared" ref="N12:N17" si="5">M12*E12</f>
        <v>80000</v>
      </c>
      <c r="O12" s="82">
        <f t="shared" ref="O12:O17" si="6">M12</f>
        <v>1</v>
      </c>
      <c r="P12" s="83">
        <f t="shared" ref="P12:P17" si="7">O12*E12</f>
        <v>80000</v>
      </c>
      <c r="R12" s="4">
        <f t="shared" ref="R12:R17" si="8">O12*100/D12</f>
        <v>100</v>
      </c>
      <c r="S12" s="2" t="s">
        <v>31</v>
      </c>
    </row>
    <row r="13" spans="1:19" ht="85" x14ac:dyDescent="0.2">
      <c r="A13" s="1" t="s">
        <v>32</v>
      </c>
      <c r="B13" s="84" t="s">
        <v>33</v>
      </c>
      <c r="C13" s="85" t="s">
        <v>34</v>
      </c>
      <c r="D13" s="73">
        <v>1813</v>
      </c>
      <c r="E13" s="86">
        <v>3300</v>
      </c>
      <c r="F13" s="87">
        <f t="shared" si="0"/>
        <v>5982900</v>
      </c>
      <c r="G13" s="76">
        <v>1813</v>
      </c>
      <c r="H13" s="77">
        <f t="shared" si="1"/>
        <v>5982900</v>
      </c>
      <c r="I13" s="78">
        <f t="shared" si="2"/>
        <v>0</v>
      </c>
      <c r="J13" s="79">
        <f t="shared" si="3"/>
        <v>0</v>
      </c>
      <c r="K13" s="80">
        <v>0</v>
      </c>
      <c r="L13" s="79">
        <f t="shared" si="4"/>
        <v>0</v>
      </c>
      <c r="M13" s="81">
        <v>1813</v>
      </c>
      <c r="N13" s="79">
        <f t="shared" si="5"/>
        <v>5982900</v>
      </c>
      <c r="O13" s="88">
        <f t="shared" si="6"/>
        <v>1813</v>
      </c>
      <c r="P13" s="89">
        <f t="shared" si="7"/>
        <v>5982900</v>
      </c>
      <c r="R13" s="4">
        <f t="shared" si="8"/>
        <v>100</v>
      </c>
      <c r="S13" s="2" t="s">
        <v>31</v>
      </c>
    </row>
    <row r="14" spans="1:19" ht="85" x14ac:dyDescent="0.2">
      <c r="A14" s="1" t="s">
        <v>35</v>
      </c>
      <c r="B14" s="84" t="s">
        <v>36</v>
      </c>
      <c r="C14" s="85" t="s">
        <v>34</v>
      </c>
      <c r="D14" s="73">
        <v>20</v>
      </c>
      <c r="E14" s="90">
        <v>3000</v>
      </c>
      <c r="F14" s="87">
        <f t="shared" si="0"/>
        <v>60000</v>
      </c>
      <c r="G14" s="76">
        <v>20</v>
      </c>
      <c r="H14" s="77">
        <f t="shared" si="1"/>
        <v>60000</v>
      </c>
      <c r="I14" s="78">
        <f t="shared" si="2"/>
        <v>0</v>
      </c>
      <c r="J14" s="79">
        <f t="shared" si="3"/>
        <v>0</v>
      </c>
      <c r="K14" s="80">
        <v>80</v>
      </c>
      <c r="L14" s="79">
        <f t="shared" si="4"/>
        <v>240000</v>
      </c>
      <c r="M14" s="81">
        <v>100</v>
      </c>
      <c r="N14" s="79">
        <f t="shared" si="5"/>
        <v>300000</v>
      </c>
      <c r="O14" s="88">
        <f t="shared" si="6"/>
        <v>100</v>
      </c>
      <c r="P14" s="89">
        <f t="shared" si="7"/>
        <v>300000</v>
      </c>
      <c r="R14" s="4">
        <f t="shared" si="8"/>
        <v>500</v>
      </c>
      <c r="S14" s="2" t="s">
        <v>31</v>
      </c>
    </row>
    <row r="15" spans="1:19" ht="68" x14ac:dyDescent="0.2">
      <c r="A15" s="1" t="s">
        <v>37</v>
      </c>
      <c r="B15" s="84" t="s">
        <v>38</v>
      </c>
      <c r="C15" s="85" t="s">
        <v>39</v>
      </c>
      <c r="D15" s="73">
        <v>20</v>
      </c>
      <c r="E15" s="86">
        <v>37000</v>
      </c>
      <c r="F15" s="87">
        <f t="shared" si="0"/>
        <v>740000</v>
      </c>
      <c r="G15" s="76">
        <v>20</v>
      </c>
      <c r="H15" s="77">
        <f t="shared" si="1"/>
        <v>740000</v>
      </c>
      <c r="I15" s="78">
        <f t="shared" si="2"/>
        <v>0</v>
      </c>
      <c r="J15" s="79">
        <f t="shared" si="3"/>
        <v>0</v>
      </c>
      <c r="K15" s="80">
        <v>80</v>
      </c>
      <c r="L15" s="79">
        <f t="shared" si="4"/>
        <v>2960000</v>
      </c>
      <c r="M15" s="81">
        <v>100</v>
      </c>
      <c r="N15" s="79">
        <f t="shared" si="5"/>
        <v>3700000</v>
      </c>
      <c r="O15" s="88">
        <f t="shared" si="6"/>
        <v>100</v>
      </c>
      <c r="P15" s="89">
        <f t="shared" si="7"/>
        <v>3700000</v>
      </c>
      <c r="R15" s="4">
        <f t="shared" si="8"/>
        <v>500</v>
      </c>
      <c r="S15" s="2" t="s">
        <v>31</v>
      </c>
    </row>
    <row r="16" spans="1:19" ht="51" x14ac:dyDescent="0.2">
      <c r="A16" s="91" t="s">
        <v>44</v>
      </c>
      <c r="B16" s="84" t="s">
        <v>45</v>
      </c>
      <c r="C16" s="85" t="s">
        <v>34</v>
      </c>
      <c r="D16" s="73">
        <v>271.89999999999998</v>
      </c>
      <c r="E16" s="86">
        <v>17500</v>
      </c>
      <c r="F16" s="87">
        <f t="shared" si="0"/>
        <v>4758250</v>
      </c>
      <c r="G16" s="76">
        <v>271.89999999999998</v>
      </c>
      <c r="H16" s="77">
        <f t="shared" si="1"/>
        <v>4758250</v>
      </c>
      <c r="I16" s="78">
        <f t="shared" si="2"/>
        <v>0</v>
      </c>
      <c r="J16" s="79">
        <f t="shared" si="3"/>
        <v>0</v>
      </c>
      <c r="K16" s="80">
        <v>200</v>
      </c>
      <c r="L16" s="79">
        <f t="shared" si="4"/>
        <v>3500000</v>
      </c>
      <c r="M16" s="81">
        <v>471.9</v>
      </c>
      <c r="N16" s="79">
        <f t="shared" si="5"/>
        <v>8258250</v>
      </c>
      <c r="O16" s="88">
        <f t="shared" si="6"/>
        <v>471.9</v>
      </c>
      <c r="P16" s="89">
        <f t="shared" si="7"/>
        <v>8258250</v>
      </c>
      <c r="R16" s="4">
        <f t="shared" si="8"/>
        <v>173.55645457888932</v>
      </c>
      <c r="S16" s="2" t="s">
        <v>31</v>
      </c>
    </row>
    <row r="17" spans="1:19" ht="31.25" customHeight="1" thickBot="1" x14ac:dyDescent="0.25">
      <c r="A17" s="91" t="s">
        <v>51</v>
      </c>
      <c r="B17" s="92" t="s">
        <v>52</v>
      </c>
      <c r="C17" s="85" t="s">
        <v>30</v>
      </c>
      <c r="D17" s="73">
        <v>1</v>
      </c>
      <c r="E17" s="90">
        <v>200000</v>
      </c>
      <c r="F17" s="87">
        <f t="shared" si="0"/>
        <v>200000</v>
      </c>
      <c r="G17" s="76">
        <v>1</v>
      </c>
      <c r="H17" s="77">
        <f t="shared" si="1"/>
        <v>200000</v>
      </c>
      <c r="I17" s="78">
        <f t="shared" si="2"/>
        <v>0</v>
      </c>
      <c r="J17" s="79">
        <f t="shared" si="3"/>
        <v>0</v>
      </c>
      <c r="K17" s="80">
        <v>0</v>
      </c>
      <c r="L17" s="79">
        <f t="shared" si="4"/>
        <v>0</v>
      </c>
      <c r="M17" s="81">
        <v>1</v>
      </c>
      <c r="N17" s="79">
        <f t="shared" si="5"/>
        <v>200000</v>
      </c>
      <c r="O17" s="88">
        <f t="shared" si="6"/>
        <v>1</v>
      </c>
      <c r="P17" s="89">
        <f t="shared" si="7"/>
        <v>200000</v>
      </c>
      <c r="R17" s="4">
        <f t="shared" si="8"/>
        <v>100</v>
      </c>
      <c r="S17" s="2" t="s">
        <v>31</v>
      </c>
    </row>
    <row r="18" spans="1:19" s="5" customFormat="1" ht="18" customHeight="1" thickBot="1" x14ac:dyDescent="0.25">
      <c r="A18" s="94" t="s">
        <v>53</v>
      </c>
      <c r="B18" s="95"/>
      <c r="C18" s="96"/>
      <c r="D18" s="97"/>
      <c r="E18" s="97"/>
      <c r="F18" s="98">
        <f>SUM(F12:F17)</f>
        <v>11821150</v>
      </c>
      <c r="G18" s="99"/>
      <c r="H18" s="100">
        <f>SUM(H12:H17)</f>
        <v>11821150</v>
      </c>
      <c r="I18" s="99"/>
      <c r="J18" s="100">
        <f>SUM(J12:J17)</f>
        <v>0</v>
      </c>
      <c r="K18" s="99"/>
      <c r="L18" s="100">
        <f>SUM(L12:L17)</f>
        <v>6700000</v>
      </c>
      <c r="M18" s="99"/>
      <c r="N18" s="100">
        <f>SUM(N12:N17)</f>
        <v>18521150</v>
      </c>
      <c r="O18" s="101"/>
      <c r="P18" s="100">
        <f>SUM(P12:P17)</f>
        <v>18521150</v>
      </c>
      <c r="R18" s="4"/>
      <c r="S18" s="2"/>
    </row>
    <row r="19" spans="1:19" s="5" customFormat="1" ht="18" customHeight="1" thickBot="1" x14ac:dyDescent="0.25">
      <c r="A19" s="360"/>
      <c r="B19" s="361"/>
      <c r="C19" s="361"/>
      <c r="D19" s="361"/>
      <c r="E19" s="361"/>
      <c r="F19" s="361"/>
      <c r="G19" s="362"/>
      <c r="H19" s="362"/>
      <c r="I19" s="361"/>
      <c r="J19" s="361"/>
      <c r="K19" s="361"/>
      <c r="L19" s="361"/>
      <c r="M19" s="361"/>
      <c r="N19" s="361"/>
      <c r="O19" s="361"/>
      <c r="P19" s="363"/>
    </row>
    <row r="20" spans="1:19" s="6" customFormat="1" ht="18" customHeight="1" x14ac:dyDescent="0.2">
      <c r="A20" s="364" t="s">
        <v>54</v>
      </c>
      <c r="B20" s="365"/>
      <c r="C20" s="365"/>
      <c r="D20" s="365"/>
      <c r="E20" s="365"/>
      <c r="F20" s="26">
        <f>F18</f>
        <v>11821150</v>
      </c>
      <c r="G20" s="27"/>
      <c r="H20" s="28">
        <f>H18</f>
        <v>11821150</v>
      </c>
      <c r="I20" s="27"/>
      <c r="J20" s="28">
        <f>J18</f>
        <v>0</v>
      </c>
      <c r="K20" s="27"/>
      <c r="L20" s="28">
        <f>L18</f>
        <v>6700000</v>
      </c>
      <c r="M20" s="29"/>
      <c r="N20" s="28">
        <f>N18</f>
        <v>18521150</v>
      </c>
      <c r="O20" s="29"/>
      <c r="P20" s="28">
        <f>P18</f>
        <v>18521150</v>
      </c>
    </row>
    <row r="21" spans="1:19" s="5" customFormat="1" ht="18" customHeight="1" x14ac:dyDescent="0.2">
      <c r="A21" s="327" t="s">
        <v>55</v>
      </c>
      <c r="B21" s="328"/>
      <c r="C21" s="328"/>
      <c r="D21" s="328"/>
      <c r="E21" s="30">
        <v>0.08</v>
      </c>
      <c r="F21" s="31">
        <f>$F$20*E21</f>
        <v>945692</v>
      </c>
      <c r="G21" s="32"/>
      <c r="H21" s="33">
        <f>$H$20*E21</f>
        <v>945692</v>
      </c>
      <c r="I21" s="32"/>
      <c r="J21" s="33">
        <f>$J$20*E21</f>
        <v>0</v>
      </c>
      <c r="K21" s="32"/>
      <c r="L21" s="33">
        <f t="shared" ref="L21:L26" si="9">$L$20*E21</f>
        <v>536000</v>
      </c>
      <c r="M21" s="34"/>
      <c r="N21" s="33">
        <f>$N$20*E21</f>
        <v>1481692</v>
      </c>
      <c r="O21" s="34"/>
      <c r="P21" s="33">
        <f>$P$20*E21</f>
        <v>1481692</v>
      </c>
    </row>
    <row r="22" spans="1:19" s="5" customFormat="1" ht="18" customHeight="1" x14ac:dyDescent="0.2">
      <c r="A22" s="327" t="s">
        <v>56</v>
      </c>
      <c r="B22" s="328"/>
      <c r="C22" s="328"/>
      <c r="D22" s="328"/>
      <c r="E22" s="35">
        <v>0</v>
      </c>
      <c r="F22" s="31">
        <f>$F$20*E22</f>
        <v>0</v>
      </c>
      <c r="G22" s="32"/>
      <c r="H22" s="33">
        <f>$H$20*E22</f>
        <v>0</v>
      </c>
      <c r="I22" s="32"/>
      <c r="J22" s="33">
        <f>$J$20*E22</f>
        <v>0</v>
      </c>
      <c r="K22" s="32"/>
      <c r="L22" s="33">
        <f t="shared" si="9"/>
        <v>0</v>
      </c>
      <c r="M22" s="34"/>
      <c r="N22" s="33">
        <f>$N$20*E22</f>
        <v>0</v>
      </c>
      <c r="O22" s="34"/>
      <c r="P22" s="33">
        <f>$P$20*E22</f>
        <v>0</v>
      </c>
    </row>
    <row r="23" spans="1:19" s="5" customFormat="1" ht="18" customHeight="1" x14ac:dyDescent="0.2">
      <c r="A23" s="327" t="s">
        <v>57</v>
      </c>
      <c r="B23" s="328"/>
      <c r="C23" s="328"/>
      <c r="D23" s="328"/>
      <c r="E23" s="30">
        <v>0.05</v>
      </c>
      <c r="F23" s="31">
        <f>$F$20*E23</f>
        <v>591057.5</v>
      </c>
      <c r="G23" s="32"/>
      <c r="H23" s="33">
        <f>$H$20*E23</f>
        <v>591057.5</v>
      </c>
      <c r="I23" s="32"/>
      <c r="J23" s="33">
        <f>$J$20*E23</f>
        <v>0</v>
      </c>
      <c r="K23" s="32"/>
      <c r="L23" s="33">
        <f t="shared" si="9"/>
        <v>335000</v>
      </c>
      <c r="M23" s="34"/>
      <c r="N23" s="33">
        <f>$N$20*E23</f>
        <v>926057.5</v>
      </c>
      <c r="O23" s="34"/>
      <c r="P23" s="33">
        <f>$P$20*E23</f>
        <v>926057.5</v>
      </c>
    </row>
    <row r="24" spans="1:19" s="5" customFormat="1" ht="18" customHeight="1" x14ac:dyDescent="0.2">
      <c r="A24" s="327" t="s">
        <v>58</v>
      </c>
      <c r="B24" s="328"/>
      <c r="C24" s="328"/>
      <c r="D24" s="328"/>
      <c r="E24" s="30">
        <v>0.05</v>
      </c>
      <c r="F24" s="31">
        <f>$F$20*E24</f>
        <v>591057.5</v>
      </c>
      <c r="G24" s="32"/>
      <c r="H24" s="33">
        <f>$H$20*E24</f>
        <v>591057.5</v>
      </c>
      <c r="I24" s="32"/>
      <c r="J24" s="33">
        <f>$J$20*E24</f>
        <v>0</v>
      </c>
      <c r="K24" s="32"/>
      <c r="L24" s="33">
        <f t="shared" si="9"/>
        <v>335000</v>
      </c>
      <c r="M24" s="34"/>
      <c r="N24" s="33">
        <f>$N$20*E24</f>
        <v>926057.5</v>
      </c>
      <c r="O24" s="34"/>
      <c r="P24" s="33">
        <f>$P$20*E24</f>
        <v>926057.5</v>
      </c>
    </row>
    <row r="25" spans="1:19" s="6" customFormat="1" ht="18" customHeight="1" x14ac:dyDescent="0.2">
      <c r="A25" s="337" t="s">
        <v>59</v>
      </c>
      <c r="B25" s="338"/>
      <c r="C25" s="338"/>
      <c r="D25" s="338"/>
      <c r="E25" s="36">
        <f>SUM(E21:E24)</f>
        <v>0.18</v>
      </c>
      <c r="F25" s="37">
        <f>SUM(F21:F24)</f>
        <v>2127807</v>
      </c>
      <c r="G25" s="38"/>
      <c r="H25" s="33">
        <f>$H$20*E25</f>
        <v>2127807</v>
      </c>
      <c r="I25" s="38"/>
      <c r="J25" s="33">
        <f>$J$20*E25</f>
        <v>0</v>
      </c>
      <c r="K25" s="38"/>
      <c r="L25" s="33">
        <f t="shared" si="9"/>
        <v>1206000</v>
      </c>
      <c r="M25" s="39"/>
      <c r="N25" s="33">
        <f>$N$20*E25</f>
        <v>3333807</v>
      </c>
      <c r="O25" s="39"/>
      <c r="P25" s="33">
        <f>$P$20*E25</f>
        <v>3333807</v>
      </c>
    </row>
    <row r="26" spans="1:19" s="5" customFormat="1" ht="18" customHeight="1" x14ac:dyDescent="0.2">
      <c r="A26" s="327" t="s">
        <v>60</v>
      </c>
      <c r="B26" s="328"/>
      <c r="C26" s="328"/>
      <c r="D26" s="328"/>
      <c r="E26" s="30">
        <v>0.19</v>
      </c>
      <c r="F26" s="31">
        <f>E26*F24</f>
        <v>112300.925</v>
      </c>
      <c r="G26" s="32"/>
      <c r="H26" s="33">
        <f>H24*$E$26</f>
        <v>112300.925</v>
      </c>
      <c r="I26" s="32"/>
      <c r="J26" s="33">
        <f>J24*$E$26</f>
        <v>0</v>
      </c>
      <c r="K26" s="32"/>
      <c r="L26" s="33">
        <f t="shared" si="9"/>
        <v>1273000</v>
      </c>
      <c r="M26" s="34"/>
      <c r="N26" s="33">
        <f>N24*$E$26</f>
        <v>175950.92499999999</v>
      </c>
      <c r="O26" s="34"/>
      <c r="P26" s="33">
        <f>P24*$E$26</f>
        <v>175950.92499999999</v>
      </c>
    </row>
    <row r="27" spans="1:19" s="6" customFormat="1" ht="18" customHeight="1" x14ac:dyDescent="0.2">
      <c r="A27" s="324" t="s">
        <v>61</v>
      </c>
      <c r="B27" s="325"/>
      <c r="C27" s="325"/>
      <c r="D27" s="325"/>
      <c r="E27" s="325"/>
      <c r="F27" s="37">
        <f>SUM(F20:F26)-F25</f>
        <v>14061257.925000001</v>
      </c>
      <c r="G27" s="38"/>
      <c r="H27" s="40">
        <f>SUM(H20:H26)-H25</f>
        <v>14061257.925000001</v>
      </c>
      <c r="I27" s="38"/>
      <c r="J27" s="40">
        <f>SUM(J20:J26)-J25</f>
        <v>0</v>
      </c>
      <c r="K27" s="38"/>
      <c r="L27" s="40">
        <f>SUM(L20:L26)-L25</f>
        <v>9179000</v>
      </c>
      <c r="M27" s="39"/>
      <c r="N27" s="40">
        <f>SUM(N20:N26)-N25</f>
        <v>22030907.925000001</v>
      </c>
      <c r="O27" s="39"/>
      <c r="P27" s="40">
        <f>SUM(P20:P26)-P25</f>
        <v>22030907.925000001</v>
      </c>
    </row>
    <row r="28" spans="1:19" s="5" customFormat="1" ht="18" customHeight="1" thickBot="1" x14ac:dyDescent="0.25">
      <c r="A28" s="41"/>
      <c r="B28" s="42"/>
      <c r="C28" s="43"/>
      <c r="D28" s="43"/>
      <c r="E28" s="43"/>
      <c r="F28" s="31"/>
      <c r="G28" s="32"/>
      <c r="H28" s="33"/>
      <c r="I28" s="44"/>
      <c r="J28" s="45"/>
      <c r="K28" s="44"/>
      <c r="L28" s="45"/>
      <c r="M28" s="46"/>
      <c r="N28" s="47"/>
      <c r="O28" s="46"/>
      <c r="P28" s="45"/>
    </row>
    <row r="29" spans="1:19" s="7" customFormat="1" ht="18" customHeight="1" x14ac:dyDescent="0.2">
      <c r="A29" s="48"/>
      <c r="B29" s="49"/>
      <c r="C29" s="49"/>
      <c r="D29" s="49"/>
      <c r="E29" s="50"/>
      <c r="F29" s="49"/>
      <c r="G29" s="49"/>
      <c r="H29" s="51"/>
      <c r="I29" s="52"/>
      <c r="J29" s="326" t="s">
        <v>62</v>
      </c>
      <c r="K29" s="326"/>
      <c r="L29" s="326"/>
      <c r="M29" s="331">
        <f>N27</f>
        <v>22030907.925000001</v>
      </c>
      <c r="N29" s="332"/>
      <c r="O29" s="329">
        <f>P27</f>
        <v>22030907.925000001</v>
      </c>
      <c r="P29" s="330"/>
    </row>
    <row r="30" spans="1:19" s="7" customFormat="1" ht="18" customHeight="1" x14ac:dyDescent="0.2">
      <c r="A30" s="53"/>
      <c r="B30" s="54"/>
      <c r="C30" s="321"/>
      <c r="D30" s="321"/>
      <c r="E30" s="55"/>
      <c r="F30" s="55"/>
      <c r="G30" s="56"/>
      <c r="H30" s="57"/>
      <c r="I30" s="313" t="s">
        <v>63</v>
      </c>
      <c r="J30" s="313"/>
      <c r="K30" s="58"/>
      <c r="L30" s="59">
        <v>0.02</v>
      </c>
      <c r="M30" s="314">
        <v>-437099.14</v>
      </c>
      <c r="N30" s="315"/>
      <c r="O30" s="316">
        <v>-437099.14</v>
      </c>
      <c r="P30" s="317"/>
    </row>
    <row r="31" spans="1:19" s="7" customFormat="1" ht="18" customHeight="1" x14ac:dyDescent="0.2">
      <c r="A31" s="53"/>
      <c r="B31" s="54"/>
      <c r="C31" s="55"/>
      <c r="D31" s="55"/>
      <c r="E31" s="55"/>
      <c r="F31" s="55"/>
      <c r="G31" s="56"/>
      <c r="H31" s="57"/>
      <c r="I31" s="313" t="s">
        <v>64</v>
      </c>
      <c r="J31" s="313"/>
      <c r="K31" s="58"/>
      <c r="L31" s="60" t="s">
        <v>65</v>
      </c>
      <c r="M31" s="314">
        <v>0</v>
      </c>
      <c r="N31" s="315"/>
      <c r="O31" s="316">
        <v>0</v>
      </c>
      <c r="P31" s="317"/>
    </row>
    <row r="32" spans="1:19" s="7" customFormat="1" ht="18" customHeight="1" x14ac:dyDescent="0.2">
      <c r="A32" s="61"/>
      <c r="B32" s="55"/>
      <c r="C32" s="55"/>
      <c r="D32" s="55"/>
      <c r="E32" s="55"/>
      <c r="F32" s="55"/>
      <c r="G32" s="55"/>
      <c r="H32" s="57"/>
      <c r="I32" s="313" t="s">
        <v>66</v>
      </c>
      <c r="J32" s="313"/>
      <c r="K32" s="58"/>
      <c r="L32" s="59">
        <v>0</v>
      </c>
      <c r="M32" s="314">
        <v>0</v>
      </c>
      <c r="N32" s="315"/>
      <c r="O32" s="316">
        <v>0</v>
      </c>
      <c r="P32" s="317"/>
    </row>
    <row r="33" spans="1:16" s="7" customFormat="1" ht="18" customHeight="1" x14ac:dyDescent="0.2">
      <c r="A33" s="318"/>
      <c r="B33" s="319"/>
      <c r="C33" s="319"/>
      <c r="D33" s="319"/>
      <c r="E33" s="319"/>
      <c r="F33" s="319"/>
      <c r="G33" s="319"/>
      <c r="H33" s="320"/>
      <c r="I33" s="313" t="s">
        <v>67</v>
      </c>
      <c r="J33" s="313"/>
      <c r="K33" s="62">
        <v>0.1</v>
      </c>
      <c r="L33" s="63">
        <f>M29*K33</f>
        <v>2203090.7925</v>
      </c>
      <c r="M33" s="314">
        <f>-M29*(K33)</f>
        <v>-2203090.7925</v>
      </c>
      <c r="N33" s="315"/>
      <c r="O33" s="316">
        <f>M33</f>
        <v>-2203090.7925</v>
      </c>
      <c r="P33" s="317"/>
    </row>
    <row r="34" spans="1:16" s="7" customFormat="1" ht="18" customHeight="1" thickBot="1" x14ac:dyDescent="0.25">
      <c r="A34" s="307"/>
      <c r="B34" s="308"/>
      <c r="C34" s="308"/>
      <c r="D34" s="308"/>
      <c r="E34" s="308"/>
      <c r="F34" s="308"/>
      <c r="G34" s="308"/>
      <c r="H34" s="309"/>
      <c r="I34" s="310" t="s">
        <v>68</v>
      </c>
      <c r="J34" s="310"/>
      <c r="K34" s="310"/>
      <c r="L34" s="310"/>
      <c r="M34" s="64"/>
      <c r="N34" s="65">
        <f>SUM(M29:N33)</f>
        <v>19390717.9925</v>
      </c>
      <c r="O34" s="311">
        <f>SUM(O29:P33)</f>
        <v>19390717.9925</v>
      </c>
      <c r="P34" s="312"/>
    </row>
    <row r="36" spans="1:16" x14ac:dyDescent="0.2">
      <c r="P36" s="3"/>
    </row>
    <row r="37" spans="1:16" x14ac:dyDescent="0.2">
      <c r="F37" s="3"/>
      <c r="K37" s="9"/>
      <c r="L37" s="10"/>
      <c r="N37" s="3"/>
      <c r="P37" s="11"/>
    </row>
    <row r="38" spans="1:16" x14ac:dyDescent="0.2">
      <c r="A38" s="8"/>
      <c r="B38" s="8"/>
      <c r="C38" s="8"/>
      <c r="D38" s="8"/>
      <c r="E38" s="8"/>
      <c r="F38" s="12"/>
      <c r="G38" s="8"/>
      <c r="H38" s="8"/>
      <c r="L38" s="10"/>
      <c r="N38" s="11"/>
    </row>
    <row r="39" spans="1:16" x14ac:dyDescent="0.2">
      <c r="A39" s="7"/>
      <c r="B39" s="7"/>
      <c r="C39" s="13"/>
      <c r="D39" s="7"/>
      <c r="E39" s="7"/>
      <c r="F39" s="14"/>
      <c r="G39" s="7"/>
      <c r="H39" s="7"/>
      <c r="K39" s="9"/>
      <c r="L39" s="3"/>
    </row>
    <row r="40" spans="1:16" x14ac:dyDescent="0.2">
      <c r="F40" s="11"/>
      <c r="L40" s="15"/>
    </row>
    <row r="41" spans="1:16" x14ac:dyDescent="0.2">
      <c r="N41" s="16"/>
    </row>
    <row r="42" spans="1:16" x14ac:dyDescent="0.2">
      <c r="L42" s="10"/>
    </row>
  </sheetData>
  <mergeCells count="55">
    <mergeCell ref="O1:P1"/>
    <mergeCell ref="A2:B2"/>
    <mergeCell ref="C2:F2"/>
    <mergeCell ref="O2:P6"/>
    <mergeCell ref="A3:B3"/>
    <mergeCell ref="C3:F3"/>
    <mergeCell ref="A4:B4"/>
    <mergeCell ref="C4:F4"/>
    <mergeCell ref="A5:B5"/>
    <mergeCell ref="C5:F5"/>
    <mergeCell ref="A6:B6"/>
    <mergeCell ref="C6:F6"/>
    <mergeCell ref="A1:B1"/>
    <mergeCell ref="C1:F1"/>
    <mergeCell ref="G1:N6"/>
    <mergeCell ref="A7:A10"/>
    <mergeCell ref="B7:B10"/>
    <mergeCell ref="C7:F9"/>
    <mergeCell ref="G7:L7"/>
    <mergeCell ref="M7:N7"/>
    <mergeCell ref="G8:H9"/>
    <mergeCell ref="I8:J9"/>
    <mergeCell ref="K8:L9"/>
    <mergeCell ref="M8:N8"/>
    <mergeCell ref="M9:N9"/>
    <mergeCell ref="A23:D23"/>
    <mergeCell ref="A25:D25"/>
    <mergeCell ref="A26:D26"/>
    <mergeCell ref="A21:D21"/>
    <mergeCell ref="A22:D22"/>
    <mergeCell ref="A19:P19"/>
    <mergeCell ref="A20:E20"/>
    <mergeCell ref="O7:P9"/>
    <mergeCell ref="A27:E27"/>
    <mergeCell ref="J29:L29"/>
    <mergeCell ref="A24:D24"/>
    <mergeCell ref="O29:P29"/>
    <mergeCell ref="M29:N29"/>
    <mergeCell ref="C30:D30"/>
    <mergeCell ref="I30:J30"/>
    <mergeCell ref="O30:P30"/>
    <mergeCell ref="I31:J31"/>
    <mergeCell ref="M31:N31"/>
    <mergeCell ref="O31:P31"/>
    <mergeCell ref="M30:N30"/>
    <mergeCell ref="A34:H34"/>
    <mergeCell ref="I34:L34"/>
    <mergeCell ref="O34:P34"/>
    <mergeCell ref="I32:J32"/>
    <mergeCell ref="M32:N32"/>
    <mergeCell ref="O32:P32"/>
    <mergeCell ref="A33:H33"/>
    <mergeCell ref="I33:J33"/>
    <mergeCell ref="O33:P33"/>
    <mergeCell ref="M33:N33"/>
  </mergeCells>
  <pageMargins left="0.25" right="0.25" top="0.75" bottom="0.75" header="0.3" footer="0.3"/>
  <pageSetup paperSize="345" scale="40" orientation="landscape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1CA4-6F6C-9B47-AB59-4B5A2638459E}">
  <sheetPr codeName="Hoja5">
    <pageSetUpPr fitToPage="1"/>
  </sheetPr>
  <dimension ref="A1:S45"/>
  <sheetViews>
    <sheetView tabSelected="1" topLeftCell="A10" zoomScale="113" zoomScaleNormal="60" zoomScaleSheetLayoutView="55" workbookViewId="0">
      <selection activeCell="B19" sqref="B19"/>
    </sheetView>
  </sheetViews>
  <sheetFormatPr baseColWidth="10" defaultColWidth="11.5" defaultRowHeight="14" x14ac:dyDescent="0.2"/>
  <cols>
    <col min="1" max="1" width="10.33203125" style="2" customWidth="1"/>
    <col min="2" max="2" width="66.6640625" style="2" customWidth="1"/>
    <col min="3" max="3" width="11.5" style="2"/>
    <col min="4" max="4" width="12" style="2" bestFit="1" customWidth="1"/>
    <col min="5" max="5" width="15.1640625" style="2" bestFit="1" customWidth="1"/>
    <col min="6" max="6" width="22.6640625" style="2" customWidth="1"/>
    <col min="7" max="7" width="12" style="2" bestFit="1" customWidth="1"/>
    <col min="8" max="8" width="22.6640625" style="2" customWidth="1"/>
    <col min="9" max="9" width="12" style="2" bestFit="1" customWidth="1"/>
    <col min="10" max="10" width="22.6640625" style="2" customWidth="1"/>
    <col min="11" max="11" width="12" style="2" bestFit="1" customWidth="1"/>
    <col min="12" max="12" width="22.6640625" style="2" customWidth="1"/>
    <col min="13" max="13" width="13.1640625" style="2" bestFit="1" customWidth="1"/>
    <col min="14" max="14" width="22.6640625" style="2" customWidth="1"/>
    <col min="15" max="15" width="12" style="2" bestFit="1" customWidth="1"/>
    <col min="16" max="16" width="22.6640625" style="2" customWidth="1"/>
    <col min="17" max="17" width="11.5" style="2"/>
    <col min="18" max="18" width="12" style="2" bestFit="1" customWidth="1"/>
    <col min="19" max="19" width="16.6640625" style="2" bestFit="1" customWidth="1"/>
    <col min="20" max="16384" width="11.5" style="2"/>
  </cols>
  <sheetData>
    <row r="1" spans="1:19" ht="40.25" customHeight="1" x14ac:dyDescent="0.2">
      <c r="A1" s="339" t="s">
        <v>0</v>
      </c>
      <c r="B1" s="340"/>
      <c r="C1" s="341" t="s">
        <v>1</v>
      </c>
      <c r="D1" s="342"/>
      <c r="E1" s="342"/>
      <c r="F1" s="343"/>
      <c r="G1" s="344" t="s">
        <v>77</v>
      </c>
      <c r="H1" s="345"/>
      <c r="I1" s="345"/>
      <c r="J1" s="345"/>
      <c r="K1" s="345"/>
      <c r="L1" s="345"/>
      <c r="M1" s="345"/>
      <c r="N1" s="345"/>
      <c r="O1" s="374" t="s">
        <v>3</v>
      </c>
      <c r="P1" s="375"/>
    </row>
    <row r="2" spans="1:19" ht="18" customHeight="1" x14ac:dyDescent="0.2">
      <c r="A2" s="376" t="s">
        <v>4</v>
      </c>
      <c r="B2" s="377"/>
      <c r="C2" s="378" t="s">
        <v>5</v>
      </c>
      <c r="D2" s="379"/>
      <c r="E2" s="379"/>
      <c r="F2" s="380"/>
      <c r="G2" s="346"/>
      <c r="H2" s="347"/>
      <c r="I2" s="347"/>
      <c r="J2" s="347"/>
      <c r="K2" s="347"/>
      <c r="L2" s="347"/>
      <c r="M2" s="347"/>
      <c r="N2" s="347"/>
      <c r="O2" s="381">
        <v>5</v>
      </c>
      <c r="P2" s="382"/>
    </row>
    <row r="3" spans="1:19" ht="18" customHeight="1" x14ac:dyDescent="0.2">
      <c r="A3" s="376" t="s">
        <v>6</v>
      </c>
      <c r="B3" s="377"/>
      <c r="C3" s="387" t="s">
        <v>7</v>
      </c>
      <c r="D3" s="388"/>
      <c r="E3" s="388"/>
      <c r="F3" s="389"/>
      <c r="G3" s="346"/>
      <c r="H3" s="347"/>
      <c r="I3" s="347"/>
      <c r="J3" s="347"/>
      <c r="K3" s="347"/>
      <c r="L3" s="347"/>
      <c r="M3" s="347"/>
      <c r="N3" s="347"/>
      <c r="O3" s="381"/>
      <c r="P3" s="382"/>
    </row>
    <row r="4" spans="1:19" ht="18" customHeight="1" x14ac:dyDescent="0.2">
      <c r="A4" s="376" t="s">
        <v>8</v>
      </c>
      <c r="B4" s="377"/>
      <c r="C4" s="387" t="s">
        <v>9</v>
      </c>
      <c r="D4" s="388"/>
      <c r="E4" s="388"/>
      <c r="F4" s="389"/>
      <c r="G4" s="346"/>
      <c r="H4" s="347"/>
      <c r="I4" s="347"/>
      <c r="J4" s="347"/>
      <c r="K4" s="347"/>
      <c r="L4" s="347"/>
      <c r="M4" s="347"/>
      <c r="N4" s="347"/>
      <c r="O4" s="381"/>
      <c r="P4" s="382"/>
    </row>
    <row r="5" spans="1:19" ht="18" customHeight="1" x14ac:dyDescent="0.2">
      <c r="A5" s="376" t="s">
        <v>10</v>
      </c>
      <c r="B5" s="377"/>
      <c r="C5" s="387" t="s">
        <v>11</v>
      </c>
      <c r="D5" s="388"/>
      <c r="E5" s="388"/>
      <c r="F5" s="389"/>
      <c r="G5" s="346"/>
      <c r="H5" s="347"/>
      <c r="I5" s="347"/>
      <c r="J5" s="347"/>
      <c r="K5" s="347"/>
      <c r="L5" s="347"/>
      <c r="M5" s="347"/>
      <c r="N5" s="347"/>
      <c r="O5" s="383"/>
      <c r="P5" s="384"/>
    </row>
    <row r="6" spans="1:19" ht="18" customHeight="1" thickBot="1" x14ac:dyDescent="0.25">
      <c r="A6" s="390"/>
      <c r="B6" s="391"/>
      <c r="C6" s="392"/>
      <c r="D6" s="393"/>
      <c r="E6" s="393"/>
      <c r="F6" s="394"/>
      <c r="G6" s="348"/>
      <c r="H6" s="349"/>
      <c r="I6" s="349"/>
      <c r="J6" s="349"/>
      <c r="K6" s="349"/>
      <c r="L6" s="349"/>
      <c r="M6" s="349"/>
      <c r="N6" s="349"/>
      <c r="O6" s="385"/>
      <c r="P6" s="386"/>
    </row>
    <row r="7" spans="1:19" ht="17" thickBot="1" x14ac:dyDescent="0.25">
      <c r="A7" s="350" t="s">
        <v>12</v>
      </c>
      <c r="B7" s="353" t="s">
        <v>13</v>
      </c>
      <c r="C7" s="354" t="s">
        <v>14</v>
      </c>
      <c r="D7" s="355"/>
      <c r="E7" s="355"/>
      <c r="F7" s="356"/>
      <c r="G7" s="366" t="s">
        <v>15</v>
      </c>
      <c r="H7" s="367"/>
      <c r="I7" s="367"/>
      <c r="J7" s="367"/>
      <c r="K7" s="367"/>
      <c r="L7" s="368"/>
      <c r="M7" s="369" t="s">
        <v>16</v>
      </c>
      <c r="N7" s="368"/>
      <c r="O7" s="370" t="s">
        <v>17</v>
      </c>
      <c r="P7" s="371"/>
    </row>
    <row r="8" spans="1:19" ht="16" x14ac:dyDescent="0.2">
      <c r="A8" s="351"/>
      <c r="B8" s="353"/>
      <c r="C8" s="354"/>
      <c r="D8" s="355"/>
      <c r="E8" s="355"/>
      <c r="F8" s="356"/>
      <c r="G8" s="333" t="s">
        <v>18</v>
      </c>
      <c r="H8" s="334"/>
      <c r="I8" s="333" t="s">
        <v>19</v>
      </c>
      <c r="J8" s="334"/>
      <c r="K8" s="333" t="s">
        <v>20</v>
      </c>
      <c r="L8" s="334"/>
      <c r="M8" s="333" t="s">
        <v>78</v>
      </c>
      <c r="N8" s="334"/>
      <c r="O8" s="372"/>
      <c r="P8" s="373"/>
    </row>
    <row r="9" spans="1:19" ht="16" x14ac:dyDescent="0.2">
      <c r="A9" s="351"/>
      <c r="B9" s="353"/>
      <c r="C9" s="357"/>
      <c r="D9" s="358"/>
      <c r="E9" s="358"/>
      <c r="F9" s="359"/>
      <c r="G9" s="372"/>
      <c r="H9" s="373"/>
      <c r="I9" s="372"/>
      <c r="J9" s="373"/>
      <c r="K9" s="372"/>
      <c r="L9" s="373"/>
      <c r="M9" s="335">
        <v>46055</v>
      </c>
      <c r="N9" s="336"/>
      <c r="O9" s="372"/>
      <c r="P9" s="373"/>
    </row>
    <row r="10" spans="1:19" ht="18" thickBot="1" x14ac:dyDescent="0.25">
      <c r="A10" s="352"/>
      <c r="B10" s="353"/>
      <c r="C10" s="17" t="s">
        <v>22</v>
      </c>
      <c r="D10" s="18" t="s">
        <v>23</v>
      </c>
      <c r="E10" s="18" t="s">
        <v>24</v>
      </c>
      <c r="F10" s="19" t="s">
        <v>25</v>
      </c>
      <c r="G10" s="20" t="s">
        <v>23</v>
      </c>
      <c r="H10" s="21" t="s">
        <v>25</v>
      </c>
      <c r="I10" s="20" t="s">
        <v>23</v>
      </c>
      <c r="J10" s="22" t="s">
        <v>25</v>
      </c>
      <c r="K10" s="20" t="s">
        <v>23</v>
      </c>
      <c r="L10" s="21" t="s">
        <v>25</v>
      </c>
      <c r="M10" s="23" t="s">
        <v>23</v>
      </c>
      <c r="N10" s="24" t="s">
        <v>26</v>
      </c>
      <c r="O10" s="25" t="s">
        <v>23</v>
      </c>
      <c r="P10" s="21" t="s">
        <v>25</v>
      </c>
    </row>
    <row r="11" spans="1:19" ht="32" customHeight="1" thickBot="1" x14ac:dyDescent="0.25">
      <c r="A11" s="66" t="s">
        <v>27</v>
      </c>
      <c r="B11" s="67"/>
      <c r="C11" s="67"/>
      <c r="D11" s="67"/>
      <c r="E11" s="67"/>
      <c r="F11" s="67"/>
      <c r="G11" s="68"/>
      <c r="H11" s="68"/>
      <c r="I11" s="68"/>
      <c r="J11" s="68"/>
      <c r="K11" s="68"/>
      <c r="L11" s="68"/>
      <c r="M11" s="68"/>
      <c r="N11" s="68"/>
      <c r="O11" s="68"/>
      <c r="P11" s="69"/>
    </row>
    <row r="12" spans="1:19" ht="43.25" customHeight="1" x14ac:dyDescent="0.2">
      <c r="A12" s="70" t="s">
        <v>28</v>
      </c>
      <c r="B12" s="71" t="s">
        <v>29</v>
      </c>
      <c r="C12" s="72" t="s">
        <v>30</v>
      </c>
      <c r="D12" s="73">
        <v>1</v>
      </c>
      <c r="E12" s="74">
        <v>80000</v>
      </c>
      <c r="F12" s="75">
        <f t="shared" ref="F12:F20" si="0">D12*E12</f>
        <v>80000</v>
      </c>
      <c r="G12" s="76">
        <v>1</v>
      </c>
      <c r="H12" s="77">
        <f t="shared" ref="H12:H20" si="1">G12*E12</f>
        <v>80000</v>
      </c>
      <c r="I12" s="78">
        <f t="shared" ref="I12:I20" si="2">D12-G12</f>
        <v>0</v>
      </c>
      <c r="J12" s="79">
        <f t="shared" ref="J12:J20" si="3">I12*E12</f>
        <v>0</v>
      </c>
      <c r="K12" s="80">
        <v>0</v>
      </c>
      <c r="L12" s="79">
        <f t="shared" ref="L12:L20" si="4">K12*E12</f>
        <v>0</v>
      </c>
      <c r="M12" s="76">
        <v>1</v>
      </c>
      <c r="N12" s="79">
        <f>M12*E12</f>
        <v>80000</v>
      </c>
      <c r="O12" s="82">
        <f t="shared" ref="O12:O20" si="5">M12</f>
        <v>1</v>
      </c>
      <c r="P12" s="83">
        <f t="shared" ref="P12:P20" si="6">O12*E12</f>
        <v>80000</v>
      </c>
      <c r="R12" s="4">
        <f t="shared" ref="R12:R18" si="7">O12*100/D12</f>
        <v>100</v>
      </c>
      <c r="S12" s="2" t="s">
        <v>31</v>
      </c>
    </row>
    <row r="13" spans="1:19" ht="85" x14ac:dyDescent="0.2">
      <c r="A13" s="1" t="s">
        <v>32</v>
      </c>
      <c r="B13" s="84" t="s">
        <v>33</v>
      </c>
      <c r="C13" s="85" t="s">
        <v>34</v>
      </c>
      <c r="D13" s="73">
        <v>2539.1999999999998</v>
      </c>
      <c r="E13" s="86">
        <v>3300</v>
      </c>
      <c r="F13" s="87">
        <f t="shared" si="0"/>
        <v>8379359.9999999991</v>
      </c>
      <c r="G13" s="76">
        <v>2539.1999999999998</v>
      </c>
      <c r="H13" s="77">
        <f t="shared" si="1"/>
        <v>8379359.9999999991</v>
      </c>
      <c r="I13" s="78">
        <f t="shared" si="2"/>
        <v>0</v>
      </c>
      <c r="J13" s="79">
        <f t="shared" si="3"/>
        <v>0</v>
      </c>
      <c r="K13" s="80">
        <v>0</v>
      </c>
      <c r="L13" s="79">
        <f t="shared" si="4"/>
        <v>0</v>
      </c>
      <c r="M13" s="76">
        <v>2539.1999999999998</v>
      </c>
      <c r="N13" s="79">
        <f t="shared" ref="N13:N20" si="8">M13*E13</f>
        <v>8379359.9999999991</v>
      </c>
      <c r="O13" s="88">
        <f t="shared" si="5"/>
        <v>2539.1999999999998</v>
      </c>
      <c r="P13" s="89">
        <f t="shared" si="6"/>
        <v>8379359.9999999991</v>
      </c>
      <c r="R13" s="4">
        <f t="shared" si="7"/>
        <v>100</v>
      </c>
      <c r="S13" s="2" t="s">
        <v>31</v>
      </c>
    </row>
    <row r="14" spans="1:19" ht="85" x14ac:dyDescent="0.2">
      <c r="A14" s="1" t="s">
        <v>35</v>
      </c>
      <c r="B14" s="84" t="s">
        <v>36</v>
      </c>
      <c r="C14" s="85" t="s">
        <v>34</v>
      </c>
      <c r="D14" s="73">
        <v>25</v>
      </c>
      <c r="E14" s="90">
        <v>3000</v>
      </c>
      <c r="F14" s="87">
        <f t="shared" si="0"/>
        <v>75000</v>
      </c>
      <c r="G14" s="76">
        <v>25</v>
      </c>
      <c r="H14" s="77">
        <f t="shared" si="1"/>
        <v>75000</v>
      </c>
      <c r="I14" s="78">
        <f t="shared" si="2"/>
        <v>0</v>
      </c>
      <c r="J14" s="79">
        <f t="shared" si="3"/>
        <v>0</v>
      </c>
      <c r="K14" s="205">
        <f>M14-D14</f>
        <v>35</v>
      </c>
      <c r="L14" s="79">
        <f t="shared" si="4"/>
        <v>105000</v>
      </c>
      <c r="M14" s="76">
        <v>60</v>
      </c>
      <c r="N14" s="79">
        <f t="shared" si="8"/>
        <v>180000</v>
      </c>
      <c r="O14" s="88">
        <f t="shared" si="5"/>
        <v>60</v>
      </c>
      <c r="P14" s="89">
        <f t="shared" si="6"/>
        <v>180000</v>
      </c>
      <c r="R14" s="4">
        <f t="shared" si="7"/>
        <v>240</v>
      </c>
      <c r="S14" s="2" t="s">
        <v>31</v>
      </c>
    </row>
    <row r="15" spans="1:19" ht="68" x14ac:dyDescent="0.2">
      <c r="A15" s="1" t="s">
        <v>37</v>
      </c>
      <c r="B15" s="84" t="s">
        <v>38</v>
      </c>
      <c r="C15" s="85" t="s">
        <v>39</v>
      </c>
      <c r="D15" s="73">
        <v>25</v>
      </c>
      <c r="E15" s="86">
        <v>37000</v>
      </c>
      <c r="F15" s="87">
        <f t="shared" si="0"/>
        <v>925000</v>
      </c>
      <c r="G15" s="76">
        <v>25</v>
      </c>
      <c r="H15" s="77">
        <f t="shared" si="1"/>
        <v>925000</v>
      </c>
      <c r="I15" s="78">
        <f t="shared" si="2"/>
        <v>0</v>
      </c>
      <c r="J15" s="79">
        <f t="shared" si="3"/>
        <v>0</v>
      </c>
      <c r="K15" s="205">
        <f>M15-D15</f>
        <v>35</v>
      </c>
      <c r="L15" s="79">
        <f t="shared" si="4"/>
        <v>1295000</v>
      </c>
      <c r="M15" s="76">
        <v>60</v>
      </c>
      <c r="N15" s="79">
        <f t="shared" si="8"/>
        <v>2220000</v>
      </c>
      <c r="O15" s="88">
        <f t="shared" si="5"/>
        <v>60</v>
      </c>
      <c r="P15" s="89">
        <f t="shared" si="6"/>
        <v>2220000</v>
      </c>
      <c r="R15" s="4">
        <f t="shared" si="7"/>
        <v>240</v>
      </c>
      <c r="S15" s="2" t="s">
        <v>31</v>
      </c>
    </row>
    <row r="16" spans="1:19" ht="51" x14ac:dyDescent="0.2">
      <c r="A16" s="91" t="s">
        <v>44</v>
      </c>
      <c r="B16" s="84" t="s">
        <v>45</v>
      </c>
      <c r="C16" s="85" t="s">
        <v>34</v>
      </c>
      <c r="D16" s="73">
        <v>253.9</v>
      </c>
      <c r="E16" s="86">
        <v>17500</v>
      </c>
      <c r="F16" s="87">
        <f t="shared" si="0"/>
        <v>4443250</v>
      </c>
      <c r="G16" s="76">
        <v>253.9</v>
      </c>
      <c r="H16" s="77">
        <f t="shared" si="1"/>
        <v>4443250</v>
      </c>
      <c r="I16" s="78">
        <f t="shared" si="2"/>
        <v>0</v>
      </c>
      <c r="J16" s="79">
        <f t="shared" si="3"/>
        <v>0</v>
      </c>
      <c r="K16" s="205">
        <f>M16-D16</f>
        <v>99.999999999999972</v>
      </c>
      <c r="L16" s="79">
        <f t="shared" si="4"/>
        <v>1749999.9999999995</v>
      </c>
      <c r="M16" s="76">
        <v>353.9</v>
      </c>
      <c r="N16" s="79">
        <f t="shared" si="8"/>
        <v>6193250</v>
      </c>
      <c r="O16" s="88">
        <f t="shared" si="5"/>
        <v>353.9</v>
      </c>
      <c r="P16" s="89">
        <f t="shared" si="6"/>
        <v>6193250</v>
      </c>
      <c r="R16" s="4">
        <f t="shared" si="7"/>
        <v>139.38558487593539</v>
      </c>
      <c r="S16" s="2" t="s">
        <v>31</v>
      </c>
    </row>
    <row r="17" spans="1:19" ht="85" x14ac:dyDescent="0.2">
      <c r="A17" s="208" t="s">
        <v>32</v>
      </c>
      <c r="B17" s="209" t="s">
        <v>82</v>
      </c>
      <c r="C17" s="210" t="s">
        <v>34</v>
      </c>
      <c r="D17" s="211">
        <v>0</v>
      </c>
      <c r="E17" s="212">
        <v>3300</v>
      </c>
      <c r="F17" s="213">
        <f>D17*E17</f>
        <v>0</v>
      </c>
      <c r="G17" s="214"/>
      <c r="H17" s="215">
        <f>G17*E17</f>
        <v>0</v>
      </c>
      <c r="I17" s="216"/>
      <c r="J17" s="217">
        <f>I17*E17</f>
        <v>0</v>
      </c>
      <c r="K17" s="218">
        <f>M17-D17</f>
        <v>130</v>
      </c>
      <c r="L17" s="217">
        <f>K17*E17</f>
        <v>429000</v>
      </c>
      <c r="M17" s="214">
        <v>130</v>
      </c>
      <c r="N17" s="217">
        <f>M17*E17</f>
        <v>429000</v>
      </c>
      <c r="O17" s="219">
        <f>M17</f>
        <v>130</v>
      </c>
      <c r="P17" s="220">
        <f>O17*E17</f>
        <v>429000</v>
      </c>
      <c r="R17" s="4" t="e">
        <f t="shared" si="7"/>
        <v>#DIV/0!</v>
      </c>
      <c r="S17" s="2" t="s">
        <v>31</v>
      </c>
    </row>
    <row r="18" spans="1:19" ht="51" x14ac:dyDescent="0.2">
      <c r="A18" s="221" t="s">
        <v>44</v>
      </c>
      <c r="B18" s="209" t="s">
        <v>83</v>
      </c>
      <c r="C18" s="210" t="s">
        <v>34</v>
      </c>
      <c r="D18" s="211">
        <v>0</v>
      </c>
      <c r="E18" s="212">
        <v>17500</v>
      </c>
      <c r="F18" s="213">
        <f>D18*E18</f>
        <v>0</v>
      </c>
      <c r="G18" s="214"/>
      <c r="H18" s="215">
        <f>G18*E18</f>
        <v>0</v>
      </c>
      <c r="I18" s="216"/>
      <c r="J18" s="217">
        <f>I18*E18</f>
        <v>0</v>
      </c>
      <c r="K18" s="218">
        <f>M18-D18</f>
        <v>130</v>
      </c>
      <c r="L18" s="217">
        <f>K18*E18</f>
        <v>2275000</v>
      </c>
      <c r="M18" s="214">
        <v>130</v>
      </c>
      <c r="N18" s="217">
        <f>M18*E18</f>
        <v>2275000</v>
      </c>
      <c r="O18" s="219">
        <f>M18</f>
        <v>130</v>
      </c>
      <c r="P18" s="220">
        <f>O18*E18</f>
        <v>2275000</v>
      </c>
      <c r="R18" s="4" t="e">
        <f t="shared" si="7"/>
        <v>#DIV/0!</v>
      </c>
      <c r="S18" s="2" t="s">
        <v>31</v>
      </c>
    </row>
    <row r="19" spans="1:19" ht="34" x14ac:dyDescent="0.2">
      <c r="A19" s="91" t="s">
        <v>48</v>
      </c>
      <c r="B19" s="92" t="s">
        <v>49</v>
      </c>
      <c r="C19" s="85" t="s">
        <v>50</v>
      </c>
      <c r="D19" s="93">
        <v>0</v>
      </c>
      <c r="E19" s="90">
        <v>126100</v>
      </c>
      <c r="F19" s="87">
        <f t="shared" si="0"/>
        <v>0</v>
      </c>
      <c r="G19" s="76">
        <v>12</v>
      </c>
      <c r="H19" s="77">
        <f t="shared" si="1"/>
        <v>1513200</v>
      </c>
      <c r="I19" s="78">
        <f t="shared" si="2"/>
        <v>-12</v>
      </c>
      <c r="J19" s="79">
        <f t="shared" si="3"/>
        <v>-1513200</v>
      </c>
      <c r="K19" s="80"/>
      <c r="L19" s="79">
        <f t="shared" si="4"/>
        <v>0</v>
      </c>
      <c r="M19" s="81">
        <v>28</v>
      </c>
      <c r="N19" s="79">
        <f t="shared" si="8"/>
        <v>3530800</v>
      </c>
      <c r="O19" s="88">
        <f t="shared" si="5"/>
        <v>28</v>
      </c>
      <c r="P19" s="89">
        <f t="shared" si="6"/>
        <v>3530800</v>
      </c>
      <c r="R19" s="4"/>
    </row>
    <row r="20" spans="1:19" ht="31.25" customHeight="1" thickBot="1" x14ac:dyDescent="0.25">
      <c r="A20" s="91" t="s">
        <v>51</v>
      </c>
      <c r="B20" s="92" t="s">
        <v>52</v>
      </c>
      <c r="C20" s="85" t="s">
        <v>30</v>
      </c>
      <c r="D20" s="73">
        <v>1</v>
      </c>
      <c r="E20" s="90">
        <v>200000</v>
      </c>
      <c r="F20" s="87">
        <f t="shared" si="0"/>
        <v>200000</v>
      </c>
      <c r="G20" s="76">
        <v>1</v>
      </c>
      <c r="H20" s="77">
        <f t="shared" si="1"/>
        <v>200000</v>
      </c>
      <c r="I20" s="78">
        <f t="shared" si="2"/>
        <v>0</v>
      </c>
      <c r="J20" s="79">
        <f t="shared" si="3"/>
        <v>0</v>
      </c>
      <c r="K20" s="80">
        <v>0</v>
      </c>
      <c r="L20" s="79">
        <f t="shared" si="4"/>
        <v>0</v>
      </c>
      <c r="M20" s="76">
        <v>1</v>
      </c>
      <c r="N20" s="79">
        <f t="shared" si="8"/>
        <v>200000</v>
      </c>
      <c r="O20" s="88">
        <f t="shared" si="5"/>
        <v>1</v>
      </c>
      <c r="P20" s="89">
        <f t="shared" si="6"/>
        <v>200000</v>
      </c>
      <c r="R20" s="4">
        <f>O20*100/D20</f>
        <v>100</v>
      </c>
      <c r="S20" s="2" t="s">
        <v>31</v>
      </c>
    </row>
    <row r="21" spans="1:19" s="5" customFormat="1" ht="18" customHeight="1" thickBot="1" x14ac:dyDescent="0.25">
      <c r="A21" s="94" t="s">
        <v>53</v>
      </c>
      <c r="B21" s="95"/>
      <c r="C21" s="96"/>
      <c r="D21" s="97"/>
      <c r="E21" s="97"/>
      <c r="F21" s="98">
        <f>SUM(F12:F20)</f>
        <v>14102610</v>
      </c>
      <c r="G21" s="99"/>
      <c r="H21" s="100">
        <f>SUM(H12:H20)</f>
        <v>15615810</v>
      </c>
      <c r="I21" s="99"/>
      <c r="J21" s="100">
        <f>SUM(J12:J20)</f>
        <v>-1513200</v>
      </c>
      <c r="K21" s="99"/>
      <c r="L21" s="100">
        <f>SUM(L12:L20)</f>
        <v>5854000</v>
      </c>
      <c r="M21" s="99"/>
      <c r="N21" s="100">
        <f>SUM(N12:N20)</f>
        <v>23487410</v>
      </c>
      <c r="O21" s="101"/>
      <c r="P21" s="100">
        <f>SUM(P12:P20)</f>
        <v>23487410</v>
      </c>
      <c r="R21" s="4"/>
      <c r="S21" s="2"/>
    </row>
    <row r="22" spans="1:19" s="5" customFormat="1" ht="18" customHeight="1" thickBot="1" x14ac:dyDescent="0.25">
      <c r="A22" s="360"/>
      <c r="B22" s="361"/>
      <c r="C22" s="361"/>
      <c r="D22" s="361"/>
      <c r="E22" s="361"/>
      <c r="F22" s="361"/>
      <c r="G22" s="362"/>
      <c r="H22" s="362"/>
      <c r="I22" s="361"/>
      <c r="J22" s="361"/>
      <c r="K22" s="361"/>
      <c r="L22" s="361"/>
      <c r="M22" s="361"/>
      <c r="N22" s="361"/>
      <c r="O22" s="361"/>
      <c r="P22" s="363"/>
    </row>
    <row r="23" spans="1:19" s="6" customFormat="1" ht="18" customHeight="1" x14ac:dyDescent="0.2">
      <c r="A23" s="364" t="s">
        <v>54</v>
      </c>
      <c r="B23" s="365"/>
      <c r="C23" s="365"/>
      <c r="D23" s="365"/>
      <c r="E23" s="365"/>
      <c r="F23" s="26">
        <f>F21</f>
        <v>14102610</v>
      </c>
      <c r="G23" s="27"/>
      <c r="H23" s="28">
        <f>H21</f>
        <v>15615810</v>
      </c>
      <c r="I23" s="27"/>
      <c r="J23" s="28">
        <f>J21</f>
        <v>-1513200</v>
      </c>
      <c r="K23" s="27"/>
      <c r="L23" s="28">
        <f>L21</f>
        <v>5854000</v>
      </c>
      <c r="M23" s="29"/>
      <c r="N23" s="28">
        <f>N21</f>
        <v>23487410</v>
      </c>
      <c r="O23" s="29"/>
      <c r="P23" s="28">
        <f>P21</f>
        <v>23487410</v>
      </c>
    </row>
    <row r="24" spans="1:19" s="5" customFormat="1" ht="18" customHeight="1" x14ac:dyDescent="0.2">
      <c r="A24" s="327" t="s">
        <v>55</v>
      </c>
      <c r="B24" s="328"/>
      <c r="C24" s="328"/>
      <c r="D24" s="328"/>
      <c r="E24" s="30">
        <v>0.08</v>
      </c>
      <c r="F24" s="31">
        <f>$F$23*E24</f>
        <v>1128208.8</v>
      </c>
      <c r="G24" s="32"/>
      <c r="H24" s="33">
        <f>$H$23*E24</f>
        <v>1249264.8</v>
      </c>
      <c r="I24" s="32"/>
      <c r="J24" s="33">
        <f>$J$23*E24</f>
        <v>-121056</v>
      </c>
      <c r="K24" s="32"/>
      <c r="L24" s="33">
        <f t="shared" ref="L24:L29" si="9">$L$23*E24</f>
        <v>468320</v>
      </c>
      <c r="M24" s="34"/>
      <c r="N24" s="33">
        <f>$N$23*E24</f>
        <v>1878992.8</v>
      </c>
      <c r="O24" s="34"/>
      <c r="P24" s="33">
        <f>$P$23*E24</f>
        <v>1878992.8</v>
      </c>
    </row>
    <row r="25" spans="1:19" s="5" customFormat="1" ht="18" customHeight="1" x14ac:dyDescent="0.2">
      <c r="A25" s="327" t="s">
        <v>56</v>
      </c>
      <c r="B25" s="328"/>
      <c r="C25" s="328"/>
      <c r="D25" s="328"/>
      <c r="E25" s="35">
        <v>0</v>
      </c>
      <c r="F25" s="31">
        <f>$F$23*E25</f>
        <v>0</v>
      </c>
      <c r="G25" s="32"/>
      <c r="H25" s="33">
        <f>$H$23*E25</f>
        <v>0</v>
      </c>
      <c r="I25" s="32"/>
      <c r="J25" s="33">
        <f>$J$23*E25</f>
        <v>0</v>
      </c>
      <c r="K25" s="32"/>
      <c r="L25" s="33">
        <f t="shared" si="9"/>
        <v>0</v>
      </c>
      <c r="M25" s="34"/>
      <c r="N25" s="33">
        <f>$N$23*E25</f>
        <v>0</v>
      </c>
      <c r="O25" s="34"/>
      <c r="P25" s="33">
        <f>$P$23*E25</f>
        <v>0</v>
      </c>
    </row>
    <row r="26" spans="1:19" s="5" customFormat="1" ht="18" customHeight="1" x14ac:dyDescent="0.2">
      <c r="A26" s="327" t="s">
        <v>57</v>
      </c>
      <c r="B26" s="328"/>
      <c r="C26" s="328"/>
      <c r="D26" s="328"/>
      <c r="E26" s="30">
        <v>0.05</v>
      </c>
      <c r="F26" s="31">
        <f>$F$23*E26</f>
        <v>705130.5</v>
      </c>
      <c r="G26" s="32"/>
      <c r="H26" s="33">
        <f>$H$23*E26</f>
        <v>780790.5</v>
      </c>
      <c r="I26" s="32"/>
      <c r="J26" s="33">
        <f>$J$23*E26</f>
        <v>-75660</v>
      </c>
      <c r="K26" s="32"/>
      <c r="L26" s="33">
        <f t="shared" si="9"/>
        <v>292700</v>
      </c>
      <c r="M26" s="34"/>
      <c r="N26" s="33">
        <f>$N$23*E26</f>
        <v>1174370.5</v>
      </c>
      <c r="O26" s="34"/>
      <c r="P26" s="33">
        <f>$P$23*E26</f>
        <v>1174370.5</v>
      </c>
    </row>
    <row r="27" spans="1:19" s="5" customFormat="1" ht="18" customHeight="1" x14ac:dyDescent="0.2">
      <c r="A27" s="327" t="s">
        <v>58</v>
      </c>
      <c r="B27" s="328"/>
      <c r="C27" s="328"/>
      <c r="D27" s="328"/>
      <c r="E27" s="30">
        <v>0.05</v>
      </c>
      <c r="F27" s="31">
        <f>$F$23*E27</f>
        <v>705130.5</v>
      </c>
      <c r="G27" s="32"/>
      <c r="H27" s="33">
        <f>$H$23*E27</f>
        <v>780790.5</v>
      </c>
      <c r="I27" s="32"/>
      <c r="J27" s="33">
        <f>$J$23*E27</f>
        <v>-75660</v>
      </c>
      <c r="K27" s="32"/>
      <c r="L27" s="33">
        <f t="shared" si="9"/>
        <v>292700</v>
      </c>
      <c r="M27" s="34"/>
      <c r="N27" s="33">
        <f>$N$23*E27</f>
        <v>1174370.5</v>
      </c>
      <c r="O27" s="34"/>
      <c r="P27" s="33">
        <f>$P$23*E27</f>
        <v>1174370.5</v>
      </c>
    </row>
    <row r="28" spans="1:19" s="6" customFormat="1" ht="18" customHeight="1" x14ac:dyDescent="0.2">
      <c r="A28" s="337" t="s">
        <v>59</v>
      </c>
      <c r="B28" s="338"/>
      <c r="C28" s="338"/>
      <c r="D28" s="338"/>
      <c r="E28" s="36">
        <f>SUM(E24:E27)</f>
        <v>0.18</v>
      </c>
      <c r="F28" s="37">
        <f>SUM(F24:F27)</f>
        <v>2538469.7999999998</v>
      </c>
      <c r="G28" s="38"/>
      <c r="H28" s="33">
        <f>$H$23*E28</f>
        <v>2810845.8</v>
      </c>
      <c r="I28" s="38"/>
      <c r="J28" s="33">
        <f>$J$23*E28</f>
        <v>-272376</v>
      </c>
      <c r="K28" s="38"/>
      <c r="L28" s="33">
        <f t="shared" si="9"/>
        <v>1053720</v>
      </c>
      <c r="M28" s="39"/>
      <c r="N28" s="33">
        <f>$N$23*E28</f>
        <v>4227733.8</v>
      </c>
      <c r="O28" s="39"/>
      <c r="P28" s="33">
        <f>$P$23*E28</f>
        <v>4227733.8</v>
      </c>
    </row>
    <row r="29" spans="1:19" s="5" customFormat="1" ht="18" customHeight="1" x14ac:dyDescent="0.2">
      <c r="A29" s="327" t="s">
        <v>60</v>
      </c>
      <c r="B29" s="328"/>
      <c r="C29" s="328"/>
      <c r="D29" s="328"/>
      <c r="E29" s="30">
        <v>0.19</v>
      </c>
      <c r="F29" s="31">
        <f>E29*F27</f>
        <v>133974.79500000001</v>
      </c>
      <c r="G29" s="32"/>
      <c r="H29" s="33">
        <f>H27*$E$29</f>
        <v>148350.19500000001</v>
      </c>
      <c r="I29" s="32"/>
      <c r="J29" s="33">
        <f>J27*$E$29</f>
        <v>-14375.4</v>
      </c>
      <c r="K29" s="32"/>
      <c r="L29" s="33">
        <f t="shared" si="9"/>
        <v>1112260</v>
      </c>
      <c r="M29" s="34"/>
      <c r="N29" s="33">
        <f>N27*$E$29</f>
        <v>223130.39499999999</v>
      </c>
      <c r="O29" s="34"/>
      <c r="P29" s="33">
        <f>P27*$E$29</f>
        <v>223130.39499999999</v>
      </c>
    </row>
    <row r="30" spans="1:19" s="6" customFormat="1" ht="18" customHeight="1" x14ac:dyDescent="0.2">
      <c r="A30" s="324" t="s">
        <v>61</v>
      </c>
      <c r="B30" s="325"/>
      <c r="C30" s="325"/>
      <c r="D30" s="325"/>
      <c r="E30" s="325"/>
      <c r="F30" s="37">
        <f>SUM(F23:F29)-F28</f>
        <v>16775054.595000003</v>
      </c>
      <c r="G30" s="38"/>
      <c r="H30" s="40">
        <f>SUM(H23:H29)-H28</f>
        <v>18575005.995000001</v>
      </c>
      <c r="I30" s="38"/>
      <c r="J30" s="40">
        <f>SUM(J23:J29)-J28</f>
        <v>-1799951.4</v>
      </c>
      <c r="K30" s="38"/>
      <c r="L30" s="40">
        <f>SUM(L23:L29)-L28</f>
        <v>8019980</v>
      </c>
      <c r="M30" s="39"/>
      <c r="N30" s="40">
        <f>SUM(N23:N29)-N28</f>
        <v>27938274.195</v>
      </c>
      <c r="O30" s="39"/>
      <c r="P30" s="40">
        <f>SUM(P23:P29)-P28</f>
        <v>27938274.195</v>
      </c>
    </row>
    <row r="31" spans="1:19" s="5" customFormat="1" ht="18" customHeight="1" thickBot="1" x14ac:dyDescent="0.25">
      <c r="A31" s="41"/>
      <c r="B31" s="42"/>
      <c r="C31" s="43"/>
      <c r="D31" s="43"/>
      <c r="E31" s="43"/>
      <c r="F31" s="31"/>
      <c r="G31" s="32"/>
      <c r="H31" s="33"/>
      <c r="I31" s="44"/>
      <c r="J31" s="45"/>
      <c r="K31" s="44"/>
      <c r="L31" s="45"/>
      <c r="M31" s="46"/>
      <c r="N31" s="47"/>
      <c r="O31" s="46"/>
      <c r="P31" s="45"/>
    </row>
    <row r="32" spans="1:19" s="7" customFormat="1" ht="18" customHeight="1" x14ac:dyDescent="0.2">
      <c r="A32" s="48"/>
      <c r="B32" s="49"/>
      <c r="C32" s="49"/>
      <c r="D32" s="49"/>
      <c r="E32" s="50"/>
      <c r="F32" s="49"/>
      <c r="G32" s="49"/>
      <c r="H32" s="51"/>
      <c r="I32" s="52"/>
      <c r="J32" s="326" t="s">
        <v>62</v>
      </c>
      <c r="K32" s="326"/>
      <c r="L32" s="326"/>
      <c r="M32" s="331">
        <f>N30</f>
        <v>27938274.195</v>
      </c>
      <c r="N32" s="332"/>
      <c r="O32" s="329">
        <f>P30</f>
        <v>27938274.195</v>
      </c>
      <c r="P32" s="330"/>
    </row>
    <row r="33" spans="1:16" s="7" customFormat="1" ht="18" customHeight="1" x14ac:dyDescent="0.2">
      <c r="A33" s="53"/>
      <c r="B33" s="54"/>
      <c r="C33" s="321"/>
      <c r="D33" s="321"/>
      <c r="E33" s="55"/>
      <c r="F33" s="55"/>
      <c r="G33" s="56"/>
      <c r="H33" s="57"/>
      <c r="I33" s="313" t="s">
        <v>63</v>
      </c>
      <c r="J33" s="313"/>
      <c r="K33" s="58"/>
      <c r="L33" s="59">
        <v>0.02</v>
      </c>
      <c r="M33" s="314">
        <v>-486221.59600000002</v>
      </c>
      <c r="N33" s="315"/>
      <c r="O33" s="316">
        <v>-486221.59600000002</v>
      </c>
      <c r="P33" s="317"/>
    </row>
    <row r="34" spans="1:16" s="7" customFormat="1" ht="18" customHeight="1" x14ac:dyDescent="0.2">
      <c r="A34" s="53"/>
      <c r="B34" s="54"/>
      <c r="C34" s="55"/>
      <c r="D34" s="55"/>
      <c r="E34" s="55"/>
      <c r="F34" s="55"/>
      <c r="G34" s="56"/>
      <c r="H34" s="57"/>
      <c r="I34" s="313" t="s">
        <v>64</v>
      </c>
      <c r="J34" s="313"/>
      <c r="K34" s="58"/>
      <c r="L34" s="60" t="s">
        <v>65</v>
      </c>
      <c r="M34" s="314">
        <v>0</v>
      </c>
      <c r="N34" s="315"/>
      <c r="O34" s="316">
        <v>0</v>
      </c>
      <c r="P34" s="317"/>
    </row>
    <row r="35" spans="1:16" s="7" customFormat="1" ht="18" customHeight="1" x14ac:dyDescent="0.2">
      <c r="A35" s="61"/>
      <c r="B35" s="55"/>
      <c r="C35" s="55"/>
      <c r="D35" s="55"/>
      <c r="E35" s="55"/>
      <c r="F35" s="55"/>
      <c r="G35" s="55"/>
      <c r="H35" s="57"/>
      <c r="I35" s="313" t="s">
        <v>66</v>
      </c>
      <c r="J35" s="313"/>
      <c r="K35" s="58"/>
      <c r="L35" s="59">
        <v>0</v>
      </c>
      <c r="M35" s="314">
        <v>0</v>
      </c>
      <c r="N35" s="315"/>
      <c r="O35" s="316">
        <v>0</v>
      </c>
      <c r="P35" s="317"/>
    </row>
    <row r="36" spans="1:16" s="7" customFormat="1" ht="18" customHeight="1" x14ac:dyDescent="0.2">
      <c r="A36" s="318"/>
      <c r="B36" s="319"/>
      <c r="C36" s="319"/>
      <c r="D36" s="319"/>
      <c r="E36" s="319"/>
      <c r="F36" s="319"/>
      <c r="G36" s="319"/>
      <c r="H36" s="320"/>
      <c r="I36" s="313" t="s">
        <v>67</v>
      </c>
      <c r="J36" s="313"/>
      <c r="K36" s="62">
        <v>0.1</v>
      </c>
      <c r="L36" s="63">
        <f>M32*K36</f>
        <v>2793827.4195000003</v>
      </c>
      <c r="M36" s="314">
        <f>-M32*(K36)</f>
        <v>-2793827.4195000003</v>
      </c>
      <c r="N36" s="315"/>
      <c r="O36" s="316">
        <f>M36</f>
        <v>-2793827.4195000003</v>
      </c>
      <c r="P36" s="317"/>
    </row>
    <row r="37" spans="1:16" s="7" customFormat="1" ht="18" customHeight="1" thickBot="1" x14ac:dyDescent="0.25">
      <c r="A37" s="307"/>
      <c r="B37" s="308"/>
      <c r="C37" s="308"/>
      <c r="D37" s="308"/>
      <c r="E37" s="308"/>
      <c r="F37" s="308"/>
      <c r="G37" s="308"/>
      <c r="H37" s="309"/>
      <c r="I37" s="310" t="s">
        <v>68</v>
      </c>
      <c r="J37" s="310"/>
      <c r="K37" s="310"/>
      <c r="L37" s="310"/>
      <c r="M37" s="64"/>
      <c r="N37" s="65">
        <f>SUM(M32:N36)</f>
        <v>24658225.179499999</v>
      </c>
      <c r="O37" s="311">
        <f>SUM(O32:P36)</f>
        <v>24658225.179499999</v>
      </c>
      <c r="P37" s="312"/>
    </row>
    <row r="39" spans="1:16" x14ac:dyDescent="0.2">
      <c r="P39" s="3"/>
    </row>
    <row r="40" spans="1:16" x14ac:dyDescent="0.2">
      <c r="F40" s="3"/>
      <c r="K40" s="9"/>
      <c r="L40" s="10"/>
      <c r="N40" s="3"/>
      <c r="P40" s="11"/>
    </row>
    <row r="41" spans="1:16" x14ac:dyDescent="0.2">
      <c r="A41" s="8"/>
      <c r="B41" s="8"/>
      <c r="C41" s="8"/>
      <c r="D41" s="8"/>
      <c r="E41" s="8"/>
      <c r="F41" s="12"/>
      <c r="G41" s="8"/>
      <c r="H41" s="8"/>
      <c r="L41" s="10"/>
      <c r="N41" s="11"/>
    </row>
    <row r="42" spans="1:16" x14ac:dyDescent="0.2">
      <c r="A42" s="7"/>
      <c r="B42" s="7"/>
      <c r="C42" s="13"/>
      <c r="D42" s="7"/>
      <c r="E42" s="7"/>
      <c r="F42" s="14"/>
      <c r="G42" s="7"/>
      <c r="H42" s="7"/>
      <c r="K42" s="9"/>
      <c r="L42" s="3"/>
    </row>
    <row r="43" spans="1:16" x14ac:dyDescent="0.2">
      <c r="F43" s="11"/>
      <c r="L43" s="15"/>
    </row>
    <row r="44" spans="1:16" x14ac:dyDescent="0.2">
      <c r="N44" s="16"/>
    </row>
    <row r="45" spans="1:16" x14ac:dyDescent="0.2">
      <c r="L45" s="10"/>
    </row>
  </sheetData>
  <mergeCells count="55">
    <mergeCell ref="O1:P1"/>
    <mergeCell ref="A2:B2"/>
    <mergeCell ref="C2:F2"/>
    <mergeCell ref="O2:P6"/>
    <mergeCell ref="A3:B3"/>
    <mergeCell ref="C3:F3"/>
    <mergeCell ref="A4:B4"/>
    <mergeCell ref="C4:F4"/>
    <mergeCell ref="A5:B5"/>
    <mergeCell ref="C5:F5"/>
    <mergeCell ref="A6:B6"/>
    <mergeCell ref="C6:F6"/>
    <mergeCell ref="A1:B1"/>
    <mergeCell ref="C1:F1"/>
    <mergeCell ref="G1:N6"/>
    <mergeCell ref="A7:A10"/>
    <mergeCell ref="B7:B10"/>
    <mergeCell ref="C7:F9"/>
    <mergeCell ref="G7:L7"/>
    <mergeCell ref="M7:N7"/>
    <mergeCell ref="G8:H9"/>
    <mergeCell ref="I8:J9"/>
    <mergeCell ref="K8:L9"/>
    <mergeCell ref="M8:N8"/>
    <mergeCell ref="M9:N9"/>
    <mergeCell ref="A26:D26"/>
    <mergeCell ref="A28:D28"/>
    <mergeCell ref="A29:D29"/>
    <mergeCell ref="A24:D24"/>
    <mergeCell ref="A25:D25"/>
    <mergeCell ref="A22:P22"/>
    <mergeCell ref="A23:E23"/>
    <mergeCell ref="O7:P9"/>
    <mergeCell ref="A30:E30"/>
    <mergeCell ref="J32:L32"/>
    <mergeCell ref="A27:D27"/>
    <mergeCell ref="O32:P32"/>
    <mergeCell ref="M32:N32"/>
    <mergeCell ref="C33:D33"/>
    <mergeCell ref="I33:J33"/>
    <mergeCell ref="O33:P33"/>
    <mergeCell ref="I34:J34"/>
    <mergeCell ref="M34:N34"/>
    <mergeCell ref="O34:P34"/>
    <mergeCell ref="M33:N33"/>
    <mergeCell ref="A37:H37"/>
    <mergeCell ref="I37:L37"/>
    <mergeCell ref="O37:P37"/>
    <mergeCell ref="I35:J35"/>
    <mergeCell ref="M35:N35"/>
    <mergeCell ref="O35:P35"/>
    <mergeCell ref="A36:H36"/>
    <mergeCell ref="I36:J36"/>
    <mergeCell ref="O36:P36"/>
    <mergeCell ref="M36:N36"/>
  </mergeCells>
  <pageMargins left="0.25" right="0.25" top="0.75" bottom="0.75" header="0.3" footer="0.3"/>
  <pageSetup paperSize="345" scale="40" orientation="landscape" r:id="rId1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D649-F1E6-0F4F-BDF3-7A282B07E348}">
  <sheetPr codeName="Hoja6">
    <pageSetUpPr fitToPage="1"/>
  </sheetPr>
  <dimension ref="A1:S47"/>
  <sheetViews>
    <sheetView zoomScaleNormal="60" zoomScaleSheetLayoutView="55" workbookViewId="0">
      <selection activeCell="A34" sqref="A34:H34"/>
    </sheetView>
  </sheetViews>
  <sheetFormatPr baseColWidth="10" defaultColWidth="11.5" defaultRowHeight="14" x14ac:dyDescent="0.2"/>
  <cols>
    <col min="1" max="1" width="10.33203125" style="2" customWidth="1"/>
    <col min="2" max="2" width="66.6640625" style="2" customWidth="1"/>
    <col min="3" max="3" width="11.5" style="2"/>
    <col min="4" max="4" width="12" style="2" bestFit="1" customWidth="1"/>
    <col min="5" max="5" width="15.1640625" style="2" bestFit="1" customWidth="1"/>
    <col min="6" max="6" width="22.6640625" style="2" customWidth="1"/>
    <col min="7" max="7" width="12" style="2" bestFit="1" customWidth="1"/>
    <col min="8" max="8" width="22.6640625" style="2" customWidth="1"/>
    <col min="9" max="9" width="12" style="2" bestFit="1" customWidth="1"/>
    <col min="10" max="10" width="22.6640625" style="2" customWidth="1"/>
    <col min="11" max="11" width="12" style="2" bestFit="1" customWidth="1"/>
    <col min="12" max="12" width="22.6640625" style="2" customWidth="1"/>
    <col min="13" max="13" width="14" style="2" bestFit="1" customWidth="1"/>
    <col min="14" max="14" width="22.6640625" style="2" customWidth="1"/>
    <col min="15" max="15" width="12" style="2" bestFit="1" customWidth="1"/>
    <col min="16" max="16" width="22.6640625" style="2" customWidth="1"/>
    <col min="17" max="17" width="11.5" style="2"/>
    <col min="18" max="18" width="12" style="2" bestFit="1" customWidth="1"/>
    <col min="19" max="19" width="16.6640625" style="2" bestFit="1" customWidth="1"/>
    <col min="20" max="16384" width="11.5" style="2"/>
  </cols>
  <sheetData>
    <row r="1" spans="1:19" ht="40.25" customHeight="1" x14ac:dyDescent="0.2">
      <c r="A1" s="339" t="s">
        <v>0</v>
      </c>
      <c r="B1" s="340"/>
      <c r="C1" s="341" t="s">
        <v>1</v>
      </c>
      <c r="D1" s="342"/>
      <c r="E1" s="342"/>
      <c r="F1" s="343"/>
      <c r="G1" s="344" t="s">
        <v>79</v>
      </c>
      <c r="H1" s="345"/>
      <c r="I1" s="345"/>
      <c r="J1" s="345"/>
      <c r="K1" s="345"/>
      <c r="L1" s="345"/>
      <c r="M1" s="345"/>
      <c r="N1" s="345"/>
      <c r="O1" s="374" t="s">
        <v>3</v>
      </c>
      <c r="P1" s="375"/>
    </row>
    <row r="2" spans="1:19" ht="18" customHeight="1" x14ac:dyDescent="0.2">
      <c r="A2" s="376" t="s">
        <v>4</v>
      </c>
      <c r="B2" s="377"/>
      <c r="C2" s="378" t="s">
        <v>5</v>
      </c>
      <c r="D2" s="379"/>
      <c r="E2" s="379"/>
      <c r="F2" s="380"/>
      <c r="G2" s="346"/>
      <c r="H2" s="347"/>
      <c r="I2" s="347"/>
      <c r="J2" s="347"/>
      <c r="K2" s="347"/>
      <c r="L2" s="347"/>
      <c r="M2" s="347"/>
      <c r="N2" s="347"/>
      <c r="O2" s="381">
        <v>6</v>
      </c>
      <c r="P2" s="382"/>
    </row>
    <row r="3" spans="1:19" ht="18" customHeight="1" x14ac:dyDescent="0.2">
      <c r="A3" s="376" t="s">
        <v>6</v>
      </c>
      <c r="B3" s="377"/>
      <c r="C3" s="387" t="s">
        <v>7</v>
      </c>
      <c r="D3" s="388"/>
      <c r="E3" s="388"/>
      <c r="F3" s="389"/>
      <c r="G3" s="346"/>
      <c r="H3" s="347"/>
      <c r="I3" s="347"/>
      <c r="J3" s="347"/>
      <c r="K3" s="347"/>
      <c r="L3" s="347"/>
      <c r="M3" s="347"/>
      <c r="N3" s="347"/>
      <c r="O3" s="381"/>
      <c r="P3" s="382"/>
    </row>
    <row r="4" spans="1:19" ht="18" customHeight="1" x14ac:dyDescent="0.2">
      <c r="A4" s="376" t="s">
        <v>8</v>
      </c>
      <c r="B4" s="377"/>
      <c r="C4" s="387" t="s">
        <v>9</v>
      </c>
      <c r="D4" s="388"/>
      <c r="E4" s="388"/>
      <c r="F4" s="389"/>
      <c r="G4" s="346"/>
      <c r="H4" s="347"/>
      <c r="I4" s="347"/>
      <c r="J4" s="347"/>
      <c r="K4" s="347"/>
      <c r="L4" s="347"/>
      <c r="M4" s="347"/>
      <c r="N4" s="347"/>
      <c r="O4" s="381"/>
      <c r="P4" s="382"/>
    </row>
    <row r="5" spans="1:19" ht="18" customHeight="1" x14ac:dyDescent="0.2">
      <c r="A5" s="376" t="s">
        <v>10</v>
      </c>
      <c r="B5" s="377"/>
      <c r="C5" s="387" t="s">
        <v>11</v>
      </c>
      <c r="D5" s="388"/>
      <c r="E5" s="388"/>
      <c r="F5" s="389"/>
      <c r="G5" s="346"/>
      <c r="H5" s="347"/>
      <c r="I5" s="347"/>
      <c r="J5" s="347"/>
      <c r="K5" s="347"/>
      <c r="L5" s="347"/>
      <c r="M5" s="347"/>
      <c r="N5" s="347"/>
      <c r="O5" s="383"/>
      <c r="P5" s="384"/>
    </row>
    <row r="6" spans="1:19" ht="18" customHeight="1" thickBot="1" x14ac:dyDescent="0.25">
      <c r="A6" s="390"/>
      <c r="B6" s="391"/>
      <c r="C6" s="392"/>
      <c r="D6" s="393"/>
      <c r="E6" s="393"/>
      <c r="F6" s="394"/>
      <c r="G6" s="348"/>
      <c r="H6" s="349"/>
      <c r="I6" s="349"/>
      <c r="J6" s="349"/>
      <c r="K6" s="349"/>
      <c r="L6" s="349"/>
      <c r="M6" s="349"/>
      <c r="N6" s="349"/>
      <c r="O6" s="385"/>
      <c r="P6" s="386"/>
    </row>
    <row r="7" spans="1:19" ht="17" thickBot="1" x14ac:dyDescent="0.25">
      <c r="A7" s="350" t="s">
        <v>12</v>
      </c>
      <c r="B7" s="353" t="s">
        <v>13</v>
      </c>
      <c r="C7" s="354" t="s">
        <v>14</v>
      </c>
      <c r="D7" s="355"/>
      <c r="E7" s="355"/>
      <c r="F7" s="356"/>
      <c r="G7" s="366" t="s">
        <v>15</v>
      </c>
      <c r="H7" s="367"/>
      <c r="I7" s="367"/>
      <c r="J7" s="367"/>
      <c r="K7" s="367"/>
      <c r="L7" s="368"/>
      <c r="M7" s="369" t="s">
        <v>16</v>
      </c>
      <c r="N7" s="368"/>
      <c r="O7" s="370" t="s">
        <v>17</v>
      </c>
      <c r="P7" s="371"/>
    </row>
    <row r="8" spans="1:19" ht="16" x14ac:dyDescent="0.2">
      <c r="A8" s="351"/>
      <c r="B8" s="353"/>
      <c r="C8" s="354"/>
      <c r="D8" s="355"/>
      <c r="E8" s="355"/>
      <c r="F8" s="356"/>
      <c r="G8" s="333" t="s">
        <v>18</v>
      </c>
      <c r="H8" s="334"/>
      <c r="I8" s="333" t="s">
        <v>19</v>
      </c>
      <c r="J8" s="334"/>
      <c r="K8" s="333" t="s">
        <v>20</v>
      </c>
      <c r="L8" s="334"/>
      <c r="M8" s="333" t="s">
        <v>80</v>
      </c>
      <c r="N8" s="334"/>
      <c r="O8" s="372"/>
      <c r="P8" s="373"/>
    </row>
    <row r="9" spans="1:19" ht="16" x14ac:dyDescent="0.2">
      <c r="A9" s="351"/>
      <c r="B9" s="353"/>
      <c r="C9" s="357"/>
      <c r="D9" s="358"/>
      <c r="E9" s="358"/>
      <c r="F9" s="359"/>
      <c r="G9" s="372"/>
      <c r="H9" s="373"/>
      <c r="I9" s="372"/>
      <c r="J9" s="373"/>
      <c r="K9" s="372"/>
      <c r="L9" s="373"/>
      <c r="M9" s="335">
        <v>46055</v>
      </c>
      <c r="N9" s="336"/>
      <c r="O9" s="372"/>
      <c r="P9" s="373"/>
    </row>
    <row r="10" spans="1:19" ht="18" thickBot="1" x14ac:dyDescent="0.25">
      <c r="A10" s="352"/>
      <c r="B10" s="353"/>
      <c r="C10" s="17" t="s">
        <v>22</v>
      </c>
      <c r="D10" s="18" t="s">
        <v>23</v>
      </c>
      <c r="E10" s="18" t="s">
        <v>24</v>
      </c>
      <c r="F10" s="19" t="s">
        <v>25</v>
      </c>
      <c r="G10" s="20" t="s">
        <v>23</v>
      </c>
      <c r="H10" s="21" t="s">
        <v>25</v>
      </c>
      <c r="I10" s="20" t="s">
        <v>23</v>
      </c>
      <c r="J10" s="22" t="s">
        <v>25</v>
      </c>
      <c r="K10" s="20" t="s">
        <v>23</v>
      </c>
      <c r="L10" s="21" t="s">
        <v>25</v>
      </c>
      <c r="M10" s="23" t="s">
        <v>23</v>
      </c>
      <c r="N10" s="24" t="s">
        <v>26</v>
      </c>
      <c r="O10" s="25" t="s">
        <v>23</v>
      </c>
      <c r="P10" s="21" t="s">
        <v>25</v>
      </c>
    </row>
    <row r="11" spans="1:19" ht="32" customHeight="1" thickBot="1" x14ac:dyDescent="0.25">
      <c r="A11" s="66" t="s">
        <v>27</v>
      </c>
      <c r="B11" s="67"/>
      <c r="C11" s="67"/>
      <c r="D11" s="67"/>
      <c r="E11" s="67"/>
      <c r="F11" s="67"/>
      <c r="G11" s="68"/>
      <c r="H11" s="68"/>
      <c r="I11" s="68"/>
      <c r="J11" s="68"/>
      <c r="K11" s="68"/>
      <c r="L11" s="68"/>
      <c r="M11" s="68"/>
      <c r="N11" s="68"/>
      <c r="O11" s="68"/>
      <c r="P11" s="69"/>
    </row>
    <row r="12" spans="1:19" ht="43.25" customHeight="1" x14ac:dyDescent="0.2">
      <c r="A12" s="70" t="s">
        <v>28</v>
      </c>
      <c r="B12" s="71" t="s">
        <v>29</v>
      </c>
      <c r="C12" s="72" t="s">
        <v>30</v>
      </c>
      <c r="D12" s="73">
        <v>1</v>
      </c>
      <c r="E12" s="74">
        <v>80000</v>
      </c>
      <c r="F12" s="75">
        <f t="shared" ref="F12:F17" si="0">D12*E12</f>
        <v>80000</v>
      </c>
      <c r="G12" s="76">
        <v>1</v>
      </c>
      <c r="H12" s="77">
        <f t="shared" ref="H12:H17" si="1">G12*E12</f>
        <v>80000</v>
      </c>
      <c r="I12" s="78">
        <f t="shared" ref="I12:I17" si="2">D12-G12</f>
        <v>0</v>
      </c>
      <c r="J12" s="79">
        <f t="shared" ref="J12:J17" si="3">I12*E12</f>
        <v>0</v>
      </c>
      <c r="K12" s="80">
        <v>0</v>
      </c>
      <c r="L12" s="79">
        <f t="shared" ref="L12:L17" si="4">K12*E12</f>
        <v>0</v>
      </c>
      <c r="M12" s="76">
        <v>1</v>
      </c>
      <c r="N12" s="79">
        <f t="shared" ref="N12:N17" si="5">M12*E12</f>
        <v>80000</v>
      </c>
      <c r="O12" s="82">
        <f t="shared" ref="O12:O17" si="6">M12</f>
        <v>1</v>
      </c>
      <c r="P12" s="83">
        <f t="shared" ref="P12:P17" si="7">O12*E12</f>
        <v>80000</v>
      </c>
      <c r="R12" s="4">
        <f t="shared" ref="R12:R17" si="8">O12*100/D12</f>
        <v>100</v>
      </c>
      <c r="S12" s="2" t="s">
        <v>31</v>
      </c>
    </row>
    <row r="13" spans="1:19" ht="85" x14ac:dyDescent="0.2">
      <c r="A13" s="1" t="s">
        <v>32</v>
      </c>
      <c r="B13" s="84" t="s">
        <v>33</v>
      </c>
      <c r="C13" s="85" t="s">
        <v>34</v>
      </c>
      <c r="D13" s="73">
        <v>1450</v>
      </c>
      <c r="E13" s="86">
        <v>3300</v>
      </c>
      <c r="F13" s="87">
        <f t="shared" si="0"/>
        <v>4785000</v>
      </c>
      <c r="G13" s="76">
        <v>1450</v>
      </c>
      <c r="H13" s="77">
        <f t="shared" si="1"/>
        <v>4785000</v>
      </c>
      <c r="I13" s="78">
        <f t="shared" si="2"/>
        <v>0</v>
      </c>
      <c r="J13" s="79">
        <f t="shared" si="3"/>
        <v>0</v>
      </c>
      <c r="K13" s="80">
        <v>0</v>
      </c>
      <c r="L13" s="79">
        <f t="shared" si="4"/>
        <v>0</v>
      </c>
      <c r="M13" s="76">
        <v>1450</v>
      </c>
      <c r="N13" s="79">
        <f t="shared" si="5"/>
        <v>4785000</v>
      </c>
      <c r="O13" s="88">
        <f t="shared" si="6"/>
        <v>1450</v>
      </c>
      <c r="P13" s="89">
        <f t="shared" si="7"/>
        <v>4785000</v>
      </c>
      <c r="R13" s="4">
        <f t="shared" si="8"/>
        <v>100</v>
      </c>
      <c r="S13" s="2" t="s">
        <v>31</v>
      </c>
    </row>
    <row r="14" spans="1:19" ht="85" x14ac:dyDescent="0.2">
      <c r="A14" s="1" t="s">
        <v>35</v>
      </c>
      <c r="B14" s="84" t="s">
        <v>36</v>
      </c>
      <c r="C14" s="85" t="s">
        <v>34</v>
      </c>
      <c r="D14" s="73">
        <v>20</v>
      </c>
      <c r="E14" s="90">
        <v>3000</v>
      </c>
      <c r="F14" s="87">
        <f t="shared" si="0"/>
        <v>60000</v>
      </c>
      <c r="G14" s="76">
        <v>20</v>
      </c>
      <c r="H14" s="77">
        <f t="shared" si="1"/>
        <v>60000</v>
      </c>
      <c r="I14" s="78">
        <f t="shared" si="2"/>
        <v>0</v>
      </c>
      <c r="J14" s="79">
        <f t="shared" si="3"/>
        <v>0</v>
      </c>
      <c r="K14" s="205">
        <f>M14-D14</f>
        <v>40</v>
      </c>
      <c r="L14" s="79">
        <f t="shared" si="4"/>
        <v>120000</v>
      </c>
      <c r="M14" s="76">
        <v>60</v>
      </c>
      <c r="N14" s="79">
        <f t="shared" si="5"/>
        <v>180000</v>
      </c>
      <c r="O14" s="88">
        <f t="shared" si="6"/>
        <v>60</v>
      </c>
      <c r="P14" s="89">
        <f t="shared" si="7"/>
        <v>180000</v>
      </c>
      <c r="R14" s="4">
        <f t="shared" si="8"/>
        <v>300</v>
      </c>
      <c r="S14" s="2" t="s">
        <v>31</v>
      </c>
    </row>
    <row r="15" spans="1:19" ht="68" x14ac:dyDescent="0.2">
      <c r="A15" s="1" t="s">
        <v>37</v>
      </c>
      <c r="B15" s="84" t="s">
        <v>38</v>
      </c>
      <c r="C15" s="85" t="s">
        <v>39</v>
      </c>
      <c r="D15" s="73">
        <v>20</v>
      </c>
      <c r="E15" s="86">
        <v>37000</v>
      </c>
      <c r="F15" s="87">
        <f t="shared" si="0"/>
        <v>740000</v>
      </c>
      <c r="G15" s="76">
        <v>20</v>
      </c>
      <c r="H15" s="77">
        <f t="shared" si="1"/>
        <v>740000</v>
      </c>
      <c r="I15" s="78">
        <f t="shared" si="2"/>
        <v>0</v>
      </c>
      <c r="J15" s="79">
        <f t="shared" si="3"/>
        <v>0</v>
      </c>
      <c r="K15" s="205">
        <f>M15-D15</f>
        <v>40</v>
      </c>
      <c r="L15" s="79">
        <f t="shared" si="4"/>
        <v>1480000</v>
      </c>
      <c r="M15" s="76">
        <v>60</v>
      </c>
      <c r="N15" s="79">
        <f t="shared" si="5"/>
        <v>2220000</v>
      </c>
      <c r="O15" s="88">
        <f t="shared" si="6"/>
        <v>60</v>
      </c>
      <c r="P15" s="89">
        <f t="shared" si="7"/>
        <v>2220000</v>
      </c>
      <c r="R15" s="4">
        <f t="shared" si="8"/>
        <v>300</v>
      </c>
      <c r="S15" s="2" t="s">
        <v>31</v>
      </c>
    </row>
    <row r="16" spans="1:19" ht="51" x14ac:dyDescent="0.2">
      <c r="A16" s="91" t="s">
        <v>44</v>
      </c>
      <c r="B16" s="84" t="s">
        <v>45</v>
      </c>
      <c r="C16" s="85" t="s">
        <v>34</v>
      </c>
      <c r="D16" s="73">
        <v>216.4</v>
      </c>
      <c r="E16" s="86">
        <v>17500</v>
      </c>
      <c r="F16" s="87">
        <f t="shared" si="0"/>
        <v>3787000</v>
      </c>
      <c r="G16" s="76">
        <v>216.4</v>
      </c>
      <c r="H16" s="77">
        <f t="shared" si="1"/>
        <v>3787000</v>
      </c>
      <c r="I16" s="78">
        <f t="shared" si="2"/>
        <v>0</v>
      </c>
      <c r="J16" s="79">
        <f t="shared" si="3"/>
        <v>0</v>
      </c>
      <c r="K16" s="205">
        <f>M16-D16</f>
        <v>103.64203038491277</v>
      </c>
      <c r="L16" s="79">
        <f t="shared" si="4"/>
        <v>1813735.5317359734</v>
      </c>
      <c r="M16" s="76">
        <v>320.04203038491278</v>
      </c>
      <c r="N16" s="79">
        <f t="shared" si="5"/>
        <v>5600735.5317359734</v>
      </c>
      <c r="O16" s="88">
        <f t="shared" si="6"/>
        <v>320.04203038491278</v>
      </c>
      <c r="P16" s="89">
        <f t="shared" si="7"/>
        <v>5600735.5317359734</v>
      </c>
      <c r="R16" s="4">
        <f t="shared" si="8"/>
        <v>147.89372938304658</v>
      </c>
      <c r="S16" s="2" t="s">
        <v>31</v>
      </c>
    </row>
    <row r="17" spans="1:19" ht="31.25" customHeight="1" thickBot="1" x14ac:dyDescent="0.25">
      <c r="A17" s="91" t="s">
        <v>51</v>
      </c>
      <c r="B17" s="92" t="s">
        <v>52</v>
      </c>
      <c r="C17" s="85" t="s">
        <v>30</v>
      </c>
      <c r="D17" s="73">
        <v>1</v>
      </c>
      <c r="E17" s="90">
        <v>200000</v>
      </c>
      <c r="F17" s="87">
        <f t="shared" si="0"/>
        <v>200000</v>
      </c>
      <c r="G17" s="76">
        <v>1</v>
      </c>
      <c r="H17" s="77">
        <f t="shared" si="1"/>
        <v>200000</v>
      </c>
      <c r="I17" s="78">
        <f t="shared" si="2"/>
        <v>0</v>
      </c>
      <c r="J17" s="79">
        <f t="shared" si="3"/>
        <v>0</v>
      </c>
      <c r="K17" s="80">
        <v>0</v>
      </c>
      <c r="L17" s="79">
        <f t="shared" si="4"/>
        <v>0</v>
      </c>
      <c r="M17" s="76">
        <v>1</v>
      </c>
      <c r="N17" s="79">
        <f t="shared" si="5"/>
        <v>200000</v>
      </c>
      <c r="O17" s="88">
        <f t="shared" si="6"/>
        <v>1</v>
      </c>
      <c r="P17" s="89">
        <f t="shared" si="7"/>
        <v>200000</v>
      </c>
      <c r="R17" s="4">
        <f t="shared" si="8"/>
        <v>100</v>
      </c>
      <c r="S17" s="2" t="s">
        <v>31</v>
      </c>
    </row>
    <row r="18" spans="1:19" s="5" customFormat="1" ht="18" customHeight="1" thickBot="1" x14ac:dyDescent="0.25">
      <c r="A18" s="94" t="s">
        <v>53</v>
      </c>
      <c r="B18" s="95"/>
      <c r="C18" s="96"/>
      <c r="D18" s="97"/>
      <c r="E18" s="97"/>
      <c r="F18" s="98">
        <f>SUM(F12:F17)</f>
        <v>9652000</v>
      </c>
      <c r="G18" s="99"/>
      <c r="H18" s="100">
        <f>SUM(H12:H17)</f>
        <v>9652000</v>
      </c>
      <c r="I18" s="99"/>
      <c r="J18" s="100">
        <f>SUM(J12:J17)</f>
        <v>0</v>
      </c>
      <c r="K18" s="99"/>
      <c r="L18" s="100">
        <f>SUM(L12:L17)</f>
        <v>3413735.5317359734</v>
      </c>
      <c r="M18" s="99"/>
      <c r="N18" s="100">
        <f>SUM(N12:N17)</f>
        <v>13065735.531735973</v>
      </c>
      <c r="O18" s="101"/>
      <c r="P18" s="100">
        <f>SUM(P12:P17)</f>
        <v>13065735.531735973</v>
      </c>
      <c r="R18" s="4"/>
      <c r="S18" s="2"/>
    </row>
    <row r="19" spans="1:19" s="5" customFormat="1" ht="18" customHeight="1" thickBot="1" x14ac:dyDescent="0.25">
      <c r="A19" s="360"/>
      <c r="B19" s="361"/>
      <c r="C19" s="361"/>
      <c r="D19" s="361"/>
      <c r="E19" s="361"/>
      <c r="F19" s="361"/>
      <c r="G19" s="362"/>
      <c r="H19" s="362"/>
      <c r="I19" s="361"/>
      <c r="J19" s="361"/>
      <c r="K19" s="361"/>
      <c r="L19" s="361"/>
      <c r="M19" s="361"/>
      <c r="N19" s="361"/>
      <c r="O19" s="361"/>
      <c r="P19" s="363"/>
    </row>
    <row r="20" spans="1:19" s="6" customFormat="1" ht="18" customHeight="1" x14ac:dyDescent="0.2">
      <c r="A20" s="364" t="s">
        <v>54</v>
      </c>
      <c r="B20" s="365"/>
      <c r="C20" s="365"/>
      <c r="D20" s="365"/>
      <c r="E20" s="365"/>
      <c r="F20" s="26">
        <f>F18</f>
        <v>9652000</v>
      </c>
      <c r="G20" s="27"/>
      <c r="H20" s="28">
        <f>H18</f>
        <v>9652000</v>
      </c>
      <c r="I20" s="27"/>
      <c r="J20" s="28">
        <f>J18</f>
        <v>0</v>
      </c>
      <c r="K20" s="27"/>
      <c r="L20" s="28">
        <f>L18</f>
        <v>3413735.5317359734</v>
      </c>
      <c r="M20" s="29"/>
      <c r="N20" s="28">
        <f>N18</f>
        <v>13065735.531735973</v>
      </c>
      <c r="O20" s="29"/>
      <c r="P20" s="28">
        <f>P18</f>
        <v>13065735.531735973</v>
      </c>
    </row>
    <row r="21" spans="1:19" s="5" customFormat="1" ht="18" customHeight="1" x14ac:dyDescent="0.2">
      <c r="A21" s="327" t="s">
        <v>55</v>
      </c>
      <c r="B21" s="328"/>
      <c r="C21" s="328"/>
      <c r="D21" s="328"/>
      <c r="E21" s="30">
        <v>0.08</v>
      </c>
      <c r="F21" s="31">
        <f>$F$20*E21</f>
        <v>772160</v>
      </c>
      <c r="G21" s="32"/>
      <c r="H21" s="33">
        <f>$H$20*E21</f>
        <v>772160</v>
      </c>
      <c r="I21" s="32"/>
      <c r="J21" s="33">
        <f>$J$20*E21</f>
        <v>0</v>
      </c>
      <c r="K21" s="32"/>
      <c r="L21" s="33">
        <f t="shared" ref="L21:L26" si="9">$L$20*E21</f>
        <v>273098.84253887786</v>
      </c>
      <c r="M21" s="34"/>
      <c r="N21" s="33">
        <f>$N$20*E21</f>
        <v>1045258.8425388779</v>
      </c>
      <c r="O21" s="34"/>
      <c r="P21" s="33">
        <f>$P$20*E21</f>
        <v>1045258.8425388779</v>
      </c>
    </row>
    <row r="22" spans="1:19" s="5" customFormat="1" ht="18" customHeight="1" x14ac:dyDescent="0.2">
      <c r="A22" s="327" t="s">
        <v>56</v>
      </c>
      <c r="B22" s="328"/>
      <c r="C22" s="328"/>
      <c r="D22" s="328"/>
      <c r="E22" s="35">
        <v>0</v>
      </c>
      <c r="F22" s="31">
        <f>$F$20*E22</f>
        <v>0</v>
      </c>
      <c r="G22" s="32"/>
      <c r="H22" s="33">
        <f>$H$20*E22</f>
        <v>0</v>
      </c>
      <c r="I22" s="32"/>
      <c r="J22" s="33">
        <f>$J$20*E22</f>
        <v>0</v>
      </c>
      <c r="K22" s="32"/>
      <c r="L22" s="33">
        <f t="shared" si="9"/>
        <v>0</v>
      </c>
      <c r="M22" s="34"/>
      <c r="N22" s="33">
        <f>$N$20*E22</f>
        <v>0</v>
      </c>
      <c r="O22" s="34"/>
      <c r="P22" s="33">
        <f>$P$20*E22</f>
        <v>0</v>
      </c>
    </row>
    <row r="23" spans="1:19" s="5" customFormat="1" ht="18" customHeight="1" x14ac:dyDescent="0.2">
      <c r="A23" s="327" t="s">
        <v>57</v>
      </c>
      <c r="B23" s="328"/>
      <c r="C23" s="328"/>
      <c r="D23" s="328"/>
      <c r="E23" s="30">
        <v>0.05</v>
      </c>
      <c r="F23" s="31">
        <f>$F$20*E23</f>
        <v>482600</v>
      </c>
      <c r="G23" s="32"/>
      <c r="H23" s="33">
        <f>$H$20*E23</f>
        <v>482600</v>
      </c>
      <c r="I23" s="32"/>
      <c r="J23" s="33">
        <f>$J$20*E23</f>
        <v>0</v>
      </c>
      <c r="K23" s="32"/>
      <c r="L23" s="33">
        <f t="shared" si="9"/>
        <v>170686.77658679869</v>
      </c>
      <c r="M23" s="34"/>
      <c r="N23" s="33">
        <f>$N$20*E23</f>
        <v>653286.77658679872</v>
      </c>
      <c r="O23" s="34"/>
      <c r="P23" s="33">
        <f>$P$20*E23</f>
        <v>653286.77658679872</v>
      </c>
    </row>
    <row r="24" spans="1:19" s="5" customFormat="1" ht="18" customHeight="1" x14ac:dyDescent="0.2">
      <c r="A24" s="327" t="s">
        <v>58</v>
      </c>
      <c r="B24" s="328"/>
      <c r="C24" s="328"/>
      <c r="D24" s="328"/>
      <c r="E24" s="30">
        <v>0.05</v>
      </c>
      <c r="F24" s="31">
        <f>$F$20*E24</f>
        <v>482600</v>
      </c>
      <c r="G24" s="32"/>
      <c r="H24" s="33">
        <f>$H$20*E24</f>
        <v>482600</v>
      </c>
      <c r="I24" s="32"/>
      <c r="J24" s="33">
        <f>$J$20*E24</f>
        <v>0</v>
      </c>
      <c r="K24" s="32"/>
      <c r="L24" s="33">
        <f t="shared" si="9"/>
        <v>170686.77658679869</v>
      </c>
      <c r="M24" s="34"/>
      <c r="N24" s="33">
        <f>$N$20*E24</f>
        <v>653286.77658679872</v>
      </c>
      <c r="O24" s="34"/>
      <c r="P24" s="33">
        <f>$P$20*E24</f>
        <v>653286.77658679872</v>
      </c>
    </row>
    <row r="25" spans="1:19" s="6" customFormat="1" ht="18" customHeight="1" x14ac:dyDescent="0.2">
      <c r="A25" s="337" t="s">
        <v>59</v>
      </c>
      <c r="B25" s="338"/>
      <c r="C25" s="338"/>
      <c r="D25" s="338"/>
      <c r="E25" s="36">
        <f>SUM(E21:E24)</f>
        <v>0.18</v>
      </c>
      <c r="F25" s="37">
        <f>SUM(F21:F24)</f>
        <v>1737360</v>
      </c>
      <c r="G25" s="38"/>
      <c r="H25" s="33">
        <f>$H$20*E25</f>
        <v>1737360</v>
      </c>
      <c r="I25" s="38"/>
      <c r="J25" s="33">
        <f>$J$20*E25</f>
        <v>0</v>
      </c>
      <c r="K25" s="38"/>
      <c r="L25" s="33">
        <f t="shared" si="9"/>
        <v>614472.39571247518</v>
      </c>
      <c r="M25" s="39"/>
      <c r="N25" s="33">
        <f>$N$20*E25</f>
        <v>2351832.3957124753</v>
      </c>
      <c r="O25" s="39"/>
      <c r="P25" s="33">
        <f>$P$20*E25</f>
        <v>2351832.3957124753</v>
      </c>
    </row>
    <row r="26" spans="1:19" s="5" customFormat="1" ht="18" customHeight="1" x14ac:dyDescent="0.2">
      <c r="A26" s="327" t="s">
        <v>60</v>
      </c>
      <c r="B26" s="328"/>
      <c r="C26" s="328"/>
      <c r="D26" s="328"/>
      <c r="E26" s="30">
        <v>0.19</v>
      </c>
      <c r="F26" s="31">
        <f>E26*F24</f>
        <v>91694</v>
      </c>
      <c r="G26" s="32"/>
      <c r="H26" s="33">
        <f>H24*$E$26</f>
        <v>91694</v>
      </c>
      <c r="I26" s="32"/>
      <c r="J26" s="33">
        <f>J24*$E$26</f>
        <v>0</v>
      </c>
      <c r="K26" s="32"/>
      <c r="L26" s="33">
        <f t="shared" si="9"/>
        <v>648609.75102983497</v>
      </c>
      <c r="M26" s="34"/>
      <c r="N26" s="33">
        <f>N24*$E$26</f>
        <v>124124.48755149175</v>
      </c>
      <c r="O26" s="34"/>
      <c r="P26" s="33">
        <f>P24*$E$26</f>
        <v>124124.48755149175</v>
      </c>
    </row>
    <row r="27" spans="1:19" s="6" customFormat="1" ht="18" customHeight="1" x14ac:dyDescent="0.2">
      <c r="A27" s="324" t="s">
        <v>61</v>
      </c>
      <c r="B27" s="325"/>
      <c r="C27" s="325"/>
      <c r="D27" s="325"/>
      <c r="E27" s="325"/>
      <c r="F27" s="37">
        <f>SUM(F20:F26)-F25</f>
        <v>11481054</v>
      </c>
      <c r="G27" s="38"/>
      <c r="H27" s="40">
        <f>SUM(H20:H26)-H25</f>
        <v>11481054</v>
      </c>
      <c r="I27" s="38"/>
      <c r="J27" s="40">
        <f>SUM(J20:J26)-J25</f>
        <v>0</v>
      </c>
      <c r="K27" s="38"/>
      <c r="L27" s="40">
        <f>SUM(L20:L26)-L25</f>
        <v>4676817.6784782829</v>
      </c>
      <c r="M27" s="39"/>
      <c r="N27" s="40">
        <f>SUM(N20:N26)-N25</f>
        <v>15541692.41499994</v>
      </c>
      <c r="O27" s="39"/>
      <c r="P27" s="40">
        <f>SUM(P20:P26)-P25</f>
        <v>15541692.41499994</v>
      </c>
    </row>
    <row r="28" spans="1:19" s="5" customFormat="1" ht="18" customHeight="1" thickBot="1" x14ac:dyDescent="0.25">
      <c r="A28" s="41"/>
      <c r="B28" s="42"/>
      <c r="C28" s="43"/>
      <c r="D28" s="43"/>
      <c r="E28" s="43"/>
      <c r="F28" s="31"/>
      <c r="G28" s="32"/>
      <c r="H28" s="33"/>
      <c r="I28" s="44"/>
      <c r="J28" s="45"/>
      <c r="K28" s="44"/>
      <c r="L28" s="45"/>
      <c r="M28" s="46"/>
      <c r="N28" s="47"/>
      <c r="O28" s="46"/>
      <c r="P28" s="45"/>
    </row>
    <row r="29" spans="1:19" s="7" customFormat="1" ht="18" customHeight="1" x14ac:dyDescent="0.2">
      <c r="A29" s="48"/>
      <c r="B29" s="49"/>
      <c r="C29" s="49"/>
      <c r="D29" s="49"/>
      <c r="E29" s="50"/>
      <c r="F29" s="49"/>
      <c r="G29" s="49"/>
      <c r="H29" s="51"/>
      <c r="I29" s="52"/>
      <c r="J29" s="326" t="s">
        <v>62</v>
      </c>
      <c r="K29" s="326"/>
      <c r="L29" s="326"/>
      <c r="M29" s="331">
        <f>N27</f>
        <v>15541692.41499994</v>
      </c>
      <c r="N29" s="332"/>
      <c r="O29" s="329">
        <f>P27</f>
        <v>15541692.41499994</v>
      </c>
      <c r="P29" s="330"/>
    </row>
    <row r="30" spans="1:19" s="7" customFormat="1" ht="18" customHeight="1" x14ac:dyDescent="0.2">
      <c r="A30" s="53"/>
      <c r="B30" s="54"/>
      <c r="C30" s="321"/>
      <c r="D30" s="321"/>
      <c r="E30" s="55"/>
      <c r="F30" s="55"/>
      <c r="G30" s="56"/>
      <c r="H30" s="57"/>
      <c r="I30" s="313" t="s">
        <v>63</v>
      </c>
      <c r="J30" s="313"/>
      <c r="K30" s="58"/>
      <c r="L30" s="59">
        <v>0.02</v>
      </c>
      <c r="M30" s="314">
        <v>-383040.63854896894</v>
      </c>
      <c r="N30" s="315"/>
      <c r="O30" s="316">
        <v>-383040.63854896894</v>
      </c>
      <c r="P30" s="317"/>
    </row>
    <row r="31" spans="1:19" s="7" customFormat="1" ht="18" customHeight="1" x14ac:dyDescent="0.2">
      <c r="A31" s="53"/>
      <c r="B31" s="54"/>
      <c r="C31" s="55"/>
      <c r="D31" s="55"/>
      <c r="E31" s="55"/>
      <c r="F31" s="55"/>
      <c r="G31" s="56"/>
      <c r="H31" s="57"/>
      <c r="I31" s="313" t="s">
        <v>64</v>
      </c>
      <c r="J31" s="313"/>
      <c r="K31" s="58"/>
      <c r="L31" s="60" t="s">
        <v>65</v>
      </c>
      <c r="M31" s="314">
        <v>0</v>
      </c>
      <c r="N31" s="315"/>
      <c r="O31" s="316">
        <v>0</v>
      </c>
      <c r="P31" s="317"/>
    </row>
    <row r="32" spans="1:19" s="7" customFormat="1" ht="18" customHeight="1" x14ac:dyDescent="0.2">
      <c r="A32" s="61"/>
      <c r="B32" s="55"/>
      <c r="C32" s="55"/>
      <c r="D32" s="55"/>
      <c r="E32" s="55"/>
      <c r="F32" s="55"/>
      <c r="G32" s="55"/>
      <c r="H32" s="57"/>
      <c r="I32" s="313" t="s">
        <v>66</v>
      </c>
      <c r="J32" s="313"/>
      <c r="K32" s="58"/>
      <c r="L32" s="59">
        <v>0</v>
      </c>
      <c r="M32" s="314">
        <v>0</v>
      </c>
      <c r="N32" s="315"/>
      <c r="O32" s="316">
        <v>0</v>
      </c>
      <c r="P32" s="317"/>
    </row>
    <row r="33" spans="1:16" s="7" customFormat="1" ht="18" customHeight="1" x14ac:dyDescent="0.2">
      <c r="A33" s="318"/>
      <c r="B33" s="319"/>
      <c r="C33" s="319"/>
      <c r="D33" s="319"/>
      <c r="E33" s="319"/>
      <c r="F33" s="319"/>
      <c r="G33" s="319"/>
      <c r="H33" s="320"/>
      <c r="I33" s="313" t="s">
        <v>67</v>
      </c>
      <c r="J33" s="313"/>
      <c r="K33" s="62">
        <v>4.8632248101978734E-2</v>
      </c>
      <c r="L33" s="63">
        <f>M29*K33</f>
        <v>755827.44145091809</v>
      </c>
      <c r="M33" s="314">
        <f>-M29*(K33)</f>
        <v>-755827.44145091809</v>
      </c>
      <c r="N33" s="315"/>
      <c r="O33" s="316">
        <f>M33</f>
        <v>-755827.44145091809</v>
      </c>
      <c r="P33" s="317"/>
    </row>
    <row r="34" spans="1:16" s="7" customFormat="1" ht="18" customHeight="1" thickBot="1" x14ac:dyDescent="0.25">
      <c r="A34" s="307"/>
      <c r="B34" s="308"/>
      <c r="C34" s="308"/>
      <c r="D34" s="308"/>
      <c r="E34" s="308"/>
      <c r="F34" s="308"/>
      <c r="G34" s="308"/>
      <c r="H34" s="309"/>
      <c r="I34" s="310" t="s">
        <v>68</v>
      </c>
      <c r="J34" s="310"/>
      <c r="K34" s="310"/>
      <c r="L34" s="310"/>
      <c r="M34" s="64"/>
      <c r="N34" s="65">
        <f>SUM(M29:N33)</f>
        <v>14402824.335000053</v>
      </c>
      <c r="O34" s="311">
        <f>SUM(O29:P33)</f>
        <v>14402824.335000053</v>
      </c>
      <c r="P34" s="312"/>
    </row>
    <row r="36" spans="1:16" x14ac:dyDescent="0.2">
      <c r="P36" s="3"/>
    </row>
    <row r="37" spans="1:16" x14ac:dyDescent="0.2">
      <c r="F37" s="3"/>
      <c r="K37" s="9"/>
      <c r="L37" s="10"/>
      <c r="N37" s="3"/>
      <c r="P37" s="11"/>
    </row>
    <row r="38" spans="1:16" x14ac:dyDescent="0.2">
      <c r="A38" s="8"/>
      <c r="B38" s="8"/>
      <c r="C38" s="8"/>
      <c r="D38" s="8"/>
      <c r="E38" s="8"/>
      <c r="F38" s="12"/>
      <c r="G38" s="8"/>
      <c r="H38" s="8"/>
      <c r="L38" s="10"/>
      <c r="N38" s="11">
        <f>N20+'Acta #5 Bloque F'!N23+'Acta #4 Bloque E'!N20</f>
        <v>55074295.531735972</v>
      </c>
    </row>
    <row r="39" spans="1:16" x14ac:dyDescent="0.2">
      <c r="A39" s="7"/>
      <c r="B39" s="7"/>
      <c r="C39" s="13"/>
      <c r="D39" s="7"/>
      <c r="E39" s="7"/>
      <c r="F39" s="14"/>
      <c r="G39" s="7"/>
      <c r="H39" s="7"/>
      <c r="K39" s="9"/>
      <c r="L39" s="3"/>
      <c r="N39" s="10">
        <f>M29+'Acta #5 Bloque F'!M32+'Acta #4 Bloque E'!M29</f>
        <v>65510874.534999937</v>
      </c>
    </row>
    <row r="40" spans="1:16" x14ac:dyDescent="0.2">
      <c r="F40" s="11"/>
      <c r="L40" s="15"/>
    </row>
    <row r="41" spans="1:16" x14ac:dyDescent="0.2">
      <c r="N41" s="199">
        <f>N34+'Acta #5 Bloque F'!N37+'Acta #4 Bloque E'!N34</f>
        <v>58451767.507000051</v>
      </c>
    </row>
    <row r="42" spans="1:16" x14ac:dyDescent="0.2">
      <c r="L42" s="10"/>
      <c r="N42" s="10">
        <f>M29+'Acta #5 Bloque F'!M32+'Acta #4 Bloque E'!M29</f>
        <v>65510874.534999937</v>
      </c>
    </row>
    <row r="43" spans="1:16" x14ac:dyDescent="0.2">
      <c r="N43" s="202"/>
    </row>
    <row r="44" spans="1:16" x14ac:dyDescent="0.2">
      <c r="N44" s="10">
        <f>M33+'Acta #5 Bloque F'!M36+'Acta #4 Bloque E'!M33</f>
        <v>-5752745.6534509184</v>
      </c>
    </row>
    <row r="45" spans="1:16" x14ac:dyDescent="0.2">
      <c r="N45" s="10">
        <f>M29+'Acta #5 Bloque F'!M32+'Acta #4 Bloque E'!M29</f>
        <v>65510874.534999937</v>
      </c>
    </row>
    <row r="47" spans="1:16" x14ac:dyDescent="0.2">
      <c r="N47" s="10">
        <f>N34+'Acta #5 Bloque F'!N37+'Acta #4 Bloque E'!N34+'Acta #3 Bloque D'!N38+'Acta #2 Bloque C'!N38+'Acta #1 Bloque A-B'!N37+'Acta #1 Bloque A-B'!G35</f>
        <v>231598472</v>
      </c>
    </row>
  </sheetData>
  <mergeCells count="55">
    <mergeCell ref="O1:P1"/>
    <mergeCell ref="A2:B2"/>
    <mergeCell ref="C2:F2"/>
    <mergeCell ref="O2:P6"/>
    <mergeCell ref="A3:B3"/>
    <mergeCell ref="C3:F3"/>
    <mergeCell ref="A4:B4"/>
    <mergeCell ref="C4:F4"/>
    <mergeCell ref="A5:B5"/>
    <mergeCell ref="C5:F5"/>
    <mergeCell ref="A6:B6"/>
    <mergeCell ref="C6:F6"/>
    <mergeCell ref="A1:B1"/>
    <mergeCell ref="C1:F1"/>
    <mergeCell ref="G1:N6"/>
    <mergeCell ref="A7:A10"/>
    <mergeCell ref="B7:B10"/>
    <mergeCell ref="C7:F9"/>
    <mergeCell ref="G7:L7"/>
    <mergeCell ref="M7:N7"/>
    <mergeCell ref="G8:H9"/>
    <mergeCell ref="I8:J9"/>
    <mergeCell ref="K8:L9"/>
    <mergeCell ref="M8:N8"/>
    <mergeCell ref="M9:N9"/>
    <mergeCell ref="A23:D23"/>
    <mergeCell ref="A25:D25"/>
    <mergeCell ref="A26:D26"/>
    <mergeCell ref="A21:D21"/>
    <mergeCell ref="A22:D22"/>
    <mergeCell ref="A19:P19"/>
    <mergeCell ref="A20:E20"/>
    <mergeCell ref="O7:P9"/>
    <mergeCell ref="A27:E27"/>
    <mergeCell ref="J29:L29"/>
    <mergeCell ref="A24:D24"/>
    <mergeCell ref="O29:P29"/>
    <mergeCell ref="M29:N29"/>
    <mergeCell ref="C30:D30"/>
    <mergeCell ref="I30:J30"/>
    <mergeCell ref="O30:P30"/>
    <mergeCell ref="I31:J31"/>
    <mergeCell ref="M31:N31"/>
    <mergeCell ref="O31:P31"/>
    <mergeCell ref="M30:N30"/>
    <mergeCell ref="A34:H34"/>
    <mergeCell ref="I34:L34"/>
    <mergeCell ref="O34:P34"/>
    <mergeCell ref="I32:J32"/>
    <mergeCell ref="M32:N32"/>
    <mergeCell ref="O32:P32"/>
    <mergeCell ref="A33:H33"/>
    <mergeCell ref="I33:J33"/>
    <mergeCell ref="O33:P33"/>
    <mergeCell ref="M33:N33"/>
  </mergeCells>
  <pageMargins left="0.25" right="0.25" top="0.75" bottom="0.75" header="0.3" footer="0.3"/>
  <pageSetup paperSize="345" scale="40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Acta #1 Bloque A-B</vt:lpstr>
      <vt:lpstr>Acta #2 Bloque C</vt:lpstr>
      <vt:lpstr>Acta #3 Bloque D</vt:lpstr>
      <vt:lpstr>Acta #4 Bloque E</vt:lpstr>
      <vt:lpstr>Acta #5 Bloque F</vt:lpstr>
      <vt:lpstr>Acta #6 Bloque G</vt:lpstr>
      <vt:lpstr>'Acta #1 Bloque A-B'!Área_de_impresión</vt:lpstr>
      <vt:lpstr>'Acta #2 Bloque C'!Área_de_impresión</vt:lpstr>
      <vt:lpstr>'Acta #3 Bloque D'!Área_de_impresión</vt:lpstr>
      <vt:lpstr>'Acta #4 Bloque E'!Área_de_impresión</vt:lpstr>
      <vt:lpstr>'Acta #5 Bloque F'!Área_de_impresión</vt:lpstr>
      <vt:lpstr>'Acta #6 Bloque G'!Área_de_impresión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Betancourt</dc:creator>
  <cp:keywords/>
  <dc:description/>
  <cp:lastModifiedBy>Renso Montoya Upegui</cp:lastModifiedBy>
  <cp:revision/>
  <cp:lastPrinted>2026-03-11T21:44:40Z</cp:lastPrinted>
  <dcterms:created xsi:type="dcterms:W3CDTF">2025-09-15T18:11:20Z</dcterms:created>
  <dcterms:modified xsi:type="dcterms:W3CDTF">2026-03-27T19:53:14Z</dcterms:modified>
  <cp:category/>
  <cp:contentStatus/>
</cp:coreProperties>
</file>