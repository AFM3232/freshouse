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a 1" sheetId="1" state="visible" r:id="rId1"/>
    <sheet xmlns:r="http://schemas.openxmlformats.org/officeDocument/2006/relationships" name="Alternativa 2" sheetId="2" state="visible" r:id="rId2"/>
    <sheet xmlns:r="http://schemas.openxmlformats.org/officeDocument/2006/relationships" name="Fach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849AB8"/>
      <sz val="9"/>
    </font>
    <font>
      <name val="Calibri"/>
      <b val="1"/>
      <color rgb="00FFFFFF"/>
      <sz val="10"/>
    </font>
    <font>
      <name val="Calibri"/>
      <b val="1"/>
      <color rgb="00F97316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F2D5C"/>
      <sz val="10"/>
    </font>
    <font>
      <name val="Calibri"/>
      <color rgb="000F2D5C"/>
      <sz val="10"/>
    </font>
    <font>
      <name val="Calibri"/>
      <b val="1"/>
      <color rgb="00FFFFFF"/>
      <sz val="12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0F2D5C"/>
      </patternFill>
    </fill>
    <fill>
      <patternFill patternType="solid">
        <fgColor rgb="00F8FAFF"/>
      </patternFill>
    </fill>
    <fill>
      <patternFill patternType="solid">
        <fgColor rgb="001A52A8"/>
      </patternFill>
    </fill>
    <fill>
      <patternFill patternType="solid">
        <fgColor rgb="00EEF3FD"/>
      </patternFill>
    </fill>
    <fill>
      <patternFill patternType="solid">
        <fgColor rgb="00FFFCE8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E4EDF8"/>
      </patternFill>
    </fill>
    <fill>
      <patternFill patternType="solid">
        <fgColor rgb="00FFF3E8"/>
      </patternFill>
    </fill>
    <fill>
      <patternFill patternType="solid">
        <fgColor rgb="002563EB"/>
      </patternFill>
    </fill>
    <fill>
      <patternFill patternType="solid">
        <fgColor rgb="00D9D9D9"/>
      </patternFill>
    </fill>
    <fill>
      <patternFill patternType="solid">
        <fgColor rgb="001F6B3A"/>
      </patternFill>
    </fill>
  </fills>
  <borders count="11">
    <border>
      <left/>
      <right/>
      <top/>
      <bottom/>
      <diagonal/>
    </border>
    <border>
      <left style="thin">
        <color rgb="00C5D0E6"/>
      </left>
      <right style="thin">
        <color rgb="00C5D0E6"/>
      </right>
      <top style="thin">
        <color rgb="00C5D0E6"/>
      </top>
      <bottom style="thin">
        <color rgb="00C5D0E6"/>
      </bottom>
    </border>
    <border>
      <left style="thin">
        <color rgb="00C5D0E6"/>
      </left>
      <right style="thin">
        <color rgb="00C5D0E6"/>
      </right>
      <top style="medium">
        <color rgb="001A52A8"/>
      </top>
      <bottom style="thin">
        <color rgb="00C5D0E6"/>
      </bottom>
    </border>
    <border>
      <left/>
      <right/>
      <top style="medium">
        <color rgb="001A52A8"/>
      </top>
      <bottom/>
      <diagonal/>
    </border>
    <border>
      <left/>
      <right style="thin">
        <color rgb="00C5D0E6"/>
      </right>
      <top style="medium">
        <color rgb="001A52A8"/>
      </top>
      <bottom/>
      <diagonal/>
    </border>
    <border>
      <left/>
      <right/>
      <top style="medium">
        <color rgb="001A52A8"/>
      </top>
      <bottom style="thin">
        <color rgb="00C5D0E6"/>
      </bottom>
      <diagonal/>
    </border>
    <border>
      <left/>
      <right style="thin">
        <color rgb="00C5D0E6"/>
      </right>
      <top style="medium">
        <color rgb="001A52A8"/>
      </top>
      <bottom style="thin">
        <color rgb="00C5D0E6"/>
      </bottom>
      <diagonal/>
    </border>
    <border>
      <left/>
      <right/>
      <top style="thin">
        <color rgb="00C5D0E6"/>
      </top>
      <bottom/>
      <diagonal/>
    </border>
    <border>
      <left/>
      <right style="thin">
        <color rgb="00C5D0E6"/>
      </right>
      <top style="thin">
        <color rgb="00C5D0E6"/>
      </top>
      <bottom/>
      <diagonal/>
    </border>
    <border>
      <left/>
      <right/>
      <top style="thin">
        <color rgb="00C5D0E6"/>
      </top>
      <bottom style="thin">
        <color rgb="00C5D0E6"/>
      </bottom>
      <diagonal/>
    </border>
    <border>
      <left/>
      <right style="thin">
        <color rgb="00C5D0E6"/>
      </right>
      <top style="thin">
        <color rgb="00C5D0E6"/>
      </top>
      <bottom style="thin">
        <color rgb="00C5D0E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right" vertical="center"/>
    </xf>
    <xf numFmtId="164" fontId="7" fillId="9" borderId="2" applyAlignment="1" pivotButton="0" quotePrefix="0" xfId="0">
      <alignment horizontal="right" vertical="center"/>
    </xf>
    <xf numFmtId="0" fontId="4" fillId="10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164" fontId="9" fillId="11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10" fillId="12" borderId="0" applyAlignment="1" pivotButton="0" quotePrefix="0" xfId="0">
      <alignment horizontal="center"/>
    </xf>
    <xf numFmtId="0" fontId="10" fillId="12" borderId="0" applyAlignment="1" pivotButton="0" quotePrefix="0" xfId="0">
      <alignment horizontal="left"/>
    </xf>
    <xf numFmtId="2" fontId="0" fillId="0" borderId="0" pivotButton="0" quotePrefix="0" xfId="0"/>
    <xf numFmtId="3" fontId="0" fillId="0" borderId="0" pivotButton="0" quotePrefix="0" xfId="0"/>
    <xf numFmtId="0" fontId="10" fillId="0" borderId="0" pivotButton="0" quotePrefix="0" xfId="0"/>
    <xf numFmtId="3" fontId="10" fillId="0" borderId="0" pivotButton="0" quotePrefix="0" xfId="0"/>
    <xf numFmtId="0" fontId="11" fillId="13" borderId="0" pivotButton="0" quotePrefix="0" xfId="0"/>
    <xf numFmtId="3" fontId="11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8" customWidth="1" min="3" max="3"/>
    <col width="14" customWidth="1" min="4" max="4"/>
    <col width="16" customWidth="1" min="5" max="5"/>
    <col width="10" customWidth="1" min="6" max="6"/>
    <col width="18" customWidth="1" min="7" max="7"/>
  </cols>
  <sheetData>
    <row r="1" ht="28" customHeight="1">
      <c r="A1" s="1" t="inlineStr">
        <is>
          <t>COTIZACIÓN TORRE PROVIDENCIA II — ALTERNATIVA 1</t>
        </is>
      </c>
    </row>
    <row r="2">
      <c r="A2" s="2" t="inlineStr">
        <is>
          <t>FreshHouse SAS · Armenia, Quindío · Cód. FH-F-02 · Válido hasta 13/04/2026</t>
        </is>
      </c>
    </row>
    <row r="3" ht="30" customHeight="1">
      <c r="A3" s="3" t="inlineStr">
        <is>
          <t>Ítem</t>
        </is>
      </c>
      <c r="B3" s="3" t="inlineStr">
        <is>
          <t>Descripción</t>
        </is>
      </c>
      <c r="C3" s="3" t="inlineStr">
        <is>
          <t>Und</t>
        </is>
      </c>
      <c r="D3" s="3" t="inlineStr">
        <is>
          <t>Cantidad
(editar)</t>
        </is>
      </c>
      <c r="E3" s="3" t="inlineStr">
        <is>
          <t>V. Unitario
(editar)</t>
        </is>
      </c>
      <c r="F3" s="3" t="inlineStr">
        <is>
          <t>IVA %
(editar)</t>
        </is>
      </c>
      <c r="G3" s="3" t="inlineStr">
        <is>
          <t>V. Total
(calculado)</t>
        </is>
      </c>
    </row>
    <row r="4" ht="20" customHeight="1">
      <c r="A4" s="4" t="inlineStr">
        <is>
          <t xml:space="preserve">  GRP-1  ·  Preliminares</t>
        </is>
      </c>
      <c r="B4" s="23" t="n"/>
      <c r="C4" s="23" t="n"/>
      <c r="D4" s="23" t="n"/>
      <c r="E4" s="23" t="n"/>
      <c r="F4" s="24" t="n"/>
      <c r="G4" s="5">
        <f>SUMIF(A5:A24,"&lt;&gt;",G5:G24)</f>
        <v/>
      </c>
    </row>
    <row r="5" ht="22" customHeight="1">
      <c r="A5" s="6" t="inlineStr">
        <is>
          <t>1.1</t>
        </is>
      </c>
      <c r="B5" s="7" t="inlineStr">
        <is>
          <t>Campamento de obra</t>
        </is>
      </c>
      <c r="C5" s="8" t="inlineStr">
        <is>
          <t>UND</t>
        </is>
      </c>
      <c r="D5" s="9" t="n">
        <v>1</v>
      </c>
      <c r="E5" s="10" t="n">
        <v>1200000</v>
      </c>
      <c r="F5" s="11" t="n">
        <v>19</v>
      </c>
      <c r="G5" s="12">
        <f>D5*E5</f>
        <v/>
      </c>
    </row>
    <row r="6" ht="22" customHeight="1">
      <c r="A6" s="13" t="inlineStr">
        <is>
          <t>1.2</t>
        </is>
      </c>
      <c r="B6" s="14" t="inlineStr">
        <is>
          <t>Señalización y seguridad de obra</t>
        </is>
      </c>
      <c r="C6" s="15" t="inlineStr">
        <is>
          <t>GLB</t>
        </is>
      </c>
      <c r="D6" s="9" t="n">
        <v>1</v>
      </c>
      <c r="E6" s="10" t="n">
        <v>400000</v>
      </c>
      <c r="F6" s="11" t="n">
        <v>19</v>
      </c>
      <c r="G6" s="12">
        <f>D6*E6</f>
        <v/>
      </c>
    </row>
    <row r="7" ht="20" customHeight="1">
      <c r="A7" s="4" t="inlineStr">
        <is>
          <t xml:space="preserve">  GRP-2  ·  Limpieza y Alistamiento de Superficies</t>
        </is>
      </c>
      <c r="B7" s="23" t="n"/>
      <c r="C7" s="23" t="n"/>
      <c r="D7" s="23" t="n"/>
      <c r="E7" s="23" t="n"/>
      <c r="F7" s="24" t="n"/>
      <c r="G7" s="5">
        <f>SUMIF(A8:A27,"&lt;&gt;",G8:G27)</f>
        <v/>
      </c>
    </row>
    <row r="8" ht="40" customHeight="1">
      <c r="A8" s="13" t="inlineStr">
        <is>
          <t>2.1</t>
        </is>
      </c>
      <c r="B8" s="14" t="inlineStr">
        <is>
          <t>Hidrolavado a presión con solución de hipoclorito al 13%. Cepillado y enjuague con hidrolavadora 1880psi. Retiro de material con ampollamientos o baja adherencia</t>
        </is>
      </c>
      <c r="C8" s="15" t="inlineStr">
        <is>
          <t>M2</t>
        </is>
      </c>
      <c r="D8" s="9" t="n">
        <v>2852.21</v>
      </c>
      <c r="E8" s="10" t="n">
        <v>4522</v>
      </c>
      <c r="F8" s="11" t="n">
        <v>19</v>
      </c>
      <c r="G8" s="12">
        <f>D8*E8</f>
        <v/>
      </c>
    </row>
    <row r="9" ht="40" customHeight="1">
      <c r="A9" s="6" t="inlineStr">
        <is>
          <t>2.2</t>
        </is>
      </c>
      <c r="B9" s="7" t="inlineStr">
        <is>
          <t>Reposición de graniplast: imprimante, mortero de reparación impermeabilizado, segunda imprimación y textura graniplast</t>
        </is>
      </c>
      <c r="C9" s="8" t="inlineStr">
        <is>
          <t>M2</t>
        </is>
      </c>
      <c r="D9" s="9" t="n">
        <v>85.56999999999999</v>
      </c>
      <c r="E9" s="10" t="n">
        <v>52360</v>
      </c>
      <c r="F9" s="11" t="n">
        <v>19</v>
      </c>
      <c r="G9" s="12">
        <f>D9*E9</f>
        <v/>
      </c>
    </row>
    <row r="10" ht="20" customHeight="1">
      <c r="A10" s="4" t="inlineStr">
        <is>
          <t xml:space="preserve">  GRP-3  ·  Obras de Pintura en Muros de Fachada e Impermeabilización</t>
        </is>
      </c>
      <c r="B10" s="23" t="n"/>
      <c r="C10" s="23" t="n"/>
      <c r="D10" s="23" t="n"/>
      <c r="E10" s="23" t="n"/>
      <c r="F10" s="24" t="n"/>
      <c r="G10" s="5">
        <f>SUMIF(A11:A30,"&lt;&gt;",G11:G30)</f>
        <v/>
      </c>
    </row>
    <row r="11" ht="40" customHeight="1">
      <c r="A11" s="6" t="inlineStr">
        <is>
          <t>3.1</t>
        </is>
      </c>
      <c r="B11" s="7" t="inlineStr">
        <is>
          <t>Revisión y recambio integral de sellos de ventanería perimetral. Suministro y aplicación Soudal Multibond</t>
        </is>
      </c>
      <c r="C11" s="8" t="inlineStr">
        <is>
          <t>ML</t>
        </is>
      </c>
      <c r="D11" s="9" t="n">
        <v>693.2</v>
      </c>
      <c r="E11" s="10" t="n">
        <v>8687</v>
      </c>
      <c r="F11" s="11" t="n">
        <v>19</v>
      </c>
      <c r="G11" s="12">
        <f>D11*E11</f>
        <v/>
      </c>
    </row>
    <row r="12" ht="22" customHeight="1">
      <c r="A12" s="13" t="inlineStr">
        <is>
          <t>3.2</t>
        </is>
      </c>
      <c r="B12" s="14" t="inlineStr">
        <is>
          <t>Suministro y aplicación de pintura Koraza Pro 550 a 2 manos según ficha técnica</t>
        </is>
      </c>
      <c r="C12" s="15" t="inlineStr">
        <is>
          <t>M2</t>
        </is>
      </c>
      <c r="D12" s="9" t="n">
        <v>2505.28</v>
      </c>
      <c r="E12" s="10" t="n">
        <v>23205</v>
      </c>
      <c r="F12" s="11" t="n">
        <v>19</v>
      </c>
      <c r="G12" s="12">
        <f>D12*E12</f>
        <v/>
      </c>
    </row>
    <row r="13" ht="22" customHeight="1">
      <c r="A13" s="6" t="inlineStr">
        <is>
          <t>3.3</t>
        </is>
      </c>
      <c r="B13" s="7" t="inlineStr">
        <is>
          <t>Tratamiento de dilataciones con Pintucofill 7 años de Pintuco</t>
        </is>
      </c>
      <c r="C13" s="8" t="inlineStr">
        <is>
          <t>ML</t>
        </is>
      </c>
      <c r="D13" s="9" t="n">
        <v>1690.88</v>
      </c>
      <c r="E13" s="10" t="n">
        <v>8687</v>
      </c>
      <c r="F13" s="11" t="n">
        <v>19</v>
      </c>
      <c r="G13" s="12">
        <f>D13*E13</f>
        <v/>
      </c>
    </row>
    <row r="14" ht="22" customHeight="1">
      <c r="A14" s="13" t="inlineStr">
        <is>
          <t>3.4</t>
        </is>
      </c>
      <c r="B14" s="14" t="inlineStr">
        <is>
          <t>Tratamiento en alfajías y aplicación de Koraza Pro 550</t>
        </is>
      </c>
      <c r="C14" s="15" t="inlineStr">
        <is>
          <t>ML</t>
        </is>
      </c>
      <c r="D14" s="9" t="n">
        <v>250.08</v>
      </c>
      <c r="E14" s="10" t="n">
        <v>10115</v>
      </c>
      <c r="F14" s="11" t="n">
        <v>19</v>
      </c>
      <c r="G14" s="12">
        <f>D14*E14</f>
        <v/>
      </c>
    </row>
    <row r="15" ht="22" customHeight="1">
      <c r="A15" s="6" t="inlineStr">
        <is>
          <t>3.5</t>
        </is>
      </c>
      <c r="B15" s="7" t="inlineStr">
        <is>
          <t>Suministro y aplicación de vinilo tipo 1 en área de parqueadero</t>
        </is>
      </c>
      <c r="C15" s="8" t="inlineStr">
        <is>
          <t>M2</t>
        </is>
      </c>
      <c r="D15" s="9" t="n">
        <v>313.88</v>
      </c>
      <c r="E15" s="10" t="n">
        <v>17850</v>
      </c>
      <c r="F15" s="11" t="n">
        <v>19</v>
      </c>
      <c r="G15" s="12">
        <f>D15*E15</f>
        <v/>
      </c>
    </row>
    <row r="16" ht="22" customHeight="1">
      <c r="A16" s="13" t="inlineStr">
        <is>
          <t>3.6</t>
        </is>
      </c>
      <c r="B16" s="14" t="inlineStr">
        <is>
          <t>Suministro y aplicación de esmalte Pintulux 3 en 1 sobre carpintería metálica</t>
        </is>
      </c>
      <c r="C16" s="15" t="inlineStr">
        <is>
          <t>M2</t>
        </is>
      </c>
      <c r="D16" s="9" t="n">
        <v>260</v>
      </c>
      <c r="E16" s="10" t="n">
        <v>27370</v>
      </c>
      <c r="F16" s="11" t="n">
        <v>19</v>
      </c>
      <c r="G16" s="12">
        <f>D16*E16</f>
        <v/>
      </c>
    </row>
    <row r="17" ht="20" customHeight="1">
      <c r="A17" s="4" t="inlineStr">
        <is>
          <t xml:space="preserve">  GRP-4  ·  Terminado y Limpieza</t>
        </is>
      </c>
      <c r="B17" s="23" t="n"/>
      <c r="C17" s="23" t="n"/>
      <c r="D17" s="23" t="n"/>
      <c r="E17" s="23" t="n"/>
      <c r="F17" s="24" t="n"/>
      <c r="G17" s="5">
        <f>SUMIF(A18:A37,"&lt;&gt;",G18:G37)</f>
        <v/>
      </c>
    </row>
    <row r="18" ht="22" customHeight="1">
      <c r="A18" s="13" t="inlineStr">
        <is>
          <t>4.1</t>
        </is>
      </c>
      <c r="B18" s="14" t="inlineStr">
        <is>
          <t>Aseo general y retiro de pintura</t>
        </is>
      </c>
      <c r="C18" s="15" t="inlineStr">
        <is>
          <t>UND</t>
        </is>
      </c>
      <c r="D18" s="9" t="n">
        <v>1</v>
      </c>
      <c r="E18" s="10" t="n">
        <v>3094000</v>
      </c>
      <c r="F18" s="11" t="n">
        <v>19</v>
      </c>
      <c r="G18" s="12">
        <f>D18*E18</f>
        <v/>
      </c>
    </row>
    <row r="20" ht="22" customHeight="1">
      <c r="A20" s="16" t="inlineStr">
        <is>
          <t>COSTO DIRECTO (sin IVA)</t>
        </is>
      </c>
      <c r="B20" s="23" t="n"/>
      <c r="C20" s="23" t="n"/>
      <c r="D20" s="23" t="n"/>
      <c r="E20" s="23" t="n"/>
      <c r="F20" s="24" t="n"/>
      <c r="G20" s="17">
        <f>G5+G6+G8+G9+G11+G12+G13+G14+G15+G16+G18</f>
        <v/>
      </c>
    </row>
    <row r="21" ht="22" customHeight="1">
      <c r="A21" s="18" t="inlineStr">
        <is>
          <t>IVA (según % por ítem)</t>
        </is>
      </c>
      <c r="B21" s="25" t="n"/>
      <c r="C21" s="25" t="n"/>
      <c r="D21" s="25" t="n"/>
      <c r="E21" s="25" t="n"/>
      <c r="F21" s="26" t="n"/>
      <c r="G21" s="19">
        <f>D5*E5*F5/100+D6*E6*F6/100+D8*E8*F8/100+D9*E9*F9/100+D11*E11*F11/100+D12*E12*F12/100+D13*E13*F13/100+D14*E14*F14/100+D15*E15*F15/100+D16*E16*F16/100+D18*E18*F18/100</f>
        <v/>
      </c>
    </row>
    <row r="22" ht="22" customHeight="1">
      <c r="A22" s="20" t="inlineStr">
        <is>
          <t>VALOR TOTAL</t>
        </is>
      </c>
      <c r="B22" s="25" t="n"/>
      <c r="C22" s="25" t="n"/>
      <c r="D22" s="25" t="n"/>
      <c r="E22" s="25" t="n"/>
      <c r="F22" s="26" t="n"/>
      <c r="G22" s="21">
        <f>G20+G21</f>
        <v/>
      </c>
    </row>
    <row r="24">
      <c r="A24" s="22" t="inlineStr">
        <is>
          <t>⚠  Celdas en amarillo son editables: Cantidad · V. Unitario · IVA %.  Columna G (azul claro) es calculada — no editar.</t>
        </is>
      </c>
    </row>
  </sheetData>
  <mergeCells count="10">
    <mergeCell ref="A10:F10"/>
    <mergeCell ref="A1:G1"/>
    <mergeCell ref="A24:G24"/>
    <mergeCell ref="A2:G2"/>
    <mergeCell ref="A17:F17"/>
    <mergeCell ref="A22:F22"/>
    <mergeCell ref="A4:F4"/>
    <mergeCell ref="A20:F20"/>
    <mergeCell ref="A21:F21"/>
    <mergeCell ref="A7:F7"/>
  </mergeCells>
  <dataValidations count="1">
    <dataValidation sqref="F4:F200" showDropDown="0" showInputMessage="0" showErrorMessage="0" allowBlank="0" type="list">
      <formula1>"0,5,19"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8" customWidth="1" min="3" max="3"/>
    <col width="14" customWidth="1" min="4" max="4"/>
    <col width="16" customWidth="1" min="5" max="5"/>
    <col width="10" customWidth="1" min="6" max="6"/>
    <col width="18" customWidth="1" min="7" max="7"/>
  </cols>
  <sheetData>
    <row r="1" ht="28" customHeight="1">
      <c r="A1" s="1" t="inlineStr">
        <is>
          <t>COTIZACIÓN TORRE PROVIDENCIA II — ALTERNATIVA 2</t>
        </is>
      </c>
    </row>
    <row r="2">
      <c r="A2" s="2" t="inlineStr">
        <is>
          <t>FreshHouse SAS · Armenia, Quindío · Cód. FH-F-02 · Válido hasta 13/04/2026</t>
        </is>
      </c>
    </row>
    <row r="3" ht="30" customHeight="1">
      <c r="A3" s="3" t="inlineStr">
        <is>
          <t>Ítem</t>
        </is>
      </c>
      <c r="B3" s="3" t="inlineStr">
        <is>
          <t>Descripción</t>
        </is>
      </c>
      <c r="C3" s="3" t="inlineStr">
        <is>
          <t>Und</t>
        </is>
      </c>
      <c r="D3" s="3" t="inlineStr">
        <is>
          <t>Cantidad
(editar)</t>
        </is>
      </c>
      <c r="E3" s="3" t="inlineStr">
        <is>
          <t>V. Unitario
(editar)</t>
        </is>
      </c>
      <c r="F3" s="3" t="inlineStr">
        <is>
          <t>IVA %
(editar)</t>
        </is>
      </c>
      <c r="G3" s="3" t="inlineStr">
        <is>
          <t>V. Total
(calculado)</t>
        </is>
      </c>
    </row>
    <row r="4" ht="20" customHeight="1">
      <c r="A4" s="4" t="inlineStr">
        <is>
          <t xml:space="preserve">  GRP-1  ·  Preliminares</t>
        </is>
      </c>
      <c r="B4" s="23" t="n"/>
      <c r="C4" s="23" t="n"/>
      <c r="D4" s="23" t="n"/>
      <c r="E4" s="23" t="n"/>
      <c r="F4" s="24" t="n"/>
      <c r="G4" s="5">
        <f>SUMIF(A5:A24,"&lt;&gt;",G5:G24)</f>
        <v/>
      </c>
    </row>
    <row r="5" ht="22" customHeight="1">
      <c r="A5" s="6" t="inlineStr">
        <is>
          <t>1.1</t>
        </is>
      </c>
      <c r="B5" s="7" t="inlineStr">
        <is>
          <t>Campamento de obra</t>
        </is>
      </c>
      <c r="C5" s="8" t="inlineStr">
        <is>
          <t>UND</t>
        </is>
      </c>
      <c r="D5" s="9" t="n">
        <v>1</v>
      </c>
      <c r="E5" s="10" t="n">
        <v>1200000</v>
      </c>
      <c r="F5" s="11" t="n">
        <v>19</v>
      </c>
      <c r="G5" s="12">
        <f>D5*E5</f>
        <v/>
      </c>
    </row>
    <row r="6" ht="22" customHeight="1">
      <c r="A6" s="13" t="inlineStr">
        <is>
          <t>1.2</t>
        </is>
      </c>
      <c r="B6" s="14" t="inlineStr">
        <is>
          <t>Señalización y seguridad de obra</t>
        </is>
      </c>
      <c r="C6" s="15" t="inlineStr">
        <is>
          <t>GLB</t>
        </is>
      </c>
      <c r="D6" s="9" t="n">
        <v>1</v>
      </c>
      <c r="E6" s="10" t="n">
        <v>400000</v>
      </c>
      <c r="F6" s="11" t="n">
        <v>19</v>
      </c>
      <c r="G6" s="12">
        <f>D6*E6</f>
        <v/>
      </c>
    </row>
    <row r="7" ht="20" customHeight="1">
      <c r="A7" s="4" t="inlineStr">
        <is>
          <t xml:space="preserve">  GRP-2  ·  Limpieza y Alistamiento de Superficies</t>
        </is>
      </c>
      <c r="B7" s="23" t="n"/>
      <c r="C7" s="23" t="n"/>
      <c r="D7" s="23" t="n"/>
      <c r="E7" s="23" t="n"/>
      <c r="F7" s="24" t="n"/>
      <c r="G7" s="5">
        <f>SUMIF(A8:A27,"&lt;&gt;",G8:G27)</f>
        <v/>
      </c>
    </row>
    <row r="8" ht="40" customHeight="1">
      <c r="A8" s="13" t="inlineStr">
        <is>
          <t>2.1</t>
        </is>
      </c>
      <c r="B8" s="14" t="inlineStr">
        <is>
          <t>Hidrolavado a presión con solución de hipoclorito al 13%. Cepillado y enjuague con hidrolavadora 1880psi. Retiro de material con ampollamientos o baja adherencia</t>
        </is>
      </c>
      <c r="C8" s="15" t="inlineStr">
        <is>
          <t>M2</t>
        </is>
      </c>
      <c r="D8" s="9" t="n">
        <v>2852.21</v>
      </c>
      <c r="E8" s="10" t="n">
        <v>4522</v>
      </c>
      <c r="F8" s="11" t="n">
        <v>19</v>
      </c>
      <c r="G8" s="12">
        <f>D8*E8</f>
        <v/>
      </c>
    </row>
    <row r="9" ht="40" customHeight="1">
      <c r="A9" s="6" t="inlineStr">
        <is>
          <t>2.2</t>
        </is>
      </c>
      <c r="B9" s="7" t="inlineStr">
        <is>
          <t>Reposición de graniplast: imprimante, mortero de reparación impermeabilizado, segunda imprimación y textura graniplast</t>
        </is>
      </c>
      <c r="C9" s="8" t="inlineStr">
        <is>
          <t>M2</t>
        </is>
      </c>
      <c r="D9" s="9" t="n">
        <v>85.56999999999999</v>
      </c>
      <c r="E9" s="10" t="n">
        <v>52360</v>
      </c>
      <c r="F9" s="11" t="n">
        <v>19</v>
      </c>
      <c r="G9" s="12">
        <f>D9*E9</f>
        <v/>
      </c>
    </row>
    <row r="10" ht="20" customHeight="1">
      <c r="A10" s="4" t="inlineStr">
        <is>
          <t xml:space="preserve">  GRP-3  ·  Obras de Pintura en Muros de Fachada e Impermeabilización</t>
        </is>
      </c>
      <c r="B10" s="23" t="n"/>
      <c r="C10" s="23" t="n"/>
      <c r="D10" s="23" t="n"/>
      <c r="E10" s="23" t="n"/>
      <c r="F10" s="24" t="n"/>
      <c r="G10" s="5">
        <f>SUMIF(A11:A30,"&lt;&gt;",G11:G30)</f>
        <v/>
      </c>
    </row>
    <row r="11" ht="40" customHeight="1">
      <c r="A11" s="6" t="inlineStr">
        <is>
          <t>3.1</t>
        </is>
      </c>
      <c r="B11" s="7" t="inlineStr">
        <is>
          <t>Revisión y recambio integral de sellos de ventanería perimetral. Suministro y aplicación Soudal Multibond</t>
        </is>
      </c>
      <c r="C11" s="8" t="inlineStr">
        <is>
          <t>ML</t>
        </is>
      </c>
      <c r="D11" s="9" t="n">
        <v>693.2</v>
      </c>
      <c r="E11" s="10" t="n">
        <v>8687</v>
      </c>
      <c r="F11" s="11" t="n">
        <v>19</v>
      </c>
      <c r="G11" s="12">
        <f>D11*E11</f>
        <v/>
      </c>
    </row>
    <row r="12" ht="22" customHeight="1">
      <c r="A12" s="13" t="inlineStr">
        <is>
          <t>3.2</t>
        </is>
      </c>
      <c r="B12" s="14" t="inlineStr">
        <is>
          <t>Suministro y aplicación de pintura Koraza Pro 550 a 2 manos según ficha técnica</t>
        </is>
      </c>
      <c r="C12" s="15" t="inlineStr">
        <is>
          <t>M2</t>
        </is>
      </c>
      <c r="D12" s="9" t="n">
        <v>2505.28</v>
      </c>
      <c r="E12" s="10" t="n">
        <v>23205</v>
      </c>
      <c r="F12" s="11" t="n">
        <v>19</v>
      </c>
      <c r="G12" s="12">
        <f>D12*E12</f>
        <v/>
      </c>
    </row>
    <row r="13" ht="22" customHeight="1">
      <c r="A13" s="6" t="inlineStr">
        <is>
          <t>3.3</t>
        </is>
      </c>
      <c r="B13" s="7" t="inlineStr">
        <is>
          <t>Tratamiento de dilataciones con Pintucofill 7 años de Pintuco</t>
        </is>
      </c>
      <c r="C13" s="8" t="inlineStr">
        <is>
          <t>ML</t>
        </is>
      </c>
      <c r="D13" s="9" t="n">
        <v>1690.88</v>
      </c>
      <c r="E13" s="10" t="n">
        <v>8687</v>
      </c>
      <c r="F13" s="11" t="n">
        <v>19</v>
      </c>
      <c r="G13" s="12">
        <f>D13*E13</f>
        <v/>
      </c>
    </row>
    <row r="14" ht="22" customHeight="1">
      <c r="A14" s="13" t="inlineStr">
        <is>
          <t>3.4</t>
        </is>
      </c>
      <c r="B14" s="14" t="inlineStr">
        <is>
          <t>Tratamiento en alfajías y aplicación de Koraza Pro 550</t>
        </is>
      </c>
      <c r="C14" s="15" t="inlineStr">
        <is>
          <t>ML</t>
        </is>
      </c>
      <c r="D14" s="9" t="n">
        <v>250.08</v>
      </c>
      <c r="E14" s="10" t="n">
        <v>10115</v>
      </c>
      <c r="F14" s="11" t="n">
        <v>19</v>
      </c>
      <c r="G14" s="12">
        <f>D14*E14</f>
        <v/>
      </c>
    </row>
    <row r="15" ht="22" customHeight="1">
      <c r="A15" s="6" t="inlineStr">
        <is>
          <t>3.5</t>
        </is>
      </c>
      <c r="B15" s="7" t="inlineStr">
        <is>
          <t>Suministro y aplicación de vinilo tipo 1 en área de parqueadero</t>
        </is>
      </c>
      <c r="C15" s="8" t="inlineStr">
        <is>
          <t>M2</t>
        </is>
      </c>
      <c r="D15" s="9" t="n">
        <v>313.88</v>
      </c>
      <c r="E15" s="10" t="n">
        <v>17850</v>
      </c>
      <c r="F15" s="11" t="n">
        <v>19</v>
      </c>
      <c r="G15" s="12">
        <f>D15*E15</f>
        <v/>
      </c>
    </row>
    <row r="16" ht="22" customHeight="1">
      <c r="A16" s="13" t="inlineStr">
        <is>
          <t>3.6</t>
        </is>
      </c>
      <c r="B16" s="14" t="inlineStr">
        <is>
          <t>Suministro y aplicación de esmalte Pintulux 3 en 1 sobre carpintería metálica</t>
        </is>
      </c>
      <c r="C16" s="15" t="inlineStr">
        <is>
          <t>M2</t>
        </is>
      </c>
      <c r="D16" s="9" t="n">
        <v>260</v>
      </c>
      <c r="E16" s="10" t="n">
        <v>27370</v>
      </c>
      <c r="F16" s="11" t="n">
        <v>19</v>
      </c>
      <c r="G16" s="12">
        <f>D16*E16</f>
        <v/>
      </c>
    </row>
    <row r="17" ht="20" customHeight="1">
      <c r="A17" s="4" t="inlineStr">
        <is>
          <t xml:space="preserve">  GRP-4  ·  Terminado y Limpieza</t>
        </is>
      </c>
      <c r="B17" s="23" t="n"/>
      <c r="C17" s="23" t="n"/>
      <c r="D17" s="23" t="n"/>
      <c r="E17" s="23" t="n"/>
      <c r="F17" s="24" t="n"/>
      <c r="G17" s="5">
        <f>SUMIF(A18:A37,"&lt;&gt;",G18:G37)</f>
        <v/>
      </c>
    </row>
    <row r="18" ht="22" customHeight="1">
      <c r="A18" s="13" t="inlineStr">
        <is>
          <t>4.1</t>
        </is>
      </c>
      <c r="B18" s="14" t="inlineStr">
        <is>
          <t>Aseo general y retiro de pintura</t>
        </is>
      </c>
      <c r="C18" s="15" t="inlineStr">
        <is>
          <t>UND</t>
        </is>
      </c>
      <c r="D18" s="9" t="n">
        <v>1</v>
      </c>
      <c r="E18" s="10" t="n">
        <v>3094000</v>
      </c>
      <c r="F18" s="11" t="n">
        <v>19</v>
      </c>
      <c r="G18" s="12">
        <f>D18*E18</f>
        <v/>
      </c>
    </row>
    <row r="20" ht="22" customHeight="1">
      <c r="A20" s="16" t="inlineStr">
        <is>
          <t>COSTO DIRECTO (sin IVA)</t>
        </is>
      </c>
      <c r="B20" s="23" t="n"/>
      <c r="C20" s="23" t="n"/>
      <c r="D20" s="23" t="n"/>
      <c r="E20" s="23" t="n"/>
      <c r="F20" s="24" t="n"/>
      <c r="G20" s="17">
        <f>G5+G6+G8+G9+G11+G12+G13+G14+G15+G16+G18</f>
        <v/>
      </c>
    </row>
    <row r="21" ht="22" customHeight="1">
      <c r="A21" s="18" t="inlineStr">
        <is>
          <t>IVA (según % por ítem)</t>
        </is>
      </c>
      <c r="B21" s="25" t="n"/>
      <c r="C21" s="25" t="n"/>
      <c r="D21" s="25" t="n"/>
      <c r="E21" s="25" t="n"/>
      <c r="F21" s="26" t="n"/>
      <c r="G21" s="19">
        <f>D5*E5*F5/100+D6*E6*F6/100+D8*E8*F8/100+D9*E9*F9/100+D11*E11*F11/100+D12*E12*F12/100+D13*E13*F13/100+D14*E14*F14/100+D15*E15*F15/100+D16*E16*F16/100+D18*E18*F18/100</f>
        <v/>
      </c>
    </row>
    <row r="22" ht="22" customHeight="1">
      <c r="A22" s="20" t="inlineStr">
        <is>
          <t>VALOR TOTAL</t>
        </is>
      </c>
      <c r="B22" s="25" t="n"/>
      <c r="C22" s="25" t="n"/>
      <c r="D22" s="25" t="n"/>
      <c r="E22" s="25" t="n"/>
      <c r="F22" s="26" t="n"/>
      <c r="G22" s="21">
        <f>G20+G21</f>
        <v/>
      </c>
    </row>
    <row r="24">
      <c r="A24" s="22" t="inlineStr">
        <is>
          <t>⚠  Celdas en amarillo son editables: Cantidad · V. Unitario · IVA %.  Columna G (azul claro) es calculada — no editar.</t>
        </is>
      </c>
    </row>
  </sheetData>
  <mergeCells count="10">
    <mergeCell ref="A10:F10"/>
    <mergeCell ref="A1:G1"/>
    <mergeCell ref="A24:G24"/>
    <mergeCell ref="A2:G2"/>
    <mergeCell ref="A17:F17"/>
    <mergeCell ref="A22:F22"/>
    <mergeCell ref="A4:F4"/>
    <mergeCell ref="A20:F20"/>
    <mergeCell ref="A21:F21"/>
    <mergeCell ref="A7:F7"/>
  </mergeCells>
  <dataValidations count="1">
    <dataValidation sqref="F4:F200" showDropDown="0" showInputMessage="0" showErrorMessage="0" allowBlank="0" type="list">
      <formula1>"0,5,19"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12" customWidth="1" min="4" max="4"/>
    <col width="16" customWidth="1" min="5" max="5"/>
    <col width="18" customWidth="1" min="6" max="6"/>
  </cols>
  <sheetData>
    <row r="1">
      <c r="A1" s="27" t="inlineStr">
        <is>
          <t>Ítem</t>
        </is>
      </c>
      <c r="B1" s="27" t="inlineStr">
        <is>
          <t>Descripción</t>
        </is>
      </c>
      <c r="C1" s="27" t="inlineStr">
        <is>
          <t>Und</t>
        </is>
      </c>
      <c r="D1" s="27" t="inlineStr">
        <is>
          <t>Cantidad</t>
        </is>
      </c>
      <c r="E1" s="27" t="inlineStr">
        <is>
          <t>V. Unitario</t>
        </is>
      </c>
      <c r="F1" s="27" t="inlineStr">
        <is>
          <t>V. Total</t>
        </is>
      </c>
    </row>
    <row r="2">
      <c r="A2" s="28" t="inlineStr">
        <is>
          <t>GRP-1 · Preliminares</t>
        </is>
      </c>
    </row>
    <row r="3">
      <c r="A3" t="inlineStr">
        <is>
          <t>1.1</t>
        </is>
      </c>
      <c r="B3" t="inlineStr">
        <is>
          <t>Campamento de obra</t>
        </is>
      </c>
      <c r="C3" t="inlineStr">
        <is>
          <t>UND</t>
        </is>
      </c>
      <c r="D3" s="29" t="n">
        <v>1</v>
      </c>
      <c r="E3" s="30" t="n">
        <v>1500000</v>
      </c>
      <c r="F3" s="30" t="n">
        <v>1500000</v>
      </c>
    </row>
    <row r="4">
      <c r="A4" t="inlineStr">
        <is>
          <t>1.2</t>
        </is>
      </c>
      <c r="B4" t="inlineStr">
        <is>
          <t>Señalización y seguridad de obra</t>
        </is>
      </c>
      <c r="C4" t="inlineStr">
        <is>
          <t>GLB</t>
        </is>
      </c>
      <c r="D4" s="29" t="n">
        <v>1</v>
      </c>
      <c r="E4" s="30" t="n">
        <v>2200000</v>
      </c>
      <c r="F4" s="30" t="n">
        <v>2200000</v>
      </c>
    </row>
    <row r="5">
      <c r="E5" s="31" t="inlineStr">
        <is>
          <t>Subtotal</t>
        </is>
      </c>
      <c r="F5" s="32" t="n">
        <v>3700000</v>
      </c>
    </row>
    <row r="6">
      <c r="A6" s="28" t="inlineStr">
        <is>
          <t>GRP-2 · Limpieza y Alistamiento de Superficies</t>
        </is>
      </c>
    </row>
    <row r="7">
      <c r="A7" t="inlineStr">
        <is>
          <t>2.1</t>
        </is>
      </c>
      <c r="B7" t="inlineStr">
        <is>
          <t>Hidrolavado a presión con sol. hipoclorito 13%. Cepillado y enjuague 1880psi. Retiro ampollamientos</t>
        </is>
      </c>
      <c r="C7" t="inlineStr">
        <is>
          <t>M2</t>
        </is>
      </c>
      <c r="D7" s="29" t="n">
        <v>2852.21</v>
      </c>
      <c r="E7" s="30" t="n">
        <v>8500</v>
      </c>
      <c r="F7" s="30" t="n">
        <v>24243785</v>
      </c>
    </row>
    <row r="8">
      <c r="A8" t="inlineStr">
        <is>
          <t>2.2</t>
        </is>
      </c>
      <c r="B8" t="inlineStr">
        <is>
          <t>Reposición graniplast: imprimante, mortero impermeabilizado, segunda imprimación y textura</t>
        </is>
      </c>
      <c r="C8" t="inlineStr">
        <is>
          <t>M2</t>
        </is>
      </c>
      <c r="D8" s="29" t="n">
        <v>85.56999999999999</v>
      </c>
      <c r="E8" s="30" t="n">
        <v>95000</v>
      </c>
      <c r="F8" s="30" t="n">
        <v>8129149.999999999</v>
      </c>
    </row>
    <row r="9">
      <c r="E9" s="31" t="inlineStr">
        <is>
          <t>Subtotal</t>
        </is>
      </c>
      <c r="F9" s="32" t="n">
        <v>32372935</v>
      </c>
    </row>
    <row r="10">
      <c r="A10" s="28" t="inlineStr">
        <is>
          <t>GRP-3 · Obras de Pintura en Muros de Fachada e Impermeabilización</t>
        </is>
      </c>
    </row>
    <row r="11">
      <c r="A11" t="inlineStr">
        <is>
          <t>3.1</t>
        </is>
      </c>
      <c r="B11" t="inlineStr">
        <is>
          <t>Revisión y recambio sellos ventanería perimetral. Soudal Multibond</t>
        </is>
      </c>
      <c r="C11" t="inlineStr">
        <is>
          <t>ML</t>
        </is>
      </c>
      <c r="D11" s="29" t="n">
        <v>693.2</v>
      </c>
      <c r="E11" s="30" t="n">
        <v>28000</v>
      </c>
      <c r="F11" s="30" t="n">
        <v>19409600</v>
      </c>
    </row>
    <row r="12">
      <c r="A12" t="inlineStr">
        <is>
          <t>3.2</t>
        </is>
      </c>
      <c r="B12" t="inlineStr">
        <is>
          <t>Suministro y aplicación Koraza Pro 550 a 2 manos</t>
        </is>
      </c>
      <c r="C12" t="inlineStr">
        <is>
          <t>M2</t>
        </is>
      </c>
      <c r="D12" s="29" t="n">
        <v>2505.28</v>
      </c>
      <c r="E12" s="30" t="n">
        <v>22000</v>
      </c>
      <c r="F12" s="30" t="n">
        <v>55116160.00000001</v>
      </c>
    </row>
    <row r="13">
      <c r="A13" t="inlineStr">
        <is>
          <t>3.3</t>
        </is>
      </c>
      <c r="B13" t="inlineStr">
        <is>
          <t>Tratamiento dilataciones con Pintucofill 7 años de Pintuco</t>
        </is>
      </c>
      <c r="C13" t="inlineStr">
        <is>
          <t>ML</t>
        </is>
      </c>
      <c r="D13" s="29" t="n">
        <v>1690.88</v>
      </c>
      <c r="E13" s="30" t="n">
        <v>14500</v>
      </c>
      <c r="F13" s="30" t="n">
        <v>24517760</v>
      </c>
    </row>
    <row r="14">
      <c r="A14" t="inlineStr">
        <is>
          <t>3.4</t>
        </is>
      </c>
      <c r="B14" t="inlineStr">
        <is>
          <t>Tratamiento en alfajías y aplicación Koraza Pro 550</t>
        </is>
      </c>
      <c r="C14" t="inlineStr">
        <is>
          <t>ML</t>
        </is>
      </c>
      <c r="D14" s="29" t="n">
        <v>250.08</v>
      </c>
      <c r="E14" s="30" t="n">
        <v>18000</v>
      </c>
      <c r="F14" s="30" t="n">
        <v>4501440</v>
      </c>
    </row>
    <row r="15">
      <c r="A15" t="inlineStr">
        <is>
          <t>3.5</t>
        </is>
      </c>
      <c r="B15" t="inlineStr">
        <is>
          <t>Suministro y aplicación vinilo tipo 1 en parqueadero</t>
        </is>
      </c>
      <c r="C15" t="inlineStr">
        <is>
          <t>M2</t>
        </is>
      </c>
      <c r="D15" s="29" t="n">
        <v>313.88</v>
      </c>
      <c r="E15" s="30" t="n">
        <v>16500</v>
      </c>
      <c r="F15" s="30" t="n">
        <v>5179020</v>
      </c>
    </row>
    <row r="16">
      <c r="A16" t="inlineStr">
        <is>
          <t>3.6</t>
        </is>
      </c>
      <c r="B16" t="inlineStr">
        <is>
          <t>Suministro y aplicación esmalte Pintulux 3 en 1 sobre carpintería metálica</t>
        </is>
      </c>
      <c r="C16" t="inlineStr">
        <is>
          <t>M2</t>
        </is>
      </c>
      <c r="D16" s="29" t="n">
        <v>260</v>
      </c>
      <c r="E16" s="30" t="n">
        <v>32000</v>
      </c>
      <c r="F16" s="30" t="n">
        <v>8320000</v>
      </c>
    </row>
    <row r="17">
      <c r="E17" s="31" t="inlineStr">
        <is>
          <t>Subtotal</t>
        </is>
      </c>
      <c r="F17" s="32" t="n">
        <v>117043980</v>
      </c>
    </row>
    <row r="18">
      <c r="A18" s="28" t="inlineStr">
        <is>
          <t>GRP-4 · Terminado y Limpieza</t>
        </is>
      </c>
    </row>
    <row r="19">
      <c r="A19" t="inlineStr">
        <is>
          <t>4.1</t>
        </is>
      </c>
      <c r="B19" t="inlineStr">
        <is>
          <t>Aseo general y retiro de pintura</t>
        </is>
      </c>
      <c r="C19" t="inlineStr">
        <is>
          <t>UND</t>
        </is>
      </c>
      <c r="D19" s="29" t="n">
        <v>1</v>
      </c>
      <c r="E19" s="30" t="n">
        <v>1200000</v>
      </c>
      <c r="F19" s="30" t="n">
        <v>1200000</v>
      </c>
    </row>
    <row r="20">
      <c r="E20" s="31" t="inlineStr">
        <is>
          <t>Subtotal</t>
        </is>
      </c>
      <c r="F20" s="32" t="n">
        <v>1200000</v>
      </c>
    </row>
    <row r="21">
      <c r="E21" s="31" t="inlineStr">
        <is>
          <t>Subtotal sin IVA</t>
        </is>
      </c>
      <c r="F21" s="32" t="n">
        <v>154316915</v>
      </c>
    </row>
    <row r="22">
      <c r="E22" s="31" t="inlineStr">
        <is>
          <t>IVA 19%</t>
        </is>
      </c>
      <c r="F22" s="32" t="n">
        <v>29320213.85</v>
      </c>
    </row>
    <row r="23">
      <c r="A23" s="33" t="n"/>
      <c r="B23" s="33" t="n"/>
      <c r="C23" s="33" t="n"/>
      <c r="D23" s="33" t="n"/>
      <c r="E23" s="33" t="inlineStr">
        <is>
          <t>TOTAL CON IVA</t>
        </is>
      </c>
      <c r="F23" s="34" t="n">
        <v>183637128.85</v>
      </c>
    </row>
  </sheetData>
  <mergeCells count="4">
    <mergeCell ref="A2:F2"/>
    <mergeCell ref="A6:F6"/>
    <mergeCell ref="A10:F10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2026-04-19T21:23:08Z</dcterms:created>
  <dcterms:modified xmlns:dcterms="http://purl.org/dc/terms/" xmlns:xsi="http://www.w3.org/2001/XMLSchema-instance" xsi:type="dcterms:W3CDTF">2026-04-19T21:45:43Z</dcterms:modified>
</cp:coreProperties>
</file>