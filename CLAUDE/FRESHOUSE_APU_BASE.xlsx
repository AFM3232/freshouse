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U" sheetId="1" state="visible" r:id="rId1"/>
    <sheet xmlns:r="http://schemas.openxmlformats.org/officeDocument/2006/relationships" name="INSUM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b val="1"/>
      <color rgb="FFFFFFFF"/>
      <sz val="13"/>
    </font>
    <font>
      <color rgb="FF1B2A4A"/>
      <sz val="9"/>
    </font>
    <font>
      <b val="1"/>
      <color rgb="FFFFFFFF"/>
      <sz val="9"/>
    </font>
    <font>
      <color rgb="FF000000"/>
      <sz val="9"/>
    </font>
    <font>
      <b val="1"/>
      <color rgb="FF000000"/>
      <sz val="9"/>
    </font>
    <font>
      <color rgb="FF666666"/>
      <sz val="8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9E1F2"/>
      </patternFill>
    </fill>
    <fill>
      <patternFill patternType="solid">
        <fgColor rgb="00C47A27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E8F0FA"/>
      </patternFill>
    </fill>
    <fill>
      <patternFill patternType="solid">
        <fgColor rgb="00F2F2F2"/>
      </patternFill>
    </fill>
    <fill>
      <patternFill patternType="solid">
        <fgColor rgb="00F5F5F5"/>
      </patternFill>
    </fill>
  </fills>
  <borders count="3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2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center" vertical="center" wrapText="1"/>
    </xf>
    <xf numFmtId="3" fontId="5" fillId="7" borderId="1" applyAlignment="1" pivotButton="0" quotePrefix="0" xfId="0">
      <alignment horizontal="center" vertical="center" wrapText="1"/>
    </xf>
    <xf numFmtId="9" fontId="5" fillId="6" borderId="1" applyAlignment="1" pivotButton="0" quotePrefix="0" xfId="0">
      <alignment horizontal="center" vertical="center" wrapText="1"/>
    </xf>
    <xf numFmtId="3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3" fontId="5" fillId="9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8" customWidth="1" min="3" max="3"/>
    <col width="32" customWidth="1" min="4" max="4"/>
    <col width="14" customWidth="1" min="5" max="5"/>
    <col width="14" customWidth="1" min="6" max="6"/>
    <col width="16" customWidth="1" min="7" max="7"/>
    <col width="14" customWidth="1" min="8" max="8"/>
    <col width="16" customWidth="1" min="9" max="9"/>
    <col width="10" customWidth="1" min="10" max="10"/>
    <col width="18" customWidth="1" min="11" max="11"/>
  </cols>
  <sheetData>
    <row r="1" ht="22" customHeight="1">
      <c r="A1" s="1" t="inlineStr">
        <is>
          <t>FRESHOUSE S.A.S  —  BASE DE DATOS APU</t>
        </is>
      </c>
    </row>
    <row r="2" ht="14" customHeight="1">
      <c r="A2" s="2" t="inlineStr">
        <is>
          <t>Costos 2026 · Armenia, Quindío  |  Celdas en amarillo = editables  |  'PD' = Por Definir</t>
        </is>
      </c>
    </row>
    <row r="3" ht="30" customHeight="1">
      <c r="A3" s="3" t="inlineStr">
        <is>
          <t>Código</t>
        </is>
      </c>
      <c r="B3" s="3" t="inlineStr">
        <is>
          <t>Descripción</t>
        </is>
      </c>
      <c r="C3" s="3" t="inlineStr">
        <is>
          <t>Unidad</t>
        </is>
      </c>
      <c r="D3" s="3" t="inlineStr">
        <is>
          <t>Insumo principal</t>
        </is>
      </c>
      <c r="E3" s="3" t="inlineStr">
        <is>
          <t>Rendimiento
(un insumo / un obra)</t>
        </is>
      </c>
      <c r="F3" s="3" t="inlineStr">
        <is>
          <t>Precio
insumo ($)</t>
        </is>
      </c>
      <c r="G3" s="3" t="inlineStr">
        <is>
          <t>Costo
material/un ($)</t>
        </is>
      </c>
      <c r="H3" s="3" t="inlineStr">
        <is>
          <t>MO/un ($)</t>
        </is>
      </c>
      <c r="I3" s="3" t="inlineStr">
        <is>
          <t>Costo
directo/un ($)</t>
        </is>
      </c>
      <c r="J3" s="3" t="inlineStr">
        <is>
          <t>%
Utilidad</t>
        </is>
      </c>
      <c r="K3" s="3" t="inlineStr">
        <is>
          <t>Precio
cotización/un ($)</t>
        </is>
      </c>
    </row>
    <row r="4" ht="16" customHeight="1">
      <c r="A4" s="4" t="inlineStr">
        <is>
          <t>1. LAVADOS Y LIMPIEZA</t>
        </is>
      </c>
    </row>
    <row r="5" ht="16" customHeight="1">
      <c r="A5" s="5" t="inlineStr">
        <is>
          <t>LAV-01</t>
        </is>
      </c>
      <c r="B5" s="6" t="inlineStr">
        <is>
          <t>Hidrolavado presión + hipoclorito 10% (fachada)</t>
        </is>
      </c>
      <c r="C5" s="5" t="inlineStr">
        <is>
          <t>M²</t>
        </is>
      </c>
      <c r="D5" s="5" t="inlineStr">
        <is>
          <t>Hipoclorito 10% (garrafa 20L)</t>
        </is>
      </c>
      <c r="E5" s="7" t="n">
        <v>0.0125</v>
      </c>
      <c r="F5" s="8" t="n">
        <v>75000</v>
      </c>
      <c r="G5" s="8">
        <f>IF(F5=0,0,ROUND(F5*E5,0))</f>
        <v/>
      </c>
      <c r="H5" s="9" t="n">
        <v>2000</v>
      </c>
      <c r="I5" s="10">
        <f>IF(G5="PD","PD",G5+H5)</f>
        <v/>
      </c>
      <c r="J5" s="11" t="n">
        <v>0.3</v>
      </c>
      <c r="K5" s="12">
        <f>IF(I5=0,"PD",ROUND(I5*(1+J5),0))</f>
        <v/>
      </c>
    </row>
    <row r="6" ht="16" customHeight="1">
      <c r="A6" s="5" t="inlineStr">
        <is>
          <t>LAV-02</t>
        </is>
      </c>
      <c r="B6" s="6" t="inlineStr">
        <is>
          <t>Hidrolavado presión + hipoclorito 13% (fachada)</t>
        </is>
      </c>
      <c r="C6" s="5" t="inlineStr">
        <is>
          <t>M²</t>
        </is>
      </c>
      <c r="D6" s="5" t="inlineStr">
        <is>
          <t>Hipoclorito 13% (garrafa 20L)</t>
        </is>
      </c>
      <c r="E6" s="7" t="n">
        <v>0.0125</v>
      </c>
      <c r="F6" s="8" t="n">
        <v>78000</v>
      </c>
      <c r="G6" s="8">
        <f>IF(F6=0,0,ROUND(F6*E6,0))</f>
        <v/>
      </c>
      <c r="H6" s="9" t="n">
        <v>2000</v>
      </c>
      <c r="I6" s="10">
        <f>IF(G6="PD","PD",G6+H6)</f>
        <v/>
      </c>
      <c r="J6" s="11" t="n">
        <v>0.3</v>
      </c>
      <c r="K6" s="12">
        <f>IF(I6=0,"PD",ROUND(I6*(1+J6),0))</f>
        <v/>
      </c>
    </row>
    <row r="7" ht="16" customHeight="1">
      <c r="A7" s="5" t="inlineStr">
        <is>
          <t>LAV-03</t>
        </is>
      </c>
      <c r="B7" s="6" t="inlineStr">
        <is>
          <t>Limpieza hipoclorito muros interiores</t>
        </is>
      </c>
      <c r="C7" s="5" t="inlineStr">
        <is>
          <t>M²</t>
        </is>
      </c>
      <c r="D7" s="5" t="inlineStr">
        <is>
          <t>Hipoclorito 10% (garrafa 20L)</t>
        </is>
      </c>
      <c r="E7" s="7" t="n">
        <v>0.0125</v>
      </c>
      <c r="F7" s="8" t="n">
        <v>75000</v>
      </c>
      <c r="G7" s="8">
        <f>IF(F7=0,0,ROUND(F7*E7,0))</f>
        <v/>
      </c>
      <c r="H7" s="9" t="n">
        <v>2000</v>
      </c>
      <c r="I7" s="10">
        <f>IF(G7="PD","PD",G7+H7)</f>
        <v/>
      </c>
      <c r="J7" s="11" t="n">
        <v>0.25</v>
      </c>
      <c r="K7" s="12">
        <f>IF(I7=0,"PD",ROUND(I7*(1+J7),0))</f>
        <v/>
      </c>
    </row>
    <row r="8" ht="16" customHeight="1">
      <c r="A8" s="4" t="inlineStr">
        <is>
          <t>2. PREPARACIÓN DE SUPERFICIE</t>
        </is>
      </c>
    </row>
    <row r="9" ht="16" customHeight="1">
      <c r="A9" s="5" t="inlineStr">
        <is>
          <t>PRE-01</t>
        </is>
      </c>
      <c r="B9" s="6" t="inlineStr">
        <is>
          <t>Preparación + imprimación ACROLATEX puntual</t>
        </is>
      </c>
      <c r="C9" s="5" t="inlineStr">
        <is>
          <t>M²</t>
        </is>
      </c>
      <c r="D9" s="5" t="inlineStr">
        <is>
          <t>Acrolatex 50 Pintuco (galón)</t>
        </is>
      </c>
      <c r="E9" s="7" t="n">
        <v>0.04</v>
      </c>
      <c r="F9" s="8" t="n">
        <v>102000</v>
      </c>
      <c r="G9" s="8">
        <f>IF(F9=0,0,ROUND(F9*E9,0))</f>
        <v/>
      </c>
      <c r="H9" s="9" t="n">
        <v>3000</v>
      </c>
      <c r="I9" s="10">
        <f>IF(G9="PD","PD",G9+H9)</f>
        <v/>
      </c>
      <c r="J9" s="11" t="n">
        <v>0.3</v>
      </c>
      <c r="K9" s="12">
        <f>IF(I9=0,"PD",ROUND(I9*(1+J9),0))</f>
        <v/>
      </c>
    </row>
    <row r="10" ht="16" customHeight="1">
      <c r="A10" s="5" t="inlineStr">
        <is>
          <t>PRE-02</t>
        </is>
      </c>
      <c r="B10" s="6" t="inlineStr">
        <is>
          <t>Resane puntual de fachada (mortero 1:3)</t>
        </is>
      </c>
      <c r="C10" s="5" t="inlineStr">
        <is>
          <t>M²</t>
        </is>
      </c>
      <c r="D10" s="5" t="inlineStr">
        <is>
          <t>Mortero preparado + material</t>
        </is>
      </c>
      <c r="E10" s="7" t="n">
        <v>1</v>
      </c>
      <c r="F10" s="8" t="n">
        <v>12862</v>
      </c>
      <c r="G10" s="8">
        <f>IF(F10=0,0,ROUND(F10*E10,0))</f>
        <v/>
      </c>
      <c r="H10" s="9" t="n">
        <v>21422</v>
      </c>
      <c r="I10" s="10">
        <f>IF(G10="PD","PD",G10+H10)</f>
        <v/>
      </c>
      <c r="J10" s="11" t="n">
        <v>0.3</v>
      </c>
      <c r="K10" s="12">
        <f>IF(I10=0,"PD",ROUND(I10*(1+J10),0))</f>
        <v/>
      </c>
    </row>
    <row r="11" ht="16" customHeight="1">
      <c r="A11" s="5" t="inlineStr">
        <is>
          <t>PRE-03</t>
        </is>
      </c>
      <c r="B11" s="6" t="inlineStr">
        <is>
          <t>Revoque estructural / mortero antepechos</t>
        </is>
      </c>
      <c r="C11" s="5" t="inlineStr">
        <is>
          <t>M²</t>
        </is>
      </c>
      <c r="D11" s="5" t="inlineStr">
        <is>
          <t>Mortero estructural (saco + arena)</t>
        </is>
      </c>
      <c r="E11" s="7" t="n">
        <v>1</v>
      </c>
      <c r="F11" s="8" t="n">
        <v>25000</v>
      </c>
      <c r="G11" s="8">
        <f>IF(F11=0,0,ROUND(F11*E11,0))</f>
        <v/>
      </c>
      <c r="H11" s="9" t="n">
        <v>23380</v>
      </c>
      <c r="I11" s="10">
        <f>IF(G11="PD","PD",G11+H11)</f>
        <v/>
      </c>
      <c r="J11" s="11" t="n">
        <v>0.3</v>
      </c>
      <c r="K11" s="12">
        <f>IF(I11=0,"PD",ROUND(I11*(1+J11),0))</f>
        <v/>
      </c>
    </row>
    <row r="12" ht="16" customHeight="1">
      <c r="A12" s="4" t="inlineStr">
        <is>
          <t>3. PINTURA EXTERIOR (FACHADA)</t>
        </is>
      </c>
    </row>
    <row r="13" ht="16" customHeight="1">
      <c r="A13" s="5" t="inlineStr">
        <is>
          <t>PEX-01</t>
        </is>
      </c>
      <c r="B13" s="6" t="inlineStr">
        <is>
          <t>Koraza Pro + lavado incluido — 2 manos</t>
        </is>
      </c>
      <c r="C13" s="5" t="inlineStr">
        <is>
          <t>M²</t>
        </is>
      </c>
      <c r="D13" s="5" t="inlineStr">
        <is>
          <t>Koraza Pro Pintuco (cuñete 5 gal = 70 M²)</t>
        </is>
      </c>
      <c r="E13" s="7" t="n">
        <v>0.01428571428571429</v>
      </c>
      <c r="F13" s="8" t="n">
        <v>450000</v>
      </c>
      <c r="G13" s="8">
        <f>IF(F13=0,0,ROUND(F13*E13,0))</f>
        <v/>
      </c>
      <c r="H13" s="9" t="n">
        <v>9000</v>
      </c>
      <c r="I13" s="10">
        <f>IF(G13="PD","PD",G13+H13)</f>
        <v/>
      </c>
      <c r="J13" s="11" t="n">
        <v>0.3</v>
      </c>
      <c r="K13" s="12">
        <f>IF(I13=0,"PD",ROUND(I13*(1+J13),0))</f>
        <v/>
      </c>
    </row>
    <row r="14" ht="16" customHeight="1">
      <c r="A14" s="5" t="inlineStr">
        <is>
          <t>PEX-02</t>
        </is>
      </c>
      <c r="B14" s="6" t="inlineStr">
        <is>
          <t>Koraza Pro sin lavado — 2 manos</t>
        </is>
      </c>
      <c r="C14" s="5" t="inlineStr">
        <is>
          <t>M²</t>
        </is>
      </c>
      <c r="D14" s="5" t="inlineStr">
        <is>
          <t>Koraza Pro Pintuco (cuñete 5 gal = 70 M²)</t>
        </is>
      </c>
      <c r="E14" s="7" t="n">
        <v>0.01428571428571429</v>
      </c>
      <c r="F14" s="8" t="n">
        <v>450000</v>
      </c>
      <c r="G14" s="8">
        <f>IF(F14=0,0,ROUND(F14*E14,0))</f>
        <v/>
      </c>
      <c r="H14" s="9" t="n">
        <v>7000</v>
      </c>
      <c r="I14" s="10">
        <f>IF(G14="PD","PD",G14+H14)</f>
        <v/>
      </c>
      <c r="J14" s="11" t="n">
        <v>0.3</v>
      </c>
      <c r="K14" s="12">
        <f>IF(I14=0,"PD",ROUND(I14*(1+J14),0))</f>
        <v/>
      </c>
    </row>
    <row r="15" ht="16" customHeight="1">
      <c r="A15" s="5" t="inlineStr">
        <is>
          <t>PEX-03</t>
        </is>
      </c>
      <c r="B15" s="6" t="inlineStr">
        <is>
          <t>Pintura acrílica exterior 2 manos (genérica)</t>
        </is>
      </c>
      <c r="C15" s="5" t="inlineStr">
        <is>
          <t>M²</t>
        </is>
      </c>
      <c r="D15" s="5" t="inlineStr">
        <is>
          <t>Pintura acrílica ext. (galón, rend. 20 M²)</t>
        </is>
      </c>
      <c r="E15" s="7" t="n">
        <v>0.05</v>
      </c>
      <c r="F15" s="8" t="n">
        <v>70000</v>
      </c>
      <c r="G15" s="8">
        <f>IF(F15=0,0,ROUND(F15*E15,0))</f>
        <v/>
      </c>
      <c r="H15" s="9" t="n">
        <v>7000</v>
      </c>
      <c r="I15" s="10">
        <f>IF(G15="PD","PD",G15+H15)</f>
        <v/>
      </c>
      <c r="J15" s="11" t="n">
        <v>0.3</v>
      </c>
      <c r="K15" s="12">
        <f>IF(I15=0,"PD",ROUND(I15*(1+J15),0))</f>
        <v/>
      </c>
    </row>
    <row r="16" ht="16" customHeight="1">
      <c r="A16" s="5" t="inlineStr">
        <is>
          <t>PEX-04</t>
        </is>
      </c>
      <c r="B16" s="6" t="inlineStr">
        <is>
          <t>Sellado de fisuras (soudaflex / sellador acrílico)</t>
        </is>
      </c>
      <c r="C16" s="5" t="inlineStr">
        <is>
          <t>ML</t>
        </is>
      </c>
      <c r="D16" s="5" t="inlineStr">
        <is>
          <t>Soudaflex (cartucho 300ml = 6 ML)</t>
        </is>
      </c>
      <c r="E16" s="7" t="n">
        <v>0.1666666666666667</v>
      </c>
      <c r="F16" s="8" t="n">
        <v>18000</v>
      </c>
      <c r="G16" s="8">
        <f>IF(F16=0,0,ROUND(F16*E16,0))</f>
        <v/>
      </c>
      <c r="H16" s="9" t="n">
        <v>1500</v>
      </c>
      <c r="I16" s="10">
        <f>IF(G16="PD","PD",G16+H16)</f>
        <v/>
      </c>
      <c r="J16" s="11" t="n">
        <v>0.3</v>
      </c>
      <c r="K16" s="12">
        <f>IF(I16=0,"PD",ROUND(I16*(1+J16),0))</f>
        <v/>
      </c>
    </row>
    <row r="17" ht="16" customHeight="1">
      <c r="A17" s="4" t="inlineStr">
        <is>
          <t>4. SELLOS DE VENTANERÍA</t>
        </is>
      </c>
    </row>
    <row r="18" ht="16" customHeight="1">
      <c r="A18" s="5" t="inlineStr">
        <is>
          <t>SEL-01</t>
        </is>
      </c>
      <c r="B18" s="6" t="inlineStr">
        <is>
          <t>Sello ventanería perimetral Sikaseal C</t>
        </is>
      </c>
      <c r="C18" s="5" t="inlineStr">
        <is>
          <t>ML</t>
        </is>
      </c>
      <c r="D18" s="5" t="inlineStr">
        <is>
          <t>Sikaseal C (tubo 400ml = 20 ML)</t>
        </is>
      </c>
      <c r="E18" s="7" t="n">
        <v>0.05</v>
      </c>
      <c r="F18" s="8" t="n">
        <v>22000</v>
      </c>
      <c r="G18" s="8">
        <f>IF(F18=0,0,ROUND(F18*E18,0))</f>
        <v/>
      </c>
      <c r="H18" s="9" t="n">
        <v>1360</v>
      </c>
      <c r="I18" s="10">
        <f>IF(G18="PD","PD",G18+H18)</f>
        <v/>
      </c>
      <c r="J18" s="11" t="n">
        <v>0.3</v>
      </c>
      <c r="K18" s="12">
        <f>IF(I18=0,"PD",ROUND(I18*(1+J18),0))</f>
        <v/>
      </c>
    </row>
    <row r="19" ht="16" customHeight="1">
      <c r="A19" s="5" t="inlineStr">
        <is>
          <t>SEL-02</t>
        </is>
      </c>
      <c r="B19" s="6" t="inlineStr">
        <is>
          <t>Sello poliuretano Sikaflex (junta estructural)</t>
        </is>
      </c>
      <c r="C19" s="5" t="inlineStr">
        <is>
          <t>ML</t>
        </is>
      </c>
      <c r="D19" s="5" t="inlineStr">
        <is>
          <t>Sikaflex 300ml = 3 ML</t>
        </is>
      </c>
      <c r="E19" s="7" t="n">
        <v>0.3333333333333333</v>
      </c>
      <c r="F19" s="8" t="n">
        <v>35900</v>
      </c>
      <c r="G19" s="8">
        <f>IF(F19=0,0,ROUND(F19*E19,0))</f>
        <v/>
      </c>
      <c r="H19" s="9" t="n">
        <v>1500</v>
      </c>
      <c r="I19" s="10">
        <f>IF(G19="PD","PD",G19+H19)</f>
        <v/>
      </c>
      <c r="J19" s="11" t="n">
        <v>0.3</v>
      </c>
      <c r="K19" s="12">
        <f>IF(I19=0,"PD",ROUND(I19*(1+J19),0))</f>
        <v/>
      </c>
    </row>
    <row r="20" ht="16" customHeight="1">
      <c r="A20" s="4" t="inlineStr">
        <is>
          <t>5. PINTURA INTERIOR</t>
        </is>
      </c>
    </row>
    <row r="21" ht="16" customHeight="1">
      <c r="A21" s="5" t="inlineStr">
        <is>
          <t>PIN-01</t>
        </is>
      </c>
      <c r="B21" s="6" t="inlineStr">
        <is>
          <t>Viniltex Tipo 1 — muros interiores 2 manos</t>
        </is>
      </c>
      <c r="C21" s="5" t="inlineStr">
        <is>
          <t>M²</t>
        </is>
      </c>
      <c r="D21" s="5" t="inlineStr">
        <is>
          <t>Viniltex Pintuco (cuñete 5 gal = 125 M²)</t>
        </is>
      </c>
      <c r="E21" s="7" t="n">
        <v>0.008</v>
      </c>
      <c r="F21" s="8" t="n">
        <v>390000</v>
      </c>
      <c r="G21" s="8">
        <f>IF(F21=0,0,ROUND(F21*E21,0))</f>
        <v/>
      </c>
      <c r="H21" s="9" t="n">
        <v>8114</v>
      </c>
      <c r="I21" s="10">
        <f>IF(G21="PD","PD",G21+H21)</f>
        <v/>
      </c>
      <c r="J21" s="11" t="n">
        <v>0.25</v>
      </c>
      <c r="K21" s="12">
        <f>IF(I21=0,"PD",ROUND(I21*(1+J21),0))</f>
        <v/>
      </c>
    </row>
    <row r="22" ht="16" customHeight="1">
      <c r="A22" s="5" t="inlineStr">
        <is>
          <t>PIN-02</t>
        </is>
      </c>
      <c r="B22" s="6" t="inlineStr">
        <is>
          <t>Viniltex Tipo 2 — cielorrasos 2 manos</t>
        </is>
      </c>
      <c r="C22" s="5" t="inlineStr">
        <is>
          <t>M²</t>
        </is>
      </c>
      <c r="D22" s="5" t="inlineStr">
        <is>
          <t>Viniltex Pintuco (cuñete 5 gal = 125 M²)</t>
        </is>
      </c>
      <c r="E22" s="7" t="n">
        <v>0.008</v>
      </c>
      <c r="F22" s="8" t="n">
        <v>390000</v>
      </c>
      <c r="G22" s="8">
        <f>IF(F22=0,0,ROUND(F22*E22,0))</f>
        <v/>
      </c>
      <c r="H22" s="9" t="n">
        <v>12500</v>
      </c>
      <c r="I22" s="10">
        <f>IF(G22="PD","PD",G22+H22)</f>
        <v/>
      </c>
      <c r="J22" s="11" t="n">
        <v>0.25</v>
      </c>
      <c r="K22" s="12">
        <f>IF(I22=0,"PD",ROUND(I22*(1+J22),0))</f>
        <v/>
      </c>
    </row>
    <row r="23" ht="16" customHeight="1">
      <c r="A23" s="5" t="inlineStr">
        <is>
          <t>PIN-03</t>
        </is>
      </c>
      <c r="B23" s="6" t="inlineStr">
        <is>
          <t>Viniltex Tipo 1 — muros interiores 3 manos</t>
        </is>
      </c>
      <c r="C23" s="5" t="inlineStr">
        <is>
          <t>M²</t>
        </is>
      </c>
      <c r="D23" s="5" t="inlineStr">
        <is>
          <t>Viniltex Pintuco (cuñete 5 gal = 100 M²)</t>
        </is>
      </c>
      <c r="E23" s="7" t="n">
        <v>0.01</v>
      </c>
      <c r="F23" s="8" t="n">
        <v>390000</v>
      </c>
      <c r="G23" s="8">
        <f>IF(F23=0,0,ROUND(F23*E23,0))</f>
        <v/>
      </c>
      <c r="H23" s="9" t="n">
        <v>10000</v>
      </c>
      <c r="I23" s="10">
        <f>IF(G23="PD","PD",G23+H23)</f>
        <v/>
      </c>
      <c r="J23" s="11" t="n">
        <v>0.25</v>
      </c>
      <c r="K23" s="12">
        <f>IF(I23=0,"PD",ROUND(I23*(1+J23),0))</f>
        <v/>
      </c>
    </row>
    <row r="24" ht="16" customHeight="1">
      <c r="A24" s="4" t="inlineStr">
        <is>
          <t>6. CARPINTERÍA METÁLICA</t>
        </is>
      </c>
    </row>
    <row r="25" ht="16" customHeight="1">
      <c r="A25" s="5" t="inlineStr">
        <is>
          <t>MET-01</t>
        </is>
      </c>
      <c r="B25" s="6" t="inlineStr">
        <is>
          <t>Esmalte Pintulux 3 en 1 — barandas/pasamanos (M²)</t>
        </is>
      </c>
      <c r="C25" s="5" t="inlineStr">
        <is>
          <t>M²</t>
        </is>
      </c>
      <c r="D25" s="5" t="inlineStr">
        <is>
          <t>Pintulux 3 en 1 Pintuco (galón = 15 M²)</t>
        </is>
      </c>
      <c r="E25" s="7" t="n">
        <v>0.06666666666666667</v>
      </c>
      <c r="F25" s="8" t="n">
        <v>120000</v>
      </c>
      <c r="G25" s="8">
        <f>IF(F25=0,0,ROUND(F25*E25,0))</f>
        <v/>
      </c>
      <c r="H25" s="9" t="n">
        <v>8033</v>
      </c>
      <c r="I25" s="10">
        <f>IF(G25="PD","PD",G25+H25)</f>
        <v/>
      </c>
      <c r="J25" s="11" t="n">
        <v>0.3</v>
      </c>
      <c r="K25" s="12">
        <f>IF(I25=0,"PD",ROUND(I25*(1+J25),0))</f>
        <v/>
      </c>
    </row>
    <row r="26" ht="16" customHeight="1">
      <c r="A26" s="5" t="inlineStr">
        <is>
          <t>MET-02</t>
        </is>
      </c>
      <c r="B26" s="6" t="inlineStr">
        <is>
          <t>Esmalte Pintulux 3 en 1 — barandas/pasamanos (ML)</t>
        </is>
      </c>
      <c r="C26" s="5" t="inlineStr">
        <is>
          <t>ML</t>
        </is>
      </c>
      <c r="D26" s="5" t="inlineStr">
        <is>
          <t>Pintulux 3 en 1 Pintuco (galón → 0.6 M²/ML)</t>
        </is>
      </c>
      <c r="E26" s="7" t="n">
        <v>0.067</v>
      </c>
      <c r="F26" s="8" t="n">
        <v>120000</v>
      </c>
      <c r="G26" s="8">
        <f>IF(F26=0,0,ROUND(F26*E26,0))</f>
        <v/>
      </c>
      <c r="H26" s="9" t="n">
        <v>4820</v>
      </c>
      <c r="I26" s="10">
        <f>IF(G26="PD","PD",G26+H26)</f>
        <v/>
      </c>
      <c r="J26" s="11" t="n">
        <v>0.3</v>
      </c>
      <c r="K26" s="12">
        <f>IF(I26=0,"PD",ROUND(I26*(1+J26),0))</f>
        <v/>
      </c>
    </row>
    <row r="27" ht="16" customHeight="1">
      <c r="A27" s="5" t="inlineStr">
        <is>
          <t>MET-03</t>
        </is>
      </c>
      <c r="B27" s="6" t="inlineStr">
        <is>
          <t>Anticorrosivo + esmalte carpintería metálica</t>
        </is>
      </c>
      <c r="C27" s="5" t="inlineStr">
        <is>
          <t>M²</t>
        </is>
      </c>
      <c r="D27" s="5" t="inlineStr">
        <is>
          <t>Anticorrosivo + Pintulux (galón = 12 M²)</t>
        </is>
      </c>
      <c r="E27" s="7" t="n">
        <v>0.08333333333333333</v>
      </c>
      <c r="F27" s="8" t="n">
        <v>130000</v>
      </c>
      <c r="G27" s="8">
        <f>IF(F27=0,0,ROUND(F27*E27,0))</f>
        <v/>
      </c>
      <c r="H27" s="9" t="n">
        <v>9000</v>
      </c>
      <c r="I27" s="10">
        <f>IF(G27="PD","PD",G27+H27)</f>
        <v/>
      </c>
      <c r="J27" s="11" t="n">
        <v>0.3</v>
      </c>
      <c r="K27" s="12">
        <f>IF(I27=0,"PD",ROUND(I27*(1+J27),0))</f>
        <v/>
      </c>
    </row>
    <row r="28" ht="16" customHeight="1">
      <c r="A28" s="4" t="inlineStr">
        <is>
          <t>7. SUPERBOARD (CIELOS / FACHADA)</t>
        </is>
      </c>
    </row>
    <row r="29" ht="18" customHeight="1">
      <c r="A29" s="13" t="inlineStr">
        <is>
          <t>SUP-01</t>
        </is>
      </c>
      <c r="B29" s="14" t="inlineStr">
        <is>
          <t>Superboard 6mm instalado (lámina + estructura + acc.)</t>
        </is>
      </c>
      <c r="C29" s="13" t="inlineStr">
        <is>
          <t>M²</t>
        </is>
      </c>
      <c r="D29" s="15" t="n"/>
      <c r="E29" s="15" t="n"/>
      <c r="F29" s="15" t="n"/>
      <c r="G29" s="16">
        <f>IFERROR(SUM(G30:G37),0)</f>
        <v/>
      </c>
      <c r="H29" s="9" t="n"/>
      <c r="I29" s="10">
        <f>IF(OR(G29=0,H29=""),"PD",ROUND(G29+H29,0))</f>
        <v/>
      </c>
      <c r="J29" s="11" t="n">
        <v>0.3</v>
      </c>
      <c r="K29" s="12">
        <f>IF(I29="PD","PD",ROUND(I29*(1+J29),0))</f>
        <v/>
      </c>
    </row>
    <row r="30" ht="15" customHeight="1">
      <c r="A30" s="5" t="n"/>
      <c r="B30" s="6" t="inlineStr">
        <is>
          <t xml:space="preserve">   · Lámina Superboard 6mm (1.22×2.44m)</t>
        </is>
      </c>
      <c r="C30" s="5" t="inlineStr">
        <is>
          <t>Und</t>
        </is>
      </c>
      <c r="D30" s="5" t="n"/>
      <c r="E30" s="17" t="n"/>
      <c r="F30" s="18" t="n"/>
      <c r="G30" s="8">
        <f>IFERROR(IF(AND(E30&lt;&gt;"",F30&lt;&gt;""),ROUND(E30*F30,0),0),0)</f>
        <v/>
      </c>
      <c r="H30" s="19" t="n"/>
      <c r="I30" s="19" t="n"/>
      <c r="J30" s="19" t="n"/>
      <c r="K30" s="19" t="n"/>
    </row>
    <row r="31" ht="15" customHeight="1">
      <c r="A31" s="5" t="n"/>
      <c r="B31" s="6" t="inlineStr">
        <is>
          <t xml:space="preserve">   · Perfil omega / canal 38mm</t>
        </is>
      </c>
      <c r="C31" s="5" t="inlineStr">
        <is>
          <t>ML</t>
        </is>
      </c>
      <c r="D31" s="5" t="n"/>
      <c r="E31" s="17" t="n"/>
      <c r="F31" s="18" t="n"/>
      <c r="G31" s="8">
        <f>IFERROR(IF(AND(E31&lt;&gt;"",F31&lt;&gt;""),ROUND(E31*F31,0),0),0)</f>
        <v/>
      </c>
      <c r="H31" s="19" t="n"/>
      <c r="I31" s="19" t="n"/>
      <c r="J31" s="19" t="n"/>
      <c r="K31" s="19" t="n"/>
    </row>
    <row r="32" ht="15" customHeight="1">
      <c r="A32" s="5" t="n"/>
      <c r="B32" s="6" t="inlineStr">
        <is>
          <t xml:space="preserve">   · Perfil omega / canal 64mm</t>
        </is>
      </c>
      <c r="C32" s="5" t="inlineStr">
        <is>
          <t>ML</t>
        </is>
      </c>
      <c r="D32" s="5" t="n"/>
      <c r="E32" s="17" t="n"/>
      <c r="F32" s="18" t="n"/>
      <c r="G32" s="8">
        <f>IFERROR(IF(AND(E32&lt;&gt;"",F32&lt;&gt;""),ROUND(E32*F32,0),0),0)</f>
        <v/>
      </c>
      <c r="H32" s="19" t="n"/>
      <c r="I32" s="19" t="n"/>
      <c r="J32" s="19" t="n"/>
      <c r="K32" s="19" t="n"/>
    </row>
    <row r="33" ht="15" customHeight="1">
      <c r="A33" s="5" t="n"/>
      <c r="B33" s="6" t="inlineStr">
        <is>
          <t xml:space="preserve">   · Tornillo punta broca 6×1"</t>
        </is>
      </c>
      <c r="C33" s="5" t="inlineStr">
        <is>
          <t>Und</t>
        </is>
      </c>
      <c r="D33" s="5" t="n"/>
      <c r="E33" s="17" t="n"/>
      <c r="F33" s="18" t="n"/>
      <c r="G33" s="8">
        <f>IFERROR(IF(AND(E33&lt;&gt;"",F33&lt;&gt;""),ROUND(E33*F33,0),0),0)</f>
        <v/>
      </c>
      <c r="H33" s="19" t="n"/>
      <c r="I33" s="19" t="n"/>
      <c r="J33" s="19" t="n"/>
      <c r="K33" s="19" t="n"/>
    </row>
    <row r="34" ht="15" customHeight="1">
      <c r="A34" s="5" t="n"/>
      <c r="B34" s="6" t="inlineStr">
        <is>
          <t xml:space="preserve">   · Tornillo punta broca 6×2"</t>
        </is>
      </c>
      <c r="C34" s="5" t="inlineStr">
        <is>
          <t>Und</t>
        </is>
      </c>
      <c r="D34" s="5" t="n"/>
      <c r="E34" s="17" t="n"/>
      <c r="F34" s="18" t="n"/>
      <c r="G34" s="8">
        <f>IFERROR(IF(AND(E34&lt;&gt;"",F34&lt;&gt;""),ROUND(E34*F34,0),0),0)</f>
        <v/>
      </c>
      <c r="H34" s="19" t="n"/>
      <c r="I34" s="19" t="n"/>
      <c r="J34" s="19" t="n"/>
      <c r="K34" s="19" t="n"/>
    </row>
    <row r="35" ht="15" customHeight="1">
      <c r="A35" s="5" t="n"/>
      <c r="B35" s="6" t="inlineStr">
        <is>
          <t xml:space="preserve">   · Cinta de juntas Superboard</t>
        </is>
      </c>
      <c r="C35" s="5" t="inlineStr">
        <is>
          <t>Rollo</t>
        </is>
      </c>
      <c r="D35" s="5" t="n"/>
      <c r="E35" s="17" t="n"/>
      <c r="F35" s="18" t="n"/>
      <c r="G35" s="8">
        <f>IFERROR(IF(AND(E35&lt;&gt;"",F35&lt;&gt;""),ROUND(E35*F35,0),0),0)</f>
        <v/>
      </c>
      <c r="H35" s="19" t="n"/>
      <c r="I35" s="19" t="n"/>
      <c r="J35" s="19" t="n"/>
      <c r="K35" s="19" t="n"/>
    </row>
    <row r="36" ht="15" customHeight="1">
      <c r="A36" s="5" t="n"/>
      <c r="B36" s="6" t="inlineStr">
        <is>
          <t xml:space="preserve">   · Masilla Superboard (saco 25kg)</t>
        </is>
      </c>
      <c r="C36" s="5" t="inlineStr">
        <is>
          <t>Saco</t>
        </is>
      </c>
      <c r="D36" s="5" t="n"/>
      <c r="E36" s="17" t="n"/>
      <c r="F36" s="18" t="n"/>
      <c r="G36" s="8">
        <f>IFERROR(IF(AND(E36&lt;&gt;"",F36&lt;&gt;""),ROUND(E36*F36,0),0),0)</f>
        <v/>
      </c>
      <c r="H36" s="19" t="n"/>
      <c r="I36" s="19" t="n"/>
      <c r="J36" s="19" t="n"/>
      <c r="K36" s="19" t="n"/>
    </row>
    <row r="37" ht="15" customHeight="1">
      <c r="A37" s="5" t="n"/>
      <c r="B37" s="6" t="inlineStr">
        <is>
          <t xml:space="preserve">   · Pintura selladora / imprimación</t>
        </is>
      </c>
      <c r="C37" s="5" t="inlineStr">
        <is>
          <t>Galon</t>
        </is>
      </c>
      <c r="D37" s="5" t="n"/>
      <c r="E37" s="17" t="n"/>
      <c r="F37" s="18" t="n"/>
      <c r="G37" s="8">
        <f>IFERROR(IF(AND(E37&lt;&gt;"",F37&lt;&gt;""),ROUND(E37*F37,0),0),0)</f>
        <v/>
      </c>
      <c r="H37" s="19" t="n"/>
      <c r="I37" s="19" t="n"/>
      <c r="J37" s="19" t="n"/>
      <c r="K37" s="19" t="n"/>
    </row>
    <row r="38" ht="18" customHeight="1">
      <c r="A38" s="13" t="inlineStr">
        <is>
          <t>SUP-02</t>
        </is>
      </c>
      <c r="B38" s="14" t="inlineStr">
        <is>
          <t>Superboard 8mm instalado</t>
        </is>
      </c>
      <c r="C38" s="13" t="inlineStr">
        <is>
          <t>M²</t>
        </is>
      </c>
      <c r="D38" s="15" t="n"/>
      <c r="E38" s="15" t="n"/>
      <c r="F38" s="15" t="n"/>
      <c r="G38" s="16">
        <f>IFERROR(SUM(G39:G46),0)</f>
        <v/>
      </c>
      <c r="H38" s="9" t="n"/>
      <c r="I38" s="10">
        <f>IF(OR(G38=0,H38=""),"PD",ROUND(G38+H38,0))</f>
        <v/>
      </c>
      <c r="J38" s="11" t="n">
        <v>0.3</v>
      </c>
      <c r="K38" s="12">
        <f>IF(I38="PD","PD",ROUND(I38*(1+J38),0))</f>
        <v/>
      </c>
    </row>
    <row r="39" ht="15" customHeight="1">
      <c r="A39" s="5" t="n"/>
      <c r="B39" s="6" t="inlineStr">
        <is>
          <t xml:space="preserve">   · Lámina Superboard 8mm (1.22×2.44m)</t>
        </is>
      </c>
      <c r="C39" s="5" t="inlineStr">
        <is>
          <t>Und</t>
        </is>
      </c>
      <c r="D39" s="5" t="n"/>
      <c r="E39" s="17" t="n"/>
      <c r="F39" s="18" t="n"/>
      <c r="G39" s="8">
        <f>IFERROR(IF(AND(E39&lt;&gt;"",F39&lt;&gt;""),ROUND(E39*F39,0),0),0)</f>
        <v/>
      </c>
      <c r="H39" s="19" t="n"/>
      <c r="I39" s="19" t="n"/>
      <c r="J39" s="19" t="n"/>
      <c r="K39" s="19" t="n"/>
    </row>
    <row r="40" ht="15" customHeight="1">
      <c r="A40" s="5" t="n"/>
      <c r="B40" s="6" t="inlineStr">
        <is>
          <t xml:space="preserve">   · Perfil omega / canal 38mm</t>
        </is>
      </c>
      <c r="C40" s="5" t="inlineStr">
        <is>
          <t>ML</t>
        </is>
      </c>
      <c r="D40" s="5" t="n"/>
      <c r="E40" s="17" t="n"/>
      <c r="F40" s="18" t="n"/>
      <c r="G40" s="8">
        <f>IFERROR(IF(AND(E40&lt;&gt;"",F40&lt;&gt;""),ROUND(E40*F40,0),0),0)</f>
        <v/>
      </c>
      <c r="H40" s="19" t="n"/>
      <c r="I40" s="19" t="n"/>
      <c r="J40" s="19" t="n"/>
      <c r="K40" s="19" t="n"/>
    </row>
    <row r="41" ht="15" customHeight="1">
      <c r="A41" s="5" t="n"/>
      <c r="B41" s="6" t="inlineStr">
        <is>
          <t xml:space="preserve">   · Perfil omega / canal 64mm</t>
        </is>
      </c>
      <c r="C41" s="5" t="inlineStr">
        <is>
          <t>ML</t>
        </is>
      </c>
      <c r="D41" s="5" t="n"/>
      <c r="E41" s="17" t="n"/>
      <c r="F41" s="18" t="n"/>
      <c r="G41" s="8">
        <f>IFERROR(IF(AND(E41&lt;&gt;"",F41&lt;&gt;""),ROUND(E41*F41,0),0),0)</f>
        <v/>
      </c>
      <c r="H41" s="19" t="n"/>
      <c r="I41" s="19" t="n"/>
      <c r="J41" s="19" t="n"/>
      <c r="K41" s="19" t="n"/>
    </row>
    <row r="42" ht="15" customHeight="1">
      <c r="A42" s="5" t="n"/>
      <c r="B42" s="6" t="inlineStr">
        <is>
          <t xml:space="preserve">   · Tornillo punta broca 6×1"</t>
        </is>
      </c>
      <c r="C42" s="5" t="inlineStr">
        <is>
          <t>Und</t>
        </is>
      </c>
      <c r="D42" s="5" t="n"/>
      <c r="E42" s="17" t="n"/>
      <c r="F42" s="18" t="n"/>
      <c r="G42" s="8">
        <f>IFERROR(IF(AND(E42&lt;&gt;"",F42&lt;&gt;""),ROUND(E42*F42,0),0),0)</f>
        <v/>
      </c>
      <c r="H42" s="19" t="n"/>
      <c r="I42" s="19" t="n"/>
      <c r="J42" s="19" t="n"/>
      <c r="K42" s="19" t="n"/>
    </row>
    <row r="43" ht="15" customHeight="1">
      <c r="A43" s="5" t="n"/>
      <c r="B43" s="6" t="inlineStr">
        <is>
          <t xml:space="preserve">   · Tornillo punta broca 6×2"</t>
        </is>
      </c>
      <c r="C43" s="5" t="inlineStr">
        <is>
          <t>Und</t>
        </is>
      </c>
      <c r="D43" s="5" t="n"/>
      <c r="E43" s="17" t="n"/>
      <c r="F43" s="18" t="n"/>
      <c r="G43" s="8">
        <f>IFERROR(IF(AND(E43&lt;&gt;"",F43&lt;&gt;""),ROUND(E43*F43,0),0),0)</f>
        <v/>
      </c>
      <c r="H43" s="19" t="n"/>
      <c r="I43" s="19" t="n"/>
      <c r="J43" s="19" t="n"/>
      <c r="K43" s="19" t="n"/>
    </row>
    <row r="44" ht="15" customHeight="1">
      <c r="A44" s="5" t="n"/>
      <c r="B44" s="6" t="inlineStr">
        <is>
          <t xml:space="preserve">   · Cinta de juntas Superboard</t>
        </is>
      </c>
      <c r="C44" s="5" t="inlineStr">
        <is>
          <t>Rollo</t>
        </is>
      </c>
      <c r="D44" s="5" t="n"/>
      <c r="E44" s="17" t="n"/>
      <c r="F44" s="18" t="n"/>
      <c r="G44" s="8">
        <f>IFERROR(IF(AND(E44&lt;&gt;"",F44&lt;&gt;""),ROUND(E44*F44,0),0),0)</f>
        <v/>
      </c>
      <c r="H44" s="19" t="n"/>
      <c r="I44" s="19" t="n"/>
      <c r="J44" s="19" t="n"/>
      <c r="K44" s="19" t="n"/>
    </row>
    <row r="45" ht="15" customHeight="1">
      <c r="A45" s="5" t="n"/>
      <c r="B45" s="6" t="inlineStr">
        <is>
          <t xml:space="preserve">   · Masilla Superboard (saco 25kg)</t>
        </is>
      </c>
      <c r="C45" s="5" t="inlineStr">
        <is>
          <t>Saco</t>
        </is>
      </c>
      <c r="D45" s="5" t="n"/>
      <c r="E45" s="17" t="n"/>
      <c r="F45" s="18" t="n"/>
      <c r="G45" s="8">
        <f>IFERROR(IF(AND(E45&lt;&gt;"",F45&lt;&gt;""),ROUND(E45*F45,0),0),0)</f>
        <v/>
      </c>
      <c r="H45" s="19" t="n"/>
      <c r="I45" s="19" t="n"/>
      <c r="J45" s="19" t="n"/>
      <c r="K45" s="19" t="n"/>
    </row>
    <row r="46" ht="15" customHeight="1">
      <c r="A46" s="5" t="n"/>
      <c r="B46" s="6" t="inlineStr">
        <is>
          <t xml:space="preserve">   · Pintura selladora / imprimación</t>
        </is>
      </c>
      <c r="C46" s="5" t="inlineStr">
        <is>
          <t>Galon</t>
        </is>
      </c>
      <c r="D46" s="5" t="n"/>
      <c r="E46" s="17" t="n"/>
      <c r="F46" s="18" t="n"/>
      <c r="G46" s="8">
        <f>IFERROR(IF(AND(E46&lt;&gt;"",F46&lt;&gt;""),ROUND(E46*F46,0),0),0)</f>
        <v/>
      </c>
      <c r="H46" s="19" t="n"/>
      <c r="I46" s="19" t="n"/>
      <c r="J46" s="19" t="n"/>
      <c r="K46" s="19" t="n"/>
    </row>
    <row r="47" ht="18" customHeight="1">
      <c r="A47" s="13" t="inlineStr">
        <is>
          <t>SUP-03</t>
        </is>
      </c>
      <c r="B47" s="14" t="inlineStr">
        <is>
          <t>Superboard 10mm instalado</t>
        </is>
      </c>
      <c r="C47" s="13" t="inlineStr">
        <is>
          <t>M²</t>
        </is>
      </c>
      <c r="D47" s="15" t="n"/>
      <c r="E47" s="15" t="n"/>
      <c r="F47" s="15" t="n"/>
      <c r="G47" s="16">
        <f>IFERROR(SUM(G48:G55),0)</f>
        <v/>
      </c>
      <c r="H47" s="9" t="n"/>
      <c r="I47" s="10">
        <f>IF(OR(G47=0,H47=""),"PD",ROUND(G47+H47,0))</f>
        <v/>
      </c>
      <c r="J47" s="11" t="n">
        <v>0.3</v>
      </c>
      <c r="K47" s="12">
        <f>IF(I47="PD","PD",ROUND(I47*(1+J47),0))</f>
        <v/>
      </c>
    </row>
    <row r="48" ht="15" customHeight="1">
      <c r="A48" s="5" t="n"/>
      <c r="B48" s="6" t="inlineStr">
        <is>
          <t xml:space="preserve">   · Lámina Superboard 10mm (1.22×2.44m)</t>
        </is>
      </c>
      <c r="C48" s="5" t="inlineStr">
        <is>
          <t>Und</t>
        </is>
      </c>
      <c r="D48" s="5" t="n"/>
      <c r="E48" s="17" t="n"/>
      <c r="F48" s="18" t="n"/>
      <c r="G48" s="8">
        <f>IFERROR(IF(AND(E48&lt;&gt;"",F48&lt;&gt;""),ROUND(E48*F48,0),0),0)</f>
        <v/>
      </c>
      <c r="H48" s="19" t="n"/>
      <c r="I48" s="19" t="n"/>
      <c r="J48" s="19" t="n"/>
      <c r="K48" s="19" t="n"/>
    </row>
    <row r="49" ht="15" customHeight="1">
      <c r="A49" s="5" t="n"/>
      <c r="B49" s="6" t="inlineStr">
        <is>
          <t xml:space="preserve">   · Perfil omega / canal 38mm</t>
        </is>
      </c>
      <c r="C49" s="5" t="inlineStr">
        <is>
          <t>ML</t>
        </is>
      </c>
      <c r="D49" s="5" t="n"/>
      <c r="E49" s="17" t="n"/>
      <c r="F49" s="18" t="n"/>
      <c r="G49" s="8">
        <f>IFERROR(IF(AND(E49&lt;&gt;"",F49&lt;&gt;""),ROUND(E49*F49,0),0),0)</f>
        <v/>
      </c>
      <c r="H49" s="19" t="n"/>
      <c r="I49" s="19" t="n"/>
      <c r="J49" s="19" t="n"/>
      <c r="K49" s="19" t="n"/>
    </row>
    <row r="50" ht="15" customHeight="1">
      <c r="A50" s="5" t="n"/>
      <c r="B50" s="6" t="inlineStr">
        <is>
          <t xml:space="preserve">   · Perfil omega / canal 64mm</t>
        </is>
      </c>
      <c r="C50" s="5" t="inlineStr">
        <is>
          <t>ML</t>
        </is>
      </c>
      <c r="D50" s="5" t="n"/>
      <c r="E50" s="17" t="n"/>
      <c r="F50" s="18" t="n"/>
      <c r="G50" s="8">
        <f>IFERROR(IF(AND(E50&lt;&gt;"",F50&lt;&gt;""),ROUND(E50*F50,0),0),0)</f>
        <v/>
      </c>
      <c r="H50" s="19" t="n"/>
      <c r="I50" s="19" t="n"/>
      <c r="J50" s="19" t="n"/>
      <c r="K50" s="19" t="n"/>
    </row>
    <row r="51" ht="15" customHeight="1">
      <c r="A51" s="5" t="n"/>
      <c r="B51" s="6" t="inlineStr">
        <is>
          <t xml:space="preserve">   · Tornillo punta broca 6×1"</t>
        </is>
      </c>
      <c r="C51" s="5" t="inlineStr">
        <is>
          <t>Und</t>
        </is>
      </c>
      <c r="D51" s="5" t="n"/>
      <c r="E51" s="17" t="n"/>
      <c r="F51" s="18" t="n"/>
      <c r="G51" s="8">
        <f>IFERROR(IF(AND(E51&lt;&gt;"",F51&lt;&gt;""),ROUND(E51*F51,0),0),0)</f>
        <v/>
      </c>
      <c r="H51" s="19" t="n"/>
      <c r="I51" s="19" t="n"/>
      <c r="J51" s="19" t="n"/>
      <c r="K51" s="19" t="n"/>
    </row>
    <row r="52" ht="15" customHeight="1">
      <c r="A52" s="5" t="n"/>
      <c r="B52" s="6" t="inlineStr">
        <is>
          <t xml:space="preserve">   · Tornillo punta broca 6×2"</t>
        </is>
      </c>
      <c r="C52" s="5" t="inlineStr">
        <is>
          <t>Und</t>
        </is>
      </c>
      <c r="D52" s="5" t="n"/>
      <c r="E52" s="17" t="n"/>
      <c r="F52" s="18" t="n"/>
      <c r="G52" s="8">
        <f>IFERROR(IF(AND(E52&lt;&gt;"",F52&lt;&gt;""),ROUND(E52*F52,0),0),0)</f>
        <v/>
      </c>
      <c r="H52" s="19" t="n"/>
      <c r="I52" s="19" t="n"/>
      <c r="J52" s="19" t="n"/>
      <c r="K52" s="19" t="n"/>
    </row>
    <row r="53" ht="15" customHeight="1">
      <c r="A53" s="5" t="n"/>
      <c r="B53" s="6" t="inlineStr">
        <is>
          <t xml:space="preserve">   · Cinta de juntas Superboard</t>
        </is>
      </c>
      <c r="C53" s="5" t="inlineStr">
        <is>
          <t>Rollo</t>
        </is>
      </c>
      <c r="D53" s="5" t="n"/>
      <c r="E53" s="17" t="n"/>
      <c r="F53" s="18" t="n"/>
      <c r="G53" s="8">
        <f>IFERROR(IF(AND(E53&lt;&gt;"",F53&lt;&gt;""),ROUND(E53*F53,0),0),0)</f>
        <v/>
      </c>
      <c r="H53" s="19" t="n"/>
      <c r="I53" s="19" t="n"/>
      <c r="J53" s="19" t="n"/>
      <c r="K53" s="19" t="n"/>
    </row>
    <row r="54" ht="15" customHeight="1">
      <c r="A54" s="5" t="n"/>
      <c r="B54" s="6" t="inlineStr">
        <is>
          <t xml:space="preserve">   · Masilla Superboard (saco 25kg)</t>
        </is>
      </c>
      <c r="C54" s="5" t="inlineStr">
        <is>
          <t>Saco</t>
        </is>
      </c>
      <c r="D54" s="5" t="n"/>
      <c r="E54" s="17" t="n"/>
      <c r="F54" s="18" t="n"/>
      <c r="G54" s="8">
        <f>IFERROR(IF(AND(E54&lt;&gt;"",F54&lt;&gt;""),ROUND(E54*F54,0),0),0)</f>
        <v/>
      </c>
      <c r="H54" s="19" t="n"/>
      <c r="I54" s="19" t="n"/>
      <c r="J54" s="19" t="n"/>
      <c r="K54" s="19" t="n"/>
    </row>
    <row r="55" ht="15" customHeight="1">
      <c r="A55" s="5" t="n"/>
      <c r="B55" s="6" t="inlineStr">
        <is>
          <t xml:space="preserve">   · Pintura selladora / imprimación</t>
        </is>
      </c>
      <c r="C55" s="5" t="inlineStr">
        <is>
          <t>Galon</t>
        </is>
      </c>
      <c r="D55" s="5" t="n"/>
      <c r="E55" s="17" t="n"/>
      <c r="F55" s="18" t="n"/>
      <c r="G55" s="8">
        <f>IFERROR(IF(AND(E55&lt;&gt;"",F55&lt;&gt;""),ROUND(E55*F55,0),0),0)</f>
        <v/>
      </c>
      <c r="H55" s="19" t="n"/>
      <c r="I55" s="19" t="n"/>
      <c r="J55" s="19" t="n"/>
      <c r="K55" s="19" t="n"/>
    </row>
    <row r="56" ht="18" customHeight="1">
      <c r="A56" s="13" t="inlineStr">
        <is>
          <t>SUP-04</t>
        </is>
      </c>
      <c r="B56" s="14" t="inlineStr">
        <is>
          <t>Superboard 12mm instalado</t>
        </is>
      </c>
      <c r="C56" s="13" t="inlineStr">
        <is>
          <t>M²</t>
        </is>
      </c>
      <c r="D56" s="15" t="n"/>
      <c r="E56" s="15" t="n"/>
      <c r="F56" s="15" t="n"/>
      <c r="G56" s="16">
        <f>IFERROR(SUM(G57:G64),0)</f>
        <v/>
      </c>
      <c r="H56" s="9" t="n"/>
      <c r="I56" s="10">
        <f>IF(OR(G56=0,H56=""),"PD",ROUND(G56+H56,0))</f>
        <v/>
      </c>
      <c r="J56" s="11" t="n">
        <v>0.3</v>
      </c>
      <c r="K56" s="12">
        <f>IF(I56="PD","PD",ROUND(I56*(1+J56),0))</f>
        <v/>
      </c>
    </row>
    <row r="57" ht="15" customHeight="1">
      <c r="A57" s="5" t="n"/>
      <c r="B57" s="6" t="inlineStr">
        <is>
          <t xml:space="preserve">   · Lámina Superboard 12mm (1.22×2.44m)</t>
        </is>
      </c>
      <c r="C57" s="5" t="inlineStr">
        <is>
          <t>Und</t>
        </is>
      </c>
      <c r="D57" s="5" t="n"/>
      <c r="E57" s="17" t="n"/>
      <c r="F57" s="18" t="n"/>
      <c r="G57" s="8">
        <f>IFERROR(IF(AND(E57&lt;&gt;"",F57&lt;&gt;""),ROUND(E57*F57,0),0),0)</f>
        <v/>
      </c>
      <c r="H57" s="19" t="n"/>
      <c r="I57" s="19" t="n"/>
      <c r="J57" s="19" t="n"/>
      <c r="K57" s="19" t="n"/>
    </row>
    <row r="58" ht="15" customHeight="1">
      <c r="A58" s="5" t="n"/>
      <c r="B58" s="6" t="inlineStr">
        <is>
          <t xml:space="preserve">   · Perfil omega / canal 38mm</t>
        </is>
      </c>
      <c r="C58" s="5" t="inlineStr">
        <is>
          <t>ML</t>
        </is>
      </c>
      <c r="D58" s="5" t="n"/>
      <c r="E58" s="17" t="n"/>
      <c r="F58" s="18" t="n"/>
      <c r="G58" s="8">
        <f>IFERROR(IF(AND(E58&lt;&gt;"",F58&lt;&gt;""),ROUND(E58*F58,0),0),0)</f>
        <v/>
      </c>
      <c r="H58" s="19" t="n"/>
      <c r="I58" s="19" t="n"/>
      <c r="J58" s="19" t="n"/>
      <c r="K58" s="19" t="n"/>
    </row>
    <row r="59" ht="15" customHeight="1">
      <c r="A59" s="5" t="n"/>
      <c r="B59" s="6" t="inlineStr">
        <is>
          <t xml:space="preserve">   · Perfil omega / canal 64mm</t>
        </is>
      </c>
      <c r="C59" s="5" t="inlineStr">
        <is>
          <t>ML</t>
        </is>
      </c>
      <c r="D59" s="5" t="n"/>
      <c r="E59" s="17" t="n"/>
      <c r="F59" s="18" t="n"/>
      <c r="G59" s="8">
        <f>IFERROR(IF(AND(E59&lt;&gt;"",F59&lt;&gt;""),ROUND(E59*F59,0),0),0)</f>
        <v/>
      </c>
      <c r="H59" s="19" t="n"/>
      <c r="I59" s="19" t="n"/>
      <c r="J59" s="19" t="n"/>
      <c r="K59" s="19" t="n"/>
    </row>
    <row r="60" ht="15" customHeight="1">
      <c r="A60" s="5" t="n"/>
      <c r="B60" s="6" t="inlineStr">
        <is>
          <t xml:space="preserve">   · Tornillo punta broca 6×1"</t>
        </is>
      </c>
      <c r="C60" s="5" t="inlineStr">
        <is>
          <t>Und</t>
        </is>
      </c>
      <c r="D60" s="5" t="n"/>
      <c r="E60" s="17" t="n"/>
      <c r="F60" s="18" t="n"/>
      <c r="G60" s="8">
        <f>IFERROR(IF(AND(E60&lt;&gt;"",F60&lt;&gt;""),ROUND(E60*F60,0),0),0)</f>
        <v/>
      </c>
      <c r="H60" s="19" t="n"/>
      <c r="I60" s="19" t="n"/>
      <c r="J60" s="19" t="n"/>
      <c r="K60" s="19" t="n"/>
    </row>
    <row r="61" ht="15" customHeight="1">
      <c r="A61" s="5" t="n"/>
      <c r="B61" s="6" t="inlineStr">
        <is>
          <t xml:space="preserve">   · Tornillo punta broca 6×2"</t>
        </is>
      </c>
      <c r="C61" s="5" t="inlineStr">
        <is>
          <t>Und</t>
        </is>
      </c>
      <c r="D61" s="5" t="n"/>
      <c r="E61" s="17" t="n"/>
      <c r="F61" s="18" t="n"/>
      <c r="G61" s="8">
        <f>IFERROR(IF(AND(E61&lt;&gt;"",F61&lt;&gt;""),ROUND(E61*F61,0),0),0)</f>
        <v/>
      </c>
      <c r="H61" s="19" t="n"/>
      <c r="I61" s="19" t="n"/>
      <c r="J61" s="19" t="n"/>
      <c r="K61" s="19" t="n"/>
    </row>
    <row r="62" ht="15" customHeight="1">
      <c r="A62" s="5" t="n"/>
      <c r="B62" s="6" t="inlineStr">
        <is>
          <t xml:space="preserve">   · Cinta de juntas Superboard</t>
        </is>
      </c>
      <c r="C62" s="5" t="inlineStr">
        <is>
          <t>Rollo</t>
        </is>
      </c>
      <c r="D62" s="5" t="n"/>
      <c r="E62" s="17" t="n"/>
      <c r="F62" s="18" t="n"/>
      <c r="G62" s="8">
        <f>IFERROR(IF(AND(E62&lt;&gt;"",F62&lt;&gt;""),ROUND(E62*F62,0),0),0)</f>
        <v/>
      </c>
      <c r="H62" s="19" t="n"/>
      <c r="I62" s="19" t="n"/>
      <c r="J62" s="19" t="n"/>
      <c r="K62" s="19" t="n"/>
    </row>
    <row r="63" ht="15" customHeight="1">
      <c r="A63" s="5" t="n"/>
      <c r="B63" s="6" t="inlineStr">
        <is>
          <t xml:space="preserve">   · Masilla Superboard (saco 25kg)</t>
        </is>
      </c>
      <c r="C63" s="5" t="inlineStr">
        <is>
          <t>Saco</t>
        </is>
      </c>
      <c r="D63" s="5" t="n"/>
      <c r="E63" s="17" t="n"/>
      <c r="F63" s="18" t="n"/>
      <c r="G63" s="8">
        <f>IFERROR(IF(AND(E63&lt;&gt;"",F63&lt;&gt;""),ROUND(E63*F63,0),0),0)</f>
        <v/>
      </c>
      <c r="H63" s="19" t="n"/>
      <c r="I63" s="19" t="n"/>
      <c r="J63" s="19" t="n"/>
      <c r="K63" s="19" t="n"/>
    </row>
    <row r="64" ht="15" customHeight="1">
      <c r="A64" s="5" t="n"/>
      <c r="B64" s="6" t="inlineStr">
        <is>
          <t xml:space="preserve">   · Pintura selladora / imprimación</t>
        </is>
      </c>
      <c r="C64" s="5" t="inlineStr">
        <is>
          <t>Galon</t>
        </is>
      </c>
      <c r="D64" s="5" t="n"/>
      <c r="E64" s="17" t="n"/>
      <c r="F64" s="18" t="n"/>
      <c r="G64" s="8">
        <f>IFERROR(IF(AND(E64&lt;&gt;"",F64&lt;&gt;""),ROUND(E64*F64,0),0),0)</f>
        <v/>
      </c>
      <c r="H64" s="19" t="n"/>
      <c r="I64" s="19" t="n"/>
      <c r="J64" s="19" t="n"/>
      <c r="K64" s="19" t="n"/>
    </row>
    <row r="65" ht="18" customHeight="1">
      <c r="A65" s="13" t="inlineStr">
        <is>
          <t>SUP-05</t>
        </is>
      </c>
      <c r="B65" s="14" t="inlineStr">
        <is>
          <t>Superboard 6mm + viniltex interiores (combo)</t>
        </is>
      </c>
      <c r="C65" s="13" t="inlineStr">
        <is>
          <t>M²</t>
        </is>
      </c>
      <c r="D65" s="15" t="n"/>
      <c r="E65" s="15" t="n"/>
      <c r="F65" s="15" t="n"/>
      <c r="G65" s="16">
        <f>IFERROR(SUM(G66:G75),0)</f>
        <v/>
      </c>
      <c r="H65" s="9" t="n"/>
      <c r="I65" s="10">
        <f>IF(OR(G65=0,H65=""),"PD",ROUND(G65+H65,0))</f>
        <v/>
      </c>
      <c r="J65" s="11" t="n">
        <v>0.3</v>
      </c>
      <c r="K65" s="12">
        <f>IF(I65="PD","PD",ROUND(I65*(1+J65),0))</f>
        <v/>
      </c>
    </row>
    <row r="66" ht="15" customHeight="1">
      <c r="A66" s="5" t="n"/>
      <c r="B66" s="6" t="inlineStr">
        <is>
          <t xml:space="preserve">   · Lámina Superboard 6mm (1.22×2.44m)</t>
        </is>
      </c>
      <c r="C66" s="5" t="inlineStr">
        <is>
          <t>Und</t>
        </is>
      </c>
      <c r="D66" s="5" t="n"/>
      <c r="E66" s="17" t="n"/>
      <c r="F66" s="18" t="n"/>
      <c r="G66" s="8">
        <f>IFERROR(IF(AND(E66&lt;&gt;"",F66&lt;&gt;""),ROUND(E66*F66,0),0),0)</f>
        <v/>
      </c>
      <c r="H66" s="19" t="n"/>
      <c r="I66" s="19" t="n"/>
      <c r="J66" s="19" t="n"/>
      <c r="K66" s="19" t="n"/>
    </row>
    <row r="67" ht="15" customHeight="1">
      <c r="A67" s="5" t="n"/>
      <c r="B67" s="6" t="inlineStr">
        <is>
          <t xml:space="preserve">   · Perfil omega / canal 38mm</t>
        </is>
      </c>
      <c r="C67" s="5" t="inlineStr">
        <is>
          <t>ML</t>
        </is>
      </c>
      <c r="D67" s="5" t="n"/>
      <c r="E67" s="17" t="n"/>
      <c r="F67" s="18" t="n"/>
      <c r="G67" s="8">
        <f>IFERROR(IF(AND(E67&lt;&gt;"",F67&lt;&gt;""),ROUND(E67*F67,0),0),0)</f>
        <v/>
      </c>
      <c r="H67" s="19" t="n"/>
      <c r="I67" s="19" t="n"/>
      <c r="J67" s="19" t="n"/>
      <c r="K67" s="19" t="n"/>
    </row>
    <row r="68" ht="15" customHeight="1">
      <c r="A68" s="5" t="n"/>
      <c r="B68" s="6" t="inlineStr">
        <is>
          <t xml:space="preserve">   · Perfil omega / canal 64mm</t>
        </is>
      </c>
      <c r="C68" s="5" t="inlineStr">
        <is>
          <t>ML</t>
        </is>
      </c>
      <c r="D68" s="5" t="n"/>
      <c r="E68" s="17" t="n"/>
      <c r="F68" s="18" t="n"/>
      <c r="G68" s="8">
        <f>IFERROR(IF(AND(E68&lt;&gt;"",F68&lt;&gt;""),ROUND(E68*F68,0),0),0)</f>
        <v/>
      </c>
      <c r="H68" s="19" t="n"/>
      <c r="I68" s="19" t="n"/>
      <c r="J68" s="19" t="n"/>
      <c r="K68" s="19" t="n"/>
    </row>
    <row r="69" ht="15" customHeight="1">
      <c r="A69" s="5" t="n"/>
      <c r="B69" s="6" t="inlineStr">
        <is>
          <t xml:space="preserve">   · Tornillo punta broca 6×1"</t>
        </is>
      </c>
      <c r="C69" s="5" t="inlineStr">
        <is>
          <t>Und</t>
        </is>
      </c>
      <c r="D69" s="5" t="n"/>
      <c r="E69" s="17" t="n"/>
      <c r="F69" s="18" t="n"/>
      <c r="G69" s="8">
        <f>IFERROR(IF(AND(E69&lt;&gt;"",F69&lt;&gt;""),ROUND(E69*F69,0),0),0)</f>
        <v/>
      </c>
      <c r="H69" s="19" t="n"/>
      <c r="I69" s="19" t="n"/>
      <c r="J69" s="19" t="n"/>
      <c r="K69" s="19" t="n"/>
    </row>
    <row r="70" ht="15" customHeight="1">
      <c r="A70" s="5" t="n"/>
      <c r="B70" s="6" t="inlineStr">
        <is>
          <t xml:space="preserve">   · Tornillo punta broca 6×2"</t>
        </is>
      </c>
      <c r="C70" s="5" t="inlineStr">
        <is>
          <t>Und</t>
        </is>
      </c>
      <c r="D70" s="5" t="n"/>
      <c r="E70" s="17" t="n"/>
      <c r="F70" s="18" t="n"/>
      <c r="G70" s="8">
        <f>IFERROR(IF(AND(E70&lt;&gt;"",F70&lt;&gt;""),ROUND(E70*F70,0),0),0)</f>
        <v/>
      </c>
      <c r="H70" s="19" t="n"/>
      <c r="I70" s="19" t="n"/>
      <c r="J70" s="19" t="n"/>
      <c r="K70" s="19" t="n"/>
    </row>
    <row r="71" ht="15" customHeight="1">
      <c r="A71" s="5" t="n"/>
      <c r="B71" s="6" t="inlineStr">
        <is>
          <t xml:space="preserve">   · Cinta de juntas Superboard</t>
        </is>
      </c>
      <c r="C71" s="5" t="inlineStr">
        <is>
          <t>Rollo</t>
        </is>
      </c>
      <c r="D71" s="5" t="n"/>
      <c r="E71" s="17" t="n"/>
      <c r="F71" s="18" t="n"/>
      <c r="G71" s="8">
        <f>IFERROR(IF(AND(E71&lt;&gt;"",F71&lt;&gt;""),ROUND(E71*F71,0),0),0)</f>
        <v/>
      </c>
      <c r="H71" s="19" t="n"/>
      <c r="I71" s="19" t="n"/>
      <c r="J71" s="19" t="n"/>
      <c r="K71" s="19" t="n"/>
    </row>
    <row r="72" ht="15" customHeight="1">
      <c r="A72" s="5" t="n"/>
      <c r="B72" s="6" t="inlineStr">
        <is>
          <t xml:space="preserve">   · Masilla Superboard (saco 25kg)</t>
        </is>
      </c>
      <c r="C72" s="5" t="inlineStr">
        <is>
          <t>Saco</t>
        </is>
      </c>
      <c r="D72" s="5" t="n"/>
      <c r="E72" s="17" t="n"/>
      <c r="F72" s="18" t="n"/>
      <c r="G72" s="8">
        <f>IFERROR(IF(AND(E72&lt;&gt;"",F72&lt;&gt;""),ROUND(E72*F72,0),0),0)</f>
        <v/>
      </c>
      <c r="H72" s="19" t="n"/>
      <c r="I72" s="19" t="n"/>
      <c r="J72" s="19" t="n"/>
      <c r="K72" s="19" t="n"/>
    </row>
    <row r="73" ht="15" customHeight="1">
      <c r="A73" s="5" t="n"/>
      <c r="B73" s="6" t="inlineStr">
        <is>
          <t xml:space="preserve">   · Pintura selladora / imprimación</t>
        </is>
      </c>
      <c r="C73" s="5" t="inlineStr">
        <is>
          <t>Galon</t>
        </is>
      </c>
      <c r="D73" s="5" t="n"/>
      <c r="E73" s="17" t="n"/>
      <c r="F73" s="18" t="n"/>
      <c r="G73" s="8">
        <f>IFERROR(IF(AND(E73&lt;&gt;"",F73&lt;&gt;""),ROUND(E73*F73,0),0),0)</f>
        <v/>
      </c>
      <c r="H73" s="19" t="n"/>
      <c r="I73" s="19" t="n"/>
      <c r="J73" s="19" t="n"/>
      <c r="K73" s="19" t="n"/>
    </row>
    <row r="74" ht="15" customHeight="1">
      <c r="A74" s="5" t="n"/>
      <c r="B74" s="6" t="inlineStr">
        <is>
          <t xml:space="preserve">   · Viniltex Pintuco (cuñete 5 gal)</t>
        </is>
      </c>
      <c r="C74" s="5" t="inlineStr">
        <is>
          <t>Und</t>
        </is>
      </c>
      <c r="D74" s="5" t="n"/>
      <c r="E74" s="17" t="n"/>
      <c r="F74" s="18" t="n"/>
      <c r="G74" s="8">
        <f>IFERROR(IF(AND(E74&lt;&gt;"",F74&lt;&gt;""),ROUND(E74*F74,0),0),0)</f>
        <v/>
      </c>
      <c r="H74" s="19" t="n"/>
      <c r="I74" s="19" t="n"/>
      <c r="J74" s="19" t="n"/>
      <c r="K74" s="19" t="n"/>
    </row>
    <row r="75" ht="15" customHeight="1">
      <c r="A75" s="5" t="n"/>
      <c r="B75" s="6" t="inlineStr">
        <is>
          <t xml:space="preserve">   · Lija lámina grano 80-120</t>
        </is>
      </c>
      <c r="C75" s="5" t="inlineStr">
        <is>
          <t>Und</t>
        </is>
      </c>
      <c r="D75" s="5" t="n"/>
      <c r="E75" s="17" t="n"/>
      <c r="F75" s="18" t="n"/>
      <c r="G75" s="8">
        <f>IFERROR(IF(AND(E75&lt;&gt;"",F75&lt;&gt;""),ROUND(E75*F75,0),0),0)</f>
        <v/>
      </c>
      <c r="H75" s="19" t="n"/>
      <c r="I75" s="19" t="n"/>
      <c r="J75" s="19" t="n"/>
      <c r="K75" s="19" t="n"/>
    </row>
    <row r="76" ht="16" customHeight="1">
      <c r="A76" s="4" t="inlineStr">
        <is>
          <t>8. CUBIERTAS E IMPERMEABILIZACIÓN</t>
        </is>
      </c>
    </row>
    <row r="77" ht="18" customHeight="1">
      <c r="A77" s="13" t="inlineStr">
        <is>
          <t>CUB-01</t>
        </is>
      </c>
      <c r="B77" s="14" t="inlineStr">
        <is>
          <t>Impermeabilización cubierta plana (manto asfáltico)</t>
        </is>
      </c>
      <c r="C77" s="13" t="inlineStr">
        <is>
          <t>M²</t>
        </is>
      </c>
      <c r="D77" s="15" t="n"/>
      <c r="E77" s="15" t="n"/>
      <c r="F77" s="15" t="n"/>
      <c r="G77" s="16">
        <f>IFERROR(SUM(G78:G82),0)</f>
        <v/>
      </c>
      <c r="H77" s="9" t="n"/>
      <c r="I77" s="10">
        <f>IF(OR(G77=0,H77=""),"PD",ROUND(G77+H77,0))</f>
        <v/>
      </c>
      <c r="J77" s="11" t="n">
        <v>0.3</v>
      </c>
      <c r="K77" s="12">
        <f>IF(I77="PD","PD",ROUND(I77*(1+J77),0))</f>
        <v/>
      </c>
    </row>
    <row r="78" ht="15" customHeight="1">
      <c r="A78" s="5" t="n"/>
      <c r="B78" s="6" t="inlineStr">
        <is>
          <t xml:space="preserve">   · Manto asfáltico tipo 3 (rollo ~10m²)</t>
        </is>
      </c>
      <c r="C78" s="5" t="inlineStr">
        <is>
          <t>Rollo</t>
        </is>
      </c>
      <c r="D78" s="5" t="n"/>
      <c r="E78" s="17" t="n"/>
      <c r="F78" s="18" t="n"/>
      <c r="G78" s="8">
        <f>IFERROR(IF(AND(E78&lt;&gt;"",F78&lt;&gt;""),ROUND(E78*F78,0),0),0)</f>
        <v/>
      </c>
      <c r="H78" s="19" t="n"/>
      <c r="I78" s="19" t="n"/>
      <c r="J78" s="19" t="n"/>
      <c r="K78" s="19" t="n"/>
    </row>
    <row r="79" ht="15" customHeight="1">
      <c r="A79" s="5" t="n"/>
      <c r="B79" s="6" t="inlineStr">
        <is>
          <t xml:space="preserve">   · Imper-primer asfáltico</t>
        </is>
      </c>
      <c r="C79" s="5" t="inlineStr">
        <is>
          <t>Galon</t>
        </is>
      </c>
      <c r="D79" s="5" t="n"/>
      <c r="E79" s="17" t="n"/>
      <c r="F79" s="18" t="n"/>
      <c r="G79" s="8">
        <f>IFERROR(IF(AND(E79&lt;&gt;"",F79&lt;&gt;""),ROUND(E79*F79,0),0),0)</f>
        <v/>
      </c>
      <c r="H79" s="19" t="n"/>
      <c r="I79" s="19" t="n"/>
      <c r="J79" s="19" t="n"/>
      <c r="K79" s="19" t="n"/>
    </row>
    <row r="80" ht="15" customHeight="1">
      <c r="A80" s="5" t="n"/>
      <c r="B80" s="6" t="inlineStr">
        <is>
          <t xml:space="preserve">   · Manto de refuerzo Sika Felp / tela no tejida</t>
        </is>
      </c>
      <c r="C80" s="5" t="inlineStr">
        <is>
          <t>M²</t>
        </is>
      </c>
      <c r="D80" s="5" t="n"/>
      <c r="E80" s="17" t="n"/>
      <c r="F80" s="18" t="n"/>
      <c r="G80" s="8">
        <f>IFERROR(IF(AND(E80&lt;&gt;"",F80&lt;&gt;""),ROUND(E80*F80,0),0),0)</f>
        <v/>
      </c>
      <c r="H80" s="19" t="n"/>
      <c r="I80" s="19" t="n"/>
      <c r="J80" s="19" t="n"/>
      <c r="K80" s="19" t="n"/>
    </row>
    <row r="81" ht="15" customHeight="1">
      <c r="A81" s="5" t="n"/>
      <c r="B81" s="6" t="inlineStr">
        <is>
          <t xml:space="preserve">   · Tornillo fijación mecánica + arandela</t>
        </is>
      </c>
      <c r="C81" s="5" t="inlineStr">
        <is>
          <t>Und</t>
        </is>
      </c>
      <c r="D81" s="5" t="n"/>
      <c r="E81" s="17" t="n"/>
      <c r="F81" s="18" t="n"/>
      <c r="G81" s="8">
        <f>IFERROR(IF(AND(E81&lt;&gt;"",F81&lt;&gt;""),ROUND(E81*F81,0),0),0)</f>
        <v/>
      </c>
      <c r="H81" s="19" t="n"/>
      <c r="I81" s="19" t="n"/>
      <c r="J81" s="19" t="n"/>
      <c r="K81" s="19" t="n"/>
    </row>
    <row r="82" ht="15" customHeight="1">
      <c r="A82" s="5" t="n"/>
      <c r="B82" s="6" t="inlineStr">
        <is>
          <t xml:space="preserve">   · Sellador perimetral poliuretano</t>
        </is>
      </c>
      <c r="C82" s="5" t="inlineStr">
        <is>
          <t>ML</t>
        </is>
      </c>
      <c r="D82" s="5" t="n"/>
      <c r="E82" s="17" t="n"/>
      <c r="F82" s="18" t="n"/>
      <c r="G82" s="8">
        <f>IFERROR(IF(AND(E82&lt;&gt;"",F82&lt;&gt;""),ROUND(E82*F82,0),0),0)</f>
        <v/>
      </c>
      <c r="H82" s="19" t="n"/>
      <c r="I82" s="19" t="n"/>
      <c r="J82" s="19" t="n"/>
      <c r="K82" s="19" t="n"/>
    </row>
    <row r="83" ht="18" customHeight="1">
      <c r="A83" s="13" t="inlineStr">
        <is>
          <t>CUB-02</t>
        </is>
      </c>
      <c r="B83" s="14" t="inlineStr">
        <is>
          <t>Impermeabilización membrana líquida</t>
        </is>
      </c>
      <c r="C83" s="13" t="inlineStr">
        <is>
          <t>M²</t>
        </is>
      </c>
      <c r="D83" s="15" t="n"/>
      <c r="E83" s="15" t="n"/>
      <c r="F83" s="15" t="n"/>
      <c r="G83" s="16">
        <f>IFERROR(SUM(G84:G86),0)</f>
        <v/>
      </c>
      <c r="H83" s="9" t="n"/>
      <c r="I83" s="10">
        <f>IF(OR(G83=0,H83=""),"PD",ROUND(G83+H83,0))</f>
        <v/>
      </c>
      <c r="J83" s="11" t="n">
        <v>0.3</v>
      </c>
      <c r="K83" s="12">
        <f>IF(I83="PD","PD",ROUND(I83*(1+J83),0))</f>
        <v/>
      </c>
    </row>
    <row r="84" ht="15" customHeight="1">
      <c r="A84" s="5" t="n"/>
      <c r="B84" s="6" t="inlineStr">
        <is>
          <t xml:space="preserve">   · Membrana líquida impermeabilizante (Sikalastic / similar)</t>
        </is>
      </c>
      <c r="C84" s="5" t="inlineStr">
        <is>
          <t>Galon</t>
        </is>
      </c>
      <c r="D84" s="5" t="n"/>
      <c r="E84" s="17" t="n"/>
      <c r="F84" s="18" t="n"/>
      <c r="G84" s="8">
        <f>IFERROR(IF(AND(E84&lt;&gt;"",F84&lt;&gt;""),ROUND(E84*F84,0),0),0)</f>
        <v/>
      </c>
      <c r="H84" s="19" t="n"/>
      <c r="I84" s="19" t="n"/>
      <c r="J84" s="19" t="n"/>
      <c r="K84" s="19" t="n"/>
    </row>
    <row r="85" ht="15" customHeight="1">
      <c r="A85" s="5" t="n"/>
      <c r="B85" s="6" t="inlineStr">
        <is>
          <t xml:space="preserve">   · Malla de refuerzo fibra de vidrio</t>
        </is>
      </c>
      <c r="C85" s="5" t="inlineStr">
        <is>
          <t>M²</t>
        </is>
      </c>
      <c r="D85" s="5" t="n"/>
      <c r="E85" s="17" t="n"/>
      <c r="F85" s="18" t="n"/>
      <c r="G85" s="8">
        <f>IFERROR(IF(AND(E85&lt;&gt;"",F85&lt;&gt;""),ROUND(E85*F85,0),0),0)</f>
        <v/>
      </c>
      <c r="H85" s="19" t="n"/>
      <c r="I85" s="19" t="n"/>
      <c r="J85" s="19" t="n"/>
      <c r="K85" s="19" t="n"/>
    </row>
    <row r="86" ht="15" customHeight="1">
      <c r="A86" s="5" t="n"/>
      <c r="B86" s="6" t="inlineStr">
        <is>
          <t xml:space="preserve">   · Imprimante base / promotor de adherencia</t>
        </is>
      </c>
      <c r="C86" s="5" t="inlineStr">
        <is>
          <t>Galon</t>
        </is>
      </c>
      <c r="D86" s="5" t="n"/>
      <c r="E86" s="17" t="n"/>
      <c r="F86" s="18" t="n"/>
      <c r="G86" s="8">
        <f>IFERROR(IF(AND(E86&lt;&gt;"",F86&lt;&gt;""),ROUND(E86*F86,0),0),0)</f>
        <v/>
      </c>
      <c r="H86" s="19" t="n"/>
      <c r="I86" s="19" t="n"/>
      <c r="J86" s="19" t="n"/>
      <c r="K86" s="19" t="n"/>
    </row>
    <row r="87" ht="18" customHeight="1">
      <c r="A87" s="13" t="inlineStr">
        <is>
          <t>CUB-03</t>
        </is>
      </c>
      <c r="B87" s="14" t="inlineStr">
        <is>
          <t>Teja ondulada fibrocemento — suministro e instalación</t>
        </is>
      </c>
      <c r="C87" s="13" t="inlineStr">
        <is>
          <t>M²</t>
        </is>
      </c>
      <c r="D87" s="15" t="n"/>
      <c r="E87" s="15" t="n"/>
      <c r="F87" s="15" t="n"/>
      <c r="G87" s="16">
        <f>IFERROR(SUM(G88:G92),0)</f>
        <v/>
      </c>
      <c r="H87" s="9" t="n"/>
      <c r="I87" s="10">
        <f>IF(OR(G87=0,H87=""),"PD",ROUND(G87+H87,0))</f>
        <v/>
      </c>
      <c r="J87" s="11" t="n">
        <v>0.3</v>
      </c>
      <c r="K87" s="12">
        <f>IF(I87="PD","PD",ROUND(I87*(1+J87),0))</f>
        <v/>
      </c>
    </row>
    <row r="88" ht="15" customHeight="1">
      <c r="A88" s="5" t="n"/>
      <c r="B88" s="6" t="inlineStr">
        <is>
          <t xml:space="preserve">   · Teja ondulada fibrocemento</t>
        </is>
      </c>
      <c r="C88" s="5" t="inlineStr">
        <is>
          <t>Und</t>
        </is>
      </c>
      <c r="D88" s="5" t="n"/>
      <c r="E88" s="17" t="n"/>
      <c r="F88" s="18" t="n"/>
      <c r="G88" s="8">
        <f>IFERROR(IF(AND(E88&lt;&gt;"",F88&lt;&gt;""),ROUND(E88*F88,0),0),0)</f>
        <v/>
      </c>
      <c r="H88" s="19" t="n"/>
      <c r="I88" s="19" t="n"/>
      <c r="J88" s="19" t="n"/>
      <c r="K88" s="19" t="n"/>
    </row>
    <row r="89" ht="15" customHeight="1">
      <c r="A89" s="5" t="n"/>
      <c r="B89" s="6" t="inlineStr">
        <is>
          <t xml:space="preserve">   · Tornillo autoperforante teja (con arandela neopreno)</t>
        </is>
      </c>
      <c r="C89" s="5" t="inlineStr">
        <is>
          <t>Und</t>
        </is>
      </c>
      <c r="D89" s="5" t="n"/>
      <c r="E89" s="17" t="n"/>
      <c r="F89" s="18" t="n"/>
      <c r="G89" s="8">
        <f>IFERROR(IF(AND(E89&lt;&gt;"",F89&lt;&gt;""),ROUND(E89*F89,0),0),0)</f>
        <v/>
      </c>
      <c r="H89" s="19" t="n"/>
      <c r="I89" s="19" t="n"/>
      <c r="J89" s="19" t="n"/>
      <c r="K89" s="19" t="n"/>
    </row>
    <row r="90" ht="15" customHeight="1">
      <c r="A90" s="5" t="n"/>
      <c r="B90" s="6" t="inlineStr">
        <is>
          <t xml:space="preserve">   · Perfil caballete fibrocemento</t>
        </is>
      </c>
      <c r="C90" s="5" t="inlineStr">
        <is>
          <t>ML</t>
        </is>
      </c>
      <c r="D90" s="5" t="n"/>
      <c r="E90" s="17" t="n"/>
      <c r="F90" s="18" t="n"/>
      <c r="G90" s="8">
        <f>IFERROR(IF(AND(E90&lt;&gt;"",F90&lt;&gt;""),ROUND(E90*F90,0),0),0)</f>
        <v/>
      </c>
      <c r="H90" s="19" t="n"/>
      <c r="I90" s="19" t="n"/>
      <c r="J90" s="19" t="n"/>
      <c r="K90" s="19" t="n"/>
    </row>
    <row r="91" ht="15" customHeight="1">
      <c r="A91" s="5" t="n"/>
      <c r="B91" s="6" t="inlineStr">
        <is>
          <t xml:space="preserve">   · Sello / espuma sellante bajo teja</t>
        </is>
      </c>
      <c r="C91" s="5" t="inlineStr">
        <is>
          <t>ML</t>
        </is>
      </c>
      <c r="D91" s="5" t="n"/>
      <c r="E91" s="17" t="n"/>
      <c r="F91" s="18" t="n"/>
      <c r="G91" s="8">
        <f>IFERROR(IF(AND(E91&lt;&gt;"",F91&lt;&gt;""),ROUND(E91*F91,0),0),0)</f>
        <v/>
      </c>
      <c r="H91" s="19" t="n"/>
      <c r="I91" s="19" t="n"/>
      <c r="J91" s="19" t="n"/>
      <c r="K91" s="19" t="n"/>
    </row>
    <row r="92" ht="15" customHeight="1">
      <c r="A92" s="5" t="n"/>
      <c r="B92" s="6" t="inlineStr">
        <is>
          <t xml:space="preserve">   · Correa metálica o madera (estructura soporte)</t>
        </is>
      </c>
      <c r="C92" s="5" t="inlineStr">
        <is>
          <t>ML</t>
        </is>
      </c>
      <c r="D92" s="5" t="n"/>
      <c r="E92" s="17" t="n"/>
      <c r="F92" s="18" t="n"/>
      <c r="G92" s="8">
        <f>IFERROR(IF(AND(E92&lt;&gt;"",F92&lt;&gt;""),ROUND(E92*F92,0),0),0)</f>
        <v/>
      </c>
      <c r="H92" s="19" t="n"/>
      <c r="I92" s="19" t="n"/>
      <c r="J92" s="19" t="n"/>
      <c r="K92" s="19" t="n"/>
    </row>
    <row r="93" ht="18" customHeight="1">
      <c r="A93" s="13" t="inlineStr">
        <is>
          <t>CUB-04</t>
        </is>
      </c>
      <c r="B93" s="14" t="inlineStr">
        <is>
          <t>Teja termoacústica — suministro e instalación</t>
        </is>
      </c>
      <c r="C93" s="13" t="inlineStr">
        <is>
          <t>M²</t>
        </is>
      </c>
      <c r="D93" s="15" t="n"/>
      <c r="E93" s="15" t="n"/>
      <c r="F93" s="15" t="n"/>
      <c r="G93" s="16">
        <f>IFERROR(SUM(G94:G98),0)</f>
        <v/>
      </c>
      <c r="H93" s="9" t="n"/>
      <c r="I93" s="10">
        <f>IF(OR(G93=0,H93=""),"PD",ROUND(G93+H93,0))</f>
        <v/>
      </c>
      <c r="J93" s="11" t="n">
        <v>0.3</v>
      </c>
      <c r="K93" s="12">
        <f>IF(I93="PD","PD",ROUND(I93*(1+J93),0))</f>
        <v/>
      </c>
    </row>
    <row r="94" ht="15" customHeight="1">
      <c r="A94" s="5" t="n"/>
      <c r="B94" s="6" t="inlineStr">
        <is>
          <t xml:space="preserve">   · Teja termoacústica (panel sándwich)</t>
        </is>
      </c>
      <c r="C94" s="5" t="inlineStr">
        <is>
          <t>Und</t>
        </is>
      </c>
      <c r="D94" s="5" t="n"/>
      <c r="E94" s="17" t="n"/>
      <c r="F94" s="18" t="n"/>
      <c r="G94" s="8">
        <f>IFERROR(IF(AND(E94&lt;&gt;"",F94&lt;&gt;""),ROUND(E94*F94,0),0),0)</f>
        <v/>
      </c>
      <c r="H94" s="19" t="n"/>
      <c r="I94" s="19" t="n"/>
      <c r="J94" s="19" t="n"/>
      <c r="K94" s="19" t="n"/>
    </row>
    <row r="95" ht="15" customHeight="1">
      <c r="A95" s="5" t="n"/>
      <c r="B95" s="6" t="inlineStr">
        <is>
          <t xml:space="preserve">   · Tornillo autoperforante teja (con arandela neopreno)</t>
        </is>
      </c>
      <c r="C95" s="5" t="inlineStr">
        <is>
          <t>Und</t>
        </is>
      </c>
      <c r="D95" s="5" t="n"/>
      <c r="E95" s="17" t="n"/>
      <c r="F95" s="18" t="n"/>
      <c r="G95" s="8">
        <f>IFERROR(IF(AND(E95&lt;&gt;"",F95&lt;&gt;""),ROUND(E95*F95,0),0),0)</f>
        <v/>
      </c>
      <c r="H95" s="19" t="n"/>
      <c r="I95" s="19" t="n"/>
      <c r="J95" s="19" t="n"/>
      <c r="K95" s="19" t="n"/>
    </row>
    <row r="96" ht="15" customHeight="1">
      <c r="A96" s="5" t="n"/>
      <c r="B96" s="6" t="inlineStr">
        <is>
          <t xml:space="preserve">   · Perfil caballete termoacústico</t>
        </is>
      </c>
      <c r="C96" s="5" t="inlineStr">
        <is>
          <t>ML</t>
        </is>
      </c>
      <c r="D96" s="5" t="n"/>
      <c r="E96" s="17" t="n"/>
      <c r="F96" s="18" t="n"/>
      <c r="G96" s="8">
        <f>IFERROR(IF(AND(E96&lt;&gt;"",F96&lt;&gt;""),ROUND(E96*F96,0),0),0)</f>
        <v/>
      </c>
      <c r="H96" s="19" t="n"/>
      <c r="I96" s="19" t="n"/>
      <c r="J96" s="19" t="n"/>
      <c r="K96" s="19" t="n"/>
    </row>
    <row r="97" ht="15" customHeight="1">
      <c r="A97" s="5" t="n"/>
      <c r="B97" s="6" t="inlineStr">
        <is>
          <t xml:space="preserve">   · Sello butílico perimetral</t>
        </is>
      </c>
      <c r="C97" s="5" t="inlineStr">
        <is>
          <t>ML</t>
        </is>
      </c>
      <c r="D97" s="5" t="n"/>
      <c r="E97" s="17" t="n"/>
      <c r="F97" s="18" t="n"/>
      <c r="G97" s="8">
        <f>IFERROR(IF(AND(E97&lt;&gt;"",F97&lt;&gt;""),ROUND(E97*F97,0),0),0)</f>
        <v/>
      </c>
      <c r="H97" s="19" t="n"/>
      <c r="I97" s="19" t="n"/>
      <c r="J97" s="19" t="n"/>
      <c r="K97" s="19" t="n"/>
    </row>
    <row r="98" ht="15" customHeight="1">
      <c r="A98" s="5" t="n"/>
      <c r="B98" s="6" t="inlineStr">
        <is>
          <t xml:space="preserve">   · Correa metálica de soporte</t>
        </is>
      </c>
      <c r="C98" s="5" t="inlineStr">
        <is>
          <t>ML</t>
        </is>
      </c>
      <c r="D98" s="5" t="n"/>
      <c r="E98" s="17" t="n"/>
      <c r="F98" s="18" t="n"/>
      <c r="G98" s="8">
        <f>IFERROR(IF(AND(E98&lt;&gt;"",F98&lt;&gt;""),ROUND(E98*F98,0),0),0)</f>
        <v/>
      </c>
      <c r="H98" s="19" t="n"/>
      <c r="I98" s="19" t="n"/>
      <c r="J98" s="19" t="n"/>
      <c r="K98" s="19" t="n"/>
    </row>
    <row r="99" ht="18" customHeight="1">
      <c r="A99" s="13" t="inlineStr">
        <is>
          <t>CUB-05</t>
        </is>
      </c>
      <c r="B99" s="14" t="inlineStr">
        <is>
          <t>Teja traslúcida — suministro e instalación</t>
        </is>
      </c>
      <c r="C99" s="13" t="inlineStr">
        <is>
          <t>M²</t>
        </is>
      </c>
      <c r="D99" s="15" t="n"/>
      <c r="E99" s="15" t="n"/>
      <c r="F99" s="15" t="n"/>
      <c r="G99" s="16">
        <f>IFERROR(SUM(G100:G103),0)</f>
        <v/>
      </c>
      <c r="H99" s="9" t="n"/>
      <c r="I99" s="10">
        <f>IF(OR(G99=0,H99=""),"PD",ROUND(G99+H99,0))</f>
        <v/>
      </c>
      <c r="J99" s="11" t="n">
        <v>0.3</v>
      </c>
      <c r="K99" s="12">
        <f>IF(I99="PD","PD",ROUND(I99*(1+J99),0))</f>
        <v/>
      </c>
    </row>
    <row r="100" ht="15" customHeight="1">
      <c r="A100" s="5" t="n"/>
      <c r="B100" s="6" t="inlineStr">
        <is>
          <t xml:space="preserve">   · Teja traslúcida policarbonato / fibra de vidrio</t>
        </is>
      </c>
      <c r="C100" s="5" t="inlineStr">
        <is>
          <t>Und</t>
        </is>
      </c>
      <c r="D100" s="5" t="n"/>
      <c r="E100" s="17" t="n"/>
      <c r="F100" s="18" t="n"/>
      <c r="G100" s="8">
        <f>IFERROR(IF(AND(E100&lt;&gt;"",F100&lt;&gt;""),ROUND(E100*F100,0),0),0)</f>
        <v/>
      </c>
      <c r="H100" s="19" t="n"/>
      <c r="I100" s="19" t="n"/>
      <c r="J100" s="19" t="n"/>
      <c r="K100" s="19" t="n"/>
    </row>
    <row r="101" ht="15" customHeight="1">
      <c r="A101" s="5" t="n"/>
      <c r="B101" s="6" t="inlineStr">
        <is>
          <t xml:space="preserve">   · Tornillo autoperforante teja</t>
        </is>
      </c>
      <c r="C101" s="5" t="inlineStr">
        <is>
          <t>Und</t>
        </is>
      </c>
      <c r="D101" s="5" t="n"/>
      <c r="E101" s="17" t="n"/>
      <c r="F101" s="18" t="n"/>
      <c r="G101" s="8">
        <f>IFERROR(IF(AND(E101&lt;&gt;"",F101&lt;&gt;""),ROUND(E101*F101,0),0),0)</f>
        <v/>
      </c>
      <c r="H101" s="19" t="n"/>
      <c r="I101" s="19" t="n"/>
      <c r="J101" s="19" t="n"/>
      <c r="K101" s="19" t="n"/>
    </row>
    <row r="102" ht="15" customHeight="1">
      <c r="A102" s="5" t="n"/>
      <c r="B102" s="6" t="inlineStr">
        <is>
          <t xml:space="preserve">   · Perfil de unión / traslape aluminio o PVC</t>
        </is>
      </c>
      <c r="C102" s="5" t="inlineStr">
        <is>
          <t>ML</t>
        </is>
      </c>
      <c r="D102" s="5" t="n"/>
      <c r="E102" s="17" t="n"/>
      <c r="F102" s="18" t="n"/>
      <c r="G102" s="8">
        <f>IFERROR(IF(AND(E102&lt;&gt;"",F102&lt;&gt;""),ROUND(E102*F102,0),0),0)</f>
        <v/>
      </c>
      <c r="H102" s="19" t="n"/>
      <c r="I102" s="19" t="n"/>
      <c r="J102" s="19" t="n"/>
      <c r="K102" s="19" t="n"/>
    </row>
    <row r="103" ht="15" customHeight="1">
      <c r="A103" s="5" t="n"/>
      <c r="B103" s="6" t="inlineStr">
        <is>
          <t xml:space="preserve">   · Sello transparente silicona neutra</t>
        </is>
      </c>
      <c r="C103" s="5" t="inlineStr">
        <is>
          <t>ML</t>
        </is>
      </c>
      <c r="D103" s="5" t="n"/>
      <c r="E103" s="17" t="n"/>
      <c r="F103" s="18" t="n"/>
      <c r="G103" s="8">
        <f>IFERROR(IF(AND(E103&lt;&gt;"",F103&lt;&gt;""),ROUND(E103*F103,0),0),0)</f>
        <v/>
      </c>
      <c r="H103" s="19" t="n"/>
      <c r="I103" s="19" t="n"/>
      <c r="J103" s="19" t="n"/>
      <c r="K103" s="19" t="n"/>
    </row>
    <row r="104" ht="18" customHeight="1">
      <c r="A104" s="13" t="inlineStr">
        <is>
          <t>CUB-06</t>
        </is>
      </c>
      <c r="B104" s="14" t="inlineStr">
        <is>
          <t>Canaleta PVC suministro e instalación</t>
        </is>
      </c>
      <c r="C104" s="13" t="inlineStr">
        <is>
          <t>ML</t>
        </is>
      </c>
      <c r="D104" s="15" t="n"/>
      <c r="E104" s="15" t="n"/>
      <c r="F104" s="15" t="n"/>
      <c r="G104" s="16">
        <f>IFERROR(SUM(G105:G110),0)</f>
        <v/>
      </c>
      <c r="H104" s="9" t="n"/>
      <c r="I104" s="10">
        <f>IF(OR(G104=0,H104=""),"PD",ROUND(G104+H104,0))</f>
        <v/>
      </c>
      <c r="J104" s="11" t="n">
        <v>0.3</v>
      </c>
      <c r="K104" s="12">
        <f>IF(I104="PD","PD",ROUND(I104*(1+J104),0))</f>
        <v/>
      </c>
    </row>
    <row r="105" ht="15" customHeight="1">
      <c r="A105" s="5" t="n"/>
      <c r="B105" s="6" t="inlineStr">
        <is>
          <t xml:space="preserve">   · Canaleta PVC semicircular (var. 100/125mm)</t>
        </is>
      </c>
      <c r="C105" s="5" t="inlineStr">
        <is>
          <t>ML</t>
        </is>
      </c>
      <c r="D105" s="5" t="n"/>
      <c r="E105" s="17" t="n"/>
      <c r="F105" s="18" t="n"/>
      <c r="G105" s="8">
        <f>IFERROR(IF(AND(E105&lt;&gt;"",F105&lt;&gt;""),ROUND(E105*F105,0),0),0)</f>
        <v/>
      </c>
      <c r="H105" s="19" t="n"/>
      <c r="I105" s="19" t="n"/>
      <c r="J105" s="19" t="n"/>
      <c r="K105" s="19" t="n"/>
    </row>
    <row r="106" ht="15" customHeight="1">
      <c r="A106" s="5" t="n"/>
      <c r="B106" s="6" t="inlineStr">
        <is>
          <t xml:space="preserve">   · Soporte / gancho canaleta</t>
        </is>
      </c>
      <c r="C106" s="5" t="inlineStr">
        <is>
          <t>Und</t>
        </is>
      </c>
      <c r="D106" s="5" t="n"/>
      <c r="E106" s="17" t="n"/>
      <c r="F106" s="18" t="n"/>
      <c r="G106" s="8">
        <f>IFERROR(IF(AND(E106&lt;&gt;"",F106&lt;&gt;""),ROUND(E106*F106,0),0),0)</f>
        <v/>
      </c>
      <c r="H106" s="19" t="n"/>
      <c r="I106" s="19" t="n"/>
      <c r="J106" s="19" t="n"/>
      <c r="K106" s="19" t="n"/>
    </row>
    <row r="107" ht="15" customHeight="1">
      <c r="A107" s="5" t="n"/>
      <c r="B107" s="6" t="inlineStr">
        <is>
          <t xml:space="preserve">   · Unión de canaleta PVC</t>
        </is>
      </c>
      <c r="C107" s="5" t="inlineStr">
        <is>
          <t>Und</t>
        </is>
      </c>
      <c r="D107" s="5" t="n"/>
      <c r="E107" s="17" t="n"/>
      <c r="F107" s="18" t="n"/>
      <c r="G107" s="8">
        <f>IFERROR(IF(AND(E107&lt;&gt;"",F107&lt;&gt;""),ROUND(E107*F107,0),0),0)</f>
        <v/>
      </c>
      <c r="H107" s="19" t="n"/>
      <c r="I107" s="19" t="n"/>
      <c r="J107" s="19" t="n"/>
      <c r="K107" s="19" t="n"/>
    </row>
    <row r="108" ht="15" customHeight="1">
      <c r="A108" s="5" t="n"/>
      <c r="B108" s="6" t="inlineStr">
        <is>
          <t xml:space="preserve">   · Bajante PVC 4" (110mm)</t>
        </is>
      </c>
      <c r="C108" s="5" t="inlineStr">
        <is>
          <t>ML</t>
        </is>
      </c>
      <c r="D108" s="5" t="n"/>
      <c r="E108" s="17" t="n"/>
      <c r="F108" s="18" t="n"/>
      <c r="G108" s="8">
        <f>IFERROR(IF(AND(E108&lt;&gt;"",F108&lt;&gt;""),ROUND(E108*F108,0),0),0)</f>
        <v/>
      </c>
      <c r="H108" s="19" t="n"/>
      <c r="I108" s="19" t="n"/>
      <c r="J108" s="19" t="n"/>
      <c r="K108" s="19" t="n"/>
    </row>
    <row r="109" ht="15" customHeight="1">
      <c r="A109" s="5" t="n"/>
      <c r="B109" s="6" t="inlineStr">
        <is>
          <t xml:space="preserve">   · Codo bajante 90°</t>
        </is>
      </c>
      <c r="C109" s="5" t="inlineStr">
        <is>
          <t>Und</t>
        </is>
      </c>
      <c r="D109" s="5" t="n"/>
      <c r="E109" s="17" t="n"/>
      <c r="F109" s="18" t="n"/>
      <c r="G109" s="8">
        <f>IFERROR(IF(AND(E109&lt;&gt;"",F109&lt;&gt;""),ROUND(E109*F109,0),0),0)</f>
        <v/>
      </c>
      <c r="H109" s="19" t="n"/>
      <c r="I109" s="19" t="n"/>
      <c r="J109" s="19" t="n"/>
      <c r="K109" s="19" t="n"/>
    </row>
    <row r="110" ht="15" customHeight="1">
      <c r="A110" s="5" t="n"/>
      <c r="B110" s="6" t="inlineStr">
        <is>
          <t xml:space="preserve">   · Sellador PVC (tubo)</t>
        </is>
      </c>
      <c r="C110" s="5" t="inlineStr">
        <is>
          <t>Und</t>
        </is>
      </c>
      <c r="D110" s="5" t="n"/>
      <c r="E110" s="17" t="n"/>
      <c r="F110" s="18" t="n"/>
      <c r="G110" s="8">
        <f>IFERROR(IF(AND(E110&lt;&gt;"",F110&lt;&gt;""),ROUND(E110*F110,0),0),0)</f>
        <v/>
      </c>
      <c r="H110" s="19" t="n"/>
      <c r="I110" s="19" t="n"/>
      <c r="J110" s="19" t="n"/>
      <c r="K110" s="19" t="n"/>
    </row>
    <row r="111" ht="16" customHeight="1">
      <c r="A111" s="4" t="inlineStr">
        <is>
          <t>9. PRELIMINARES Y VARIOS</t>
        </is>
      </c>
    </row>
    <row r="112" ht="16" customHeight="1">
      <c r="A112" s="5" t="inlineStr">
        <is>
          <t>PRE-A</t>
        </is>
      </c>
      <c r="B112" s="6" t="inlineStr">
        <is>
          <t>Campamento de obra</t>
        </is>
      </c>
      <c r="C112" s="5" t="inlineStr">
        <is>
          <t>UND</t>
        </is>
      </c>
      <c r="D112" s="5" t="inlineStr">
        <is>
          <t>Materiales campamento</t>
        </is>
      </c>
      <c r="E112" s="7" t="n">
        <v>1</v>
      </c>
      <c r="F112" s="8" t="n">
        <v>400000</v>
      </c>
      <c r="G112" s="8">
        <f>IF(F112=0,0,ROUND(F112*E112,0))</f>
        <v/>
      </c>
      <c r="H112" s="9" t="n">
        <v>186000</v>
      </c>
      <c r="I112" s="10">
        <f>IF(G112="PD","PD",G112+H112)</f>
        <v/>
      </c>
      <c r="J112" s="11" t="n">
        <v>0.3</v>
      </c>
      <c r="K112" s="12">
        <f>IF(I112=0,"PD",ROUND(I112*(1+J112),0))</f>
        <v/>
      </c>
    </row>
    <row r="113" ht="16" customHeight="1">
      <c r="A113" s="5" t="inlineStr">
        <is>
          <t>PRE-B</t>
        </is>
      </c>
      <c r="B113" s="6" t="inlineStr">
        <is>
          <t>Señalización y seguridad de obra</t>
        </is>
      </c>
      <c r="C113" s="5" t="inlineStr">
        <is>
          <t>GLB</t>
        </is>
      </c>
      <c r="D113" s="5" t="inlineStr">
        <is>
          <t>Señales + elementos seg.</t>
        </is>
      </c>
      <c r="E113" s="7" t="n">
        <v>1</v>
      </c>
      <c r="F113" s="8" t="n">
        <v>300000</v>
      </c>
      <c r="G113" s="8">
        <f>IF(F113=0,0,ROUND(F113*E113,0))</f>
        <v/>
      </c>
      <c r="H113" s="9" t="n">
        <v>286000</v>
      </c>
      <c r="I113" s="10">
        <f>IF(G113="PD","PD",G113+H113)</f>
        <v/>
      </c>
      <c r="J113" s="11" t="n">
        <v>0.3</v>
      </c>
      <c r="K113" s="12">
        <f>IF(I113=0,"PD",ROUND(I113*(1+J113),0))</f>
        <v/>
      </c>
    </row>
    <row r="114" ht="18" customHeight="1">
      <c r="A114" s="13" t="inlineStr">
        <is>
          <t>PRE-C</t>
        </is>
      </c>
      <c r="B114" s="14" t="inlineStr">
        <is>
          <t>Puntos de anclaje certificados (instalación)</t>
        </is>
      </c>
      <c r="C114" s="13" t="inlineStr">
        <is>
          <t>UND</t>
        </is>
      </c>
      <c r="D114" s="15" t="n"/>
      <c r="E114" s="15" t="n"/>
      <c r="F114" s="15" t="n"/>
      <c r="G114" s="16">
        <f>IFERROR(SUM(G115:G118),0)</f>
        <v/>
      </c>
      <c r="H114" s="9" t="n"/>
      <c r="I114" s="10">
        <f>IF(OR(G114=0,H114=""),"PD",ROUND(G114+H114,0))</f>
        <v/>
      </c>
      <c r="J114" s="11" t="n">
        <v>0.3</v>
      </c>
      <c r="K114" s="12">
        <f>IF(I114="PD","PD",ROUND(I114*(1+J114),0))</f>
        <v/>
      </c>
    </row>
    <row r="115" ht="15" customHeight="1">
      <c r="A115" s="5" t="n"/>
      <c r="B115" s="6" t="inlineStr">
        <is>
          <t xml:space="preserve">   · Anclaje tipo placa / gota acero inoxidable</t>
        </is>
      </c>
      <c r="C115" s="5" t="inlineStr">
        <is>
          <t>Und</t>
        </is>
      </c>
      <c r="D115" s="5" t="n"/>
      <c r="E115" s="17" t="n"/>
      <c r="F115" s="18" t="n"/>
      <c r="G115" s="8">
        <f>IFERROR(IF(AND(E115&lt;&gt;"",F115&lt;&gt;""),ROUND(E115*F115,0),0),0)</f>
        <v/>
      </c>
      <c r="H115" s="19" t="n"/>
      <c r="I115" s="19" t="n"/>
      <c r="J115" s="19" t="n"/>
      <c r="K115" s="19" t="n"/>
    </row>
    <row r="116" ht="15" customHeight="1">
      <c r="A116" s="5" t="n"/>
      <c r="B116" s="6" t="inlineStr">
        <is>
          <t xml:space="preserve">   · Perno de expansión M12 (anclaje mecánico)</t>
        </is>
      </c>
      <c r="C116" s="5" t="inlineStr">
        <is>
          <t>Und</t>
        </is>
      </c>
      <c r="D116" s="5" t="n"/>
      <c r="E116" s="17" t="n"/>
      <c r="F116" s="18" t="n"/>
      <c r="G116" s="8">
        <f>IFERROR(IF(AND(E116&lt;&gt;"",F116&lt;&gt;""),ROUND(E116*F116,0),0),0)</f>
        <v/>
      </c>
      <c r="H116" s="19" t="n"/>
      <c r="I116" s="19" t="n"/>
      <c r="J116" s="19" t="n"/>
      <c r="K116" s="19" t="n"/>
    </row>
    <row r="117" ht="15" customHeight="1">
      <c r="A117" s="5" t="n"/>
      <c r="B117" s="6" t="inlineStr">
        <is>
          <t xml:space="preserve">   · Tuerca + arandela de presión</t>
        </is>
      </c>
      <c r="C117" s="5" t="inlineStr">
        <is>
          <t>Und</t>
        </is>
      </c>
      <c r="D117" s="5" t="n"/>
      <c r="E117" s="17" t="n"/>
      <c r="F117" s="18" t="n"/>
      <c r="G117" s="8">
        <f>IFERROR(IF(AND(E117&lt;&gt;"",F117&lt;&gt;""),ROUND(E117*F117,0),0),0)</f>
        <v/>
      </c>
      <c r="H117" s="19" t="n"/>
      <c r="I117" s="19" t="n"/>
      <c r="J117" s="19" t="n"/>
      <c r="K117" s="19" t="n"/>
    </row>
    <row r="118" ht="15" customHeight="1">
      <c r="A118" s="5" t="n"/>
      <c r="B118" s="6" t="inlineStr">
        <is>
          <t xml:space="preserve">   · Certificado de inspección técnica individual</t>
        </is>
      </c>
      <c r="C118" s="5" t="inlineStr">
        <is>
          <t>Und</t>
        </is>
      </c>
      <c r="D118" s="5" t="n"/>
      <c r="E118" s="17" t="n"/>
      <c r="F118" s="18" t="n"/>
      <c r="G118" s="8">
        <f>IFERROR(IF(AND(E118&lt;&gt;"",F118&lt;&gt;""),ROUND(E118*F118,0),0),0)</f>
        <v/>
      </c>
      <c r="H118" s="19" t="n"/>
      <c r="I118" s="19" t="n"/>
      <c r="J118" s="19" t="n"/>
      <c r="K118" s="19" t="n"/>
    </row>
    <row r="119" ht="16" customHeight="1">
      <c r="A119" s="5" t="inlineStr">
        <is>
          <t>VAR-01</t>
        </is>
      </c>
      <c r="B119" s="6" t="inlineStr">
        <is>
          <t>Aseo general — limpieza de vidrios y retiro sobrantes</t>
        </is>
      </c>
      <c r="C119" s="5" t="inlineStr">
        <is>
          <t>GL</t>
        </is>
      </c>
      <c r="D119" s="5" t="inlineStr">
        <is>
          <t>Insumos limpieza</t>
        </is>
      </c>
      <c r="E119" s="7" t="n">
        <v>1</v>
      </c>
      <c r="F119" s="8" t="n">
        <v>200000</v>
      </c>
      <c r="G119" s="8">
        <f>IF(F119=0,0,ROUND(F119*E119,0))</f>
        <v/>
      </c>
      <c r="H119" s="9" t="n">
        <v>1323600</v>
      </c>
      <c r="I119" s="10">
        <f>IF(G119="PD","PD",G119+H119)</f>
        <v/>
      </c>
      <c r="J119" s="11" t="n">
        <v>0.15</v>
      </c>
      <c r="K119" s="12">
        <f>IF(I119=0,"PD",ROUND(I119*(1+J119),0))</f>
        <v/>
      </c>
    </row>
    <row r="120" ht="18" customHeight="1">
      <c r="A120" s="13" t="inlineStr">
        <is>
          <t>VAR-02</t>
        </is>
      </c>
      <c r="B120" s="14" t="inlineStr">
        <is>
          <t>Informe con dron (toma + edición)</t>
        </is>
      </c>
      <c r="C120" s="13" t="inlineStr">
        <is>
          <t>UND</t>
        </is>
      </c>
      <c r="D120" s="15" t="n"/>
      <c r="E120" s="15" t="n"/>
      <c r="F120" s="15" t="n"/>
      <c r="G120" s="16">
        <f>IFERROR(SUM(G121:G123),0)</f>
        <v/>
      </c>
      <c r="H120" s="9" t="n"/>
      <c r="I120" s="10">
        <f>IF(OR(G120=0,H120=""),"PD",ROUND(G120+H120,0))</f>
        <v/>
      </c>
      <c r="J120" s="11" t="n">
        <v>0.4</v>
      </c>
      <c r="K120" s="12">
        <f>IF(I120="PD","PD",ROUND(I120*(1+J120),0))</f>
        <v/>
      </c>
    </row>
    <row r="121" ht="15" customHeight="1">
      <c r="A121" s="5" t="n"/>
      <c r="B121" s="6" t="inlineStr">
        <is>
          <t xml:space="preserve">   · Vuelo de dron (servicio por sesión)</t>
        </is>
      </c>
      <c r="C121" s="5" t="inlineStr">
        <is>
          <t>Und</t>
        </is>
      </c>
      <c r="D121" s="5" t="n"/>
      <c r="E121" s="17" t="n"/>
      <c r="F121" s="18" t="n"/>
      <c r="G121" s="8">
        <f>IFERROR(IF(AND(E121&lt;&gt;"",F121&lt;&gt;""),ROUND(E121*F121,0),0),0)</f>
        <v/>
      </c>
      <c r="H121" s="19" t="n"/>
      <c r="I121" s="19" t="n"/>
      <c r="J121" s="19" t="n"/>
      <c r="K121" s="19" t="n"/>
    </row>
    <row r="122" ht="15" customHeight="1">
      <c r="A122" s="5" t="n"/>
      <c r="B122" s="6" t="inlineStr">
        <is>
          <t xml:space="preserve">   · Procesamiento y edición de imágenes</t>
        </is>
      </c>
      <c r="C122" s="5" t="inlineStr">
        <is>
          <t>Und</t>
        </is>
      </c>
      <c r="D122" s="5" t="n"/>
      <c r="E122" s="17" t="n"/>
      <c r="F122" s="18" t="n"/>
      <c r="G122" s="8">
        <f>IFERROR(IF(AND(E122&lt;&gt;"",F122&lt;&gt;""),ROUND(E122*F122,0),0),0)</f>
        <v/>
      </c>
      <c r="H122" s="19" t="n"/>
      <c r="I122" s="19" t="n"/>
      <c r="J122" s="19" t="n"/>
      <c r="K122" s="19" t="n"/>
    </row>
    <row r="123" ht="15" customHeight="1">
      <c r="A123" s="5" t="n"/>
      <c r="B123" s="6" t="inlineStr">
        <is>
          <t xml:space="preserve">   · Informe técnico escrito con entregables</t>
        </is>
      </c>
      <c r="C123" s="5" t="inlineStr">
        <is>
          <t>Und</t>
        </is>
      </c>
      <c r="D123" s="5" t="n"/>
      <c r="E123" s="17" t="n"/>
      <c r="F123" s="18" t="n"/>
      <c r="G123" s="8">
        <f>IFERROR(IF(AND(E123&lt;&gt;"",F123&lt;&gt;""),ROUND(E123*F123,0),0),0)</f>
        <v/>
      </c>
      <c r="H123" s="19" t="n"/>
      <c r="I123" s="19" t="n"/>
      <c r="J123" s="19" t="n"/>
      <c r="K123" s="19" t="n"/>
    </row>
    <row r="124" ht="28" customHeight="1">
      <c r="A124" s="20" t="inlineStr">
        <is>
          <t>NOTAS: Rendimiento = unidades de insumo por unidad de obra (ej: 1/70 = 1 cuñete cada 70 M²).  Costo directo = material + MO.  Precio cotización = Costo directo × (1 + % Utilidad).  Celdas en amarillo requieren ser diligenciadas (consumo y precio de insumo).</t>
        </is>
      </c>
    </row>
  </sheetData>
  <mergeCells count="12">
    <mergeCell ref="A12:K12"/>
    <mergeCell ref="A4:K4"/>
    <mergeCell ref="A20:K20"/>
    <mergeCell ref="A124:K124"/>
    <mergeCell ref="A24:K24"/>
    <mergeCell ref="A2:K2"/>
    <mergeCell ref="A28:K28"/>
    <mergeCell ref="A76:K76"/>
    <mergeCell ref="A1:K1"/>
    <mergeCell ref="A17:K17"/>
    <mergeCell ref="A111:K111"/>
    <mergeCell ref="A8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14" customWidth="1" min="4" max="4"/>
    <col width="18" customWidth="1" min="5" max="5"/>
    <col width="30" customWidth="1" min="6" max="6"/>
    <col width="18" customWidth="1" min="7" max="7"/>
  </cols>
  <sheetData>
    <row r="1">
      <c r="A1" s="21" t="inlineStr">
        <is>
          <t>FRESHOUSE S.A.S — LISTA DE INSUMOS Y PRECIOS</t>
        </is>
      </c>
    </row>
    <row r="2">
      <c r="A2" s="22" t="inlineStr">
        <is>
          <t>Código</t>
        </is>
      </c>
      <c r="B2" s="22" t="inlineStr">
        <is>
          <t>Insumo / Material</t>
        </is>
      </c>
      <c r="C2" s="22" t="inlineStr">
        <is>
          <t>Unidad compra</t>
        </is>
      </c>
      <c r="D2" s="22" t="inlineStr">
        <is>
          <t>Precio ($)</t>
        </is>
      </c>
      <c r="E2" s="22" t="inlineStr">
        <is>
          <t>Rendimiento</t>
        </is>
      </c>
      <c r="F2" s="22" t="inlineStr">
        <is>
          <t>Notas</t>
        </is>
      </c>
      <c r="G2" s="22" t="inlineStr">
        <is>
          <t>Última actualización</t>
        </is>
      </c>
    </row>
    <row r="3">
      <c r="A3" s="23" t="inlineStr">
        <is>
          <t>INS-001</t>
        </is>
      </c>
      <c r="B3" s="24" t="inlineStr">
        <is>
          <t>Hipoclorito de sodio 10%</t>
        </is>
      </c>
      <c r="C3" s="23" t="inlineStr">
        <is>
          <t>Garrafa 20 L</t>
        </is>
      </c>
      <c r="D3" s="25" t="inlineStr">
        <is>
          <t>75,000</t>
        </is>
      </c>
      <c r="E3" s="23" t="inlineStr">
        <is>
          <t>1 L / 4 M²</t>
        </is>
      </c>
      <c r="F3" s="23" t="inlineStr">
        <is>
          <t>Detercol / Proquim Armenia</t>
        </is>
      </c>
      <c r="G3" s="23" t="inlineStr">
        <is>
          <t>Mar 2026</t>
        </is>
      </c>
    </row>
    <row r="4">
      <c r="A4" s="26" t="inlineStr">
        <is>
          <t>INS-002</t>
        </is>
      </c>
      <c r="B4" s="27" t="inlineStr">
        <is>
          <t>Hipoclorito de sodio 13%</t>
        </is>
      </c>
      <c r="C4" s="26" t="inlineStr">
        <is>
          <t>Garrafa 20 L</t>
        </is>
      </c>
      <c r="D4" s="25" t="inlineStr">
        <is>
          <t>78,000</t>
        </is>
      </c>
      <c r="E4" s="26" t="inlineStr">
        <is>
          <t>1 L / 4 M²</t>
        </is>
      </c>
      <c r="F4" s="26" t="inlineStr">
        <is>
          <t>Detercol / Proquim Armenia</t>
        </is>
      </c>
      <c r="G4" s="26" t="inlineStr">
        <is>
          <t>Mar 2026</t>
        </is>
      </c>
    </row>
    <row r="5">
      <c r="A5" s="23" t="inlineStr">
        <is>
          <t>INS-003</t>
        </is>
      </c>
      <c r="B5" s="24" t="inlineStr">
        <is>
          <t>Koraza Pro Pintuco</t>
        </is>
      </c>
      <c r="C5" s="23" t="inlineStr">
        <is>
          <t>Cuñete 5 gal</t>
        </is>
      </c>
      <c r="D5" s="25" t="inlineStr">
        <is>
          <t>450,000</t>
        </is>
      </c>
      <c r="E5" s="23" t="inlineStr">
        <is>
          <t>70 M² (2 manos, fachada)</t>
        </is>
      </c>
      <c r="F5" s="23" t="inlineStr">
        <is>
          <t>Distribuidores Pintuco</t>
        </is>
      </c>
      <c r="G5" s="23" t="inlineStr">
        <is>
          <t>Mar 2026</t>
        </is>
      </c>
    </row>
    <row r="6">
      <c r="A6" s="26" t="inlineStr">
        <is>
          <t>INS-004</t>
        </is>
      </c>
      <c r="B6" s="27" t="inlineStr">
        <is>
          <t>Viniltex Tipo 1 Pintuco</t>
        </is>
      </c>
      <c r="C6" s="26" t="inlineStr">
        <is>
          <t>Cuñete 5 gal</t>
        </is>
      </c>
      <c r="D6" s="25" t="inlineStr">
        <is>
          <t>390,000</t>
        </is>
      </c>
      <c r="E6" s="26" t="inlineStr">
        <is>
          <t>125 M² repinte / 100 M² nuevo</t>
        </is>
      </c>
      <c r="F6" s="26" t="inlineStr">
        <is>
          <t>Ferretería Ya / Coval</t>
        </is>
      </c>
      <c r="G6" s="26" t="inlineStr">
        <is>
          <t>Mar 2026</t>
        </is>
      </c>
    </row>
    <row r="7">
      <c r="A7" s="23" t="inlineStr">
        <is>
          <t>INS-005</t>
        </is>
      </c>
      <c r="B7" s="24" t="inlineStr">
        <is>
          <t>Acrolatex 50 Pintuco</t>
        </is>
      </c>
      <c r="C7" s="23" t="inlineStr">
        <is>
          <t>Galón</t>
        </is>
      </c>
      <c r="D7" s="25" t="inlineStr">
        <is>
          <t>102,000</t>
        </is>
      </c>
      <c r="E7" s="23" t="inlineStr">
        <is>
          <t>Aplicación puntual (sellador)</t>
        </is>
      </c>
      <c r="F7" s="23" t="inlineStr">
        <is>
          <t>Ferreinox Pereira</t>
        </is>
      </c>
      <c r="G7" s="23" t="inlineStr">
        <is>
          <t>Mar 2026</t>
        </is>
      </c>
    </row>
    <row r="8">
      <c r="A8" s="26" t="inlineStr">
        <is>
          <t>INS-006</t>
        </is>
      </c>
      <c r="B8" s="27" t="inlineStr">
        <is>
          <t>Pintulux 3 en 1 Pintuco</t>
        </is>
      </c>
      <c r="C8" s="26" t="inlineStr">
        <is>
          <t>Galón</t>
        </is>
      </c>
      <c r="D8" s="25" t="inlineStr">
        <is>
          <t>120,000</t>
        </is>
      </c>
      <c r="E8" s="26" t="inlineStr">
        <is>
          <t>15–18 M² en metal (2 manos)</t>
        </is>
      </c>
      <c r="F8" s="26" t="inlineStr">
        <is>
          <t>Homecenter / Coval</t>
        </is>
      </c>
      <c r="G8" s="26" t="inlineStr">
        <is>
          <t>Mar 2026</t>
        </is>
      </c>
    </row>
    <row r="9">
      <c r="A9" s="23" t="inlineStr">
        <is>
          <t>INS-007</t>
        </is>
      </c>
      <c r="B9" s="24" t="inlineStr">
        <is>
          <t>Sikaseal C (sello ventanería)</t>
        </is>
      </c>
      <c r="C9" s="23" t="inlineStr">
        <is>
          <t>Tubo 400 ml</t>
        </is>
      </c>
      <c r="D9" s="25" t="inlineStr">
        <is>
          <t>22,000</t>
        </is>
      </c>
      <c r="E9" s="23" t="inlineStr">
        <is>
          <t>20 ML</t>
        </is>
      </c>
      <c r="F9" s="23" t="inlineStr">
        <is>
          <t>Distribuidor Sika</t>
        </is>
      </c>
      <c r="G9" s="23" t="inlineStr">
        <is>
          <t>Mar 2026</t>
        </is>
      </c>
    </row>
    <row r="10">
      <c r="A10" s="26" t="inlineStr">
        <is>
          <t>INS-008</t>
        </is>
      </c>
      <c r="B10" s="27" t="inlineStr">
        <is>
          <t>Sikaflex 300 ml (junta estructural)</t>
        </is>
      </c>
      <c r="C10" s="26" t="inlineStr">
        <is>
          <t>Cartucho 300 ml</t>
        </is>
      </c>
      <c r="D10" s="25" t="inlineStr">
        <is>
          <t>35,900</t>
        </is>
      </c>
      <c r="E10" s="26" t="inlineStr">
        <is>
          <t>3 ML (junta 10×10mm)</t>
        </is>
      </c>
      <c r="F10" s="26" t="inlineStr">
        <is>
          <t>Homecenter</t>
        </is>
      </c>
      <c r="G10" s="26" t="inlineStr">
        <is>
          <t>Mar 2026</t>
        </is>
      </c>
    </row>
    <row r="11">
      <c r="A11" s="23" t="inlineStr">
        <is>
          <t>INS-009</t>
        </is>
      </c>
      <c r="B11" s="24" t="inlineStr">
        <is>
          <t>Soudaflex / sellador acrílico fisuras</t>
        </is>
      </c>
      <c r="C11" s="23" t="inlineStr">
        <is>
          <t>Cartucho 300 ml</t>
        </is>
      </c>
      <c r="D11" s="25" t="inlineStr">
        <is>
          <t>18,000</t>
        </is>
      </c>
      <c r="E11" s="23" t="inlineStr">
        <is>
          <t>6 ML</t>
        </is>
      </c>
      <c r="F11" s="23" t="inlineStr">
        <is>
          <t>Ferretería local</t>
        </is>
      </c>
      <c r="G11" s="23" t="inlineStr">
        <is>
          <t>Mar 2026</t>
        </is>
      </c>
    </row>
    <row r="12">
      <c r="A12" s="26" t="inlineStr">
        <is>
          <t>INS-010</t>
        </is>
      </c>
      <c r="B12" s="27" t="inlineStr">
        <is>
          <t>Pintura acrílica exterior genérica</t>
        </is>
      </c>
      <c r="C12" s="26" t="inlineStr">
        <is>
          <t>Galón</t>
        </is>
      </c>
      <c r="D12" s="25" t="inlineStr">
        <is>
          <t>70,000</t>
        </is>
      </c>
      <c r="E12" s="26" t="inlineStr">
        <is>
          <t>20 M² (2 manos)</t>
        </is>
      </c>
      <c r="F12" s="26" t="inlineStr">
        <is>
          <t>Referencia mercado</t>
        </is>
      </c>
      <c r="G12" s="26" t="inlineStr">
        <is>
          <t>Mar 2026</t>
        </is>
      </c>
    </row>
    <row r="13">
      <c r="A13" s="23" t="inlineStr">
        <is>
          <t>INS-011</t>
        </is>
      </c>
      <c r="B13" s="24" t="inlineStr">
        <is>
          <t>Anticorrosivo (base metal)</t>
        </is>
      </c>
      <c r="C13" s="23" t="inlineStr">
        <is>
          <t>Galón</t>
        </is>
      </c>
      <c r="D13" s="25" t="inlineStr">
        <is>
          <t>65,000</t>
        </is>
      </c>
      <c r="E13" s="23" t="inlineStr">
        <is>
          <t>12 M²</t>
        </is>
      </c>
      <c r="F13" s="23" t="inlineStr">
        <is>
          <t>Ferretería local</t>
        </is>
      </c>
      <c r="G13" s="23" t="inlineStr">
        <is>
          <t>Mar 2026</t>
        </is>
      </c>
    </row>
    <row r="14">
      <c r="A14" s="26" t="inlineStr">
        <is>
          <t>INS-012</t>
        </is>
      </c>
      <c r="B14" s="27" t="inlineStr">
        <is>
          <t>Superboard 6mm</t>
        </is>
      </c>
      <c r="C14" s="26" t="inlineStr">
        <is>
          <t>Lámina 1.22×2.44 m</t>
        </is>
      </c>
      <c r="D14" s="25" t="inlineStr">
        <is>
          <t>PD</t>
        </is>
      </c>
      <c r="E14" s="26" t="inlineStr">
        <is>
          <t>2.98 M² / lámina</t>
        </is>
      </c>
      <c r="F14" s="26" t="inlineStr">
        <is>
          <t>Por cotizar</t>
        </is>
      </c>
      <c r="G14" s="26" t="inlineStr">
        <is>
          <t>—</t>
        </is>
      </c>
    </row>
    <row r="15">
      <c r="A15" s="23" t="inlineStr">
        <is>
          <t>INS-013</t>
        </is>
      </c>
      <c r="B15" s="24" t="inlineStr">
        <is>
          <t>Superboard 8mm</t>
        </is>
      </c>
      <c r="C15" s="23" t="inlineStr">
        <is>
          <t>Lámina 1.22×2.44 m</t>
        </is>
      </c>
      <c r="D15" s="25" t="inlineStr">
        <is>
          <t>PD</t>
        </is>
      </c>
      <c r="E15" s="23" t="inlineStr">
        <is>
          <t>2.98 M² / lámina</t>
        </is>
      </c>
      <c r="F15" s="23" t="inlineStr">
        <is>
          <t>Por cotizar</t>
        </is>
      </c>
      <c r="G15" s="23" t="inlineStr">
        <is>
          <t>—</t>
        </is>
      </c>
    </row>
    <row r="16">
      <c r="A16" s="26" t="inlineStr">
        <is>
          <t>INS-014</t>
        </is>
      </c>
      <c r="B16" s="27" t="inlineStr">
        <is>
          <t>Superboard 10mm</t>
        </is>
      </c>
      <c r="C16" s="26" t="inlineStr">
        <is>
          <t>Lámina 1.22×2.44 m</t>
        </is>
      </c>
      <c r="D16" s="25" t="inlineStr">
        <is>
          <t>PD</t>
        </is>
      </c>
      <c r="E16" s="26" t="inlineStr">
        <is>
          <t>2.98 M² / lámina</t>
        </is>
      </c>
      <c r="F16" s="26" t="inlineStr">
        <is>
          <t>Por cotizar</t>
        </is>
      </c>
      <c r="G16" s="26" t="inlineStr">
        <is>
          <t>—</t>
        </is>
      </c>
    </row>
    <row r="17">
      <c r="A17" s="23" t="inlineStr">
        <is>
          <t>INS-015</t>
        </is>
      </c>
      <c r="B17" s="24" t="inlineStr">
        <is>
          <t>Superboard 12mm</t>
        </is>
      </c>
      <c r="C17" s="23" t="inlineStr">
        <is>
          <t>Lámina 1.22×2.44 m</t>
        </is>
      </c>
      <c r="D17" s="25" t="inlineStr">
        <is>
          <t>PD</t>
        </is>
      </c>
      <c r="E17" s="23" t="inlineStr">
        <is>
          <t>2.98 M² / lámina</t>
        </is>
      </c>
      <c r="F17" s="23" t="inlineStr">
        <is>
          <t>Por cotizar</t>
        </is>
      </c>
      <c r="G17" s="23" t="inlineStr">
        <is>
          <t>—</t>
        </is>
      </c>
    </row>
    <row r="18">
      <c r="A18" s="26" t="inlineStr">
        <is>
          <t>INS-016</t>
        </is>
      </c>
      <c r="B18" s="27" t="inlineStr">
        <is>
          <t>Estructura metálica para Superboard</t>
        </is>
      </c>
      <c r="C18" s="26" t="inlineStr">
        <is>
          <t>M²</t>
        </is>
      </c>
      <c r="D18" s="25" t="inlineStr">
        <is>
          <t>PD</t>
        </is>
      </c>
      <c r="E18" s="26" t="inlineStr">
        <is>
          <t>Por diseño</t>
        </is>
      </c>
      <c r="F18" s="26" t="inlineStr">
        <is>
          <t>Por cotizar</t>
        </is>
      </c>
      <c r="G18" s="26" t="inlineStr">
        <is>
          <t>—</t>
        </is>
      </c>
    </row>
    <row r="19">
      <c r="A19" s="23" t="inlineStr">
        <is>
          <t>INS-017</t>
        </is>
      </c>
      <c r="B19" s="24" t="inlineStr">
        <is>
          <t>Membrana líquida impermeabilizante</t>
        </is>
      </c>
      <c r="C19" s="23" t="inlineStr">
        <is>
          <t>Galón</t>
        </is>
      </c>
      <c r="D19" s="25" t="inlineStr">
        <is>
          <t>PD</t>
        </is>
      </c>
      <c r="E19" s="23" t="inlineStr">
        <is>
          <t>Por ficha técnica</t>
        </is>
      </c>
      <c r="F19" s="23" t="inlineStr">
        <is>
          <t>Por cotizar</t>
        </is>
      </c>
      <c r="G19" s="23" t="inlineStr">
        <is>
          <t>—</t>
        </is>
      </c>
    </row>
    <row r="20">
      <c r="A20" s="26" t="inlineStr">
        <is>
          <t>INS-018</t>
        </is>
      </c>
      <c r="B20" s="27" t="inlineStr">
        <is>
          <t>Manto asfáltico impermeabilizante</t>
        </is>
      </c>
      <c r="C20" s="26" t="inlineStr">
        <is>
          <t>Rollo</t>
        </is>
      </c>
      <c r="D20" s="25" t="inlineStr">
        <is>
          <t>PD</t>
        </is>
      </c>
      <c r="E20" s="26" t="inlineStr">
        <is>
          <t>Por ficha técnica</t>
        </is>
      </c>
      <c r="F20" s="26" t="inlineStr">
        <is>
          <t>Por cotizar</t>
        </is>
      </c>
      <c r="G20" s="26" t="inlineStr">
        <is>
          <t>—</t>
        </is>
      </c>
    </row>
    <row r="21">
      <c r="A21" s="23" t="inlineStr">
        <is>
          <t>INS-019</t>
        </is>
      </c>
      <c r="B21" s="24" t="inlineStr">
        <is>
          <t>Teja ondulada fibrocemento</t>
        </is>
      </c>
      <c r="C21" s="23" t="inlineStr">
        <is>
          <t>M²</t>
        </is>
      </c>
      <c r="D21" s="25" t="inlineStr">
        <is>
          <t>PD</t>
        </is>
      </c>
      <c r="E21" s="23" t="inlineStr">
        <is>
          <t>—</t>
        </is>
      </c>
      <c r="F21" s="23" t="inlineStr">
        <is>
          <t>Por cotizar</t>
        </is>
      </c>
      <c r="G21" s="23" t="inlineStr">
        <is>
          <t>—</t>
        </is>
      </c>
    </row>
    <row r="22">
      <c r="A22" s="26" t="inlineStr">
        <is>
          <t>INS-020</t>
        </is>
      </c>
      <c r="B22" s="27" t="inlineStr">
        <is>
          <t>Teja termoacústica</t>
        </is>
      </c>
      <c r="C22" s="26" t="inlineStr">
        <is>
          <t>M²</t>
        </is>
      </c>
      <c r="D22" s="25" t="inlineStr">
        <is>
          <t>PD</t>
        </is>
      </c>
      <c r="E22" s="26" t="inlineStr">
        <is>
          <t>—</t>
        </is>
      </c>
      <c r="F22" s="26" t="inlineStr">
        <is>
          <t>Por cotizar</t>
        </is>
      </c>
      <c r="G22" s="26" t="inlineStr">
        <is>
          <t>—</t>
        </is>
      </c>
    </row>
    <row r="23">
      <c r="A23" s="23" t="inlineStr">
        <is>
          <t>INS-021</t>
        </is>
      </c>
      <c r="B23" s="24" t="inlineStr">
        <is>
          <t>Mortero estructural (saco + arena)</t>
        </is>
      </c>
      <c r="C23" s="23" t="inlineStr">
        <is>
          <t>M²</t>
        </is>
      </c>
      <c r="D23" s="25" t="inlineStr">
        <is>
          <t>25,000</t>
        </is>
      </c>
      <c r="E23" s="23" t="inlineStr">
        <is>
          <t>Referencia campo</t>
        </is>
      </c>
      <c r="F23" s="23" t="inlineStr">
        <is>
          <t>—</t>
        </is>
      </c>
      <c r="G23" s="23" t="inlineStr">
        <is>
          <t>Mar 2026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2026-03-25T16:59:45Z</dcterms:created>
  <dcterms:modified xmlns:dcterms="http://purl.org/dc/terms/" xmlns:xsi="http://www.w3.org/2001/XMLSchema-instance" xsi:type="dcterms:W3CDTF">2026-03-25T16:59:45Z</dcterms:modified>
</cp:coreProperties>
</file>