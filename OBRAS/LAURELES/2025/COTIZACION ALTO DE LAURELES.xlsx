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56B8897B-EBE6-4932-BAA4-A1563F5BDC0D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22" i="1"/>
  <c r="G21" i="1"/>
  <c r="G9" i="1"/>
  <c r="G18" i="1"/>
  <c r="G19" i="1"/>
  <c r="G7" i="1"/>
  <c r="G11" i="1"/>
  <c r="G16" i="1"/>
  <c r="G10" i="1" l="1"/>
  <c r="G25" i="1"/>
  <c r="G20" i="1"/>
  <c r="G17" i="1" s="1"/>
  <c r="G15" i="1"/>
  <c r="G14" i="1"/>
  <c r="G13" i="1"/>
  <c r="G8" i="1"/>
  <c r="G6" i="1" s="1"/>
  <c r="G24" i="1" l="1"/>
  <c r="G12" i="1"/>
  <c r="G26" i="1" l="1"/>
  <c r="G29" i="1"/>
  <c r="G30" i="1" s="1"/>
  <c r="G28" i="1" l="1"/>
  <c r="G27" i="1"/>
  <c r="G31" i="1" l="1"/>
  <c r="G32" i="1" s="1"/>
</calcChain>
</file>

<file path=xl/sharedStrings.xml><?xml version="1.0" encoding="utf-8"?>
<sst xmlns="http://schemas.openxmlformats.org/spreadsheetml/2006/main" count="61" uniqueCount="50">
  <si>
    <t>CAPT</t>
  </si>
  <si>
    <t>ITEMS</t>
  </si>
  <si>
    <t>M2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</si>
  <si>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</si>
  <si>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</si>
  <si>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</si>
  <si>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</si>
  <si>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</si>
  <si>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</si>
  <si>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</si>
  <si>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</si>
  <si>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</si>
  <si>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</si>
  <si>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</si>
  <si>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</si>
  <si>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</si>
  <si>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</si>
  <si>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</si>
  <si>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</si>
  <si>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</si>
  <si>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</si>
  <si>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</si>
  <si>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</si>
  <si>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</si>
  <si>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</si>
  <si>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</si>
  <si>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DEMOLICIÓN - PREPARADO DE SUPERFICIE</t>
  </si>
  <si>
    <t>UND</t>
  </si>
  <si>
    <t>IMPERMEABILIZACIÓN/REPARACIÓN DE ACABADOS</t>
  </si>
  <si>
    <t>ACABADO PINTURA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</si>
  <si>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</si>
  <si>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</si>
  <si>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</si>
  <si>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</si>
  <si>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Lavado y limpieza de las superficies que presenten hongos en los edificios incluye, la limpieza de lavado se realiza con bactericidas o hipoclorito al 10%, escoba según sea el caso, se debe eliminar polvos y grasas que impidan que los productos a aplicar queden bien adheridos y cumplan con si estabilidad.</t>
  </si>
  <si>
    <t>Se sellará de manera manual en todo el perímetro del marco de la ventaneria y se aplicará soudal</t>
  </si>
  <si>
    <t>Lavado y limpieza de superficies al interior de los pasillos</t>
  </si>
  <si>
    <t>Instalación de caminaderos y protección de cubierta</t>
  </si>
  <si>
    <t>Instalación de campamento | zona segura para almacenar equipos y materiales</t>
  </si>
  <si>
    <t>Retiro de texturas sueltas, imprimación, reposición de material e imprimación nuevamente para generar un puente de adherencia</t>
  </si>
  <si>
    <t>Demolición y de reposición de revoque en mal estado</t>
  </si>
  <si>
    <t>Suministro y aplicación de pintura Koraza Pro 550 de Pintuco sobre area de fachadas a dos manos teniendo un tiempo minimo entre manos de dos horas.</t>
  </si>
  <si>
    <t>Suministro y aplicación de pintura Koraza Pro 550 de Pintuco sobre alfajias en concreto a dos manos teniendo un tiempo minimo entre manos de dos horas.</t>
  </si>
  <si>
    <t>Suministro y aplicación de pintura Icolatex de Pintuco sobre cielos rasos internos respetando ficha tecnica del fabricante</t>
  </si>
  <si>
    <t xml:space="preserve">  VALIDO HASTA: 15/07/2025</t>
  </si>
  <si>
    <t xml:space="preserve">  FECHA: 15/04/2025</t>
  </si>
  <si>
    <t>COTIZACION OBRA - ALTO DE LAURELES</t>
  </si>
  <si>
    <t>Suministro y aplicación de pintura Viniltex Advance de Pintuco respetando ficha tecnica del fabricante</t>
  </si>
  <si>
    <t>Suministro y aplicación de hidrofugo Siliconite 7 de Pintuco sobre superficie de tableta</t>
  </si>
  <si>
    <t>Suministro y aplicación de Pintulux máxima protección en superficie de barandas internas y externas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</si>
</sst>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43" fontId="3" fillId="2" borderId="14" xfId="0" applyNumberFormat="1" applyFont="1" applyFill="1" applyBorder="1" applyAlignment="1">
      <alignment vertical="center" wrapText="1"/>
    </xf>
    <xf numFmtId="165" fontId="3" fillId="2" borderId="1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  <xf numFmtId="43" fontId="5" fillId="5" borderId="6" xfId="1" applyFont="1" applyFill="1" applyBorder="1" applyAlignment="1">
      <alignment vertical="center" wrapText="1"/>
    </xf>
    <xf numFmtId="43" fontId="5" fillId="5" borderId="3" xfId="1" applyFont="1" applyFill="1" applyBorder="1" applyAlignment="1">
      <alignment vertical="center" wrapText="1"/>
    </xf>
    <xf numFmtId="43" fontId="5" fillId="5" borderId="1" xfId="1" applyFont="1" applyFill="1" applyBorder="1" applyAlignment="1">
      <alignment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3" zoomScale="60" zoomScaleNormal="60" workbookViewId="0">
      <selection activeCell="I27" sqref="I27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9" width="13.44140625" style="1" bestFit="1" customWidth="1"/>
    <col min="10" max="16384" width="12.33203125" style="1"/>
  </cols>
  <sheetData>
    <row r="1" spans="1:8" ht="22.5" customHeight="1" x14ac:dyDescent="0.3">
      <c r="A1" s="42" t="s">
        <v>46</v>
      </c>
      <c r="B1" s="43"/>
      <c r="C1" s="43"/>
      <c r="D1" s="43"/>
      <c r="E1" s="43"/>
      <c r="F1" s="43"/>
      <c r="G1" s="44"/>
    </row>
    <row r="2" spans="1:8" ht="25.2" customHeight="1" x14ac:dyDescent="0.3">
      <c r="A2" s="45" t="s">
        <v>14</v>
      </c>
      <c r="B2" s="46"/>
      <c r="C2" s="3" t="s">
        <v>15</v>
      </c>
      <c r="D2" s="3" t="s">
        <v>16</v>
      </c>
      <c r="E2" s="3" t="s">
        <v>17</v>
      </c>
      <c r="F2" s="47"/>
      <c r="G2" s="48"/>
    </row>
    <row r="3" spans="1:8" ht="30" x14ac:dyDescent="0.3">
      <c r="A3" s="45" t="s">
        <v>18</v>
      </c>
      <c r="B3" s="46"/>
      <c r="C3" s="3" t="s">
        <v>31</v>
      </c>
      <c r="D3" s="45" t="s">
        <v>45</v>
      </c>
      <c r="E3" s="46"/>
      <c r="F3" s="49"/>
      <c r="G3" s="50"/>
    </row>
    <row r="4" spans="1:8" ht="22.5" customHeight="1" x14ac:dyDescent="0.3">
      <c r="A4" s="45" t="s">
        <v>19</v>
      </c>
      <c r="B4" s="46"/>
      <c r="C4" s="3" t="s">
        <v>20</v>
      </c>
      <c r="D4" s="45" t="s">
        <v>44</v>
      </c>
      <c r="E4" s="46"/>
      <c r="F4" s="51"/>
      <c r="G4" s="52"/>
    </row>
    <row r="5" spans="1:8" ht="30" customHeight="1" x14ac:dyDescent="0.3">
      <c r="A5" s="15" t="s">
        <v>0</v>
      </c>
      <c r="B5" s="15" t="s">
        <v>1</v>
      </c>
      <c r="C5" s="15" t="s">
        <v>5</v>
      </c>
      <c r="D5" s="15" t="s">
        <v>21</v>
      </c>
      <c r="E5" s="15" t="s">
        <v>22</v>
      </c>
      <c r="F5" s="15" t="s">
        <v>23</v>
      </c>
      <c r="G5" s="15" t="s">
        <v>24</v>
      </c>
    </row>
    <row r="6" spans="1:8" ht="23.25" customHeight="1" x14ac:dyDescent="0.3">
      <c r="A6" s="20" t="s">
        <v>6</v>
      </c>
      <c r="B6" s="18"/>
      <c r="C6" s="18" t="s">
        <v>7</v>
      </c>
      <c r="D6" s="18"/>
      <c r="E6" s="18"/>
      <c r="F6" s="18"/>
      <c r="G6" s="4">
        <f>SUM(G8:G11)</f>
        <v>4258143.24</v>
      </c>
    </row>
    <row r="7" spans="1:8" ht="30" x14ac:dyDescent="0.3">
      <c r="A7" s="16"/>
      <c r="B7" s="25">
        <v>1.1000000000000001</v>
      </c>
      <c r="C7" s="32" t="s">
        <v>38</v>
      </c>
      <c r="D7" s="28" t="s">
        <v>25</v>
      </c>
      <c r="E7" s="17">
        <v>1</v>
      </c>
      <c r="F7" s="5">
        <v>500000</v>
      </c>
      <c r="G7" s="6">
        <f t="shared" ref="G7" si="0">F7*E7</f>
        <v>500000</v>
      </c>
    </row>
    <row r="8" spans="1:8" ht="90" x14ac:dyDescent="0.3">
      <c r="A8" s="16"/>
      <c r="B8" s="25">
        <v>1.2</v>
      </c>
      <c r="C8" s="32" t="s">
        <v>32</v>
      </c>
      <c r="D8" s="28" t="s">
        <v>25</v>
      </c>
      <c r="E8" s="17">
        <v>1</v>
      </c>
      <c r="F8" s="5">
        <v>120000</v>
      </c>
      <c r="G8" s="6">
        <f t="shared" ref="G8" si="1">F8*E8</f>
        <v>120000</v>
      </c>
    </row>
    <row r="9" spans="1:8" ht="15" x14ac:dyDescent="0.3">
      <c r="A9" s="16"/>
      <c r="B9" s="25">
        <v>1.3</v>
      </c>
      <c r="C9" s="32" t="s">
        <v>37</v>
      </c>
      <c r="D9" s="28" t="s">
        <v>25</v>
      </c>
      <c r="E9" s="17">
        <v>1</v>
      </c>
      <c r="F9" s="5">
        <v>430000</v>
      </c>
      <c r="G9" s="6">
        <f>F9*E9</f>
        <v>430000</v>
      </c>
      <c r="H9" s="33"/>
    </row>
    <row r="10" spans="1:8" ht="75" x14ac:dyDescent="0.3">
      <c r="A10" s="16"/>
      <c r="B10" s="25">
        <v>1.4</v>
      </c>
      <c r="C10" s="32" t="s">
        <v>34</v>
      </c>
      <c r="D10" s="28" t="s">
        <v>2</v>
      </c>
      <c r="E10" s="56">
        <v>528.37980000000005</v>
      </c>
      <c r="F10" s="5">
        <v>3800</v>
      </c>
      <c r="G10" s="6">
        <f t="shared" ref="G10" si="2">F10*E10</f>
        <v>2007843.2400000002</v>
      </c>
      <c r="H10" s="33"/>
    </row>
    <row r="11" spans="1:8" ht="23.25" customHeight="1" x14ac:dyDescent="0.3">
      <c r="A11" s="16"/>
      <c r="B11" s="25">
        <v>1.5</v>
      </c>
      <c r="C11" s="32" t="s">
        <v>36</v>
      </c>
      <c r="D11" s="28" t="s">
        <v>2</v>
      </c>
      <c r="E11" s="56">
        <v>485.79999999999995</v>
      </c>
      <c r="F11" s="5">
        <v>3500</v>
      </c>
      <c r="G11" s="6">
        <f t="shared" ref="G11" si="3">F11*E11</f>
        <v>1700299.9999999998</v>
      </c>
      <c r="H11" s="33"/>
    </row>
    <row r="12" spans="1:8" ht="15" x14ac:dyDescent="0.3">
      <c r="A12" s="20">
        <v>2</v>
      </c>
      <c r="B12" s="21"/>
      <c r="C12" s="31" t="s">
        <v>26</v>
      </c>
      <c r="D12" s="18"/>
      <c r="E12" s="19"/>
      <c r="F12" s="18"/>
      <c r="G12" s="4">
        <f>SUM(G13:G14)</f>
        <v>7608669.120000001</v>
      </c>
      <c r="H12" s="33"/>
    </row>
    <row r="13" spans="1:8" ht="30" x14ac:dyDescent="0.3">
      <c r="A13" s="22"/>
      <c r="B13" s="26">
        <v>2.1</v>
      </c>
      <c r="C13" s="32" t="s">
        <v>39</v>
      </c>
      <c r="D13" s="29" t="s">
        <v>2</v>
      </c>
      <c r="E13" s="58">
        <v>52.837980000000009</v>
      </c>
      <c r="F13" s="7">
        <v>47000</v>
      </c>
      <c r="G13" s="6">
        <f>F13*E13</f>
        <v>2483385.0600000005</v>
      </c>
      <c r="H13" s="33"/>
    </row>
    <row r="14" spans="1:8" ht="39" customHeight="1" x14ac:dyDescent="0.3">
      <c r="A14" s="22"/>
      <c r="B14" s="26">
        <v>2.2000000000000002</v>
      </c>
      <c r="C14" s="32" t="s">
        <v>40</v>
      </c>
      <c r="D14" s="29" t="s">
        <v>2</v>
      </c>
      <c r="E14" s="58">
        <v>52.837980000000009</v>
      </c>
      <c r="F14" s="7">
        <v>97000</v>
      </c>
      <c r="G14" s="6">
        <f t="shared" ref="G14" si="4">F14*E14</f>
        <v>5125284.0600000005</v>
      </c>
      <c r="H14" s="33"/>
    </row>
    <row r="15" spans="1:8" ht="15" x14ac:dyDescent="0.3">
      <c r="A15" s="20">
        <v>3</v>
      </c>
      <c r="B15" s="21"/>
      <c r="C15" s="31" t="s">
        <v>28</v>
      </c>
      <c r="D15" s="18"/>
      <c r="E15" s="18"/>
      <c r="F15" s="18"/>
      <c r="G15" s="4">
        <f>SUM(G16:G16)</f>
        <v>825000</v>
      </c>
      <c r="H15" s="33"/>
    </row>
    <row r="16" spans="1:8" ht="30" x14ac:dyDescent="0.3">
      <c r="A16" s="23"/>
      <c r="B16" s="27">
        <v>3.2</v>
      </c>
      <c r="C16" s="32" t="s">
        <v>35</v>
      </c>
      <c r="D16" s="30" t="s">
        <v>3</v>
      </c>
      <c r="E16" s="57">
        <v>125</v>
      </c>
      <c r="F16" s="7">
        <v>6600</v>
      </c>
      <c r="G16" s="6">
        <f>F16*E16</f>
        <v>825000</v>
      </c>
      <c r="H16" s="33"/>
    </row>
    <row r="17" spans="1:8" ht="15" x14ac:dyDescent="0.3">
      <c r="A17" s="20">
        <v>4</v>
      </c>
      <c r="B17" s="21"/>
      <c r="C17" s="31" t="s">
        <v>29</v>
      </c>
      <c r="D17" s="24"/>
      <c r="E17" s="19"/>
      <c r="F17" s="18"/>
      <c r="G17" s="4">
        <f>SUM(G18:G23)</f>
        <v>16231215</v>
      </c>
      <c r="H17" s="33"/>
    </row>
    <row r="18" spans="1:8" ht="45" x14ac:dyDescent="0.3">
      <c r="A18" s="23"/>
      <c r="B18" s="27">
        <v>4.0999999999999996</v>
      </c>
      <c r="C18" s="32" t="s">
        <v>41</v>
      </c>
      <c r="D18" s="30" t="s">
        <v>2</v>
      </c>
      <c r="E18" s="56">
        <v>513.38</v>
      </c>
      <c r="F18" s="5">
        <v>19500</v>
      </c>
      <c r="G18" s="6">
        <f t="shared" ref="G18" si="5">F18*E18</f>
        <v>10010910</v>
      </c>
      <c r="H18" s="33"/>
    </row>
    <row r="19" spans="1:8" ht="45" x14ac:dyDescent="0.3">
      <c r="A19" s="23"/>
      <c r="B19" s="27">
        <v>4.2</v>
      </c>
      <c r="C19" s="32" t="s">
        <v>42</v>
      </c>
      <c r="D19" s="30" t="s">
        <v>3</v>
      </c>
      <c r="E19" s="56">
        <v>55</v>
      </c>
      <c r="F19" s="5">
        <v>10200</v>
      </c>
      <c r="G19" s="6">
        <f t="shared" ref="G19" si="6">F19*E19</f>
        <v>561000</v>
      </c>
      <c r="H19" s="33"/>
    </row>
    <row r="20" spans="1:8" ht="30" x14ac:dyDescent="0.3">
      <c r="A20" s="23"/>
      <c r="B20" s="27">
        <v>4.3</v>
      </c>
      <c r="C20" s="32" t="s">
        <v>43</v>
      </c>
      <c r="D20" s="30" t="s">
        <v>2</v>
      </c>
      <c r="E20" s="56">
        <v>35</v>
      </c>
      <c r="F20" s="5">
        <v>11400</v>
      </c>
      <c r="G20" s="6">
        <f t="shared" ref="G20" si="7">F20*E20</f>
        <v>399000</v>
      </c>
      <c r="H20" s="33"/>
    </row>
    <row r="21" spans="1:8" ht="30" x14ac:dyDescent="0.3">
      <c r="A21" s="23"/>
      <c r="B21" s="27">
        <v>4.4000000000000004</v>
      </c>
      <c r="C21" s="32" t="s">
        <v>47</v>
      </c>
      <c r="D21" s="30" t="s">
        <v>2</v>
      </c>
      <c r="E21" s="56">
        <v>270.3</v>
      </c>
      <c r="F21" s="5">
        <v>12600</v>
      </c>
      <c r="G21" s="6">
        <f t="shared" ref="G21:G23" si="8">F21*E21</f>
        <v>3405780</v>
      </c>
      <c r="H21" s="33"/>
    </row>
    <row r="22" spans="1:8" ht="30" x14ac:dyDescent="0.3">
      <c r="A22" s="23"/>
      <c r="B22" s="27">
        <v>4.5</v>
      </c>
      <c r="C22" s="32" t="s">
        <v>48</v>
      </c>
      <c r="D22" s="30" t="s">
        <v>3</v>
      </c>
      <c r="E22" s="56">
        <v>108.25</v>
      </c>
      <c r="F22" s="5">
        <v>11700</v>
      </c>
      <c r="G22" s="6">
        <f t="shared" si="8"/>
        <v>1266525</v>
      </c>
      <c r="H22" s="33"/>
    </row>
    <row r="23" spans="1:8" ht="30" x14ac:dyDescent="0.3">
      <c r="A23" s="23"/>
      <c r="B23" s="27">
        <v>4.5999999999999996</v>
      </c>
      <c r="C23" s="32" t="s">
        <v>49</v>
      </c>
      <c r="D23" s="30" t="s">
        <v>3</v>
      </c>
      <c r="E23" s="56">
        <v>42</v>
      </c>
      <c r="F23" s="5">
        <v>14000</v>
      </c>
      <c r="G23" s="6">
        <f t="shared" si="8"/>
        <v>588000</v>
      </c>
      <c r="H23" s="33"/>
    </row>
    <row r="24" spans="1:8" ht="21.75" customHeight="1" x14ac:dyDescent="0.3">
      <c r="A24" s="20">
        <v>5</v>
      </c>
      <c r="B24" s="21"/>
      <c r="C24" s="31" t="s">
        <v>30</v>
      </c>
      <c r="D24" s="24"/>
      <c r="E24" s="19"/>
      <c r="F24" s="18"/>
      <c r="G24" s="4">
        <f>SUM(G25:G25)</f>
        <v>270000</v>
      </c>
    </row>
    <row r="25" spans="1:8" ht="21.75" customHeight="1" x14ac:dyDescent="0.3">
      <c r="A25" s="23"/>
      <c r="B25" s="27">
        <v>5.0999999999999996</v>
      </c>
      <c r="C25" s="32" t="s">
        <v>33</v>
      </c>
      <c r="D25" s="30" t="s">
        <v>27</v>
      </c>
      <c r="E25" s="17">
        <v>1</v>
      </c>
      <c r="F25" s="5">
        <v>270000</v>
      </c>
      <c r="G25" s="6">
        <f>F25*E25</f>
        <v>270000</v>
      </c>
    </row>
    <row r="26" spans="1:8" ht="21.75" customHeight="1" x14ac:dyDescent="0.3">
      <c r="A26" s="8"/>
      <c r="B26" s="9"/>
      <c r="C26" s="9"/>
      <c r="D26" s="53" t="s">
        <v>8</v>
      </c>
      <c r="E26" s="54"/>
      <c r="F26" s="55"/>
      <c r="G26" s="10">
        <f>+G24+G17+G15+G12+G6</f>
        <v>29193027.359999999</v>
      </c>
    </row>
    <row r="27" spans="1:8" ht="21.75" customHeight="1" x14ac:dyDescent="0.3">
      <c r="A27" s="8"/>
      <c r="B27" s="9"/>
      <c r="C27" s="9"/>
      <c r="D27" s="40" t="s">
        <v>9</v>
      </c>
      <c r="E27" s="41"/>
      <c r="F27" s="11">
        <v>0.1</v>
      </c>
      <c r="G27" s="12">
        <f>+$G$26*F27</f>
        <v>2919302.736</v>
      </c>
    </row>
    <row r="28" spans="1:8" ht="21.75" customHeight="1" x14ac:dyDescent="0.3">
      <c r="A28" s="8"/>
      <c r="B28" s="9"/>
      <c r="C28" s="9"/>
      <c r="D28" s="40" t="s">
        <v>10</v>
      </c>
      <c r="E28" s="41"/>
      <c r="F28" s="11">
        <v>7.0000000000000007E-2</v>
      </c>
      <c r="G28" s="12">
        <f>+$G$26*F28</f>
        <v>2043511.9152000002</v>
      </c>
    </row>
    <row r="29" spans="1:8" ht="15" x14ac:dyDescent="0.3">
      <c r="A29" s="8"/>
      <c r="B29" s="9"/>
      <c r="C29" s="9"/>
      <c r="D29" s="40" t="s">
        <v>11</v>
      </c>
      <c r="E29" s="41"/>
      <c r="F29" s="11">
        <v>0.05</v>
      </c>
      <c r="G29" s="12">
        <f>+$G$26*F29</f>
        <v>1459651.368</v>
      </c>
    </row>
    <row r="30" spans="1:8" ht="15" x14ac:dyDescent="0.3">
      <c r="A30" s="8"/>
      <c r="B30" s="9"/>
      <c r="C30" s="9"/>
      <c r="D30" s="40" t="s">
        <v>4</v>
      </c>
      <c r="E30" s="41"/>
      <c r="F30" s="11">
        <v>0.19</v>
      </c>
      <c r="G30" s="12">
        <f>+G29*F30</f>
        <v>277333.75991999998</v>
      </c>
    </row>
    <row r="31" spans="1:8" ht="15" x14ac:dyDescent="0.3">
      <c r="A31" s="8"/>
      <c r="B31" s="9"/>
      <c r="C31" s="9"/>
      <c r="D31" s="37" t="s">
        <v>12</v>
      </c>
      <c r="E31" s="38"/>
      <c r="F31" s="39"/>
      <c r="G31" s="13">
        <f>+G27+G28+G29+G30</f>
        <v>6699799.7791200001</v>
      </c>
    </row>
    <row r="32" spans="1:8" ht="15" x14ac:dyDescent="0.3">
      <c r="A32" s="8"/>
      <c r="B32" s="9"/>
      <c r="C32" s="9"/>
      <c r="D32" s="34" t="s">
        <v>13</v>
      </c>
      <c r="E32" s="35"/>
      <c r="F32" s="36"/>
      <c r="G32" s="14">
        <f>+G26+G31</f>
        <v>35892827.139119998</v>
      </c>
    </row>
  </sheetData>
  <mergeCells count="14">
    <mergeCell ref="D32:F32"/>
    <mergeCell ref="D31:F31"/>
    <mergeCell ref="D30:E30"/>
    <mergeCell ref="A1:G1"/>
    <mergeCell ref="D29:E29"/>
    <mergeCell ref="D28:E28"/>
    <mergeCell ref="D27:E27"/>
    <mergeCell ref="A2:B2"/>
    <mergeCell ref="A3:B3"/>
    <mergeCell ref="D3:E3"/>
    <mergeCell ref="A4:B4"/>
    <mergeCell ref="D4:E4"/>
    <mergeCell ref="F2:G4"/>
    <mergeCell ref="D26:F26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3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2025-04-26T17:30:53Z</dcterms:modified>
  <cp:category/>
  <cp:contentStatus/>
</cp:coreProperties>
</file>