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ISDOC\EDIFICIO LAURES EPIC APART\"/>
    </mc:Choice>
  </mc:AlternateContent>
  <bookViews>
    <workbookView xWindow="0" yWindow="0" windowWidth="20490" windowHeight="7350"/>
  </bookViews>
  <sheets>
    <sheet name="Formato Cot." sheetId="1" r:id="rId1"/>
    <sheet name="Cantidades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__EST12">#REF!</definedName>
    <definedName name="__aiu2">[1]AIU!$J$105</definedName>
    <definedName name="__EST1">#REF!</definedName>
    <definedName name="__EST10">#REF!</definedName>
    <definedName name="__EST11">#REF!</definedName>
    <definedName name="__EST12">#REF!</definedName>
    <definedName name="__EST13">#REF!</definedName>
    <definedName name="__EST14">#REF!</definedName>
    <definedName name="__EST15">#REF!</definedName>
    <definedName name="__EST16">#REF!</definedName>
    <definedName name="__EST17">#REF!</definedName>
    <definedName name="__EST18">#REF!</definedName>
    <definedName name="__EST19">#REF!</definedName>
    <definedName name="__EST2">#REF!</definedName>
    <definedName name="__EST23">#REF!</definedName>
    <definedName name="__EST3">#REF!</definedName>
    <definedName name="__EST4">#REF!</definedName>
    <definedName name="__EST5">#REF!</definedName>
    <definedName name="__EST6">#REF!</definedName>
    <definedName name="__EST7">#REF!</definedName>
    <definedName name="__EST8">#REF!</definedName>
    <definedName name="__EST9">#REF!</definedName>
    <definedName name="__EXC1">#REF!</definedName>
    <definedName name="__EXC10">#REF!</definedName>
    <definedName name="__EXC11">#REF!</definedName>
    <definedName name="__EXC12">#REF!</definedName>
    <definedName name="__EXC2">#REF!</definedName>
    <definedName name="__EXC3">#REF!</definedName>
    <definedName name="__EXC4">#REF!</definedName>
    <definedName name="__EXC5">#REF!</definedName>
    <definedName name="__EXC6">#REF!</definedName>
    <definedName name="__EXC7">#REF!</definedName>
    <definedName name="__EXC8">#REF!</definedName>
    <definedName name="__EXC9">#REF!</definedName>
    <definedName name="__IPC2002">#REF!</definedName>
    <definedName name="_aiu2">[1]AIU!$J$105</definedName>
    <definedName name="_EST1">#REF!</definedName>
    <definedName name="_EST10">#REF!</definedName>
    <definedName name="_EST11">#REF!</definedName>
    <definedName name="_EST12">#REF!</definedName>
    <definedName name="_EST13">#REF!</definedName>
    <definedName name="_EST14">#REF!</definedName>
    <definedName name="_EST15">#REF!</definedName>
    <definedName name="_EST16">#REF!</definedName>
    <definedName name="_EST17">#REF!</definedName>
    <definedName name="_EST18">#REF!</definedName>
    <definedName name="_EST19">#REF!</definedName>
    <definedName name="_EST2">#REF!</definedName>
    <definedName name="_EST23">#REF!</definedName>
    <definedName name="_EST3">#REF!</definedName>
    <definedName name="_EST4">#REF!</definedName>
    <definedName name="_EST5">#REF!</definedName>
    <definedName name="_EST6">#REF!</definedName>
    <definedName name="_EST7">#REF!</definedName>
    <definedName name="_EST8">#REF!</definedName>
    <definedName name="_EST9">#REF!</definedName>
    <definedName name="_EXC1">#REF!</definedName>
    <definedName name="_EXC10">#REF!</definedName>
    <definedName name="_EXC11">#REF!</definedName>
    <definedName name="_EXC12">#REF!</definedName>
    <definedName name="_EXC2">#REF!</definedName>
    <definedName name="_EXC3">#REF!</definedName>
    <definedName name="_EXC4">#REF!</definedName>
    <definedName name="_EXC5">#REF!</definedName>
    <definedName name="_EXC6">#REF!</definedName>
    <definedName name="_EXC7">#REF!</definedName>
    <definedName name="_EXC8">#REF!</definedName>
    <definedName name="_EXC9">#REF!</definedName>
    <definedName name="a">#REF!</definedName>
    <definedName name="ab">#REF!</definedName>
    <definedName name="AccessDatabase" hidden="1">"A:\SAIN.mdb"</definedName>
    <definedName name="AFIRMADO">#REF!</definedName>
    <definedName name="Agua">#REF!</definedName>
    <definedName name="ALAMBREG">#REF!</definedName>
    <definedName name="ALAMBREN">#REF!</definedName>
    <definedName name="AMARRA">#REF!</definedName>
    <definedName name="angulo316">#REF!</definedName>
    <definedName name="anticorrosivo">#REF!</definedName>
    <definedName name="Antisol">#REF!</definedName>
    <definedName name="ARBUSTO">#REF!</definedName>
    <definedName name="_xlnm.Print_Area" localSheetId="0">'Formato Cot.'!$A$3:$F$64</definedName>
    <definedName name="_xlnm.Print_Area">#REF!</definedName>
    <definedName name="Arena">#REF!</definedName>
    <definedName name="ASFALTOL">#REF!</definedName>
    <definedName name="AsfaltoS">#REF!</definedName>
    <definedName name="b">#REF!</definedName>
    <definedName name="Balasto">#REF!</definedName>
    <definedName name="Base">#REF!</definedName>
    <definedName name="bisagra">#REF!</definedName>
    <definedName name="blancoz">[2]INSUMOS!$G$175</definedName>
    <definedName name="BULLDOZER">#REF!</definedName>
    <definedName name="caballete">#REF!</definedName>
    <definedName name="CalendarYear">[3]Enero!$K$5</definedName>
    <definedName name="CAOLIN">[2]INSUMOS!$G$183</definedName>
    <definedName name="cara">#REF!</definedName>
    <definedName name="Cargador">#REF!</definedName>
    <definedName name="Carrotanque">#REF!</definedName>
    <definedName name="CEMENTO">[4]Insum!$A$3:$H$63</definedName>
    <definedName name="cementob">[2]INSUMOS!$G$174</definedName>
    <definedName name="CEMENTOG">#REF!</definedName>
    <definedName name="Cementogris">#REF!</definedName>
    <definedName name="ceramica">[2]INSUMOS!$G$178</definedName>
    <definedName name="chapa">#REF!</definedName>
    <definedName name="CILINDROC">#REF!</definedName>
    <definedName name="cilindros">#REF!</definedName>
    <definedName name="codo">[2]INSUMOS!$G$108</definedName>
    <definedName name="codog2">#REF!</definedName>
    <definedName name="codos">#REF!</definedName>
    <definedName name="codosi">#REF!</definedName>
    <definedName name="COMPACTADO">#REF!</definedName>
    <definedName name="COMPACTADOR">#REF!</definedName>
    <definedName name="COMPDELLANTAS">#REF!</definedName>
    <definedName name="COMPRESOR">#REF!</definedName>
    <definedName name="Concretadora">#REF!</definedName>
    <definedName name="CONCRETO">[5]UNITARIOS!$H$9</definedName>
    <definedName name="CONCRETOAS">#REF!</definedName>
    <definedName name="CONCRETOASF">#REF!</definedName>
    <definedName name="CONCRETOC">#REF!</definedName>
    <definedName name="CONCRETOCI">#REF!</definedName>
    <definedName name="Cortadora">#REF!</definedName>
    <definedName name="CUADRILLAS">[6]Salario!$A$57:$C$88</definedName>
    <definedName name="CUARTON">[2]INSUMOS!$G$127</definedName>
    <definedName name="curva">"Chart 11"</definedName>
    <definedName name="D">#REF!</definedName>
    <definedName name="DaysAndWeeks">{0,1,2,3,4,5,6} + {0;1;2;3;4;5}*7</definedName>
    <definedName name="densidad">#REF!</definedName>
    <definedName name="densidadl">#REF!</definedName>
    <definedName name="DREN">#REF!</definedName>
    <definedName name="e">#REF!</definedName>
    <definedName name="EASFALTOS">#REF!</definedName>
    <definedName name="EMULSIÓN">#REF!</definedName>
    <definedName name="enchape">[2]INSUMOS!$G$177</definedName>
    <definedName name="EQUI">[7]EQUIPO!$B$2:$B$36</definedName>
    <definedName name="EQUIPO_1">[7]EQUIPO!$B$2:$D$36</definedName>
    <definedName name="esmalte">[2]INSUMOS!$G$133</definedName>
    <definedName name="ESPECIFICACION">#REF!</definedName>
    <definedName name="espejo">[2]INSUMOS!$G$186</definedName>
    <definedName name="ESTUCOA">#REF!</definedName>
    <definedName name="ETENSIÓN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7">#REF!</definedName>
    <definedName name="Excel_BuiltIn_Print_Titles_1">#REF!</definedName>
    <definedName name="Excel_BuiltIn_Print_Titles_1_1">#REF!</definedName>
    <definedName name="Excel_BuiltIn_Print_Titles_1_1_1">#REF!</definedName>
    <definedName name="Excel_BuiltIn_Print_Titles_3">'[8]COSTOS OFICINA'!#REF!</definedName>
    <definedName name="Excel_BuiltIn_Print_Titles_4">'[8]COSTOS CAMPAMENTO'!#REF!</definedName>
    <definedName name="Festivos">'[9]días habiles 2015'!$D$2:$D$21</definedName>
    <definedName name="fgdf">#REF!</definedName>
    <definedName name="fgfsdfds">#REF!</definedName>
    <definedName name="fijamix">[2]INSUMOS!$G$179</definedName>
    <definedName name="Fin_de_semana">'[9]días habiles 2015'!$M$1:$M$2</definedName>
    <definedName name="FINISHER">#REF!</definedName>
    <definedName name="Fogoni">#REF!</definedName>
    <definedName name="formaletae">#REF!</definedName>
    <definedName name="FormaletaP">#REF!</definedName>
    <definedName name="FormaletaS">#REF!</definedName>
    <definedName name="fresadora">#REF!</definedName>
    <definedName name="gdfg">#REF!</definedName>
    <definedName name="geomallab">#REF!</definedName>
    <definedName name="geomallau">#REF!</definedName>
    <definedName name="GEOTEXTILNT">#REF!</definedName>
    <definedName name="GEOTEXTILT">#REF!</definedName>
    <definedName name="gfdg">#REF!</definedName>
    <definedName name="GRANO2">#REF!</definedName>
    <definedName name="granulometria">#REF!</definedName>
    <definedName name="Grava">#REF!</definedName>
    <definedName name="GUADUAS">#REF!</definedName>
    <definedName name="Hierro">#REF!</definedName>
    <definedName name="HIERROMEDIA">[10]INSUMOS!$G$35</definedName>
    <definedName name="inf">#REF!</definedName>
    <definedName name="InicioDeLaSemana">[3]Enero!$L$5</definedName>
    <definedName name="INSUMOS">[6]INSUMOS!$A:$C</definedName>
    <definedName name="Irrigador">#REF!</definedName>
    <definedName name="j">#REF!</definedName>
    <definedName name="JAIME">#REF!</definedName>
    <definedName name="JAme">#REF!</definedName>
    <definedName name="jk">#REF!</definedName>
    <definedName name="K0F1">#REF!</definedName>
    <definedName name="K0F2">#REF!</definedName>
    <definedName name="K10ALO">#REF!</definedName>
    <definedName name="K11ALO">#REF!</definedName>
    <definedName name="K1F1">#REF!</definedName>
    <definedName name="K1F2">#REF!</definedName>
    <definedName name="K2F1">#REF!</definedName>
    <definedName name="K2F2">#REF!</definedName>
    <definedName name="K3F1">#REF!</definedName>
    <definedName name="K3F2">#REF!</definedName>
    <definedName name="K4F1">#REF!</definedName>
    <definedName name="K4F2">#REF!</definedName>
    <definedName name="K5F1">#REF!</definedName>
    <definedName name="K5F2">#REF!</definedName>
    <definedName name="K6F1">#REF!</definedName>
    <definedName name="K6F2">#REF!</definedName>
    <definedName name="K7F1">#REF!</definedName>
    <definedName name="K7F2">#REF!</definedName>
    <definedName name="K8ALO">#REF!</definedName>
    <definedName name="K8F1">#REF!</definedName>
    <definedName name="K8F2">#REF!</definedName>
    <definedName name="K9ALO">#REF!</definedName>
    <definedName name="koraza">#REF!</definedName>
    <definedName name="ladrillot">[2]INSUMOS!$G$105</definedName>
    <definedName name="laminacr">#REF!</definedName>
    <definedName name="lampara248">[2]INSUMOS!$G$187</definedName>
    <definedName name="LIGA">#REF!</definedName>
    <definedName name="lija">[2]INSUMOS!$G$134</definedName>
    <definedName name="limpiador">[2]INSUMOS!$G$110</definedName>
    <definedName name="lineadh">#REF!</definedName>
    <definedName name="mac">#REF!</definedName>
    <definedName name="MALLAE">#REF!</definedName>
    <definedName name="MALLAG">#REF!</definedName>
    <definedName name="MAQUINAR">[4]Insum!$A$68:$H$98</definedName>
    <definedName name="marmolina">#REF!</definedName>
    <definedName name="MATER">[7]MATERIAL!$B$3:$B$580</definedName>
    <definedName name="MATERIALES">[7]MATERIAL!$B$2:$D$580</definedName>
    <definedName name="MORTEROEPOXI">#REF!</definedName>
    <definedName name="Motoniveladora">#REF!</definedName>
    <definedName name="NADA">#REF!</definedName>
    <definedName name="Obra">#REF!</definedName>
    <definedName name="pegacor">[2]INSUMOS!$G$176</definedName>
    <definedName name="PERFORADOR">#REF!</definedName>
    <definedName name="perlin">#REF!</definedName>
    <definedName name="PIEDRA">#REF!</definedName>
    <definedName name="pintucoat">#REF!</definedName>
    <definedName name="pinturav">[2]INSUMOS!$G$182</definedName>
    <definedName name="Platina">#REF!</definedName>
    <definedName name="platina1">#REF!</definedName>
    <definedName name="PRADO">#REF!</definedName>
    <definedName name="PRESUPUESTO">[11]PPTO!$A$7:$F$178</definedName>
    <definedName name="Proponente">#REF!</definedName>
    <definedName name="prueba">#REF!</definedName>
    <definedName name="Puntilla">#REF!</definedName>
    <definedName name="Puntilla1">#REF!</definedName>
    <definedName name="pvcs2">#REF!</definedName>
    <definedName name="pvcs3">#REF!</definedName>
    <definedName name="pvcs4">#REF!</definedName>
    <definedName name="Q">#REF!</definedName>
    <definedName name="Rana">#REF!</definedName>
    <definedName name="RECICLADORA">#REF!</definedName>
    <definedName name="reduccion32">[2]INSUMOS!$G$181</definedName>
    <definedName name="refuerzo">[2]INSUMOS!$G$35</definedName>
    <definedName name="ReglaV">#REF!</definedName>
    <definedName name="REJAS">#REF!</definedName>
    <definedName name="REJAST">#REF!</definedName>
    <definedName name="RETRO">[12]INSUMOS!$G$80</definedName>
    <definedName name="rfref">#REF!</definedName>
    <definedName name="rodachin4">#REF!</definedName>
    <definedName name="S">#REF!</definedName>
    <definedName name="sanitario">[2]INSUMOS!$G$185</definedName>
    <definedName name="sdf">#REF!</definedName>
    <definedName name="segueta">#REF!</definedName>
    <definedName name="SELLADOR">#REF!</definedName>
    <definedName name="señalp">#REF!</definedName>
    <definedName name="SEÑALV">#REF!</definedName>
    <definedName name="sifon3">[2]INSUMOS!$G$180</definedName>
    <definedName name="SikaA">#REF!</definedName>
    <definedName name="SIKAROD">#REF!</definedName>
    <definedName name="soldadura">[2]INSUMOS!$G$111</definedName>
    <definedName name="soldaduram">#REF!</definedName>
    <definedName name="SOLDANIT">#REF!</definedName>
    <definedName name="Subbase">#REF!</definedName>
    <definedName name="Tabla">#REF!</definedName>
    <definedName name="Taladro">#REF!</definedName>
    <definedName name="tanquer">#REF!</definedName>
    <definedName name="tee">[2]INSUMOS!$G$109</definedName>
    <definedName name="teflon">[2]INSUMOS!$G$173</definedName>
    <definedName name="TEJA8">#REF!</definedName>
    <definedName name="thinner">[2]INSUMOS!$G$132</definedName>
    <definedName name="TIERRA">#REF!</definedName>
    <definedName name="TRANSPORTE">#REF!</definedName>
    <definedName name="Triturado">#REF!</definedName>
    <definedName name="tuberia">[2]INSUMOS!$G$112</definedName>
    <definedName name="tubocuadrado">#REF!</definedName>
    <definedName name="TUBODIEZ">#REF!</definedName>
    <definedName name="tubodoce">#REF!</definedName>
    <definedName name="TUBODREN">#REF!</definedName>
    <definedName name="tubog2">#REF!</definedName>
    <definedName name="TUBOOCHO">#REF!</definedName>
    <definedName name="tuboveinticuatro">#REF!</definedName>
    <definedName name="Ubicación">#REF!</definedName>
    <definedName name="Unidades">[13]Presup_Cancha!$J$14:$J$18</definedName>
    <definedName name="UNITARIO">[14]Unitarios!$A$3:$D$13</definedName>
    <definedName name="Unitarios">#REF!</definedName>
    <definedName name="v">#REF!</definedName>
    <definedName name="valineras">#REF!</definedName>
    <definedName name="VARETA">#REF!</definedName>
    <definedName name="varilla5">#REF!</definedName>
    <definedName name="Vibrador">#REF!</definedName>
    <definedName name="Vibro">#REF!</definedName>
    <definedName name="visagra">#REF!</definedName>
    <definedName name="Volqueta">[12]INSUMOS!$G$30</definedName>
    <definedName name="WSERWEER">'[8]COSTOS OFICINA'!#REF!</definedName>
    <definedName name="YESO">[2]INSUMOS!$G$184</definedName>
    <definedName name="z">#REF!</definedName>
  </definedNames>
  <calcPr calcId="162913"/>
</workbook>
</file>

<file path=xl/calcChain.xml><?xml version="1.0" encoding="utf-8"?>
<calcChain xmlns="http://schemas.openxmlformats.org/spreadsheetml/2006/main">
  <c r="F25" i="1" l="1"/>
  <c r="F24" i="1"/>
  <c r="F23" i="1"/>
  <c r="F29" i="1"/>
  <c r="F36" i="1"/>
  <c r="F35" i="1"/>
  <c r="F34" i="1"/>
  <c r="F33" i="1"/>
  <c r="O13" i="3" l="1"/>
  <c r="N13" i="3"/>
  <c r="O12" i="3"/>
  <c r="N12" i="3"/>
  <c r="O11" i="3"/>
  <c r="N11" i="3"/>
  <c r="O10" i="3"/>
  <c r="N10" i="3"/>
  <c r="O9" i="3"/>
  <c r="N9" i="3"/>
  <c r="O8" i="3"/>
  <c r="N8" i="3"/>
  <c r="O7" i="3"/>
  <c r="N7" i="3"/>
  <c r="O6" i="3"/>
  <c r="N6" i="3"/>
  <c r="O5" i="3"/>
  <c r="N5" i="3"/>
  <c r="F19" i="1" l="1"/>
  <c r="F18" i="1"/>
  <c r="F17" i="1"/>
  <c r="F13" i="1"/>
  <c r="F38" i="1" s="1"/>
  <c r="F41" i="1" l="1"/>
  <c r="F43" i="1" l="1"/>
  <c r="F44" i="1" s="1"/>
  <c r="F42" i="1"/>
  <c r="F45" i="1" s="1"/>
  <c r="F47" i="1" s="1"/>
</calcChain>
</file>

<file path=xl/sharedStrings.xml><?xml version="1.0" encoding="utf-8"?>
<sst xmlns="http://schemas.openxmlformats.org/spreadsheetml/2006/main" count="152" uniqueCount="79">
  <si>
    <t>Fecha</t>
  </si>
  <si>
    <t>ITEM</t>
  </si>
  <si>
    <t>NOMBRE</t>
  </si>
  <si>
    <t xml:space="preserve">UN </t>
  </si>
  <si>
    <t>CANTIDAD</t>
  </si>
  <si>
    <t>VR / UNITARIO</t>
  </si>
  <si>
    <t>VR. TOTAL</t>
  </si>
  <si>
    <t>M2</t>
  </si>
  <si>
    <t>ML</t>
  </si>
  <si>
    <t>2.</t>
  </si>
  <si>
    <t>Total Costos Directos</t>
  </si>
  <si>
    <t>COSTOS INDIRECTOS CONTRUCCIÓN</t>
  </si>
  <si>
    <t>ADMINISTRACION</t>
  </si>
  <si>
    <t>IMPREVISTOS</t>
  </si>
  <si>
    <t>UTILIDAD</t>
  </si>
  <si>
    <t>IVA 19% SOBRE LA UTILIDAD</t>
  </si>
  <si>
    <t>Total Costos Indirectos</t>
  </si>
  <si>
    <t>VALOR TOTAL DE PRESUPUESTO:</t>
  </si>
  <si>
    <t>NOMBRE DE LA EMPRESA PROPONENTE</t>
  </si>
  <si>
    <t>NIT PROPONENTE</t>
  </si>
  <si>
    <t>Nombre Representante legal</t>
  </si>
  <si>
    <t>Representante legal</t>
  </si>
  <si>
    <t>C.C. Rep. Legal</t>
  </si>
  <si>
    <t>VALOR DE LA PROPUESTA EN LETRAS</t>
  </si>
  <si>
    <t>EDIFICIO LAURELES EPIC</t>
  </si>
  <si>
    <t>NIT. 901.122.961-5</t>
  </si>
  <si>
    <t>PLAZO DE ENTREGA:  (DIAS  CALENDARIO)</t>
  </si>
  <si>
    <t>Indicaciones para llenar el presente formato: complete las casillas en amarillo con los valores propuestos, ajuste su propuesta a los materiales especificados en la descripción de la casilla "NOMBRE" e incluya en filas adicionales actividades no estipuladas que considere necesarias para la ejecución de su trabajo. En la hoja "Cantidades" puede verificar el cuadro de medidas de cada fachada.</t>
  </si>
  <si>
    <t>FACHADA SUR</t>
  </si>
  <si>
    <t>FACHADA ORIENTAL</t>
  </si>
  <si>
    <t>FACHADA NORTE</t>
  </si>
  <si>
    <t>FACHADA OCCIDENTAL</t>
  </si>
  <si>
    <t>ACTIVIDAD</t>
  </si>
  <si>
    <t>CANT</t>
  </si>
  <si>
    <t>UND</t>
  </si>
  <si>
    <t>TOTAL</t>
  </si>
  <si>
    <t>Pintura</t>
  </si>
  <si>
    <t>m2</t>
  </si>
  <si>
    <t>Dilatación fachada</t>
  </si>
  <si>
    <t>ml</t>
  </si>
  <si>
    <t>Sello fachada</t>
  </si>
  <si>
    <t>Sello Ventanas</t>
  </si>
  <si>
    <t>Sello Balcones</t>
  </si>
  <si>
    <t>Alfajias</t>
  </si>
  <si>
    <t>Ventanas Vidrios</t>
  </si>
  <si>
    <t>Ventanas</t>
  </si>
  <si>
    <t>Balcones Vidrios</t>
  </si>
  <si>
    <t xml:space="preserve">CIELORRASO </t>
  </si>
  <si>
    <t>Zona Portería</t>
  </si>
  <si>
    <t>Gimnasio</t>
  </si>
  <si>
    <t>FORMATO PARA COTIZACIÓN DE MANTENIMIENTO DE FACHADA</t>
  </si>
  <si>
    <t>Versión 1 - 16-08-23</t>
  </si>
  <si>
    <t>Aseo final de ventanas y balcones</t>
  </si>
  <si>
    <t xml:space="preserve">Adecuación de almacén de obra </t>
  </si>
  <si>
    <t>Escotillas de inspección</t>
  </si>
  <si>
    <t>Barrera de protección</t>
  </si>
  <si>
    <t>Aseo final de obra</t>
  </si>
  <si>
    <t>ALFAJÍAS</t>
  </si>
  <si>
    <t>FACHADA EN SUPERBOARD</t>
  </si>
  <si>
    <t>Lavado de fachada (incluye hidrolavadora y aplcación de cloro para eliminar hongos)</t>
  </si>
  <si>
    <t xml:space="preserve">Retiro y aplicación de sellos de poliuretano (incluye limpieza con pulidora y aplicación de Sikaflex 1A) </t>
  </si>
  <si>
    <t xml:space="preserve">Demolición y reconstrucción de alfajías (incluye formaleta, acero, fundida en concreto e impermeabilización con broncoelástico gris)  </t>
  </si>
  <si>
    <t xml:space="preserve">VENTANERIA Y BALCONES </t>
  </si>
  <si>
    <t>Retiro e instalación de sellos de silicona en ventanas y rejillas de ventilación (silicona antihongos Sikasil C)</t>
  </si>
  <si>
    <t>Retiro e instalación de sellos de silicona en balcones (silicona antihongos Sikasil C)</t>
  </si>
  <si>
    <t>1.1</t>
  </si>
  <si>
    <t>2.1</t>
  </si>
  <si>
    <t>2.2</t>
  </si>
  <si>
    <t>2.3</t>
  </si>
  <si>
    <t>CIELOS RASOS</t>
  </si>
  <si>
    <t>3.1</t>
  </si>
  <si>
    <t>OTRAS ACTIVIDADES</t>
  </si>
  <si>
    <t>3.2</t>
  </si>
  <si>
    <t>3.3</t>
  </si>
  <si>
    <t>4.1</t>
  </si>
  <si>
    <t>5.1</t>
  </si>
  <si>
    <t>GBL</t>
  </si>
  <si>
    <t>Estuco y pintura de cielos rasos en zonas comunes (incluye suministro de estuco acrílico Pintuco  y pintura Koraza de Pintuco)</t>
  </si>
  <si>
    <t>Pintura KORAZA de Pintuco a dos manos según colores de fachada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</si>
</sst>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000%"/>
    <numFmt numFmtId="166" formatCode="_ * #,##0_ ;_ * \-#,##0_ ;_ * &quot;-&quot;??_ ;_ @_ "/>
    <numFmt numFmtId="167" formatCode="_-&quot;$&quot;\ * #,##0.00000_-;\-&quot;$&quot;\ * #,##0.00000_-;_-&quot;$&quot;\ * &quot;-&quot;??_-;_-@_-"/>
    <numFmt numFmtId="168" formatCode="d"/>
    <numFmt numFmtId="169" formatCode="#,##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sz val="1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i/>
      <sz val="16"/>
      <name val="Arial"/>
      <family val="2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2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" fillId="3" borderId="0" applyNumberFormat="0" applyFont="0" applyBorder="0" applyAlignment="0">
      <alignment horizontal="left" vertical="center" indent="1"/>
    </xf>
    <xf numFmtId="168" fontId="9" fillId="0" borderId="0">
      <alignment horizontal="left" indent="1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/>
    <xf numFmtId="0" fontId="4" fillId="0" borderId="0"/>
    <xf numFmtId="0" fontId="4" fillId="0" borderId="0" applyNumberFormat="0"/>
  </cellStyleXfs>
  <cellXfs count="86">
    <xf numFmtId="0" fontId="0" fillId="0" borderId="0" xfId="0"/>
    <xf numFmtId="3" fontId="3" fillId="0" borderId="0" xfId="1" applyNumberFormat="1" applyFont="1" applyAlignment="1" applyProtection="1">
      <alignment horizontal="right" vertical="center"/>
      <protection hidden="1"/>
    </xf>
    <xf numFmtId="164" fontId="4" fillId="0" borderId="0" xfId="3" applyNumberFormat="1" applyFont="1" applyFill="1" applyAlignment="1">
      <alignment horizontal="center" vertical="center"/>
    </xf>
    <xf numFmtId="164" fontId="4" fillId="0" borderId="0" xfId="2" applyNumberFormat="1" applyFont="1" applyFill="1" applyBorder="1" applyAlignment="1">
      <alignment horizontal="right" vertical="center"/>
    </xf>
    <xf numFmtId="164" fontId="4" fillId="0" borderId="0" xfId="3" applyNumberFormat="1" applyFont="1" applyFill="1" applyBorder="1" applyAlignment="1">
      <alignment horizontal="center" vertical="center"/>
    </xf>
    <xf numFmtId="167" fontId="4" fillId="0" borderId="0" xfId="3" applyNumberFormat="1" applyFont="1" applyFill="1" applyAlignment="1">
      <alignment horizontal="center" vertical="center"/>
    </xf>
    <xf numFmtId="164" fontId="4" fillId="0" borderId="0" xfId="2" applyNumberFormat="1" applyFont="1" applyFill="1" applyAlignment="1">
      <alignment horizontal="right" vertical="center"/>
    </xf>
    <xf numFmtId="0" fontId="11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 wrapText="1"/>
    </xf>
    <xf numFmtId="14" fontId="3" fillId="4" borderId="0" xfId="1" applyNumberFormat="1" applyFont="1" applyFill="1" applyAlignment="1">
      <alignment horizontal="center" vertical="center" wrapText="1"/>
    </xf>
    <xf numFmtId="0" fontId="3" fillId="0" borderId="0" xfId="1" applyFont="1" applyAlignment="1">
      <alignment horizontal="right" vertical="center" wrapText="1"/>
    </xf>
    <xf numFmtId="0" fontId="3" fillId="2" borderId="1" xfId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 wrapText="1"/>
    </xf>
    <xf numFmtId="164" fontId="3" fillId="2" borderId="1" xfId="2" applyNumberFormat="1" applyFont="1" applyFill="1" applyBorder="1" applyAlignment="1">
      <alignment horizontal="center" vertical="center" wrapText="1"/>
    </xf>
    <xf numFmtId="164" fontId="3" fillId="2" borderId="1" xfId="3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left" vertical="center" wrapText="1"/>
    </xf>
    <xf numFmtId="0" fontId="12" fillId="0" borderId="0" xfId="1" applyFont="1" applyAlignment="1">
      <alignment horizontal="left" vertical="center" wrapText="1"/>
    </xf>
    <xf numFmtId="0" fontId="3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 wrapText="1"/>
    </xf>
    <xf numFmtId="3" fontId="4" fillId="0" borderId="1" xfId="1" applyNumberFormat="1" applyFont="1" applyBorder="1" applyAlignment="1">
      <alignment horizontal="right" vertical="center" wrapText="1"/>
    </xf>
    <xf numFmtId="164" fontId="3" fillId="0" borderId="1" xfId="2" applyNumberFormat="1" applyFont="1" applyFill="1" applyBorder="1" applyAlignment="1">
      <alignment horizontal="right" vertical="center" wrapText="1"/>
    </xf>
    <xf numFmtId="164" fontId="3" fillId="0" borderId="1" xfId="2" applyNumberFormat="1" applyFont="1" applyFill="1" applyBorder="1" applyAlignment="1">
      <alignment horizontal="center" vertical="center" wrapText="1"/>
    </xf>
    <xf numFmtId="164" fontId="11" fillId="0" borderId="0" xfId="1" applyNumberFormat="1" applyFont="1" applyAlignment="1">
      <alignment horizontal="left" vertical="center"/>
    </xf>
    <xf numFmtId="164" fontId="3" fillId="4" borderId="1" xfId="2" applyNumberFormat="1" applyFont="1" applyFill="1" applyBorder="1" applyAlignment="1">
      <alignment horizontal="center" vertical="center" wrapText="1"/>
    </xf>
    <xf numFmtId="9" fontId="4" fillId="0" borderId="0" xfId="4" applyFont="1" applyAlignment="1">
      <alignment horizontal="left" vertical="center"/>
    </xf>
    <xf numFmtId="165" fontId="11" fillId="0" borderId="0" xfId="1" applyNumberFormat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164" fontId="4" fillId="0" borderId="0" xfId="1" applyNumberFormat="1" applyFont="1" applyAlignment="1">
      <alignment vertical="center"/>
    </xf>
    <xf numFmtId="166" fontId="4" fillId="0" borderId="0" xfId="3" applyNumberFormat="1" applyFont="1" applyFill="1" applyBorder="1" applyAlignment="1" applyProtection="1">
      <alignment vertical="center"/>
      <protection hidden="1"/>
    </xf>
    <xf numFmtId="3" fontId="4" fillId="0" borderId="0" xfId="1" applyNumberFormat="1" applyFont="1" applyAlignment="1">
      <alignment horizontal="center" vertical="center"/>
    </xf>
    <xf numFmtId="164" fontId="3" fillId="4" borderId="1" xfId="2" applyNumberFormat="1" applyFont="1" applyFill="1" applyBorder="1" applyAlignment="1">
      <alignment horizontal="right" vertical="center" wrapText="1"/>
    </xf>
    <xf numFmtId="9" fontId="4" fillId="4" borderId="1" xfId="4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0" xfId="0" applyFill="1"/>
    <xf numFmtId="0" fontId="0" fillId="6" borderId="2" xfId="0" applyFill="1" applyBorder="1" applyAlignment="1">
      <alignment horizontal="center" vertical="top" wrapText="1"/>
    </xf>
    <xf numFmtId="0" fontId="0" fillId="6" borderId="3" xfId="0" applyFill="1" applyBorder="1" applyAlignment="1">
      <alignment horizontal="center" vertical="top" wrapText="1"/>
    </xf>
    <xf numFmtId="0" fontId="0" fillId="6" borderId="4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center" vertical="top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8" borderId="4" xfId="0" applyFill="1" applyBorder="1"/>
    <xf numFmtId="0" fontId="0" fillId="8" borderId="3" xfId="0" applyFill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8" borderId="0" xfId="0" applyFill="1" applyBorder="1"/>
    <xf numFmtId="0" fontId="0" fillId="8" borderId="14" xfId="0" applyFill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8" borderId="20" xfId="0" applyFill="1" applyBorder="1"/>
    <xf numFmtId="0" fontId="0" fillId="8" borderId="21" xfId="0" applyFill="1" applyBorder="1"/>
    <xf numFmtId="0" fontId="0" fillId="0" borderId="0" xfId="0" applyAlignment="1">
      <alignment horizontal="left" vertical="center"/>
    </xf>
    <xf numFmtId="0" fontId="0" fillId="0" borderId="22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9" fontId="4" fillId="0" borderId="1" xfId="1" applyNumberFormat="1" applyFont="1" applyBorder="1" applyAlignment="1">
      <alignment horizontal="right" vertical="center" wrapText="1"/>
    </xf>
    <xf numFmtId="9" fontId="4" fillId="0" borderId="1" xfId="4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 wrapText="1"/>
    </xf>
    <xf numFmtId="0" fontId="14" fillId="0" borderId="0" xfId="1" applyFont="1" applyAlignment="1">
      <alignment horizontal="left" vertical="center" wrapText="1"/>
    </xf>
    <xf numFmtId="166" fontId="5" fillId="0" borderId="0" xfId="1" applyNumberFormat="1" applyFont="1" applyAlignment="1">
      <alignment vertical="center" wrapText="1"/>
    </xf>
    <xf numFmtId="0" fontId="6" fillId="0" borderId="1" xfId="1" applyFont="1" applyBorder="1" applyAlignment="1" applyProtection="1">
      <alignment horizontal="center" vertical="center" wrapText="1"/>
      <protection hidden="1"/>
    </xf>
    <xf numFmtId="43" fontId="5" fillId="4" borderId="1" xfId="3" applyFont="1" applyFill="1" applyBorder="1" applyAlignment="1">
      <alignment horizontal="center" vertical="center"/>
    </xf>
    <xf numFmtId="0" fontId="3" fillId="0" borderId="1" xfId="1" applyFont="1" applyBorder="1" applyAlignment="1">
      <alignment horizontal="right" vertical="center" wrapText="1"/>
    </xf>
    <xf numFmtId="164" fontId="3" fillId="0" borderId="23" xfId="2" applyNumberFormat="1" applyFont="1" applyFill="1" applyBorder="1" applyAlignment="1">
      <alignment horizontal="center" vertical="center" wrapText="1"/>
    </xf>
    <xf numFmtId="164" fontId="3" fillId="0" borderId="24" xfId="2" applyNumberFormat="1" applyFont="1" applyFill="1" applyBorder="1" applyAlignment="1">
      <alignment horizontal="center" vertical="center" wrapText="1"/>
    </xf>
    <xf numFmtId="164" fontId="3" fillId="0" borderId="11" xfId="2" applyNumberFormat="1" applyFont="1" applyFill="1" applyBorder="1" applyAlignment="1">
      <alignment horizontal="center" vertical="center" wrapText="1"/>
    </xf>
    <xf numFmtId="0" fontId="3" fillId="4" borderId="0" xfId="1" applyFont="1" applyFill="1" applyAlignment="1" applyProtection="1">
      <alignment horizontal="center" vertical="center"/>
      <protection locked="0"/>
    </xf>
    <xf numFmtId="0" fontId="3" fillId="2" borderId="1" xfId="1" applyFont="1" applyFill="1" applyBorder="1" applyAlignment="1">
      <alignment horizontal="right" vertical="center" wrapText="1"/>
    </xf>
    <xf numFmtId="0" fontId="13" fillId="4" borderId="1" xfId="1" applyFont="1" applyFill="1" applyBorder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7" fillId="4" borderId="0" xfId="1" applyFont="1" applyFill="1" applyAlignment="1" applyProtection="1">
      <alignment horizontal="center" vertical="center"/>
      <protection hidden="1"/>
    </xf>
    <xf numFmtId="0" fontId="10" fillId="0" borderId="0" xfId="1" applyFont="1" applyAlignment="1">
      <alignment horizontal="center" vertical="center" wrapText="1"/>
    </xf>
  </cellXfs>
  <cellStyles count="15">
    <cellStyle name="Con bandas" xfId="5"/>
    <cellStyle name="Día" xfId="6"/>
    <cellStyle name="Millares 2" xfId="3"/>
    <cellStyle name="Moneda 2" xfId="7"/>
    <cellStyle name="Moneda 2 2" xfId="8"/>
    <cellStyle name="Moneda 2 3" xfId="9"/>
    <cellStyle name="Moneda 3" xfId="10"/>
    <cellStyle name="Moneda 4" xfId="11"/>
    <cellStyle name="Moneda 5" xfId="2"/>
    <cellStyle name="Normal" xfId="0" builtinId="0"/>
    <cellStyle name="Normal 2" xfId="12"/>
    <cellStyle name="Normal 2 2 2" xfId="13"/>
    <cellStyle name="Normal 3" xfId="14"/>
    <cellStyle name="Normal 4" xfId="1"/>
    <cellStyle name="Porcentaje 2" xfId="4"/>
  </cellStyles>
  <dxfs count="1"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supuesto%20Construcci&#243;n%20Puente%20Peatonal%20Manita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ILMAR%20H.L.V.%20%202.004/01-CONTRATOS%20Y%20PROYECTOS%202.004/INVITACIONES%20P&#218;BLICAS%202.004/07.%20OBRAS%20VARIAS%20ESC.%20SANTANDER%20-%202.004/DOCUMENTOS%20B&#193;SICOS%20I.P.%2007%20-%2004/DB%201.%20PRES.%20ESC.%20SANTANDER%20-%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alendario%20de%20fotos%20estacional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%20vostro\Downloads\Documents%20and%20Settings\Hector%20Guerrero\Mis%20documentos\Licitaciones%20realizadas\Invias\INTER-Taraza-caucasia\DIFERGO\WINDOWS\TEMP\UNITARIO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ilmar/PRESUPUESTOS%20DE%20OBRAS/ACABADOS%20CASA%20LUIS%20ALBERTO%20B.%20-%20SEPT.%201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novo\Downloads\APUS%20BATERIAS%20UQ%20-CXDA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honatanmauricio\Downloads\F:\VILLA%20TAKOA\Presupuesto\APUS%20VILLA%20TAKO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RIZ%20PARA%20EL%20CALCULO%20DEL%20AIU%202009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mperez\Documents\TECNICA\DEPORTE%20Y%20RECREACION\02%20ESTANDARIZADO%20POLIDEPORTIVO\05%20HOJA%20CALCULO%20ESTANDARIZADO\PRESUPUESTO%20DEL%20POLIDEPORTIVO%20COMPLETO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WILMAR%20H.L.V.%20%202.004/01-CONTRATOS%20Y%20PROYECTOS%202.004/INVITACIONES%20P&#218;BLICAS%202.004/06.%20REMODELACI&#211;N%20MATADERO%20-%202.004/DOCUMENTOS%20B&#193;SICOS%20I.P.%2006%20-%2004/DB%201.%20PRES.%20REMODELACI&#211;N%20MATADERO%20-%200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LICITACIONES%202019/UQ/20190309%20Formato_presupuesto_UQ_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WILMAR%20H.L.V.%202.005/01-CONTRATOS%20Y%20PROYECTOS%202.005/PROYECTOS%202.004%20A%202.005/MEJ.%20INFRAESTRUCTURA.%20VIAL%202.004%20-%202.005/V&#205;AS%20SECUNDARIAS%20Y%20TERCIARIAS%202.005/PRES%20AJUSTADOS%20INVIAS%20-%20MARZO%200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mperez\Documents\TECNICA\DEPORTE%20Y%20RECREACION\02%20ESTANDARIZADO%20POLIDEPORTIVO\Presupuesto_750%20_Baja_Suelo%20AB%20actualizado%202015%20con%20ICCP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%20vostro\Downloads\Documents%20and%20Settings\Hector%20Guerrero\Mis%20documentos\Licitaciones%20realizadas\Invias\INTER-Taraza-caucasia\DIFERGO\WINDOWS\TEMP\Preobra\ModeloPresupuest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 y Dis"/>
      <sheetName val="Fondo Ensayos"/>
      <sheetName val="Obra puente"/>
      <sheetName val="AIU"/>
      <sheetName val="Fondo Ajustes"/>
      <sheetName val="Interventoria"/>
      <sheetName val="MINTRANSPORTE"/>
      <sheetName val="FACTOR MULTIPLICADOR"/>
      <sheetName val="Datos Generales"/>
      <sheetName val="CRONOGRAMA"/>
      <sheetName val="APU ANTICORROSIVO"/>
      <sheetName val="APU LIMPIEZA Y PINTURA"/>
      <sheetName val="APU REFUERZOS"/>
      <sheetName val="APU ADECUACIÓN PASAMANOS"/>
      <sheetName val="APU DESMONTE BARANDA"/>
      <sheetName val="APU REINSTALACIÓN BARANDA"/>
      <sheetName val="APU BARANDA NUEVA"/>
      <sheetName val="APU PINTURA BARANDA"/>
      <sheetName val="APU CONCRETO - METALDECK"/>
    </sheetNames>
    <sheetDataSet>
      <sheetData sheetId="0" refreshError="1"/>
      <sheetData sheetId="1" refreshError="1"/>
      <sheetData sheetId="2" refreshError="1"/>
      <sheetData sheetId="3">
        <row r="105">
          <cell r="J105">
            <v>0.2394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.U. M.O. 2.004"/>
      <sheetName val="INSUMOS"/>
      <sheetName val="UNITARIOS"/>
      <sheetName val="PRESUPUESTO INICIAL"/>
      <sheetName val="PRE C.O.P. 11"/>
      <sheetName val="PRE FINAL"/>
      <sheetName val="ACTA FINAL"/>
      <sheetName val="Hoja1"/>
      <sheetName val="Hoja2"/>
      <sheetName val="Hoja3"/>
    </sheetNames>
    <sheetDataSet>
      <sheetData sheetId="0" refreshError="1"/>
      <sheetData sheetId="1" refreshError="1">
        <row r="35">
          <cell r="G35">
            <v>2400</v>
          </cell>
        </row>
        <row r="105">
          <cell r="G105">
            <v>220</v>
          </cell>
        </row>
        <row r="108">
          <cell r="G108">
            <v>260</v>
          </cell>
        </row>
        <row r="109">
          <cell r="G109">
            <v>260</v>
          </cell>
        </row>
        <row r="110">
          <cell r="G110">
            <v>10000</v>
          </cell>
        </row>
        <row r="111">
          <cell r="G111">
            <v>13000</v>
          </cell>
        </row>
        <row r="112">
          <cell r="G112">
            <v>2225</v>
          </cell>
        </row>
        <row r="127">
          <cell r="G127">
            <v>1800</v>
          </cell>
        </row>
        <row r="132">
          <cell r="G132">
            <v>9500</v>
          </cell>
        </row>
        <row r="133">
          <cell r="G133">
            <v>37400</v>
          </cell>
        </row>
        <row r="134">
          <cell r="G134">
            <v>1000</v>
          </cell>
        </row>
        <row r="173">
          <cell r="G173">
            <v>400</v>
          </cell>
        </row>
        <row r="174">
          <cell r="G174">
            <v>783.75</v>
          </cell>
        </row>
        <row r="175">
          <cell r="G175">
            <v>5000</v>
          </cell>
        </row>
        <row r="176">
          <cell r="G176">
            <v>960</v>
          </cell>
        </row>
        <row r="177">
          <cell r="G177">
            <v>13800</v>
          </cell>
        </row>
        <row r="178">
          <cell r="G178">
            <v>14800</v>
          </cell>
        </row>
        <row r="179">
          <cell r="G179">
            <v>6700</v>
          </cell>
        </row>
        <row r="180">
          <cell r="G180">
            <v>3300</v>
          </cell>
        </row>
        <row r="181">
          <cell r="G181">
            <v>3200</v>
          </cell>
        </row>
        <row r="182">
          <cell r="G182">
            <v>38000</v>
          </cell>
        </row>
        <row r="183">
          <cell r="G183">
            <v>288</v>
          </cell>
        </row>
        <row r="184">
          <cell r="G184">
            <v>480</v>
          </cell>
        </row>
        <row r="185">
          <cell r="G185">
            <v>160000</v>
          </cell>
        </row>
        <row r="186">
          <cell r="G186">
            <v>35000</v>
          </cell>
        </row>
        <row r="187">
          <cell r="G187">
            <v>40000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ro"/>
      <sheetName val="Febrero"/>
      <sheetName val="Marzo"/>
      <sheetName val="Abril"/>
      <sheetName val="Mayo"/>
      <sheetName val="Junio"/>
      <sheetName val="Julio"/>
      <sheetName val="Agosto"/>
      <sheetName val="Septiembre"/>
      <sheetName val="Octubre"/>
      <sheetName val="Noviembre"/>
      <sheetName val="Diciembre"/>
    </sheetNames>
    <sheetDataSet>
      <sheetData sheetId="0">
        <row r="5">
          <cell r="K5">
            <v>2022</v>
          </cell>
          <cell r="L5" t="str">
            <v>lunes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Presup"/>
      <sheetName val="Unitarios"/>
      <sheetName val="Insum"/>
      <sheetName val="An-Unit"/>
      <sheetName val="2.01.02(1)"/>
      <sheetName val="2.01.02(2)"/>
      <sheetName val="2.01.02(3)"/>
      <sheetName val="2.01.03(1)"/>
      <sheetName val="2.01.03(2)"/>
      <sheetName val="2.01.03(3)"/>
      <sheetName val="2.03.02(1)"/>
      <sheetName val="2.03.02(2)"/>
      <sheetName val="2.03.02(3)"/>
      <sheetName val="2.03.03(1)"/>
      <sheetName val="2.03.03(2)"/>
      <sheetName val="2.03.03(3)"/>
      <sheetName val="2.03.04(1)"/>
      <sheetName val="2.03.04(2)"/>
      <sheetName val="2.03.04(3)"/>
      <sheetName val="2.03.05(1)"/>
      <sheetName val="2.03.05(2)"/>
      <sheetName val="2.03.05(3)"/>
      <sheetName val="2.04.02(1)"/>
      <sheetName val="2.04.02(2)"/>
      <sheetName val="2.04.02(3)"/>
      <sheetName val="2.04.03(1)"/>
      <sheetName val="2.04.03(2)"/>
      <sheetName val="2.04.03(3)"/>
      <sheetName val="2.04.04(1)"/>
      <sheetName val="2.04.04(2)"/>
      <sheetName val="2.04.04(3)"/>
      <sheetName val="1.05.01(1)"/>
      <sheetName val="1.05.01(2)"/>
      <sheetName val="1.05.01(3)"/>
      <sheetName val="6.00.01(1)"/>
      <sheetName val="6.00.01(2)"/>
      <sheetName val="6.00.01(3)"/>
      <sheetName val="6.00.02(1)"/>
      <sheetName val="6.00.02(2)"/>
      <sheetName val="6.00.02(3)"/>
      <sheetName val="6.00.03(1)"/>
      <sheetName val="6.00.03(2)"/>
      <sheetName val="6.00.03(3)"/>
      <sheetName val="6.00.04(1)"/>
      <sheetName val="6.00.04(2)"/>
      <sheetName val="6.00.04(3)"/>
      <sheetName val="6.00.05(1)"/>
      <sheetName val="6.00.05(2)"/>
      <sheetName val="6.00.05(3)"/>
      <sheetName val="6.02.01(1)"/>
      <sheetName val="6.02.01(2)"/>
      <sheetName val="6.02.01(3)"/>
      <sheetName val="6.02.02(1)"/>
      <sheetName val="6.02.02(2)"/>
      <sheetName val="6.02.02(3)"/>
      <sheetName val="6.02.03(1)"/>
      <sheetName val="6.02.03(2)"/>
      <sheetName val="6.02.03(3)"/>
      <sheetName val="6.02.04(1)"/>
      <sheetName val="6.02.04(2)"/>
      <sheetName val="6.02.04(3)"/>
      <sheetName val="6.02.05(1)"/>
      <sheetName val="6.02.05(2)"/>
      <sheetName val="6.02.05(3)"/>
      <sheetName val="6.02.06(1)"/>
      <sheetName val="6.02.06(2)"/>
      <sheetName val="6.02.06(3)"/>
      <sheetName val="6.02.07(1)"/>
      <sheetName val="2.10.04(2)"/>
      <sheetName val="2.10.04(3)"/>
      <sheetName val="2.10.05(1)"/>
      <sheetName val="2.10.05(2)"/>
      <sheetName val="2.10.05(3)"/>
      <sheetName val="2.10.06(1)"/>
      <sheetName val="2.10.06(2)"/>
      <sheetName val="2.10.06(3)"/>
      <sheetName val="2.14.01(1)"/>
      <sheetName val="2.14.01(2)"/>
      <sheetName val="2.14.01(3)"/>
      <sheetName val="2.14.02(1)"/>
      <sheetName val="2.14.02(2)"/>
      <sheetName val="2.14.02(3)"/>
      <sheetName val="2.17.01(1)"/>
      <sheetName val="2.17.01(2)"/>
      <sheetName val="2.17.01(3)"/>
      <sheetName val="2.17.02(1)"/>
      <sheetName val="2.17.02(2)"/>
      <sheetName val="2.17.02(3)"/>
      <sheetName val="2.20.02(1)"/>
      <sheetName val="2.20.02(2)"/>
      <sheetName val="2.20.02(3)"/>
      <sheetName val="2.21.01(1)"/>
      <sheetName val="2.21.01(2)"/>
      <sheetName val="2.21.01(3)"/>
      <sheetName val="2.21.02(1)"/>
      <sheetName val="2.21.02(2)"/>
      <sheetName val="2.21.02(3)"/>
      <sheetName val="2.21.03(1)"/>
      <sheetName val="2.21.03(2)"/>
      <sheetName val="2.21.03(3)"/>
      <sheetName val="2.22.01(1)"/>
      <sheetName val="2.22.01(2)"/>
      <sheetName val="2.22.01(3)"/>
      <sheetName val="2.23.01(1)"/>
      <sheetName val="2.23.01(2)"/>
      <sheetName val="2.23.01(3)"/>
      <sheetName val="2.24.01(1)"/>
      <sheetName val="2.24.01(2)"/>
      <sheetName val="2.24.01(3)"/>
      <sheetName val="2.25.01(1)"/>
      <sheetName val="2.25.01(2)"/>
      <sheetName val="2.25.01(3)"/>
      <sheetName val="2.26.01(1)"/>
      <sheetName val="2.26.01(2)"/>
      <sheetName val="2.26.01(3)"/>
      <sheetName val="3.01.01(1)"/>
      <sheetName val="3.01.01(2)"/>
      <sheetName val="3.01.01(3)"/>
      <sheetName val="3.02.01(1)"/>
      <sheetName val="3.02.01(2)"/>
      <sheetName val="3.02.01(3)"/>
      <sheetName val="3.03.02(1)"/>
      <sheetName val="3.03.02(2)"/>
      <sheetName val="3.03.02(3)"/>
      <sheetName val="3.03.11(1)"/>
      <sheetName val="3.03.11(2)"/>
      <sheetName val="3.03.11(3)"/>
      <sheetName val="3.08.05(1)"/>
      <sheetName val="3.08.05(2)"/>
      <sheetName val="3.08.05(3)"/>
      <sheetName val="3.08.06(1)"/>
      <sheetName val="3.08.06(2)"/>
      <sheetName val="3.08.06(3)"/>
      <sheetName val="4.01.01(1)"/>
      <sheetName val="4.01.01(2)"/>
      <sheetName val="4.01.01(3)"/>
      <sheetName val="4.02.01(1)"/>
      <sheetName val="4.02.01(2)"/>
      <sheetName val="4.02.01(3)"/>
      <sheetName val="4.03.01(1)"/>
      <sheetName val="4.03.01(2)"/>
      <sheetName val="4.03.01(3)"/>
      <sheetName val="4.05.01(1)"/>
      <sheetName val="4.05.01(2)"/>
      <sheetName val="4.05.01(3)"/>
      <sheetName val="Hoja3"/>
      <sheetName val="Hoja2"/>
      <sheetName val="Hoja1"/>
      <sheetName val="1.01.01(1)"/>
    </sheet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CODIGO</v>
          </cell>
          <cell r="B3" t="str">
            <v>INSUMO</v>
          </cell>
          <cell r="C3" t="str">
            <v>UNIDAD</v>
          </cell>
          <cell r="H3" t="str">
            <v>PROVEEDOR</v>
          </cell>
        </row>
        <row r="4">
          <cell r="A4" t="str">
            <v>M0022</v>
          </cell>
          <cell r="B4" t="str">
            <v>AGUA</v>
          </cell>
          <cell r="C4" t="str">
            <v>LT</v>
          </cell>
          <cell r="E4">
            <v>12</v>
          </cell>
          <cell r="F4">
            <v>13.799999999999999</v>
          </cell>
          <cell r="G4">
            <v>15.600000000000001</v>
          </cell>
          <cell r="H4" t="str">
            <v>EAAB</v>
          </cell>
        </row>
        <row r="5">
          <cell r="A5" t="str">
            <v>M0023</v>
          </cell>
          <cell r="B5" t="str">
            <v>CEMENTO GRIS</v>
          </cell>
          <cell r="C5" t="str">
            <v>KG</v>
          </cell>
          <cell r="E5">
            <v>210</v>
          </cell>
          <cell r="F5">
            <v>241.49999999999997</v>
          </cell>
          <cell r="G5">
            <v>273</v>
          </cell>
        </row>
        <row r="6">
          <cell r="A6" t="str">
            <v>M0032</v>
          </cell>
          <cell r="B6" t="str">
            <v>ASFALTO MC 70</v>
          </cell>
          <cell r="C6" t="str">
            <v>LT</v>
          </cell>
          <cell r="E6">
            <v>250</v>
          </cell>
          <cell r="F6">
            <v>287.5</v>
          </cell>
          <cell r="G6">
            <v>325</v>
          </cell>
          <cell r="H6" t="str">
            <v>ECOPETROL</v>
          </cell>
        </row>
        <row r="7">
          <cell r="A7" t="str">
            <v>M0101</v>
          </cell>
          <cell r="B7" t="str">
            <v>CONCRETO 2500 PSI</v>
          </cell>
          <cell r="C7" t="str">
            <v>M3</v>
          </cell>
          <cell r="E7">
            <v>120000</v>
          </cell>
          <cell r="F7">
            <v>138000</v>
          </cell>
          <cell r="G7">
            <v>156000</v>
          </cell>
          <cell r="H7" t="str">
            <v>CENTRAL DE MEZCLAS</v>
          </cell>
        </row>
        <row r="8">
          <cell r="A8" t="str">
            <v>M0102</v>
          </cell>
          <cell r="B8" t="str">
            <v>CONCRETO 4000 PSI</v>
          </cell>
          <cell r="C8" t="str">
            <v>M3</v>
          </cell>
          <cell r="E8">
            <v>150000</v>
          </cell>
          <cell r="F8">
            <v>172500</v>
          </cell>
          <cell r="G8">
            <v>195000</v>
          </cell>
          <cell r="H8" t="str">
            <v>CENTRAL DE MEZCLAS</v>
          </cell>
        </row>
        <row r="9">
          <cell r="A9" t="str">
            <v>M0103</v>
          </cell>
          <cell r="B9" t="str">
            <v>CONCRETO CICLOPEO</v>
          </cell>
          <cell r="C9" t="str">
            <v>M3</v>
          </cell>
          <cell r="E9">
            <v>115000</v>
          </cell>
          <cell r="F9">
            <v>132250</v>
          </cell>
          <cell r="G9">
            <v>149500</v>
          </cell>
          <cell r="H9" t="str">
            <v>RECEBERA</v>
          </cell>
        </row>
        <row r="10">
          <cell r="A10" t="str">
            <v>M0104</v>
          </cell>
          <cell r="B10" t="str">
            <v>CONCRETO SOLADOS</v>
          </cell>
          <cell r="C10" t="str">
            <v>M3</v>
          </cell>
          <cell r="E10">
            <v>115000</v>
          </cell>
          <cell r="F10">
            <v>132250</v>
          </cell>
          <cell r="G10">
            <v>149500</v>
          </cell>
          <cell r="H10" t="str">
            <v>CENTRAL DE MEZCLAS</v>
          </cell>
        </row>
        <row r="11">
          <cell r="A11" t="str">
            <v>M0110</v>
          </cell>
          <cell r="B11" t="str">
            <v>CONCRETO TREMIE 3000 PSI</v>
          </cell>
          <cell r="C11" t="str">
            <v>M3</v>
          </cell>
          <cell r="E11">
            <v>230000</v>
          </cell>
          <cell r="F11">
            <v>264500</v>
          </cell>
          <cell r="G11">
            <v>299000</v>
          </cell>
        </row>
        <row r="12">
          <cell r="A12" t="str">
            <v>M0111</v>
          </cell>
          <cell r="B12" t="str">
            <v>CONCRETO TREMIE 5000 PSI</v>
          </cell>
          <cell r="C12" t="str">
            <v>M3</v>
          </cell>
          <cell r="E12">
            <v>280000</v>
          </cell>
          <cell r="F12">
            <v>322000</v>
          </cell>
          <cell r="G12">
            <v>364000</v>
          </cell>
        </row>
        <row r="13">
          <cell r="A13" t="str">
            <v>M0114</v>
          </cell>
          <cell r="B13" t="str">
            <v>IMPERMEABILIZANTE</v>
          </cell>
          <cell r="C13" t="str">
            <v>GLOBAL</v>
          </cell>
          <cell r="E13">
            <v>7500</v>
          </cell>
          <cell r="F13">
            <v>8625</v>
          </cell>
          <cell r="G13">
            <v>9750</v>
          </cell>
        </row>
        <row r="14">
          <cell r="A14" t="str">
            <v>M0115</v>
          </cell>
          <cell r="B14" t="str">
            <v>DINAMIITA</v>
          </cell>
          <cell r="C14" t="str">
            <v>KG</v>
          </cell>
          <cell r="E14">
            <v>8000</v>
          </cell>
          <cell r="F14">
            <v>9200</v>
          </cell>
          <cell r="G14">
            <v>10400</v>
          </cell>
          <cell r="H14" t="str">
            <v>CENTRAL DE MEZCLAS</v>
          </cell>
        </row>
        <row r="15">
          <cell r="A15" t="str">
            <v>M0116</v>
          </cell>
          <cell r="B15" t="str">
            <v>MECHA, FULMINANTE,ETC</v>
          </cell>
          <cell r="C15" t="str">
            <v>GLOBAL</v>
          </cell>
          <cell r="E15">
            <v>1500</v>
          </cell>
          <cell r="F15">
            <v>1724.9999999999998</v>
          </cell>
          <cell r="G15">
            <v>1950</v>
          </cell>
        </row>
        <row r="16">
          <cell r="A16" t="str">
            <v>M0150</v>
          </cell>
          <cell r="B16" t="str">
            <v>RECEBO B-200</v>
          </cell>
          <cell r="C16" t="str">
            <v>M3</v>
          </cell>
          <cell r="E16">
            <v>20000</v>
          </cell>
          <cell r="F16">
            <v>23000</v>
          </cell>
          <cell r="G16">
            <v>26000</v>
          </cell>
          <cell r="H16" t="str">
            <v>RECEBERA TOBERIN</v>
          </cell>
        </row>
        <row r="17">
          <cell r="A17" t="str">
            <v>M0151</v>
          </cell>
          <cell r="B17" t="str">
            <v>RECEBO B-600</v>
          </cell>
          <cell r="C17" t="str">
            <v>M3</v>
          </cell>
          <cell r="E17">
            <v>24000</v>
          </cell>
          <cell r="F17">
            <v>27599.999999999996</v>
          </cell>
          <cell r="G17">
            <v>31200</v>
          </cell>
          <cell r="H17" t="str">
            <v>RECEBERA TOBERIN</v>
          </cell>
        </row>
        <row r="18">
          <cell r="A18" t="str">
            <v>M0152</v>
          </cell>
          <cell r="B18" t="str">
            <v>PIEDRA RAJON</v>
          </cell>
          <cell r="C18" t="str">
            <v>M3</v>
          </cell>
          <cell r="E18">
            <v>20000</v>
          </cell>
          <cell r="F18">
            <v>23000</v>
          </cell>
          <cell r="G18">
            <v>26000</v>
          </cell>
          <cell r="H18" t="str">
            <v>RECEBERA</v>
          </cell>
        </row>
        <row r="19">
          <cell r="A19" t="str">
            <v>M0153</v>
          </cell>
          <cell r="B19" t="str">
            <v>TRITURADO</v>
          </cell>
          <cell r="C19" t="str">
            <v>M3</v>
          </cell>
          <cell r="E19">
            <v>36000</v>
          </cell>
          <cell r="F19">
            <v>41400</v>
          </cell>
          <cell r="G19">
            <v>46800</v>
          </cell>
        </row>
        <row r="20">
          <cell r="A20" t="str">
            <v>M0154</v>
          </cell>
          <cell r="B20" t="str">
            <v>MATERIAL DE AFIRMADO</v>
          </cell>
          <cell r="C20" t="str">
            <v>M3</v>
          </cell>
          <cell r="E20">
            <v>13000</v>
          </cell>
          <cell r="F20">
            <v>14949.999999999998</v>
          </cell>
          <cell r="G20">
            <v>16900</v>
          </cell>
        </row>
        <row r="21">
          <cell r="A21" t="str">
            <v>M0155</v>
          </cell>
          <cell r="B21" t="str">
            <v>BASE GRANULAR</v>
          </cell>
          <cell r="C21" t="str">
            <v>M3</v>
          </cell>
          <cell r="E21">
            <v>25000</v>
          </cell>
          <cell r="F21">
            <v>28749.999999999996</v>
          </cell>
          <cell r="G21">
            <v>32500</v>
          </cell>
        </row>
        <row r="22">
          <cell r="A22" t="str">
            <v>M0156</v>
          </cell>
          <cell r="B22" t="str">
            <v>SUB-BASE GRANULAR</v>
          </cell>
          <cell r="C22" t="str">
            <v>M3</v>
          </cell>
          <cell r="E22">
            <v>16500</v>
          </cell>
          <cell r="F22">
            <v>18975</v>
          </cell>
          <cell r="G22">
            <v>21450</v>
          </cell>
        </row>
        <row r="23">
          <cell r="A23" t="str">
            <v>M0157</v>
          </cell>
          <cell r="B23" t="str">
            <v>MATERIAL DE TERRAPLEN</v>
          </cell>
          <cell r="C23" t="str">
            <v>M3</v>
          </cell>
          <cell r="E23">
            <v>6000</v>
          </cell>
          <cell r="F23">
            <v>6899.9999999999991</v>
          </cell>
          <cell r="G23">
            <v>7800</v>
          </cell>
        </row>
        <row r="24">
          <cell r="A24" t="str">
            <v>M0165</v>
          </cell>
          <cell r="B24" t="str">
            <v>ARENA LAVADA</v>
          </cell>
          <cell r="C24" t="str">
            <v>M3</v>
          </cell>
          <cell r="E24">
            <v>28000</v>
          </cell>
          <cell r="F24">
            <v>32199.999999999996</v>
          </cell>
          <cell r="G24">
            <v>36400</v>
          </cell>
        </row>
        <row r="25">
          <cell r="A25" t="str">
            <v>M0170</v>
          </cell>
          <cell r="B25" t="str">
            <v>GRAVILLA SELECCIONADA</v>
          </cell>
          <cell r="C25" t="str">
            <v>M3</v>
          </cell>
          <cell r="E25">
            <v>36000</v>
          </cell>
          <cell r="F25">
            <v>41400</v>
          </cell>
          <cell r="G25">
            <v>46800</v>
          </cell>
        </row>
        <row r="26">
          <cell r="A26" t="str">
            <v>M0200</v>
          </cell>
          <cell r="B26" t="str">
            <v>MADERA REDONDA 6"</v>
          </cell>
          <cell r="C26" t="str">
            <v>M2</v>
          </cell>
          <cell r="E26">
            <v>3000</v>
          </cell>
          <cell r="F26">
            <v>3449.9999999999995</v>
          </cell>
          <cell r="G26">
            <v>3900</v>
          </cell>
        </row>
        <row r="27">
          <cell r="A27" t="str">
            <v>M0201</v>
          </cell>
          <cell r="B27" t="str">
            <v>DURMIENTE</v>
          </cell>
          <cell r="C27" t="str">
            <v>ML</v>
          </cell>
          <cell r="E27">
            <v>2100</v>
          </cell>
          <cell r="F27">
            <v>2415</v>
          </cell>
          <cell r="G27">
            <v>2730</v>
          </cell>
          <cell r="H27" t="str">
            <v>MADERAS NOGAL</v>
          </cell>
        </row>
        <row r="28">
          <cell r="A28" t="str">
            <v>M0202</v>
          </cell>
          <cell r="B28" t="str">
            <v>MADERA</v>
          </cell>
          <cell r="C28" t="str">
            <v>ML</v>
          </cell>
          <cell r="E28">
            <v>7500</v>
          </cell>
          <cell r="F28">
            <v>8625</v>
          </cell>
          <cell r="G28">
            <v>9750</v>
          </cell>
        </row>
        <row r="29">
          <cell r="A29" t="str">
            <v>M0203</v>
          </cell>
          <cell r="B29" t="str">
            <v>LISTON 8 CMS</v>
          </cell>
          <cell r="C29" t="str">
            <v>ML</v>
          </cell>
          <cell r="E29">
            <v>1000</v>
          </cell>
          <cell r="F29">
            <v>1150</v>
          </cell>
          <cell r="G29">
            <v>1300</v>
          </cell>
          <cell r="H29" t="str">
            <v>MADERAS NOGAL</v>
          </cell>
        </row>
        <row r="30">
          <cell r="A30" t="str">
            <v>M0204</v>
          </cell>
          <cell r="B30" t="str">
            <v>MALLA GAVION TRIPLE T.</v>
          </cell>
          <cell r="C30" t="str">
            <v>M2</v>
          </cell>
          <cell r="E30">
            <v>12000</v>
          </cell>
          <cell r="F30">
            <v>13799.999999999998</v>
          </cell>
          <cell r="G30">
            <v>15600</v>
          </cell>
        </row>
        <row r="31">
          <cell r="A31" t="str">
            <v>M0302</v>
          </cell>
          <cell r="B31" t="str">
            <v xml:space="preserve">LADRILLO TOLETE </v>
          </cell>
          <cell r="C31" t="str">
            <v>UN</v>
          </cell>
          <cell r="E31">
            <v>170</v>
          </cell>
          <cell r="F31">
            <v>195.49999999999997</v>
          </cell>
          <cell r="G31">
            <v>221</v>
          </cell>
          <cell r="H31" t="str">
            <v>SALITRE</v>
          </cell>
        </row>
        <row r="32">
          <cell r="A32" t="str">
            <v>M0307</v>
          </cell>
          <cell r="B32" t="str">
            <v>LADRILLO HUECO Nº 5</v>
          </cell>
          <cell r="C32" t="str">
            <v>UN</v>
          </cell>
          <cell r="E32">
            <v>320</v>
          </cell>
          <cell r="F32">
            <v>368</v>
          </cell>
          <cell r="G32">
            <v>416</v>
          </cell>
          <cell r="H32" t="str">
            <v>SALITRE</v>
          </cell>
        </row>
        <row r="33">
          <cell r="A33" t="str">
            <v>M0311</v>
          </cell>
          <cell r="B33" t="str">
            <v xml:space="preserve">LADRILLO RECOCIDO </v>
          </cell>
          <cell r="C33" t="str">
            <v>UN</v>
          </cell>
          <cell r="E33">
            <v>120</v>
          </cell>
          <cell r="F33">
            <v>138</v>
          </cell>
          <cell r="G33">
            <v>156</v>
          </cell>
          <cell r="H33" t="str">
            <v>SAN JOSE</v>
          </cell>
        </row>
        <row r="34">
          <cell r="A34" t="str">
            <v>M0315</v>
          </cell>
          <cell r="B34" t="str">
            <v>TUBO  PVC 1 "</v>
          </cell>
          <cell r="C34" t="str">
            <v>ML</v>
          </cell>
          <cell r="E34">
            <v>1000</v>
          </cell>
          <cell r="F34">
            <v>1150</v>
          </cell>
          <cell r="G34">
            <v>1300</v>
          </cell>
        </row>
        <row r="35">
          <cell r="A35" t="str">
            <v>M0345</v>
          </cell>
          <cell r="B35" t="str">
            <v>TUBERIA GRES 8"</v>
          </cell>
          <cell r="C35" t="str">
            <v>ML</v>
          </cell>
          <cell r="E35">
            <v>6500</v>
          </cell>
          <cell r="F35">
            <v>7474.9999999999991</v>
          </cell>
          <cell r="G35">
            <v>8450</v>
          </cell>
          <cell r="H35" t="str">
            <v>EL SALITRE</v>
          </cell>
        </row>
        <row r="36">
          <cell r="A36" t="str">
            <v>M0400</v>
          </cell>
          <cell r="B36" t="str">
            <v>REJILLA .56X1</v>
          </cell>
          <cell r="C36" t="str">
            <v>UN</v>
          </cell>
          <cell r="E36">
            <v>60000</v>
          </cell>
          <cell r="F36">
            <v>69000</v>
          </cell>
          <cell r="G36">
            <v>78000</v>
          </cell>
          <cell r="H36" t="str">
            <v>COLREJILLAS</v>
          </cell>
        </row>
        <row r="37">
          <cell r="A37" t="str">
            <v>M0401</v>
          </cell>
          <cell r="B37" t="str">
            <v>TUBERIA DE CONCRETO 36"</v>
          </cell>
          <cell r="C37" t="str">
            <v>M</v>
          </cell>
          <cell r="E37">
            <v>90000</v>
          </cell>
          <cell r="F37">
            <v>103499.99999999999</v>
          </cell>
          <cell r="G37">
            <v>117000</v>
          </cell>
          <cell r="H37" t="str">
            <v>TITAN</v>
          </cell>
        </row>
        <row r="38">
          <cell r="A38" t="str">
            <v>M0402</v>
          </cell>
          <cell r="B38" t="str">
            <v>TUBERIA DE CONCRETO 24"</v>
          </cell>
          <cell r="C38" t="str">
            <v>M</v>
          </cell>
          <cell r="E38">
            <v>25000</v>
          </cell>
          <cell r="F38">
            <v>28749.999999999996</v>
          </cell>
          <cell r="G38">
            <v>32500</v>
          </cell>
        </row>
        <row r="39">
          <cell r="A39" t="str">
            <v>M0425</v>
          </cell>
          <cell r="B39" t="str">
            <v>PUNTILLA C/CABEZA</v>
          </cell>
          <cell r="C39" t="str">
            <v>LB</v>
          </cell>
          <cell r="E39">
            <v>650</v>
          </cell>
          <cell r="F39">
            <v>747.49999999999989</v>
          </cell>
          <cell r="G39">
            <v>845</v>
          </cell>
          <cell r="H39" t="str">
            <v>FERRETERIA JIMENEZ</v>
          </cell>
        </row>
        <row r="40">
          <cell r="A40" t="str">
            <v>M0428</v>
          </cell>
          <cell r="B40" t="str">
            <v>ALAMBRE</v>
          </cell>
          <cell r="C40" t="str">
            <v>KG</v>
          </cell>
          <cell r="E40">
            <v>1300</v>
          </cell>
          <cell r="F40">
            <v>1494.9999999999998</v>
          </cell>
          <cell r="G40">
            <v>1690</v>
          </cell>
        </row>
        <row r="41">
          <cell r="A41" t="str">
            <v>M0590</v>
          </cell>
          <cell r="B41" t="str">
            <v>ACERO F'Y = 4200 KG/CM2</v>
          </cell>
          <cell r="C41" t="str">
            <v>KG</v>
          </cell>
          <cell r="E41">
            <v>1562</v>
          </cell>
          <cell r="F41">
            <v>1796.3</v>
          </cell>
          <cell r="G41">
            <v>2030.6000000000001</v>
          </cell>
        </row>
        <row r="42">
          <cell r="A42" t="str">
            <v>M0600</v>
          </cell>
          <cell r="B42" t="str">
            <v>ACERO 60000</v>
          </cell>
          <cell r="C42" t="str">
            <v>KG</v>
          </cell>
          <cell r="E42">
            <v>1562</v>
          </cell>
          <cell r="F42">
            <v>1796.3</v>
          </cell>
          <cell r="G42">
            <v>2030.6000000000001</v>
          </cell>
          <cell r="H42" t="str">
            <v>FERRETERIA JIMENEZ</v>
          </cell>
        </row>
        <row r="43">
          <cell r="A43" t="str">
            <v>M0601</v>
          </cell>
          <cell r="B43" t="str">
            <v>ACERO 37000</v>
          </cell>
          <cell r="C43" t="str">
            <v>KG</v>
          </cell>
          <cell r="E43">
            <v>1330</v>
          </cell>
          <cell r="F43">
            <v>1529.4999999999998</v>
          </cell>
          <cell r="G43">
            <v>1729</v>
          </cell>
        </row>
        <row r="44">
          <cell r="A44" t="str">
            <v>M0602</v>
          </cell>
          <cell r="B44" t="str">
            <v>APOYO DE NEOPRENO</v>
          </cell>
          <cell r="C44" t="str">
            <v>UN</v>
          </cell>
          <cell r="E44">
            <v>110000</v>
          </cell>
          <cell r="F44">
            <v>126499.99999999999</v>
          </cell>
          <cell r="G44">
            <v>143000</v>
          </cell>
        </row>
        <row r="45">
          <cell r="A45" t="str">
            <v>M0650</v>
          </cell>
          <cell r="B45" t="str">
            <v>TELA ACRILICA</v>
          </cell>
          <cell r="C45" t="str">
            <v>M2</v>
          </cell>
          <cell r="E45">
            <v>1600</v>
          </cell>
          <cell r="F45">
            <v>1839.9999999999998</v>
          </cell>
          <cell r="G45">
            <v>2080</v>
          </cell>
        </row>
        <row r="46">
          <cell r="A46" t="str">
            <v>M0700</v>
          </cell>
          <cell r="B46" t="str">
            <v>GEOTEXTIL NT 1600</v>
          </cell>
          <cell r="C46" t="str">
            <v>M2</v>
          </cell>
          <cell r="E46">
            <v>1600</v>
          </cell>
          <cell r="F46">
            <v>1839.9999999999998</v>
          </cell>
          <cell r="G46">
            <v>2080</v>
          </cell>
          <cell r="H46" t="str">
            <v>FERRETERIA JIMENEZ</v>
          </cell>
        </row>
        <row r="47">
          <cell r="A47" t="str">
            <v>M0705</v>
          </cell>
          <cell r="B47" t="str">
            <v>ENTIBADO</v>
          </cell>
          <cell r="C47" t="str">
            <v>M2</v>
          </cell>
          <cell r="E47">
            <v>900</v>
          </cell>
          <cell r="F47">
            <v>1035</v>
          </cell>
          <cell r="G47">
            <v>1170</v>
          </cell>
        </row>
        <row r="48">
          <cell r="A48" t="str">
            <v>M0710</v>
          </cell>
          <cell r="B48" t="str">
            <v>IMPRIMANTE MC-70</v>
          </cell>
          <cell r="C48" t="str">
            <v>M2</v>
          </cell>
          <cell r="E48">
            <v>600</v>
          </cell>
          <cell r="F48">
            <v>690</v>
          </cell>
          <cell r="G48">
            <v>780</v>
          </cell>
          <cell r="H48" t="str">
            <v>FERRETERIA JIMENEZ</v>
          </cell>
        </row>
        <row r="49">
          <cell r="A49" t="str">
            <v>M0720</v>
          </cell>
          <cell r="B49" t="str">
            <v>BASE ASFALTICA</v>
          </cell>
          <cell r="C49" t="str">
            <v>M3</v>
          </cell>
          <cell r="E49">
            <v>90000</v>
          </cell>
          <cell r="F49">
            <v>103499.99999999999</v>
          </cell>
          <cell r="G49">
            <v>117000</v>
          </cell>
          <cell r="H49" t="str">
            <v>PLANTA</v>
          </cell>
        </row>
        <row r="50">
          <cell r="A50" t="str">
            <v>M0721</v>
          </cell>
          <cell r="B50" t="str">
            <v>RODADURA ASFALTICA</v>
          </cell>
          <cell r="C50" t="str">
            <v>M3</v>
          </cell>
          <cell r="E50">
            <v>110000</v>
          </cell>
          <cell r="F50">
            <v>126499.99999999999</v>
          </cell>
          <cell r="G50">
            <v>143000</v>
          </cell>
          <cell r="H50" t="str">
            <v>PLANTA</v>
          </cell>
        </row>
        <row r="51">
          <cell r="A51" t="str">
            <v>M0800</v>
          </cell>
          <cell r="B51" t="str">
            <v>FORMALETA</v>
          </cell>
          <cell r="C51" t="str">
            <v>GLOBAL</v>
          </cell>
          <cell r="E51">
            <v>10000</v>
          </cell>
          <cell r="F51">
            <v>11500</v>
          </cell>
          <cell r="G51">
            <v>13000</v>
          </cell>
        </row>
        <row r="52">
          <cell r="A52" t="str">
            <v>M0820</v>
          </cell>
          <cell r="B52" t="str">
            <v>FORMALETA BOXCULVERT</v>
          </cell>
          <cell r="C52" t="str">
            <v>GLOBAL</v>
          </cell>
          <cell r="E52">
            <v>25000</v>
          </cell>
          <cell r="F52">
            <v>28749.999999999996</v>
          </cell>
          <cell r="G52">
            <v>32500</v>
          </cell>
        </row>
        <row r="53">
          <cell r="A53" t="str">
            <v>M0822</v>
          </cell>
          <cell r="B53" t="str">
            <v>FORMALETA PAVIMENTO</v>
          </cell>
          <cell r="C53" t="str">
            <v>GLOBAL</v>
          </cell>
          <cell r="E53">
            <v>15000</v>
          </cell>
          <cell r="F53">
            <v>17250</v>
          </cell>
          <cell r="G53">
            <v>19500</v>
          </cell>
        </row>
        <row r="54">
          <cell r="A54" t="str">
            <v>M0823</v>
          </cell>
          <cell r="B54" t="str">
            <v>FORMALETA PLAC-RIOSTRA</v>
          </cell>
          <cell r="C54" t="str">
            <v>GLOBAL</v>
          </cell>
          <cell r="E54">
            <v>18000</v>
          </cell>
          <cell r="F54">
            <v>20700</v>
          </cell>
          <cell r="G54">
            <v>23400</v>
          </cell>
        </row>
        <row r="55">
          <cell r="A55" t="str">
            <v>M0825</v>
          </cell>
          <cell r="B55" t="str">
            <v>FORMALETA CAJONES /CAISSONS</v>
          </cell>
          <cell r="C55" t="str">
            <v>GLOBAL</v>
          </cell>
          <cell r="E55">
            <v>30000</v>
          </cell>
          <cell r="F55">
            <v>34500</v>
          </cell>
          <cell r="G55">
            <v>39000</v>
          </cell>
        </row>
        <row r="56">
          <cell r="A56" t="str">
            <v>M0827</v>
          </cell>
          <cell r="B56" t="str">
            <v>FORMALETA CUNETAS</v>
          </cell>
          <cell r="C56" t="str">
            <v>GLOBAL</v>
          </cell>
          <cell r="E56">
            <v>3000</v>
          </cell>
          <cell r="F56">
            <v>3449.9999999999995</v>
          </cell>
          <cell r="G56">
            <v>3900</v>
          </cell>
        </row>
        <row r="57">
          <cell r="A57" t="str">
            <v>M0828</v>
          </cell>
          <cell r="B57" t="str">
            <v>FORMALETA SARDINELES</v>
          </cell>
          <cell r="C57" t="str">
            <v>GLOBAL</v>
          </cell>
          <cell r="E57">
            <v>5000</v>
          </cell>
          <cell r="F57">
            <v>5750</v>
          </cell>
          <cell r="G57">
            <v>6500</v>
          </cell>
        </row>
        <row r="58">
          <cell r="A58" t="str">
            <v>M0830</v>
          </cell>
          <cell r="B58" t="str">
            <v>FORMALETA VIGAS 20-30 M</v>
          </cell>
          <cell r="C58" t="str">
            <v>GLOBAL</v>
          </cell>
          <cell r="E58">
            <v>25000</v>
          </cell>
          <cell r="F58">
            <v>28749.999999999996</v>
          </cell>
          <cell r="G58">
            <v>32500</v>
          </cell>
        </row>
        <row r="59">
          <cell r="A59" t="str">
            <v>M0832</v>
          </cell>
          <cell r="B59" t="str">
            <v>FORMALETA VIGAS &gt; 30 M</v>
          </cell>
          <cell r="C59" t="str">
            <v>GLOBAL</v>
          </cell>
          <cell r="E59">
            <v>35000</v>
          </cell>
          <cell r="F59">
            <v>40250</v>
          </cell>
          <cell r="G59">
            <v>45500</v>
          </cell>
        </row>
        <row r="60">
          <cell r="A60" t="str">
            <v>M0850</v>
          </cell>
          <cell r="B60" t="str">
            <v>TUBO METALICO 10"</v>
          </cell>
          <cell r="C60" t="str">
            <v>ML</v>
          </cell>
          <cell r="E60">
            <v>60000</v>
          </cell>
          <cell r="F60">
            <v>69000</v>
          </cell>
          <cell r="G60">
            <v>78000</v>
          </cell>
        </row>
        <row r="61">
          <cell r="A61" t="str">
            <v>M0900</v>
          </cell>
          <cell r="B61" t="str">
            <v>LODO BENTONITICO</v>
          </cell>
          <cell r="C61" t="str">
            <v>KG</v>
          </cell>
          <cell r="E61">
            <v>120</v>
          </cell>
          <cell r="F61">
            <v>138</v>
          </cell>
          <cell r="G61">
            <v>156</v>
          </cell>
        </row>
        <row r="62">
          <cell r="A62" t="str">
            <v>M0905</v>
          </cell>
        </row>
        <row r="63">
          <cell r="A63" t="str">
            <v>M9999</v>
          </cell>
        </row>
        <row r="68">
          <cell r="A68" t="str">
            <v>CODIGO</v>
          </cell>
          <cell r="B68" t="str">
            <v>DESCRIPCION</v>
          </cell>
          <cell r="C68" t="str">
            <v>MARCA</v>
          </cell>
          <cell r="D68" t="str">
            <v>TIPO</v>
          </cell>
          <cell r="E68" t="str">
            <v>ZONA 1</v>
          </cell>
          <cell r="F68" t="str">
            <v>ZONA 2</v>
          </cell>
          <cell r="G68" t="str">
            <v>ZONA3</v>
          </cell>
        </row>
        <row r="69">
          <cell r="A69" t="str">
            <v>Q0002</v>
          </cell>
          <cell r="B69" t="str">
            <v>RETROEXCAVADORA</v>
          </cell>
          <cell r="C69" t="str">
            <v>CASE</v>
          </cell>
          <cell r="D69" t="str">
            <v>-</v>
          </cell>
          <cell r="E69">
            <v>50000</v>
          </cell>
          <cell r="F69">
            <v>57499.999999999993</v>
          </cell>
          <cell r="G69">
            <v>65000</v>
          </cell>
        </row>
        <row r="70">
          <cell r="A70" t="str">
            <v>Q0003</v>
          </cell>
          <cell r="B70" t="str">
            <v>MOTONIVELADORA</v>
          </cell>
          <cell r="C70" t="str">
            <v>CASE</v>
          </cell>
          <cell r="D70" t="str">
            <v>-</v>
          </cell>
          <cell r="E70">
            <v>40000</v>
          </cell>
          <cell r="F70">
            <v>46000</v>
          </cell>
          <cell r="G70">
            <v>52000</v>
          </cell>
        </row>
        <row r="71">
          <cell r="A71" t="str">
            <v>Q0004</v>
          </cell>
          <cell r="B71" t="str">
            <v>BULLDOZER</v>
          </cell>
          <cell r="C71" t="str">
            <v>CASE</v>
          </cell>
          <cell r="D71" t="str">
            <v>-</v>
          </cell>
          <cell r="E71">
            <v>55000</v>
          </cell>
          <cell r="F71">
            <v>63249.999999999993</v>
          </cell>
          <cell r="G71">
            <v>71500</v>
          </cell>
        </row>
        <row r="72">
          <cell r="A72" t="str">
            <v>Q0006</v>
          </cell>
          <cell r="B72" t="str">
            <v>FINISHER</v>
          </cell>
          <cell r="D72" t="str">
            <v>-</v>
          </cell>
          <cell r="E72">
            <v>80000</v>
          </cell>
          <cell r="F72">
            <v>92000</v>
          </cell>
          <cell r="G72">
            <v>104000</v>
          </cell>
        </row>
        <row r="73">
          <cell r="A73" t="str">
            <v>Q0010</v>
          </cell>
          <cell r="B73" t="str">
            <v xml:space="preserve">VOLQUETA </v>
          </cell>
          <cell r="C73" t="str">
            <v>KODIAC</v>
          </cell>
          <cell r="D73" t="str">
            <v>-</v>
          </cell>
          <cell r="E73">
            <v>20000</v>
          </cell>
          <cell r="F73">
            <v>23000</v>
          </cell>
          <cell r="G73">
            <v>26000</v>
          </cell>
        </row>
        <row r="74">
          <cell r="A74" t="str">
            <v>Q0012</v>
          </cell>
          <cell r="B74" t="str">
            <v>VIBRADOR DE CONCRETO</v>
          </cell>
          <cell r="C74" t="str">
            <v>SIMA</v>
          </cell>
          <cell r="D74" t="str">
            <v>-</v>
          </cell>
          <cell r="E74">
            <v>2200</v>
          </cell>
          <cell r="F74">
            <v>2530</v>
          </cell>
          <cell r="G74">
            <v>2860</v>
          </cell>
        </row>
        <row r="75">
          <cell r="A75" t="str">
            <v>Q0013</v>
          </cell>
          <cell r="B75" t="str">
            <v>CARROTANQUE IRRIGADOR</v>
          </cell>
          <cell r="C75" t="str">
            <v>FORD</v>
          </cell>
          <cell r="D75" t="str">
            <v>-</v>
          </cell>
          <cell r="E75">
            <v>25000</v>
          </cell>
          <cell r="F75">
            <v>28749.999999999996</v>
          </cell>
          <cell r="G75">
            <v>32500</v>
          </cell>
        </row>
        <row r="76">
          <cell r="A76" t="str">
            <v>Q0020</v>
          </cell>
          <cell r="B76" t="str">
            <v>VIBRO COMPACTADOR</v>
          </cell>
          <cell r="C76" t="str">
            <v>CASE</v>
          </cell>
          <cell r="D76" t="str">
            <v>-</v>
          </cell>
          <cell r="E76">
            <v>35000</v>
          </cell>
          <cell r="F76">
            <v>40250</v>
          </cell>
          <cell r="G76">
            <v>45500</v>
          </cell>
        </row>
        <row r="77">
          <cell r="A77" t="str">
            <v>Q0023</v>
          </cell>
          <cell r="B77" t="str">
            <v>MEZCLADORA</v>
          </cell>
          <cell r="C77" t="str">
            <v>SEMCO</v>
          </cell>
          <cell r="D77" t="str">
            <v>-</v>
          </cell>
          <cell r="E77">
            <v>5500</v>
          </cell>
          <cell r="F77">
            <v>6324.9999999999991</v>
          </cell>
          <cell r="G77">
            <v>7150</v>
          </cell>
        </row>
        <row r="78">
          <cell r="A78" t="str">
            <v>Q0025</v>
          </cell>
          <cell r="B78" t="str">
            <v>MOTOBOMBA</v>
          </cell>
          <cell r="C78" t="str">
            <v>YAMAHA</v>
          </cell>
          <cell r="D78" t="str">
            <v>-</v>
          </cell>
          <cell r="E78">
            <v>2500</v>
          </cell>
          <cell r="F78">
            <v>2875</v>
          </cell>
          <cell r="G78">
            <v>3250</v>
          </cell>
        </row>
        <row r="79">
          <cell r="A79" t="str">
            <v>Q0026</v>
          </cell>
          <cell r="B79" t="str">
            <v>MOTOBOMBA 4"</v>
          </cell>
          <cell r="C79" t="str">
            <v>YAMAHA</v>
          </cell>
          <cell r="D79" t="str">
            <v>-</v>
          </cell>
          <cell r="E79">
            <v>30000</v>
          </cell>
          <cell r="F79">
            <v>34500</v>
          </cell>
          <cell r="G79">
            <v>39000</v>
          </cell>
        </row>
        <row r="80">
          <cell r="A80" t="str">
            <v>Q0027</v>
          </cell>
          <cell r="B80" t="str">
            <v>MOTOBOMBA PILOTES</v>
          </cell>
          <cell r="C80" t="str">
            <v>YAMAHA</v>
          </cell>
          <cell r="D80" t="str">
            <v>-</v>
          </cell>
          <cell r="E80">
            <v>6000</v>
          </cell>
          <cell r="F80">
            <v>6899.9999999999991</v>
          </cell>
          <cell r="G80">
            <v>7800</v>
          </cell>
        </row>
        <row r="81">
          <cell r="A81" t="str">
            <v>Q0028</v>
          </cell>
          <cell r="B81" t="str">
            <v>MOTOSIERRA</v>
          </cell>
          <cell r="C81" t="str">
            <v>SHEEL</v>
          </cell>
          <cell r="D81" t="str">
            <v>-</v>
          </cell>
          <cell r="E81">
            <v>21000</v>
          </cell>
          <cell r="F81">
            <v>24149.999999999996</v>
          </cell>
          <cell r="G81">
            <v>27300</v>
          </cell>
        </row>
        <row r="82">
          <cell r="A82" t="str">
            <v>Q0035</v>
          </cell>
          <cell r="B82" t="str">
            <v>BENITIN</v>
          </cell>
          <cell r="C82" t="str">
            <v>TANDEN</v>
          </cell>
          <cell r="D82" t="str">
            <v>-</v>
          </cell>
          <cell r="E82">
            <v>5000</v>
          </cell>
          <cell r="F82">
            <v>5750</v>
          </cell>
          <cell r="G82">
            <v>6500</v>
          </cell>
        </row>
        <row r="83">
          <cell r="A83" t="str">
            <v>Q0087</v>
          </cell>
          <cell r="B83" t="str">
            <v>PLACA VIBRATORIA</v>
          </cell>
          <cell r="C83" t="str">
            <v>SEMCO</v>
          </cell>
          <cell r="D83" t="str">
            <v>-</v>
          </cell>
          <cell r="E83">
            <v>1500</v>
          </cell>
          <cell r="F83">
            <v>1724.9999999999998</v>
          </cell>
          <cell r="G83">
            <v>1950</v>
          </cell>
        </row>
        <row r="84">
          <cell r="A84" t="str">
            <v>Q0090</v>
          </cell>
          <cell r="B84" t="str">
            <v>PILOTEADORA</v>
          </cell>
          <cell r="C84" t="str">
            <v>-</v>
          </cell>
          <cell r="D84" t="str">
            <v>-</v>
          </cell>
          <cell r="E84">
            <v>60000</v>
          </cell>
          <cell r="F84">
            <v>69000</v>
          </cell>
          <cell r="G84">
            <v>78000</v>
          </cell>
        </row>
        <row r="85">
          <cell r="A85" t="str">
            <v>Q0099</v>
          </cell>
          <cell r="B85" t="str">
            <v>HERRAMIENTA MENOR</v>
          </cell>
          <cell r="C85" t="str">
            <v>-</v>
          </cell>
          <cell r="D85" t="str">
            <v>-</v>
          </cell>
          <cell r="E85" t="str">
            <v>GLOBAL</v>
          </cell>
          <cell r="F85" t="str">
            <v>GLOBAL</v>
          </cell>
          <cell r="G85" t="str">
            <v>GLOBAL</v>
          </cell>
        </row>
        <row r="86">
          <cell r="A86" t="str">
            <v>Q0103</v>
          </cell>
          <cell r="B86" t="str">
            <v>EQUIPO DE TOPOGRAFIA</v>
          </cell>
          <cell r="C86" t="str">
            <v>TRIMBLE</v>
          </cell>
          <cell r="D86" t="str">
            <v>-</v>
          </cell>
          <cell r="E86">
            <v>3000</v>
          </cell>
          <cell r="F86">
            <v>3449.9999999999995</v>
          </cell>
          <cell r="G86">
            <v>3900</v>
          </cell>
        </row>
        <row r="87">
          <cell r="A87" t="str">
            <v>Q0106</v>
          </cell>
          <cell r="B87" t="str">
            <v>COMPRESOR</v>
          </cell>
          <cell r="C87" t="str">
            <v>INGERSOL</v>
          </cell>
          <cell r="D87" t="str">
            <v>-</v>
          </cell>
          <cell r="E87">
            <v>3750</v>
          </cell>
          <cell r="F87">
            <v>4312.5</v>
          </cell>
          <cell r="G87">
            <v>4875</v>
          </cell>
        </row>
        <row r="88">
          <cell r="A88" t="str">
            <v>Q0107</v>
          </cell>
          <cell r="B88" t="str">
            <v>FORMALETA PAVIMENTO</v>
          </cell>
          <cell r="C88" t="str">
            <v>-</v>
          </cell>
          <cell r="D88" t="str">
            <v>-</v>
          </cell>
          <cell r="E88">
            <v>1000</v>
          </cell>
          <cell r="F88">
            <v>1150</v>
          </cell>
          <cell r="G88">
            <v>1300</v>
          </cell>
        </row>
        <row r="89">
          <cell r="A89" t="str">
            <v>Q0108</v>
          </cell>
          <cell r="B89" t="str">
            <v>FORMALETA TUBOS</v>
          </cell>
          <cell r="D89" t="str">
            <v>-</v>
          </cell>
          <cell r="E89">
            <v>5000</v>
          </cell>
          <cell r="F89">
            <v>5750</v>
          </cell>
          <cell r="G89">
            <v>6500</v>
          </cell>
        </row>
        <row r="90">
          <cell r="A90" t="str">
            <v>Q0109</v>
          </cell>
          <cell r="B90" t="str">
            <v>FORMALETA SARDINEL</v>
          </cell>
          <cell r="C90" t="str">
            <v>-</v>
          </cell>
          <cell r="D90" t="str">
            <v>-</v>
          </cell>
          <cell r="E90">
            <v>1000</v>
          </cell>
          <cell r="F90">
            <v>1150</v>
          </cell>
          <cell r="G90">
            <v>1300</v>
          </cell>
        </row>
        <row r="91">
          <cell r="A91" t="str">
            <v>Q0110</v>
          </cell>
          <cell r="B91" t="str">
            <v>FORMALETA</v>
          </cell>
          <cell r="C91" t="str">
            <v>-</v>
          </cell>
          <cell r="E91" t="str">
            <v>GLOBAL</v>
          </cell>
          <cell r="F91" t="str">
            <v>GLOBAL</v>
          </cell>
          <cell r="G91" t="str">
            <v>GLOBAL</v>
          </cell>
        </row>
        <row r="92">
          <cell r="A92" t="str">
            <v>Q0120</v>
          </cell>
          <cell r="B92" t="str">
            <v>TRANSPORTE COMIS TOP.</v>
          </cell>
          <cell r="C92" t="str">
            <v>-</v>
          </cell>
          <cell r="D92" t="str">
            <v>-</v>
          </cell>
          <cell r="E92" t="str">
            <v>GLOBAL</v>
          </cell>
        </row>
        <row r="93">
          <cell r="A93" t="str">
            <v>Q0130</v>
          </cell>
          <cell r="B93" t="str">
            <v>PLUMA</v>
          </cell>
          <cell r="C93" t="str">
            <v>-</v>
          </cell>
          <cell r="D93" t="str">
            <v>-</v>
          </cell>
          <cell r="E93">
            <v>3000</v>
          </cell>
          <cell r="F93">
            <v>3449.9999999999995</v>
          </cell>
          <cell r="G93">
            <v>3900</v>
          </cell>
        </row>
        <row r="94">
          <cell r="A94" t="str">
            <v>Q0140</v>
          </cell>
          <cell r="B94" t="str">
            <v>PALA CON MARTILLO 5 TN (PILOTES MET)</v>
          </cell>
          <cell r="C94" t="str">
            <v>-</v>
          </cell>
          <cell r="D94" t="str">
            <v>-</v>
          </cell>
          <cell r="E94">
            <v>40000</v>
          </cell>
          <cell r="F94">
            <v>46000</v>
          </cell>
          <cell r="G94">
            <v>52000</v>
          </cell>
        </row>
        <row r="95">
          <cell r="A95" t="str">
            <v>Q0145</v>
          </cell>
          <cell r="B95" t="str">
            <v>TALADRO</v>
          </cell>
          <cell r="C95" t="str">
            <v>-</v>
          </cell>
          <cell r="D95" t="str">
            <v>-</v>
          </cell>
          <cell r="E95">
            <v>25000</v>
          </cell>
          <cell r="F95">
            <v>28749.999999999996</v>
          </cell>
          <cell r="G95">
            <v>32500</v>
          </cell>
        </row>
        <row r="96">
          <cell r="A96" t="str">
            <v>Q0148</v>
          </cell>
          <cell r="B96" t="str">
            <v>BOMBA DE PISTON</v>
          </cell>
          <cell r="C96" t="str">
            <v>-</v>
          </cell>
          <cell r="D96" t="str">
            <v>-</v>
          </cell>
          <cell r="E96">
            <v>10000</v>
          </cell>
          <cell r="F96">
            <v>11500</v>
          </cell>
          <cell r="G96">
            <v>13000</v>
          </cell>
        </row>
        <row r="97">
          <cell r="A97" t="str">
            <v>Q0150</v>
          </cell>
          <cell r="B97" t="str">
            <v>MALACATES O MARTILLO</v>
          </cell>
          <cell r="C97" t="str">
            <v>-</v>
          </cell>
          <cell r="D97" t="str">
            <v>-</v>
          </cell>
          <cell r="E97">
            <v>20000</v>
          </cell>
          <cell r="F97">
            <v>23000</v>
          </cell>
          <cell r="G97">
            <v>26000</v>
          </cell>
        </row>
        <row r="98">
          <cell r="A98" t="str">
            <v>Q9999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.U. M.O. 2.006"/>
      <sheetName val="INSUMOS FEB. 24 "/>
      <sheetName val="UNITARIOS"/>
      <sheetName val="PRE INICIAL LABP"/>
      <sheetName val="PRE TOTAL M.O. GABRIEL"/>
      <sheetName val="Hoja3"/>
    </sheetNames>
    <sheetDataSet>
      <sheetData sheetId="0"/>
      <sheetData sheetId="1"/>
      <sheetData sheetId="2">
        <row r="9">
          <cell r="H9">
            <v>182531</v>
          </cell>
        </row>
      </sheetData>
      <sheetData sheetId="3"/>
      <sheetData sheetId="4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SUPUESTO"/>
      <sheetName val="APU"/>
      <sheetName val="APUS ADICIONALES"/>
      <sheetName val="APU BASICOS"/>
      <sheetName val="INSUMOS"/>
      <sheetName val="Salario"/>
      <sheetName val="Cantidades Sist Tradicio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LISTA DE INSUMOS</v>
          </cell>
          <cell r="B1">
            <v>0</v>
          </cell>
          <cell r="C1">
            <v>0</v>
          </cell>
        </row>
        <row r="3">
          <cell r="A3" t="str">
            <v>Descripción</v>
          </cell>
          <cell r="B3" t="str">
            <v>Unidad</v>
          </cell>
          <cell r="C3" t="str">
            <v>Vlr Unitario</v>
          </cell>
        </row>
        <row r="4">
          <cell r="A4" t="str">
            <v>LISTON 2 x2x300 cm OTOBO</v>
          </cell>
          <cell r="B4" t="str">
            <v>und</v>
          </cell>
          <cell r="C4">
            <v>3500</v>
          </cell>
        </row>
        <row r="5">
          <cell r="A5" t="str">
            <v>PUNTILLA  2"</v>
          </cell>
          <cell r="B5" t="str">
            <v>lb</v>
          </cell>
          <cell r="C5">
            <v>2900</v>
          </cell>
        </row>
        <row r="6">
          <cell r="A6" t="str">
            <v>PIOLA GRUESA Rollo x 50 m</v>
          </cell>
          <cell r="B6" t="str">
            <v>rollo</v>
          </cell>
          <cell r="C6">
            <v>3200</v>
          </cell>
        </row>
        <row r="7">
          <cell r="A7" t="str">
            <v>MINERAL ROJO</v>
          </cell>
          <cell r="B7" t="str">
            <v>Lb</v>
          </cell>
          <cell r="C7">
            <v>5500</v>
          </cell>
        </row>
        <row r="8">
          <cell r="A8" t="str">
            <v>ALQUILER DE BAÑO PORTATIL</v>
          </cell>
          <cell r="B8" t="str">
            <v>mes</v>
          </cell>
          <cell r="C8">
            <v>348000</v>
          </cell>
        </row>
        <row r="9">
          <cell r="A9" t="str">
            <v>PLACA DE YESO ST 1/2pg 1.22x2.44m 12.7mm GYPLAC</v>
          </cell>
          <cell r="B9" t="str">
            <v>und</v>
          </cell>
          <cell r="C9">
            <v>25000</v>
          </cell>
        </row>
        <row r="10">
          <cell r="A10" t="str">
            <v xml:space="preserve">TORNILLO PANEL DRYWALL PTA AGUDA 6X1 </v>
          </cell>
          <cell r="B10" t="str">
            <v>und</v>
          </cell>
          <cell r="C10">
            <v>80</v>
          </cell>
        </row>
        <row r="11">
          <cell r="A11" t="str">
            <v>PUNTILLA CON CABEZA 2-1/2pg 500g PUMA</v>
          </cell>
          <cell r="B11" t="str">
            <v>und</v>
          </cell>
          <cell r="C11">
            <v>9000</v>
          </cell>
        </row>
        <row r="12">
          <cell r="A12" t="str">
            <v>PULIDORA</v>
          </cell>
          <cell r="B12" t="str">
            <v>hr</v>
          </cell>
          <cell r="C12">
            <v>3500</v>
          </cell>
        </row>
        <row r="13">
          <cell r="A13" t="str">
            <v>TAPON ROSCADO 1/2 10Unid PRESION PAVCO PROPACK</v>
          </cell>
          <cell r="B13" t="str">
            <v>und</v>
          </cell>
          <cell r="C13">
            <v>5000</v>
          </cell>
        </row>
        <row r="14">
          <cell r="A14" t="str">
            <v>PVC 1/4Gl 946ml PAVCO</v>
          </cell>
          <cell r="B14" t="str">
            <v>und</v>
          </cell>
          <cell r="C14">
            <v>65000</v>
          </cell>
        </row>
        <row r="15">
          <cell r="A15" t="str">
            <v>ROLLO CARTON PARA PROTECCION DE SUPERFICIESX20 M</v>
          </cell>
          <cell r="B15" t="str">
            <v>und</v>
          </cell>
          <cell r="C15">
            <v>70000</v>
          </cell>
        </row>
        <row r="16">
          <cell r="A16" t="str">
            <v>AGUA</v>
          </cell>
          <cell r="B16" t="str">
            <v>lt</v>
          </cell>
          <cell r="C16">
            <v>12</v>
          </cell>
        </row>
        <row r="17">
          <cell r="A17" t="str">
            <v>ARENA GRUESA</v>
          </cell>
          <cell r="B17" t="str">
            <v>m3</v>
          </cell>
          <cell r="C17">
            <v>83300</v>
          </cell>
        </row>
        <row r="18">
          <cell r="A18" t="str">
            <v xml:space="preserve">CEMENTO GRIS * 50 KILOS         </v>
          </cell>
          <cell r="B18" t="str">
            <v>bto</v>
          </cell>
          <cell r="C18">
            <v>23000</v>
          </cell>
        </row>
        <row r="19">
          <cell r="A19" t="str">
            <v>IMPERMEABILIZANTE TIPO SIKA 1 x 20 KG</v>
          </cell>
          <cell r="B19" t="str">
            <v>und</v>
          </cell>
          <cell r="C19">
            <v>210000</v>
          </cell>
        </row>
        <row r="20">
          <cell r="A20" t="str">
            <v>MALLA ELECTROSOLDADA 4 MM 15x15  (2.35x6.00)</v>
          </cell>
          <cell r="B20" t="str">
            <v>und</v>
          </cell>
          <cell r="C20">
            <v>70000</v>
          </cell>
        </row>
        <row r="21">
          <cell r="A21" t="str">
            <v xml:space="preserve">ALAMBRE NEGRO # 18 </v>
          </cell>
          <cell r="B21" t="str">
            <v>kg</v>
          </cell>
          <cell r="C21">
            <v>4000</v>
          </cell>
        </row>
        <row r="22">
          <cell r="A22" t="str">
            <v>PIEDRA CID COLOR NEGRO 45X45</v>
          </cell>
          <cell r="B22" t="str">
            <v>m2</v>
          </cell>
          <cell r="C22">
            <v>28000</v>
          </cell>
        </row>
        <row r="23">
          <cell r="A23" t="str">
            <v>SIKACERAM® FLEX X 50 KG</v>
          </cell>
          <cell r="B23" t="str">
            <v>und</v>
          </cell>
          <cell r="C23">
            <v>143000</v>
          </cell>
        </row>
        <row r="24">
          <cell r="A24" t="str">
            <v>BOQUILLA x 2 kg</v>
          </cell>
          <cell r="B24" t="str">
            <v>kg</v>
          </cell>
          <cell r="C24">
            <v>3900</v>
          </cell>
        </row>
        <row r="25">
          <cell r="A25" t="str">
            <v>VERONA BLANCA 30x60 CM</v>
          </cell>
          <cell r="B25" t="str">
            <v>m2</v>
          </cell>
          <cell r="C25">
            <v>44500</v>
          </cell>
        </row>
        <row r="26">
          <cell r="A26" t="str">
            <v>PEGANTE ENCHAPE</v>
          </cell>
          <cell r="B26" t="str">
            <v>kg</v>
          </cell>
          <cell r="C26">
            <v>2000</v>
          </cell>
        </row>
        <row r="27">
          <cell r="A27" t="str">
            <v xml:space="preserve">GRANO # 2              </v>
          </cell>
          <cell r="B27" t="str">
            <v>bto</v>
          </cell>
          <cell r="C27">
            <v>7200</v>
          </cell>
        </row>
        <row r="28">
          <cell r="A28" t="str">
            <v>PIRLAN DE BRONCE</v>
          </cell>
          <cell r="B28" t="str">
            <v>ml</v>
          </cell>
          <cell r="C28">
            <v>35000</v>
          </cell>
        </row>
        <row r="29">
          <cell r="A29" t="str">
            <v>MORTERO 1:3</v>
          </cell>
          <cell r="B29" t="str">
            <v>m3</v>
          </cell>
          <cell r="C29">
            <v>397000</v>
          </cell>
        </row>
        <row r="30">
          <cell r="A30" t="str">
            <v>RESANES ESTUCO</v>
          </cell>
          <cell r="B30" t="str">
            <v>m2</v>
          </cell>
          <cell r="C30">
            <v>8000</v>
          </cell>
        </row>
        <row r="31">
          <cell r="A31" t="str">
            <v xml:space="preserve">VINIL PLUS TIPO I  GL          </v>
          </cell>
          <cell r="B31" t="str">
            <v>gl</v>
          </cell>
          <cell r="C31">
            <v>55000</v>
          </cell>
        </row>
        <row r="32">
          <cell r="A32" t="str">
            <v>ANDAMIO TUBULAR DE 1.5 M.(SECCIÓN)</v>
          </cell>
          <cell r="B32" t="str">
            <v>dia</v>
          </cell>
          <cell r="C32">
            <v>800</v>
          </cell>
        </row>
        <row r="33">
          <cell r="A33" t="str">
            <v xml:space="preserve">PERFIL PERIMETRAL </v>
          </cell>
          <cell r="B33" t="str">
            <v>und</v>
          </cell>
          <cell r="C33">
            <v>3900</v>
          </cell>
        </row>
        <row r="34">
          <cell r="A34" t="str">
            <v>PARAL 39 MM</v>
          </cell>
          <cell r="B34" t="str">
            <v>und</v>
          </cell>
          <cell r="C34">
            <v>5700</v>
          </cell>
        </row>
        <row r="35">
          <cell r="A35" t="str">
            <v>PERFIL OMEGA</v>
          </cell>
          <cell r="B35" t="str">
            <v>und</v>
          </cell>
          <cell r="C35">
            <v>4200</v>
          </cell>
        </row>
        <row r="36">
          <cell r="A36" t="str">
            <v>CIELO RASO PVC 300x25cm 4und (3m2)</v>
          </cell>
          <cell r="B36" t="str">
            <v>und</v>
          </cell>
          <cell r="C36">
            <v>106000</v>
          </cell>
        </row>
        <row r="37">
          <cell r="A37" t="str">
            <v>TELERA DE MADERA</v>
          </cell>
          <cell r="B37" t="str">
            <v>dia</v>
          </cell>
          <cell r="C37">
            <v>410</v>
          </cell>
        </row>
        <row r="38">
          <cell r="A38" t="str">
            <v>TORNILLO CON CHAZO O CLAVO DE ACERO</v>
          </cell>
          <cell r="B38" t="str">
            <v>und</v>
          </cell>
          <cell r="C38">
            <v>220</v>
          </cell>
        </row>
        <row r="39">
          <cell r="A39" t="str">
            <v>TORNILLOS DE CABEZA EXTRAPLANA</v>
          </cell>
          <cell r="B39" t="str">
            <v>und</v>
          </cell>
          <cell r="C39">
            <v>60</v>
          </cell>
        </row>
        <row r="40">
          <cell r="A40" t="str">
            <v>TORNILLOS ESTANDAR NO 6X1"</v>
          </cell>
          <cell r="B40" t="str">
            <v>und</v>
          </cell>
          <cell r="C40">
            <v>20</v>
          </cell>
        </row>
        <row r="41">
          <cell r="A41" t="str">
            <v>SUPERFICIE EN  GRANITO PULIDO PREFABRICADO, PARA LAVAMANOS DE A= 0,60 M., INCLUYE FALDÓN, SALPICADER Y PERFORACIONES PARA LAVAMANOS E INSTALACIÓN SOBRE EL MESÓN EXISTENTE</v>
          </cell>
          <cell r="B41" t="str">
            <v>ml</v>
          </cell>
          <cell r="C41">
            <v>480000</v>
          </cell>
        </row>
        <row r="42">
          <cell r="A42" t="str">
            <v>ESPEJO 4MM</v>
          </cell>
          <cell r="B42" t="str">
            <v>m2</v>
          </cell>
          <cell r="C42">
            <v>60000</v>
          </cell>
        </row>
        <row r="43">
          <cell r="A43" t="str">
            <v xml:space="preserve">SILICONA A 1000              </v>
          </cell>
          <cell r="B43" t="str">
            <v>tbo</v>
          </cell>
          <cell r="C43">
            <v>10000</v>
          </cell>
        </row>
        <row r="44">
          <cell r="A44" t="str">
            <v>TABLA PARA FORMALETA</v>
          </cell>
          <cell r="B44" t="str">
            <v>und</v>
          </cell>
          <cell r="C44">
            <v>8586</v>
          </cell>
        </row>
        <row r="45">
          <cell r="A45" t="str">
            <v xml:space="preserve">ANTISOL BLANCO </v>
          </cell>
          <cell r="B45" t="str">
            <v>kg</v>
          </cell>
          <cell r="C45">
            <v>7667.51</v>
          </cell>
        </row>
        <row r="46">
          <cell r="A46" t="str">
            <v>ACERO DE REFUERZO</v>
          </cell>
          <cell r="B46" t="str">
            <v>kg</v>
          </cell>
          <cell r="C46">
            <v>4015.46</v>
          </cell>
        </row>
        <row r="47">
          <cell r="A47" t="str">
            <v>CONCRETO DE 3000 P.S.I</v>
          </cell>
          <cell r="B47" t="str">
            <v>m3</v>
          </cell>
          <cell r="C47">
            <v>288355</v>
          </cell>
        </row>
        <row r="48">
          <cell r="A48" t="str">
            <v>MUEBLE PARA COCINA, FABRICADO INTERNAMENTE EN RH COLOR BLANCO Y SU EXTERIOR EN PUERTAS RH COLOR A ELEGIR, INCLUYE MUEBLE SUPERIOR E INFERIOR SEGÚN DISEÑO. MUEBLE INFERIOR: 91,5 CM DE ALTO X 120 CM DE ANCHO X 33,5 CM DE FONDO</v>
          </cell>
          <cell r="B48" t="str">
            <v>und</v>
          </cell>
          <cell r="C48">
            <v>1200000</v>
          </cell>
        </row>
        <row r="49">
          <cell r="A49" t="str">
            <v>MESÓN EN GRANITO PULIDO PREFEBRICADO, PARA INSTALAR SOBRE MUEBLE DE COCINA, DE A = 0,50 M Y L =1,89 M, INCLUYE FALDÓN, SALPICADERO Y PERFORACIÓN PARA LAVAPLATOS.</v>
          </cell>
          <cell r="B49" t="str">
            <v>und</v>
          </cell>
          <cell r="C49">
            <v>680000</v>
          </cell>
        </row>
        <row r="50">
          <cell r="A50" t="str">
            <v xml:space="preserve">LAVAPLATOS ACERO INOXIDABLE </v>
          </cell>
          <cell r="B50" t="str">
            <v>und</v>
          </cell>
          <cell r="C50">
            <v>60000</v>
          </cell>
        </row>
        <row r="51">
          <cell r="A51" t="str">
            <v xml:space="preserve">ACOPLE FLEXIBLE LAVAPLATOS       </v>
          </cell>
          <cell r="B51" t="str">
            <v>und</v>
          </cell>
          <cell r="C51">
            <v>3000</v>
          </cell>
        </row>
        <row r="52">
          <cell r="A52" t="str">
            <v xml:space="preserve">CEMENTO BLANCO     </v>
          </cell>
          <cell r="B52" t="str">
            <v>kg</v>
          </cell>
          <cell r="C52">
            <v>1500</v>
          </cell>
        </row>
        <row r="53">
          <cell r="A53" t="str">
            <v>GRIFERÍA PARA LAVAPLATOS, SENCILLA</v>
          </cell>
          <cell r="B53" t="str">
            <v>und</v>
          </cell>
          <cell r="C53">
            <v>68000</v>
          </cell>
        </row>
        <row r="54">
          <cell r="A54" t="str">
            <v>COMBO INSTITUCIONAL LAVAMANOS: INCLUYE LAVAMANOS MARSELLA BLANCO O SIMILAR, GRIFERÍA LAVAMANOS ELECTRÓNICA, DESAGÜE SENCILLO Y SIFÓN BOTELLA</v>
          </cell>
          <cell r="B54" t="str">
            <v>und</v>
          </cell>
          <cell r="C54">
            <v>736000</v>
          </cell>
        </row>
        <row r="55">
          <cell r="A55" t="str">
            <v>COMBO INSTITUCIONAL SANITARIO: INCLUYE TAZA BÁLTICA BLANCA O SIMILAR, SISTEMA DE INSTALACIÓN VÁLVULA ANT. SUPERIOR, FLUXÓMETRO ELECTRÓNICO SANITARIO Y ASIENTO SANITARIO INSTITUCIONAL ABIERTO</v>
          </cell>
          <cell r="B55" t="str">
            <v>und</v>
          </cell>
          <cell r="C55">
            <v>2295000</v>
          </cell>
        </row>
        <row r="56">
          <cell r="A56" t="str">
            <v>COMBO INSTITUCIONAL ORINAL:  INCLUYE ORINAL MEDIANO BLANCO, DESAGÜE SIFÓN ORINAL Y FLUXÓMETRO ELECTRÓNICO ORINAL</v>
          </cell>
          <cell r="B56" t="str">
            <v>und</v>
          </cell>
          <cell r="C56">
            <v>745000</v>
          </cell>
        </row>
        <row r="57">
          <cell r="A57" t="str">
            <v>COMBO INSTITUCIONAL SANITARIO PARA PERSONA DE TALLA BAJA: INCLUYE TAZA BÁLTICA BLANCA O SIMILAR, SISTEMA DE INSTALACIÓN VÁLVULA ANT. SUPERIOR, FLUXÓMETRO ELECTRÓNICO SANITARIO Y ASIENTO SANITARIO INSTITUCIONAL ABIERTO</v>
          </cell>
          <cell r="B57" t="str">
            <v>und</v>
          </cell>
          <cell r="C57">
            <v>2295000</v>
          </cell>
        </row>
        <row r="58">
          <cell r="A58" t="str">
            <v>PUNTO SUMINISTRO PVCP Y HG 1/2", INCLUYE PRUEBAS DE PRESIÓN, ACCESORIOS Y TUBERÍA</v>
          </cell>
          <cell r="B58" t="str">
            <v>und</v>
          </cell>
          <cell r="C58">
            <v>55000</v>
          </cell>
        </row>
        <row r="59">
          <cell r="A59" t="str">
            <v>PUNTO SANITARIO PVC SANITARIA 4", INCLUYE PRUEBA DE ESTANQUEIDAD</v>
          </cell>
          <cell r="B59" t="str">
            <v>und</v>
          </cell>
          <cell r="C59">
            <v>60000</v>
          </cell>
        </row>
        <row r="60">
          <cell r="A60" t="str">
            <v>TORNILLO PARA MADERA 1" 3 16</v>
          </cell>
          <cell r="B60" t="str">
            <v>und</v>
          </cell>
          <cell r="C60">
            <v>400</v>
          </cell>
        </row>
        <row r="61">
          <cell r="A61" t="str">
            <v>BISAGRAS 3*3</v>
          </cell>
          <cell r="B61" t="str">
            <v>und</v>
          </cell>
          <cell r="C61">
            <v>2500</v>
          </cell>
        </row>
        <row r="62">
          <cell r="A62" t="str">
            <v xml:space="preserve">MARCO COMPLETO </v>
          </cell>
          <cell r="B62" t="str">
            <v>und</v>
          </cell>
          <cell r="C62">
            <v>150000</v>
          </cell>
        </row>
        <row r="63">
          <cell r="A63" t="str">
            <v>PUERTA ENTAMBORADA MADERA</v>
          </cell>
          <cell r="B63" t="str">
            <v>und</v>
          </cell>
          <cell r="C63">
            <v>300000</v>
          </cell>
        </row>
        <row r="64">
          <cell r="A64" t="str">
            <v>CERRADURA</v>
          </cell>
          <cell r="B64" t="str">
            <v>und</v>
          </cell>
          <cell r="C64">
            <v>100000</v>
          </cell>
        </row>
        <row r="65">
          <cell r="A65" t="str">
            <v xml:space="preserve">INAF.TOPES DORADOS           </v>
          </cell>
          <cell r="B65" t="str">
            <v>und</v>
          </cell>
          <cell r="C65">
            <v>5000</v>
          </cell>
        </row>
        <row r="66">
          <cell r="A66" t="str">
            <v>PUERTA CORREDIZA</v>
          </cell>
          <cell r="B66" t="str">
            <v>und</v>
          </cell>
          <cell r="C66">
            <v>280000</v>
          </cell>
        </row>
        <row r="67">
          <cell r="A67" t="str">
            <v>CERRADURA PUERTA CORREDIZA</v>
          </cell>
          <cell r="B67" t="str">
            <v>und</v>
          </cell>
          <cell r="C67">
            <v>60000</v>
          </cell>
        </row>
        <row r="68">
          <cell r="A68" t="str">
            <v>CUBIERTA METÁLICA  EN ACERO INOXIDABLE SOBRE MESON EXISTENTE, INCLUYENDO FALDÓN; ANCHO DE MESÓN 0,60 M.</v>
          </cell>
          <cell r="B68" t="str">
            <v>und</v>
          </cell>
          <cell r="C68">
            <v>500000</v>
          </cell>
        </row>
        <row r="69">
          <cell r="A69" t="str">
            <v>DIVISIONES EN ACERO INOXIDABLE (INCLUYE PUERTA)</v>
          </cell>
          <cell r="B69" t="str">
            <v>ml</v>
          </cell>
          <cell r="C69">
            <v>945000</v>
          </cell>
        </row>
        <row r="70">
          <cell r="A70" t="str">
            <v>PUERTAS EN ACERO INOXIDABLE</v>
          </cell>
          <cell r="B70" t="str">
            <v>und</v>
          </cell>
          <cell r="C70">
            <v>470000</v>
          </cell>
        </row>
        <row r="71">
          <cell r="A71" t="str">
            <v>ZOCALO EN ACERO INOXIDABLE</v>
          </cell>
          <cell r="B71" t="str">
            <v>und</v>
          </cell>
          <cell r="C71">
            <v>15000</v>
          </cell>
        </row>
        <row r="72">
          <cell r="A72" t="str">
            <v>LUCETAS BAÑOS EN SISTEMA TUBULAR DE 3" X 1 1/2", PERSIANA FIJA EN ALUMINIO CADA 4,5 CM, DE 0,85 M X 0,85 M.</v>
          </cell>
          <cell r="B72" t="str">
            <v>und</v>
          </cell>
          <cell r="C72">
            <v>250000</v>
          </cell>
        </row>
        <row r="73">
          <cell r="A73" t="str">
            <v>LUCETAS BAÑOS EN SISTEMA TUBULAR DE 3" X 1 1/2", PERSIANA FIJA EN ALUMINIO CADA 4,5 CM, DE 0,50 M X 1,00 M.</v>
          </cell>
          <cell r="B73" t="str">
            <v>und</v>
          </cell>
          <cell r="C73">
            <v>210000</v>
          </cell>
        </row>
        <row r="74">
          <cell r="A74" t="str">
            <v>LUCETAS BAÑOS EN SISTEMA TUBULAR DE 3" X 1 1/2", PERSIANA FIJA EN ALUMINIO CADA 4,5 CM, DE 0,50 M X 2,00 M.</v>
          </cell>
          <cell r="B74" t="str">
            <v>und</v>
          </cell>
          <cell r="C74">
            <v>330000</v>
          </cell>
        </row>
        <row r="75">
          <cell r="A75" t="str">
            <v>SP PARED PLANA REC BLANCO 29X59cm Cj1.03m2 ZS</v>
          </cell>
          <cell r="B75" t="str">
            <v>m2</v>
          </cell>
          <cell r="C75">
            <v>45900</v>
          </cell>
        </row>
        <row r="76">
          <cell r="A76" t="str">
            <v>SP FLUXOMETRO PARA SANITARIO FLUJO AJUSTABLE LT</v>
          </cell>
          <cell r="B76" t="str">
            <v>und</v>
          </cell>
          <cell r="C76">
            <v>580000</v>
          </cell>
        </row>
        <row r="77">
          <cell r="A77" t="str">
            <v xml:space="preserve">SP FLUXOMETRO ORINAL FLUJO AJUSTABLE LT </v>
          </cell>
          <cell r="B77" t="str">
            <v>und</v>
          </cell>
          <cell r="C77">
            <v>580000</v>
          </cell>
        </row>
        <row r="78">
          <cell r="A78" t="str">
            <v>PEGANTE ENCHAPE PARED</v>
          </cell>
          <cell r="B78" t="str">
            <v>kg</v>
          </cell>
          <cell r="C78">
            <v>2620</v>
          </cell>
        </row>
        <row r="79">
          <cell r="A79" t="str">
            <v>COMBO INSTITUCIONAL SANITARIO: INCLUYE TAZA BÁLTICA BLANCA O SIMILAR, SISTEMA DE INSTALACIÓN VÁLVULA ANT. SUPERIOR, FLUXÓMETRO PALANCA SANITARIO Y ASIENTO SANITARIO INSTITUCIONAL ABIERTO</v>
          </cell>
          <cell r="B79" t="str">
            <v>und</v>
          </cell>
          <cell r="C79">
            <v>1851500</v>
          </cell>
        </row>
        <row r="80">
          <cell r="A80" t="str">
            <v>COMBO INSTITUCIONAL ORINAL:  INCLUYE ORINAL MEDIANO BLANCO, DESAGÜE SIFÓN ORINAL Y FLUXÓMETRO PALANCA ORINAL</v>
          </cell>
          <cell r="B80" t="str">
            <v>und</v>
          </cell>
          <cell r="C80">
            <v>745000</v>
          </cell>
        </row>
        <row r="81">
          <cell r="A81" t="str">
            <v>COMBO INSTITUCIONAL SANITARIO PARA PERSONA DE TALLA BAJA: INCLUYE TAZA BÁLTICA BLANCA O SIMILAR, SISTEMA DE INSTALACIÓN VÁLVULA ANT. SUPERIOR, FLUXÓMETRO PALANCA SANITARIO Y ASIENTO SANITARIO INSTITUCIONAL ABIERTO</v>
          </cell>
          <cell r="B81" t="str">
            <v>und</v>
          </cell>
          <cell r="C81">
            <v>1851500</v>
          </cell>
        </row>
        <row r="82">
          <cell r="A82" t="str">
            <v>Mosaico Cerámico Cristal Confeti 30x30 Centímetros Café, Corona</v>
          </cell>
          <cell r="B82" t="str">
            <v>m2</v>
          </cell>
          <cell r="C82">
            <v>175000</v>
          </cell>
        </row>
      </sheetData>
      <sheetData sheetId="5" refreshError="1">
        <row r="57">
          <cell r="A57" t="str">
            <v>CUADRILLA AA ALBAÑILERÍA 0:1</v>
          </cell>
          <cell r="B57" t="str">
            <v>H/C</v>
          </cell>
          <cell r="C57">
            <v>5875</v>
          </cell>
        </row>
        <row r="58">
          <cell r="A58" t="str">
            <v>CUADRILLA AA ALBAÑILERÍA 0:2</v>
          </cell>
          <cell r="B58" t="str">
            <v>H/C</v>
          </cell>
          <cell r="C58">
            <v>11750</v>
          </cell>
        </row>
        <row r="59">
          <cell r="A59" t="str">
            <v>CUADRILLA AA ALBAÑILERÍA 1:0</v>
          </cell>
          <cell r="B59" t="str">
            <v>H/C</v>
          </cell>
          <cell r="C59">
            <v>8515</v>
          </cell>
        </row>
        <row r="60">
          <cell r="A60" t="str">
            <v>CUADRILLA AA ALBAÑILERÍA 1:1</v>
          </cell>
          <cell r="B60" t="str">
            <v>H/C</v>
          </cell>
          <cell r="C60">
            <v>14390</v>
          </cell>
        </row>
        <row r="61">
          <cell r="A61" t="str">
            <v>CUADRILLA AA ALBAÑILERÍA 1:2</v>
          </cell>
          <cell r="B61" t="str">
            <v>H/C</v>
          </cell>
          <cell r="C61">
            <v>20265</v>
          </cell>
        </row>
        <row r="62">
          <cell r="A62" t="str">
            <v>CUADRILLA AA ALBAÑILERÍA 1:3</v>
          </cell>
          <cell r="B62" t="str">
            <v>H/C</v>
          </cell>
          <cell r="C62">
            <v>26140</v>
          </cell>
        </row>
        <row r="63">
          <cell r="A63" t="str">
            <v>CUADRILLA AA ALBAÑILERÍA 1:4</v>
          </cell>
          <cell r="B63" t="str">
            <v>H/C</v>
          </cell>
          <cell r="C63">
            <v>32015</v>
          </cell>
        </row>
        <row r="64">
          <cell r="A64" t="str">
            <v>CUADRILLA AA ALBAÑILERÍA 1:5</v>
          </cell>
          <cell r="B64" t="str">
            <v>H/C</v>
          </cell>
          <cell r="C64">
            <v>37890</v>
          </cell>
        </row>
        <row r="65">
          <cell r="A65" t="str">
            <v>CUADRILLA BB INSTALACIONES 0:1</v>
          </cell>
          <cell r="B65" t="str">
            <v>H/C</v>
          </cell>
          <cell r="C65">
            <v>6463</v>
          </cell>
        </row>
        <row r="66">
          <cell r="A66" t="str">
            <v>CUADRILLA BB INSTALACIONES 0:2</v>
          </cell>
          <cell r="B66" t="str">
            <v>H/C</v>
          </cell>
          <cell r="C66">
            <v>12925</v>
          </cell>
        </row>
        <row r="67">
          <cell r="A67" t="str">
            <v>CUADRILLA BB INSTALACIONES 1:0</v>
          </cell>
          <cell r="B67" t="str">
            <v>H/C</v>
          </cell>
          <cell r="C67">
            <v>9367</v>
          </cell>
        </row>
        <row r="68">
          <cell r="A68" t="str">
            <v>CUADRILLA BB INSTALACIONES 1:1</v>
          </cell>
          <cell r="B68" t="str">
            <v>H/C</v>
          </cell>
          <cell r="C68">
            <v>15829</v>
          </cell>
        </row>
        <row r="69">
          <cell r="A69" t="str">
            <v>CUADRILLA BB INSTALACIONES 1:2</v>
          </cell>
          <cell r="B69" t="str">
            <v>H/C</v>
          </cell>
          <cell r="C69">
            <v>22292</v>
          </cell>
        </row>
        <row r="70">
          <cell r="A70" t="str">
            <v>CUADRILLA BB INSTALACIONES 1:3</v>
          </cell>
          <cell r="B70" t="str">
            <v>H/C</v>
          </cell>
          <cell r="C70">
            <v>28754</v>
          </cell>
        </row>
        <row r="71">
          <cell r="A71" t="str">
            <v>CUADRILLA BB INSTALACIONES 1:4</v>
          </cell>
          <cell r="B71" t="str">
            <v>H/C</v>
          </cell>
          <cell r="C71">
            <v>35217</v>
          </cell>
        </row>
        <row r="72">
          <cell r="A72" t="str">
            <v>CUADRILLA BB INSTALACIONES 1:5</v>
          </cell>
          <cell r="B72" t="str">
            <v>H/C</v>
          </cell>
          <cell r="C72">
            <v>41679</v>
          </cell>
        </row>
        <row r="73">
          <cell r="A73" t="str">
            <v>CUADRILLA CC PINTURA 0:1</v>
          </cell>
          <cell r="B73" t="str">
            <v>H/C</v>
          </cell>
          <cell r="C73">
            <v>6756</v>
          </cell>
        </row>
        <row r="74">
          <cell r="A74" t="str">
            <v>CUADRILLA CC PINTURA 0:2</v>
          </cell>
          <cell r="B74" t="str">
            <v>H/C</v>
          </cell>
          <cell r="C74">
            <v>13513</v>
          </cell>
        </row>
        <row r="75">
          <cell r="A75" t="str">
            <v>CUADRILLA CC PINTURA 1:0</v>
          </cell>
          <cell r="B75" t="str">
            <v>H/C</v>
          </cell>
          <cell r="C75">
            <v>9792</v>
          </cell>
        </row>
        <row r="76">
          <cell r="A76" t="str">
            <v>CUADRILLA CC PINTURA 1:1</v>
          </cell>
          <cell r="B76" t="str">
            <v>H/C</v>
          </cell>
          <cell r="C76">
            <v>16549</v>
          </cell>
        </row>
        <row r="77">
          <cell r="A77" t="str">
            <v>CUADRILLA CC PINTURA 1:2</v>
          </cell>
          <cell r="B77" t="str">
            <v>H/C</v>
          </cell>
          <cell r="C77">
            <v>23305</v>
          </cell>
        </row>
        <row r="78">
          <cell r="A78" t="str">
            <v>CUADRILLA CC PINTURA 1:3</v>
          </cell>
          <cell r="B78" t="str">
            <v>H/C</v>
          </cell>
          <cell r="C78">
            <v>30061</v>
          </cell>
        </row>
        <row r="79">
          <cell r="A79" t="str">
            <v>CUADRILLA CC PINTURA 1:4</v>
          </cell>
          <cell r="B79" t="str">
            <v>H/C</v>
          </cell>
          <cell r="C79">
            <v>36817</v>
          </cell>
        </row>
        <row r="80">
          <cell r="A80" t="str">
            <v>CUADRILLA CC PINTURA 1:5</v>
          </cell>
          <cell r="B80" t="str">
            <v>H/C</v>
          </cell>
          <cell r="C80">
            <v>43574</v>
          </cell>
        </row>
        <row r="81">
          <cell r="A81" t="str">
            <v>CUADRILLA DD CARPINTERÍA 0:1</v>
          </cell>
          <cell r="B81" t="str">
            <v>H/C</v>
          </cell>
          <cell r="C81">
            <v>7050</v>
          </cell>
        </row>
        <row r="82">
          <cell r="A82" t="str">
            <v>CUADRILLA DD CARPINTERÍA 0:2</v>
          </cell>
          <cell r="B82" t="str">
            <v>H/C</v>
          </cell>
          <cell r="C82">
            <v>14100</v>
          </cell>
        </row>
        <row r="83">
          <cell r="A83" t="str">
            <v>CUADRILLA DD CARPINTERÍA 1:0</v>
          </cell>
          <cell r="B83" t="str">
            <v>H/C</v>
          </cell>
          <cell r="C83">
            <v>10218</v>
          </cell>
        </row>
        <row r="84">
          <cell r="A84" t="str">
            <v>CUADRILLA DD CARPINTERÍA 1:1</v>
          </cell>
          <cell r="B84" t="str">
            <v>H/C</v>
          </cell>
          <cell r="C84">
            <v>17268</v>
          </cell>
        </row>
        <row r="85">
          <cell r="A85" t="str">
            <v>CUADRILLA DD CARPINTERÍA 1:2</v>
          </cell>
          <cell r="B85" t="str">
            <v>H/C</v>
          </cell>
          <cell r="C85">
            <v>24318</v>
          </cell>
        </row>
        <row r="86">
          <cell r="A86" t="str">
            <v>CUADRILLA DD CARPINTERÍA 1:3</v>
          </cell>
          <cell r="B86" t="str">
            <v>H/C</v>
          </cell>
          <cell r="C86">
            <v>31368</v>
          </cell>
        </row>
        <row r="87">
          <cell r="A87" t="str">
            <v>CUADRILLA DD CARPINTERÍA 1:4</v>
          </cell>
          <cell r="B87" t="str">
            <v>H/C</v>
          </cell>
          <cell r="C87">
            <v>38418</v>
          </cell>
        </row>
        <row r="88">
          <cell r="A88" t="str">
            <v>CUADRILLA DD CARPINTERÍA 1:5</v>
          </cell>
          <cell r="B88" t="str">
            <v>H/C</v>
          </cell>
          <cell r="C88">
            <v>45468</v>
          </cell>
        </row>
      </sheetData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PO"/>
      <sheetName val="MATERIAL"/>
    </sheetNames>
    <sheetDataSet>
      <sheetData sheetId="0" refreshError="1"/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U"/>
      <sheetName val="FACTOR PRESTACIONAL 2009"/>
      <sheetName val="HISTORICO"/>
      <sheetName val="SALARIO CELADOR 2008"/>
      <sheetName val="TARIFAS REGISTRO DISTRITAL 2009"/>
      <sheetName val="COSTOS OFICINA"/>
      <sheetName val="COSTOS CAMPAMENT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 REGIONES"/>
      <sheetName val="PRESUPUESTO DETALLADO"/>
      <sheetName val="PRESUPUESTO BASE POLIDEPORTIVO"/>
      <sheetName val="AHORROS"/>
      <sheetName val="días habiles 2015"/>
      <sheetName val="MANTENIMIENTO y OPERACIÓN"/>
      <sheetName val="PRESUPUESTO DE E&amp;D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M1" t="str">
            <v>Domingo</v>
          </cell>
        </row>
        <row r="2">
          <cell r="D2">
            <v>42005</v>
          </cell>
          <cell r="M2" t="str">
            <v>Sábado y domingo</v>
          </cell>
        </row>
        <row r="3">
          <cell r="D3">
            <v>42016</v>
          </cell>
        </row>
        <row r="4">
          <cell r="D4">
            <v>42086</v>
          </cell>
        </row>
        <row r="5">
          <cell r="D5">
            <v>42096</v>
          </cell>
        </row>
        <row r="6">
          <cell r="D6">
            <v>42097</v>
          </cell>
        </row>
        <row r="7">
          <cell r="D7">
            <v>42125</v>
          </cell>
        </row>
        <row r="8">
          <cell r="D8">
            <v>42142</v>
          </cell>
        </row>
        <row r="9">
          <cell r="D9">
            <v>42166</v>
          </cell>
        </row>
        <row r="10">
          <cell r="D10">
            <v>42163</v>
          </cell>
        </row>
        <row r="11">
          <cell r="D11">
            <v>42170</v>
          </cell>
        </row>
        <row r="12">
          <cell r="D12">
            <v>42184</v>
          </cell>
        </row>
        <row r="13">
          <cell r="D13">
            <v>42187</v>
          </cell>
        </row>
        <row r="14">
          <cell r="D14">
            <v>42205</v>
          </cell>
        </row>
        <row r="15">
          <cell r="D15">
            <v>42223</v>
          </cell>
        </row>
        <row r="16">
          <cell r="D16">
            <v>42233</v>
          </cell>
        </row>
        <row r="17">
          <cell r="D17">
            <v>42289</v>
          </cell>
        </row>
        <row r="18">
          <cell r="D18">
            <v>42310</v>
          </cell>
        </row>
        <row r="19">
          <cell r="D19">
            <v>42324</v>
          </cell>
        </row>
        <row r="20">
          <cell r="D20">
            <v>42346</v>
          </cell>
        </row>
        <row r="21">
          <cell r="D21">
            <v>42363</v>
          </cell>
        </row>
      </sheetData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.U. M.O. 2.004"/>
      <sheetName val="INSUMOS"/>
      <sheetName val="UNITARIOS"/>
      <sheetName val="CANTIDADES"/>
      <sheetName val="PRE I ETAPA"/>
      <sheetName val="PRE II ETAPA "/>
      <sheetName val="PRE TOTAL"/>
      <sheetName val="PRE C.O.P.8"/>
      <sheetName val="PRE FINAL C.O.P.8"/>
      <sheetName val="ACTA FINAL"/>
      <sheetName val="Hoja1"/>
      <sheetName val="Hoja2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"/>
      <sheetName val="INS"/>
      <sheetName val="PPTO"/>
      <sheetName val="APUS"/>
      <sheetName val="4.03"/>
      <sheetName val="4.04"/>
      <sheetName val="5.01"/>
      <sheetName val="5.02"/>
      <sheetName val="5.03"/>
      <sheetName val="5.04"/>
      <sheetName val="5.05"/>
      <sheetName val="9.01"/>
      <sheetName val="9.02"/>
      <sheetName val="9.03"/>
      <sheetName val="9.04"/>
      <sheetName val="9.08"/>
      <sheetName val="1.01"/>
      <sheetName val="1.02"/>
      <sheetName val="1.03"/>
      <sheetName val="1.04"/>
      <sheetName val="1.05"/>
      <sheetName val="1.06"/>
      <sheetName val="1.07"/>
      <sheetName val="1.08"/>
      <sheetName val="1.10"/>
      <sheetName val="1.11"/>
      <sheetName val="1.17"/>
      <sheetName val="1.19"/>
      <sheetName val="2.01"/>
      <sheetName val="2.02"/>
      <sheetName val="2.03"/>
      <sheetName val="2.04"/>
      <sheetName val="2.05"/>
      <sheetName val="2.06"/>
      <sheetName val="2.07"/>
      <sheetName val="2.08"/>
      <sheetName val="3.01"/>
      <sheetName val="3.02"/>
      <sheetName val="3.03"/>
      <sheetName val="3.04"/>
      <sheetName val="3.05"/>
      <sheetName val="3.06"/>
      <sheetName val="3.07"/>
      <sheetName val="3.08"/>
      <sheetName val="3.09"/>
      <sheetName val="4.01"/>
      <sheetName val="7.01"/>
      <sheetName val="7.02"/>
      <sheetName val="ESPECIF"/>
      <sheetName val="Hoja1"/>
      <sheetName val="4.02"/>
    </sheetNames>
    <sheetDataSet>
      <sheetData sheetId="0"/>
      <sheetData sheetId="1">
        <row r="4">
          <cell r="B4" t="str">
            <v>Acero flejado Fy = 60.000 psi</v>
          </cell>
        </row>
      </sheetData>
      <sheetData sheetId="2">
        <row r="7">
          <cell r="A7">
            <v>1</v>
          </cell>
          <cell r="B7" t="str">
            <v>PRELIMINARES</v>
          </cell>
        </row>
        <row r="8">
          <cell r="A8">
            <v>1.01</v>
          </cell>
          <cell r="B8" t="str">
            <v>ALQUILER DE CONTENEDORES PARA CAMPAMENTEO (OFICINAS DE OBRA Y ALMACÉN 3 und)</v>
          </cell>
          <cell r="C8" t="str">
            <v>mes</v>
          </cell>
          <cell r="D8">
            <v>45</v>
          </cell>
          <cell r="E8">
            <v>42838.425000000003</v>
          </cell>
          <cell r="F8">
            <v>1927729</v>
          </cell>
        </row>
        <row r="9">
          <cell r="A9">
            <v>1.02</v>
          </cell>
          <cell r="B9" t="str">
            <v>DEMOLICIÓN MURO CONCRETO E=30 CM INCLUYE ACARREO Y RETIRO A SITIO AUTORIZADO</v>
          </cell>
          <cell r="C9" t="str">
            <v>m²</v>
          </cell>
          <cell r="D9">
            <v>0</v>
          </cell>
          <cell r="E9" t="e">
            <v>#N/A</v>
          </cell>
          <cell r="F9" t="e">
            <v>#N/A</v>
          </cell>
        </row>
        <row r="10">
          <cell r="A10">
            <v>1.03</v>
          </cell>
          <cell r="B10" t="str">
            <v>DESMONTE DE TOPELLANTAS EN CONCRETO</v>
          </cell>
          <cell r="C10" t="str">
            <v>und</v>
          </cell>
          <cell r="D10">
            <v>0</v>
          </cell>
          <cell r="F10">
            <v>0</v>
          </cell>
        </row>
        <row r="11">
          <cell r="A11">
            <v>1.04</v>
          </cell>
          <cell r="B11" t="str">
            <v>DEMOLICIÓN LOSA CONTRAPISO CONCRETO E= 7,6 A 12 CM INCLUYE ACARREO Y RETIRO A SITIO AUTORIZADO</v>
          </cell>
          <cell r="C11" t="str">
            <v>m²</v>
          </cell>
          <cell r="D11">
            <v>0</v>
          </cell>
          <cell r="E11" t="e">
            <v>#N/A</v>
          </cell>
          <cell r="F11" t="e">
            <v>#N/A</v>
          </cell>
        </row>
        <row r="12">
          <cell r="A12">
            <v>1.05</v>
          </cell>
          <cell r="B12" t="str">
            <v>LOCALIZACION Y REPLANTEO COMISION TOPOGRAFÍA</v>
          </cell>
          <cell r="C12" t="str">
            <v>m²</v>
          </cell>
          <cell r="D12">
            <v>637.85</v>
          </cell>
          <cell r="E12" t="e">
            <v>#N/A</v>
          </cell>
          <cell r="F12" t="e">
            <v>#N/A</v>
          </cell>
        </row>
        <row r="13">
          <cell r="A13">
            <v>1.06</v>
          </cell>
          <cell r="B13" t="str">
            <v>DESMONTE DE CERRAMIENTO EXISTENTE</v>
          </cell>
          <cell r="C13" t="str">
            <v>m²</v>
          </cell>
          <cell r="D13">
            <v>89.34</v>
          </cell>
          <cell r="E13" t="e">
            <v>#N/A</v>
          </cell>
          <cell r="F13" t="e">
            <v>#N/A</v>
          </cell>
        </row>
        <row r="14">
          <cell r="A14">
            <v>1.07</v>
          </cell>
          <cell r="B14" t="str">
            <v>DEMOLICIÓN DE COLUMNAS EN CONCRETO CERRAMIENTO EXISTENTE</v>
          </cell>
          <cell r="C14" t="str">
            <v>m³</v>
          </cell>
          <cell r="D14">
            <v>0</v>
          </cell>
          <cell r="E14">
            <v>48171.875</v>
          </cell>
          <cell r="F14">
            <v>0</v>
          </cell>
        </row>
        <row r="15">
          <cell r="A15">
            <v>1.08</v>
          </cell>
          <cell r="B15" t="str">
            <v>DESMONTE DE CUBIERTAS Y ESTRUCTURA PARQUEADEROS EXISTENTE</v>
          </cell>
          <cell r="C15" t="str">
            <v>m²</v>
          </cell>
          <cell r="D15">
            <v>0</v>
          </cell>
          <cell r="E15" t="e">
            <v>#N/A</v>
          </cell>
          <cell r="F15" t="e">
            <v>#N/A</v>
          </cell>
        </row>
        <row r="16">
          <cell r="A16">
            <v>1.0900000000000001</v>
          </cell>
          <cell r="B16" t="str">
            <v xml:space="preserve">DESMONTE  DE CASETA </v>
          </cell>
          <cell r="C16" t="str">
            <v>und</v>
          </cell>
          <cell r="D16">
            <v>0</v>
          </cell>
          <cell r="E16" t="e">
            <v>#N/A</v>
          </cell>
          <cell r="F16" t="e">
            <v>#N/A</v>
          </cell>
        </row>
        <row r="17">
          <cell r="A17">
            <v>1.1000000000000001</v>
          </cell>
          <cell r="B17" t="str">
            <v>BATEA EN CONCRETO 3000 PSI</v>
          </cell>
          <cell r="C17" t="str">
            <v>m³</v>
          </cell>
          <cell r="D17">
            <v>1.25</v>
          </cell>
          <cell r="E17" t="e">
            <v>#N/A</v>
          </cell>
          <cell r="F17" t="e">
            <v>#N/A</v>
          </cell>
        </row>
        <row r="18">
          <cell r="A18">
            <v>1.1100000000000001</v>
          </cell>
          <cell r="B18" t="str">
            <v>CERRAMIENTO PROVISIONAL EN LÁMINA GALVANIZADA E H:2,10M</v>
          </cell>
          <cell r="C18" t="str">
            <v>m</v>
          </cell>
          <cell r="D18">
            <v>89.34</v>
          </cell>
          <cell r="E18" t="e">
            <v>#N/A</v>
          </cell>
          <cell r="F18" t="e">
            <v>#N/A</v>
          </cell>
        </row>
        <row r="19">
          <cell r="A19">
            <v>1.1200000000000001</v>
          </cell>
          <cell r="B19" t="str">
            <v>MONTAJE DE TORRE GRUA (DEMOLICIONES, CIMENTACIÓN Y MONTAJE)</v>
          </cell>
          <cell r="C19" t="str">
            <v>Gb</v>
          </cell>
          <cell r="D19">
            <v>1</v>
          </cell>
          <cell r="E19" t="e">
            <v>#N/A</v>
          </cell>
          <cell r="F19" t="e">
            <v>#N/A</v>
          </cell>
        </row>
        <row r="20">
          <cell r="A20">
            <v>1.1299999999999999</v>
          </cell>
          <cell r="B20" t="str">
            <v>DESMONTE DE TORRE GRÚA (INCLUYE DEMOLICIONES Y REPOSICIÓN DE ANDENES</v>
          </cell>
          <cell r="C20" t="str">
            <v>Gb</v>
          </cell>
          <cell r="D20">
            <v>1</v>
          </cell>
          <cell r="E20" t="e">
            <v>#N/A</v>
          </cell>
          <cell r="F20" t="e">
            <v>#N/A</v>
          </cell>
        </row>
        <row r="21">
          <cell r="A21">
            <v>1.1399999999999999</v>
          </cell>
          <cell r="B21" t="str">
            <v>INSTALACIÓN PROVISIONAL AGUA</v>
          </cell>
          <cell r="C21" t="str">
            <v>und</v>
          </cell>
          <cell r="D21">
            <v>1</v>
          </cell>
          <cell r="E21" t="e">
            <v>#N/A</v>
          </cell>
          <cell r="F21" t="e">
            <v>#N/A</v>
          </cell>
        </row>
        <row r="22">
          <cell r="A22">
            <v>1.1499999999999999</v>
          </cell>
          <cell r="B22" t="str">
            <v>TRANSFORMADOR CON CABLEADO SUBTERRÁNEA</v>
          </cell>
          <cell r="C22" t="str">
            <v>und</v>
          </cell>
          <cell r="D22">
            <v>1</v>
          </cell>
          <cell r="E22" t="e">
            <v>#N/A</v>
          </cell>
          <cell r="F22" t="e">
            <v>#N/A</v>
          </cell>
        </row>
        <row r="23">
          <cell r="A23">
            <v>1.1599999999999999</v>
          </cell>
          <cell r="B23" t="str">
            <v>INSTALACIÓN PROVISIONAL TELÉFONO</v>
          </cell>
          <cell r="C23" t="str">
            <v>und</v>
          </cell>
          <cell r="D23">
            <v>1</v>
          </cell>
          <cell r="E23" t="e">
            <v>#N/A</v>
          </cell>
          <cell r="F23" t="e">
            <v>#N/A</v>
          </cell>
        </row>
        <row r="24">
          <cell r="A24">
            <v>1.17</v>
          </cell>
          <cell r="B24" t="str">
            <v>ZARÁN DE PROTECCIÓN DE EDIFICIO</v>
          </cell>
          <cell r="C24" t="str">
            <v>m²</v>
          </cell>
          <cell r="E24" t="e">
            <v>#N/A</v>
          </cell>
          <cell r="F24" t="e">
            <v>#N/A</v>
          </cell>
        </row>
        <row r="25">
          <cell r="A25">
            <v>1.18</v>
          </cell>
          <cell r="B25" t="str">
            <v>TRÁMITE ANTE ENTIDADES: TRÁNSITO, PLANEACIÓN MPAL Y UNIDAD DE RIESGOS</v>
          </cell>
          <cell r="C25" t="str">
            <v>und</v>
          </cell>
          <cell r="D25">
            <v>1</v>
          </cell>
          <cell r="E25" t="e">
            <v>#N/A</v>
          </cell>
          <cell r="F25" t="e">
            <v>#N/A</v>
          </cell>
        </row>
        <row r="26">
          <cell r="A26">
            <v>1.19</v>
          </cell>
          <cell r="B26" t="str">
            <v>RETIRO DE ESCOMBROS CON VOLQUETA</v>
          </cell>
          <cell r="C26" t="str">
            <v>m³</v>
          </cell>
          <cell r="E26" t="e">
            <v>#N/A</v>
          </cell>
          <cell r="F26" t="e">
            <v>#N/A</v>
          </cell>
        </row>
        <row r="27">
          <cell r="B27" t="str">
            <v xml:space="preserve">TOTAL PRELIMINARES </v>
          </cell>
          <cell r="F27" t="e">
            <v>#N/A</v>
          </cell>
        </row>
        <row r="28">
          <cell r="A28">
            <v>2</v>
          </cell>
          <cell r="B28" t="str">
            <v>MOVIMIENTO DE TIERRA</v>
          </cell>
        </row>
        <row r="29">
          <cell r="A29">
            <v>2.0099999999999998</v>
          </cell>
          <cell r="B29" t="str">
            <v>EXCAVACIÓN TERRENO CON MAQUINARIA PESADA</v>
          </cell>
          <cell r="C29" t="str">
            <v>m³</v>
          </cell>
          <cell r="D29">
            <v>0</v>
          </cell>
          <cell r="E29" t="e">
            <v>#N/A</v>
          </cell>
          <cell r="F29" t="e">
            <v>#N/A</v>
          </cell>
        </row>
        <row r="30">
          <cell r="A30">
            <v>2.02</v>
          </cell>
          <cell r="B30" t="str">
            <v>PERFILADA Y NIVELACIÓN TERRENO CON MATERIAL DE SITIO</v>
          </cell>
          <cell r="C30" t="str">
            <v>m²</v>
          </cell>
          <cell r="D30">
            <v>0</v>
          </cell>
          <cell r="E30" t="e">
            <v>#N/A</v>
          </cell>
          <cell r="F30" t="e">
            <v>#N/A</v>
          </cell>
        </row>
        <row r="31">
          <cell r="A31">
            <v>2.0299999999999998</v>
          </cell>
          <cell r="B31" t="str">
            <v>PERFORACION Y EXCAVACION PARA PILOTES INCLUYE ACARREO</v>
          </cell>
          <cell r="C31" t="str">
            <v>m³</v>
          </cell>
          <cell r="D31">
            <v>0</v>
          </cell>
          <cell r="E31" t="e">
            <v>#N/A</v>
          </cell>
          <cell r="F31" t="e">
            <v>#N/A</v>
          </cell>
        </row>
        <row r="32">
          <cell r="A32">
            <v>2.04</v>
          </cell>
          <cell r="B32" t="str">
            <v>EXCAVACIÓN PARA DADOS / ZAPATAS</v>
          </cell>
          <cell r="C32" t="str">
            <v>m³</v>
          </cell>
          <cell r="D32">
            <v>0</v>
          </cell>
          <cell r="E32">
            <v>1762.5</v>
          </cell>
          <cell r="F32">
            <v>0</v>
          </cell>
        </row>
        <row r="33">
          <cell r="A33">
            <v>2.0499999999999998</v>
          </cell>
          <cell r="B33" t="str">
            <v xml:space="preserve">EXCAVACION PARA VIGAS DE CIMENTACION </v>
          </cell>
          <cell r="C33" t="str">
            <v>m³</v>
          </cell>
          <cell r="D33">
            <v>0</v>
          </cell>
          <cell r="E33">
            <v>1762.5</v>
          </cell>
          <cell r="F33">
            <v>0</v>
          </cell>
        </row>
        <row r="34">
          <cell r="A34">
            <v>2.06</v>
          </cell>
          <cell r="B34" t="str">
            <v>RELLENOS COMPACTADOS DE CONFORMACION CON MATERIAL DE SITIO</v>
          </cell>
          <cell r="C34" t="str">
            <v>m³</v>
          </cell>
          <cell r="D34">
            <v>0</v>
          </cell>
          <cell r="E34" t="e">
            <v>#N/A</v>
          </cell>
          <cell r="F34" t="e">
            <v>#N/A</v>
          </cell>
        </row>
        <row r="35">
          <cell r="A35">
            <v>2.0699999999999998</v>
          </cell>
          <cell r="B35" t="str">
            <v>REMOCION, CARGUE Y RETIRO MAT COMUN A ESCOMBRERA</v>
          </cell>
          <cell r="C35" t="str">
            <v>m³</v>
          </cell>
          <cell r="D35">
            <v>0</v>
          </cell>
          <cell r="E35">
            <v>12611.75</v>
          </cell>
          <cell r="F35">
            <v>0</v>
          </cell>
        </row>
        <row r="36">
          <cell r="A36">
            <v>2.08</v>
          </cell>
          <cell r="B36" t="str">
            <v>RETIRO DE MATERIAL SOBRANTE CARGUE MANUAL</v>
          </cell>
          <cell r="C36" t="str">
            <v>m³</v>
          </cell>
          <cell r="D36">
            <v>0</v>
          </cell>
          <cell r="E36" t="e">
            <v>#N/A</v>
          </cell>
          <cell r="F36" t="e">
            <v>#N/A</v>
          </cell>
        </row>
        <row r="37">
          <cell r="B37" t="str">
            <v>TOTAL MOVIMIENTO DE TIERRAS</v>
          </cell>
          <cell r="F37" t="e">
            <v>#N/A</v>
          </cell>
        </row>
        <row r="39">
          <cell r="A39">
            <v>3</v>
          </cell>
          <cell r="B39" t="str">
            <v>CIMENTACIÓN</v>
          </cell>
        </row>
        <row r="40">
          <cell r="A40">
            <v>3.01</v>
          </cell>
          <cell r="B40" t="str">
            <v>CONCRETO F´C=21 MPA (3000PSI) (TREMIE) PILOTE DIAM=40CM A 60CM, L=HASTA 10M (NO INCLUYE REFUERZO)</v>
          </cell>
          <cell r="C40" t="str">
            <v>m³</v>
          </cell>
          <cell r="D40">
            <v>0</v>
          </cell>
          <cell r="E40" t="e">
            <v>#N/A</v>
          </cell>
          <cell r="F40" t="e">
            <v>#N/A</v>
          </cell>
        </row>
        <row r="41">
          <cell r="A41">
            <v>3.02</v>
          </cell>
          <cell r="B41" t="str">
            <v>DEMOLICIÓN ANILLO PILA O CAISSON</v>
          </cell>
          <cell r="C41" t="str">
            <v>m³</v>
          </cell>
          <cell r="D41">
            <v>0</v>
          </cell>
          <cell r="E41" t="e">
            <v>#N/A</v>
          </cell>
          <cell r="F41" t="e">
            <v>#N/A</v>
          </cell>
        </row>
        <row r="42">
          <cell r="A42">
            <v>3.03</v>
          </cell>
          <cell r="B42" t="str">
            <v>CONCRETO DE 20,7 MPA ZAPATAS (NO INCLUYE REFUERZO)</v>
          </cell>
          <cell r="C42" t="str">
            <v>m³</v>
          </cell>
          <cell r="D42">
            <v>0</v>
          </cell>
          <cell r="E42" t="e">
            <v>#N/A</v>
          </cell>
          <cell r="F42" t="e">
            <v>#N/A</v>
          </cell>
        </row>
        <row r="43">
          <cell r="A43">
            <v>3.04</v>
          </cell>
          <cell r="B43" t="str">
            <v>RELLENO CON RECEBO CONÚN A MANO (ADY ZAPATAS)</v>
          </cell>
          <cell r="C43" t="str">
            <v>m³</v>
          </cell>
          <cell r="D43">
            <v>0</v>
          </cell>
          <cell r="E43" t="e">
            <v>#N/A</v>
          </cell>
          <cell r="F43" t="e">
            <v>#N/A</v>
          </cell>
        </row>
        <row r="44">
          <cell r="A44">
            <v>3.05</v>
          </cell>
          <cell r="B44" t="str">
            <v>SOLADO FUNDACIONES</v>
          </cell>
          <cell r="C44" t="str">
            <v>m²</v>
          </cell>
          <cell r="D44">
            <v>0</v>
          </cell>
          <cell r="E44" t="e">
            <v>#N/A</v>
          </cell>
          <cell r="F44" t="e">
            <v>#N/A</v>
          </cell>
        </row>
        <row r="45">
          <cell r="A45">
            <v>3.06</v>
          </cell>
          <cell r="B45" t="str">
            <v>ACERO DE REFUERZO FY=420 MPA (60000PSI) CIMENTACIÓN</v>
          </cell>
          <cell r="C45" t="str">
            <v>kg</v>
          </cell>
          <cell r="D45">
            <v>0</v>
          </cell>
          <cell r="E45" t="e">
            <v>#N/A</v>
          </cell>
          <cell r="F45" t="e">
            <v>#N/A</v>
          </cell>
        </row>
        <row r="46">
          <cell r="A46">
            <v>3.07</v>
          </cell>
          <cell r="B46" t="str">
            <v>CONCRETO DE 20,7 MPA VIGAS DE ENLACE DE ZAPATAS (NO INCLUYE REFUERZO)</v>
          </cell>
          <cell r="C46" t="str">
            <v>m³</v>
          </cell>
          <cell r="D46">
            <v>0</v>
          </cell>
          <cell r="E46" t="e">
            <v>#N/A</v>
          </cell>
          <cell r="F46" t="e">
            <v>#N/A</v>
          </cell>
        </row>
        <row r="47">
          <cell r="A47">
            <v>3.08</v>
          </cell>
          <cell r="B47" t="str">
            <v>MALLA ELECTROSOLDADA FY=490 MPA (70000PSI) PLACA CONTRAPISO</v>
          </cell>
          <cell r="C47" t="str">
            <v>kg</v>
          </cell>
          <cell r="D47">
            <v>0</v>
          </cell>
          <cell r="E47" t="e">
            <v>#N/A</v>
          </cell>
          <cell r="F47" t="e">
            <v>#N/A</v>
          </cell>
        </row>
        <row r="48">
          <cell r="A48">
            <v>3.09</v>
          </cell>
          <cell r="B48" t="str">
            <v>CONCRETO DE 20,7 MPA PLACA DE CONTRAPISO E = 0,15 M (NO INCLUYE REFUERZO MALLA ELECTROSOLDADA)</v>
          </cell>
          <cell r="C48" t="str">
            <v>m²</v>
          </cell>
          <cell r="D48">
            <v>0</v>
          </cell>
          <cell r="E48" t="e">
            <v>#N/A</v>
          </cell>
          <cell r="F48" t="e">
            <v>#N/A</v>
          </cell>
        </row>
        <row r="49">
          <cell r="A49">
            <v>3.1</v>
          </cell>
          <cell r="B49" t="str">
            <v>ALLANADO DE PISO CON HELICÓPTERO</v>
          </cell>
          <cell r="C49" t="str">
            <v>m²</v>
          </cell>
          <cell r="E49" t="e">
            <v>#N/A</v>
          </cell>
          <cell r="F49" t="e">
            <v>#N/A</v>
          </cell>
        </row>
        <row r="50">
          <cell r="B50" t="str">
            <v>TOTAL CIMENTACIÓN</v>
          </cell>
          <cell r="F50" t="e">
            <v>#N/A</v>
          </cell>
        </row>
        <row r="52">
          <cell r="A52">
            <v>4</v>
          </cell>
          <cell r="B52" t="str">
            <v>ESTRUCTURA</v>
          </cell>
        </row>
        <row r="53">
          <cell r="A53">
            <v>4.01</v>
          </cell>
          <cell r="B53" t="str">
            <v>CONCRETO 20,7 MPA (3000 PSI) MURO DE CONTENCIÓN E: 0.30M (NO INCLUYE REFUERZO)</v>
          </cell>
          <cell r="C53" t="str">
            <v>m³</v>
          </cell>
          <cell r="D53">
            <v>0</v>
          </cell>
          <cell r="E53" t="e">
            <v>#N/A</v>
          </cell>
          <cell r="F53" t="e">
            <v>#N/A</v>
          </cell>
        </row>
        <row r="54">
          <cell r="A54">
            <v>4.0199999999999996</v>
          </cell>
          <cell r="B54" t="str">
            <v xml:space="preserve">PLACA DE FUNDACION FOSO DE ASCENSOR E= 0,2 M EN CONCRETO F´C= 21 MPA </v>
          </cell>
          <cell r="E54" t="e">
            <v>#N/A</v>
          </cell>
          <cell r="F54" t="e">
            <v>#N/A</v>
          </cell>
        </row>
        <row r="55">
          <cell r="A55">
            <v>4.03</v>
          </cell>
          <cell r="B55" t="str">
            <v>CONCRETO 28 MPA MURO PANTALLA ASCENSOR E: 0.25M (NO INCLUYE REFUERZO)</v>
          </cell>
          <cell r="C55" t="str">
            <v>m³</v>
          </cell>
          <cell r="D55">
            <v>101.24860000000001</v>
          </cell>
          <cell r="E55" t="e">
            <v>#N/A</v>
          </cell>
          <cell r="F55" t="e">
            <v>#N/A</v>
          </cell>
        </row>
        <row r="56">
          <cell r="A56">
            <v>4.04</v>
          </cell>
          <cell r="B56" t="str">
            <v>CONCRETO 20,7 MPA ESCALERA Y RAMPAS E=0,20M (NO INCLUYE REFUERZO)</v>
          </cell>
          <cell r="C56" t="str">
            <v>m²</v>
          </cell>
          <cell r="D56" t="e">
            <v>#REF!</v>
          </cell>
          <cell r="E56" t="e">
            <v>#N/A</v>
          </cell>
          <cell r="F56" t="e">
            <v>#REF!</v>
          </cell>
        </row>
        <row r="57">
          <cell r="A57">
            <v>4.05</v>
          </cell>
          <cell r="B57" t="str">
            <v>CONCRETO DE 20,7 MPA (3.000 PSI) PARA PLACAS EN STEELDECK (NO INCLUYE REFUERZO MALLA ELECTROSOLDADA)</v>
          </cell>
          <cell r="C57" t="str">
            <v>m²</v>
          </cell>
          <cell r="D57" t="e">
            <v>#REF!</v>
          </cell>
          <cell r="E57" t="e">
            <v>#N/A</v>
          </cell>
          <cell r="F57" t="e">
            <v>#REF!</v>
          </cell>
        </row>
        <row r="58">
          <cell r="A58">
            <v>4.0599999999999996</v>
          </cell>
          <cell r="B58" t="str">
            <v>CONCRETO DE 20,7 MPA (3.000 PSI) PARA PEDESTALES CIRC. D=0,80M (NO INCLUYE REFUERZO)</v>
          </cell>
          <cell r="C58" t="str">
            <v>m³</v>
          </cell>
          <cell r="D58" t="e">
            <v>#REF!</v>
          </cell>
          <cell r="E58" t="e">
            <v>#N/A</v>
          </cell>
          <cell r="F58" t="e">
            <v>#REF!</v>
          </cell>
        </row>
        <row r="59">
          <cell r="A59">
            <v>4.07</v>
          </cell>
          <cell r="B59" t="str">
            <v>CONCRETO VISTO DE 20,7 MPA (3.000 PSI) COLUMNA CIRCULAR D = 0,75 M  (NO INCLUYE ACERO DE REFUERZO)</v>
          </cell>
          <cell r="C59" t="str">
            <v>m³</v>
          </cell>
          <cell r="D59" t="e">
            <v>#REF!</v>
          </cell>
          <cell r="E59" t="e">
            <v>#N/A</v>
          </cell>
          <cell r="F59" t="e">
            <v>#REF!</v>
          </cell>
        </row>
        <row r="60">
          <cell r="A60">
            <v>4.08</v>
          </cell>
          <cell r="B60" t="str">
            <v xml:space="preserve">CONCRETO VIGAS DE CUBIERTA </v>
          </cell>
          <cell r="E60" t="e">
            <v>#N/A</v>
          </cell>
          <cell r="F60" t="e">
            <v>#N/A</v>
          </cell>
        </row>
        <row r="61">
          <cell r="A61">
            <v>4.09</v>
          </cell>
          <cell r="B61" t="str">
            <v xml:space="preserve">CONCRETO DE TANQUE DE AGUA </v>
          </cell>
          <cell r="E61" t="e">
            <v>#N/A</v>
          </cell>
          <cell r="F61" t="e">
            <v>#N/A</v>
          </cell>
        </row>
        <row r="62">
          <cell r="A62">
            <v>4.0999999999999996</v>
          </cell>
          <cell r="B62" t="str">
            <v>RAMPA EN CONCRETO ALIGERADA E=0.50 M</v>
          </cell>
          <cell r="E62" t="e">
            <v>#N/A</v>
          </cell>
          <cell r="F62" t="e">
            <v>#N/A</v>
          </cell>
        </row>
        <row r="63">
          <cell r="A63">
            <v>4.1100000000000003</v>
          </cell>
          <cell r="B63" t="str">
            <v xml:space="preserve">ACERO DE REFUERZO FY=420 MPA (60000PSI) </v>
          </cell>
          <cell r="C63" t="str">
            <v>kg</v>
          </cell>
          <cell r="E63" t="e">
            <v>#N/A</v>
          </cell>
          <cell r="F63" t="e">
            <v>#N/A</v>
          </cell>
        </row>
        <row r="64">
          <cell r="A64">
            <v>4.12</v>
          </cell>
          <cell r="B64" t="str">
            <v>MALLA ELECTROSOLDADA FY=490 MPA (70000PSI) PLACA ENTREPISO</v>
          </cell>
          <cell r="C64" t="str">
            <v>kg</v>
          </cell>
          <cell r="E64" t="e">
            <v>#N/A</v>
          </cell>
          <cell r="F64" t="e">
            <v>#N/A</v>
          </cell>
        </row>
        <row r="65">
          <cell r="B65" t="str">
            <v>TOTAL ESTRUCTURA</v>
          </cell>
          <cell r="F65" t="e">
            <v>#N/A</v>
          </cell>
        </row>
        <row r="68">
          <cell r="A68">
            <v>5</v>
          </cell>
          <cell r="B68" t="str">
            <v>ESTRUCTURA METALICA</v>
          </cell>
        </row>
        <row r="69">
          <cell r="A69">
            <v>5.01</v>
          </cell>
          <cell r="B69" t="str">
            <v>SUM. E INST. LAMINA METALDECK 2" CAL. 22</v>
          </cell>
          <cell r="C69" t="str">
            <v>kgf</v>
          </cell>
          <cell r="D69" t="e">
            <v>#REF!</v>
          </cell>
          <cell r="E69" t="e">
            <v>#N/A</v>
          </cell>
          <cell r="F69" t="e">
            <v>#REF!</v>
          </cell>
        </row>
        <row r="70">
          <cell r="A70">
            <v>5.0199999999999996</v>
          </cell>
          <cell r="B70" t="str">
            <v>ESTRUCTURA METALICA RAMPA Y ESCALERAS</v>
          </cell>
          <cell r="C70" t="str">
            <v>kgf</v>
          </cell>
          <cell r="D70" t="e">
            <v>#REF!</v>
          </cell>
          <cell r="E70" t="e">
            <v>#N/A</v>
          </cell>
          <cell r="F70" t="e">
            <v>#REF!</v>
          </cell>
        </row>
        <row r="71">
          <cell r="A71">
            <v>5.04</v>
          </cell>
          <cell r="B71" t="str">
            <v>VIGAS METALICAS IPE-400, IPE-500, IPE-600</v>
          </cell>
          <cell r="C71" t="str">
            <v>kgf</v>
          </cell>
          <cell r="D71" t="e">
            <v>#REF!</v>
          </cell>
          <cell r="E71" t="e">
            <v>#N/A</v>
          </cell>
          <cell r="F71" t="e">
            <v>#REF!</v>
          </cell>
        </row>
        <row r="72">
          <cell r="A72">
            <v>5.05</v>
          </cell>
          <cell r="B72" t="str">
            <v>PLATINAS Y PERNOS</v>
          </cell>
          <cell r="C72" t="str">
            <v>kgf</v>
          </cell>
          <cell r="D72" t="e">
            <v>#REF!</v>
          </cell>
          <cell r="E72" t="e">
            <v>#N/A</v>
          </cell>
          <cell r="F72" t="e">
            <v>#REF!</v>
          </cell>
        </row>
        <row r="73">
          <cell r="A73">
            <v>5.0599999999999996</v>
          </cell>
          <cell r="B73" t="str">
            <v>ESTRUCTURA METALICA DE CUBIERTAS</v>
          </cell>
          <cell r="C73" t="str">
            <v>kgf</v>
          </cell>
          <cell r="D73" t="e">
            <v>#REF!</v>
          </cell>
          <cell r="E73" t="e">
            <v>#N/A</v>
          </cell>
          <cell r="F73" t="e">
            <v>#REF!</v>
          </cell>
        </row>
        <row r="74">
          <cell r="B74" t="str">
            <v>TOTAL ESTRUCTURA METALICA</v>
          </cell>
          <cell r="F74" t="e">
            <v>#REF!</v>
          </cell>
        </row>
        <row r="76">
          <cell r="A76">
            <v>6</v>
          </cell>
          <cell r="B76" t="str">
            <v>CUBIERTA</v>
          </cell>
        </row>
        <row r="77">
          <cell r="A77">
            <v>6.01</v>
          </cell>
          <cell r="B77" t="str">
            <v>CUBIERTA SANDWICH DECK TIPO C 525 ALUNZINC 0,50CM DE HUNTER DOUGLAS</v>
          </cell>
          <cell r="C77" t="str">
            <v>m²</v>
          </cell>
          <cell r="E77" t="e">
            <v>#N/A</v>
          </cell>
          <cell r="F77" t="e">
            <v>#N/A</v>
          </cell>
        </row>
        <row r="78">
          <cell r="A78">
            <v>6.02</v>
          </cell>
          <cell r="B78" t="str">
            <v>CANAL EN LAMINA GALVANIZADA CALIBRE 18 INCLUYE SISTEMA DE FIJACION E INSTALACION + PINTURA ELECTROSTATICA EXTERIOR E INTERIOR.</v>
          </cell>
          <cell r="C78" t="str">
            <v>ml</v>
          </cell>
          <cell r="E78" t="e">
            <v>#N/A</v>
          </cell>
          <cell r="F78" t="e">
            <v>#N/A</v>
          </cell>
        </row>
        <row r="79">
          <cell r="A79">
            <v>6.03</v>
          </cell>
          <cell r="B79" t="str">
            <v>IMPERMEABILIZACIÓN DE VIGA CANAL CON REVESTIMIENTO ELASTICO A BASE DE COPOLIMEROS, ESTIRENO, ACRILICOS INCLUYE MORTERO AFINADO 1:4 IMPERMEABILIZADO, MEDIA CAÑA, REMATES Y TELA POLIESTER.</v>
          </cell>
          <cell r="C79" t="str">
            <v>m²</v>
          </cell>
          <cell r="E79" t="e">
            <v>#N/A</v>
          </cell>
          <cell r="F79" t="e">
            <v>#N/A</v>
          </cell>
        </row>
        <row r="80">
          <cell r="A80">
            <v>6.04</v>
          </cell>
          <cell r="B80" t="str">
            <v>IMPERMEABILIZACIÓN DE PLACAS DE CUBIERTA CON SISTEMA SIKAPLAN.</v>
          </cell>
          <cell r="C80" t="str">
            <v>m²</v>
          </cell>
          <cell r="E80" t="e">
            <v>#N/A</v>
          </cell>
          <cell r="F80" t="e">
            <v>#N/A</v>
          </cell>
        </row>
        <row r="81">
          <cell r="B81" t="str">
            <v>TOTAL CUBIERTA</v>
          </cell>
          <cell r="F81" t="e">
            <v>#N/A</v>
          </cell>
        </row>
        <row r="83">
          <cell r="A83">
            <v>7</v>
          </cell>
          <cell r="B83" t="str">
            <v xml:space="preserve"> MAMPOSTERÍA Y CONFINAMIENTOS</v>
          </cell>
        </row>
        <row r="84">
          <cell r="A84">
            <v>7.01</v>
          </cell>
          <cell r="B84" t="str">
            <v>LADRILLO ESTRUCTURAL DE PERFORACION VERTICAL SANTAFE MEDIDAS (LXAXH) 33X11.5X23 ANCLADOS CON DOVELAS 1#4 CADA 1.5M PARA CONFINAR, INCLUYE ESCALERILLAS CADA 4 HILADAS DE 2 VARIILAS GRAFIL 4 MM, INCLUYE EL GROUTING.</v>
          </cell>
          <cell r="C84" t="str">
            <v>m²</v>
          </cell>
          <cell r="E84" t="e">
            <v>#N/A</v>
          </cell>
          <cell r="F84" t="e">
            <v>#N/A</v>
          </cell>
        </row>
        <row r="85">
          <cell r="A85">
            <v>7.02</v>
          </cell>
          <cell r="B85" t="str">
            <v>MUROS EN CONCRETO PARA ANTEPECHO EN RAMPA Y ESCALERAS EXTERIORES E=10 CM, INCLUYE MALLA ELECTROSOLDADA 4 MM 15X15</v>
          </cell>
          <cell r="C85" t="str">
            <v>m²</v>
          </cell>
          <cell r="D85">
            <v>168.1746</v>
          </cell>
          <cell r="E85" t="e">
            <v>#N/A</v>
          </cell>
          <cell r="F85" t="e">
            <v>#N/A</v>
          </cell>
        </row>
        <row r="86">
          <cell r="A86">
            <v>7.03</v>
          </cell>
          <cell r="B86" t="str">
            <v>MUROS DE CUCHILLA LADRILLO ESTRUCTURAL DE PERFORACION VERTICAL SANTAFE MEDIDAS (LXAXH) 33X11.5X23 ANCLADOS CON DOVELAS 1#4 CADA 1.5M PARA CONFINAR, INCLUYE ESCALERILLAS CADA 4 HILADAS DE 2 VARIILAS GRAFIL 4 MM, INCLUYE EL GROUTING.</v>
          </cell>
          <cell r="C86" t="str">
            <v>ml</v>
          </cell>
          <cell r="E86" t="e">
            <v>#N/A</v>
          </cell>
          <cell r="F86" t="e">
            <v>#N/A</v>
          </cell>
        </row>
        <row r="87">
          <cell r="B87" t="str">
            <v>TOTAL MAMPOSTERÍA Y CONFINAMIENTOS</v>
          </cell>
          <cell r="F87" t="e">
            <v>#N/A</v>
          </cell>
        </row>
        <row r="89">
          <cell r="A89">
            <v>8</v>
          </cell>
          <cell r="B89" t="str">
            <v xml:space="preserve"> SISTEMA LIVIANO</v>
          </cell>
        </row>
        <row r="90">
          <cell r="A90">
            <v>8.01</v>
          </cell>
          <cell r="B90" t="str">
            <v>MURO EN FIBROCEMENTO 10MM DOBLE CARA INCLUYE ESTRUCTURA (PERFILERIA CAL. 24) INCLUYE AISLAMIENTO CON FRESCASA</v>
          </cell>
          <cell r="C90" t="str">
            <v>m²</v>
          </cell>
          <cell r="E90" t="e">
            <v>#N/A</v>
          </cell>
          <cell r="F90" t="e">
            <v>#N/A</v>
          </cell>
        </row>
        <row r="91">
          <cell r="A91">
            <v>8.02</v>
          </cell>
          <cell r="B91" t="str">
            <v>MURO EN FIBROCEMENTO 10MM UNA CARA INCLUYE ESTRUCTURA (PERFILERIA CAL. 24) FACHADA PRINCIPAL</v>
          </cell>
          <cell r="C91" t="str">
            <v>m²</v>
          </cell>
          <cell r="E91" t="e">
            <v>#N/A</v>
          </cell>
          <cell r="F91" t="e">
            <v>#N/A</v>
          </cell>
        </row>
        <row r="92">
          <cell r="B92" t="str">
            <v xml:space="preserve"> TOTAL SISTEMA LIVIANO</v>
          </cell>
          <cell r="F92" t="e">
            <v>#N/A</v>
          </cell>
        </row>
        <row r="94">
          <cell r="A94">
            <v>9</v>
          </cell>
          <cell r="B94" t="str">
            <v>PISOS, ENCHAPES E IMPERMERMEABILIZACIONES</v>
          </cell>
        </row>
        <row r="95">
          <cell r="A95">
            <v>9.01</v>
          </cell>
          <cell r="B95" t="str">
            <v>MORTERO DE NIVELACION DE PISOS</v>
          </cell>
          <cell r="C95" t="str">
            <v>m²</v>
          </cell>
          <cell r="E95" t="e">
            <v>#N/A</v>
          </cell>
          <cell r="F95" t="e">
            <v>#N/A</v>
          </cell>
        </row>
        <row r="96">
          <cell r="A96">
            <v>9.02</v>
          </cell>
          <cell r="B96" t="str">
            <v>CERAMICA 51X51X TIPO ALFA® ODEON COPPER BEIGE CLARO Código: 225015977 (INCLYE BOQUILLA COLOR Y WIN) EN BAÑOS</v>
          </cell>
          <cell r="C96" t="str">
            <v>m²</v>
          </cell>
          <cell r="E96" t="e">
            <v>#N/A</v>
          </cell>
          <cell r="F96" t="e">
            <v>#N/A</v>
          </cell>
        </row>
        <row r="97">
          <cell r="A97">
            <v>9.0299999999999994</v>
          </cell>
          <cell r="B97" t="str">
            <v>PISOS DE AULAS BALSOSA MICROGRANO BEIGE COD.  13502581. 30X30 TRAFICO COMERCIAL DE ALFA O SIMILAR</v>
          </cell>
          <cell r="C97" t="str">
            <v>m²</v>
          </cell>
          <cell r="E97" t="e">
            <v>#N/A</v>
          </cell>
          <cell r="F97" t="e">
            <v>#N/A</v>
          </cell>
        </row>
        <row r="98">
          <cell r="A98">
            <v>9.0399999999999991</v>
          </cell>
          <cell r="B98" t="str">
            <v>PISOS CORREDORES BALSOSA DE TERRAZO ECO KRISTAL LAVA REF 225019902. 40X40. TRAFICO COMERCIAL DE ALFA O SIMILAR</v>
          </cell>
          <cell r="C98" t="str">
            <v>m²</v>
          </cell>
          <cell r="E98" t="e">
            <v>#N/A</v>
          </cell>
          <cell r="F98" t="e">
            <v>#N/A</v>
          </cell>
        </row>
        <row r="99">
          <cell r="A99">
            <v>9.0500000000000007</v>
          </cell>
          <cell r="B99" t="str">
            <v>PISOS RAMPAS BALDOSA PREPULIDA TIPO PAYANDE FONDO GRIS 30X30 DE ALFA®</v>
          </cell>
          <cell r="C99" t="str">
            <v>m²</v>
          </cell>
          <cell r="E99" t="e">
            <v>#N/A</v>
          </cell>
          <cell r="F99" t="e">
            <v>#N/A</v>
          </cell>
        </row>
        <row r="100">
          <cell r="A100">
            <v>9.06</v>
          </cell>
          <cell r="B100" t="str">
            <v>AFINADO DE PISOS PARA PARQUEADEROS</v>
          </cell>
          <cell r="C100" t="str">
            <v>m²</v>
          </cell>
          <cell r="E100" t="e">
            <v>#N/A</v>
          </cell>
          <cell r="F100" t="e">
            <v>#N/A</v>
          </cell>
        </row>
        <row r="101">
          <cell r="A101">
            <v>9.07</v>
          </cell>
          <cell r="B101" t="str">
            <v>PISO BALDOSA DE GRANO PREPULIDA EXTERIOR LINEAS 30X30 DE ALFA® COLOR CREMA PARA ESPACIO PUBLICO EXTERIOR</v>
          </cell>
          <cell r="C101" t="str">
            <v>m²</v>
          </cell>
          <cell r="E101" t="e">
            <v>#N/A</v>
          </cell>
          <cell r="F101" t="e">
            <v>#N/A</v>
          </cell>
        </row>
        <row r="102">
          <cell r="A102">
            <v>9.08</v>
          </cell>
          <cell r="B102" t="str">
            <v>CERAMICA PARED BLANCO SATINADO 30.5X60.1 TIPO ALFA O SIMILAR (INCLUYE BOQUILLA COLOR Y WIN) EN BAÑOS</v>
          </cell>
          <cell r="C102" t="str">
            <v>m²</v>
          </cell>
          <cell r="E102" t="e">
            <v>#N/A</v>
          </cell>
          <cell r="F102" t="e">
            <v>#N/A</v>
          </cell>
        </row>
        <row r="103">
          <cell r="A103">
            <v>9.09</v>
          </cell>
          <cell r="B103" t="str">
            <v>IMPERMEABILIZACIÓN CON SISTEMA SIKAPLAN.</v>
          </cell>
          <cell r="C103" t="str">
            <v>m²</v>
          </cell>
          <cell r="E103" t="e">
            <v>#N/A</v>
          </cell>
          <cell r="F103" t="e">
            <v>#N/A</v>
          </cell>
        </row>
        <row r="104">
          <cell r="A104">
            <v>9.1</v>
          </cell>
          <cell r="B104" t="str">
            <v>PAVIMENTO CONCRETO 3000 PSI E=15 CM CON MALLA RAMPA VEHICULO</v>
          </cell>
          <cell r="C104" t="str">
            <v>m²</v>
          </cell>
          <cell r="E104" t="e">
            <v>#N/A</v>
          </cell>
          <cell r="F104" t="e">
            <v>#N/A</v>
          </cell>
        </row>
        <row r="105">
          <cell r="A105">
            <v>9.11</v>
          </cell>
          <cell r="B105" t="str">
            <v>ANDENES PERIMETRALES Y PLAZOLETAS ESPACIO PUBLICO ESPESOR 10CM Y MALLA ELECTROSOLDADA 15X15 CM DE 4 MM, INCLUYE SUBBASE COMPACTADA DE 10 CM DE ESPESOR</v>
          </cell>
          <cell r="C105" t="str">
            <v>m²</v>
          </cell>
          <cell r="E105" t="e">
            <v>#N/A</v>
          </cell>
          <cell r="F105" t="e">
            <v>#N/A</v>
          </cell>
        </row>
        <row r="106">
          <cell r="A106">
            <v>9.1199999999999992</v>
          </cell>
          <cell r="B106" t="str">
            <v>SARDINEL Y CORDONES PARA ANDENES Y PLAZOLETAS DE B= 10 CM X H=20 CM CONCRETO DE 3000 PSI Y REFUERZO 4#2 Y FLEJES #2 CADA 20 CM</v>
          </cell>
          <cell r="C106" t="str">
            <v>ml</v>
          </cell>
          <cell r="E106" t="e">
            <v>#N/A</v>
          </cell>
          <cell r="F106" t="e">
            <v>#N/A</v>
          </cell>
        </row>
        <row r="107">
          <cell r="A107">
            <v>9.1300000000000008</v>
          </cell>
          <cell r="B107" t="str">
            <v>FABRICACION Y COLOCACION DE TOPE LLANTA EN SOTANOS EN CONCRETO PREFABRICADO DE 3000 PSI</v>
          </cell>
          <cell r="C107" t="str">
            <v>ml</v>
          </cell>
          <cell r="E107" t="e">
            <v>#N/A</v>
          </cell>
          <cell r="F107" t="e">
            <v>#N/A</v>
          </cell>
        </row>
        <row r="108">
          <cell r="A108">
            <v>9.14</v>
          </cell>
          <cell r="B108" t="str">
            <v>GUARDAESCOBA EMBEBIDO EN MUROS A 10 CM DE ALTURA INCLUYE SISTEMA DE FIJACION CERAMICA PREPULIDA DE ALFA.</v>
          </cell>
          <cell r="C108" t="str">
            <v>ml</v>
          </cell>
          <cell r="E108" t="e">
            <v>#N/A</v>
          </cell>
          <cell r="F108" t="e">
            <v>#N/A</v>
          </cell>
        </row>
        <row r="109">
          <cell r="B109" t="str">
            <v>TOTAL PISOS, ENCHAPES E IMPERMERMEABILIZACIONES</v>
          </cell>
          <cell r="F109" t="e">
            <v>#N/A</v>
          </cell>
        </row>
        <row r="111">
          <cell r="A111">
            <v>10</v>
          </cell>
          <cell r="B111" t="str">
            <v>REVOQUES ,ESTUCO, PINTURA Y RECUBRIMIENTOS</v>
          </cell>
        </row>
        <row r="112">
          <cell r="A112">
            <v>10.01</v>
          </cell>
          <cell r="B112" t="str">
            <v>REVOQUE 1:3 EN MUROS INTERIORES. INCLUYE ESTRIAS 2 CM DE ESPESOR INCLUYE FILOS, DILATACIONES Y CARTERAS.</v>
          </cell>
          <cell r="C112" t="str">
            <v>m²</v>
          </cell>
          <cell r="E112" t="e">
            <v>#N/A</v>
          </cell>
          <cell r="F112" t="e">
            <v>#N/A</v>
          </cell>
        </row>
        <row r="113">
          <cell r="A113">
            <v>10.02</v>
          </cell>
          <cell r="B113" t="str">
            <v>REVOQUE 1:3 EXTERIOR IMPERMEABILIZADO FACHADAS. ESTRIAS 2 CM DE ESPESOR INCLUYE FILOS, DILATACIONES Y CARTERAS.</v>
          </cell>
          <cell r="C113" t="str">
            <v>m²</v>
          </cell>
          <cell r="E113" t="e">
            <v>#N/A</v>
          </cell>
          <cell r="F113" t="e">
            <v>#N/A</v>
          </cell>
        </row>
        <row r="114">
          <cell r="A114">
            <v>10.029999999999999</v>
          </cell>
          <cell r="B114" t="str">
            <v>ESTUCO Y PINTURA 3 MANOS EN MUROS. VINILO TIPO 1, INCLUYE FILOS Y DILATACIONES.</v>
          </cell>
          <cell r="C114" t="str">
            <v>m²</v>
          </cell>
          <cell r="E114" t="e">
            <v>#N/A</v>
          </cell>
          <cell r="F114" t="e">
            <v>#N/A</v>
          </cell>
        </row>
        <row r="115">
          <cell r="A115">
            <v>10.039999999999999</v>
          </cell>
          <cell r="B115" t="str">
            <v>ESTUCO Y PINTURA 3 MANOS PARA EXTERIOR EN PINTURA KORAZA O SIMILAR (INCLUYE FILOS Y DILATACIONES)</v>
          </cell>
          <cell r="C115" t="str">
            <v>m²</v>
          </cell>
          <cell r="E115" t="e">
            <v>#N/A</v>
          </cell>
          <cell r="F115" t="e">
            <v>#N/A</v>
          </cell>
        </row>
        <row r="116">
          <cell r="A116">
            <v>10.06</v>
          </cell>
          <cell r="B116" t="str">
            <v>MESON EN GRANITO NATURAL EN BAÑOS JASPE INCLUYE SOPORTES DE INSTALACION.</v>
          </cell>
          <cell r="C116" t="str">
            <v>ml</v>
          </cell>
          <cell r="E116" t="e">
            <v>#N/A</v>
          </cell>
          <cell r="F116" t="e">
            <v>#N/A</v>
          </cell>
        </row>
        <row r="117">
          <cell r="A117">
            <v>10.07</v>
          </cell>
          <cell r="B117" t="str">
            <v>RECUBRIMIENTO MODULO ESCALERAS EN PIEDRA NATURAL SLImlINE STONE LAMITES</v>
          </cell>
          <cell r="C117" t="str">
            <v>m²</v>
          </cell>
          <cell r="D117" t="str">
            <v>no</v>
          </cell>
          <cell r="E117" t="e">
            <v>#N/A</v>
          </cell>
          <cell r="F117" t="e">
            <v>#VALUE!</v>
          </cell>
        </row>
        <row r="118">
          <cell r="A118">
            <v>10.09</v>
          </cell>
          <cell r="B118" t="str">
            <v>REVESTIMIENTO SCREENPANEL N DE HUNTER DOUGLAS PUNZADO EN ALUZINC 1 MM COLOR BLANCO ALGODÓN REF 7252 POR AMBAS CARAS</v>
          </cell>
          <cell r="C118" t="str">
            <v>m²</v>
          </cell>
          <cell r="E118" t="e">
            <v>#N/A</v>
          </cell>
          <cell r="F118" t="e">
            <v>#N/A</v>
          </cell>
        </row>
        <row r="119">
          <cell r="B119" t="str">
            <v>TOTAL ESTUCO, PINTURA Y RECUBRIMIENTOS</v>
          </cell>
          <cell r="F119" t="e">
            <v>#N/A</v>
          </cell>
        </row>
        <row r="121">
          <cell r="A121">
            <v>11</v>
          </cell>
          <cell r="B121" t="str">
            <v xml:space="preserve">CARPINTERÍA  ALUMINIO </v>
          </cell>
        </row>
        <row r="122">
          <cell r="A122">
            <v>11.01</v>
          </cell>
          <cell r="B122" t="str">
            <v xml:space="preserve">VENTANERIA EN ALUMINIO FACHADA COMPUESTA POR MODULO FIJO INFERIOR EN PERFIL 3X11/2 PISA VIDRIO PROYECTANTE, NAVES CORREDIZAS Y FIJAS SUPERIORES H=1.4M EN SISTEMA COLOSAL 2.6 ESTRUCTURA SUPERIOR PERFIL 3*11/2 CELOSIA EN ALUMINIO REF ALN315.VIDRIO INCOLORO </v>
          </cell>
          <cell r="C122" t="str">
            <v>m²</v>
          </cell>
          <cell r="E122" t="e">
            <v>#N/A</v>
          </cell>
          <cell r="F122" t="e">
            <v>#N/A</v>
          </cell>
        </row>
        <row r="123">
          <cell r="A123">
            <v>11.02</v>
          </cell>
          <cell r="B123" t="str">
            <v>VIDRIO TEMPLADO 10MM CON PERFILERIA VERTICAL 3X11/2 CADA 1.5M SOCALO ALUMINIO PARTE INFERIOR PERFIL SUPERIOR DE ANCLAJE.</v>
          </cell>
          <cell r="C123" t="str">
            <v>m²</v>
          </cell>
          <cell r="E123" t="e">
            <v>#N/A</v>
          </cell>
          <cell r="F123" t="e">
            <v>#N/A</v>
          </cell>
        </row>
        <row r="124">
          <cell r="A124">
            <v>11.03</v>
          </cell>
          <cell r="B124" t="str">
            <v>VENTANERIA FACHADA FLOTANTE SERIE 45 PESADA DE ALUMINA PRESENCIA DE PERFILERIA EXTERNA CON TAPAS A LA VISTA. DISTANCIA ENTRE APOYOS VERTICALES 1.5MVIDRIO  COOL LITE ST  150 MAS VIDRIO LAMINADO 4MM + 4MM INCOLORO</v>
          </cell>
          <cell r="C124" t="str">
            <v>m²</v>
          </cell>
          <cell r="E124" t="e">
            <v>#N/A</v>
          </cell>
          <cell r="F124" t="e">
            <v>#N/A</v>
          </cell>
        </row>
        <row r="125">
          <cell r="A125">
            <v>11.04</v>
          </cell>
          <cell r="B125" t="str">
            <v>VENTANAS FIJAS SITEMA VP3831 CON PERCIANA FIJA EN ALUMINIO MODULO SUPEIOR H=60CM VIDRIO FIJO INFERIOR 6MM TEMPLADO OPALIZADO CON SAND BLASTING</v>
          </cell>
          <cell r="C125" t="str">
            <v>m²</v>
          </cell>
          <cell r="E125" t="e">
            <v>#N/A</v>
          </cell>
          <cell r="F125" t="e">
            <v>#N/A</v>
          </cell>
        </row>
        <row r="126">
          <cell r="A126">
            <v>11.05</v>
          </cell>
          <cell r="B126" t="str">
            <v>PUERTAS EN VIDRIO TEMPLADO LABORATORIO EN VIDRIO TEMPLADO 10MM INCOLORO SOCALO EN ALUMINIO INFERIOR PERFIL DE ANCLAJE SUPERIOR, ESTRUCTURA EN PERFIL 3X11/2 CON PERSIANA FIJA REFERENCIA ALN315 DE 60CM MODULO SUPERIOR</v>
          </cell>
          <cell r="C126" t="str">
            <v>Und</v>
          </cell>
          <cell r="E126" t="e">
            <v>#N/A</v>
          </cell>
          <cell r="F126" t="e">
            <v>#N/A</v>
          </cell>
        </row>
        <row r="127">
          <cell r="A127">
            <v>11.06</v>
          </cell>
          <cell r="B127" t="str">
            <v>VENTANERIA FACHADA FLOTANTE SERIE 45 PESADA DE ALUMINA TIPO PIEL DE VIDRIO CON CINTA ESTRUCTURAL. DISTANCIA ENTRE APOYOS VERTICALES 1.5M VIDRIO LAMINADO 4MM INCOLORO + 4MM INCOLORO ESCALERAS</v>
          </cell>
          <cell r="C127" t="str">
            <v>m²</v>
          </cell>
          <cell r="E127" t="e">
            <v>#N/A</v>
          </cell>
          <cell r="F127" t="e">
            <v>#N/A</v>
          </cell>
        </row>
        <row r="128">
          <cell r="A128">
            <v>11.07</v>
          </cell>
          <cell r="B128" t="str">
            <v>PANELES EN VIDRIO TEMPLADO 10MM INCOLORO SOCALO EN ALUMINIO INFERIOR PERFIL DE ANCLAJE SUPERIOR, ESTRUCTURA EN PERFIL VERTICAL 3X11/2 CADA 1.5 M CON PERSIANA FIJA REFERENCIA ALN315 DE 60CM MODULO SUPERIOR</v>
          </cell>
          <cell r="C128" t="str">
            <v>m²</v>
          </cell>
          <cell r="E128" t="e">
            <v>#N/A</v>
          </cell>
          <cell r="F128" t="e">
            <v>#N/A</v>
          </cell>
        </row>
        <row r="129">
          <cell r="A129">
            <v>11.08</v>
          </cell>
          <cell r="B129" t="str">
            <v>VENTANAS PIVOTANTES PARA AULAS INTERIORES DE 0.40M ANCHO X 3M DE ALTO PERFIL TIPO PB2.4 PESADO CON VIDRIO LAMINADO 4MM + 4MM CON PELICULA DE COLORES VARIADO + MANIJA DE GIRO.</v>
          </cell>
          <cell r="C129" t="str">
            <v>Und</v>
          </cell>
          <cell r="E129" t="e">
            <v>#N/A</v>
          </cell>
          <cell r="F129" t="e">
            <v>#N/A</v>
          </cell>
        </row>
        <row r="130">
          <cell r="A130">
            <v>11.09</v>
          </cell>
          <cell r="B130" t="str">
            <v>DIVISION EN VIDRIO TEMPLADO 10MM SOCALO Y ANCLAJE SUPERIOR EN AULAS DE MAESRIAS FRANJA OPALIZADA DE 1.2M CON PELICULA TIPO SAND BLASTING DE TIPO REF. LLUMAC O SIMILAR EN ESPECIFICACIONES.</v>
          </cell>
          <cell r="C130" t="str">
            <v>m²</v>
          </cell>
          <cell r="E130" t="e">
            <v>#N/A</v>
          </cell>
          <cell r="F130" t="e">
            <v>#N/A</v>
          </cell>
        </row>
        <row r="131">
          <cell r="A131">
            <v>11.1</v>
          </cell>
          <cell r="B131" t="str">
            <v>CORTASOL EN STRIPSCREEN HUNTER DOUGLAS DE 0.40M DE ANCHO CON DISTRIBUCION  VERTICAL CADA 0.75 M</v>
          </cell>
          <cell r="C131" t="str">
            <v>m²</v>
          </cell>
          <cell r="E131" t="e">
            <v>#N/A</v>
          </cell>
          <cell r="F131" t="e">
            <v>#N/A</v>
          </cell>
        </row>
        <row r="132">
          <cell r="A132">
            <v>11.11</v>
          </cell>
          <cell r="B132" t="str">
            <v>REVESTIMIENTO MINIWAVE DE HUNTER DOUGLAS PERFORADO 103 COLOR  EN ALUZINC. INCLUYE ESTRUCTURA METALICA DE FIJACION.</v>
          </cell>
          <cell r="C132" t="str">
            <v>m²</v>
          </cell>
          <cell r="E132" t="e">
            <v>#N/A</v>
          </cell>
          <cell r="F132" t="e">
            <v>#N/A</v>
          </cell>
        </row>
        <row r="133">
          <cell r="B133" t="str">
            <v xml:space="preserve">TOTAL CARPINTERÍA  ALUMINIO </v>
          </cell>
          <cell r="F133" t="e">
            <v>#N/A</v>
          </cell>
        </row>
        <row r="135">
          <cell r="A135">
            <v>12</v>
          </cell>
          <cell r="B135" t="str">
            <v>CARPINTERÍA METÁLICA</v>
          </cell>
        </row>
        <row r="136">
          <cell r="A136">
            <v>12.01</v>
          </cell>
          <cell r="B136" t="str">
            <v>PUERTA METALICA ACCESO BAÑOS REFERENCIA P-06 E-COVER ZRA PUERTA ABATIBLE LISA PANEL REJILLA DE RETORNO AA 1 HOJA DE 1 X 3.0M.</v>
          </cell>
          <cell r="C136" t="str">
            <v>Und</v>
          </cell>
          <cell r="E136" t="e">
            <v>#N/A</v>
          </cell>
          <cell r="F136" t="e">
            <v>#N/A</v>
          </cell>
        </row>
        <row r="137">
          <cell r="A137">
            <v>12.02</v>
          </cell>
          <cell r="B137" t="str">
            <v>PUERTA METALICA SALON REFERENCIA P-01 E-COVER ZL 1X3.0 M</v>
          </cell>
          <cell r="C137" t="str">
            <v>Und</v>
          </cell>
          <cell r="E137" t="e">
            <v>#N/A</v>
          </cell>
          <cell r="F137" t="e">
            <v>#N/A</v>
          </cell>
        </row>
        <row r="138">
          <cell r="A138">
            <v>12.03</v>
          </cell>
          <cell r="B138" t="str">
            <v>PUERTA METALICA CUARTO TECNICO PB-01 E-COVER ZMP3  1X3.0 M</v>
          </cell>
          <cell r="C138" t="str">
            <v>Und</v>
          </cell>
          <cell r="E138" t="e">
            <v>#N/A</v>
          </cell>
          <cell r="F138" t="e">
            <v>#N/A</v>
          </cell>
        </row>
        <row r="139">
          <cell r="A139">
            <v>12.04</v>
          </cell>
          <cell r="B139" t="str">
            <v>PUERTA METALICA AUDITORIO P-02A ZZL MV  CON MIRILLA DE DOS HOJAS E_COVER DE 1.5X3.1</v>
          </cell>
          <cell r="C139" t="str">
            <v>Und</v>
          </cell>
          <cell r="E139" t="e">
            <v>#N/A</v>
          </cell>
          <cell r="F139" t="e">
            <v>#N/A</v>
          </cell>
        </row>
        <row r="140">
          <cell r="A140">
            <v>12.05</v>
          </cell>
          <cell r="B140" t="str">
            <v>PUERTA METALICA SALON AUDITORIO P-02A ZZL MV  CON MIRILLA DE DOS HOJAS E_COVER DE 2.0X3.0</v>
          </cell>
          <cell r="C140" t="str">
            <v>Und</v>
          </cell>
          <cell r="E140" t="e">
            <v>#N/A</v>
          </cell>
          <cell r="F140" t="e">
            <v>#N/A</v>
          </cell>
        </row>
        <row r="141">
          <cell r="A141">
            <v>12.06</v>
          </cell>
          <cell r="B141" t="str">
            <v>BARANDAS METALICAS ESCALERAS, RAMPAS Y CORREDORES METALICAS EN PERFIL 3X1-1/2PUL CAL 14 CADA 12CM Y APOYADOS SOBRE PLATINAS DE 2" CAL 10 CADA 1.5M ACABADO CON  PINTURA ALQUIDICA A DOS MANOS BLANCO MATE SOBRE ANTICORROSIVO.</v>
          </cell>
          <cell r="C141" t="str">
            <v>ml</v>
          </cell>
          <cell r="E141" t="e">
            <v>#N/A</v>
          </cell>
          <cell r="F141" t="e">
            <v>#N/A</v>
          </cell>
        </row>
        <row r="142">
          <cell r="A142">
            <v>12.07</v>
          </cell>
          <cell r="B142" t="str">
            <v>PUERTA METALICA ESCALERA CORTA FUEGO E-COVER ZRF SPLIT120 NSR10 CERTIFICADA DE 1,X 2,4</v>
          </cell>
          <cell r="C142" t="str">
            <v>Und</v>
          </cell>
          <cell r="E142" t="e">
            <v>#N/A</v>
          </cell>
          <cell r="F142" t="e">
            <v>#N/A</v>
          </cell>
        </row>
        <row r="143">
          <cell r="A143">
            <v>12.08</v>
          </cell>
          <cell r="B143" t="str">
            <v>CABINA SANITARIA SISTEMA CANTILIVER  EN LÁMINA ACERO INOXIDABLE CAL 18 TIPO GRIJALBA O SIMILAR</v>
          </cell>
          <cell r="C143" t="str">
            <v>Und</v>
          </cell>
          <cell r="E143" t="e">
            <v>#N/A</v>
          </cell>
          <cell r="F143" t="e">
            <v>#N/A</v>
          </cell>
        </row>
        <row r="144">
          <cell r="B144" t="str">
            <v>TOTAL CARPINTERÍA METÁLICA</v>
          </cell>
          <cell r="F144" t="e">
            <v>#N/A</v>
          </cell>
        </row>
        <row r="146">
          <cell r="A146">
            <v>13</v>
          </cell>
          <cell r="B146" t="str">
            <v>APARATOS SANITARIOS / INCRUSTACIONES</v>
          </cell>
        </row>
        <row r="147">
          <cell r="A147">
            <v>13.01</v>
          </cell>
          <cell r="B147" t="str">
            <v>TAZA SANITARIO BÁLTICO ENTRADA SUPERIOR ANTIBACTERIAL COLOR BLANCO TIPO CORONA O SIMILAR (CONJUNTO SANITARIO QUE INCLUYE SANITARIO, GRIFERÍA, ACCESORIOS DE CONEXIÓN E INSTALACIÓN).</v>
          </cell>
          <cell r="C147" t="str">
            <v>Und</v>
          </cell>
          <cell r="E147" t="e">
            <v>#N/A</v>
          </cell>
          <cell r="F147" t="e">
            <v>#N/A</v>
          </cell>
        </row>
        <row r="148">
          <cell r="A148">
            <v>13.02</v>
          </cell>
          <cell r="B148" t="str">
            <v>SANITARIO PARA DISCAPACITADOS TIPO CORONA O SIMILAR (CONJUNTO SANITARIO QUE INCLUYE SANITARIO, TAPA, TANQUE, GRIFERÍA ACCESORIOS DE CONEXIÓN E INSTALACIÓN).</v>
          </cell>
          <cell r="C148" t="str">
            <v>Und</v>
          </cell>
          <cell r="E148" t="e">
            <v>#N/A</v>
          </cell>
          <cell r="F148" t="e">
            <v>#N/A</v>
          </cell>
        </row>
        <row r="149">
          <cell r="A149">
            <v>13.03</v>
          </cell>
          <cell r="B149" t="str">
            <v>LAVAMANOS DE SUBMONTAR COLOR BLANCO TIPO CORONA O SIMILAR (INCLUYE CONJUNTO GRIFERÍA, DESAGÜE AUTOMÁTICO, SIFÓN BOTELLA, GRABAS 2 UN, ACOPLE)</v>
          </cell>
          <cell r="C149" t="str">
            <v>Und</v>
          </cell>
          <cell r="E149" t="e">
            <v>#N/A</v>
          </cell>
          <cell r="F149" t="e">
            <v>#N/A</v>
          </cell>
        </row>
        <row r="150">
          <cell r="A150">
            <v>13.04</v>
          </cell>
          <cell r="B150" t="str">
            <v>LAVAMANOS PARA DISCAPACIDAD A COLOR BLANCO TIPO ACUAJET CORONA (INCLUYE CONJUNTO GRIFERÍA, DESAGÜE AUTOMÁTICO, SIFÓN BOTELLA, GRABAS 2 UN, ACOPLE)</v>
          </cell>
          <cell r="C150" t="str">
            <v>Und</v>
          </cell>
          <cell r="E150" t="e">
            <v>#N/A</v>
          </cell>
          <cell r="F150" t="e">
            <v>#N/A</v>
          </cell>
        </row>
        <row r="151">
          <cell r="A151">
            <v>13.05</v>
          </cell>
          <cell r="B151" t="str">
            <v>ORINAL ARRECIFE ENTRADA SUPERIOR ANTIBACTERIAL, EN PORCELANA COLOR BLANCO O CORONA O SIMILAR CON VÁLVULA ANTI VANDÁLICA Y SIFÓN PARA ORINAL</v>
          </cell>
          <cell r="C151" t="str">
            <v>Und</v>
          </cell>
          <cell r="E151" t="e">
            <v>#N/A</v>
          </cell>
          <cell r="F151" t="e">
            <v>#N/A</v>
          </cell>
        </row>
        <row r="152">
          <cell r="A152">
            <v>13.06</v>
          </cell>
          <cell r="B152" t="str">
            <v>GRIFERÍA DE LAVAMANOS TIPO MESA TUBULAR TOUCH CROMO TIPO CORONA</v>
          </cell>
          <cell r="C152" t="str">
            <v>Und</v>
          </cell>
          <cell r="E152" t="e">
            <v>#N/A</v>
          </cell>
          <cell r="F152" t="e">
            <v>#N/A</v>
          </cell>
        </row>
        <row r="153">
          <cell r="A153">
            <v>13.07</v>
          </cell>
          <cell r="B153" t="str">
            <v>FLUXÓMETRO SANITARIO FLUJO AJUSTABLE CROMO TIPO CORONA</v>
          </cell>
          <cell r="C153" t="str">
            <v>Und</v>
          </cell>
          <cell r="E153" t="e">
            <v>#N/A</v>
          </cell>
          <cell r="F153" t="e">
            <v>#N/A</v>
          </cell>
        </row>
        <row r="154">
          <cell r="A154">
            <v>13.08</v>
          </cell>
          <cell r="B154" t="str">
            <v>FLUXÓMETRO ORINAL FLUJO AJUSTABLE CROMO TIPO CORONA</v>
          </cell>
          <cell r="C154" t="str">
            <v>Und</v>
          </cell>
          <cell r="E154" t="e">
            <v>#N/A</v>
          </cell>
          <cell r="F154" t="e">
            <v>#N/A</v>
          </cell>
        </row>
        <row r="155">
          <cell r="A155">
            <v>13.09</v>
          </cell>
          <cell r="B155" t="str">
            <v>PAPELERAS EN ACERO INOXIDABLE CON TORNILLOS ESCONDIDOS MARCAA&amp;A O SIMILAR.</v>
          </cell>
          <cell r="C155" t="str">
            <v>Und</v>
          </cell>
          <cell r="E155" t="e">
            <v>#N/A</v>
          </cell>
          <cell r="F155" t="e">
            <v>#N/A</v>
          </cell>
        </row>
        <row r="156">
          <cell r="A156">
            <v>13.1</v>
          </cell>
          <cell r="B156" t="str">
            <v>DISPENSADOR DE PAPEL PARA INSTALAR A LA PARED CON TORNILLOS ESCONDIDOS, CUERPO EN ACERO INOXIDABLE SATINADO, MARCA A&amp;A O SIMILAR</v>
          </cell>
          <cell r="C156" t="str">
            <v>Und</v>
          </cell>
          <cell r="E156" t="e">
            <v>#N/A</v>
          </cell>
          <cell r="F156" t="e">
            <v>#N/A</v>
          </cell>
        </row>
        <row r="157">
          <cell r="A157">
            <v>13.11</v>
          </cell>
          <cell r="B157" t="str">
            <v>DISPENSADOR PARA JABÓN LIQUIDO PARA INSTALAR A LA PARED CON TORNILLOS ESCONDIDOS, CUERPO EN ACERO INOXIDABLE SATINADO, CAPACIDAD 1.2 LITROS, VENTANILLA DE RECARGA SUPERIOR CON LLAVE, NIVEL DE JABÓN, PUSH FRONTAL, MARCA A&amp;A O SIMILAR</v>
          </cell>
          <cell r="C157" t="str">
            <v>Und</v>
          </cell>
          <cell r="E157" t="e">
            <v>#N/A</v>
          </cell>
          <cell r="F157" t="e">
            <v>#N/A</v>
          </cell>
        </row>
        <row r="158">
          <cell r="A158">
            <v>13.12</v>
          </cell>
          <cell r="B158" t="str">
            <v>JUEGO DE BARRAS PARA  BAÑOS DE DISCAPACITADOS TIPO SOCODA CONFORMADO POR BARRA ABATIBLE (BARRA ABATIBLE) BARRA ESQUINA (CÓDIGO: 230090) Y BARRA RECTA (231809) INCLUYE REFORZAMIENTO DE MUROS PARA ANCLAJE</v>
          </cell>
          <cell r="C158" t="str">
            <v>Und</v>
          </cell>
          <cell r="E158" t="e">
            <v>#N/A</v>
          </cell>
          <cell r="F158" t="e">
            <v>#N/A</v>
          </cell>
        </row>
        <row r="159">
          <cell r="B159" t="str">
            <v>TOTAL APARATOS SANITARIOS / INCRUSTACIONES</v>
          </cell>
          <cell r="F159" t="e">
            <v>#N/A</v>
          </cell>
        </row>
        <row r="161">
          <cell r="A161">
            <v>14</v>
          </cell>
          <cell r="B161" t="str">
            <v xml:space="preserve"> VIDRIOS Y ESPEJOS</v>
          </cell>
        </row>
        <row r="162">
          <cell r="A162">
            <v>14.01</v>
          </cell>
          <cell r="B162" t="str">
            <v>ESPEJO 4 MM. BISELADO Y PULIDO CUATRO LADOS. (SUMINISTRO E INSTALACIÓN INCLUYENDO LOS ELEMENTOS DE FIJACIÓN AL MURO)</v>
          </cell>
          <cell r="C162" t="str">
            <v>m²</v>
          </cell>
          <cell r="E162" t="e">
            <v>#N/A</v>
          </cell>
          <cell r="F162" t="e">
            <v>#N/A</v>
          </cell>
        </row>
        <row r="163">
          <cell r="B163" t="str">
            <v>TOTAL VIDRIOS Y ESPEJOS</v>
          </cell>
          <cell r="F163" t="e">
            <v>#N/A</v>
          </cell>
        </row>
        <row r="164">
          <cell r="A164">
            <v>15</v>
          </cell>
          <cell r="B164" t="str">
            <v xml:space="preserve">DEMARCACIÓN Y SEÑALIZACIÓN </v>
          </cell>
        </row>
        <row r="165">
          <cell r="A165">
            <v>15.01</v>
          </cell>
          <cell r="B165" t="str">
            <v>ESMALTE LINEAS PARQUEADERO</v>
          </cell>
          <cell r="E165" t="e">
            <v>#N/A</v>
          </cell>
          <cell r="F165" t="e">
            <v>#N/A</v>
          </cell>
        </row>
        <row r="166">
          <cell r="A166">
            <v>15.02</v>
          </cell>
          <cell r="B166" t="str">
            <v>PINTURA COLUMNAS PARQUEADERO</v>
          </cell>
          <cell r="E166" t="e">
            <v>#N/A</v>
          </cell>
          <cell r="F166" t="e">
            <v>#N/A</v>
          </cell>
        </row>
        <row r="167">
          <cell r="A167">
            <v>15.03</v>
          </cell>
          <cell r="B167" t="str">
            <v>PINTURA NÚMEROS PARQUEADEROS</v>
          </cell>
          <cell r="E167" t="e">
            <v>#N/A</v>
          </cell>
          <cell r="F167" t="e">
            <v>#N/A</v>
          </cell>
        </row>
        <row r="168">
          <cell r="A168">
            <v>15.04</v>
          </cell>
          <cell r="B168" t="str">
            <v>PINTURA TOPELLANTAS</v>
          </cell>
          <cell r="E168" t="e">
            <v>#N/A</v>
          </cell>
          <cell r="F168" t="e">
            <v>#N/A</v>
          </cell>
        </row>
        <row r="169">
          <cell r="A169">
            <v>15.05</v>
          </cell>
          <cell r="B169" t="str">
            <v xml:space="preserve">DEMARCACIÓN POR PISO </v>
          </cell>
          <cell r="E169" t="e">
            <v>#N/A</v>
          </cell>
          <cell r="F169" t="e">
            <v>#N/A</v>
          </cell>
        </row>
        <row r="170">
          <cell r="A170">
            <v>15.06</v>
          </cell>
          <cell r="B170" t="str">
            <v>SEÑALIZACIÓN RUTA DE EVACUACIÓN</v>
          </cell>
          <cell r="E170" t="e">
            <v>#N/A</v>
          </cell>
          <cell r="F170" t="e">
            <v>#N/A</v>
          </cell>
        </row>
        <row r="171">
          <cell r="A171">
            <v>15.07</v>
          </cell>
          <cell r="B171" t="str">
            <v xml:space="preserve">DEMARCACIÓN DE ESPACIOS </v>
          </cell>
          <cell r="E171" t="e">
            <v>#N/A</v>
          </cell>
          <cell r="F171" t="e">
            <v>#N/A</v>
          </cell>
        </row>
        <row r="172">
          <cell r="B172" t="str">
            <v xml:space="preserve">TOTAL DEMARACIONES Y SEÑALIZACIONES </v>
          </cell>
          <cell r="F172" t="e">
            <v>#N/A</v>
          </cell>
        </row>
        <row r="173">
          <cell r="A173">
            <v>16</v>
          </cell>
          <cell r="B173" t="str">
            <v xml:space="preserve">ASEO INTERIOR Y EXTERIOR </v>
          </cell>
        </row>
        <row r="174">
          <cell r="A174">
            <v>16.010000000000002</v>
          </cell>
          <cell r="B174" t="str">
            <v>ASEO INTERNO DE PISOS Y ESPACIOS</v>
          </cell>
          <cell r="E174" t="e">
            <v>#N/A</v>
          </cell>
          <cell r="F174" t="e">
            <v>#N/A</v>
          </cell>
        </row>
        <row r="175">
          <cell r="A175">
            <v>16.02</v>
          </cell>
          <cell r="B175" t="str">
            <v xml:space="preserve">ASEO EXTERIOR DE FACHADAS </v>
          </cell>
          <cell r="E175" t="e">
            <v>#N/A</v>
          </cell>
          <cell r="F175" t="e">
            <v>#N/A</v>
          </cell>
        </row>
        <row r="176">
          <cell r="A176">
            <v>16.03</v>
          </cell>
          <cell r="B176" t="str">
            <v xml:space="preserve">ASEO DE ZONAS COMUNES </v>
          </cell>
          <cell r="E176" t="e">
            <v>#N/A</v>
          </cell>
          <cell r="F176" t="e">
            <v>#N/A</v>
          </cell>
        </row>
        <row r="177">
          <cell r="A177">
            <v>16.04</v>
          </cell>
          <cell r="B177" t="str">
            <v xml:space="preserve">ASEO DE ZONAS VERDES, ANDENES Y VÍAS </v>
          </cell>
          <cell r="E177" t="e">
            <v>#N/A</v>
          </cell>
          <cell r="F177" t="e">
            <v>#N/A</v>
          </cell>
        </row>
        <row r="178">
          <cell r="B178" t="str">
            <v xml:space="preserve">TOTAL ASEOS </v>
          </cell>
          <cell r="F178" t="e">
            <v>#N/A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"/>
      <sheetName val="A.U. M.O. 2.005"/>
      <sheetName val="INSUMOS"/>
      <sheetName val="UNITARIOS"/>
      <sheetName val="PTO. ALEJANDRÍA"/>
      <sheetName val="EL JAZMIN"/>
      <sheetName val="QBYA - LA MESA"/>
      <sheetName val="RESUMEN"/>
    </sheetNames>
    <sheetDataSet>
      <sheetData sheetId="0" refreshError="1"/>
      <sheetData sheetId="1" refreshError="1"/>
      <sheetData sheetId="2" refreshError="1">
        <row r="30">
          <cell r="G30">
            <v>35000</v>
          </cell>
        </row>
        <row r="80">
          <cell r="G80">
            <v>50000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U"/>
      <sheetName val="Presup_Cancha"/>
      <sheetName val="1_Preliminares"/>
      <sheetName val="2_Cimentación_Est.Met"/>
      <sheetName val="3_HS"/>
      <sheetName val="Apus_In.Elect"/>
      <sheetName val="Apus_Cubierta"/>
      <sheetName val="Apus_Dotación_Pintura"/>
      <sheetName val="Insumos"/>
      <sheetName val="Equipo_Trans "/>
      <sheetName val="M.Obra"/>
    </sheetNames>
    <sheetDataSet>
      <sheetData sheetId="0">
        <row r="67">
          <cell r="F67">
            <v>0.17</v>
          </cell>
        </row>
      </sheetData>
      <sheetData sheetId="1">
        <row r="3">
          <cell r="C3" t="str">
            <v>CANCHA MÚLTIPLE 750 m2  ZONA ALTA "SUELO E"</v>
          </cell>
        </row>
        <row r="14">
          <cell r="J14" t="str">
            <v>M³</v>
          </cell>
        </row>
        <row r="15">
          <cell r="J15" t="str">
            <v>M²</v>
          </cell>
        </row>
        <row r="16">
          <cell r="J16" t="str">
            <v>M</v>
          </cell>
        </row>
        <row r="17">
          <cell r="J17" t="str">
            <v>Kg</v>
          </cell>
        </row>
        <row r="18">
          <cell r="J18" t="str">
            <v>Un</v>
          </cell>
        </row>
      </sheetData>
      <sheetData sheetId="2">
        <row r="26">
          <cell r="A26" t="str">
            <v>W09</v>
          </cell>
        </row>
      </sheetData>
      <sheetData sheetId="3">
        <row r="52">
          <cell r="I52">
            <v>44314</v>
          </cell>
        </row>
      </sheetData>
      <sheetData sheetId="4">
        <row r="48">
          <cell r="I48">
            <v>27898</v>
          </cell>
        </row>
      </sheetData>
      <sheetData sheetId="5">
        <row r="51">
          <cell r="R51">
            <v>99040</v>
          </cell>
        </row>
      </sheetData>
      <sheetData sheetId="6">
        <row r="53">
          <cell r="I53">
            <v>69159.47</v>
          </cell>
        </row>
      </sheetData>
      <sheetData sheetId="7">
        <row r="53">
          <cell r="I53">
            <v>628533.33799999999</v>
          </cell>
        </row>
      </sheetData>
      <sheetData sheetId="8">
        <row r="4">
          <cell r="A4" t="str">
            <v>A</v>
          </cell>
        </row>
      </sheetData>
      <sheetData sheetId="9">
        <row r="1">
          <cell r="A1" t="str">
            <v xml:space="preserve">Codigo </v>
          </cell>
        </row>
      </sheetData>
      <sheetData sheetId="10">
        <row r="37">
          <cell r="A37" t="str">
            <v>MO-01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Presup"/>
      <sheetName val="Unitarios"/>
      <sheetName val="Insum"/>
      <sheetName val="A000"/>
      <sheetName val="An-Unit"/>
      <sheetName val="U001"/>
      <sheetName val="U002"/>
      <sheetName val="U003"/>
      <sheetName val="U004"/>
      <sheetName val="U005"/>
      <sheetName val="U006"/>
      <sheetName val="U007"/>
      <sheetName val="U008"/>
      <sheetName val="U009"/>
      <sheetName val="PROGR."/>
    </sheetNames>
    <sheetDataSet>
      <sheetData sheetId="0"/>
      <sheetData sheetId="1"/>
      <sheetData sheetId="2">
        <row r="3">
          <cell r="A3" t="str">
            <v>COD</v>
          </cell>
          <cell r="B3" t="str">
            <v>ACTIVIDAD</v>
          </cell>
          <cell r="C3" t="str">
            <v>UNIDAD</v>
          </cell>
          <cell r="D3" t="str">
            <v>VR. UNITARIO</v>
          </cell>
        </row>
        <row r="4">
          <cell r="A4" t="str">
            <v>U001</v>
          </cell>
          <cell r="B4" t="str">
            <v>Replanteo con comision de topografía</v>
          </cell>
          <cell r="C4" t="str">
            <v>M2</v>
          </cell>
          <cell r="D4">
            <v>8707</v>
          </cell>
        </row>
        <row r="5">
          <cell r="A5" t="str">
            <v>U002</v>
          </cell>
          <cell r="B5" t="str">
            <v>Conformacion calzada y cuneteada</v>
          </cell>
          <cell r="C5" t="str">
            <v>KM</v>
          </cell>
          <cell r="D5">
            <v>368640</v>
          </cell>
        </row>
        <row r="6">
          <cell r="A6" t="str">
            <v>U003</v>
          </cell>
          <cell r="B6" t="str">
            <v>Alcantarilla de 36"</v>
          </cell>
          <cell r="C6" t="str">
            <v>UN</v>
          </cell>
          <cell r="D6">
            <v>1792500</v>
          </cell>
        </row>
        <row r="7">
          <cell r="A7" t="str">
            <v>U004</v>
          </cell>
          <cell r="B7" t="str">
            <v>Cunetas en concreto</v>
          </cell>
          <cell r="C7" t="str">
            <v>Ml</v>
          </cell>
          <cell r="D7">
            <v>20913</v>
          </cell>
        </row>
        <row r="8">
          <cell r="A8" t="str">
            <v>U005</v>
          </cell>
          <cell r="B8" t="str">
            <v>Subbase Granular</v>
          </cell>
          <cell r="C8" t="str">
            <v>M3</v>
          </cell>
          <cell r="D8">
            <v>36382</v>
          </cell>
        </row>
        <row r="9">
          <cell r="A9" t="str">
            <v>U006</v>
          </cell>
          <cell r="B9" t="str">
            <v>Base Granular</v>
          </cell>
          <cell r="C9" t="str">
            <v>M3</v>
          </cell>
          <cell r="D9">
            <v>41060</v>
          </cell>
        </row>
        <row r="10">
          <cell r="A10" t="str">
            <v>U007</v>
          </cell>
          <cell r="B10" t="str">
            <v>Imprimaciôn</v>
          </cell>
          <cell r="C10" t="str">
            <v>M2</v>
          </cell>
          <cell r="D10">
            <v>1668</v>
          </cell>
        </row>
        <row r="11">
          <cell r="A11" t="str">
            <v>U008</v>
          </cell>
          <cell r="B11" t="str">
            <v>Base Asfàltica</v>
          </cell>
          <cell r="C11" t="str">
            <v>M3</v>
          </cell>
          <cell r="D11">
            <v>191420</v>
          </cell>
        </row>
        <row r="12">
          <cell r="A12" t="str">
            <v>U009</v>
          </cell>
          <cell r="B12" t="str">
            <v>Rodadura</v>
          </cell>
          <cell r="C12" t="str">
            <v>M3</v>
          </cell>
          <cell r="D12">
            <v>202420</v>
          </cell>
        </row>
        <row r="13">
          <cell r="A13" t="str">
            <v>U999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K64"/>
  <sheetViews>
    <sheetView tabSelected="1" topLeftCell="A23" zoomScaleNormal="100" zoomScaleSheetLayoutView="85" workbookViewId="0">
      <selection activeCell="A20" sqref="A20:F20"/>
    </sheetView>
  </sheetViews>
  <sheetFormatPr baseColWidth="10" defaultColWidth="9.28515625" defaultRowHeight="15" x14ac:dyDescent="0.25"/>
  <cols>
    <col min="1" max="1" width="8.7109375" style="7" customWidth="1"/>
    <col min="2" max="2" width="64.7109375" style="8" customWidth="1"/>
    <col min="3" max="3" width="7.28515625" style="28" customWidth="1"/>
    <col min="4" max="4" width="13" style="31" customWidth="1"/>
    <col min="5" max="5" width="20.42578125" style="6" customWidth="1"/>
    <col min="6" max="6" width="19.28515625" style="2" bestFit="1" customWidth="1"/>
    <col min="7" max="7" width="10.42578125" style="7" bestFit="1" customWidth="1"/>
    <col min="8" max="9" width="16.140625" style="7" bestFit="1" customWidth="1"/>
    <col min="10" max="16384" width="9.28515625" style="7"/>
  </cols>
  <sheetData>
    <row r="1" spans="1:11" x14ac:dyDescent="0.25">
      <c r="A1" s="83" t="s">
        <v>50</v>
      </c>
      <c r="B1" s="83"/>
      <c r="C1" s="83"/>
      <c r="D1" s="83"/>
      <c r="E1" s="83"/>
      <c r="F1" s="83"/>
    </row>
    <row r="2" spans="1:11" x14ac:dyDescent="0.25">
      <c r="A2" s="83"/>
      <c r="B2" s="83"/>
      <c r="C2" s="83"/>
      <c r="D2" s="83"/>
      <c r="E2" s="83"/>
      <c r="F2" s="83"/>
    </row>
    <row r="3" spans="1:11" x14ac:dyDescent="0.25">
      <c r="F3" s="2" t="s">
        <v>51</v>
      </c>
    </row>
    <row r="4" spans="1:11" ht="21" customHeight="1" x14ac:dyDescent="0.25">
      <c r="A4" s="85" t="s">
        <v>24</v>
      </c>
      <c r="B4" s="85"/>
      <c r="C4" s="85"/>
      <c r="D4" s="85"/>
      <c r="E4" s="85"/>
      <c r="F4" s="85"/>
    </row>
    <row r="5" spans="1:11" ht="21" customHeight="1" x14ac:dyDescent="0.25">
      <c r="A5" s="85" t="s">
        <v>25</v>
      </c>
      <c r="B5" s="85"/>
      <c r="C5" s="85"/>
      <c r="D5" s="85"/>
      <c r="E5" s="85"/>
      <c r="F5" s="85"/>
    </row>
    <row r="6" spans="1:11" ht="21" customHeight="1" x14ac:dyDescent="0.25">
      <c r="A6" s="72" t="s">
        <v>27</v>
      </c>
      <c r="B6" s="72"/>
      <c r="C6" s="72"/>
      <c r="D6" s="72"/>
      <c r="E6" s="72"/>
      <c r="F6" s="72"/>
    </row>
    <row r="7" spans="1:11" ht="21" customHeight="1" x14ac:dyDescent="0.25">
      <c r="A7" s="72"/>
      <c r="B7" s="72"/>
      <c r="C7" s="72"/>
      <c r="D7" s="72"/>
      <c r="E7" s="72"/>
      <c r="F7" s="72"/>
    </row>
    <row r="8" spans="1:11" s="8" customFormat="1" ht="24.75" customHeight="1" x14ac:dyDescent="0.25">
      <c r="A8" s="69"/>
      <c r="B8" s="69"/>
      <c r="C8" s="69"/>
      <c r="D8" s="69"/>
      <c r="E8" s="69"/>
      <c r="F8" s="69"/>
    </row>
    <row r="9" spans="1:11" s="8" customFormat="1" ht="24.75" customHeight="1" x14ac:dyDescent="0.25">
      <c r="A9" s="9"/>
      <c r="B9" s="9"/>
      <c r="C9" s="9" t="s">
        <v>0</v>
      </c>
      <c r="D9" s="10"/>
      <c r="E9" s="11"/>
      <c r="F9" s="9"/>
    </row>
    <row r="10" spans="1:11" s="17" customFormat="1" ht="30.75" customHeight="1" x14ac:dyDescent="0.25">
      <c r="A10" s="12" t="s">
        <v>1</v>
      </c>
      <c r="B10" s="12" t="s">
        <v>2</v>
      </c>
      <c r="C10" s="12" t="s">
        <v>3</v>
      </c>
      <c r="D10" s="13" t="s">
        <v>4</v>
      </c>
      <c r="E10" s="14" t="s">
        <v>5</v>
      </c>
      <c r="F10" s="15" t="s">
        <v>6</v>
      </c>
      <c r="G10" s="16"/>
      <c r="H10" s="7"/>
      <c r="I10" s="7"/>
      <c r="J10" s="7"/>
      <c r="K10" s="7"/>
    </row>
    <row r="11" spans="1:11" ht="20.25" customHeight="1" x14ac:dyDescent="0.25">
      <c r="A11" s="18">
        <v>1</v>
      </c>
      <c r="B11" s="70" t="s">
        <v>57</v>
      </c>
      <c r="C11" s="70"/>
      <c r="D11" s="70"/>
      <c r="E11" s="70"/>
      <c r="F11" s="70"/>
      <c r="G11" s="8"/>
    </row>
    <row r="12" spans="1:11" ht="2.25" customHeight="1" x14ac:dyDescent="0.25">
      <c r="A12" s="71"/>
      <c r="B12" s="71"/>
      <c r="C12" s="71"/>
      <c r="D12" s="71"/>
      <c r="E12" s="71"/>
      <c r="F12" s="71"/>
      <c r="G12" s="8"/>
    </row>
    <row r="13" spans="1:11" ht="25.5" x14ac:dyDescent="0.25">
      <c r="A13" s="18" t="s">
        <v>65</v>
      </c>
      <c r="B13" s="19" t="s">
        <v>61</v>
      </c>
      <c r="C13" s="20" t="s">
        <v>8</v>
      </c>
      <c r="D13" s="67">
        <v>357.5</v>
      </c>
      <c r="E13" s="32"/>
      <c r="F13" s="23">
        <f>E13*D13</f>
        <v>0</v>
      </c>
      <c r="G13" s="8"/>
    </row>
    <row r="14" spans="1:11" ht="21" customHeight="1" x14ac:dyDescent="0.25">
      <c r="A14" s="77"/>
      <c r="B14" s="78"/>
      <c r="C14" s="78"/>
      <c r="D14" s="78"/>
      <c r="E14" s="78"/>
      <c r="F14" s="79"/>
      <c r="G14" s="8"/>
    </row>
    <row r="15" spans="1:11" ht="20.25" customHeight="1" x14ac:dyDescent="0.25">
      <c r="A15" s="18" t="s">
        <v>9</v>
      </c>
      <c r="B15" s="70" t="s">
        <v>58</v>
      </c>
      <c r="C15" s="70"/>
      <c r="D15" s="70"/>
      <c r="E15" s="70"/>
      <c r="F15" s="70"/>
      <c r="G15" s="8"/>
    </row>
    <row r="16" spans="1:11" ht="2.25" customHeight="1" x14ac:dyDescent="0.25">
      <c r="A16" s="71"/>
      <c r="B16" s="71"/>
      <c r="C16" s="71"/>
      <c r="D16" s="71"/>
      <c r="E16" s="71"/>
      <c r="F16" s="71"/>
      <c r="G16" s="8"/>
    </row>
    <row r="17" spans="1:7" ht="31.15" customHeight="1" x14ac:dyDescent="0.25">
      <c r="A17" s="18" t="s">
        <v>66</v>
      </c>
      <c r="B17" s="19" t="s">
        <v>59</v>
      </c>
      <c r="C17" s="20" t="s">
        <v>7</v>
      </c>
      <c r="D17" s="67">
        <v>1726.23</v>
      </c>
      <c r="E17" s="32"/>
      <c r="F17" s="23">
        <f>E17*D17</f>
        <v>0</v>
      </c>
      <c r="G17" s="8"/>
    </row>
    <row r="18" spans="1:7" ht="25.5" x14ac:dyDescent="0.25">
      <c r="A18" s="18" t="s">
        <v>67</v>
      </c>
      <c r="B18" s="19" t="s">
        <v>60</v>
      </c>
      <c r="C18" s="20" t="s">
        <v>7</v>
      </c>
      <c r="D18" s="67">
        <v>1327.6000000000001</v>
      </c>
      <c r="E18" s="32"/>
      <c r="F18" s="23">
        <f t="shared" ref="F18:F19" si="0">E18*D18</f>
        <v>0</v>
      </c>
      <c r="G18" s="8"/>
    </row>
    <row r="19" spans="1:7" ht="27" customHeight="1" x14ac:dyDescent="0.25">
      <c r="A19" s="18" t="s">
        <v>68</v>
      </c>
      <c r="B19" s="19" t="s">
        <v>78</v>
      </c>
      <c r="C19" s="20" t="s">
        <v>7</v>
      </c>
      <c r="D19" s="67">
        <v>1726.23</v>
      </c>
      <c r="E19" s="32"/>
      <c r="F19" s="23">
        <f t="shared" si="0"/>
        <v>0</v>
      </c>
      <c r="G19" s="8"/>
    </row>
    <row r="20" spans="1:7" ht="21" customHeight="1" x14ac:dyDescent="0.25">
      <c r="A20" s="77"/>
      <c r="B20" s="78"/>
      <c r="C20" s="78"/>
      <c r="D20" s="78"/>
      <c r="E20" s="78"/>
      <c r="F20" s="79"/>
      <c r="G20" s="8"/>
    </row>
    <row r="21" spans="1:7" ht="20.25" customHeight="1" x14ac:dyDescent="0.25">
      <c r="A21" s="18">
        <v>3</v>
      </c>
      <c r="B21" s="70" t="s">
        <v>62</v>
      </c>
      <c r="C21" s="70"/>
      <c r="D21" s="70"/>
      <c r="E21" s="70"/>
      <c r="F21" s="70"/>
      <c r="G21" s="8"/>
    </row>
    <row r="22" spans="1:7" ht="2.25" customHeight="1" x14ac:dyDescent="0.25">
      <c r="A22" s="71"/>
      <c r="B22" s="71"/>
      <c r="C22" s="71"/>
      <c r="D22" s="71"/>
      <c r="E22" s="71"/>
      <c r="F22" s="71"/>
      <c r="G22" s="8"/>
    </row>
    <row r="23" spans="1:7" ht="25.5" x14ac:dyDescent="0.25">
      <c r="A23" s="18" t="s">
        <v>70</v>
      </c>
      <c r="B23" s="19" t="s">
        <v>63</v>
      </c>
      <c r="C23" s="20" t="s">
        <v>8</v>
      </c>
      <c r="D23" s="67">
        <v>198.5</v>
      </c>
      <c r="E23" s="32"/>
      <c r="F23" s="23">
        <f>E23*D23</f>
        <v>0</v>
      </c>
      <c r="G23" s="8"/>
    </row>
    <row r="24" spans="1:7" ht="27" customHeight="1" x14ac:dyDescent="0.25">
      <c r="A24" s="18" t="s">
        <v>72</v>
      </c>
      <c r="B24" s="19" t="s">
        <v>64</v>
      </c>
      <c r="C24" s="20" t="s">
        <v>8</v>
      </c>
      <c r="D24" s="67">
        <v>357.5</v>
      </c>
      <c r="E24" s="32"/>
      <c r="F24" s="23">
        <f t="shared" ref="F24:F25" si="1">E24*D24</f>
        <v>0</v>
      </c>
      <c r="G24" s="8"/>
    </row>
    <row r="25" spans="1:7" ht="27" customHeight="1" x14ac:dyDescent="0.25">
      <c r="A25" s="18" t="s">
        <v>73</v>
      </c>
      <c r="B25" s="19" t="s">
        <v>52</v>
      </c>
      <c r="C25" s="20" t="s">
        <v>7</v>
      </c>
      <c r="D25" s="67">
        <v>1091.1500000000001</v>
      </c>
      <c r="E25" s="32"/>
      <c r="F25" s="23">
        <f t="shared" si="1"/>
        <v>0</v>
      </c>
      <c r="G25" s="8"/>
    </row>
    <row r="26" spans="1:7" ht="20.25" customHeight="1" x14ac:dyDescent="0.25">
      <c r="A26" s="77"/>
      <c r="B26" s="78"/>
      <c r="C26" s="78"/>
      <c r="D26" s="78"/>
      <c r="E26" s="78"/>
      <c r="F26" s="79"/>
      <c r="G26" s="8"/>
    </row>
    <row r="27" spans="1:7" ht="20.25" customHeight="1" x14ac:dyDescent="0.25">
      <c r="A27" s="18">
        <v>4</v>
      </c>
      <c r="B27" s="70" t="s">
        <v>69</v>
      </c>
      <c r="C27" s="70"/>
      <c r="D27" s="70"/>
      <c r="E27" s="70"/>
      <c r="F27" s="70"/>
      <c r="G27" s="8"/>
    </row>
    <row r="28" spans="1:7" ht="2.25" customHeight="1" x14ac:dyDescent="0.25">
      <c r="A28" s="71"/>
      <c r="B28" s="71"/>
      <c r="C28" s="71"/>
      <c r="D28" s="71"/>
      <c r="E28" s="71"/>
      <c r="F28" s="71"/>
      <c r="G28" s="8"/>
    </row>
    <row r="29" spans="1:7" ht="25.5" x14ac:dyDescent="0.25">
      <c r="A29" s="18" t="s">
        <v>74</v>
      </c>
      <c r="B29" s="19" t="s">
        <v>77</v>
      </c>
      <c r="C29" s="20" t="s">
        <v>8</v>
      </c>
      <c r="D29" s="67">
        <v>201.1</v>
      </c>
      <c r="E29" s="32"/>
      <c r="F29" s="23">
        <f>E29*D29</f>
        <v>0</v>
      </c>
      <c r="G29" s="8"/>
    </row>
    <row r="30" spans="1:7" ht="20.25" customHeight="1" x14ac:dyDescent="0.25">
      <c r="A30" s="77"/>
      <c r="B30" s="78"/>
      <c r="C30" s="78"/>
      <c r="D30" s="78"/>
      <c r="E30" s="78"/>
      <c r="F30" s="79"/>
      <c r="G30" s="8"/>
    </row>
    <row r="31" spans="1:7" ht="20.25" customHeight="1" x14ac:dyDescent="0.25">
      <c r="A31" s="18">
        <v>5</v>
      </c>
      <c r="B31" s="70" t="s">
        <v>71</v>
      </c>
      <c r="C31" s="70"/>
      <c r="D31" s="70"/>
      <c r="E31" s="70"/>
      <c r="F31" s="70"/>
      <c r="G31" s="8"/>
    </row>
    <row r="32" spans="1:7" ht="2.25" customHeight="1" x14ac:dyDescent="0.25">
      <c r="A32" s="71"/>
      <c r="B32" s="71"/>
      <c r="C32" s="71"/>
      <c r="D32" s="71"/>
      <c r="E32" s="71"/>
      <c r="F32" s="71"/>
      <c r="G32" s="8"/>
    </row>
    <row r="33" spans="1:9" ht="20.25" customHeight="1" x14ac:dyDescent="0.25">
      <c r="A33" s="18" t="s">
        <v>75</v>
      </c>
      <c r="B33" s="19" t="s">
        <v>53</v>
      </c>
      <c r="C33" s="20" t="s">
        <v>76</v>
      </c>
      <c r="D33" s="21">
        <v>1</v>
      </c>
      <c r="E33" s="32"/>
      <c r="F33" s="23">
        <f>E33*D33</f>
        <v>0</v>
      </c>
      <c r="G33" s="8"/>
    </row>
    <row r="34" spans="1:9" ht="20.25" customHeight="1" x14ac:dyDescent="0.25">
      <c r="A34" s="18"/>
      <c r="B34" s="19" t="s">
        <v>54</v>
      </c>
      <c r="C34" s="20" t="s">
        <v>34</v>
      </c>
      <c r="D34" s="21">
        <v>20</v>
      </c>
      <c r="E34" s="32"/>
      <c r="F34" s="23">
        <f t="shared" ref="F34:F36" si="2">E34*D34</f>
        <v>0</v>
      </c>
      <c r="G34" s="8"/>
    </row>
    <row r="35" spans="1:9" ht="20.25" customHeight="1" x14ac:dyDescent="0.25">
      <c r="A35" s="18"/>
      <c r="B35" s="19" t="s">
        <v>55</v>
      </c>
      <c r="C35" s="20" t="s">
        <v>76</v>
      </c>
      <c r="D35" s="21">
        <v>1</v>
      </c>
      <c r="E35" s="32"/>
      <c r="F35" s="23">
        <f t="shared" si="2"/>
        <v>0</v>
      </c>
      <c r="G35" s="8"/>
    </row>
    <row r="36" spans="1:9" ht="20.25" customHeight="1" x14ac:dyDescent="0.25">
      <c r="A36" s="18"/>
      <c r="B36" s="19" t="s">
        <v>56</v>
      </c>
      <c r="C36" s="20" t="s">
        <v>76</v>
      </c>
      <c r="D36" s="21">
        <v>1</v>
      </c>
      <c r="E36" s="32"/>
      <c r="F36" s="23">
        <f t="shared" si="2"/>
        <v>0</v>
      </c>
      <c r="G36" s="8"/>
    </row>
    <row r="37" spans="1:9" ht="20.25" customHeight="1" x14ac:dyDescent="0.25">
      <c r="A37" s="77"/>
      <c r="B37" s="78"/>
      <c r="C37" s="78"/>
      <c r="D37" s="78"/>
      <c r="E37" s="78"/>
      <c r="F37" s="79"/>
      <c r="G37" s="8"/>
    </row>
    <row r="38" spans="1:9" ht="20.25" customHeight="1" x14ac:dyDescent="0.25">
      <c r="A38" s="76" t="s">
        <v>10</v>
      </c>
      <c r="B38" s="76"/>
      <c r="C38" s="76"/>
      <c r="D38" s="76"/>
      <c r="E38" s="76"/>
      <c r="F38" s="23">
        <f>+F13+SUM(F17:F19)+SUM(F23:F25)+F29+SUM(F33:F36)</f>
        <v>0</v>
      </c>
      <c r="G38" s="8"/>
      <c r="H38" s="24"/>
      <c r="I38" s="24"/>
    </row>
    <row r="39" spans="1:9" ht="20.25" customHeight="1" x14ac:dyDescent="0.25">
      <c r="A39" s="18">
        <v>5</v>
      </c>
      <c r="B39" s="70" t="s">
        <v>11</v>
      </c>
      <c r="C39" s="70"/>
      <c r="D39" s="70"/>
      <c r="E39" s="70"/>
      <c r="F39" s="70"/>
      <c r="G39" s="8"/>
    </row>
    <row r="40" spans="1:9" ht="2.25" customHeight="1" x14ac:dyDescent="0.25">
      <c r="A40" s="71"/>
      <c r="B40" s="71"/>
      <c r="C40" s="71"/>
      <c r="D40" s="71"/>
      <c r="E40" s="71"/>
      <c r="F40" s="71"/>
      <c r="G40" s="8"/>
    </row>
    <row r="41" spans="1:9" ht="20.25" customHeight="1" x14ac:dyDescent="0.25">
      <c r="A41" s="18"/>
      <c r="B41" s="19" t="s">
        <v>12</v>
      </c>
      <c r="C41" s="33"/>
      <c r="D41" s="21"/>
      <c r="E41" s="22"/>
      <c r="F41" s="23">
        <f>F38*C41</f>
        <v>0</v>
      </c>
      <c r="G41" s="8"/>
    </row>
    <row r="42" spans="1:9" ht="20.25" customHeight="1" x14ac:dyDescent="0.25">
      <c r="A42" s="18"/>
      <c r="B42" s="19" t="s">
        <v>13</v>
      </c>
      <c r="C42" s="33"/>
      <c r="D42" s="21"/>
      <c r="E42" s="22"/>
      <c r="F42" s="23">
        <f>F38*C42</f>
        <v>0</v>
      </c>
      <c r="G42" s="8"/>
    </row>
    <row r="43" spans="1:9" ht="20.25" customHeight="1" x14ac:dyDescent="0.25">
      <c r="A43" s="18"/>
      <c r="B43" s="19" t="s">
        <v>14</v>
      </c>
      <c r="C43" s="33"/>
      <c r="D43" s="21"/>
      <c r="E43" s="22"/>
      <c r="F43" s="23">
        <f>F38*C43</f>
        <v>0</v>
      </c>
      <c r="G43" s="8"/>
    </row>
    <row r="44" spans="1:9" ht="20.25" customHeight="1" x14ac:dyDescent="0.25">
      <c r="A44" s="18"/>
      <c r="B44" s="19" t="s">
        <v>15</v>
      </c>
      <c r="C44" s="68">
        <v>0.19</v>
      </c>
      <c r="D44" s="21"/>
      <c r="E44" s="22"/>
      <c r="F44" s="23">
        <f>F43*C44</f>
        <v>0</v>
      </c>
      <c r="G44" s="8"/>
    </row>
    <row r="45" spans="1:9" ht="20.25" customHeight="1" x14ac:dyDescent="0.25">
      <c r="A45" s="76" t="s">
        <v>16</v>
      </c>
      <c r="B45" s="76"/>
      <c r="C45" s="76"/>
      <c r="D45" s="76"/>
      <c r="E45" s="76"/>
      <c r="F45" s="23">
        <f>SUM(F41:F44)</f>
        <v>0</v>
      </c>
      <c r="G45" s="8"/>
    </row>
    <row r="46" spans="1:9" ht="2.25" customHeight="1" x14ac:dyDescent="0.25">
      <c r="A46" s="71"/>
      <c r="B46" s="71"/>
      <c r="C46" s="71"/>
      <c r="D46" s="71"/>
      <c r="E46" s="71"/>
      <c r="F46" s="71"/>
      <c r="G46" s="8"/>
    </row>
    <row r="47" spans="1:9" ht="20.25" customHeight="1" x14ac:dyDescent="0.25">
      <c r="A47" s="81" t="s">
        <v>17</v>
      </c>
      <c r="B47" s="81"/>
      <c r="C47" s="81"/>
      <c r="D47" s="81"/>
      <c r="E47" s="81"/>
      <c r="F47" s="25">
        <f>F38+F45</f>
        <v>0</v>
      </c>
      <c r="G47" s="26"/>
      <c r="H47" s="27"/>
    </row>
    <row r="48" spans="1:9" x14ac:dyDescent="0.25">
      <c r="D48" s="1"/>
      <c r="E48" s="29"/>
      <c r="G48" s="30"/>
    </row>
    <row r="49" spans="1:7" ht="18" customHeight="1" x14ac:dyDescent="0.25">
      <c r="A49" s="82" t="s">
        <v>23</v>
      </c>
      <c r="B49" s="82"/>
      <c r="C49" s="82"/>
      <c r="D49" s="82"/>
      <c r="E49" s="82"/>
      <c r="F49" s="82"/>
      <c r="G49" s="73"/>
    </row>
    <row r="50" spans="1:7" ht="23.25" customHeight="1" x14ac:dyDescent="0.25">
      <c r="A50" s="82"/>
      <c r="B50" s="82"/>
      <c r="C50" s="82"/>
      <c r="D50" s="82"/>
      <c r="E50" s="82"/>
      <c r="F50" s="82"/>
      <c r="G50" s="73"/>
    </row>
    <row r="51" spans="1:7" ht="4.5" customHeight="1" x14ac:dyDescent="0.25">
      <c r="E51" s="3"/>
      <c r="F51" s="4"/>
    </row>
    <row r="53" spans="1:7" ht="15.75" customHeight="1" x14ac:dyDescent="0.25">
      <c r="A53" s="74" t="s">
        <v>26</v>
      </c>
      <c r="B53" s="74"/>
      <c r="C53" s="74"/>
      <c r="D53" s="74"/>
      <c r="E53" s="75"/>
      <c r="F53" s="75"/>
    </row>
    <row r="54" spans="1:7" ht="16.5" customHeight="1" x14ac:dyDescent="0.25">
      <c r="A54" s="74"/>
      <c r="B54" s="74"/>
      <c r="C54" s="74"/>
      <c r="D54" s="74"/>
      <c r="E54" s="75"/>
      <c r="F54" s="75"/>
    </row>
    <row r="60" spans="1:7" ht="18.75" x14ac:dyDescent="0.25">
      <c r="B60" s="84" t="s">
        <v>18</v>
      </c>
      <c r="C60" s="84"/>
      <c r="D60" s="84"/>
      <c r="E60" s="84"/>
      <c r="F60" s="5"/>
    </row>
    <row r="61" spans="1:7" ht="15.75" customHeight="1" x14ac:dyDescent="0.25">
      <c r="B61" s="84" t="s">
        <v>19</v>
      </c>
      <c r="C61" s="84"/>
      <c r="D61" s="84"/>
      <c r="E61" s="84"/>
    </row>
    <row r="62" spans="1:7" x14ac:dyDescent="0.25">
      <c r="B62" s="80" t="s">
        <v>20</v>
      </c>
      <c r="C62" s="80"/>
      <c r="D62" s="80"/>
      <c r="E62" s="80"/>
    </row>
    <row r="63" spans="1:7" x14ac:dyDescent="0.25">
      <c r="B63" s="80" t="s">
        <v>21</v>
      </c>
      <c r="C63" s="80"/>
      <c r="D63" s="80"/>
      <c r="E63" s="80"/>
    </row>
    <row r="64" spans="1:7" x14ac:dyDescent="0.25">
      <c r="B64" s="80" t="s">
        <v>22</v>
      </c>
      <c r="C64" s="80"/>
      <c r="D64" s="80"/>
      <c r="E64" s="80"/>
    </row>
  </sheetData>
  <mergeCells count="35">
    <mergeCell ref="A1:F2"/>
    <mergeCell ref="A14:F14"/>
    <mergeCell ref="A20:F20"/>
    <mergeCell ref="B60:E60"/>
    <mergeCell ref="B61:E61"/>
    <mergeCell ref="B15:F15"/>
    <mergeCell ref="A16:F16"/>
    <mergeCell ref="B21:F21"/>
    <mergeCell ref="A22:F22"/>
    <mergeCell ref="B31:F31"/>
    <mergeCell ref="B27:F27"/>
    <mergeCell ref="A28:F28"/>
    <mergeCell ref="A26:F26"/>
    <mergeCell ref="A30:F30"/>
    <mergeCell ref="A4:F4"/>
    <mergeCell ref="A5:F5"/>
    <mergeCell ref="B62:E62"/>
    <mergeCell ref="B63:E63"/>
    <mergeCell ref="B64:E64"/>
    <mergeCell ref="A46:F46"/>
    <mergeCell ref="A47:E47"/>
    <mergeCell ref="A49:F50"/>
    <mergeCell ref="A53:D54"/>
    <mergeCell ref="E53:F54"/>
    <mergeCell ref="A32:F32"/>
    <mergeCell ref="A38:E38"/>
    <mergeCell ref="B39:F39"/>
    <mergeCell ref="A40:F40"/>
    <mergeCell ref="A45:E45"/>
    <mergeCell ref="A37:F37"/>
    <mergeCell ref="A8:F8"/>
    <mergeCell ref="B11:F11"/>
    <mergeCell ref="A12:F12"/>
    <mergeCell ref="A6:F7"/>
    <mergeCell ref="G49:G50"/>
  </mergeCells>
  <conditionalFormatting sqref="G49">
    <cfRule type="cellIs" dxfId="0" priority="1" stopIfTrue="1" operator="equal">
      <formula>1</formula>
    </cfRule>
  </conditionalFormatting>
  <printOptions horizontalCentered="1"/>
  <pageMargins left="0.31496062992125984" right="0.31496062992125984" top="0.35433070866141736" bottom="0.35433070866141736" header="0.31496062992125984" footer="0.31496062992125984"/>
  <pageSetup scale="67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7"/>
  <sheetViews>
    <sheetView workbookViewId="0">
      <selection activeCell="N11" sqref="N11:N12"/>
    </sheetView>
  </sheetViews>
  <sheetFormatPr baseColWidth="10" defaultRowHeight="15" x14ac:dyDescent="0.25"/>
  <cols>
    <col min="1" max="1" width="4.42578125" customWidth="1"/>
    <col min="2" max="2" width="18.42578125" style="61" bestFit="1" customWidth="1"/>
    <col min="3" max="3" width="8.7109375" style="34" customWidth="1"/>
    <col min="4" max="4" width="11.42578125" style="34"/>
    <col min="5" max="5" width="18.85546875" bestFit="1" customWidth="1"/>
    <col min="6" max="6" width="7" bestFit="1" customWidth="1"/>
    <col min="7" max="7" width="11.42578125" customWidth="1"/>
    <col min="8" max="8" width="17.28515625" bestFit="1" customWidth="1"/>
    <col min="11" max="11" width="21.42578125" bestFit="1" customWidth="1"/>
    <col min="15" max="15" width="3.7109375" bestFit="1" customWidth="1"/>
  </cols>
  <sheetData>
    <row r="2" spans="1:15" x14ac:dyDescent="0.25">
      <c r="B2" s="34"/>
    </row>
    <row r="3" spans="1:15" ht="15.75" thickBot="1" x14ac:dyDescent="0.3">
      <c r="B3" s="35" t="s">
        <v>28</v>
      </c>
      <c r="C3"/>
      <c r="E3" s="35" t="s">
        <v>29</v>
      </c>
      <c r="G3" s="34"/>
      <c r="H3" s="35" t="s">
        <v>30</v>
      </c>
      <c r="J3" s="34"/>
      <c r="K3" s="35" t="s">
        <v>31</v>
      </c>
      <c r="M3" s="34"/>
    </row>
    <row r="4" spans="1:15" ht="15.75" thickBot="1" x14ac:dyDescent="0.3">
      <c r="B4" s="36" t="s">
        <v>32</v>
      </c>
      <c r="C4" s="36" t="s">
        <v>33</v>
      </c>
      <c r="D4" s="37" t="s">
        <v>34</v>
      </c>
      <c r="E4" s="36" t="s">
        <v>32</v>
      </c>
      <c r="F4" s="36" t="s">
        <v>33</v>
      </c>
      <c r="G4" s="37" t="s">
        <v>34</v>
      </c>
      <c r="H4" s="36" t="s">
        <v>32</v>
      </c>
      <c r="I4" s="36" t="s">
        <v>33</v>
      </c>
      <c r="J4" s="37" t="s">
        <v>34</v>
      </c>
      <c r="K4" s="36" t="s">
        <v>32</v>
      </c>
      <c r="L4" s="36" t="s">
        <v>33</v>
      </c>
      <c r="M4" s="38" t="s">
        <v>34</v>
      </c>
      <c r="N4" s="39" t="s">
        <v>35</v>
      </c>
    </row>
    <row r="5" spans="1:15" x14ac:dyDescent="0.25">
      <c r="A5" s="40">
        <v>1</v>
      </c>
      <c r="B5" s="41" t="s">
        <v>36</v>
      </c>
      <c r="C5" s="42">
        <v>310.86</v>
      </c>
      <c r="D5" s="43" t="s">
        <v>37</v>
      </c>
      <c r="E5" s="44" t="s">
        <v>36</v>
      </c>
      <c r="F5" s="42">
        <v>454.64</v>
      </c>
      <c r="G5" s="43" t="s">
        <v>37</v>
      </c>
      <c r="H5" s="44" t="s">
        <v>36</v>
      </c>
      <c r="I5" s="42">
        <v>350.07</v>
      </c>
      <c r="J5" s="43" t="s">
        <v>37</v>
      </c>
      <c r="K5" s="44" t="s">
        <v>36</v>
      </c>
      <c r="L5" s="42">
        <v>610.66</v>
      </c>
      <c r="M5" s="43" t="s">
        <v>37</v>
      </c>
      <c r="N5" s="45">
        <f>SUM(C5+F5+I5+L5)</f>
        <v>1726.23</v>
      </c>
      <c r="O5" s="46" t="str">
        <f>M5</f>
        <v>m2</v>
      </c>
    </row>
    <row r="6" spans="1:15" x14ac:dyDescent="0.25">
      <c r="A6" s="47">
        <v>2</v>
      </c>
      <c r="B6" s="48" t="s">
        <v>38</v>
      </c>
      <c r="C6" s="49">
        <v>248.6</v>
      </c>
      <c r="D6" s="50" t="s">
        <v>39</v>
      </c>
      <c r="E6" s="51" t="s">
        <v>38</v>
      </c>
      <c r="F6" s="49">
        <v>150</v>
      </c>
      <c r="G6" s="50" t="s">
        <v>39</v>
      </c>
      <c r="H6" s="51" t="s">
        <v>38</v>
      </c>
      <c r="I6" s="49">
        <v>464.8</v>
      </c>
      <c r="J6" s="50" t="s">
        <v>39</v>
      </c>
      <c r="K6" s="51" t="s">
        <v>38</v>
      </c>
      <c r="L6" s="49">
        <v>464.2</v>
      </c>
      <c r="M6" s="50" t="s">
        <v>39</v>
      </c>
      <c r="N6" s="52">
        <f t="shared" ref="N6:N10" si="0">SUM(C6+F6+I6+L6)</f>
        <v>1327.6000000000001</v>
      </c>
      <c r="O6" s="53" t="str">
        <f t="shared" ref="O6:O10" si="1">M6</f>
        <v>ml</v>
      </c>
    </row>
    <row r="7" spans="1:15" x14ac:dyDescent="0.25">
      <c r="A7" s="47">
        <v>3</v>
      </c>
      <c r="B7" s="48" t="s">
        <v>40</v>
      </c>
      <c r="C7" s="49">
        <v>248.6</v>
      </c>
      <c r="D7" s="50" t="s">
        <v>39</v>
      </c>
      <c r="E7" s="51" t="s">
        <v>40</v>
      </c>
      <c r="F7" s="49">
        <v>150</v>
      </c>
      <c r="G7" s="50" t="s">
        <v>39</v>
      </c>
      <c r="H7" s="51" t="s">
        <v>40</v>
      </c>
      <c r="I7" s="49">
        <v>464.8</v>
      </c>
      <c r="J7" s="50" t="s">
        <v>39</v>
      </c>
      <c r="K7" s="51" t="s">
        <v>40</v>
      </c>
      <c r="L7" s="49">
        <v>464.2</v>
      </c>
      <c r="M7" s="50" t="s">
        <v>39</v>
      </c>
      <c r="N7" s="52">
        <f t="shared" si="0"/>
        <v>1327.6000000000001</v>
      </c>
      <c r="O7" s="53" t="str">
        <f t="shared" si="1"/>
        <v>ml</v>
      </c>
    </row>
    <row r="8" spans="1:15" x14ac:dyDescent="0.25">
      <c r="A8" s="47">
        <v>4</v>
      </c>
      <c r="B8" s="48" t="s">
        <v>41</v>
      </c>
      <c r="C8" s="49">
        <v>50</v>
      </c>
      <c r="D8" s="50" t="s">
        <v>39</v>
      </c>
      <c r="E8" s="51" t="s">
        <v>41</v>
      </c>
      <c r="F8" s="49">
        <v>52.8</v>
      </c>
      <c r="G8" s="50" t="s">
        <v>39</v>
      </c>
      <c r="H8" s="51" t="s">
        <v>41</v>
      </c>
      <c r="I8" s="49">
        <v>35.200000000000003</v>
      </c>
      <c r="J8" s="50" t="s">
        <v>39</v>
      </c>
      <c r="K8" s="51" t="s">
        <v>41</v>
      </c>
      <c r="L8" s="49">
        <v>60.5</v>
      </c>
      <c r="M8" s="50" t="s">
        <v>39</v>
      </c>
      <c r="N8" s="52">
        <f t="shared" si="0"/>
        <v>198.5</v>
      </c>
      <c r="O8" s="53" t="str">
        <f t="shared" si="1"/>
        <v>ml</v>
      </c>
    </row>
    <row r="9" spans="1:15" x14ac:dyDescent="0.25">
      <c r="A9" s="47">
        <v>5</v>
      </c>
      <c r="B9" s="48" t="s">
        <v>42</v>
      </c>
      <c r="C9" s="49">
        <v>161.69999999999999</v>
      </c>
      <c r="D9" s="50" t="s">
        <v>39</v>
      </c>
      <c r="E9" s="51" t="s">
        <v>42</v>
      </c>
      <c r="F9" s="49">
        <v>90.2</v>
      </c>
      <c r="G9" s="50" t="s">
        <v>39</v>
      </c>
      <c r="H9" s="51" t="s">
        <v>42</v>
      </c>
      <c r="I9" s="49">
        <v>28.6</v>
      </c>
      <c r="J9" s="50" t="s">
        <v>39</v>
      </c>
      <c r="K9" s="51" t="s">
        <v>42</v>
      </c>
      <c r="L9" s="49">
        <v>77</v>
      </c>
      <c r="M9" s="50" t="s">
        <v>39</v>
      </c>
      <c r="N9" s="52">
        <f t="shared" si="0"/>
        <v>357.5</v>
      </c>
      <c r="O9" s="53" t="str">
        <f t="shared" si="1"/>
        <v>ml</v>
      </c>
    </row>
    <row r="10" spans="1:15" x14ac:dyDescent="0.25">
      <c r="A10" s="47">
        <v>6</v>
      </c>
      <c r="B10" s="48" t="s">
        <v>43</v>
      </c>
      <c r="C10" s="49">
        <v>161.69999999999999</v>
      </c>
      <c r="D10" s="50" t="s">
        <v>39</v>
      </c>
      <c r="E10" s="51" t="s">
        <v>43</v>
      </c>
      <c r="F10" s="49">
        <v>90.2</v>
      </c>
      <c r="G10" s="50" t="s">
        <v>39</v>
      </c>
      <c r="H10" s="51" t="s">
        <v>43</v>
      </c>
      <c r="I10" s="49">
        <v>28.6</v>
      </c>
      <c r="J10" s="50" t="s">
        <v>39</v>
      </c>
      <c r="K10" s="51" t="s">
        <v>43</v>
      </c>
      <c r="L10" s="49">
        <v>77</v>
      </c>
      <c r="M10" s="50" t="s">
        <v>39</v>
      </c>
      <c r="N10" s="52">
        <f t="shared" si="0"/>
        <v>357.5</v>
      </c>
      <c r="O10" s="53" t="str">
        <f t="shared" si="1"/>
        <v>ml</v>
      </c>
    </row>
    <row r="11" spans="1:15" x14ac:dyDescent="0.25">
      <c r="A11" s="47">
        <v>7</v>
      </c>
      <c r="B11" s="48" t="s">
        <v>44</v>
      </c>
      <c r="C11" s="49">
        <v>245.65</v>
      </c>
      <c r="D11" s="50" t="s">
        <v>37</v>
      </c>
      <c r="E11" s="48" t="s">
        <v>45</v>
      </c>
      <c r="F11" s="49">
        <v>221.32</v>
      </c>
      <c r="G11" s="50" t="s">
        <v>37</v>
      </c>
      <c r="H11" s="48" t="s">
        <v>45</v>
      </c>
      <c r="I11" s="49">
        <v>108.35</v>
      </c>
      <c r="J11" s="50" t="s">
        <v>37</v>
      </c>
      <c r="K11" s="48" t="s">
        <v>45</v>
      </c>
      <c r="L11" s="49">
        <v>163.41999999999999</v>
      </c>
      <c r="M11" s="50" t="s">
        <v>37</v>
      </c>
      <c r="N11" s="52">
        <f>SUM(C11+F11+I11+L11)</f>
        <v>738.74</v>
      </c>
      <c r="O11" s="53" t="str">
        <f>M11</f>
        <v>m2</v>
      </c>
    </row>
    <row r="12" spans="1:15" x14ac:dyDescent="0.25">
      <c r="A12" s="47">
        <v>8</v>
      </c>
      <c r="B12" s="48" t="s">
        <v>46</v>
      </c>
      <c r="C12" s="49">
        <v>150.69999999999999</v>
      </c>
      <c r="D12" s="50" t="s">
        <v>37</v>
      </c>
      <c r="E12" s="48" t="s">
        <v>46</v>
      </c>
      <c r="F12" s="49">
        <v>96.77</v>
      </c>
      <c r="G12" s="50" t="s">
        <v>37</v>
      </c>
      <c r="H12" s="48" t="s">
        <v>46</v>
      </c>
      <c r="I12" s="49">
        <v>30.25</v>
      </c>
      <c r="J12" s="50" t="s">
        <v>37</v>
      </c>
      <c r="K12" s="48" t="s">
        <v>46</v>
      </c>
      <c r="L12" s="49">
        <v>74.69</v>
      </c>
      <c r="M12" s="50" t="s">
        <v>37</v>
      </c>
      <c r="N12" s="52">
        <f t="shared" ref="N12:N13" si="2">SUM(C12+F12+I12+L12)</f>
        <v>352.40999999999997</v>
      </c>
      <c r="O12" s="53" t="str">
        <f t="shared" ref="O12:O13" si="3">M12</f>
        <v>m2</v>
      </c>
    </row>
    <row r="13" spans="1:15" ht="15.75" thickBot="1" x14ac:dyDescent="0.3">
      <c r="A13" s="54">
        <v>9</v>
      </c>
      <c r="B13" s="55"/>
      <c r="C13" s="56"/>
      <c r="D13" s="57"/>
      <c r="E13" s="58"/>
      <c r="F13" s="56"/>
      <c r="G13" s="57"/>
      <c r="H13" s="58"/>
      <c r="I13" s="56"/>
      <c r="J13" s="57"/>
      <c r="K13" s="58"/>
      <c r="L13" s="56"/>
      <c r="M13" s="57"/>
      <c r="N13" s="59">
        <f t="shared" si="2"/>
        <v>0</v>
      </c>
      <c r="O13" s="60">
        <f t="shared" si="3"/>
        <v>0</v>
      </c>
    </row>
    <row r="14" spans="1:15" ht="15.75" thickBot="1" x14ac:dyDescent="0.3"/>
    <row r="15" spans="1:15" ht="15.75" thickBot="1" x14ac:dyDescent="0.3">
      <c r="B15" s="62" t="s">
        <v>47</v>
      </c>
      <c r="C15" s="63"/>
    </row>
    <row r="16" spans="1:15" x14ac:dyDescent="0.25">
      <c r="A16" s="40">
        <v>1</v>
      </c>
      <c r="B16" s="64" t="s">
        <v>48</v>
      </c>
      <c r="C16" s="65">
        <v>166.05</v>
      </c>
      <c r="D16" s="66" t="s">
        <v>37</v>
      </c>
    </row>
    <row r="17" spans="1:4" ht="15.75" thickBot="1" x14ac:dyDescent="0.3">
      <c r="A17" s="54">
        <v>2</v>
      </c>
      <c r="B17" s="55" t="s">
        <v>49</v>
      </c>
      <c r="C17" s="56">
        <v>35.049999999999997</v>
      </c>
      <c r="D17" s="5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Cot.</vt:lpstr>
      <vt:lpstr>Cantidades</vt:lpstr>
      <vt:lpstr>'Formato Cot.'!Área_de_impresión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PROMOTORA PONTEVEDRA SAS</dc:creator>
  <cp:lastModifiedBy>ADMIN</cp:lastModifiedBy>
  <dcterms:created xsi:type="dcterms:W3CDTF">2023-08-16T15:11:14Z</dcterms:created>
  <dcterms:modified xsi:type="dcterms:W3CDTF">2023-08-16T17:11:30Z</dcterms:modified>
</cp:coreProperties>
</file>