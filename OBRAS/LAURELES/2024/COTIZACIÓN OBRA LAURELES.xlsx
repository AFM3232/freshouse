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elipe Montoya\Downloads\"/>
    </mc:Choice>
  </mc:AlternateContent>
  <xr:revisionPtr revIDLastSave="0" documentId="13_ncr:1_{4117F732-1496-49E9-A22D-0DFA3DB15856}" xr6:coauthVersionLast="47" xr6:coauthVersionMax="47" xr10:uidLastSave="{00000000-0000-0000-0000-000000000000}"/>
  <bookViews>
    <workbookView xWindow="0" yWindow="24" windowWidth="23040" windowHeight="12216" xr2:uid="{BCFB1664-7DBD-4EFF-A670-B77D79CD3276}"/>
  </bookViews>
  <sheets>
    <sheet name="formato present oferta (2)" sheetId="2" r:id="rId1"/>
    <sheet name="formato present oferta" sheetId="1" r:id="rId2"/>
  </sheets>
  <definedNames>
    <definedName name="_xlnm.Print_Area" localSheetId="1">'formato present oferta'!$A$1:$G$11</definedName>
    <definedName name="_xlnm.Print_Area" localSheetId="0">'formato present oferta (2)'!$A$1:$G$12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2" i="1" l="1"/>
  <c r="G15" i="1"/>
  <c r="G11" i="1"/>
  <c r="G15" i="2"/>
  <c r="G14" i="2" s="1"/>
  <c r="G13" i="2"/>
  <c r="G12" i="2" s="1"/>
  <c r="G11" i="2"/>
  <c r="G10" i="2"/>
  <c r="G14" i="1"/>
  <c r="G13" i="1" s="1"/>
  <c r="G9" i="2" l="1"/>
  <c r="G16" i="2"/>
  <c r="G18" i="2" s="1"/>
  <c r="G17" i="2" l="1"/>
  <c r="G19" i="2"/>
  <c r="G20" i="2" s="1"/>
  <c r="G10" i="1"/>
  <c r="G9" i="1" s="1"/>
  <c r="G21" i="2" l="1"/>
  <c r="G22" i="2" s="1"/>
  <c r="G17" i="1"/>
  <c r="G18" i="1" l="1"/>
  <c r="G19" i="1" s="1"/>
  <c r="G16" i="1"/>
  <c r="G20" i="1" l="1"/>
  <c r="G21" i="1" s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<sst xmlns="http://schemas.openxmlformats.org/spreadsheetml/2006/main" count="81" uniqueCount="42">
  <si>
    <t>CANTIDADES DE OBRA Y ESPECIFICACIONES TECNICAS PARA ACTIVIDADES DE MANTENIMIENTO INTEGRAL EN FACHADAS</t>
  </si>
  <si>
    <t>CAPT</t>
  </si>
  <si>
    <t>ITEMS</t>
  </si>
  <si>
    <t>ACTIVIDAD</t>
  </si>
  <si>
    <t>UNIDAD</t>
  </si>
  <si>
    <t>CANTIDAD</t>
  </si>
  <si>
    <t>VR UNITARIO</t>
  </si>
  <si>
    <t>VALOR DIRECTO ACTIVIDAD</t>
  </si>
  <si>
    <t>PRELIMINARES Y ACABADOS</t>
  </si>
  <si>
    <t>1.1.1</t>
  </si>
  <si>
    <t>1.1.2</t>
  </si>
  <si>
    <t>1.2.1</t>
  </si>
  <si>
    <t>M2</t>
  </si>
  <si>
    <t>1.3.1</t>
  </si>
  <si>
    <t>TERMINADO/LIMPIEZA</t>
  </si>
  <si>
    <t>ASEO GENERAL Y RETIRO DE PINTURA</t>
  </si>
  <si>
    <t>GLB</t>
  </si>
  <si>
    <t>COSTO DIRECTO</t>
  </si>
  <si>
    <t>ADMON</t>
  </si>
  <si>
    <t>IMPREV</t>
  </si>
  <si>
    <t>UTILIDADES</t>
  </si>
  <si>
    <t>IVA/U</t>
  </si>
  <si>
    <t>COSTO INDIRECTO</t>
  </si>
  <si>
    <t>VALOR PROPUESTA</t>
  </si>
  <si>
    <t>CALLE 3 NORTE # 18-49 LOCAL 2</t>
  </si>
  <si>
    <t>DIRECCION:</t>
  </si>
  <si>
    <t>CORREO:</t>
  </si>
  <si>
    <t>TELEFONO:</t>
  </si>
  <si>
    <t xml:space="preserve">Admin@fresh-house.co                                                    Rensomontoya@fresh-house.co                                                                                                                 </t>
  </si>
  <si>
    <t>+57 310 461 7353</t>
  </si>
  <si>
    <t>CODIGO: FH-F-02</t>
  </si>
  <si>
    <t xml:space="preserve"> DEMOLICION Y PREPARADO DE SUPERFICIE</t>
  </si>
  <si>
    <t xml:space="preserve"> ACABADO DE PINTURA</t>
  </si>
  <si>
    <t xml:space="preserve"> VERSIÓN: 01</t>
  </si>
  <si>
    <t>PARQUEADERO LAURELES</t>
  </si>
  <si>
    <t>APLICACIÓN DE IMPRIMANTE O ACRONAL, APLICACIÓN DE TEXTURA CON GRANIPLAST DE LA MARCA IMPATEXTURA O SIMILAR EN CALIDAD, SE HARAN DILATACIONES</t>
  </si>
  <si>
    <t>LAVADO Y LIMPIEZA DE SUPERFICIES CON CONSTRUCLEANER LIMPIADOR NO CORROSIVO DE PINTUCO O PRODUCTO QUE ELIMINE LA ALCALINIDAD. EL CONTRATANTE ASEGURA QUE EL CONCRETO TIENE MAS DE 28 DIAS DE CURADO</t>
  </si>
  <si>
    <t xml:space="preserve">  VALIDO HASTA:  22/11/2024</t>
  </si>
  <si>
    <t xml:space="preserve">  FECHA:  22/08/2024</t>
  </si>
  <si>
    <t xml:space="preserve"> SE VOLVERA A IMPRIMAR PARA PERMITIR UN CORRECTO PUENTE DE ADHERENCIA, SUMINISTRO Y APLICACIÓN DE PINTURA KORAZA PRO 550 A DOS MANOS TENIENDO UN TIEMPO MINIMO ENTRE MANOS DE DOS HORAS </t>
  </si>
  <si>
    <t>IMPERMEABILIZACIÓN Y ACABADO</t>
  </si>
  <si>
    <t>SUMINISTRO Y APLICACIÓN DE HIDROFUGO SILICONITE 7 EN LADRILLOS CON APLICACIÓN DE SEGUNDA CAPA ANTES DE QUE LA PRIMERA SEQUE DE ACUERDO A FICHA TECNICA DE FABRICANTE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</si>
</sst>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-&quot;$&quot;\ * #,##0_-;\-&quot;$&quot;\ * #,##0_-;_-&quot;$&quot;\ * &quot;-&quot;??_-;_-@_-"/>
    <numFmt numFmtId="165" formatCode="_-* #,##0_-;\-* #,##0_-;_-* &quot;-&quot;??_-;_-@_-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8"/>
      <color theme="1"/>
      <name val="Century Gothic"/>
      <family val="2"/>
    </font>
    <font>
      <sz val="14"/>
      <color theme="1"/>
      <name val="Century Gothic"/>
      <family val="2"/>
    </font>
    <font>
      <sz val="11"/>
      <color theme="1"/>
      <name val="Century Gothic"/>
      <family val="2"/>
    </font>
    <font>
      <b/>
      <sz val="16"/>
      <color theme="1"/>
      <name val="Century Gothic"/>
      <family val="2"/>
    </font>
    <font>
      <sz val="16"/>
      <color theme="1"/>
      <name val="Century Gothic"/>
      <family val="2"/>
    </font>
    <font>
      <b/>
      <sz val="16"/>
      <color rgb="FF000000"/>
      <name val="Century Gothic"/>
      <family val="2"/>
    </font>
    <font>
      <sz val="16"/>
      <color rgb="FF000000"/>
      <name val="Century Gothic"/>
      <family val="2"/>
    </font>
    <font>
      <b/>
      <sz val="18"/>
      <color rgb="FF000000"/>
      <name val="Century Gothic"/>
      <family val="2"/>
    </font>
    <font>
      <sz val="14"/>
      <color rgb="FF000000"/>
      <name val="Century Gothic"/>
      <family val="2"/>
    </font>
    <font>
      <b/>
      <sz val="14"/>
      <color theme="1"/>
      <name val="Century Gothic"/>
      <family val="2"/>
    </font>
    <font>
      <b/>
      <sz val="22"/>
      <color theme="1"/>
      <name val="Century Gothic"/>
      <family val="2"/>
    </font>
  </fonts>
  <fills count="11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34998626667073579"/>
        <bgColor rgb="FF000000"/>
      </patternFill>
    </fill>
    <fill>
      <patternFill patternType="solid">
        <fgColor theme="0" tint="-0.14999847407452621"/>
        <bgColor rgb="FF000000"/>
      </patternFill>
    </fill>
    <fill>
      <patternFill patternType="solid">
        <fgColor theme="9" tint="0.79998168889431442"/>
        <bgColor indexed="64"/>
      </patternFill>
    </fill>
  </fills>
  <borders count="20">
    <border>
      <left/>
      <right/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505050"/>
      </left>
      <right style="thin">
        <color rgb="FF505050"/>
      </right>
      <top/>
      <bottom style="thin">
        <color rgb="FF505050"/>
      </bottom>
      <diagonal/>
    </border>
    <border>
      <left/>
      <right style="thin">
        <color rgb="FF505050"/>
      </right>
      <top style="thin">
        <color rgb="FF505050"/>
      </top>
      <bottom style="thin">
        <color rgb="FF505050"/>
      </bottom>
      <diagonal/>
    </border>
    <border>
      <left/>
      <right style="thin">
        <color rgb="FF505050"/>
      </right>
      <top/>
      <bottom style="thin">
        <color rgb="FF505050"/>
      </bottom>
      <diagonal/>
    </border>
    <border>
      <left style="thin">
        <color rgb="FF505050"/>
      </left>
      <right/>
      <top style="thin">
        <color rgb="FF505050"/>
      </top>
      <bottom style="thin">
        <color rgb="FF50505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505050"/>
      </top>
      <bottom style="thin">
        <color rgb="FF50505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505050"/>
      </left>
      <right/>
      <top style="thin">
        <color rgb="FF505050"/>
      </top>
      <bottom style="thin">
        <color indexed="64"/>
      </bottom>
      <diagonal/>
    </border>
    <border>
      <left/>
      <right/>
      <top style="thin">
        <color rgb="FF505050"/>
      </top>
      <bottom style="thin">
        <color indexed="64"/>
      </bottom>
      <diagonal/>
    </border>
    <border>
      <left/>
      <right style="thin">
        <color rgb="FF505050"/>
      </right>
      <top style="thin">
        <color rgb="FF505050"/>
      </top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69">
    <xf numFmtId="0" fontId="0" fillId="0" borderId="0" xfId="0"/>
    <xf numFmtId="0" fontId="0" fillId="0" borderId="0" xfId="0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left" vertical="center"/>
    </xf>
    <xf numFmtId="0" fontId="7" fillId="0" borderId="1" xfId="0" applyFont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0" fontId="8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left" vertical="center" wrapText="1"/>
    </xf>
    <xf numFmtId="0" fontId="11" fillId="0" borderId="4" xfId="0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12" fillId="0" borderId="1" xfId="0" applyFont="1" applyBorder="1" applyAlignment="1">
      <alignment horizontal="center" vertical="center"/>
    </xf>
    <xf numFmtId="0" fontId="8" fillId="9" borderId="1" xfId="0" applyFont="1" applyFill="1" applyBorder="1" applyAlignment="1">
      <alignment horizontal="center" vertical="center"/>
    </xf>
    <xf numFmtId="0" fontId="9" fillId="9" borderId="3" xfId="0" applyFont="1" applyFill="1" applyBorder="1" applyAlignment="1">
      <alignment horizontal="center" vertical="center"/>
    </xf>
    <xf numFmtId="0" fontId="10" fillId="9" borderId="3" xfId="0" applyFont="1" applyFill="1" applyBorder="1" applyAlignment="1">
      <alignment horizontal="left" vertical="center"/>
    </xf>
    <xf numFmtId="0" fontId="11" fillId="9" borderId="3" xfId="0" applyFont="1" applyFill="1" applyBorder="1" applyAlignment="1">
      <alignment horizontal="center" vertical="center"/>
    </xf>
    <xf numFmtId="9" fontId="4" fillId="0" borderId="1" xfId="3" applyFont="1" applyFill="1" applyBorder="1" applyAlignment="1">
      <alignment horizontal="center" vertical="center"/>
    </xf>
    <xf numFmtId="164" fontId="4" fillId="0" borderId="1" xfId="0" applyNumberFormat="1" applyFont="1" applyBorder="1" applyAlignment="1">
      <alignment horizontal="left" vertical="center" wrapText="1"/>
    </xf>
    <xf numFmtId="164" fontId="4" fillId="10" borderId="1" xfId="0" applyNumberFormat="1" applyFont="1" applyFill="1" applyBorder="1" applyAlignment="1">
      <alignment horizontal="left" vertical="center" wrapText="1"/>
    </xf>
    <xf numFmtId="164" fontId="4" fillId="6" borderId="1" xfId="0" applyNumberFormat="1" applyFont="1" applyFill="1" applyBorder="1" applyAlignment="1">
      <alignment horizontal="left" vertical="center" wrapText="1"/>
    </xf>
    <xf numFmtId="164" fontId="4" fillId="7" borderId="1" xfId="0" applyNumberFormat="1" applyFont="1" applyFill="1" applyBorder="1" applyAlignment="1">
      <alignment horizontal="left" vertical="center" wrapText="1"/>
    </xf>
    <xf numFmtId="164" fontId="11" fillId="9" borderId="3" xfId="0" applyNumberFormat="1" applyFont="1" applyFill="1" applyBorder="1" applyAlignment="1">
      <alignment horizontal="left" vertical="center" wrapText="1"/>
    </xf>
    <xf numFmtId="164" fontId="11" fillId="8" borderId="3" xfId="0" applyNumberFormat="1" applyFont="1" applyFill="1" applyBorder="1" applyAlignment="1">
      <alignment horizontal="left" vertical="center" wrapText="1"/>
    </xf>
    <xf numFmtId="164" fontId="11" fillId="10" borderId="4" xfId="0" applyNumberFormat="1" applyFont="1" applyFill="1" applyBorder="1" applyAlignment="1">
      <alignment horizontal="left" vertical="center" wrapText="1"/>
    </xf>
    <xf numFmtId="164" fontId="4" fillId="2" borderId="2" xfId="0" applyNumberFormat="1" applyFont="1" applyFill="1" applyBorder="1" applyAlignment="1">
      <alignment vertical="center"/>
    </xf>
    <xf numFmtId="164" fontId="4" fillId="0" borderId="1" xfId="2" applyNumberFormat="1" applyFont="1" applyFill="1" applyBorder="1" applyAlignment="1">
      <alignment vertical="center"/>
    </xf>
    <xf numFmtId="164" fontId="4" fillId="2" borderId="1" xfId="0" applyNumberFormat="1" applyFont="1" applyFill="1" applyBorder="1" applyAlignment="1">
      <alignment vertical="center"/>
    </xf>
    <xf numFmtId="164" fontId="3" fillId="4" borderId="1" xfId="0" applyNumberFormat="1" applyFont="1" applyFill="1" applyBorder="1" applyAlignment="1">
      <alignment vertical="center"/>
    </xf>
    <xf numFmtId="165" fontId="4" fillId="0" borderId="1" xfId="1" applyNumberFormat="1" applyFont="1" applyFill="1" applyBorder="1" applyAlignment="1">
      <alignment vertical="center"/>
    </xf>
    <xf numFmtId="165" fontId="4" fillId="6" borderId="1" xfId="1" applyNumberFormat="1" applyFont="1" applyFill="1" applyBorder="1" applyAlignment="1">
      <alignment vertical="center"/>
    </xf>
    <xf numFmtId="165" fontId="11" fillId="9" borderId="3" xfId="0" applyNumberFormat="1" applyFont="1" applyFill="1" applyBorder="1" applyAlignment="1">
      <alignment vertical="center"/>
    </xf>
    <xf numFmtId="0" fontId="9" fillId="0" borderId="4" xfId="0" applyFont="1" applyBorder="1" applyAlignment="1">
      <alignment horizontal="center" vertical="center"/>
    </xf>
    <xf numFmtId="43" fontId="12" fillId="2" borderId="2" xfId="1" applyFont="1" applyFill="1" applyBorder="1" applyAlignment="1">
      <alignment horizontal="center" vertical="center"/>
    </xf>
    <xf numFmtId="0" fontId="12" fillId="2" borderId="5" xfId="0" applyFont="1" applyFill="1" applyBorder="1" applyAlignment="1">
      <alignment horizontal="center" vertical="center"/>
    </xf>
    <xf numFmtId="0" fontId="12" fillId="2" borderId="3" xfId="0" applyFont="1" applyFill="1" applyBorder="1" applyAlignment="1">
      <alignment horizontal="center" vertical="center"/>
    </xf>
    <xf numFmtId="0" fontId="12" fillId="4" borderId="5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 wrapText="1"/>
    </xf>
    <xf numFmtId="0" fontId="12" fillId="5" borderId="2" xfId="0" applyFont="1" applyFill="1" applyBorder="1" applyAlignment="1">
      <alignment horizontal="center" vertical="center" wrapText="1"/>
    </xf>
    <xf numFmtId="0" fontId="12" fillId="5" borderId="2" xfId="0" applyFont="1" applyFill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13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13" fillId="4" borderId="17" xfId="0" applyFont="1" applyFill="1" applyBorder="1" applyAlignment="1">
      <alignment horizontal="center" vertical="center"/>
    </xf>
    <xf numFmtId="0" fontId="13" fillId="4" borderId="18" xfId="0" applyFont="1" applyFill="1" applyBorder="1" applyAlignment="1">
      <alignment horizontal="center" vertical="center"/>
    </xf>
    <xf numFmtId="0" fontId="13" fillId="4" borderId="19" xfId="0" applyFont="1" applyFill="1" applyBorder="1" applyAlignment="1">
      <alignment horizontal="center" vertical="center"/>
    </xf>
    <xf numFmtId="0" fontId="12" fillId="0" borderId="9" xfId="0" applyFont="1" applyBorder="1" applyAlignment="1">
      <alignment horizontal="center" vertical="center" wrapText="1"/>
    </xf>
    <xf numFmtId="0" fontId="12" fillId="0" borderId="16" xfId="0" applyFont="1" applyBorder="1" applyAlignment="1">
      <alignment horizontal="center" vertical="center" wrapText="1"/>
    </xf>
    <xf numFmtId="0" fontId="12" fillId="0" borderId="10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12" fillId="0" borderId="9" xfId="0" applyFont="1" applyBorder="1" applyAlignment="1">
      <alignment horizontal="center" vertical="center"/>
    </xf>
    <xf numFmtId="0" fontId="12" fillId="0" borderId="10" xfId="0" applyFont="1" applyBorder="1" applyAlignment="1">
      <alignment horizontal="center" vertical="center"/>
    </xf>
  </cellXfs>
  <cellStyles count="4">
    <cellStyle name="Millares" xfId="1" builtinId="3"/>
    <cellStyle name="Moneda" xfId="2" builtinId="4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3" Type="http://schemas.openxmlformats.org/officeDocument/2006/relationships/theme" Target="theme/theme1.xml"/><Relationship Id="rId7" Type="http://schemas.microsoft.com/office/2022/10/relationships/richValueRel" Target="richData/richValueRel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11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microsoft.com/office/2017/06/relationships/rdRichValueTypes" Target="richData/rdRichValueTypes.xml"/><Relationship Id="rId4" Type="http://schemas.openxmlformats.org/officeDocument/2006/relationships/styles" Target="styles.xml"/><Relationship Id="rId9" Type="http://schemas.microsoft.com/office/2017/06/relationships/rdRichValueStructure" Target="richData/rdrichvaluestructure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1FCB40-E612-463E-86CE-3C9AB70FD70E}">
  <dimension ref="A1:G25"/>
  <sheetViews>
    <sheetView tabSelected="1" zoomScale="59" zoomScaleNormal="59" workbookViewId="0">
      <selection activeCell="G22" sqref="A1:G22"/>
    </sheetView>
  </sheetViews>
  <sheetFormatPr baseColWidth="10" defaultColWidth="12.33203125" defaultRowHeight="14.4" x14ac:dyDescent="0.3"/>
  <cols>
    <col min="1" max="1" width="11.5546875" style="1" customWidth="1"/>
    <col min="2" max="2" width="12" style="1" bestFit="1" customWidth="1"/>
    <col min="3" max="3" width="95.44140625" style="1" customWidth="1"/>
    <col min="4" max="4" width="25" style="1" customWidth="1"/>
    <col min="5" max="5" width="25.109375" style="1" bestFit="1" customWidth="1"/>
    <col min="6" max="6" width="22.33203125" style="1" bestFit="1" customWidth="1"/>
    <col min="7" max="7" width="28.88671875" style="1" customWidth="1"/>
    <col min="8" max="16384" width="12.33203125" style="1"/>
  </cols>
  <sheetData>
    <row r="1" spans="1:7" ht="27.6" x14ac:dyDescent="0.3">
      <c r="A1" s="53" t="s">
        <v>34</v>
      </c>
      <c r="B1" s="54"/>
      <c r="C1" s="54"/>
      <c r="D1" s="54"/>
      <c r="E1" s="54"/>
      <c r="F1" s="54"/>
      <c r="G1" s="55"/>
    </row>
    <row r="2" spans="1:7" ht="33.6" customHeight="1" x14ac:dyDescent="0.3">
      <c r="A2" s="56" t="s">
        <v>0</v>
      </c>
      <c r="B2" s="57"/>
      <c r="C2" s="57"/>
      <c r="D2" s="57"/>
      <c r="E2" s="57"/>
      <c r="F2" s="57"/>
      <c r="G2" s="58"/>
    </row>
    <row r="3" spans="1:7" ht="39.6" customHeight="1" x14ac:dyDescent="0.3">
      <c r="A3" s="59" t="s">
        <v>25</v>
      </c>
      <c r="B3" s="60"/>
      <c r="C3" s="40" t="s">
        <v>24</v>
      </c>
      <c r="D3" s="44" t="s">
        <v>30</v>
      </c>
      <c r="E3" s="44" t="s">
        <v>33</v>
      </c>
      <c r="F3" s="61" t="e" vm="1">
        <v>#VALUE!</v>
      </c>
      <c r="G3" s="62"/>
    </row>
    <row r="4" spans="1:7" ht="52.2" customHeight="1" x14ac:dyDescent="0.3">
      <c r="A4" s="59" t="s">
        <v>26</v>
      </c>
      <c r="B4" s="60"/>
      <c r="C4" s="41" t="s">
        <v>28</v>
      </c>
      <c r="D4" s="56" t="s">
        <v>38</v>
      </c>
      <c r="E4" s="58"/>
      <c r="F4" s="63"/>
      <c r="G4" s="64"/>
    </row>
    <row r="5" spans="1:7" ht="36.6" customHeight="1" x14ac:dyDescent="0.3">
      <c r="A5" s="45" t="s">
        <v>27</v>
      </c>
      <c r="B5" s="46"/>
      <c r="C5" s="40" t="s">
        <v>29</v>
      </c>
      <c r="D5" s="67" t="s">
        <v>37</v>
      </c>
      <c r="E5" s="68"/>
      <c r="F5" s="65"/>
      <c r="G5" s="66"/>
    </row>
    <row r="6" spans="1:7" x14ac:dyDescent="0.3">
      <c r="A6" s="47"/>
      <c r="B6" s="48"/>
      <c r="C6" s="48"/>
      <c r="D6" s="48"/>
      <c r="E6" s="48"/>
      <c r="F6" s="48"/>
      <c r="G6" s="49"/>
    </row>
    <row r="7" spans="1:7" ht="34.799999999999997" x14ac:dyDescent="0.3">
      <c r="A7" s="42" t="s">
        <v>1</v>
      </c>
      <c r="B7" s="43" t="s">
        <v>2</v>
      </c>
      <c r="C7" s="43" t="s">
        <v>3</v>
      </c>
      <c r="D7" s="43" t="s">
        <v>4</v>
      </c>
      <c r="E7" s="42" t="s">
        <v>5</v>
      </c>
      <c r="F7" s="43" t="s">
        <v>6</v>
      </c>
      <c r="G7" s="42" t="s">
        <v>7</v>
      </c>
    </row>
    <row r="8" spans="1:7" ht="23.4" x14ac:dyDescent="0.3">
      <c r="A8" s="50" t="s">
        <v>8</v>
      </c>
      <c r="B8" s="51"/>
      <c r="C8" s="51"/>
      <c r="D8" s="51"/>
      <c r="E8" s="51"/>
      <c r="F8" s="51"/>
      <c r="G8" s="52"/>
    </row>
    <row r="9" spans="1:7" ht="35.4" customHeight="1" x14ac:dyDescent="0.3">
      <c r="A9" s="3">
        <v>1.1000000000000001</v>
      </c>
      <c r="B9" s="4"/>
      <c r="C9" s="5" t="s">
        <v>31</v>
      </c>
      <c r="D9" s="7"/>
      <c r="E9" s="32"/>
      <c r="F9" s="22"/>
      <c r="G9" s="23">
        <f>SUM(G10:G11)</f>
        <v>11418000</v>
      </c>
    </row>
    <row r="10" spans="1:7" ht="88.2" customHeight="1" x14ac:dyDescent="0.3">
      <c r="A10" s="8"/>
      <c r="B10" s="6" t="s">
        <v>9</v>
      </c>
      <c r="C10" s="9" t="s">
        <v>36</v>
      </c>
      <c r="D10" s="2" t="s">
        <v>12</v>
      </c>
      <c r="E10" s="31">
        <v>220</v>
      </c>
      <c r="F10" s="20">
        <v>3900</v>
      </c>
      <c r="G10" s="21">
        <f t="shared" ref="G10:G11" si="0">+E10*F10</f>
        <v>858000</v>
      </c>
    </row>
    <row r="11" spans="1:7" ht="78.599999999999994" customHeight="1" x14ac:dyDescent="0.3">
      <c r="A11" s="8"/>
      <c r="B11" s="6" t="s">
        <v>10</v>
      </c>
      <c r="C11" s="9" t="s">
        <v>35</v>
      </c>
      <c r="D11" s="2" t="s">
        <v>12</v>
      </c>
      <c r="E11" s="31">
        <v>220</v>
      </c>
      <c r="F11" s="20">
        <v>48000</v>
      </c>
      <c r="G11" s="21">
        <f t="shared" si="0"/>
        <v>10560000</v>
      </c>
    </row>
    <row r="12" spans="1:7" ht="35.4" customHeight="1" x14ac:dyDescent="0.3">
      <c r="A12" s="15">
        <v>1.2</v>
      </c>
      <c r="B12" s="16"/>
      <c r="C12" s="17" t="s">
        <v>32</v>
      </c>
      <c r="D12" s="18"/>
      <c r="E12" s="33"/>
      <c r="F12" s="24"/>
      <c r="G12" s="25">
        <f>SUM(G13:G13)</f>
        <v>3630000</v>
      </c>
    </row>
    <row r="13" spans="1:7" ht="88.8" customHeight="1" x14ac:dyDescent="0.3">
      <c r="A13" s="10"/>
      <c r="B13" s="34" t="s">
        <v>11</v>
      </c>
      <c r="C13" s="11" t="s">
        <v>39</v>
      </c>
      <c r="D13" s="12" t="s">
        <v>12</v>
      </c>
      <c r="E13" s="31">
        <v>220</v>
      </c>
      <c r="F13" s="20">
        <v>16500</v>
      </c>
      <c r="G13" s="21">
        <f>+E13*F13</f>
        <v>3630000</v>
      </c>
    </row>
    <row r="14" spans="1:7" ht="55.2" customHeight="1" x14ac:dyDescent="0.3">
      <c r="A14" s="15">
        <v>1.3</v>
      </c>
      <c r="B14" s="16"/>
      <c r="C14" s="17" t="s">
        <v>14</v>
      </c>
      <c r="D14" s="18"/>
      <c r="E14" s="33"/>
      <c r="F14" s="24"/>
      <c r="G14" s="25">
        <f>G15</f>
        <v>320000</v>
      </c>
    </row>
    <row r="15" spans="1:7" ht="58.8" customHeight="1" x14ac:dyDescent="0.3">
      <c r="A15" s="10"/>
      <c r="B15" s="34" t="s">
        <v>13</v>
      </c>
      <c r="C15" s="11" t="s">
        <v>15</v>
      </c>
      <c r="D15" s="12" t="s">
        <v>16</v>
      </c>
      <c r="E15" s="31">
        <v>1</v>
      </c>
      <c r="F15" s="20">
        <v>320000</v>
      </c>
      <c r="G15" s="26">
        <f>F15*E15</f>
        <v>320000</v>
      </c>
    </row>
    <row r="16" spans="1:7" ht="39.6" customHeight="1" x14ac:dyDescent="0.3">
      <c r="A16" s="13"/>
      <c r="B16" s="13"/>
      <c r="C16" s="13"/>
      <c r="D16" s="13"/>
      <c r="E16" s="35" t="s">
        <v>17</v>
      </c>
      <c r="F16" s="35"/>
      <c r="G16" s="27">
        <f>G14+G12+G9</f>
        <v>15368000</v>
      </c>
    </row>
    <row r="17" spans="1:7" ht="17.399999999999999" x14ac:dyDescent="0.3">
      <c r="A17" s="13"/>
      <c r="B17" s="13"/>
      <c r="C17" s="13"/>
      <c r="D17" s="13"/>
      <c r="E17" s="14" t="s">
        <v>18</v>
      </c>
      <c r="F17" s="19">
        <v>0.08</v>
      </c>
      <c r="G17" s="28">
        <f>+$G$16*F17</f>
        <v>1229440</v>
      </c>
    </row>
    <row r="18" spans="1:7" ht="17.399999999999999" x14ac:dyDescent="0.3">
      <c r="A18" s="13"/>
      <c r="B18" s="13"/>
      <c r="C18" s="13"/>
      <c r="D18" s="13"/>
      <c r="E18" s="14" t="s">
        <v>19</v>
      </c>
      <c r="F18" s="19">
        <v>0.05</v>
      </c>
      <c r="G18" s="28">
        <f t="shared" ref="G18:G19" si="1">+$G$16*F18</f>
        <v>768400</v>
      </c>
    </row>
    <row r="19" spans="1:7" ht="19.95" customHeight="1" x14ac:dyDescent="0.3">
      <c r="A19" s="13"/>
      <c r="B19" s="13"/>
      <c r="C19" s="13"/>
      <c r="D19" s="13"/>
      <c r="E19" s="14" t="s">
        <v>20</v>
      </c>
      <c r="F19" s="19">
        <v>0.05</v>
      </c>
      <c r="G19" s="28">
        <f t="shared" si="1"/>
        <v>768400</v>
      </c>
    </row>
    <row r="20" spans="1:7" ht="19.95" customHeight="1" x14ac:dyDescent="0.3">
      <c r="A20" s="13"/>
      <c r="B20" s="13"/>
      <c r="C20" s="13"/>
      <c r="D20" s="13"/>
      <c r="E20" s="14" t="s">
        <v>21</v>
      </c>
      <c r="F20" s="19">
        <v>0.19</v>
      </c>
      <c r="G20" s="28">
        <f>+G19*F20</f>
        <v>145996</v>
      </c>
    </row>
    <row r="21" spans="1:7" ht="19.95" customHeight="1" x14ac:dyDescent="0.3">
      <c r="A21" s="13"/>
      <c r="B21" s="13"/>
      <c r="C21" s="13"/>
      <c r="D21" s="13"/>
      <c r="E21" s="36" t="s">
        <v>22</v>
      </c>
      <c r="F21" s="37"/>
      <c r="G21" s="29">
        <f>+G17+G18+G19+G20</f>
        <v>2912236</v>
      </c>
    </row>
    <row r="22" spans="1:7" ht="19.95" customHeight="1" x14ac:dyDescent="0.3">
      <c r="A22" s="13"/>
      <c r="B22" s="13"/>
      <c r="C22" s="13"/>
      <c r="D22" s="13"/>
      <c r="E22" s="38" t="s">
        <v>23</v>
      </c>
      <c r="F22" s="39"/>
      <c r="G22" s="30">
        <f>+G16+G21</f>
        <v>18280236</v>
      </c>
    </row>
    <row r="23" spans="1:7" ht="19.95" customHeight="1" x14ac:dyDescent="0.3"/>
    <row r="24" spans="1:7" ht="19.95" customHeight="1" x14ac:dyDescent="0.3"/>
    <row r="25" spans="1:7" ht="19.95" customHeight="1" x14ac:dyDescent="0.3"/>
  </sheetData>
  <mergeCells count="10">
    <mergeCell ref="A6:G6"/>
    <mergeCell ref="A8:G8"/>
    <mergeCell ref="A1:G1"/>
    <mergeCell ref="A2:G2"/>
    <mergeCell ref="A3:B3"/>
    <mergeCell ref="F3:G5"/>
    <mergeCell ref="A4:B4"/>
    <mergeCell ref="D4:E4"/>
    <mergeCell ref="A5:B5"/>
    <mergeCell ref="D5:E5"/>
  </mergeCells>
  <pageMargins left="0.70866141732283472" right="0.70866141732283472" top="0.74803149606299213" bottom="0.74803149606299213" header="0.31496062992125984" footer="0.31496062992125984"/>
  <pageSetup paperSize="9" scale="65" orientation="landscape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06E7D6-464F-4FFD-8771-DBD0E3D15CF3}">
  <dimension ref="A1:G24"/>
  <sheetViews>
    <sheetView topLeftCell="A15" zoomScale="59" zoomScaleNormal="59" workbookViewId="0">
      <selection activeCell="G21" sqref="A1:G21"/>
    </sheetView>
  </sheetViews>
  <sheetFormatPr baseColWidth="10" defaultColWidth="12.33203125" defaultRowHeight="14.4" x14ac:dyDescent="0.3"/>
  <cols>
    <col min="1" max="1" width="11.5546875" style="1" customWidth="1"/>
    <col min="2" max="2" width="12" style="1" bestFit="1" customWidth="1"/>
    <col min="3" max="3" width="95.44140625" style="1" customWidth="1"/>
    <col min="4" max="4" width="25" style="1" customWidth="1"/>
    <col min="5" max="5" width="25.109375" style="1" bestFit="1" customWidth="1"/>
    <col min="6" max="6" width="22.33203125" style="1" bestFit="1" customWidth="1"/>
    <col min="7" max="7" width="28.88671875" style="1" customWidth="1"/>
    <col min="8" max="16384" width="12.33203125" style="1"/>
  </cols>
  <sheetData>
    <row r="1" spans="1:7" ht="27.6" x14ac:dyDescent="0.3">
      <c r="A1" s="53" t="s">
        <v>34</v>
      </c>
      <c r="B1" s="54"/>
      <c r="C1" s="54"/>
      <c r="D1" s="54"/>
      <c r="E1" s="54"/>
      <c r="F1" s="54"/>
      <c r="G1" s="55"/>
    </row>
    <row r="2" spans="1:7" ht="33.6" customHeight="1" x14ac:dyDescent="0.3">
      <c r="A2" s="56" t="s">
        <v>0</v>
      </c>
      <c r="B2" s="57"/>
      <c r="C2" s="57"/>
      <c r="D2" s="57"/>
      <c r="E2" s="57"/>
      <c r="F2" s="57"/>
      <c r="G2" s="58"/>
    </row>
    <row r="3" spans="1:7" ht="39.6" customHeight="1" x14ac:dyDescent="0.3">
      <c r="A3" s="59" t="s">
        <v>25</v>
      </c>
      <c r="B3" s="60"/>
      <c r="C3" s="40" t="s">
        <v>24</v>
      </c>
      <c r="D3" s="44" t="s">
        <v>30</v>
      </c>
      <c r="E3" s="44" t="s">
        <v>33</v>
      </c>
      <c r="F3" s="61" t="e" vm="1">
        <v>#VALUE!</v>
      </c>
      <c r="G3" s="62"/>
    </row>
    <row r="4" spans="1:7" ht="52.2" customHeight="1" x14ac:dyDescent="0.3">
      <c r="A4" s="59" t="s">
        <v>26</v>
      </c>
      <c r="B4" s="60"/>
      <c r="C4" s="41" t="s">
        <v>28</v>
      </c>
      <c r="D4" s="56" t="s">
        <v>38</v>
      </c>
      <c r="E4" s="58"/>
      <c r="F4" s="63"/>
      <c r="G4" s="64"/>
    </row>
    <row r="5" spans="1:7" ht="36.6" customHeight="1" x14ac:dyDescent="0.3">
      <c r="A5" s="45" t="s">
        <v>27</v>
      </c>
      <c r="B5" s="46"/>
      <c r="C5" s="40" t="s">
        <v>29</v>
      </c>
      <c r="D5" s="67" t="s">
        <v>37</v>
      </c>
      <c r="E5" s="68"/>
      <c r="F5" s="65"/>
      <c r="G5" s="66"/>
    </row>
    <row r="6" spans="1:7" x14ac:dyDescent="0.3">
      <c r="A6" s="47"/>
      <c r="B6" s="48"/>
      <c r="C6" s="48"/>
      <c r="D6" s="48"/>
      <c r="E6" s="48"/>
      <c r="F6" s="48"/>
      <c r="G6" s="49"/>
    </row>
    <row r="7" spans="1:7" ht="34.799999999999997" x14ac:dyDescent="0.3">
      <c r="A7" s="42" t="s">
        <v>1</v>
      </c>
      <c r="B7" s="43" t="s">
        <v>2</v>
      </c>
      <c r="C7" s="43" t="s">
        <v>3</v>
      </c>
      <c r="D7" s="43" t="s">
        <v>4</v>
      </c>
      <c r="E7" s="42" t="s">
        <v>5</v>
      </c>
      <c r="F7" s="43" t="s">
        <v>6</v>
      </c>
      <c r="G7" s="42" t="s">
        <v>7</v>
      </c>
    </row>
    <row r="8" spans="1:7" ht="23.4" x14ac:dyDescent="0.3">
      <c r="A8" s="50" t="s">
        <v>8</v>
      </c>
      <c r="B8" s="51"/>
      <c r="C8" s="51"/>
      <c r="D8" s="51"/>
      <c r="E8" s="51"/>
      <c r="F8" s="51"/>
      <c r="G8" s="52"/>
    </row>
    <row r="9" spans="1:7" ht="35.4" customHeight="1" x14ac:dyDescent="0.3">
      <c r="A9" s="3">
        <v>1.1000000000000001</v>
      </c>
      <c r="B9" s="4"/>
      <c r="C9" s="5" t="s">
        <v>31</v>
      </c>
      <c r="D9" s="7"/>
      <c r="E9" s="32"/>
      <c r="F9" s="22"/>
      <c r="G9" s="23">
        <f>SUM(G10:G10)</f>
        <v>721500</v>
      </c>
    </row>
    <row r="10" spans="1:7" ht="88.2" customHeight="1" x14ac:dyDescent="0.3">
      <c r="A10" s="8"/>
      <c r="B10" s="6" t="s">
        <v>9</v>
      </c>
      <c r="C10" s="9" t="s">
        <v>36</v>
      </c>
      <c r="D10" s="2" t="s">
        <v>12</v>
      </c>
      <c r="E10" s="31">
        <v>185</v>
      </c>
      <c r="F10" s="20">
        <v>3900</v>
      </c>
      <c r="G10" s="21">
        <f t="shared" ref="G10" si="0">+E10*F10</f>
        <v>721500</v>
      </c>
    </row>
    <row r="11" spans="1:7" ht="35.4" customHeight="1" x14ac:dyDescent="0.3">
      <c r="A11" s="15">
        <v>1.2</v>
      </c>
      <c r="B11" s="16"/>
      <c r="C11" s="17" t="s">
        <v>40</v>
      </c>
      <c r="D11" s="18"/>
      <c r="E11" s="33"/>
      <c r="F11" s="24"/>
      <c r="G11" s="25">
        <f>SUM(G12:G12)</f>
        <v>4255000</v>
      </c>
    </row>
    <row r="12" spans="1:7" ht="88.8" customHeight="1" x14ac:dyDescent="0.3">
      <c r="A12" s="10"/>
      <c r="B12" s="34" t="s">
        <v>11</v>
      </c>
      <c r="C12" s="11" t="s">
        <v>41</v>
      </c>
      <c r="D12" s="12" t="s">
        <v>12</v>
      </c>
      <c r="E12" s="31">
        <v>185</v>
      </c>
      <c r="F12" s="20">
        <v>23000</v>
      </c>
      <c r="G12" s="21">
        <f>+E12*F12</f>
        <v>4255000</v>
      </c>
    </row>
    <row r="13" spans="1:7" ht="55.2" customHeight="1" x14ac:dyDescent="0.3">
      <c r="A13" s="15">
        <v>1.3</v>
      </c>
      <c r="B13" s="16"/>
      <c r="C13" s="17" t="s">
        <v>14</v>
      </c>
      <c r="D13" s="18"/>
      <c r="E13" s="33"/>
      <c r="F13" s="24"/>
      <c r="G13" s="25">
        <f>G14</f>
        <v>320000</v>
      </c>
    </row>
    <row r="14" spans="1:7" ht="58.8" customHeight="1" x14ac:dyDescent="0.3">
      <c r="A14" s="10"/>
      <c r="B14" s="34" t="s">
        <v>13</v>
      </c>
      <c r="C14" s="11" t="s">
        <v>15</v>
      </c>
      <c r="D14" s="12" t="s">
        <v>16</v>
      </c>
      <c r="E14" s="31">
        <v>1</v>
      </c>
      <c r="F14" s="20">
        <v>320000</v>
      </c>
      <c r="G14" s="26">
        <f>F14*E14</f>
        <v>320000</v>
      </c>
    </row>
    <row r="15" spans="1:7" ht="39.6" customHeight="1" x14ac:dyDescent="0.3">
      <c r="A15" s="13"/>
      <c r="B15" s="13"/>
      <c r="C15" s="13"/>
      <c r="D15" s="13"/>
      <c r="E15" s="35" t="s">
        <v>17</v>
      </c>
      <c r="F15" s="35"/>
      <c r="G15" s="27">
        <f>G13+G11+G9</f>
        <v>5296500</v>
      </c>
    </row>
    <row r="16" spans="1:7" ht="17.399999999999999" x14ac:dyDescent="0.3">
      <c r="A16" s="13"/>
      <c r="B16" s="13"/>
      <c r="C16" s="13"/>
      <c r="D16" s="13"/>
      <c r="E16" s="14" t="s">
        <v>18</v>
      </c>
      <c r="F16" s="19">
        <v>0.08</v>
      </c>
      <c r="G16" s="28">
        <f>+$G$15*F16</f>
        <v>423720</v>
      </c>
    </row>
    <row r="17" spans="1:7" ht="17.399999999999999" x14ac:dyDescent="0.3">
      <c r="A17" s="13"/>
      <c r="B17" s="13"/>
      <c r="C17" s="13"/>
      <c r="D17" s="13"/>
      <c r="E17" s="14" t="s">
        <v>19</v>
      </c>
      <c r="F17" s="19">
        <v>0.05</v>
      </c>
      <c r="G17" s="28">
        <f t="shared" ref="G17:G18" si="1">+$G$15*F17</f>
        <v>264825</v>
      </c>
    </row>
    <row r="18" spans="1:7" ht="19.95" customHeight="1" x14ac:dyDescent="0.3">
      <c r="A18" s="13"/>
      <c r="B18" s="13"/>
      <c r="C18" s="13"/>
      <c r="D18" s="13"/>
      <c r="E18" s="14" t="s">
        <v>20</v>
      </c>
      <c r="F18" s="19">
        <v>0.05</v>
      </c>
      <c r="G18" s="28">
        <f t="shared" si="1"/>
        <v>264825</v>
      </c>
    </row>
    <row r="19" spans="1:7" ht="19.95" customHeight="1" x14ac:dyDescent="0.3">
      <c r="A19" s="13"/>
      <c r="B19" s="13"/>
      <c r="C19" s="13"/>
      <c r="D19" s="13"/>
      <c r="E19" s="14" t="s">
        <v>21</v>
      </c>
      <c r="F19" s="19">
        <v>0.19</v>
      </c>
      <c r="G19" s="28">
        <f>+G18*F19</f>
        <v>50316.75</v>
      </c>
    </row>
    <row r="20" spans="1:7" ht="19.95" customHeight="1" x14ac:dyDescent="0.3">
      <c r="A20" s="13"/>
      <c r="B20" s="13"/>
      <c r="C20" s="13"/>
      <c r="D20" s="13"/>
      <c r="E20" s="36" t="s">
        <v>22</v>
      </c>
      <c r="F20" s="37"/>
      <c r="G20" s="29">
        <f>+G16+G17+G18+G19</f>
        <v>1003686.75</v>
      </c>
    </row>
    <row r="21" spans="1:7" ht="19.95" customHeight="1" x14ac:dyDescent="0.3">
      <c r="A21" s="13"/>
      <c r="B21" s="13"/>
      <c r="C21" s="13"/>
      <c r="D21" s="13"/>
      <c r="E21" s="38" t="s">
        <v>23</v>
      </c>
      <c r="F21" s="39"/>
      <c r="G21" s="30">
        <f>+G15+G20</f>
        <v>6300186.75</v>
      </c>
    </row>
    <row r="22" spans="1:7" ht="19.95" customHeight="1" x14ac:dyDescent="0.3"/>
    <row r="23" spans="1:7" ht="19.95" customHeight="1" x14ac:dyDescent="0.3"/>
    <row r="24" spans="1:7" ht="19.95" customHeight="1" x14ac:dyDescent="0.3"/>
  </sheetData>
  <mergeCells count="10">
    <mergeCell ref="A1:G1"/>
    <mergeCell ref="A2:G2"/>
    <mergeCell ref="A4:B4"/>
    <mergeCell ref="F3:G5"/>
    <mergeCell ref="A3:B3"/>
    <mergeCell ref="D4:E4"/>
    <mergeCell ref="A5:B5"/>
    <mergeCell ref="A6:G6"/>
    <mergeCell ref="A8:G8"/>
    <mergeCell ref="D5:E5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65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formato present oferta (2)</vt:lpstr>
      <vt:lpstr>formato present oferta</vt:lpstr>
      <vt:lpstr>'formato present oferta'!Área_de_impresión</vt:lpstr>
      <vt:lpstr>'formato present oferta (2)'!Área_de_impresión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hp</dc:creator>
  <cp:keywords/>
  <dc:description/>
  <cp:lastModifiedBy>Renso Montoya Upegui</cp:lastModifiedBy>
  <cp:revision/>
  <dcterms:created xsi:type="dcterms:W3CDTF">2024-02-08T21:06:52Z</dcterms:created>
  <dcterms:modified xsi:type="dcterms:W3CDTF">2024-08-23T17:40:30Z</dcterms:modified>
  <cp:category/>
  <cp:contentStatus/>
</cp:coreProperties>
</file>