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5A50B51C-6C6C-452F-81C5-438E54A1426E}" xr6:coauthVersionLast="47" xr6:coauthVersionMax="47" xr10:uidLastSave="{00000000-0000-0000-0000-000000000000}"/>
  <bookViews>
    <workbookView xWindow="-108" yWindow="-108" windowWidth="23256" windowHeight="12456" tabRatio="877" xr2:uid="{60BD9DA3-9111-42AF-A358-02C5C4A14058}"/>
  </bookViews>
  <sheets>
    <sheet name="RESUMEN CANTIDADES" sheetId="28" r:id="rId1"/>
    <sheet name="CANTIDAD DE OBRA" sheetId="8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8" l="1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7" i="28"/>
  <c r="D12" i="28"/>
  <c r="D13" i="28"/>
  <c r="D11" i="28"/>
  <c r="D10" i="28"/>
  <c r="G22" i="8"/>
  <c r="O22" i="8" s="1"/>
  <c r="G21" i="8"/>
  <c r="O21" i="8"/>
  <c r="G20" i="8"/>
  <c r="O20" i="8"/>
  <c r="G19" i="8"/>
  <c r="O19" i="8"/>
  <c r="E18" i="8"/>
  <c r="G18" i="8" s="1"/>
  <c r="O18" i="8" s="1"/>
  <c r="G17" i="8"/>
  <c r="O17" i="8" s="1"/>
  <c r="G16" i="8"/>
  <c r="O16" i="8"/>
  <c r="G73" i="8"/>
  <c r="G72" i="8"/>
  <c r="O72" i="8"/>
  <c r="G71" i="8"/>
  <c r="O71" i="8" s="1"/>
  <c r="M69" i="8"/>
  <c r="L69" i="8"/>
  <c r="K69" i="8"/>
  <c r="G70" i="8"/>
  <c r="O70" i="8" s="1"/>
  <c r="G69" i="8"/>
  <c r="G68" i="8"/>
  <c r="O68" i="8" s="1"/>
  <c r="G67" i="8"/>
  <c r="O67" i="8" s="1"/>
  <c r="G63" i="8"/>
  <c r="G64" i="8"/>
  <c r="G65" i="8"/>
  <c r="O65" i="8" s="1"/>
  <c r="G66" i="8"/>
  <c r="G62" i="8"/>
  <c r="M66" i="8"/>
  <c r="L66" i="8"/>
  <c r="K66" i="8"/>
  <c r="M63" i="8"/>
  <c r="L63" i="8"/>
  <c r="K63" i="8"/>
  <c r="G58" i="8"/>
  <c r="O58" i="8" s="1"/>
  <c r="G55" i="8"/>
  <c r="O55" i="8" s="1"/>
  <c r="G56" i="8"/>
  <c r="O56" i="8" s="1"/>
  <c r="G57" i="8"/>
  <c r="O57" i="8" s="1"/>
  <c r="G54" i="8"/>
  <c r="O54" i="8" s="1"/>
  <c r="G53" i="8"/>
  <c r="O53" i="8" s="1"/>
  <c r="G52" i="8"/>
  <c r="O52" i="8" s="1"/>
  <c r="G51" i="8"/>
  <c r="O51" i="8" s="1"/>
  <c r="G50" i="8"/>
  <c r="O50" i="8" s="1"/>
  <c r="G49" i="8"/>
  <c r="O49" i="8" s="1"/>
  <c r="G48" i="8"/>
  <c r="O48" i="8" s="1"/>
  <c r="G47" i="8"/>
  <c r="O47" i="8" s="1"/>
  <c r="G46" i="8"/>
  <c r="O46" i="8" s="1"/>
  <c r="G42" i="8"/>
  <c r="O42" i="8" s="1"/>
  <c r="G36" i="8"/>
  <c r="O36" i="8" s="1"/>
  <c r="M60" i="8"/>
  <c r="G45" i="8"/>
  <c r="O45" i="8" s="1"/>
  <c r="G44" i="8"/>
  <c r="O44" i="8" s="1"/>
  <c r="G43" i="8"/>
  <c r="O43" i="8" s="1"/>
  <c r="G41" i="8"/>
  <c r="O41" i="8" s="1"/>
  <c r="G40" i="8"/>
  <c r="O40" i="8" s="1"/>
  <c r="G39" i="8"/>
  <c r="O39" i="8" s="1"/>
  <c r="G38" i="8"/>
  <c r="O38" i="8" s="1"/>
  <c r="G37" i="8"/>
  <c r="O37" i="8" s="1"/>
  <c r="L60" i="8"/>
  <c r="G35" i="8"/>
  <c r="O35" i="8" s="1"/>
  <c r="M28" i="8"/>
  <c r="L28" i="8"/>
  <c r="K28" i="8"/>
  <c r="M29" i="8"/>
  <c r="L29" i="8"/>
  <c r="K29" i="8"/>
  <c r="M27" i="8"/>
  <c r="L27" i="8"/>
  <c r="K27" i="8"/>
  <c r="E28" i="8"/>
  <c r="G28" i="8" s="1"/>
  <c r="E29" i="8"/>
  <c r="G29" i="8" s="1"/>
  <c r="E27" i="8"/>
  <c r="G27" i="8" s="1"/>
  <c r="G30" i="8"/>
  <c r="M12" i="8"/>
  <c r="M11" i="8"/>
  <c r="M6" i="8"/>
  <c r="G15" i="8"/>
  <c r="O15" i="8" s="1"/>
  <c r="G14" i="8"/>
  <c r="O14" i="8" s="1"/>
  <c r="K12" i="8"/>
  <c r="L12" i="8"/>
  <c r="L11" i="8"/>
  <c r="K11" i="8"/>
  <c r="G10" i="8"/>
  <c r="O10" i="8" s="1"/>
  <c r="G11" i="8"/>
  <c r="E9" i="8"/>
  <c r="G9" i="8" s="1"/>
  <c r="E7" i="8"/>
  <c r="G7" i="8" s="1"/>
  <c r="O7" i="8" s="1"/>
  <c r="G8" i="8"/>
  <c r="E6" i="8"/>
  <c r="O63" i="8" l="1"/>
  <c r="O69" i="8"/>
  <c r="G75" i="8"/>
  <c r="O73" i="8"/>
  <c r="L75" i="8"/>
  <c r="O66" i="8"/>
  <c r="G60" i="8"/>
  <c r="O60" i="8"/>
  <c r="M24" i="8"/>
  <c r="M75" i="8"/>
  <c r="O64" i="8"/>
  <c r="O62" i="8"/>
  <c r="O27" i="8"/>
  <c r="O28" i="8"/>
  <c r="O11" i="8"/>
  <c r="O75" i="8" l="1"/>
  <c r="O30" i="8" l="1"/>
  <c r="O31" i="8"/>
  <c r="O29" i="8"/>
  <c r="G13" i="8"/>
  <c r="K6" i="8"/>
  <c r="G6" i="8"/>
  <c r="G33" i="8" l="1"/>
  <c r="O33" i="8"/>
  <c r="M33" i="8"/>
  <c r="O9" i="8"/>
  <c r="O6" i="8"/>
  <c r="O13" i="8"/>
  <c r="O8" i="8" l="1"/>
  <c r="L6" i="8"/>
  <c r="L24" i="8" s="1"/>
  <c r="L33" i="8" s="1"/>
  <c r="G5" i="8" l="1"/>
  <c r="O5" i="8" l="1"/>
  <c r="O24" i="8" s="1"/>
  <c r="G24" i="8"/>
  <c r="F22" i="28" l="1"/>
</calcChain>
</file>

<file path=xl/sharedStrings.xml><?xml version="1.0" encoding="utf-8"?>
<sst xmlns="http://schemas.openxmlformats.org/spreadsheetml/2006/main" count="140" uniqueCount="80">
  <si>
    <t>Descripción</t>
  </si>
  <si>
    <t>Und</t>
  </si>
  <si>
    <t>Cant.</t>
  </si>
  <si>
    <t>M2</t>
  </si>
  <si>
    <t>ML</t>
  </si>
  <si>
    <t>FACHADA</t>
  </si>
  <si>
    <t>DIMENSIONES</t>
  </si>
  <si>
    <t>DESCUENTOS</t>
  </si>
  <si>
    <t>SECCIÓN</t>
  </si>
  <si>
    <t>DESCRIPCIÓN</t>
  </si>
  <si>
    <t>ALTO</t>
  </si>
  <si>
    <t>ANCHO</t>
  </si>
  <si>
    <t>TOTAL
(M2)</t>
  </si>
  <si>
    <t>CANTIDAD</t>
  </si>
  <si>
    <t>CARTERAS
(ML)</t>
  </si>
  <si>
    <t>ÁREA TOTAL</t>
  </si>
  <si>
    <t>Muro con ventana</t>
  </si>
  <si>
    <t>TOTAL M2 SIN DESCUENTOS</t>
  </si>
  <si>
    <t>TOTAL M2 CON DESCUENTOS</t>
  </si>
  <si>
    <t>BLOQUE</t>
  </si>
  <si>
    <t>DILATACIÓN
(ML)</t>
  </si>
  <si>
    <t>ALFAJÍAS
(ML)</t>
  </si>
  <si>
    <t xml:space="preserve">ITEM </t>
  </si>
  <si>
    <t>Presupuesto oficial</t>
  </si>
  <si>
    <t>Vr. Unitario</t>
  </si>
  <si>
    <t>Vr. Total</t>
  </si>
  <si>
    <t>1.1</t>
  </si>
  <si>
    <t>INSTALACIÓN DE DEMARCACIÓN SEÑALETICA</t>
  </si>
  <si>
    <t>GLB</t>
  </si>
  <si>
    <t>1.2</t>
  </si>
  <si>
    <t>1.3</t>
  </si>
  <si>
    <t>LAVADO Y LIMPIEZA DE SUPERFICIE DE FACHADAS</t>
  </si>
  <si>
    <t>1.4</t>
  </si>
  <si>
    <t>1.5</t>
  </si>
  <si>
    <t>REPARACIÓN DE TEXTURAS SUELTAS (RESANES)</t>
  </si>
  <si>
    <t>1.6</t>
  </si>
  <si>
    <t>1.7</t>
  </si>
  <si>
    <t>SELLO DE VENTANERIA</t>
  </si>
  <si>
    <t>1.8</t>
  </si>
  <si>
    <t>SUMINISTRO Y APLICACIÓN DE PINTURA KORAZA PRO 550 EN FACHADAS EXTERNAS</t>
  </si>
  <si>
    <t>1.9</t>
  </si>
  <si>
    <t>1.10</t>
  </si>
  <si>
    <t>1.11</t>
  </si>
  <si>
    <t>1.12</t>
  </si>
  <si>
    <t>1.13</t>
  </si>
  <si>
    <t>ASEO GENERAL</t>
  </si>
  <si>
    <t>SUBTOTAL GENERAL</t>
  </si>
  <si>
    <t>LIMPIEZA DE SUPERFICIE INTERIOR DE PASILLOS</t>
  </si>
  <si>
    <t>SUMINISTRO Y APLICACIÓN DE PINTURA ICOLATEX EN CIELO RASOS INTERNOS</t>
  </si>
  <si>
    <t>CAMPAMENTO</t>
  </si>
  <si>
    <t>DEMOLICIÓN Y REPOSICIÓN DE REVOQUE EN MAL ESTADO</t>
  </si>
  <si>
    <t>SUMINISTRO Y APLICACIÓN DE PINTURA KORAZA PRO 550 EN ALFAJÍAS DE CONCRETO</t>
  </si>
  <si>
    <t>EXTERIOR</t>
  </si>
  <si>
    <t>Muro con acabado</t>
  </si>
  <si>
    <t>3.1</t>
  </si>
  <si>
    <t>4.1</t>
  </si>
  <si>
    <t>Ant.</t>
  </si>
  <si>
    <t>Balcón</t>
  </si>
  <si>
    <t>PATIO INTERIOR</t>
  </si>
  <si>
    <t>PARQUEADERO</t>
  </si>
  <si>
    <t xml:space="preserve">Tableta </t>
  </si>
  <si>
    <t>Blanco</t>
  </si>
  <si>
    <t>Columnas blancas|</t>
  </si>
  <si>
    <t>EDIFICIO ALTO DE LAURELES</t>
  </si>
  <si>
    <t>ALTO DE LAURELES</t>
  </si>
  <si>
    <t>Pasillo</t>
  </si>
  <si>
    <t>Gualderas</t>
  </si>
  <si>
    <t>Cielo raso escalera</t>
  </si>
  <si>
    <t>Cielo acceso</t>
  </si>
  <si>
    <t>PASILLOS</t>
  </si>
  <si>
    <t>INSTALACIÓN DE PROTECCIÓN Y PASARELAS CUBIERTA</t>
  </si>
  <si>
    <t xml:space="preserve">Culata </t>
  </si>
  <si>
    <t>Muro patio</t>
  </si>
  <si>
    <t>Vigas aéreas</t>
  </si>
  <si>
    <t>SUMINISTRO Y APLICACIÓN DE HIDROFUGO SOBRE SUPERFICIE DE TABLETA</t>
  </si>
  <si>
    <t>1.14</t>
  </si>
  <si>
    <t>SUMINISTRO Y APLICACIÓN DE PINTULUX MÁXIMA PROTECCIÓN EN SUPERFICIE DE BARANDAS INTERNAS Y EXTERNAS</t>
  </si>
  <si>
    <t>1.15</t>
  </si>
  <si>
    <t>SUMINISTRO Y APLICACIÓN DE PINTURA VINILTEX ADVANCE</t>
  </si>
  <si>
    <r>
      <t xml:space="preserve">NOTA: </t>
    </r>
    <r>
      <rPr>
        <sz val="11"/>
        <color theme="1"/>
        <rFont val="Swis721 BT"/>
        <family val="2"/>
      </rPr>
      <t>Las puertas y ventanas del edificio no se van a pintar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</si>
</sst>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wis721 BT"/>
      <family val="2"/>
    </font>
    <font>
      <b/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20"/>
      <color theme="0"/>
      <name val="Swis721 BT"/>
      <family val="2"/>
    </font>
    <font>
      <sz val="8"/>
      <name val="Calibri"/>
      <family val="2"/>
      <scheme val="minor"/>
    </font>
    <font>
      <sz val="11"/>
      <color theme="0"/>
      <name val="Swis721 BT"/>
      <family val="2"/>
    </font>
    <font>
      <b/>
      <sz val="11"/>
      <color rgb="FFC00000"/>
      <name val="Swis721 BT"/>
      <family val="2"/>
    </font>
    <font>
      <sz val="11"/>
      <color rgb="FF0070C0"/>
      <name val="Swis721 BT"/>
      <family val="2"/>
    </font>
    <font>
      <b/>
      <sz val="11"/>
      <color rgb="FF0070C0"/>
      <name val="Swis721 BT"/>
      <family val="2"/>
    </font>
    <font>
      <sz val="11"/>
      <color rgb="FFC00000"/>
      <name val="Swis721 BT"/>
      <family val="2"/>
    </font>
    <font>
      <b/>
      <sz val="11"/>
      <color rgb="FF000000"/>
      <name val="Swis721 BT"/>
      <family val="2"/>
    </font>
    <font>
      <sz val="11"/>
      <color rgb="FF000000"/>
      <name val="Swis721 BT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7C9D2"/>
        <bgColor indexed="64"/>
      </patternFill>
    </fill>
    <fill>
      <patternFill patternType="solid">
        <fgColor rgb="FF447684"/>
        <bgColor indexed="64"/>
      </patternFill>
    </fill>
    <fill>
      <patternFill patternType="solid">
        <fgColor rgb="FF64A0B0"/>
        <bgColor indexed="64"/>
      </patternFill>
    </fill>
    <fill>
      <patternFill patternType="solid">
        <fgColor rgb="FFFCC7AA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2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vertical="center"/>
    </xf>
    <xf numFmtId="2" fontId="5" fillId="6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2" fontId="12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right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2" borderId="3" xfId="1" applyNumberFormat="1" applyFont="1" applyFill="1" applyBorder="1" applyAlignment="1">
      <alignment horizontal="center" vertical="center"/>
    </xf>
    <xf numFmtId="164" fontId="3" fillId="2" borderId="20" xfId="1" applyNumberFormat="1" applyFont="1" applyFill="1" applyBorder="1" applyAlignment="1">
      <alignment horizontal="center" vertical="center"/>
    </xf>
    <xf numFmtId="164" fontId="3" fillId="2" borderId="20" xfId="1" applyNumberFormat="1" applyFont="1" applyFill="1" applyBorder="1" applyAlignment="1">
      <alignment vertical="center"/>
    </xf>
    <xf numFmtId="0" fontId="3" fillId="0" borderId="2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2" xfId="1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2" borderId="6" xfId="1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vertical="center"/>
    </xf>
    <xf numFmtId="0" fontId="14" fillId="3" borderId="23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42" fontId="5" fillId="5" borderId="16" xfId="3" applyFont="1" applyFill="1" applyBorder="1" applyAlignment="1">
      <alignment vertical="center"/>
    </xf>
    <xf numFmtId="0" fontId="4" fillId="4" borderId="17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2" fontId="9" fillId="0" borderId="20" xfId="1" applyNumberFormat="1" applyFont="1" applyFill="1" applyBorder="1" applyAlignment="1">
      <alignment horizontal="center" vertical="center"/>
    </xf>
    <xf numFmtId="2" fontId="9" fillId="0" borderId="1" xfId="1" applyNumberFormat="1" applyFont="1" applyFill="1" applyBorder="1" applyAlignment="1">
      <alignment horizontal="center" vertical="center"/>
    </xf>
    <xf numFmtId="42" fontId="13" fillId="3" borderId="24" xfId="3" applyFont="1" applyFill="1" applyBorder="1" applyAlignment="1">
      <alignment vertical="center"/>
    </xf>
    <xf numFmtId="16" fontId="3" fillId="0" borderId="0" xfId="0" applyNumberFormat="1" applyFont="1" applyAlignment="1">
      <alignment horizontal="center" vertical="center"/>
    </xf>
    <xf numFmtId="2" fontId="0" fillId="0" borderId="0" xfId="0" applyNumberFormat="1"/>
    <xf numFmtId="0" fontId="8" fillId="5" borderId="7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14" fontId="5" fillId="5" borderId="10" xfId="0" applyNumberFormat="1" applyFont="1" applyFill="1" applyBorder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 wrapText="1"/>
    </xf>
    <xf numFmtId="14" fontId="5" fillId="5" borderId="11" xfId="0" applyNumberFormat="1" applyFont="1" applyFill="1" applyBorder="1" applyAlignment="1">
      <alignment horizontal="center" vertical="center" wrapText="1"/>
    </xf>
    <xf numFmtId="14" fontId="5" fillId="5" borderId="13" xfId="0" applyNumberFormat="1" applyFont="1" applyFill="1" applyBorder="1" applyAlignment="1">
      <alignment horizontal="center" vertical="center" wrapText="1"/>
    </xf>
    <xf numFmtId="14" fontId="5" fillId="5" borderId="14" xfId="0" applyNumberFormat="1" applyFont="1" applyFill="1" applyBorder="1" applyAlignment="1">
      <alignment horizontal="center" vertical="center" wrapText="1"/>
    </xf>
    <xf numFmtId="14" fontId="5" fillId="5" borderId="15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left" vertical="center" indent="3"/>
    </xf>
    <xf numFmtId="0" fontId="5" fillId="6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4">
    <cellStyle name="Moneda" xfId="1" builtinId="4"/>
    <cellStyle name="Moneda [0]" xfId="3" builtinId="7"/>
    <cellStyle name="Normal" xfId="0" builtinId="0"/>
    <cellStyle name="Normal 2 2 2" xfId="2" xr:uid="{1BF34763-C28E-44DF-80EC-FA479598B3B6}"/>
  </cellStyles>
  <dxfs count="0"/>
  <tableStyles count="0" defaultTableStyle="TableStyleMedium2" defaultPivotStyle="PivotStyleLight16"/>
  <colors>
    <mruColors>
      <color rgb="FF64A0B0"/>
      <color rgb="FFFF7B89"/>
      <color rgb="FFA7C9D2"/>
      <color rgb="FF447684"/>
      <color rgb="FFFCC7AA"/>
      <color rgb="FFEEEBEE"/>
      <color rgb="FFA78FA8"/>
      <color rgb="FFFFA86D"/>
      <color rgb="FFFA9760"/>
      <color rgb="FFF4C5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9817-1537-4AD3-8D49-6659558A20BB}">
  <dimension ref="A2:G25"/>
  <sheetViews>
    <sheetView tabSelected="1" topLeftCell="A10" zoomScale="90" zoomScaleNormal="90" workbookViewId="0">
      <selection activeCell="E22" sqref="E22"/>
    </sheetView>
  </sheetViews>
  <sheetFormatPr baseColWidth="10" defaultRowHeight="14.4" x14ac:dyDescent="0.3"/>
  <cols>
    <col min="2" max="2" width="56.44140625" customWidth="1"/>
    <col min="4" max="4" width="11.6640625" bestFit="1" customWidth="1"/>
    <col min="5" max="6" width="15.77734375" customWidth="1"/>
  </cols>
  <sheetData>
    <row r="2" spans="1:7" x14ac:dyDescent="0.3">
      <c r="A2" s="45" t="s">
        <v>22</v>
      </c>
      <c r="B2" s="48" t="s">
        <v>0</v>
      </c>
      <c r="C2" s="49" t="s">
        <v>23</v>
      </c>
      <c r="D2" s="50"/>
      <c r="E2" s="50"/>
      <c r="F2" s="51"/>
    </row>
    <row r="3" spans="1:7" x14ac:dyDescent="0.3">
      <c r="A3" s="46"/>
      <c r="B3" s="48"/>
      <c r="C3" s="49"/>
      <c r="D3" s="50"/>
      <c r="E3" s="50"/>
      <c r="F3" s="51"/>
    </row>
    <row r="4" spans="1:7" x14ac:dyDescent="0.3">
      <c r="A4" s="46"/>
      <c r="B4" s="48"/>
      <c r="C4" s="52"/>
      <c r="D4" s="53"/>
      <c r="E4" s="53"/>
      <c r="F4" s="54"/>
    </row>
    <row r="5" spans="1:7" ht="15" thickBot="1" x14ac:dyDescent="0.35">
      <c r="A5" s="47"/>
      <c r="B5" s="48"/>
      <c r="C5" s="34" t="s">
        <v>1</v>
      </c>
      <c r="D5" s="35" t="s">
        <v>2</v>
      </c>
      <c r="E5" s="35" t="s">
        <v>24</v>
      </c>
      <c r="F5" s="36" t="s">
        <v>25</v>
      </c>
    </row>
    <row r="6" spans="1:7" ht="22.2" customHeight="1" thickBot="1" x14ac:dyDescent="0.35">
      <c r="A6" s="37" t="s">
        <v>64</v>
      </c>
      <c r="B6" s="38"/>
      <c r="C6" s="38"/>
      <c r="D6" s="39"/>
      <c r="E6" s="39"/>
      <c r="F6" s="39"/>
    </row>
    <row r="7" spans="1:7" ht="30" customHeight="1" x14ac:dyDescent="0.3">
      <c r="A7" s="22" t="s">
        <v>26</v>
      </c>
      <c r="B7" s="23" t="s">
        <v>49</v>
      </c>
      <c r="C7" s="24" t="s">
        <v>28</v>
      </c>
      <c r="D7" s="40">
        <v>1</v>
      </c>
      <c r="E7" s="25">
        <v>500000</v>
      </c>
      <c r="F7" s="26">
        <f>E7*D7</f>
        <v>500000</v>
      </c>
    </row>
    <row r="8" spans="1:7" ht="30" customHeight="1" x14ac:dyDescent="0.3">
      <c r="A8" s="22" t="s">
        <v>29</v>
      </c>
      <c r="B8" s="27" t="s">
        <v>27</v>
      </c>
      <c r="C8" s="24" t="s">
        <v>28</v>
      </c>
      <c r="D8" s="40">
        <v>1</v>
      </c>
      <c r="E8" s="25">
        <v>120000</v>
      </c>
      <c r="F8" s="26">
        <f t="shared" ref="F8:F21" si="0">E8*D8</f>
        <v>120000</v>
      </c>
    </row>
    <row r="9" spans="1:7" ht="30" customHeight="1" x14ac:dyDescent="0.3">
      <c r="A9" s="22" t="s">
        <v>30</v>
      </c>
      <c r="B9" s="27" t="s">
        <v>70</v>
      </c>
      <c r="C9" s="24" t="s">
        <v>28</v>
      </c>
      <c r="D9" s="40">
        <v>1</v>
      </c>
      <c r="E9" s="25">
        <v>330000</v>
      </c>
      <c r="F9" s="26">
        <f t="shared" si="0"/>
        <v>330000</v>
      </c>
    </row>
    <row r="10" spans="1:7" ht="30" customHeight="1" x14ac:dyDescent="0.3">
      <c r="A10" s="22" t="s">
        <v>32</v>
      </c>
      <c r="B10" s="28" t="s">
        <v>31</v>
      </c>
      <c r="C10" s="29" t="s">
        <v>3</v>
      </c>
      <c r="D10" s="40">
        <f>'CANTIDAD DE OBRA'!O24</f>
        <v>528.37980000000005</v>
      </c>
      <c r="E10" s="25">
        <v>3700</v>
      </c>
      <c r="F10" s="26">
        <f t="shared" si="0"/>
        <v>1955005.2600000002</v>
      </c>
    </row>
    <row r="11" spans="1:7" ht="30" customHeight="1" x14ac:dyDescent="0.3">
      <c r="A11" s="22" t="s">
        <v>33</v>
      </c>
      <c r="B11" s="28" t="s">
        <v>47</v>
      </c>
      <c r="C11" s="29" t="s">
        <v>3</v>
      </c>
      <c r="D11" s="40">
        <f>'CANTIDAD DE OBRA'!O33+'CANTIDAD DE OBRA'!O60+'CANTIDAD DE OBRA'!O75</f>
        <v>485.79999999999995</v>
      </c>
      <c r="E11" s="25">
        <v>3500</v>
      </c>
      <c r="F11" s="26">
        <f t="shared" si="0"/>
        <v>1700299.9999999998</v>
      </c>
    </row>
    <row r="12" spans="1:7" ht="30" customHeight="1" x14ac:dyDescent="0.3">
      <c r="A12" s="22" t="s">
        <v>35</v>
      </c>
      <c r="B12" s="28" t="s">
        <v>34</v>
      </c>
      <c r="C12" s="29" t="s">
        <v>3</v>
      </c>
      <c r="D12" s="40">
        <f>D10*0.1</f>
        <v>52.837980000000009</v>
      </c>
      <c r="E12" s="25">
        <v>45000</v>
      </c>
      <c r="F12" s="26">
        <f t="shared" si="0"/>
        <v>2377709.1000000006</v>
      </c>
    </row>
    <row r="13" spans="1:7" ht="30" customHeight="1" x14ac:dyDescent="0.3">
      <c r="A13" s="22" t="s">
        <v>36</v>
      </c>
      <c r="B13" s="28" t="s">
        <v>50</v>
      </c>
      <c r="C13" s="29" t="s">
        <v>3</v>
      </c>
      <c r="D13" s="40">
        <f>D10*0.1</f>
        <v>52.837980000000009</v>
      </c>
      <c r="E13" s="25">
        <v>93000</v>
      </c>
      <c r="F13" s="26">
        <f t="shared" si="0"/>
        <v>4913932.1400000006</v>
      </c>
    </row>
    <row r="14" spans="1:7" ht="30" customHeight="1" x14ac:dyDescent="0.3">
      <c r="A14" s="22" t="s">
        <v>38</v>
      </c>
      <c r="B14" s="28" t="s">
        <v>37</v>
      </c>
      <c r="C14" s="29" t="s">
        <v>4</v>
      </c>
      <c r="D14" s="40">
        <v>125</v>
      </c>
      <c r="E14" s="25">
        <v>6700</v>
      </c>
      <c r="F14" s="26">
        <f t="shared" si="0"/>
        <v>837500</v>
      </c>
    </row>
    <row r="15" spans="1:7" ht="30" customHeight="1" x14ac:dyDescent="0.3">
      <c r="A15" s="22" t="s">
        <v>40</v>
      </c>
      <c r="B15" s="28" t="s">
        <v>39</v>
      </c>
      <c r="C15" s="29" t="s">
        <v>3</v>
      </c>
      <c r="D15" s="40">
        <v>513.38</v>
      </c>
      <c r="E15" s="25">
        <v>19500</v>
      </c>
      <c r="F15" s="26">
        <f t="shared" si="0"/>
        <v>10010910</v>
      </c>
      <c r="G15" s="44"/>
    </row>
    <row r="16" spans="1:7" ht="30" customHeight="1" x14ac:dyDescent="0.3">
      <c r="A16" s="22" t="s">
        <v>41</v>
      </c>
      <c r="B16" s="28" t="s">
        <v>78</v>
      </c>
      <c r="C16" s="29" t="s">
        <v>3</v>
      </c>
      <c r="D16" s="40">
        <v>270.3</v>
      </c>
      <c r="E16" s="25">
        <v>11000</v>
      </c>
      <c r="F16" s="26">
        <f t="shared" si="0"/>
        <v>2973300</v>
      </c>
      <c r="G16" s="44"/>
    </row>
    <row r="17" spans="1:6" ht="30" customHeight="1" x14ac:dyDescent="0.3">
      <c r="A17" s="22" t="s">
        <v>42</v>
      </c>
      <c r="B17" s="28" t="s">
        <v>51</v>
      </c>
      <c r="C17" s="29" t="s">
        <v>4</v>
      </c>
      <c r="D17" s="40">
        <v>55</v>
      </c>
      <c r="E17" s="25">
        <v>11400</v>
      </c>
      <c r="F17" s="26">
        <f t="shared" si="0"/>
        <v>627000</v>
      </c>
    </row>
    <row r="18" spans="1:6" ht="30" customHeight="1" x14ac:dyDescent="0.3">
      <c r="A18" s="22" t="s">
        <v>43</v>
      </c>
      <c r="B18" s="28" t="s">
        <v>48</v>
      </c>
      <c r="C18" s="29" t="s">
        <v>3</v>
      </c>
      <c r="D18" s="40">
        <v>35</v>
      </c>
      <c r="E18" s="25">
        <v>10300</v>
      </c>
      <c r="F18" s="26">
        <f t="shared" si="0"/>
        <v>360500</v>
      </c>
    </row>
    <row r="19" spans="1:6" ht="30" customHeight="1" x14ac:dyDescent="0.3">
      <c r="A19" s="22" t="s">
        <v>44</v>
      </c>
      <c r="B19" s="28" t="s">
        <v>74</v>
      </c>
      <c r="C19" s="29" t="s">
        <v>4</v>
      </c>
      <c r="D19" s="40">
        <v>108.25</v>
      </c>
      <c r="E19" s="25">
        <v>10700</v>
      </c>
      <c r="F19" s="26">
        <f t="shared" si="0"/>
        <v>1158275</v>
      </c>
    </row>
    <row r="20" spans="1:6" ht="46.2" customHeight="1" x14ac:dyDescent="0.3">
      <c r="A20" s="22" t="s">
        <v>75</v>
      </c>
      <c r="B20" s="28" t="s">
        <v>76</v>
      </c>
      <c r="C20" s="29" t="s">
        <v>4</v>
      </c>
      <c r="D20" s="40">
        <v>42</v>
      </c>
      <c r="E20" s="25">
        <v>14000</v>
      </c>
      <c r="F20" s="26">
        <f t="shared" si="0"/>
        <v>588000</v>
      </c>
    </row>
    <row r="21" spans="1:6" ht="30" customHeight="1" x14ac:dyDescent="0.3">
      <c r="A21" s="22" t="s">
        <v>77</v>
      </c>
      <c r="B21" s="30" t="s">
        <v>45</v>
      </c>
      <c r="C21" s="31" t="s">
        <v>28</v>
      </c>
      <c r="D21" s="41">
        <v>1</v>
      </c>
      <c r="E21" s="25">
        <v>200000</v>
      </c>
      <c r="F21" s="26">
        <f t="shared" si="0"/>
        <v>200000</v>
      </c>
    </row>
    <row r="22" spans="1:6" ht="22.2" customHeight="1" x14ac:dyDescent="0.3">
      <c r="A22" s="32" t="s">
        <v>46</v>
      </c>
      <c r="B22" s="33"/>
      <c r="C22" s="33"/>
      <c r="D22" s="33"/>
      <c r="E22" s="33"/>
      <c r="F22" s="42">
        <f>SUM(F7:F21)</f>
        <v>28652431.5</v>
      </c>
    </row>
    <row r="24" spans="1:6" x14ac:dyDescent="0.3">
      <c r="A24" s="55" t="s">
        <v>79</v>
      </c>
      <c r="B24" s="55"/>
      <c r="C24" s="55"/>
      <c r="D24" s="55"/>
      <c r="E24" s="55"/>
      <c r="F24" s="55"/>
    </row>
    <row r="25" spans="1:6" x14ac:dyDescent="0.3">
      <c r="A25" s="55"/>
      <c r="B25" s="55"/>
      <c r="C25" s="55"/>
      <c r="D25" s="55"/>
      <c r="E25" s="55"/>
      <c r="F25" s="55"/>
    </row>
  </sheetData>
  <mergeCells count="4">
    <mergeCell ref="A2:A5"/>
    <mergeCell ref="B2:B5"/>
    <mergeCell ref="C2:F4"/>
    <mergeCell ref="A24:F25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4DE7-ED1F-42D1-BF10-D3963072F4EE}">
  <sheetPr>
    <tabColor rgb="FFA7C9D2"/>
  </sheetPr>
  <dimension ref="A2:P82"/>
  <sheetViews>
    <sheetView topLeftCell="A27" zoomScale="80" zoomScaleNormal="80" workbookViewId="0">
      <selection activeCell="C61" sqref="C61"/>
    </sheetView>
  </sheetViews>
  <sheetFormatPr baseColWidth="10" defaultRowHeight="13.8" x14ac:dyDescent="0.25"/>
  <cols>
    <col min="1" max="1" width="11.5546875" style="8"/>
    <col min="2" max="2" width="20.21875" style="8" customWidth="1"/>
    <col min="3" max="3" width="11.5546875" style="8"/>
    <col min="4" max="4" width="32.77734375" style="1" customWidth="1"/>
    <col min="5" max="11" width="12.77734375" style="8" customWidth="1"/>
    <col min="12" max="15" width="15.77734375" style="8" customWidth="1"/>
    <col min="16" max="17" width="12.77734375" style="1" customWidth="1"/>
    <col min="18" max="16384" width="11.5546875" style="1"/>
  </cols>
  <sheetData>
    <row r="2" spans="1:16" ht="25.05" customHeight="1" x14ac:dyDescent="0.25">
      <c r="A2" s="58" t="s">
        <v>63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6" s="2" customFormat="1" ht="19.95" customHeight="1" x14ac:dyDescent="0.3">
      <c r="A3" s="18"/>
      <c r="B3" s="18"/>
      <c r="C3" s="18"/>
      <c r="D3" s="9"/>
      <c r="E3" s="59" t="s">
        <v>6</v>
      </c>
      <c r="F3" s="59"/>
      <c r="G3" s="59"/>
      <c r="H3" s="60" t="s">
        <v>7</v>
      </c>
      <c r="I3" s="60"/>
      <c r="J3" s="60"/>
      <c r="K3" s="60"/>
      <c r="L3" s="18"/>
      <c r="M3" s="18"/>
      <c r="N3" s="18"/>
      <c r="O3" s="18"/>
    </row>
    <row r="4" spans="1:16" s="2" customFormat="1" ht="34.950000000000003" customHeight="1" x14ac:dyDescent="0.3">
      <c r="A4" s="18" t="s">
        <v>19</v>
      </c>
      <c r="B4" s="18" t="s">
        <v>5</v>
      </c>
      <c r="C4" s="18" t="s">
        <v>8</v>
      </c>
      <c r="D4" s="18" t="s">
        <v>9</v>
      </c>
      <c r="E4" s="18" t="s">
        <v>10</v>
      </c>
      <c r="F4" s="18" t="s">
        <v>11</v>
      </c>
      <c r="G4" s="17" t="s">
        <v>12</v>
      </c>
      <c r="H4" s="19" t="s">
        <v>10</v>
      </c>
      <c r="I4" s="19" t="s">
        <v>11</v>
      </c>
      <c r="J4" s="19" t="s">
        <v>13</v>
      </c>
      <c r="K4" s="20" t="s">
        <v>12</v>
      </c>
      <c r="L4" s="17" t="s">
        <v>14</v>
      </c>
      <c r="M4" s="17" t="s">
        <v>21</v>
      </c>
      <c r="N4" s="17" t="s">
        <v>20</v>
      </c>
      <c r="O4" s="18" t="s">
        <v>15</v>
      </c>
      <c r="P4" s="6"/>
    </row>
    <row r="5" spans="1:16" s="2" customFormat="1" ht="19.95" customHeight="1" x14ac:dyDescent="0.3">
      <c r="A5" s="3">
        <v>1</v>
      </c>
      <c r="B5" s="3" t="s">
        <v>52</v>
      </c>
      <c r="C5" s="4">
        <v>1</v>
      </c>
      <c r="D5" s="2" t="s">
        <v>53</v>
      </c>
      <c r="E5" s="4">
        <v>11.5</v>
      </c>
      <c r="F5" s="4">
        <v>0.35</v>
      </c>
      <c r="G5" s="5">
        <f>E5*F5</f>
        <v>4.0249999999999995</v>
      </c>
      <c r="H5" s="4"/>
      <c r="I5" s="4"/>
      <c r="J5" s="4"/>
      <c r="K5" s="16"/>
      <c r="L5" s="5"/>
      <c r="M5" s="11"/>
      <c r="N5" s="5"/>
      <c r="O5" s="5">
        <f>G5</f>
        <v>4.0249999999999995</v>
      </c>
      <c r="P5" s="6"/>
    </row>
    <row r="6" spans="1:16" s="2" customFormat="1" ht="19.95" customHeight="1" x14ac:dyDescent="0.3">
      <c r="A6" s="3"/>
      <c r="B6" s="3"/>
      <c r="C6" s="4">
        <v>2</v>
      </c>
      <c r="D6" s="2" t="s">
        <v>53</v>
      </c>
      <c r="E6" s="4">
        <f>E5</f>
        <v>11.5</v>
      </c>
      <c r="F6" s="4">
        <v>1.2</v>
      </c>
      <c r="G6" s="5">
        <f>E6*F6</f>
        <v>13.799999999999999</v>
      </c>
      <c r="H6" s="4">
        <v>1.37</v>
      </c>
      <c r="I6" s="5">
        <v>0.25</v>
      </c>
      <c r="J6" s="4">
        <v>8</v>
      </c>
      <c r="K6" s="16">
        <f>(H6*I6)*J6</f>
        <v>2.74</v>
      </c>
      <c r="L6" s="11">
        <f>((H6+I6)*2)*J6</f>
        <v>25.92</v>
      </c>
      <c r="M6" s="11">
        <f>I6*J6</f>
        <v>2</v>
      </c>
      <c r="N6" s="5"/>
      <c r="O6" s="5">
        <f t="shared" ref="O6:O11" si="0">G6-K6</f>
        <v>11.059999999999999</v>
      </c>
      <c r="P6" s="6"/>
    </row>
    <row r="7" spans="1:16" s="2" customFormat="1" ht="19.95" customHeight="1" x14ac:dyDescent="0.3">
      <c r="A7" s="4"/>
      <c r="B7" s="3"/>
      <c r="C7" s="4">
        <v>3</v>
      </c>
      <c r="D7" s="2" t="s">
        <v>53</v>
      </c>
      <c r="E7" s="4">
        <f>E5</f>
        <v>11.5</v>
      </c>
      <c r="F7" s="4">
        <v>1.32</v>
      </c>
      <c r="G7" s="5">
        <f>E7*F7</f>
        <v>15.180000000000001</v>
      </c>
      <c r="H7" s="4"/>
      <c r="I7" s="4"/>
      <c r="J7" s="4"/>
      <c r="K7" s="16"/>
      <c r="L7" s="11"/>
      <c r="M7" s="11"/>
      <c r="N7" s="5"/>
      <c r="O7" s="5">
        <f t="shared" si="0"/>
        <v>15.180000000000001</v>
      </c>
      <c r="P7" s="6"/>
    </row>
    <row r="8" spans="1:16" s="2" customFormat="1" ht="19.95" customHeight="1" x14ac:dyDescent="0.3">
      <c r="A8" s="4"/>
      <c r="B8" s="3"/>
      <c r="C8" s="43" t="s">
        <v>54</v>
      </c>
      <c r="E8" s="4">
        <v>0.85</v>
      </c>
      <c r="F8" s="4">
        <v>1.7</v>
      </c>
      <c r="G8" s="5">
        <f t="shared" ref="G8:G10" si="1">E8*F8</f>
        <v>1.4449999999999998</v>
      </c>
      <c r="H8" s="4"/>
      <c r="I8" s="5"/>
      <c r="J8" s="4"/>
      <c r="K8" s="16"/>
      <c r="L8" s="11"/>
      <c r="M8" s="11"/>
      <c r="N8" s="5"/>
      <c r="O8" s="5">
        <f t="shared" si="0"/>
        <v>1.4449999999999998</v>
      </c>
    </row>
    <row r="9" spans="1:16" s="2" customFormat="1" ht="19.95" customHeight="1" x14ac:dyDescent="0.3">
      <c r="A9" s="4"/>
      <c r="B9" s="3"/>
      <c r="C9" s="4">
        <v>4</v>
      </c>
      <c r="D9" s="2" t="s">
        <v>53</v>
      </c>
      <c r="E9" s="4">
        <f>E5</f>
        <v>11.5</v>
      </c>
      <c r="F9" s="4">
        <v>2.75</v>
      </c>
      <c r="G9" s="5">
        <f t="shared" si="1"/>
        <v>31.625</v>
      </c>
      <c r="H9" s="4"/>
      <c r="I9" s="5"/>
      <c r="J9" s="4"/>
      <c r="K9" s="16"/>
      <c r="L9" s="11"/>
      <c r="M9" s="11"/>
      <c r="N9" s="5"/>
      <c r="O9" s="5">
        <f t="shared" si="0"/>
        <v>31.625</v>
      </c>
    </row>
    <row r="10" spans="1:16" s="2" customFormat="1" ht="19.95" customHeight="1" x14ac:dyDescent="0.3">
      <c r="A10" s="4"/>
      <c r="B10" s="3"/>
      <c r="C10" s="4" t="s">
        <v>55</v>
      </c>
      <c r="E10" s="4">
        <v>2.76</v>
      </c>
      <c r="F10" s="4">
        <v>1.28</v>
      </c>
      <c r="G10" s="5">
        <f t="shared" si="1"/>
        <v>3.5327999999999999</v>
      </c>
      <c r="H10" s="4"/>
      <c r="I10" s="5"/>
      <c r="J10" s="4"/>
      <c r="K10" s="16"/>
      <c r="L10" s="11"/>
      <c r="M10" s="11"/>
      <c r="N10" s="5"/>
      <c r="O10" s="5">
        <f t="shared" si="0"/>
        <v>3.5327999999999999</v>
      </c>
    </row>
    <row r="11" spans="1:16" s="2" customFormat="1" ht="19.95" customHeight="1" x14ac:dyDescent="0.3">
      <c r="A11" s="4"/>
      <c r="B11" s="3"/>
      <c r="C11" s="4">
        <v>5</v>
      </c>
      <c r="D11" s="2" t="s">
        <v>16</v>
      </c>
      <c r="E11" s="4">
        <v>13.8</v>
      </c>
      <c r="F11" s="4">
        <v>4.6500000000000004</v>
      </c>
      <c r="G11" s="5">
        <f>E11*F11</f>
        <v>64.17</v>
      </c>
      <c r="H11" s="4">
        <v>2.76</v>
      </c>
      <c r="I11" s="4">
        <v>2.2999999999999998</v>
      </c>
      <c r="J11" s="4">
        <v>2</v>
      </c>
      <c r="K11" s="16">
        <f>(H11*I11)*J11</f>
        <v>12.695999999999998</v>
      </c>
      <c r="L11" s="11">
        <f>((H11+I11)*2)*J11</f>
        <v>20.239999999999998</v>
      </c>
      <c r="M11" s="11">
        <f>I11*J11</f>
        <v>4.5999999999999996</v>
      </c>
      <c r="N11" s="5"/>
      <c r="O11" s="5">
        <f t="shared" si="0"/>
        <v>51.474000000000004</v>
      </c>
    </row>
    <row r="12" spans="1:16" s="2" customFormat="1" ht="19.95" customHeight="1" x14ac:dyDescent="0.3">
      <c r="A12" s="4"/>
      <c r="B12" s="3"/>
      <c r="C12" s="4" t="s">
        <v>56</v>
      </c>
      <c r="E12" s="4"/>
      <c r="F12" s="4"/>
      <c r="G12" s="5"/>
      <c r="H12" s="4">
        <v>2.5</v>
      </c>
      <c r="I12" s="4">
        <v>2.2999999999999998</v>
      </c>
      <c r="J12" s="4">
        <v>2</v>
      </c>
      <c r="K12" s="16">
        <f>(H12*I12)*J12</f>
        <v>11.5</v>
      </c>
      <c r="L12" s="11">
        <f>((H12+I12)*2)*J12</f>
        <v>19.2</v>
      </c>
      <c r="M12" s="11">
        <f>I12*J12</f>
        <v>4.5999999999999996</v>
      </c>
      <c r="N12" s="5"/>
      <c r="O12" s="5"/>
    </row>
    <row r="13" spans="1:16" s="2" customFormat="1" ht="19.95" customHeight="1" x14ac:dyDescent="0.3">
      <c r="A13" s="4"/>
      <c r="B13" s="4"/>
      <c r="C13" s="4" t="s">
        <v>56</v>
      </c>
      <c r="D13" s="2" t="s">
        <v>16</v>
      </c>
      <c r="E13" s="4">
        <v>0.8</v>
      </c>
      <c r="F13" s="4">
        <v>4.6500000000000004</v>
      </c>
      <c r="G13" s="5">
        <f t="shared" ref="G13:G21" si="2">E13*F13</f>
        <v>3.7200000000000006</v>
      </c>
      <c r="H13" s="4"/>
      <c r="I13" s="4"/>
      <c r="J13" s="4"/>
      <c r="K13" s="16"/>
      <c r="L13" s="11"/>
      <c r="M13" s="11"/>
      <c r="N13" s="5"/>
      <c r="O13" s="5">
        <f t="shared" ref="O13:O22" si="3">G13-K13</f>
        <v>3.7200000000000006</v>
      </c>
    </row>
    <row r="14" spans="1:16" s="2" customFormat="1" ht="19.95" customHeight="1" x14ac:dyDescent="0.3">
      <c r="A14" s="4"/>
      <c r="B14" s="4"/>
      <c r="C14" s="4">
        <v>6</v>
      </c>
      <c r="D14" s="2" t="s">
        <v>57</v>
      </c>
      <c r="E14" s="4">
        <v>2.76</v>
      </c>
      <c r="F14" s="4">
        <v>2.8</v>
      </c>
      <c r="G14" s="5">
        <f t="shared" si="2"/>
        <v>7.7279999999999989</v>
      </c>
      <c r="H14" s="4"/>
      <c r="I14" s="4"/>
      <c r="J14" s="4"/>
      <c r="K14" s="4"/>
      <c r="L14" s="4"/>
      <c r="M14" s="4"/>
      <c r="N14" s="4"/>
      <c r="O14" s="4">
        <f t="shared" si="3"/>
        <v>7.7279999999999989</v>
      </c>
    </row>
    <row r="15" spans="1:16" s="2" customFormat="1" ht="19.95" customHeight="1" x14ac:dyDescent="0.3">
      <c r="A15" s="4"/>
      <c r="B15" s="4"/>
      <c r="C15" s="4" t="s">
        <v>57</v>
      </c>
      <c r="E15" s="4">
        <v>0.8</v>
      </c>
      <c r="F15" s="4">
        <v>2.8</v>
      </c>
      <c r="G15" s="4">
        <f t="shared" si="2"/>
        <v>2.2399999999999998</v>
      </c>
      <c r="H15" s="4"/>
      <c r="I15" s="4"/>
      <c r="J15" s="4"/>
      <c r="K15" s="4"/>
      <c r="L15" s="4"/>
      <c r="M15" s="4"/>
      <c r="N15" s="4"/>
      <c r="O15" s="4">
        <f t="shared" si="3"/>
        <v>2.2399999999999998</v>
      </c>
    </row>
    <row r="16" spans="1:16" s="2" customFormat="1" ht="19.95" customHeight="1" x14ac:dyDescent="0.3">
      <c r="A16" s="4"/>
      <c r="B16" s="4"/>
      <c r="C16" s="4">
        <v>7</v>
      </c>
      <c r="D16" s="2" t="s">
        <v>71</v>
      </c>
      <c r="E16" s="4">
        <v>2.5</v>
      </c>
      <c r="F16" s="4">
        <v>21.2</v>
      </c>
      <c r="G16" s="4">
        <f t="shared" si="2"/>
        <v>53</v>
      </c>
      <c r="H16" s="4"/>
      <c r="I16" s="4"/>
      <c r="J16" s="4"/>
      <c r="K16" s="4"/>
      <c r="L16" s="4"/>
      <c r="M16" s="4"/>
      <c r="N16" s="4"/>
      <c r="O16" s="4">
        <f t="shared" si="3"/>
        <v>53</v>
      </c>
    </row>
    <row r="17" spans="1:15" s="2" customFormat="1" ht="19.95" customHeight="1" x14ac:dyDescent="0.3">
      <c r="A17" s="4"/>
      <c r="B17" s="4"/>
      <c r="C17" s="4">
        <v>8</v>
      </c>
      <c r="D17" s="2" t="s">
        <v>71</v>
      </c>
      <c r="E17" s="4">
        <v>4.5</v>
      </c>
      <c r="F17" s="4">
        <v>21.2</v>
      </c>
      <c r="G17" s="4">
        <f t="shared" si="2"/>
        <v>95.399999999999991</v>
      </c>
      <c r="H17" s="4"/>
      <c r="I17" s="4"/>
      <c r="J17" s="4"/>
      <c r="K17" s="4"/>
      <c r="L17" s="4"/>
      <c r="M17" s="4"/>
      <c r="N17" s="4"/>
      <c r="O17" s="4">
        <f t="shared" si="3"/>
        <v>95.399999999999991</v>
      </c>
    </row>
    <row r="18" spans="1:15" s="2" customFormat="1" ht="19.95" customHeight="1" x14ac:dyDescent="0.3">
      <c r="A18" s="4"/>
      <c r="B18" s="4"/>
      <c r="C18" s="4">
        <v>9</v>
      </c>
      <c r="D18" s="2" t="s">
        <v>72</v>
      </c>
      <c r="E18" s="4">
        <f>$E$5</f>
        <v>11.5</v>
      </c>
      <c r="F18" s="4">
        <v>8.6999999999999993</v>
      </c>
      <c r="G18" s="4">
        <f t="shared" si="2"/>
        <v>100.05</v>
      </c>
      <c r="H18" s="4"/>
      <c r="I18" s="4"/>
      <c r="J18" s="4"/>
      <c r="K18" s="4"/>
      <c r="L18" s="4"/>
      <c r="M18" s="4"/>
      <c r="N18" s="4"/>
      <c r="O18" s="4">
        <f t="shared" si="3"/>
        <v>100.05</v>
      </c>
    </row>
    <row r="19" spans="1:15" s="2" customFormat="1" ht="19.95" customHeight="1" x14ac:dyDescent="0.3">
      <c r="A19" s="4"/>
      <c r="B19" s="4"/>
      <c r="C19" s="4">
        <v>10</v>
      </c>
      <c r="D19" s="2" t="s">
        <v>72</v>
      </c>
      <c r="E19" s="4">
        <v>9</v>
      </c>
      <c r="F19" s="4">
        <v>2.9</v>
      </c>
      <c r="G19" s="4">
        <f t="shared" si="2"/>
        <v>26.099999999999998</v>
      </c>
      <c r="H19" s="4"/>
      <c r="I19" s="4"/>
      <c r="J19" s="4"/>
      <c r="K19" s="4"/>
      <c r="L19" s="4"/>
      <c r="M19" s="4"/>
      <c r="N19" s="4"/>
      <c r="O19" s="4">
        <f t="shared" si="3"/>
        <v>26.099999999999998</v>
      </c>
    </row>
    <row r="20" spans="1:15" s="2" customFormat="1" ht="19.95" customHeight="1" x14ac:dyDescent="0.3">
      <c r="A20" s="4"/>
      <c r="B20" s="4"/>
      <c r="C20" s="4">
        <v>11</v>
      </c>
      <c r="D20" s="2" t="s">
        <v>72</v>
      </c>
      <c r="E20" s="4">
        <v>9</v>
      </c>
      <c r="F20" s="4">
        <v>8.6999999999999993</v>
      </c>
      <c r="G20" s="4">
        <f t="shared" si="2"/>
        <v>78.3</v>
      </c>
      <c r="H20" s="4"/>
      <c r="I20" s="4"/>
      <c r="J20" s="4"/>
      <c r="K20" s="4"/>
      <c r="L20" s="4"/>
      <c r="M20" s="4"/>
      <c r="N20" s="4"/>
      <c r="O20" s="4">
        <f t="shared" si="3"/>
        <v>78.3</v>
      </c>
    </row>
    <row r="21" spans="1:15" s="2" customFormat="1" ht="19.95" customHeight="1" x14ac:dyDescent="0.3">
      <c r="A21" s="4"/>
      <c r="B21" s="4"/>
      <c r="C21" s="4">
        <v>12</v>
      </c>
      <c r="D21" s="2" t="s">
        <v>72</v>
      </c>
      <c r="E21" s="4">
        <v>9</v>
      </c>
      <c r="F21" s="4">
        <v>2.9</v>
      </c>
      <c r="G21" s="4">
        <f t="shared" si="2"/>
        <v>26.099999999999998</v>
      </c>
      <c r="H21" s="4"/>
      <c r="I21" s="4"/>
      <c r="J21" s="4"/>
      <c r="K21" s="4"/>
      <c r="L21" s="4"/>
      <c r="M21" s="4"/>
      <c r="N21" s="4"/>
      <c r="O21" s="4">
        <f t="shared" si="3"/>
        <v>26.099999999999998</v>
      </c>
    </row>
    <row r="22" spans="1:15" s="2" customFormat="1" ht="19.95" customHeight="1" x14ac:dyDescent="0.3">
      <c r="A22" s="4"/>
      <c r="B22" s="4"/>
      <c r="C22" s="4">
        <v>13</v>
      </c>
      <c r="D22" s="2" t="s">
        <v>73</v>
      </c>
      <c r="E22" s="4">
        <v>2</v>
      </c>
      <c r="F22" s="4">
        <v>2.9</v>
      </c>
      <c r="G22" s="4">
        <f>E22*F22*3</f>
        <v>17.399999999999999</v>
      </c>
      <c r="H22" s="4"/>
      <c r="I22" s="4"/>
      <c r="J22" s="4"/>
      <c r="K22" s="4"/>
      <c r="L22" s="4"/>
      <c r="M22" s="4"/>
      <c r="N22" s="4"/>
      <c r="O22" s="4">
        <f t="shared" si="3"/>
        <v>17.399999999999999</v>
      </c>
    </row>
    <row r="23" spans="1:15" s="2" customFormat="1" ht="19.95" customHeight="1" x14ac:dyDescent="0.3">
      <c r="A23" s="4"/>
      <c r="B23" s="4"/>
    </row>
    <row r="24" spans="1:15" s="2" customFormat="1" ht="19.95" customHeight="1" x14ac:dyDescent="0.3">
      <c r="A24" s="4"/>
      <c r="B24" s="4"/>
      <c r="C24" s="4"/>
      <c r="D24" s="57" t="s">
        <v>17</v>
      </c>
      <c r="E24" s="57"/>
      <c r="F24" s="57"/>
      <c r="G24" s="14">
        <f>SUM(G5:G23)</f>
        <v>543.81580000000008</v>
      </c>
      <c r="H24" s="4"/>
      <c r="I24" s="57" t="s">
        <v>18</v>
      </c>
      <c r="J24" s="57"/>
      <c r="K24" s="57"/>
      <c r="L24" s="14">
        <f>SUM(L6:L23)</f>
        <v>65.36</v>
      </c>
      <c r="M24" s="14">
        <f>SUM(M6:M23)</f>
        <v>11.2</v>
      </c>
      <c r="N24" s="15"/>
      <c r="O24" s="14">
        <f>SUM(O5:O23)</f>
        <v>528.37980000000005</v>
      </c>
    </row>
    <row r="25" spans="1:15" s="2" customFormat="1" ht="19.95" customHeight="1" x14ac:dyDescent="0.3">
      <c r="A25" s="4"/>
      <c r="B25" s="4"/>
      <c r="C25" s="4"/>
      <c r="E25" s="4"/>
      <c r="F25" s="4"/>
      <c r="G25" s="5"/>
      <c r="H25" s="4"/>
      <c r="I25" s="4"/>
      <c r="J25" s="4"/>
      <c r="K25" s="4"/>
      <c r="L25" s="13"/>
      <c r="M25" s="13"/>
      <c r="N25" s="4"/>
      <c r="O25" s="5"/>
    </row>
    <row r="26" spans="1:15" s="2" customFormat="1" ht="19.95" customHeight="1" x14ac:dyDescent="0.3">
      <c r="A26" s="4"/>
      <c r="B26" s="4"/>
      <c r="C26" s="4"/>
      <c r="E26" s="4"/>
      <c r="F26" s="4"/>
      <c r="G26" s="4"/>
      <c r="H26" s="4"/>
      <c r="I26" s="4"/>
      <c r="J26" s="4"/>
      <c r="K26" s="4"/>
      <c r="L26" s="13"/>
      <c r="M26" s="13"/>
      <c r="N26" s="4"/>
      <c r="O26" s="4"/>
    </row>
    <row r="27" spans="1:15" ht="18" customHeight="1" x14ac:dyDescent="0.25">
      <c r="B27" s="3" t="s">
        <v>58</v>
      </c>
      <c r="C27" s="4">
        <v>15</v>
      </c>
      <c r="D27" s="2"/>
      <c r="E27" s="4">
        <f>$E$5</f>
        <v>11.5</v>
      </c>
      <c r="F27" s="4">
        <v>2.8</v>
      </c>
      <c r="G27" s="4">
        <f>E27*F27</f>
        <v>32.199999999999996</v>
      </c>
      <c r="H27" s="4">
        <v>1.2</v>
      </c>
      <c r="I27" s="4">
        <v>2</v>
      </c>
      <c r="J27" s="4">
        <v>4</v>
      </c>
      <c r="K27" s="16">
        <f>(H27*I27)*J27</f>
        <v>9.6</v>
      </c>
      <c r="L27" s="11">
        <f>((H27+I27)*2)*J27</f>
        <v>25.6</v>
      </c>
      <c r="M27" s="11">
        <f>I27*J27</f>
        <v>8</v>
      </c>
      <c r="N27" s="5"/>
      <c r="O27" s="5">
        <f>G27-K27</f>
        <v>22.599999999999994</v>
      </c>
    </row>
    <row r="28" spans="1:15" ht="18" customHeight="1" x14ac:dyDescent="0.25">
      <c r="B28" s="3"/>
      <c r="C28" s="4">
        <v>16</v>
      </c>
      <c r="D28" s="2"/>
      <c r="E28" s="4">
        <f t="shared" ref="E28:E29" si="4">$E$5</f>
        <v>11.5</v>
      </c>
      <c r="F28" s="4">
        <v>2.5</v>
      </c>
      <c r="G28" s="4">
        <f t="shared" ref="G28:G30" si="5">E28*F28</f>
        <v>28.75</v>
      </c>
      <c r="H28" s="4">
        <v>0.25</v>
      </c>
      <c r="I28" s="4">
        <v>2</v>
      </c>
      <c r="J28" s="4">
        <v>8</v>
      </c>
      <c r="K28" s="16">
        <f>(H28*I28)*J28</f>
        <v>4</v>
      </c>
      <c r="L28" s="11">
        <f>((H28+I28)*2)*J28</f>
        <v>36</v>
      </c>
      <c r="M28" s="11">
        <f>I28*J28</f>
        <v>16</v>
      </c>
      <c r="N28" s="7"/>
      <c r="O28" s="5">
        <f>G28-K28</f>
        <v>24.75</v>
      </c>
    </row>
    <row r="29" spans="1:15" ht="18" customHeight="1" x14ac:dyDescent="0.25">
      <c r="B29" s="4"/>
      <c r="C29" s="4">
        <v>17</v>
      </c>
      <c r="D29" s="2"/>
      <c r="E29" s="4">
        <f t="shared" si="4"/>
        <v>11.5</v>
      </c>
      <c r="F29" s="4">
        <v>2.8</v>
      </c>
      <c r="G29" s="4">
        <f t="shared" si="5"/>
        <v>32.199999999999996</v>
      </c>
      <c r="H29" s="4">
        <v>1.2</v>
      </c>
      <c r="I29" s="4">
        <v>2</v>
      </c>
      <c r="J29" s="4">
        <v>4</v>
      </c>
      <c r="K29" s="16">
        <f>(H29*I29)*J29</f>
        <v>9.6</v>
      </c>
      <c r="L29" s="11">
        <f>((H29+I29)*2)*J29</f>
        <v>25.6</v>
      </c>
      <c r="M29" s="11">
        <f>I29*J29</f>
        <v>8</v>
      </c>
      <c r="N29" s="7"/>
      <c r="O29" s="5">
        <f>G29-K29</f>
        <v>22.599999999999994</v>
      </c>
    </row>
    <row r="30" spans="1:15" ht="18" customHeight="1" x14ac:dyDescent="0.25">
      <c r="B30" s="4"/>
      <c r="C30" s="4">
        <v>18</v>
      </c>
      <c r="D30" s="2"/>
      <c r="E30" s="4">
        <v>3</v>
      </c>
      <c r="F30" s="4">
        <v>2.5</v>
      </c>
      <c r="G30" s="4">
        <f t="shared" si="5"/>
        <v>7.5</v>
      </c>
      <c r="H30" s="4"/>
      <c r="I30" s="4"/>
      <c r="J30" s="4"/>
      <c r="K30" s="7"/>
      <c r="L30" s="12"/>
      <c r="M30" s="12"/>
      <c r="N30" s="7"/>
      <c r="O30" s="5">
        <f>G30-K30</f>
        <v>7.5</v>
      </c>
    </row>
    <row r="31" spans="1:15" ht="18" customHeight="1" x14ac:dyDescent="0.25">
      <c r="D31" s="2"/>
      <c r="E31" s="4"/>
      <c r="F31" s="4"/>
      <c r="G31" s="4"/>
      <c r="H31" s="4"/>
      <c r="I31" s="4"/>
      <c r="J31" s="4"/>
      <c r="K31" s="7"/>
      <c r="L31" s="12"/>
      <c r="M31" s="12"/>
      <c r="N31" s="7"/>
      <c r="O31" s="5">
        <f>G31-K31</f>
        <v>0</v>
      </c>
    </row>
    <row r="32" spans="1:15" ht="18" customHeight="1" x14ac:dyDescent="0.25">
      <c r="K32" s="1"/>
      <c r="L32" s="1"/>
      <c r="M32" s="1"/>
      <c r="N32" s="1"/>
      <c r="O32" s="1"/>
    </row>
    <row r="33" spans="2:15" ht="18" customHeight="1" x14ac:dyDescent="0.25">
      <c r="D33" s="56" t="s">
        <v>17</v>
      </c>
      <c r="E33" s="56"/>
      <c r="F33" s="56"/>
      <c r="G33" s="10">
        <f>SUM(G27:G32)</f>
        <v>100.64999999999999</v>
      </c>
      <c r="H33" s="4"/>
      <c r="I33" s="56" t="s">
        <v>18</v>
      </c>
      <c r="J33" s="56"/>
      <c r="K33" s="56"/>
      <c r="L33" s="10">
        <f>SUM(L8:L32)</f>
        <v>192</v>
      </c>
      <c r="M33" s="10">
        <f>SUM(M9:M32)</f>
        <v>52.4</v>
      </c>
      <c r="N33" s="21"/>
      <c r="O33" s="10">
        <f>SUM(O27:O32)</f>
        <v>77.449999999999989</v>
      </c>
    </row>
    <row r="34" spans="2:15" ht="18" customHeight="1" x14ac:dyDescent="0.25"/>
    <row r="35" spans="2:15" ht="18" customHeight="1" x14ac:dyDescent="0.25">
      <c r="B35" s="3" t="s">
        <v>59</v>
      </c>
      <c r="C35" s="5"/>
      <c r="D35" s="2" t="s">
        <v>60</v>
      </c>
      <c r="E35" s="4">
        <v>2.8</v>
      </c>
      <c r="F35" s="4">
        <v>0.27</v>
      </c>
      <c r="G35" s="5">
        <f>E35*F35</f>
        <v>0.75600000000000001</v>
      </c>
      <c r="H35" s="4"/>
      <c r="I35" s="4"/>
      <c r="J35" s="4"/>
      <c r="K35" s="16"/>
      <c r="L35" s="5"/>
      <c r="M35" s="11"/>
      <c r="N35" s="5"/>
      <c r="O35" s="5">
        <f>G35</f>
        <v>0.75600000000000001</v>
      </c>
    </row>
    <row r="36" spans="2:15" ht="18" customHeight="1" x14ac:dyDescent="0.25">
      <c r="B36" s="3"/>
      <c r="C36" s="4"/>
      <c r="D36" s="2" t="s">
        <v>61</v>
      </c>
      <c r="E36" s="4">
        <v>2.8</v>
      </c>
      <c r="F36" s="4">
        <v>0.9</v>
      </c>
      <c r="G36" s="5">
        <f>E36*F36</f>
        <v>2.52</v>
      </c>
      <c r="H36" s="4"/>
      <c r="I36" s="5"/>
      <c r="J36" s="4"/>
      <c r="K36" s="16"/>
      <c r="L36" s="11"/>
      <c r="M36" s="11"/>
      <c r="N36" s="5"/>
      <c r="O36" s="5">
        <f t="shared" ref="O36:O45" si="6">G36-K36</f>
        <v>2.52</v>
      </c>
    </row>
    <row r="37" spans="2:15" ht="18" customHeight="1" x14ac:dyDescent="0.25">
      <c r="B37" s="3"/>
      <c r="C37" s="4"/>
      <c r="D37" s="2" t="s">
        <v>60</v>
      </c>
      <c r="E37" s="4">
        <v>2.8</v>
      </c>
      <c r="F37" s="4">
        <v>4.05</v>
      </c>
      <c r="G37" s="5">
        <f>E37*F37</f>
        <v>11.339999999999998</v>
      </c>
      <c r="H37" s="4"/>
      <c r="I37" s="4"/>
      <c r="J37" s="4"/>
      <c r="K37" s="16"/>
      <c r="L37" s="11"/>
      <c r="M37" s="11"/>
      <c r="N37" s="5"/>
      <c r="O37" s="5">
        <f t="shared" si="6"/>
        <v>11.339999999999998</v>
      </c>
    </row>
    <row r="38" spans="2:15" ht="18" customHeight="1" x14ac:dyDescent="0.25">
      <c r="B38" s="3"/>
      <c r="C38" s="43"/>
      <c r="D38" s="2" t="s">
        <v>61</v>
      </c>
      <c r="E38" s="4">
        <v>2.8</v>
      </c>
      <c r="F38" s="4">
        <v>3.5</v>
      </c>
      <c r="G38" s="5">
        <f t="shared" ref="G38:G40" si="7">E38*F38</f>
        <v>9.7999999999999989</v>
      </c>
      <c r="H38" s="4"/>
      <c r="I38" s="5"/>
      <c r="J38" s="4"/>
      <c r="K38" s="16"/>
      <c r="L38" s="11"/>
      <c r="M38" s="11"/>
      <c r="N38" s="5"/>
      <c r="O38" s="5">
        <f t="shared" si="6"/>
        <v>9.7999999999999989</v>
      </c>
    </row>
    <row r="39" spans="2:15" ht="18" customHeight="1" x14ac:dyDescent="0.25">
      <c r="B39" s="3"/>
      <c r="C39" s="4"/>
      <c r="D39" s="2" t="s">
        <v>60</v>
      </c>
      <c r="E39" s="4">
        <v>2.8</v>
      </c>
      <c r="F39" s="4">
        <v>2.35</v>
      </c>
      <c r="G39" s="5">
        <f t="shared" si="7"/>
        <v>6.58</v>
      </c>
      <c r="H39" s="4"/>
      <c r="I39" s="5"/>
      <c r="J39" s="4"/>
      <c r="K39" s="16"/>
      <c r="L39" s="11"/>
      <c r="M39" s="11"/>
      <c r="N39" s="5"/>
      <c r="O39" s="5">
        <f t="shared" si="6"/>
        <v>6.58</v>
      </c>
    </row>
    <row r="40" spans="2:15" ht="18" customHeight="1" x14ac:dyDescent="0.25">
      <c r="B40" s="3"/>
      <c r="C40" s="4"/>
      <c r="D40" s="2" t="s">
        <v>61</v>
      </c>
      <c r="E40" s="4">
        <v>2.8</v>
      </c>
      <c r="F40" s="4">
        <v>3.45</v>
      </c>
      <c r="G40" s="5">
        <f t="shared" si="7"/>
        <v>9.66</v>
      </c>
      <c r="H40" s="4"/>
      <c r="I40" s="5"/>
      <c r="J40" s="4"/>
      <c r="K40" s="16"/>
      <c r="L40" s="11"/>
      <c r="M40" s="11"/>
      <c r="N40" s="5"/>
      <c r="O40" s="5">
        <f t="shared" si="6"/>
        <v>9.66</v>
      </c>
    </row>
    <row r="41" spans="2:15" ht="18" customHeight="1" x14ac:dyDescent="0.25">
      <c r="B41" s="3"/>
      <c r="C41" s="4"/>
      <c r="D41" s="2" t="s">
        <v>61</v>
      </c>
      <c r="E41" s="4">
        <v>2.8</v>
      </c>
      <c r="F41" s="4">
        <v>3.45</v>
      </c>
      <c r="G41" s="5">
        <f t="shared" ref="G41:G54" si="8">E41*F41</f>
        <v>9.66</v>
      </c>
      <c r="H41" s="4"/>
      <c r="I41" s="4"/>
      <c r="J41" s="4"/>
      <c r="K41" s="16"/>
      <c r="L41" s="11"/>
      <c r="M41" s="11"/>
      <c r="N41" s="5"/>
      <c r="O41" s="5">
        <f t="shared" si="6"/>
        <v>9.66</v>
      </c>
    </row>
    <row r="42" spans="2:15" ht="18" customHeight="1" x14ac:dyDescent="0.25">
      <c r="B42" s="3"/>
      <c r="C42" s="4"/>
      <c r="D42" s="2" t="s">
        <v>60</v>
      </c>
      <c r="E42" s="4">
        <v>2.8</v>
      </c>
      <c r="F42" s="4">
        <v>1</v>
      </c>
      <c r="G42" s="5">
        <f t="shared" si="8"/>
        <v>2.8</v>
      </c>
      <c r="H42" s="4"/>
      <c r="I42" s="4"/>
      <c r="J42" s="4"/>
      <c r="K42" s="16"/>
      <c r="L42" s="11"/>
      <c r="M42" s="11"/>
      <c r="N42" s="5"/>
      <c r="O42" s="5">
        <f t="shared" si="6"/>
        <v>2.8</v>
      </c>
    </row>
    <row r="43" spans="2:15" ht="18" customHeight="1" x14ac:dyDescent="0.25">
      <c r="B43" s="4"/>
      <c r="C43" s="4"/>
      <c r="D43" s="2" t="s">
        <v>61</v>
      </c>
      <c r="E43" s="4">
        <v>2.8</v>
      </c>
      <c r="F43" s="4">
        <v>1</v>
      </c>
      <c r="G43" s="5">
        <f t="shared" si="8"/>
        <v>2.8</v>
      </c>
      <c r="H43" s="4"/>
      <c r="I43" s="4"/>
      <c r="J43" s="4"/>
      <c r="K43" s="16"/>
      <c r="L43" s="11"/>
      <c r="M43" s="11"/>
      <c r="N43" s="5"/>
      <c r="O43" s="5">
        <f t="shared" si="6"/>
        <v>2.8</v>
      </c>
    </row>
    <row r="44" spans="2:15" ht="18" customHeight="1" x14ac:dyDescent="0.25">
      <c r="B44" s="4"/>
      <c r="C44" s="4"/>
      <c r="D44" s="2" t="s">
        <v>60</v>
      </c>
      <c r="E44" s="4">
        <v>2.8</v>
      </c>
      <c r="F44" s="4">
        <v>5.4</v>
      </c>
      <c r="G44" s="5">
        <f t="shared" si="8"/>
        <v>15.12</v>
      </c>
      <c r="H44" s="4"/>
      <c r="I44" s="4"/>
      <c r="J44" s="4"/>
      <c r="K44" s="4"/>
      <c r="L44" s="4"/>
      <c r="M44" s="4"/>
      <c r="N44" s="4"/>
      <c r="O44" s="4">
        <f t="shared" si="6"/>
        <v>15.12</v>
      </c>
    </row>
    <row r="45" spans="2:15" ht="18" customHeight="1" x14ac:dyDescent="0.25">
      <c r="B45" s="4"/>
      <c r="C45" s="4"/>
      <c r="D45" s="2" t="s">
        <v>61</v>
      </c>
      <c r="E45" s="4">
        <v>2.8</v>
      </c>
      <c r="F45" s="4">
        <v>1.95</v>
      </c>
      <c r="G45" s="4">
        <f t="shared" si="8"/>
        <v>5.46</v>
      </c>
      <c r="H45" s="4"/>
      <c r="I45" s="4"/>
      <c r="J45" s="4"/>
      <c r="K45" s="4"/>
      <c r="L45" s="4"/>
      <c r="M45" s="4"/>
      <c r="N45" s="4"/>
      <c r="O45" s="4">
        <f t="shared" si="6"/>
        <v>5.46</v>
      </c>
    </row>
    <row r="46" spans="2:15" ht="18" customHeight="1" x14ac:dyDescent="0.25">
      <c r="B46" s="4"/>
      <c r="C46" s="4"/>
      <c r="D46" s="2" t="s">
        <v>60</v>
      </c>
      <c r="E46" s="4">
        <v>2.8</v>
      </c>
      <c r="F46" s="4">
        <v>1.3</v>
      </c>
      <c r="G46" s="5">
        <f t="shared" si="8"/>
        <v>3.6399999999999997</v>
      </c>
      <c r="H46" s="4"/>
      <c r="I46" s="4"/>
      <c r="J46" s="4"/>
      <c r="K46" s="4"/>
      <c r="L46" s="4"/>
      <c r="M46" s="4"/>
      <c r="N46" s="4"/>
      <c r="O46" s="4">
        <f t="shared" ref="O46:O57" si="9">G46-K46</f>
        <v>3.6399999999999997</v>
      </c>
    </row>
    <row r="47" spans="2:15" ht="18" customHeight="1" x14ac:dyDescent="0.25">
      <c r="B47" s="4"/>
      <c r="C47" s="4"/>
      <c r="D47" s="2" t="s">
        <v>61</v>
      </c>
      <c r="E47" s="4">
        <v>2.8</v>
      </c>
      <c r="F47" s="4">
        <v>1</v>
      </c>
      <c r="G47" s="4">
        <f t="shared" si="8"/>
        <v>2.8</v>
      </c>
      <c r="H47" s="4"/>
      <c r="I47" s="4"/>
      <c r="J47" s="4"/>
      <c r="K47" s="4"/>
      <c r="L47" s="4"/>
      <c r="M47" s="4"/>
      <c r="N47" s="4"/>
      <c r="O47" s="4">
        <f t="shared" si="9"/>
        <v>2.8</v>
      </c>
    </row>
    <row r="48" spans="2:15" ht="18" customHeight="1" x14ac:dyDescent="0.25">
      <c r="B48" s="4"/>
      <c r="C48" s="4"/>
      <c r="D48" s="2" t="s">
        <v>61</v>
      </c>
      <c r="E48" s="4">
        <v>2.8</v>
      </c>
      <c r="F48" s="4">
        <v>1</v>
      </c>
      <c r="G48" s="4">
        <f t="shared" si="8"/>
        <v>2.8</v>
      </c>
      <c r="H48" s="4"/>
      <c r="I48" s="4"/>
      <c r="J48" s="4"/>
      <c r="K48" s="4"/>
      <c r="L48" s="4"/>
      <c r="M48" s="4"/>
      <c r="N48" s="4"/>
      <c r="O48" s="4">
        <f t="shared" si="9"/>
        <v>2.8</v>
      </c>
    </row>
    <row r="49" spans="2:15" ht="18" customHeight="1" x14ac:dyDescent="0.25">
      <c r="B49" s="4"/>
      <c r="C49" s="4"/>
      <c r="D49" s="2" t="s">
        <v>60</v>
      </c>
      <c r="E49" s="4">
        <v>2.8</v>
      </c>
      <c r="F49" s="4">
        <v>4.8499999999999996</v>
      </c>
      <c r="G49" s="4">
        <f t="shared" si="8"/>
        <v>13.579999999999998</v>
      </c>
      <c r="H49" s="4"/>
      <c r="I49" s="4"/>
      <c r="J49" s="4"/>
      <c r="K49" s="4"/>
      <c r="L49" s="4"/>
      <c r="M49" s="4"/>
      <c r="N49" s="4"/>
      <c r="O49" s="4">
        <f t="shared" si="9"/>
        <v>13.579999999999998</v>
      </c>
    </row>
    <row r="50" spans="2:15" ht="18" customHeight="1" x14ac:dyDescent="0.25">
      <c r="B50" s="4"/>
      <c r="C50" s="4"/>
      <c r="D50" s="2" t="s">
        <v>61</v>
      </c>
      <c r="E50" s="4">
        <v>2.8</v>
      </c>
      <c r="F50" s="4">
        <v>1</v>
      </c>
      <c r="G50" s="4">
        <f t="shared" si="8"/>
        <v>2.8</v>
      </c>
      <c r="H50" s="4"/>
      <c r="I50" s="4"/>
      <c r="J50" s="4"/>
      <c r="K50" s="4"/>
      <c r="L50" s="4"/>
      <c r="M50" s="4"/>
      <c r="N50" s="4"/>
      <c r="O50" s="4">
        <f t="shared" si="9"/>
        <v>2.8</v>
      </c>
    </row>
    <row r="51" spans="2:15" ht="18" customHeight="1" x14ac:dyDescent="0.25">
      <c r="B51" s="4"/>
      <c r="C51" s="4"/>
      <c r="D51" s="2" t="s">
        <v>60</v>
      </c>
      <c r="E51" s="4">
        <v>2.8</v>
      </c>
      <c r="F51" s="4">
        <v>5.4</v>
      </c>
      <c r="G51" s="4">
        <f t="shared" si="8"/>
        <v>15.12</v>
      </c>
      <c r="H51" s="4"/>
      <c r="I51" s="4"/>
      <c r="J51" s="4"/>
      <c r="K51" s="4"/>
      <c r="L51" s="4"/>
      <c r="M51" s="4"/>
      <c r="N51" s="4"/>
      <c r="O51" s="4">
        <f t="shared" si="9"/>
        <v>15.12</v>
      </c>
    </row>
    <row r="52" spans="2:15" ht="18" customHeight="1" x14ac:dyDescent="0.25">
      <c r="B52" s="4"/>
      <c r="C52" s="2"/>
      <c r="D52" s="2" t="s">
        <v>61</v>
      </c>
      <c r="E52" s="4">
        <v>2.8</v>
      </c>
      <c r="F52" s="4">
        <v>1</v>
      </c>
      <c r="G52" s="4">
        <f t="shared" si="8"/>
        <v>2.8</v>
      </c>
      <c r="H52" s="2"/>
      <c r="I52" s="2"/>
      <c r="J52" s="2"/>
      <c r="K52" s="2"/>
      <c r="L52" s="2"/>
      <c r="M52" s="2"/>
      <c r="N52" s="2"/>
      <c r="O52" s="4">
        <f t="shared" si="9"/>
        <v>2.8</v>
      </c>
    </row>
    <row r="53" spans="2:15" ht="18" customHeight="1" x14ac:dyDescent="0.25">
      <c r="B53" s="4"/>
      <c r="C53" s="2"/>
      <c r="D53" s="2" t="s">
        <v>60</v>
      </c>
      <c r="E53" s="4">
        <v>2.8</v>
      </c>
      <c r="F53" s="4">
        <v>3.7</v>
      </c>
      <c r="G53" s="4">
        <f t="shared" si="8"/>
        <v>10.36</v>
      </c>
      <c r="H53" s="2"/>
      <c r="I53" s="2"/>
      <c r="J53" s="2"/>
      <c r="K53" s="2"/>
      <c r="L53" s="2"/>
      <c r="M53" s="2"/>
      <c r="N53" s="2"/>
      <c r="O53" s="4">
        <f t="shared" si="9"/>
        <v>10.36</v>
      </c>
    </row>
    <row r="54" spans="2:15" ht="18" customHeight="1" x14ac:dyDescent="0.25">
      <c r="B54" s="4"/>
      <c r="C54" s="2"/>
      <c r="D54" s="2" t="s">
        <v>61</v>
      </c>
      <c r="E54" s="4">
        <v>2.8</v>
      </c>
      <c r="F54" s="4">
        <v>1</v>
      </c>
      <c r="G54" s="4">
        <f t="shared" si="8"/>
        <v>2.8</v>
      </c>
      <c r="H54" s="2"/>
      <c r="I54" s="2"/>
      <c r="J54" s="2"/>
      <c r="K54" s="2"/>
      <c r="L54" s="2"/>
      <c r="M54" s="2"/>
      <c r="N54" s="2"/>
      <c r="O54" s="4">
        <f t="shared" si="9"/>
        <v>2.8</v>
      </c>
    </row>
    <row r="55" spans="2:15" ht="18" customHeight="1" x14ac:dyDescent="0.25">
      <c r="B55" s="4"/>
      <c r="C55" s="2"/>
      <c r="D55" s="2" t="s">
        <v>60</v>
      </c>
      <c r="E55" s="4">
        <v>2.8</v>
      </c>
      <c r="F55" s="4">
        <v>4.05</v>
      </c>
      <c r="G55" s="4">
        <f t="shared" ref="G55:G57" si="10">E55*F55</f>
        <v>11.339999999999998</v>
      </c>
      <c r="H55" s="2"/>
      <c r="I55" s="2"/>
      <c r="J55" s="2"/>
      <c r="K55" s="2"/>
      <c r="L55" s="2"/>
      <c r="M55" s="2"/>
      <c r="N55" s="2"/>
      <c r="O55" s="4">
        <f t="shared" si="9"/>
        <v>11.339999999999998</v>
      </c>
    </row>
    <row r="56" spans="2:15" ht="18" customHeight="1" x14ac:dyDescent="0.25">
      <c r="B56" s="4"/>
      <c r="C56" s="2"/>
      <c r="D56" s="2" t="s">
        <v>61</v>
      </c>
      <c r="E56" s="4">
        <v>2.8</v>
      </c>
      <c r="F56" s="4">
        <v>0.9</v>
      </c>
      <c r="G56" s="4">
        <f t="shared" si="10"/>
        <v>2.52</v>
      </c>
      <c r="H56" s="2"/>
      <c r="I56" s="2"/>
      <c r="J56" s="2"/>
      <c r="K56" s="2"/>
      <c r="L56" s="2"/>
      <c r="M56" s="2"/>
      <c r="N56" s="2"/>
      <c r="O56" s="4">
        <f t="shared" si="9"/>
        <v>2.52</v>
      </c>
    </row>
    <row r="57" spans="2:15" ht="18" customHeight="1" x14ac:dyDescent="0.25">
      <c r="B57" s="4"/>
      <c r="C57" s="2"/>
      <c r="D57" s="2" t="s">
        <v>60</v>
      </c>
      <c r="E57" s="4">
        <v>2.8</v>
      </c>
      <c r="F57" s="4">
        <v>0.3</v>
      </c>
      <c r="G57" s="4">
        <f t="shared" si="10"/>
        <v>0.84</v>
      </c>
      <c r="H57" s="2"/>
      <c r="I57" s="2"/>
      <c r="J57" s="2"/>
      <c r="K57" s="2"/>
      <c r="L57" s="2"/>
      <c r="M57" s="2"/>
      <c r="N57" s="2"/>
      <c r="O57" s="4">
        <f t="shared" si="9"/>
        <v>0.84</v>
      </c>
    </row>
    <row r="58" spans="2:15" ht="18" customHeight="1" x14ac:dyDescent="0.25">
      <c r="B58" s="4"/>
      <c r="C58" s="2"/>
      <c r="D58" s="2" t="s">
        <v>62</v>
      </c>
      <c r="E58" s="4">
        <v>2.8</v>
      </c>
      <c r="F58" s="4">
        <v>2</v>
      </c>
      <c r="G58" s="4">
        <f>E58*F58*4</f>
        <v>22.4</v>
      </c>
      <c r="H58" s="2"/>
      <c r="I58" s="2"/>
      <c r="J58" s="2"/>
      <c r="K58" s="2"/>
      <c r="L58" s="2"/>
      <c r="M58" s="2"/>
      <c r="N58" s="2"/>
      <c r="O58" s="4">
        <f t="shared" ref="O58" si="11">G58-K58</f>
        <v>22.4</v>
      </c>
    </row>
    <row r="59" spans="2:15" ht="18" customHeight="1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2:15" ht="18" customHeight="1" x14ac:dyDescent="0.25">
      <c r="B60" s="4"/>
      <c r="C60" s="4"/>
      <c r="D60" s="57" t="s">
        <v>17</v>
      </c>
      <c r="E60" s="57"/>
      <c r="F60" s="57"/>
      <c r="G60" s="14">
        <f>SUM(G35:G58)</f>
        <v>170.29599999999999</v>
      </c>
      <c r="H60" s="4"/>
      <c r="I60" s="57" t="s">
        <v>18</v>
      </c>
      <c r="J60" s="57"/>
      <c r="K60" s="57"/>
      <c r="L60" s="14">
        <f>SUM(L36:L52)</f>
        <v>0</v>
      </c>
      <c r="M60" s="14">
        <f>SUM(M36:M52)</f>
        <v>0</v>
      </c>
      <c r="N60" s="15"/>
      <c r="O60" s="14">
        <f>SUM(O35:O58)</f>
        <v>170.29599999999999</v>
      </c>
    </row>
    <row r="61" spans="2:15" ht="18" customHeight="1" x14ac:dyDescent="0.25"/>
    <row r="62" spans="2:15" ht="18" customHeight="1" x14ac:dyDescent="0.25">
      <c r="B62" s="3" t="s">
        <v>69</v>
      </c>
      <c r="C62" s="4">
        <v>21</v>
      </c>
      <c r="D62" s="2" t="s">
        <v>65</v>
      </c>
      <c r="E62" s="4">
        <v>2.3199999999999998</v>
      </c>
      <c r="F62" s="4">
        <v>3.4</v>
      </c>
      <c r="G62" s="5">
        <f>E62*F62*5</f>
        <v>39.44</v>
      </c>
      <c r="H62" s="4"/>
      <c r="I62" s="4"/>
      <c r="J62" s="4"/>
      <c r="K62" s="16"/>
      <c r="L62" s="11"/>
      <c r="M62" s="11"/>
      <c r="N62" s="5"/>
      <c r="O62" s="5">
        <f>G62-K62</f>
        <v>39.44</v>
      </c>
    </row>
    <row r="63" spans="2:15" ht="18" customHeight="1" x14ac:dyDescent="0.25">
      <c r="B63" s="3"/>
      <c r="C63" s="4">
        <v>22</v>
      </c>
      <c r="D63" s="2" t="s">
        <v>65</v>
      </c>
      <c r="E63" s="4">
        <v>2.3199999999999998</v>
      </c>
      <c r="F63" s="4">
        <v>1.74</v>
      </c>
      <c r="G63" s="5">
        <f t="shared" ref="G63:G71" si="12">E63*F63*5</f>
        <v>20.183999999999997</v>
      </c>
      <c r="H63" s="4">
        <v>2</v>
      </c>
      <c r="I63" s="4">
        <v>1</v>
      </c>
      <c r="J63" s="4">
        <v>4</v>
      </c>
      <c r="K63" s="16">
        <f>(H63*I63)*J63</f>
        <v>8</v>
      </c>
      <c r="L63" s="11">
        <f>((H63+I63)*2)*J63</f>
        <v>24</v>
      </c>
      <c r="M63" s="11">
        <f>I63*J63</f>
        <v>4</v>
      </c>
      <c r="N63" s="7"/>
      <c r="O63" s="5">
        <f>G63-K63</f>
        <v>12.183999999999997</v>
      </c>
    </row>
    <row r="64" spans="2:15" ht="18" customHeight="1" x14ac:dyDescent="0.25">
      <c r="B64" s="4"/>
      <c r="C64" s="4">
        <v>23</v>
      </c>
      <c r="D64" s="2" t="s">
        <v>65</v>
      </c>
      <c r="E64" s="4">
        <v>2.3199999999999998</v>
      </c>
      <c r="F64" s="4">
        <v>1.05</v>
      </c>
      <c r="G64" s="5">
        <f t="shared" si="12"/>
        <v>12.18</v>
      </c>
      <c r="N64" s="7"/>
      <c r="O64" s="5">
        <f>G64-K66</f>
        <v>11.1</v>
      </c>
    </row>
    <row r="65" spans="2:15" ht="18" customHeight="1" x14ac:dyDescent="0.25">
      <c r="B65" s="4"/>
      <c r="C65" s="4">
        <v>24</v>
      </c>
      <c r="D65" s="2" t="s">
        <v>65</v>
      </c>
      <c r="E65" s="4">
        <v>2.3199999999999998</v>
      </c>
      <c r="F65" s="4">
        <v>2.74</v>
      </c>
      <c r="G65" s="5">
        <f t="shared" si="12"/>
        <v>31.783999999999999</v>
      </c>
      <c r="H65" s="4"/>
      <c r="I65" s="4"/>
      <c r="J65" s="4"/>
      <c r="K65" s="7"/>
      <c r="L65" s="12"/>
      <c r="M65" s="12"/>
      <c r="N65" s="7"/>
      <c r="O65" s="5">
        <f>G65-K65</f>
        <v>31.783999999999999</v>
      </c>
    </row>
    <row r="66" spans="2:15" ht="18" customHeight="1" x14ac:dyDescent="0.25">
      <c r="C66" s="4">
        <v>25</v>
      </c>
      <c r="D66" s="2" t="s">
        <v>65</v>
      </c>
      <c r="E66" s="4">
        <v>2.3199999999999998</v>
      </c>
      <c r="F66" s="4">
        <v>2.46</v>
      </c>
      <c r="G66" s="5">
        <f t="shared" si="12"/>
        <v>28.535999999999998</v>
      </c>
      <c r="H66" s="4">
        <v>0.6</v>
      </c>
      <c r="I66" s="4">
        <v>0.45</v>
      </c>
      <c r="J66" s="4">
        <v>4</v>
      </c>
      <c r="K66" s="16">
        <f>(H66*I66)*J66</f>
        <v>1.08</v>
      </c>
      <c r="L66" s="11">
        <f>((H66+I66)*2)*J66</f>
        <v>8.4</v>
      </c>
      <c r="M66" s="11">
        <f>I66*J66</f>
        <v>1.8</v>
      </c>
      <c r="N66" s="7"/>
      <c r="O66" s="5">
        <f>G66-K66</f>
        <v>27.455999999999996</v>
      </c>
    </row>
    <row r="67" spans="2:15" ht="18" customHeight="1" x14ac:dyDescent="0.25">
      <c r="C67" s="4">
        <v>26</v>
      </c>
      <c r="D67" s="2" t="s">
        <v>65</v>
      </c>
      <c r="E67" s="4">
        <v>2.3199999999999998</v>
      </c>
      <c r="F67" s="4">
        <v>1.03</v>
      </c>
      <c r="G67" s="5">
        <f t="shared" si="12"/>
        <v>11.947999999999999</v>
      </c>
      <c r="H67" s="4"/>
      <c r="I67" s="4"/>
      <c r="J67" s="4"/>
      <c r="K67" s="16"/>
      <c r="L67" s="11"/>
      <c r="M67" s="11"/>
      <c r="N67" s="7"/>
      <c r="O67" s="5">
        <f>G67-K67</f>
        <v>11.947999999999999</v>
      </c>
    </row>
    <row r="68" spans="2:15" ht="18" customHeight="1" x14ac:dyDescent="0.25">
      <c r="C68" s="4">
        <v>27</v>
      </c>
      <c r="D68" s="2" t="s">
        <v>65</v>
      </c>
      <c r="E68" s="4">
        <v>2.3199999999999998</v>
      </c>
      <c r="F68" s="4">
        <v>2.02</v>
      </c>
      <c r="G68" s="5">
        <f t="shared" si="12"/>
        <v>23.431999999999999</v>
      </c>
      <c r="H68" s="4"/>
      <c r="I68" s="4"/>
      <c r="J68" s="4"/>
      <c r="K68" s="16"/>
      <c r="L68" s="11"/>
      <c r="M68" s="11"/>
      <c r="N68" s="7"/>
      <c r="O68" s="5">
        <f t="shared" ref="O68:O73" si="13">G68-K68</f>
        <v>23.431999999999999</v>
      </c>
    </row>
    <row r="69" spans="2:15" ht="18" customHeight="1" x14ac:dyDescent="0.25">
      <c r="C69" s="4">
        <v>28</v>
      </c>
      <c r="D69" s="2" t="s">
        <v>65</v>
      </c>
      <c r="E69" s="4">
        <v>2.3199999999999998</v>
      </c>
      <c r="F69" s="4">
        <v>1.58</v>
      </c>
      <c r="G69" s="5">
        <f t="shared" si="12"/>
        <v>18.327999999999999</v>
      </c>
      <c r="H69" s="4">
        <v>2</v>
      </c>
      <c r="I69" s="4">
        <v>1</v>
      </c>
      <c r="J69" s="4">
        <v>1</v>
      </c>
      <c r="K69" s="16">
        <f>(H69*I69)*J69</f>
        <v>2</v>
      </c>
      <c r="L69" s="11">
        <f>((H69+I69)*2)*J69</f>
        <v>6</v>
      </c>
      <c r="M69" s="11">
        <f>I69*J69</f>
        <v>1</v>
      </c>
      <c r="N69" s="7"/>
      <c r="O69" s="5">
        <f t="shared" si="13"/>
        <v>16.327999999999999</v>
      </c>
    </row>
    <row r="70" spans="2:15" ht="18" customHeight="1" x14ac:dyDescent="0.25">
      <c r="C70" s="4">
        <v>29</v>
      </c>
      <c r="D70" s="2" t="s">
        <v>65</v>
      </c>
      <c r="E70" s="4">
        <v>2.3199999999999998</v>
      </c>
      <c r="F70" s="4">
        <v>0.52</v>
      </c>
      <c r="G70" s="5">
        <f t="shared" si="12"/>
        <v>6.032</v>
      </c>
      <c r="H70" s="4"/>
      <c r="I70" s="4"/>
      <c r="J70" s="4"/>
      <c r="K70" s="16"/>
      <c r="L70" s="11"/>
      <c r="M70" s="11"/>
      <c r="N70" s="7"/>
      <c r="O70" s="5">
        <f t="shared" si="13"/>
        <v>6.032</v>
      </c>
    </row>
    <row r="71" spans="2:15" ht="18" customHeight="1" x14ac:dyDescent="0.25">
      <c r="C71" s="4">
        <v>30</v>
      </c>
      <c r="D71" s="1" t="s">
        <v>66</v>
      </c>
      <c r="E71" s="8">
        <v>1</v>
      </c>
      <c r="F71" s="8">
        <v>1.75</v>
      </c>
      <c r="G71" s="8">
        <f t="shared" si="12"/>
        <v>8.75</v>
      </c>
      <c r="K71" s="1"/>
      <c r="L71" s="1"/>
      <c r="M71" s="1"/>
      <c r="N71" s="1"/>
      <c r="O71" s="8">
        <f t="shared" si="13"/>
        <v>8.75</v>
      </c>
    </row>
    <row r="72" spans="2:15" ht="18" customHeight="1" x14ac:dyDescent="0.25">
      <c r="C72" s="4">
        <v>31</v>
      </c>
      <c r="D72" s="1" t="s">
        <v>67</v>
      </c>
      <c r="E72" s="8">
        <v>1.1000000000000001</v>
      </c>
      <c r="F72" s="8">
        <v>2.5</v>
      </c>
      <c r="G72" s="8">
        <f>(E72*F72)*8</f>
        <v>22</v>
      </c>
      <c r="K72" s="1"/>
      <c r="L72" s="1"/>
      <c r="M72" s="1"/>
      <c r="N72" s="1"/>
      <c r="O72" s="8">
        <f t="shared" si="13"/>
        <v>22</v>
      </c>
    </row>
    <row r="73" spans="2:15" ht="18" customHeight="1" x14ac:dyDescent="0.25">
      <c r="C73" s="4">
        <v>32</v>
      </c>
      <c r="D73" s="1" t="s">
        <v>68</v>
      </c>
      <c r="E73" s="8">
        <v>1.1499999999999999</v>
      </c>
      <c r="F73" s="8">
        <v>3</v>
      </c>
      <c r="G73" s="8">
        <f>(E73*F73)*8</f>
        <v>27.599999999999998</v>
      </c>
      <c r="K73" s="1"/>
      <c r="L73" s="1"/>
      <c r="M73" s="1"/>
      <c r="N73" s="1"/>
      <c r="O73" s="8">
        <f t="shared" si="13"/>
        <v>27.599999999999998</v>
      </c>
    </row>
    <row r="74" spans="2:15" ht="18" customHeight="1" x14ac:dyDescent="0.25">
      <c r="K74" s="1"/>
      <c r="L74" s="1"/>
      <c r="M74" s="1"/>
      <c r="N74" s="1"/>
      <c r="O74" s="1"/>
    </row>
    <row r="75" spans="2:15" ht="18" customHeight="1" x14ac:dyDescent="0.25">
      <c r="D75" s="56" t="s">
        <v>17</v>
      </c>
      <c r="E75" s="56"/>
      <c r="F75" s="56"/>
      <c r="G75" s="10">
        <f>SUM(G62:G73)</f>
        <v>250.214</v>
      </c>
      <c r="H75" s="4"/>
      <c r="I75" s="56" t="s">
        <v>18</v>
      </c>
      <c r="J75" s="56"/>
      <c r="K75" s="56"/>
      <c r="L75" s="10">
        <f>SUM(L50:L71)</f>
        <v>38.4</v>
      </c>
      <c r="M75" s="10">
        <f>SUM(M51:M71)</f>
        <v>6.8</v>
      </c>
      <c r="N75" s="21"/>
      <c r="O75" s="10">
        <f>SUM(O62:O73)</f>
        <v>238.054</v>
      </c>
    </row>
    <row r="76" spans="2:15" ht="18" customHeight="1" x14ac:dyDescent="0.25"/>
    <row r="77" spans="2:15" ht="18" customHeight="1" x14ac:dyDescent="0.25"/>
    <row r="78" spans="2:15" ht="18" customHeight="1" x14ac:dyDescent="0.25"/>
    <row r="79" spans="2:15" ht="18" customHeight="1" x14ac:dyDescent="0.25"/>
    <row r="80" spans="2:15" ht="18" customHeight="1" x14ac:dyDescent="0.25"/>
    <row r="81" ht="18" customHeight="1" x14ac:dyDescent="0.25"/>
    <row r="82" ht="18" customHeight="1" x14ac:dyDescent="0.25"/>
  </sheetData>
  <mergeCells count="11">
    <mergeCell ref="A2:O2"/>
    <mergeCell ref="E3:G3"/>
    <mergeCell ref="H3:K3"/>
    <mergeCell ref="D24:F24"/>
    <mergeCell ref="I24:K24"/>
    <mergeCell ref="D75:F75"/>
    <mergeCell ref="I75:K75"/>
    <mergeCell ref="D33:F33"/>
    <mergeCell ref="I33:K33"/>
    <mergeCell ref="D60:F60"/>
    <mergeCell ref="I60:K60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CANTIDADES</vt:lpstr>
      <vt:lpstr>CANTIDAD DE OBRA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Yhony Esli Palacios García</dc:creator>
  <cp:lastModifiedBy>Andrés Felipe Montoya Osorio</cp:lastModifiedBy>
  <cp:lastPrinted>2025-04-08T14:51:15Z</cp:lastPrinted>
  <dcterms:created xsi:type="dcterms:W3CDTF">2024-02-15T00:30:45Z</dcterms:created>
  <dcterms:modified xsi:type="dcterms:W3CDTF">2025-04-25T19:08:37Z</dcterms:modified>
</cp:coreProperties>
</file>