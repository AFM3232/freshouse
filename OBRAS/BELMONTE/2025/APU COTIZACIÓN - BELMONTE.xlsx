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montoyaosorio/Documents/TRABAJO/"/>
    </mc:Choice>
  </mc:AlternateContent>
  <xr:revisionPtr revIDLastSave="0" documentId="8_{455DD8D0-885D-3344-A17C-E27B17803D24}" xr6:coauthVersionLast="47" xr6:coauthVersionMax="47" xr10:uidLastSave="{00000000-0000-0000-0000-000000000000}"/>
  <bookViews>
    <workbookView xWindow="0" yWindow="680" windowWidth="29400" windowHeight="16860" activeTab="1" xr2:uid="{DCDBBDE6-686C-49CF-A060-6E45395EDD38}"/>
  </bookViews>
  <sheets>
    <sheet name="RESUMEN APU BELMONTE" sheetId="10" r:id="rId1"/>
    <sheet name="APU BELMONTE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0" l="1"/>
  <c r="E360" i="9" l="1"/>
  <c r="E362" i="9" s="1"/>
  <c r="D339" i="9" s="1"/>
  <c r="E339" i="9" s="1"/>
  <c r="E341" i="9" s="1"/>
  <c r="E355" i="9"/>
  <c r="E357" i="9" s="1"/>
  <c r="E348" i="9"/>
  <c r="E347" i="9"/>
  <c r="E346" i="9"/>
  <c r="E345" i="9"/>
  <c r="E344" i="9"/>
  <c r="C16" i="10"/>
  <c r="E327" i="9"/>
  <c r="E329" i="9" s="1"/>
  <c r="D307" i="9" s="1"/>
  <c r="E307" i="9" s="1"/>
  <c r="E310" i="9" s="1"/>
  <c r="E322" i="9"/>
  <c r="E324" i="9" s="1"/>
  <c r="E315" i="9"/>
  <c r="E314" i="9"/>
  <c r="E313" i="9"/>
  <c r="E308" i="9"/>
  <c r="C13" i="10"/>
  <c r="E297" i="9"/>
  <c r="E299" i="9" s="1"/>
  <c r="D276" i="9" s="1"/>
  <c r="E276" i="9" s="1"/>
  <c r="E279" i="9" s="1"/>
  <c r="E292" i="9"/>
  <c r="E294" i="9" s="1"/>
  <c r="E284" i="9"/>
  <c r="E283" i="9"/>
  <c r="E282" i="9"/>
  <c r="E277" i="9"/>
  <c r="C32" i="10"/>
  <c r="C31" i="10" s="1"/>
  <c r="E266" i="9"/>
  <c r="E268" i="9" s="1"/>
  <c r="D247" i="9" s="1"/>
  <c r="E247" i="9" s="1"/>
  <c r="E250" i="9" s="1"/>
  <c r="E263" i="9"/>
  <c r="E261" i="9"/>
  <c r="E256" i="9"/>
  <c r="E258" i="9" s="1"/>
  <c r="E254" i="9"/>
  <c r="E253" i="9"/>
  <c r="E248" i="9"/>
  <c r="C29" i="10"/>
  <c r="C28" i="10" s="1"/>
  <c r="C26" i="10"/>
  <c r="E237" i="9"/>
  <c r="E239" i="9" s="1"/>
  <c r="D218" i="9" s="1"/>
  <c r="E218" i="9" s="1"/>
  <c r="E221" i="9" s="1"/>
  <c r="E232" i="9"/>
  <c r="E234" i="9" s="1"/>
  <c r="E225" i="9"/>
  <c r="E224" i="9"/>
  <c r="E219" i="9"/>
  <c r="E208" i="9"/>
  <c r="E210" i="9" s="1"/>
  <c r="D188" i="9" s="1"/>
  <c r="E188" i="9" s="1"/>
  <c r="E191" i="9" s="1"/>
  <c r="E203" i="9"/>
  <c r="E205" i="9" s="1"/>
  <c r="E196" i="9"/>
  <c r="E195" i="9"/>
  <c r="E194" i="9"/>
  <c r="E198" i="9" s="1"/>
  <c r="E189" i="9"/>
  <c r="C22" i="10"/>
  <c r="E178" i="9"/>
  <c r="E180" i="9" s="1"/>
  <c r="D159" i="9" s="1"/>
  <c r="E159" i="9" s="1"/>
  <c r="E162" i="9" s="1"/>
  <c r="E173" i="9"/>
  <c r="E175" i="9" s="1"/>
  <c r="E166" i="9"/>
  <c r="E165" i="9"/>
  <c r="E160" i="9"/>
  <c r="E149" i="9"/>
  <c r="E151" i="9" s="1"/>
  <c r="D129" i="9" s="1"/>
  <c r="E129" i="9" s="1"/>
  <c r="E133" i="9" s="1"/>
  <c r="E146" i="9"/>
  <c r="E137" i="9"/>
  <c r="E139" i="9" s="1"/>
  <c r="E136" i="9"/>
  <c r="E131" i="9"/>
  <c r="E130" i="9"/>
  <c r="E350" i="9" l="1"/>
  <c r="E352" i="9" s="1"/>
  <c r="E364" i="9" s="1"/>
  <c r="C25" i="10"/>
  <c r="E317" i="9"/>
  <c r="E319" i="9" s="1"/>
  <c r="E331" i="9" s="1"/>
  <c r="E287" i="9"/>
  <c r="E289" i="9" s="1"/>
  <c r="E301" i="9" s="1"/>
  <c r="E270" i="9"/>
  <c r="E227" i="9"/>
  <c r="E229" i="9" s="1"/>
  <c r="E241" i="9" s="1"/>
  <c r="E200" i="9"/>
  <c r="E212" i="9" s="1"/>
  <c r="E141" i="9"/>
  <c r="E153" i="9" s="1"/>
  <c r="E168" i="9"/>
  <c r="E170" i="9" s="1"/>
  <c r="E182" i="9" s="1"/>
  <c r="C23" i="10" s="1"/>
  <c r="C21" i="10" s="1"/>
  <c r="C2" i="10" l="1"/>
  <c r="E119" i="9"/>
  <c r="E121" i="9" s="1"/>
  <c r="D99" i="9" s="1"/>
  <c r="E99" i="9" s="1"/>
  <c r="E101" i="9" s="1"/>
  <c r="E114" i="9"/>
  <c r="E116" i="9" s="1"/>
  <c r="E107" i="9"/>
  <c r="E106" i="9"/>
  <c r="E105" i="9"/>
  <c r="E104" i="9"/>
  <c r="E111" i="9" s="1"/>
  <c r="E88" i="9"/>
  <c r="E90" i="9" s="1"/>
  <c r="D66" i="9" s="1"/>
  <c r="E66" i="9" s="1"/>
  <c r="E69" i="9" s="1"/>
  <c r="E83" i="9"/>
  <c r="E85" i="9" s="1"/>
  <c r="E76" i="9"/>
  <c r="E75" i="9"/>
  <c r="E74" i="9"/>
  <c r="E73" i="9"/>
  <c r="E72" i="9"/>
  <c r="E78" i="9" s="1"/>
  <c r="E80" i="9" s="1"/>
  <c r="E67" i="9"/>
  <c r="E55" i="9"/>
  <c r="E57" i="9" s="1"/>
  <c r="D38" i="9" s="1"/>
  <c r="E38" i="9" s="1"/>
  <c r="E41" i="9" s="1"/>
  <c r="E50" i="9"/>
  <c r="E52" i="9" s="1"/>
  <c r="E45" i="9"/>
  <c r="E47" i="9" s="1"/>
  <c r="E39" i="9"/>
  <c r="E27" i="9"/>
  <c r="E25" i="9"/>
  <c r="E22" i="9"/>
  <c r="E13" i="9"/>
  <c r="E12" i="9"/>
  <c r="E17" i="9" s="1"/>
  <c r="E7" i="9"/>
  <c r="E6" i="9"/>
  <c r="E5" i="9"/>
  <c r="E9" i="9" s="1"/>
  <c r="E29" i="9" s="1"/>
  <c r="D5" i="9"/>
  <c r="E92" i="9" l="1"/>
  <c r="C6" i="10" s="1"/>
  <c r="E59" i="9"/>
  <c r="C5" i="10" s="1"/>
  <c r="C4" i="10" s="1"/>
  <c r="E123" i="9"/>
  <c r="C10" i="10" s="1"/>
  <c r="C18" i="10" l="1"/>
  <c r="C9" i="10"/>
  <c r="C15" i="10" l="1"/>
  <c r="C12" i="10"/>
  <c r="C8" i="10"/>
</calcChain>
</file>

<file path=xl/sharedStrings.xml><?xml version="1.0" encoding="utf-8"?>
<sst xmlns="http://schemas.openxmlformats.org/spreadsheetml/2006/main" count="625" uniqueCount="119">
  <si>
    <t>ITEM</t>
  </si>
  <si>
    <t>1.0</t>
  </si>
  <si>
    <t>UNIDAD</t>
  </si>
  <si>
    <t>M2</t>
  </si>
  <si>
    <t>I. EQUIPOS</t>
  </si>
  <si>
    <t>DESCRIPCIÓN</t>
  </si>
  <si>
    <t>RENDIMIENTO</t>
  </si>
  <si>
    <t>TARIFA</t>
  </si>
  <si>
    <t>VALOR - PARCIAL</t>
  </si>
  <si>
    <t>Herramienta menor</t>
  </si>
  <si>
    <t>%MO</t>
  </si>
  <si>
    <t>SUB - TOTAL</t>
  </si>
  <si>
    <t>II. MATERIALES</t>
  </si>
  <si>
    <t>CANTIDAD</t>
  </si>
  <si>
    <t>PRECIO - UNIT</t>
  </si>
  <si>
    <t>Desperdicio 2%</t>
  </si>
  <si>
    <t>III. TRANSPORTE</t>
  </si>
  <si>
    <t>Acarreo LUV</t>
  </si>
  <si>
    <t>Día</t>
  </si>
  <si>
    <t>IV. MANO DE OBRA</t>
  </si>
  <si>
    <t>JORNAL</t>
  </si>
  <si>
    <t xml:space="preserve">Oficial </t>
  </si>
  <si>
    <t>TOTAL UNITARIO</t>
  </si>
  <si>
    <t>Und</t>
  </si>
  <si>
    <t>Paral Estructural</t>
  </si>
  <si>
    <t>Canal Estructural</t>
  </si>
  <si>
    <t>Tornillos</t>
  </si>
  <si>
    <t>CUADRILLA 1: 1 Oficial y 1 ayudante</t>
  </si>
  <si>
    <t>Emulsión asfáltica x 18kg</t>
  </si>
  <si>
    <t>KG</t>
  </si>
  <si>
    <t>Manto de refuerzo - Sika Felp</t>
  </si>
  <si>
    <t>Desperdicio 3%</t>
  </si>
  <si>
    <t xml:space="preserve">Acarreo </t>
  </si>
  <si>
    <t>Oficial</t>
  </si>
  <si>
    <t>GL</t>
  </si>
  <si>
    <t>ML</t>
  </si>
  <si>
    <t>Desperdicio 5%</t>
  </si>
  <si>
    <t>UND</t>
  </si>
  <si>
    <t>VALOR</t>
  </si>
  <si>
    <t xml:space="preserve">ACTIVIDAD: Lavado General de Superficies </t>
  </si>
  <si>
    <t>Hipoclorito</t>
  </si>
  <si>
    <t xml:space="preserve">Agua </t>
  </si>
  <si>
    <t>Práctico</t>
  </si>
  <si>
    <t>Equipo Hidrolavadora</t>
  </si>
  <si>
    <t>Equipos Freshouse</t>
  </si>
  <si>
    <t>2.1</t>
  </si>
  <si>
    <t>2.4</t>
  </si>
  <si>
    <t>Retiro y Reemplazo de Superboard</t>
  </si>
  <si>
    <t>Remoción de lámina superboard</t>
  </si>
  <si>
    <t>ACTIVIDAD: Remoción de lámina superboard</t>
  </si>
  <si>
    <t>ACTIVIDAD: Restructuración e Instalación de lámina de fibrocemento</t>
  </si>
  <si>
    <t>Restructuración e Instalación de lámina de fibrocemento</t>
  </si>
  <si>
    <t>Retiro y Reemplazo de lamina Drywall</t>
  </si>
  <si>
    <t>ACTIVIDAD: Restructuración e Instalación de lámina de panel yeso</t>
  </si>
  <si>
    <t>Lamina fibrocemento de 1/2</t>
  </si>
  <si>
    <t>Remoción de lámina de panel yeso</t>
  </si>
  <si>
    <t>2.5</t>
  </si>
  <si>
    <t>Dilatación plástica</t>
  </si>
  <si>
    <t>Lavado de superficie</t>
  </si>
  <si>
    <t>CÑ</t>
  </si>
  <si>
    <t xml:space="preserve">Rodillo 9" </t>
  </si>
  <si>
    <t>Brocha</t>
  </si>
  <si>
    <t>3.1</t>
  </si>
  <si>
    <t>ACTIVIDAD: Suministro y Aplicación de Pintura para exteriores</t>
  </si>
  <si>
    <t>Suministro y Aplicación de Pintura para exteriores</t>
  </si>
  <si>
    <t>3.3</t>
  </si>
  <si>
    <t>3.5</t>
  </si>
  <si>
    <t>Suministro y Aplicación de Pintura para interiores</t>
  </si>
  <si>
    <t>ACTIVIDAD: Suministro y Aplicación de Pintura para interiores</t>
  </si>
  <si>
    <t>Viniltex Advance</t>
  </si>
  <si>
    <t>Pintulux 3 en 1</t>
  </si>
  <si>
    <t>Suministro y Aplicación de Pintura en barandas</t>
  </si>
  <si>
    <t>Lija de agua</t>
  </si>
  <si>
    <t>3.8</t>
  </si>
  <si>
    <t>3.9</t>
  </si>
  <si>
    <t>4.1</t>
  </si>
  <si>
    <t>Lavado e impermeabilización de Viga Canal</t>
  </si>
  <si>
    <t>ACTIVIDAD: Impermeabilización de viga canal</t>
  </si>
  <si>
    <t>Soudaflex</t>
  </si>
  <si>
    <t>4.3</t>
  </si>
  <si>
    <t>Sellado Perimetral de ventaneria</t>
  </si>
  <si>
    <t>ACTIVIDAD: Sellado Perimetral de ventaneria</t>
  </si>
  <si>
    <t>Cuchillas</t>
  </si>
  <si>
    <t>4.2.1</t>
  </si>
  <si>
    <t>Limpiador desegrasante</t>
  </si>
  <si>
    <t>Retiro y Reemplazo de Superboard y Drywall</t>
  </si>
  <si>
    <t>Lamina fibrocemento de 8mm</t>
  </si>
  <si>
    <t>A</t>
  </si>
  <si>
    <t>Limpieza Profunda</t>
  </si>
  <si>
    <t>B</t>
  </si>
  <si>
    <t>Impermeabilización Sikalastic 612</t>
  </si>
  <si>
    <t>Sikalimpiador rinse</t>
  </si>
  <si>
    <t>ACTIVIDAD: Impermeabilización sikalastic 612</t>
  </si>
  <si>
    <t>Equipo Fresh house</t>
  </si>
  <si>
    <t>ACTIVIDAD: Limpieza profunda</t>
  </si>
  <si>
    <t>sikalastic 615</t>
  </si>
  <si>
    <t>CÑT</t>
  </si>
  <si>
    <t>Impermeabilización de viga canal</t>
  </si>
  <si>
    <t>ACTIVIDAD: Sellado de laminas de Superboard</t>
  </si>
  <si>
    <t>Sellado Laminas de Superboard</t>
  </si>
  <si>
    <t>Koraza Sol y Lluvia</t>
  </si>
  <si>
    <t>Oficial+ayudante soporte</t>
  </si>
  <si>
    <t>Oficial + Ayudante soporte</t>
  </si>
  <si>
    <t>ACTIVIDAD: Suministro y Aplicación de Pintura de Esmalte</t>
  </si>
  <si>
    <t>Varsol</t>
  </si>
  <si>
    <t>Suministro y Aplicación de Esmalte Pintulux</t>
  </si>
  <si>
    <t>2.4.1</t>
  </si>
  <si>
    <t>2.4.2</t>
  </si>
  <si>
    <t>2.5.1</t>
  </si>
  <si>
    <t>2.5.2</t>
  </si>
  <si>
    <t>4.1.1</t>
  </si>
  <si>
    <t>4.3.1</t>
  </si>
  <si>
    <t>3.1.1</t>
  </si>
  <si>
    <t>3.1.2</t>
  </si>
  <si>
    <t>Impermeabilización de placas y de cubierta en concreto</t>
  </si>
  <si>
    <t>3.3.1</t>
  </si>
  <si>
    <t>3.9.1</t>
  </si>
  <si>
    <t>3.10</t>
  </si>
  <si>
    <t>3.10.1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</si>
</sst>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&quot;$&quot;\ #,##0"/>
    <numFmt numFmtId="165" formatCode="0.000"/>
    <numFmt numFmtId="166" formatCode="0.0"/>
    <numFmt numFmtId="167" formatCode="_-&quot;$&quot;\ * #,##0.0000_-;\-&quot;$&quot;\ * #,##0.0000_-;_-&quot;$&quot;\ * &quot;-&quot;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Swis721 BT"/>
      <family val="2"/>
    </font>
    <font>
      <sz val="11"/>
      <name val="Swis721 BT"/>
      <family val="2"/>
    </font>
    <font>
      <b/>
      <sz val="10"/>
      <color theme="0"/>
      <name val="Swis721 BT"/>
      <family val="2"/>
    </font>
    <font>
      <sz val="10"/>
      <name val="Swis721 BT"/>
      <family val="2"/>
    </font>
    <font>
      <b/>
      <sz val="10"/>
      <color theme="1"/>
      <name val="Swis721 BT"/>
      <family val="2"/>
    </font>
    <font>
      <sz val="10"/>
      <color theme="1"/>
      <name val="Swis721 BT"/>
      <family val="2"/>
    </font>
    <font>
      <sz val="10"/>
      <color rgb="FF000000"/>
      <name val="Swis721 BT"/>
      <family val="2"/>
    </font>
    <font>
      <b/>
      <sz val="10"/>
      <color rgb="FF000000"/>
      <name val="Swis721 BT"/>
      <family val="2"/>
    </font>
    <font>
      <b/>
      <sz val="10"/>
      <color theme="0" tint="-4.9989318521683403E-2"/>
      <name val="Swis721 BT"/>
      <family val="2"/>
    </font>
  </fonts>
  <fills count="14">
    <fill>
      <patternFill patternType="none"/>
    </fill>
    <fill>
      <patternFill patternType="gray125"/>
    </fill>
    <fill>
      <patternFill patternType="solid">
        <fgColor rgb="FF315761"/>
        <bgColor rgb="FF333F4F"/>
      </patternFill>
    </fill>
    <fill>
      <patternFill patternType="solid">
        <fgColor rgb="FF315761"/>
        <bgColor indexed="64"/>
      </patternFill>
    </fill>
    <fill>
      <patternFill patternType="solid">
        <fgColor theme="2" tint="-9.9978637043366805E-2"/>
        <bgColor rgb="FF8496B0"/>
      </patternFill>
    </fill>
    <fill>
      <patternFill patternType="solid">
        <fgColor rgb="FF64A0B0"/>
        <bgColor rgb="FF333F4F"/>
      </patternFill>
    </fill>
    <fill>
      <patternFill patternType="solid">
        <fgColor rgb="FF64A0B0"/>
        <bgColor indexed="64"/>
      </patternFill>
    </fill>
    <fill>
      <patternFill patternType="solid">
        <fgColor theme="6" tint="0.39997558519241921"/>
        <bgColor rgb="FF8496B0"/>
      </patternFill>
    </fill>
    <fill>
      <patternFill patternType="solid">
        <fgColor theme="6" tint="0.79998168889431442"/>
        <bgColor rgb="FFD6DCE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4A0B0"/>
        <bgColor rgb="FF8496B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7B89"/>
        <bgColor indexed="64"/>
      </patternFill>
    </fill>
    <fill>
      <patternFill patternType="solid">
        <fgColor rgb="FFFF7B89"/>
        <bgColor rgb="FF333F4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2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vertical="center"/>
    </xf>
    <xf numFmtId="0" fontId="5" fillId="3" borderId="0" xfId="2" applyFont="1" applyFill="1" applyAlignment="1">
      <alignment horizontal="center" vertical="center"/>
    </xf>
    <xf numFmtId="0" fontId="7" fillId="4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64" fontId="8" fillId="0" borderId="0" xfId="2" applyNumberFormat="1" applyFont="1" applyAlignment="1">
      <alignment horizontal="right" vertical="center"/>
    </xf>
    <xf numFmtId="164" fontId="7" fillId="8" borderId="0" xfId="2" applyNumberFormat="1" applyFont="1" applyFill="1" applyAlignment="1">
      <alignment horizontal="right" vertical="center"/>
    </xf>
    <xf numFmtId="0" fontId="8" fillId="0" borderId="0" xfId="2" applyFont="1" applyAlignment="1">
      <alignment horizontal="left" vertical="center"/>
    </xf>
    <xf numFmtId="1" fontId="9" fillId="0" borderId="0" xfId="2" applyNumberFormat="1" applyFont="1" applyAlignment="1">
      <alignment horizontal="center" vertical="center"/>
    </xf>
    <xf numFmtId="165" fontId="9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7" fillId="0" borderId="0" xfId="2" applyFont="1" applyAlignment="1">
      <alignment horizontal="right" vertical="center"/>
    </xf>
    <xf numFmtId="0" fontId="6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2" fontId="9" fillId="0" borderId="0" xfId="2" applyNumberFormat="1" applyFont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166" fontId="9" fillId="0" borderId="0" xfId="2" applyNumberFormat="1" applyFont="1" applyAlignment="1">
      <alignment horizontal="center" vertical="center"/>
    </xf>
    <xf numFmtId="44" fontId="8" fillId="0" borderId="0" xfId="1" applyFont="1" applyAlignment="1">
      <alignment horizontal="center" vertical="center"/>
    </xf>
    <xf numFmtId="44" fontId="6" fillId="0" borderId="0" xfId="1" applyFont="1" applyAlignment="1">
      <alignment vertical="center"/>
    </xf>
    <xf numFmtId="44" fontId="10" fillId="11" borderId="0" xfId="2" applyNumberFormat="1" applyFont="1" applyFill="1" applyAlignment="1">
      <alignment horizontal="center" vertical="center"/>
    </xf>
    <xf numFmtId="0" fontId="11" fillId="10" borderId="0" xfId="2" applyFont="1" applyFill="1" applyAlignment="1">
      <alignment horizontal="center" vertical="center"/>
    </xf>
    <xf numFmtId="0" fontId="7" fillId="11" borderId="0" xfId="2" applyFont="1" applyFill="1" applyAlignment="1">
      <alignment horizontal="center" vertical="center"/>
    </xf>
    <xf numFmtId="0" fontId="7" fillId="11" borderId="0" xfId="2" applyFont="1" applyFill="1" applyAlignment="1">
      <alignment horizontal="left" vertical="center" wrapText="1"/>
    </xf>
    <xf numFmtId="0" fontId="3" fillId="13" borderId="0" xfId="2" applyFont="1" applyFill="1" applyAlignment="1">
      <alignment horizontal="left" vertical="center"/>
    </xf>
    <xf numFmtId="0" fontId="4" fillId="12" borderId="0" xfId="2" applyFont="1" applyFill="1" applyAlignment="1">
      <alignment vertical="center"/>
    </xf>
    <xf numFmtId="0" fontId="5" fillId="12" borderId="0" xfId="2" applyFont="1" applyFill="1" applyAlignment="1">
      <alignment horizontal="center" vertical="center"/>
    </xf>
    <xf numFmtId="0" fontId="5" fillId="13" borderId="0" xfId="2" applyFont="1" applyFill="1" applyAlignment="1">
      <alignment horizontal="center" vertical="center"/>
    </xf>
    <xf numFmtId="0" fontId="11" fillId="0" borderId="0" xfId="2" applyFont="1" applyAlignment="1">
      <alignment horizontal="center" vertical="center"/>
    </xf>
    <xf numFmtId="167" fontId="0" fillId="0" borderId="0" xfId="3" applyNumberFormat="1" applyFont="1"/>
    <xf numFmtId="0" fontId="7" fillId="8" borderId="0" xfId="2" applyFont="1" applyFill="1" applyAlignment="1">
      <alignment horizontal="right" vertical="center"/>
    </xf>
    <xf numFmtId="0" fontId="6" fillId="9" borderId="0" xfId="2" applyFont="1" applyFill="1" applyAlignment="1">
      <alignment vertical="center"/>
    </xf>
    <xf numFmtId="0" fontId="5" fillId="3" borderId="0" xfId="2" applyFont="1" applyFill="1" applyAlignment="1">
      <alignment horizontal="left" vertical="center"/>
    </xf>
    <xf numFmtId="0" fontId="6" fillId="3" borderId="0" xfId="2" applyFont="1" applyFill="1" applyAlignment="1">
      <alignment vertical="center"/>
    </xf>
    <xf numFmtId="0" fontId="7" fillId="0" borderId="0" xfId="2" applyFont="1" applyAlignment="1">
      <alignment horizontal="center" vertical="center"/>
    </xf>
    <xf numFmtId="0" fontId="6" fillId="0" borderId="0" xfId="2" applyFont="1" applyAlignment="1">
      <alignment vertical="center"/>
    </xf>
    <xf numFmtId="0" fontId="5" fillId="5" borderId="0" xfId="2" applyFont="1" applyFill="1" applyAlignment="1">
      <alignment horizontal="left" vertical="center"/>
    </xf>
    <xf numFmtId="0" fontId="6" fillId="6" borderId="0" xfId="2" applyFont="1" applyFill="1" applyAlignment="1">
      <alignment vertical="center"/>
    </xf>
    <xf numFmtId="0" fontId="7" fillId="0" borderId="0" xfId="2" applyFont="1" applyAlignment="1">
      <alignment horizontal="right" vertical="center"/>
    </xf>
    <xf numFmtId="0" fontId="5" fillId="2" borderId="0" xfId="2" applyFont="1" applyFill="1" applyAlignment="1">
      <alignment horizontal="left" vertical="center"/>
    </xf>
    <xf numFmtId="0" fontId="5" fillId="12" borderId="0" xfId="2" applyFont="1" applyFill="1" applyAlignment="1">
      <alignment horizontal="left" vertical="center"/>
    </xf>
    <xf numFmtId="0" fontId="6" fillId="12" borderId="0" xfId="2" applyFont="1" applyFill="1" applyAlignment="1">
      <alignment vertical="center"/>
    </xf>
    <xf numFmtId="0" fontId="5" fillId="13" borderId="0" xfId="2" applyFont="1" applyFill="1" applyAlignment="1">
      <alignment horizontal="left" vertical="center"/>
    </xf>
    <xf numFmtId="0" fontId="5" fillId="12" borderId="0" xfId="2" applyFont="1" applyFill="1" applyAlignment="1">
      <alignment horizontal="left" vertical="center" wrapText="1"/>
    </xf>
    <xf numFmtId="0" fontId="6" fillId="12" borderId="0" xfId="2" applyFont="1" applyFill="1" applyAlignment="1">
      <alignment vertical="center" wrapText="1"/>
    </xf>
    <xf numFmtId="0" fontId="5" fillId="13" borderId="0" xfId="2" applyFont="1" applyFill="1" applyAlignment="1">
      <alignment horizontal="left" vertical="center" wrapText="1"/>
    </xf>
    <xf numFmtId="0" fontId="7" fillId="9" borderId="0" xfId="2" applyFont="1" applyFill="1" applyAlignment="1">
      <alignment horizontal="center" vertical="center"/>
    </xf>
    <xf numFmtId="0" fontId="7" fillId="9" borderId="0" xfId="2" applyFont="1" applyFill="1" applyAlignment="1">
      <alignment horizontal="left" vertical="center" wrapText="1"/>
    </xf>
    <xf numFmtId="44" fontId="10" fillId="9" borderId="0" xfId="2" applyNumberFormat="1" applyFont="1" applyFill="1" applyAlignment="1">
      <alignment horizontal="center" vertical="center"/>
    </xf>
  </cellXfs>
  <cellStyles count="4">
    <cellStyle name="Moneda" xfId="1" builtinId="4"/>
    <cellStyle name="Moneda [0]" xfId="3" builtinId="7"/>
    <cellStyle name="Normal" xfId="0" builtinId="0"/>
    <cellStyle name="Normal 2" xfId="2" xr:uid="{A77CDD94-9DDF-4F34-9F90-C2867F37B82D}"/>
  </cellStyles>
  <dxfs count="0"/>
  <tableStyles count="0" defaultTableStyle="TableStyleMedium2" defaultPivotStyle="PivotStyleLight16"/>
  <colors>
    <mruColors>
      <color rgb="FF64A0B0"/>
      <color rgb="FFFF7B89"/>
      <color rgb="FFFFBDC3"/>
      <color rgb="FFC0D8DE"/>
      <color rgb="FF9CC2CC"/>
      <color rgb="FF3157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15A4-B5EF-9E49-A2B0-4C173F9EF063}">
  <dimension ref="A1:F32"/>
  <sheetViews>
    <sheetView workbookViewId="0">
      <selection activeCell="E15" sqref="E15"/>
    </sheetView>
  </sheetViews>
  <sheetFormatPr baseColWidth="10" defaultRowHeight="15"/>
  <cols>
    <col min="1" max="1" width="13.83203125" customWidth="1"/>
    <col min="2" max="2" width="56.1640625" customWidth="1"/>
    <col min="3" max="5" width="18.6640625" customWidth="1"/>
    <col min="6" max="6" width="11.5" bestFit="1" customWidth="1"/>
  </cols>
  <sheetData>
    <row r="1" spans="1:3">
      <c r="A1" s="23" t="s">
        <v>0</v>
      </c>
      <c r="B1" s="23" t="s">
        <v>5</v>
      </c>
      <c r="C1" s="23" t="s">
        <v>38</v>
      </c>
    </row>
    <row r="2" spans="1:3">
      <c r="A2" s="24" t="s">
        <v>45</v>
      </c>
      <c r="B2" s="25" t="s">
        <v>58</v>
      </c>
      <c r="C2" s="22">
        <f>'APU BELMONTE'!E29</f>
        <v>4200</v>
      </c>
    </row>
    <row r="3" spans="1:3">
      <c r="A3" s="30"/>
      <c r="B3" s="30"/>
      <c r="C3" s="30"/>
    </row>
    <row r="4" spans="1:3">
      <c r="A4" s="24" t="s">
        <v>46</v>
      </c>
      <c r="B4" s="25" t="s">
        <v>47</v>
      </c>
      <c r="C4" s="22">
        <f>SUM(C5:C6)</f>
        <v>78500</v>
      </c>
    </row>
    <row r="5" spans="1:3">
      <c r="A5" s="6" t="s">
        <v>106</v>
      </c>
      <c r="B5" s="10" t="s">
        <v>48</v>
      </c>
      <c r="C5" s="20">
        <f>'APU BELMONTE'!E59</f>
        <v>12600</v>
      </c>
    </row>
    <row r="6" spans="1:3">
      <c r="A6" s="6" t="s">
        <v>107</v>
      </c>
      <c r="B6" s="10" t="s">
        <v>51</v>
      </c>
      <c r="C6" s="21">
        <f>'APU BELMONTE'!E92</f>
        <v>65900</v>
      </c>
    </row>
    <row r="7" spans="1:3">
      <c r="A7" s="6"/>
      <c r="B7" s="10"/>
      <c r="C7" s="21"/>
    </row>
    <row r="8" spans="1:3">
      <c r="A8" s="24" t="s">
        <v>56</v>
      </c>
      <c r="B8" s="25" t="s">
        <v>52</v>
      </c>
      <c r="C8" s="22">
        <f>SUM(C9:C10)</f>
        <v>57200</v>
      </c>
    </row>
    <row r="9" spans="1:3">
      <c r="A9" s="6" t="s">
        <v>108</v>
      </c>
      <c r="B9" s="10" t="s">
        <v>55</v>
      </c>
      <c r="C9" s="20">
        <f>C5</f>
        <v>12600</v>
      </c>
    </row>
    <row r="10" spans="1:3">
      <c r="A10" s="6" t="s">
        <v>109</v>
      </c>
      <c r="B10" s="10" t="s">
        <v>51</v>
      </c>
      <c r="C10" s="21">
        <f>'APU BELMONTE'!E123</f>
        <v>44600</v>
      </c>
    </row>
    <row r="11" spans="1:3">
      <c r="A11" s="16"/>
      <c r="B11" s="16"/>
      <c r="C11" s="16"/>
    </row>
    <row r="12" spans="1:3">
      <c r="A12" s="24" t="s">
        <v>110</v>
      </c>
      <c r="B12" s="25" t="s">
        <v>64</v>
      </c>
      <c r="C12" s="22">
        <f>SUM(C13:C13)</f>
        <v>19999.999999999985</v>
      </c>
    </row>
    <row r="13" spans="1:3">
      <c r="A13" s="6"/>
      <c r="B13" s="10" t="s">
        <v>64</v>
      </c>
      <c r="C13" s="20">
        <f>'APU BELMONTE'!E301</f>
        <v>19999.999999999985</v>
      </c>
    </row>
    <row r="14" spans="1:3">
      <c r="A14" s="16"/>
      <c r="B14" s="16"/>
      <c r="C14" s="16"/>
    </row>
    <row r="15" spans="1:3">
      <c r="A15" s="48" t="s">
        <v>111</v>
      </c>
      <c r="B15" s="49" t="s">
        <v>67</v>
      </c>
      <c r="C15" s="50">
        <f>SUM(C16:C16)</f>
        <v>13000</v>
      </c>
    </row>
    <row r="16" spans="1:3">
      <c r="A16" s="6"/>
      <c r="B16" s="10" t="s">
        <v>67</v>
      </c>
      <c r="C16" s="20">
        <f>'APU BELMONTE'!E331</f>
        <v>13000</v>
      </c>
    </row>
    <row r="17" spans="1:6">
      <c r="A17" s="16"/>
      <c r="B17" s="16"/>
      <c r="C17" s="16"/>
    </row>
    <row r="18" spans="1:6">
      <c r="A18" s="48" t="s">
        <v>83</v>
      </c>
      <c r="B18" s="49" t="s">
        <v>105</v>
      </c>
      <c r="C18" s="50">
        <f>SUM(C19:C19)</f>
        <v>24300</v>
      </c>
    </row>
    <row r="19" spans="1:6">
      <c r="A19" s="6"/>
      <c r="B19" s="10" t="s">
        <v>71</v>
      </c>
      <c r="C19" s="20">
        <f>'APU BELMONTE'!E364</f>
        <v>24300</v>
      </c>
    </row>
    <row r="20" spans="1:6">
      <c r="A20" s="16"/>
      <c r="B20" s="16"/>
      <c r="C20" s="16"/>
    </row>
    <row r="21" spans="1:6">
      <c r="A21" s="24" t="s">
        <v>62</v>
      </c>
      <c r="B21" s="25" t="s">
        <v>114</v>
      </c>
      <c r="C21" s="22">
        <f>SUM(C22:C23)</f>
        <v>165200</v>
      </c>
    </row>
    <row r="22" spans="1:6">
      <c r="A22" s="6" t="s">
        <v>112</v>
      </c>
      <c r="B22" s="10" t="s">
        <v>88</v>
      </c>
      <c r="C22" s="20">
        <f>'APU BELMONTE'!E153</f>
        <v>6230.9920000000002</v>
      </c>
    </row>
    <row r="23" spans="1:6">
      <c r="A23" s="6" t="s">
        <v>113</v>
      </c>
      <c r="B23" s="10" t="s">
        <v>90</v>
      </c>
      <c r="C23" s="21">
        <f>'APU BELMONTE'!E182</f>
        <v>158969.008</v>
      </c>
    </row>
    <row r="25" spans="1:6" s="16" customFormat="1" ht="18" customHeight="1">
      <c r="A25" s="24" t="s">
        <v>65</v>
      </c>
      <c r="B25" s="25" t="s">
        <v>97</v>
      </c>
      <c r="C25" s="22">
        <f>C26</f>
        <v>13600</v>
      </c>
    </row>
    <row r="26" spans="1:6" s="16" customFormat="1" ht="18" customHeight="1">
      <c r="A26" s="6" t="s">
        <v>115</v>
      </c>
      <c r="B26" s="10" t="s">
        <v>76</v>
      </c>
      <c r="C26" s="20">
        <f>'APU BELMONTE'!E212</f>
        <v>13600</v>
      </c>
      <c r="D26"/>
      <c r="E26"/>
      <c r="F26"/>
    </row>
    <row r="28" spans="1:6" s="16" customFormat="1" ht="18" customHeight="1">
      <c r="A28" s="24" t="s">
        <v>74</v>
      </c>
      <c r="B28" s="25" t="s">
        <v>80</v>
      </c>
      <c r="C28" s="22">
        <f>C29</f>
        <v>5199.9999999999991</v>
      </c>
      <c r="D28"/>
      <c r="E28"/>
      <c r="F28"/>
    </row>
    <row r="29" spans="1:6" s="16" customFormat="1" ht="18" customHeight="1">
      <c r="A29" s="6" t="s">
        <v>116</v>
      </c>
      <c r="B29" s="10" t="s">
        <v>80</v>
      </c>
      <c r="C29" s="20">
        <f>'APU BELMONTE'!E241</f>
        <v>5199.9999999999991</v>
      </c>
      <c r="D29"/>
      <c r="E29"/>
      <c r="F29"/>
    </row>
    <row r="31" spans="1:6" s="16" customFormat="1" ht="18" customHeight="1">
      <c r="A31" s="24" t="s">
        <v>117</v>
      </c>
      <c r="B31" s="25" t="s">
        <v>99</v>
      </c>
      <c r="C31" s="22">
        <f>C32</f>
        <v>5700.0000591857461</v>
      </c>
      <c r="D31"/>
      <c r="E31"/>
      <c r="F31"/>
    </row>
    <row r="32" spans="1:6" s="16" customFormat="1" ht="18" customHeight="1">
      <c r="A32" s="6" t="s">
        <v>118</v>
      </c>
      <c r="B32" s="10" t="s">
        <v>99</v>
      </c>
      <c r="C32" s="20">
        <f>'APU BELMONTE'!E270</f>
        <v>5700.0000591857461</v>
      </c>
      <c r="D32"/>
      <c r="E32"/>
      <c r="F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E3FC0-C95A-074C-94DD-8F42574280FE}">
  <dimension ref="A1:G364"/>
  <sheetViews>
    <sheetView tabSelected="1" topLeftCell="A322" zoomScale="84" workbookViewId="0">
      <selection activeCell="G362" sqref="G362"/>
    </sheetView>
  </sheetViews>
  <sheetFormatPr baseColWidth="10" defaultRowHeight="15"/>
  <cols>
    <col min="1" max="1" width="37.5" customWidth="1"/>
    <col min="2" max="2" width="12.1640625" customWidth="1"/>
    <col min="3" max="5" width="18.6640625" customWidth="1"/>
    <col min="7" max="7" width="14.5" bestFit="1" customWidth="1"/>
  </cols>
  <sheetData>
    <row r="1" spans="1:5">
      <c r="A1" s="34" t="s">
        <v>39</v>
      </c>
      <c r="B1" s="35"/>
      <c r="C1" s="35"/>
      <c r="D1" s="3" t="s">
        <v>0</v>
      </c>
      <c r="E1" s="3" t="s">
        <v>1</v>
      </c>
    </row>
    <row r="2" spans="1:5">
      <c r="A2" s="36"/>
      <c r="B2" s="37"/>
      <c r="C2" s="37"/>
      <c r="D2" s="4" t="s">
        <v>2</v>
      </c>
      <c r="E2" s="4" t="s">
        <v>3</v>
      </c>
    </row>
    <row r="3" spans="1:5">
      <c r="A3" s="38" t="s">
        <v>4</v>
      </c>
      <c r="B3" s="39"/>
      <c r="C3" s="39"/>
      <c r="D3" s="39"/>
      <c r="E3" s="39"/>
    </row>
    <row r="4" spans="1:5">
      <c r="A4" s="5" t="s">
        <v>5</v>
      </c>
      <c r="B4" s="5" t="s">
        <v>2</v>
      </c>
      <c r="C4" s="5" t="s">
        <v>6</v>
      </c>
      <c r="D4" s="5" t="s">
        <v>7</v>
      </c>
      <c r="E4" s="5" t="s">
        <v>8</v>
      </c>
    </row>
    <row r="5" spans="1:5">
      <c r="A5" s="10" t="s">
        <v>9</v>
      </c>
      <c r="B5" s="6" t="s">
        <v>10</v>
      </c>
      <c r="C5" s="7">
        <v>0.1</v>
      </c>
      <c r="D5" s="8">
        <f>E27</f>
        <v>475</v>
      </c>
      <c r="E5" s="8">
        <f>C5*D5</f>
        <v>47.5</v>
      </c>
    </row>
    <row r="6" spans="1:5">
      <c r="A6" s="10" t="s">
        <v>44</v>
      </c>
      <c r="B6" s="6" t="s">
        <v>18</v>
      </c>
      <c r="C6" s="7">
        <v>1.4999999999999999E-2</v>
      </c>
      <c r="D6" s="8">
        <v>25000</v>
      </c>
      <c r="E6" s="8">
        <f>C6*D6</f>
        <v>375</v>
      </c>
    </row>
    <row r="7" spans="1:5">
      <c r="A7" s="10" t="s">
        <v>43</v>
      </c>
      <c r="B7" s="6" t="s">
        <v>18</v>
      </c>
      <c r="C7" s="7">
        <v>0.01</v>
      </c>
      <c r="D7" s="8">
        <v>15000</v>
      </c>
      <c r="E7" s="8">
        <f>C7*D7</f>
        <v>150</v>
      </c>
    </row>
    <row r="8" spans="1:5">
      <c r="A8" s="6"/>
      <c r="B8" s="6"/>
      <c r="C8" s="6"/>
      <c r="D8" s="8"/>
      <c r="E8" s="8"/>
    </row>
    <row r="9" spans="1:5">
      <c r="A9" s="32" t="s">
        <v>11</v>
      </c>
      <c r="B9" s="33"/>
      <c r="C9" s="33"/>
      <c r="D9" s="33"/>
      <c r="E9" s="9">
        <f>SUM(E5:E7)</f>
        <v>572.5</v>
      </c>
    </row>
    <row r="10" spans="1:5">
      <c r="A10" s="38" t="s">
        <v>12</v>
      </c>
      <c r="B10" s="39"/>
      <c r="C10" s="39"/>
      <c r="D10" s="39"/>
      <c r="E10" s="39"/>
    </row>
    <row r="11" spans="1:5">
      <c r="A11" s="5" t="s">
        <v>5</v>
      </c>
      <c r="B11" s="5" t="s">
        <v>2</v>
      </c>
      <c r="C11" s="5" t="s">
        <v>13</v>
      </c>
      <c r="D11" s="5" t="s">
        <v>14</v>
      </c>
      <c r="E11" s="5" t="s">
        <v>8</v>
      </c>
    </row>
    <row r="12" spans="1:5">
      <c r="A12" s="10" t="s">
        <v>40</v>
      </c>
      <c r="B12" s="6" t="s">
        <v>34</v>
      </c>
      <c r="C12" s="17">
        <v>0.05</v>
      </c>
      <c r="D12" s="8">
        <v>35000</v>
      </c>
      <c r="E12" s="8">
        <f>C12*D12</f>
        <v>1750</v>
      </c>
    </row>
    <row r="13" spans="1:5">
      <c r="A13" s="10" t="s">
        <v>84</v>
      </c>
      <c r="B13" s="6" t="s">
        <v>34</v>
      </c>
      <c r="C13" s="17">
        <v>2.2620967741935488E-2</v>
      </c>
      <c r="D13" s="8">
        <v>62000</v>
      </c>
      <c r="E13" s="8">
        <f>C13*D13</f>
        <v>1402.5000000000002</v>
      </c>
    </row>
    <row r="14" spans="1:5">
      <c r="A14" s="10"/>
      <c r="B14" s="6"/>
      <c r="C14" s="11"/>
      <c r="D14" s="8"/>
      <c r="E14" s="8"/>
    </row>
    <row r="15" spans="1:5">
      <c r="A15" s="13" t="s">
        <v>15</v>
      </c>
      <c r="B15" s="40"/>
      <c r="C15" s="37"/>
      <c r="D15" s="37"/>
      <c r="E15" s="8">
        <v>0</v>
      </c>
    </row>
    <row r="16" spans="1:5">
      <c r="A16" s="13"/>
      <c r="B16" s="14"/>
      <c r="C16" s="15"/>
      <c r="D16" s="15"/>
      <c r="E16" s="8"/>
    </row>
    <row r="17" spans="1:5">
      <c r="A17" s="32" t="s">
        <v>11</v>
      </c>
      <c r="B17" s="33"/>
      <c r="C17" s="33"/>
      <c r="D17" s="33"/>
      <c r="E17" s="9">
        <f>SUM(E12:E15)</f>
        <v>3152.5</v>
      </c>
    </row>
    <row r="18" spans="1:5">
      <c r="A18" s="38" t="s">
        <v>16</v>
      </c>
      <c r="B18" s="39"/>
      <c r="C18" s="39"/>
      <c r="D18" s="39"/>
      <c r="E18" s="39"/>
    </row>
    <row r="19" spans="1:5">
      <c r="A19" s="5" t="s">
        <v>5</v>
      </c>
      <c r="B19" s="5" t="s">
        <v>2</v>
      </c>
      <c r="C19" s="5" t="s">
        <v>6</v>
      </c>
      <c r="D19" s="5" t="s">
        <v>7</v>
      </c>
      <c r="E19" s="5" t="s">
        <v>8</v>
      </c>
    </row>
    <row r="20" spans="1:5">
      <c r="A20" s="10" t="s">
        <v>17</v>
      </c>
      <c r="B20" s="6" t="s">
        <v>18</v>
      </c>
      <c r="C20" s="7">
        <v>0</v>
      </c>
      <c r="D20" s="8">
        <v>0</v>
      </c>
      <c r="E20" s="8">
        <v>0</v>
      </c>
    </row>
    <row r="21" spans="1:5">
      <c r="A21" s="10"/>
      <c r="B21" s="6"/>
      <c r="C21" s="7"/>
      <c r="D21" s="8"/>
      <c r="E21" s="8"/>
    </row>
    <row r="22" spans="1:5">
      <c r="A22" s="32" t="s">
        <v>11</v>
      </c>
      <c r="B22" s="33"/>
      <c r="C22" s="33"/>
      <c r="D22" s="33"/>
      <c r="E22" s="9">
        <f>SUM(E20)</f>
        <v>0</v>
      </c>
    </row>
    <row r="23" spans="1:5">
      <c r="A23" s="38" t="s">
        <v>19</v>
      </c>
      <c r="B23" s="39"/>
      <c r="C23" s="39"/>
      <c r="D23" s="39"/>
      <c r="E23" s="39"/>
    </row>
    <row r="24" spans="1:5">
      <c r="A24" s="5" t="s">
        <v>5</v>
      </c>
      <c r="B24" s="5" t="s">
        <v>2</v>
      </c>
      <c r="C24" s="5" t="s">
        <v>6</v>
      </c>
      <c r="D24" s="5" t="s">
        <v>20</v>
      </c>
      <c r="E24" s="5" t="s">
        <v>8</v>
      </c>
    </row>
    <row r="25" spans="1:5">
      <c r="A25" s="10" t="s">
        <v>42</v>
      </c>
      <c r="B25" s="6" t="s">
        <v>18</v>
      </c>
      <c r="C25" s="7">
        <v>200</v>
      </c>
      <c r="D25" s="8">
        <v>95000</v>
      </c>
      <c r="E25" s="8">
        <f>D25/C25</f>
        <v>475</v>
      </c>
    </row>
    <row r="26" spans="1:5">
      <c r="A26" s="10"/>
      <c r="B26" s="6"/>
      <c r="C26" s="7"/>
      <c r="D26" s="8"/>
      <c r="E26" s="8"/>
    </row>
    <row r="27" spans="1:5">
      <c r="A27" s="32" t="s">
        <v>11</v>
      </c>
      <c r="B27" s="33"/>
      <c r="C27" s="33"/>
      <c r="D27" s="33"/>
      <c r="E27" s="9">
        <f>SUM(E25)</f>
        <v>475</v>
      </c>
    </row>
    <row r="28" spans="1:5">
      <c r="A28" s="6"/>
      <c r="B28" s="15"/>
      <c r="C28" s="15"/>
      <c r="D28" s="15"/>
      <c r="E28" s="15"/>
    </row>
    <row r="29" spans="1:5">
      <c r="A29" s="32" t="s">
        <v>22</v>
      </c>
      <c r="B29" s="33"/>
      <c r="C29" s="33"/>
      <c r="D29" s="33"/>
      <c r="E29" s="9">
        <f>SUM(E9,E17,E22,E27)</f>
        <v>4200</v>
      </c>
    </row>
    <row r="32" spans="1:5">
      <c r="A32" s="26" t="s">
        <v>85</v>
      </c>
      <c r="B32" s="27"/>
      <c r="C32" s="27"/>
      <c r="D32" s="27"/>
      <c r="E32" s="27"/>
    </row>
    <row r="33" spans="1:5">
      <c r="A33" s="1"/>
      <c r="B33" s="2"/>
      <c r="C33" s="2"/>
      <c r="D33" s="2"/>
      <c r="E33" s="2"/>
    </row>
    <row r="34" spans="1:5">
      <c r="A34" s="34" t="s">
        <v>49</v>
      </c>
      <c r="B34" s="35"/>
      <c r="C34" s="35"/>
      <c r="D34" s="3" t="s">
        <v>0</v>
      </c>
      <c r="E34" s="3" t="s">
        <v>1</v>
      </c>
    </row>
    <row r="35" spans="1:5">
      <c r="A35" s="36"/>
      <c r="B35" s="37"/>
      <c r="C35" s="37"/>
      <c r="D35" s="4" t="s">
        <v>2</v>
      </c>
      <c r="E35" s="4" t="s">
        <v>3</v>
      </c>
    </row>
    <row r="36" spans="1:5">
      <c r="A36" s="38" t="s">
        <v>4</v>
      </c>
      <c r="B36" s="39"/>
      <c r="C36" s="39"/>
      <c r="D36" s="39"/>
      <c r="E36" s="39"/>
    </row>
    <row r="37" spans="1:5">
      <c r="A37" s="5" t="s">
        <v>5</v>
      </c>
      <c r="B37" s="5" t="s">
        <v>2</v>
      </c>
      <c r="C37" s="5" t="s">
        <v>6</v>
      </c>
      <c r="D37" s="5" t="s">
        <v>7</v>
      </c>
      <c r="E37" s="5" t="s">
        <v>8</v>
      </c>
    </row>
    <row r="38" spans="1:5">
      <c r="A38" s="10" t="s">
        <v>9</v>
      </c>
      <c r="B38" s="6" t="s">
        <v>10</v>
      </c>
      <c r="C38" s="7">
        <v>0.1</v>
      </c>
      <c r="D38" s="8">
        <f>E57</f>
        <v>11000</v>
      </c>
      <c r="E38" s="8">
        <f>C38*D38</f>
        <v>1100</v>
      </c>
    </row>
    <row r="39" spans="1:5">
      <c r="A39" s="10" t="s">
        <v>44</v>
      </c>
      <c r="B39" s="6" t="s">
        <v>18</v>
      </c>
      <c r="C39" s="7">
        <v>0.02</v>
      </c>
      <c r="D39" s="8">
        <v>25000</v>
      </c>
      <c r="E39" s="8">
        <f>C39*D39</f>
        <v>500</v>
      </c>
    </row>
    <row r="40" spans="1:5">
      <c r="A40" s="6"/>
      <c r="B40" s="6"/>
      <c r="C40" s="6"/>
      <c r="D40" s="8"/>
      <c r="E40" s="8"/>
    </row>
    <row r="41" spans="1:5">
      <c r="A41" s="32" t="s">
        <v>11</v>
      </c>
      <c r="B41" s="33"/>
      <c r="C41" s="33"/>
      <c r="D41" s="33"/>
      <c r="E41" s="9">
        <f>SUM(E38:E39)</f>
        <v>1600</v>
      </c>
    </row>
    <row r="42" spans="1:5">
      <c r="A42" s="38" t="s">
        <v>12</v>
      </c>
      <c r="B42" s="39"/>
      <c r="C42" s="39"/>
      <c r="D42" s="39"/>
      <c r="E42" s="39"/>
    </row>
    <row r="43" spans="1:5">
      <c r="A43" s="5" t="s">
        <v>5</v>
      </c>
      <c r="B43" s="5" t="s">
        <v>2</v>
      </c>
      <c r="C43" s="5" t="s">
        <v>13</v>
      </c>
      <c r="D43" s="5" t="s">
        <v>14</v>
      </c>
      <c r="E43" s="5" t="s">
        <v>8</v>
      </c>
    </row>
    <row r="44" spans="1:5">
      <c r="A44" s="10"/>
      <c r="B44" s="6"/>
      <c r="C44" s="12"/>
      <c r="D44" s="8"/>
      <c r="E44" s="8"/>
    </row>
    <row r="45" spans="1:5">
      <c r="A45" s="13" t="s">
        <v>15</v>
      </c>
      <c r="B45" s="40"/>
      <c r="C45" s="37"/>
      <c r="D45" s="37"/>
      <c r="E45" s="8">
        <f>SUM(E44:E44)*0.02</f>
        <v>0</v>
      </c>
    </row>
    <row r="46" spans="1:5">
      <c r="A46" s="13"/>
      <c r="B46" s="14"/>
      <c r="C46" s="15"/>
      <c r="D46" s="15"/>
      <c r="E46" s="8"/>
    </row>
    <row r="47" spans="1:5">
      <c r="A47" s="32" t="s">
        <v>11</v>
      </c>
      <c r="B47" s="33"/>
      <c r="C47" s="33"/>
      <c r="D47" s="33"/>
      <c r="E47" s="9">
        <f>SUM(E44:E45)</f>
        <v>0</v>
      </c>
    </row>
    <row r="48" spans="1:5">
      <c r="A48" s="38" t="s">
        <v>16</v>
      </c>
      <c r="B48" s="39"/>
      <c r="C48" s="39"/>
      <c r="D48" s="39"/>
      <c r="E48" s="39"/>
    </row>
    <row r="49" spans="1:5">
      <c r="A49" s="5" t="s">
        <v>5</v>
      </c>
      <c r="B49" s="5" t="s">
        <v>2</v>
      </c>
      <c r="C49" s="5" t="s">
        <v>6</v>
      </c>
      <c r="D49" s="5" t="s">
        <v>7</v>
      </c>
      <c r="E49" s="5" t="s">
        <v>8</v>
      </c>
    </row>
    <row r="50" spans="1:5">
      <c r="A50" s="10" t="s">
        <v>17</v>
      </c>
      <c r="B50" s="6" t="s">
        <v>18</v>
      </c>
      <c r="C50" s="7">
        <v>0</v>
      </c>
      <c r="D50" s="8">
        <v>45000</v>
      </c>
      <c r="E50" s="8">
        <f>D50*C50</f>
        <v>0</v>
      </c>
    </row>
    <row r="51" spans="1:5">
      <c r="A51" s="10"/>
      <c r="B51" s="6"/>
      <c r="C51" s="7"/>
      <c r="D51" s="8"/>
      <c r="E51" s="8"/>
    </row>
    <row r="52" spans="1:5">
      <c r="A52" s="32" t="s">
        <v>11</v>
      </c>
      <c r="B52" s="33"/>
      <c r="C52" s="33"/>
      <c r="D52" s="33"/>
      <c r="E52" s="9">
        <f>SUM(E50)</f>
        <v>0</v>
      </c>
    </row>
    <row r="53" spans="1:5">
      <c r="A53" s="38" t="s">
        <v>19</v>
      </c>
      <c r="B53" s="39"/>
      <c r="C53" s="39"/>
      <c r="D53" s="39"/>
      <c r="E53" s="39"/>
    </row>
    <row r="54" spans="1:5">
      <c r="A54" s="5" t="s">
        <v>5</v>
      </c>
      <c r="B54" s="5" t="s">
        <v>2</v>
      </c>
      <c r="C54" s="5" t="s">
        <v>6</v>
      </c>
      <c r="D54" s="5" t="s">
        <v>20</v>
      </c>
      <c r="E54" s="5" t="s">
        <v>8</v>
      </c>
    </row>
    <row r="55" spans="1:5">
      <c r="A55" s="10" t="s">
        <v>27</v>
      </c>
      <c r="B55" s="6" t="s">
        <v>18</v>
      </c>
      <c r="C55" s="7">
        <v>20</v>
      </c>
      <c r="D55" s="8">
        <v>220000</v>
      </c>
      <c r="E55" s="8">
        <f>D55/C55</f>
        <v>11000</v>
      </c>
    </row>
    <row r="56" spans="1:5">
      <c r="A56" s="10"/>
      <c r="B56" s="6"/>
      <c r="C56" s="7"/>
      <c r="D56" s="8"/>
      <c r="E56" s="8"/>
    </row>
    <row r="57" spans="1:5">
      <c r="A57" s="32" t="s">
        <v>11</v>
      </c>
      <c r="B57" s="33"/>
      <c r="C57" s="33"/>
      <c r="D57" s="33"/>
      <c r="E57" s="9">
        <f>SUM(E55)</f>
        <v>11000</v>
      </c>
    </row>
    <row r="58" spans="1:5">
      <c r="A58" s="6"/>
      <c r="B58" s="15"/>
      <c r="C58" s="15"/>
      <c r="D58" s="15"/>
      <c r="E58" s="15"/>
    </row>
    <row r="59" spans="1:5">
      <c r="A59" s="32" t="s">
        <v>22</v>
      </c>
      <c r="B59" s="33"/>
      <c r="C59" s="33"/>
      <c r="D59" s="33"/>
      <c r="E59" s="9">
        <f>SUM(E41,E47,E52,E57)</f>
        <v>12600</v>
      </c>
    </row>
    <row r="60" spans="1:5">
      <c r="A60" s="16"/>
      <c r="B60" s="16"/>
      <c r="C60" s="16"/>
      <c r="D60" s="16"/>
      <c r="E60" s="16"/>
    </row>
    <row r="61" spans="1:5">
      <c r="A61" s="16"/>
      <c r="B61" s="16"/>
      <c r="C61" s="16"/>
      <c r="D61" s="16"/>
      <c r="E61" s="16"/>
    </row>
    <row r="62" spans="1:5">
      <c r="A62" s="34" t="s">
        <v>50</v>
      </c>
      <c r="B62" s="35"/>
      <c r="C62" s="35"/>
      <c r="D62" s="3" t="s">
        <v>0</v>
      </c>
      <c r="E62" s="3"/>
    </row>
    <row r="63" spans="1:5">
      <c r="A63" s="36"/>
      <c r="B63" s="37"/>
      <c r="C63" s="37"/>
      <c r="D63" s="4" t="s">
        <v>2</v>
      </c>
      <c r="E63" s="4" t="s">
        <v>3</v>
      </c>
    </row>
    <row r="64" spans="1:5">
      <c r="A64" s="38" t="s">
        <v>4</v>
      </c>
      <c r="B64" s="39"/>
      <c r="C64" s="39"/>
      <c r="D64" s="39"/>
      <c r="E64" s="39"/>
    </row>
    <row r="65" spans="1:5">
      <c r="A65" s="5" t="s">
        <v>5</v>
      </c>
      <c r="B65" s="5" t="s">
        <v>2</v>
      </c>
      <c r="C65" s="5" t="s">
        <v>6</v>
      </c>
      <c r="D65" s="5" t="s">
        <v>7</v>
      </c>
      <c r="E65" s="5" t="s">
        <v>8</v>
      </c>
    </row>
    <row r="66" spans="1:5">
      <c r="A66" s="10" t="s">
        <v>9</v>
      </c>
      <c r="B66" s="6" t="s">
        <v>10</v>
      </c>
      <c r="C66" s="7">
        <v>0.05</v>
      </c>
      <c r="D66" s="8">
        <f>E90</f>
        <v>11000</v>
      </c>
      <c r="E66" s="8">
        <f>C66*D66</f>
        <v>550</v>
      </c>
    </row>
    <row r="67" spans="1:5">
      <c r="A67" s="10" t="s">
        <v>44</v>
      </c>
      <c r="B67" s="6" t="s">
        <v>18</v>
      </c>
      <c r="C67" s="7">
        <v>0.02</v>
      </c>
      <c r="D67" s="8">
        <v>25000</v>
      </c>
      <c r="E67" s="8">
        <f>C67*D67</f>
        <v>500</v>
      </c>
    </row>
    <row r="68" spans="1:5">
      <c r="A68" s="6"/>
      <c r="B68" s="6"/>
      <c r="C68" s="6"/>
      <c r="D68" s="8"/>
      <c r="E68" s="8"/>
    </row>
    <row r="69" spans="1:5">
      <c r="A69" s="32" t="s">
        <v>11</v>
      </c>
      <c r="B69" s="33"/>
      <c r="C69" s="33"/>
      <c r="D69" s="33"/>
      <c r="E69" s="9">
        <f>SUM(E66:E67)</f>
        <v>1050</v>
      </c>
    </row>
    <row r="70" spans="1:5">
      <c r="A70" s="38" t="s">
        <v>12</v>
      </c>
      <c r="B70" s="39"/>
      <c r="C70" s="39"/>
      <c r="D70" s="39"/>
      <c r="E70" s="39"/>
    </row>
    <row r="71" spans="1:5">
      <c r="A71" s="5" t="s">
        <v>5</v>
      </c>
      <c r="B71" s="5" t="s">
        <v>2</v>
      </c>
      <c r="C71" s="5" t="s">
        <v>13</v>
      </c>
      <c r="D71" s="5" t="s">
        <v>14</v>
      </c>
      <c r="E71" s="5" t="s">
        <v>8</v>
      </c>
    </row>
    <row r="72" spans="1:5">
      <c r="A72" s="10" t="s">
        <v>86</v>
      </c>
      <c r="B72" s="6" t="s">
        <v>37</v>
      </c>
      <c r="C72" s="17">
        <v>0.34850230414746547</v>
      </c>
      <c r="D72" s="8">
        <v>62000</v>
      </c>
      <c r="E72" s="8">
        <f>C72*D72</f>
        <v>21607.142857142859</v>
      </c>
    </row>
    <row r="73" spans="1:5">
      <c r="A73" s="10" t="s">
        <v>24</v>
      </c>
      <c r="B73" s="6" t="s">
        <v>23</v>
      </c>
      <c r="C73" s="17">
        <v>1</v>
      </c>
      <c r="D73" s="8">
        <v>9500</v>
      </c>
      <c r="E73" s="8">
        <f>C73*D73</f>
        <v>9500</v>
      </c>
    </row>
    <row r="74" spans="1:5">
      <c r="A74" s="10" t="s">
        <v>25</v>
      </c>
      <c r="B74" s="6" t="s">
        <v>23</v>
      </c>
      <c r="C74" s="17">
        <v>1</v>
      </c>
      <c r="D74" s="8">
        <v>9000</v>
      </c>
      <c r="E74" s="8">
        <f>C74*D74</f>
        <v>9000</v>
      </c>
    </row>
    <row r="75" spans="1:5">
      <c r="A75" s="10" t="s">
        <v>26</v>
      </c>
      <c r="B75" s="6" t="s">
        <v>23</v>
      </c>
      <c r="C75" s="11">
        <v>50</v>
      </c>
      <c r="D75" s="8">
        <v>60</v>
      </c>
      <c r="E75" s="8">
        <f>C75*D75</f>
        <v>3000</v>
      </c>
    </row>
    <row r="76" spans="1:5">
      <c r="A76" s="10" t="s">
        <v>57</v>
      </c>
      <c r="B76" s="6" t="s">
        <v>23</v>
      </c>
      <c r="C76" s="17">
        <v>0.5</v>
      </c>
      <c r="D76" s="8">
        <v>13500</v>
      </c>
      <c r="E76" s="8">
        <f>C76*D76</f>
        <v>6750</v>
      </c>
    </row>
    <row r="77" spans="1:5">
      <c r="A77" s="10"/>
      <c r="B77" s="6"/>
      <c r="C77" s="12"/>
      <c r="D77" s="8"/>
      <c r="E77" s="8"/>
    </row>
    <row r="78" spans="1:5">
      <c r="A78" s="13" t="s">
        <v>15</v>
      </c>
      <c r="B78" s="40"/>
      <c r="C78" s="37"/>
      <c r="D78" s="37"/>
      <c r="E78" s="8">
        <f>SUM(E72:E77)*0.05</f>
        <v>2492.8571428571431</v>
      </c>
    </row>
    <row r="79" spans="1:5">
      <c r="A79" s="13"/>
      <c r="B79" s="14"/>
      <c r="C79" s="15"/>
      <c r="D79" s="15"/>
      <c r="E79" s="8"/>
    </row>
    <row r="80" spans="1:5">
      <c r="A80" s="32" t="s">
        <v>11</v>
      </c>
      <c r="B80" s="33"/>
      <c r="C80" s="33"/>
      <c r="D80" s="33"/>
      <c r="E80" s="9">
        <f>SUM(E72:E78)</f>
        <v>52350</v>
      </c>
    </row>
    <row r="81" spans="1:5">
      <c r="A81" s="38" t="s">
        <v>16</v>
      </c>
      <c r="B81" s="39"/>
      <c r="C81" s="39"/>
      <c r="D81" s="39"/>
      <c r="E81" s="39"/>
    </row>
    <row r="82" spans="1:5">
      <c r="A82" s="5" t="s">
        <v>5</v>
      </c>
      <c r="B82" s="5" t="s">
        <v>2</v>
      </c>
      <c r="C82" s="5" t="s">
        <v>6</v>
      </c>
      <c r="D82" s="5" t="s">
        <v>7</v>
      </c>
      <c r="E82" s="5" t="s">
        <v>8</v>
      </c>
    </row>
    <row r="83" spans="1:5">
      <c r="A83" s="10" t="s">
        <v>17</v>
      </c>
      <c r="B83" s="6" t="s">
        <v>18</v>
      </c>
      <c r="C83" s="7">
        <v>2.5000000000000001E-2</v>
      </c>
      <c r="D83" s="8">
        <v>60000</v>
      </c>
      <c r="E83" s="8">
        <f>D83*C83</f>
        <v>1500</v>
      </c>
    </row>
    <row r="84" spans="1:5">
      <c r="A84" s="10"/>
      <c r="B84" s="6"/>
      <c r="C84" s="7"/>
      <c r="D84" s="8"/>
      <c r="E84" s="8"/>
    </row>
    <row r="85" spans="1:5">
      <c r="A85" s="32" t="s">
        <v>11</v>
      </c>
      <c r="B85" s="33"/>
      <c r="C85" s="33"/>
      <c r="D85" s="33"/>
      <c r="E85" s="9">
        <f>SUM(E83)</f>
        <v>1500</v>
      </c>
    </row>
    <row r="86" spans="1:5">
      <c r="A86" s="38" t="s">
        <v>19</v>
      </c>
      <c r="B86" s="39"/>
      <c r="C86" s="39"/>
      <c r="D86" s="39"/>
      <c r="E86" s="39"/>
    </row>
    <row r="87" spans="1:5">
      <c r="A87" s="5" t="s">
        <v>5</v>
      </c>
      <c r="B87" s="5" t="s">
        <v>2</v>
      </c>
      <c r="C87" s="5" t="s">
        <v>6</v>
      </c>
      <c r="D87" s="5" t="s">
        <v>20</v>
      </c>
      <c r="E87" s="5" t="s">
        <v>8</v>
      </c>
    </row>
    <row r="88" spans="1:5">
      <c r="A88" s="10" t="s">
        <v>27</v>
      </c>
      <c r="B88" s="6" t="s">
        <v>18</v>
      </c>
      <c r="C88" s="7">
        <v>20</v>
      </c>
      <c r="D88" s="8">
        <v>220000</v>
      </c>
      <c r="E88" s="8">
        <f>D88/C88</f>
        <v>11000</v>
      </c>
    </row>
    <row r="89" spans="1:5">
      <c r="A89" s="10"/>
      <c r="B89" s="6"/>
      <c r="C89" s="7"/>
      <c r="D89" s="8"/>
      <c r="E89" s="8"/>
    </row>
    <row r="90" spans="1:5">
      <c r="A90" s="32" t="s">
        <v>11</v>
      </c>
      <c r="B90" s="33"/>
      <c r="C90" s="33"/>
      <c r="D90" s="33"/>
      <c r="E90" s="9">
        <f>SUM(E88)</f>
        <v>11000</v>
      </c>
    </row>
    <row r="91" spans="1:5">
      <c r="A91" s="6"/>
      <c r="B91" s="15"/>
      <c r="C91" s="15"/>
      <c r="D91" s="15"/>
      <c r="E91" s="15"/>
    </row>
    <row r="92" spans="1:5">
      <c r="A92" s="32" t="s">
        <v>22</v>
      </c>
      <c r="B92" s="33"/>
      <c r="C92" s="33"/>
      <c r="D92" s="33"/>
      <c r="E92" s="9">
        <f>SUM(E69,E80,E85,E90)</f>
        <v>65900</v>
      </c>
    </row>
    <row r="93" spans="1:5">
      <c r="A93" s="16"/>
      <c r="B93" s="16"/>
      <c r="C93" s="16"/>
      <c r="D93" s="16"/>
      <c r="E93" s="16"/>
    </row>
    <row r="94" spans="1:5">
      <c r="A94" s="16"/>
      <c r="B94" s="16"/>
      <c r="C94" s="16"/>
      <c r="D94" s="16"/>
      <c r="E94" s="16"/>
    </row>
    <row r="95" spans="1:5">
      <c r="A95" s="34" t="s">
        <v>53</v>
      </c>
      <c r="B95" s="35"/>
      <c r="C95" s="35"/>
      <c r="D95" s="3" t="s">
        <v>0</v>
      </c>
      <c r="E95" s="3"/>
    </row>
    <row r="96" spans="1:5">
      <c r="A96" s="36"/>
      <c r="B96" s="37"/>
      <c r="C96" s="37"/>
      <c r="D96" s="4" t="s">
        <v>2</v>
      </c>
      <c r="E96" s="4" t="s">
        <v>3</v>
      </c>
    </row>
    <row r="97" spans="1:5">
      <c r="A97" s="38" t="s">
        <v>4</v>
      </c>
      <c r="B97" s="39"/>
      <c r="C97" s="39"/>
      <c r="D97" s="39"/>
      <c r="E97" s="39"/>
    </row>
    <row r="98" spans="1:5">
      <c r="A98" s="5" t="s">
        <v>5</v>
      </c>
      <c r="B98" s="5" t="s">
        <v>2</v>
      </c>
      <c r="C98" s="5" t="s">
        <v>6</v>
      </c>
      <c r="D98" s="5" t="s">
        <v>7</v>
      </c>
      <c r="E98" s="5" t="s">
        <v>8</v>
      </c>
    </row>
    <row r="99" spans="1:5">
      <c r="A99" s="10" t="s">
        <v>9</v>
      </c>
      <c r="B99" s="6" t="s">
        <v>10</v>
      </c>
      <c r="C99" s="7">
        <v>0.05</v>
      </c>
      <c r="D99" s="8">
        <f>E121</f>
        <v>7333.333333333333</v>
      </c>
      <c r="E99" s="8">
        <f>C99*D99</f>
        <v>366.66666666666669</v>
      </c>
    </row>
    <row r="100" spans="1:5">
      <c r="A100" s="6"/>
      <c r="B100" s="6"/>
      <c r="C100" s="6"/>
      <c r="D100" s="8"/>
      <c r="E100" s="8"/>
    </row>
    <row r="101" spans="1:5">
      <c r="A101" s="32" t="s">
        <v>11</v>
      </c>
      <c r="B101" s="33"/>
      <c r="C101" s="33"/>
      <c r="D101" s="33"/>
      <c r="E101" s="9">
        <f>SUM(E99:E99)</f>
        <v>366.66666666666669</v>
      </c>
    </row>
    <row r="102" spans="1:5">
      <c r="A102" s="38" t="s">
        <v>12</v>
      </c>
      <c r="B102" s="39"/>
      <c r="C102" s="39"/>
      <c r="D102" s="39"/>
      <c r="E102" s="39"/>
    </row>
    <row r="103" spans="1:5">
      <c r="A103" s="5" t="s">
        <v>5</v>
      </c>
      <c r="B103" s="5" t="s">
        <v>2</v>
      </c>
      <c r="C103" s="5" t="s">
        <v>13</v>
      </c>
      <c r="D103" s="5" t="s">
        <v>14</v>
      </c>
      <c r="E103" s="5" t="s">
        <v>8</v>
      </c>
    </row>
    <row r="104" spans="1:5">
      <c r="A104" s="10" t="s">
        <v>54</v>
      </c>
      <c r="B104" s="6" t="s">
        <v>23</v>
      </c>
      <c r="C104" s="17">
        <v>0.35</v>
      </c>
      <c r="D104" s="8">
        <v>42571.428571428572</v>
      </c>
      <c r="E104" s="8">
        <f>C104*D104</f>
        <v>14900</v>
      </c>
    </row>
    <row r="105" spans="1:5">
      <c r="A105" s="10" t="s">
        <v>24</v>
      </c>
      <c r="B105" s="6" t="s">
        <v>23</v>
      </c>
      <c r="C105" s="17">
        <v>1</v>
      </c>
      <c r="D105" s="8">
        <v>9500</v>
      </c>
      <c r="E105" s="8">
        <f>C105*D105</f>
        <v>9500</v>
      </c>
    </row>
    <row r="106" spans="1:5">
      <c r="A106" s="10" t="s">
        <v>25</v>
      </c>
      <c r="B106" s="6" t="s">
        <v>23</v>
      </c>
      <c r="C106" s="17">
        <v>1</v>
      </c>
      <c r="D106" s="8">
        <v>9000</v>
      </c>
      <c r="E106" s="8">
        <f>C106*D106</f>
        <v>9000</v>
      </c>
    </row>
    <row r="107" spans="1:5">
      <c r="A107" s="10" t="s">
        <v>26</v>
      </c>
      <c r="B107" s="6" t="s">
        <v>23</v>
      </c>
      <c r="C107" s="11">
        <v>50</v>
      </c>
      <c r="D107" s="8">
        <v>40</v>
      </c>
      <c r="E107" s="8">
        <f>C107*D107</f>
        <v>2000</v>
      </c>
    </row>
    <row r="108" spans="1:5">
      <c r="A108" s="10"/>
      <c r="B108" s="6"/>
      <c r="C108" s="12"/>
      <c r="D108" s="8"/>
      <c r="E108" s="8"/>
    </row>
    <row r="109" spans="1:5">
      <c r="A109" s="13" t="s">
        <v>15</v>
      </c>
      <c r="B109" s="40"/>
      <c r="C109" s="37"/>
      <c r="D109" s="37"/>
      <c r="E109" s="8">
        <v>0</v>
      </c>
    </row>
    <row r="110" spans="1:5">
      <c r="A110" s="13"/>
      <c r="B110" s="14"/>
      <c r="C110" s="15"/>
      <c r="D110" s="15"/>
      <c r="E110" s="8"/>
    </row>
    <row r="111" spans="1:5">
      <c r="A111" s="32" t="s">
        <v>11</v>
      </c>
      <c r="B111" s="33"/>
      <c r="C111" s="33"/>
      <c r="D111" s="33"/>
      <c r="E111" s="9">
        <f>SUM(E104:E109)</f>
        <v>35400</v>
      </c>
    </row>
    <row r="112" spans="1:5">
      <c r="A112" s="38" t="s">
        <v>16</v>
      </c>
      <c r="B112" s="39"/>
      <c r="C112" s="39"/>
      <c r="D112" s="39"/>
      <c r="E112" s="39"/>
    </row>
    <row r="113" spans="1:5">
      <c r="A113" s="5" t="s">
        <v>5</v>
      </c>
      <c r="B113" s="5" t="s">
        <v>2</v>
      </c>
      <c r="C113" s="5" t="s">
        <v>6</v>
      </c>
      <c r="D113" s="5" t="s">
        <v>7</v>
      </c>
      <c r="E113" s="5" t="s">
        <v>8</v>
      </c>
    </row>
    <row r="114" spans="1:5">
      <c r="A114" s="10" t="s">
        <v>17</v>
      </c>
      <c r="B114" s="6" t="s">
        <v>18</v>
      </c>
      <c r="C114" s="7">
        <v>2.5000000000000001E-2</v>
      </c>
      <c r="D114" s="8">
        <v>60000</v>
      </c>
      <c r="E114" s="8">
        <f>D114*C114</f>
        <v>1500</v>
      </c>
    </row>
    <row r="115" spans="1:5">
      <c r="A115" s="10"/>
      <c r="B115" s="6"/>
      <c r="C115" s="7"/>
      <c r="D115" s="8"/>
      <c r="E115" s="8"/>
    </row>
    <row r="116" spans="1:5">
      <c r="A116" s="32" t="s">
        <v>11</v>
      </c>
      <c r="B116" s="33"/>
      <c r="C116" s="33"/>
      <c r="D116" s="33"/>
      <c r="E116" s="9">
        <f>SUM(E114)</f>
        <v>1500</v>
      </c>
    </row>
    <row r="117" spans="1:5">
      <c r="A117" s="38" t="s">
        <v>19</v>
      </c>
      <c r="B117" s="39"/>
      <c r="C117" s="39"/>
      <c r="D117" s="39"/>
      <c r="E117" s="39"/>
    </row>
    <row r="118" spans="1:5">
      <c r="A118" s="5" t="s">
        <v>5</v>
      </c>
      <c r="B118" s="5" t="s">
        <v>2</v>
      </c>
      <c r="C118" s="5" t="s">
        <v>6</v>
      </c>
      <c r="D118" s="5" t="s">
        <v>20</v>
      </c>
      <c r="E118" s="5" t="s">
        <v>8</v>
      </c>
    </row>
    <row r="119" spans="1:5">
      <c r="A119" s="10" t="s">
        <v>27</v>
      </c>
      <c r="B119" s="6" t="s">
        <v>18</v>
      </c>
      <c r="C119" s="7">
        <v>30</v>
      </c>
      <c r="D119" s="8">
        <v>220000</v>
      </c>
      <c r="E119" s="8">
        <f>D119/C119</f>
        <v>7333.333333333333</v>
      </c>
    </row>
    <row r="120" spans="1:5">
      <c r="A120" s="10"/>
      <c r="B120" s="6"/>
      <c r="C120" s="7"/>
      <c r="D120" s="8"/>
      <c r="E120" s="8"/>
    </row>
    <row r="121" spans="1:5">
      <c r="A121" s="32" t="s">
        <v>11</v>
      </c>
      <c r="B121" s="33"/>
      <c r="C121" s="33"/>
      <c r="D121" s="33"/>
      <c r="E121" s="9">
        <f>SUM(E119)</f>
        <v>7333.333333333333</v>
      </c>
    </row>
    <row r="122" spans="1:5">
      <c r="A122" s="6"/>
      <c r="B122" s="15"/>
      <c r="C122" s="15"/>
      <c r="D122" s="15"/>
      <c r="E122" s="15"/>
    </row>
    <row r="123" spans="1:5">
      <c r="A123" s="32" t="s">
        <v>22</v>
      </c>
      <c r="B123" s="33"/>
      <c r="C123" s="33"/>
      <c r="D123" s="33"/>
      <c r="E123" s="9">
        <f>SUM(E101,E111,E116,E121)</f>
        <v>44600</v>
      </c>
    </row>
    <row r="125" spans="1:5">
      <c r="A125" s="34" t="s">
        <v>94</v>
      </c>
      <c r="B125" s="34"/>
      <c r="C125" s="34"/>
      <c r="D125" s="3" t="s">
        <v>0</v>
      </c>
      <c r="E125" s="3" t="s">
        <v>87</v>
      </c>
    </row>
    <row r="126" spans="1:5">
      <c r="A126" s="36"/>
      <c r="B126" s="36"/>
      <c r="C126" s="36"/>
      <c r="D126" s="4" t="s">
        <v>2</v>
      </c>
      <c r="E126" s="4" t="s">
        <v>3</v>
      </c>
    </row>
    <row r="127" spans="1:5">
      <c r="A127" s="38" t="s">
        <v>4</v>
      </c>
      <c r="B127" s="38"/>
      <c r="C127" s="38"/>
      <c r="D127" s="38"/>
      <c r="E127" s="38"/>
    </row>
    <row r="128" spans="1:5">
      <c r="A128" s="5" t="s">
        <v>5</v>
      </c>
      <c r="B128" s="5" t="s">
        <v>2</v>
      </c>
      <c r="C128" s="5" t="s">
        <v>6</v>
      </c>
      <c r="D128" s="5" t="s">
        <v>7</v>
      </c>
      <c r="E128" s="5" t="s">
        <v>8</v>
      </c>
    </row>
    <row r="129" spans="1:5">
      <c r="A129" s="10" t="s">
        <v>9</v>
      </c>
      <c r="B129" s="6" t="s">
        <v>10</v>
      </c>
      <c r="C129" s="7">
        <v>0.1</v>
      </c>
      <c r="D129" s="8">
        <f>E151</f>
        <v>950</v>
      </c>
      <c r="E129" s="8">
        <f>C129*D129</f>
        <v>95</v>
      </c>
    </row>
    <row r="130" spans="1:5">
      <c r="A130" s="10" t="s">
        <v>44</v>
      </c>
      <c r="B130" s="6" t="s">
        <v>18</v>
      </c>
      <c r="C130" s="7">
        <v>1.4999999999999999E-2</v>
      </c>
      <c r="D130" s="8">
        <v>25000</v>
      </c>
      <c r="E130" s="8">
        <f>C130*D130</f>
        <v>375</v>
      </c>
    </row>
    <row r="131" spans="1:5">
      <c r="A131" s="10" t="s">
        <v>43</v>
      </c>
      <c r="B131" s="6" t="s">
        <v>18</v>
      </c>
      <c r="C131" s="7">
        <v>0.01</v>
      </c>
      <c r="D131" s="8">
        <v>15000</v>
      </c>
      <c r="E131" s="8">
        <f>C131*D131</f>
        <v>150</v>
      </c>
    </row>
    <row r="132" spans="1:5">
      <c r="A132" s="6"/>
      <c r="B132" s="6"/>
      <c r="C132" s="6"/>
      <c r="D132" s="8"/>
      <c r="E132" s="8"/>
    </row>
    <row r="133" spans="1:5">
      <c r="A133" s="32" t="s">
        <v>11</v>
      </c>
      <c r="B133" s="32"/>
      <c r="C133" s="32"/>
      <c r="D133" s="32"/>
      <c r="E133" s="9">
        <f>SUM(E129:E131)</f>
        <v>620</v>
      </c>
    </row>
    <row r="134" spans="1:5">
      <c r="A134" s="38" t="s">
        <v>12</v>
      </c>
      <c r="B134" s="38"/>
      <c r="C134" s="38"/>
      <c r="D134" s="38"/>
      <c r="E134" s="38"/>
    </row>
    <row r="135" spans="1:5">
      <c r="A135" s="5" t="s">
        <v>5</v>
      </c>
      <c r="B135" s="5" t="s">
        <v>2</v>
      </c>
      <c r="C135" s="5" t="s">
        <v>13</v>
      </c>
      <c r="D135" s="5" t="s">
        <v>14</v>
      </c>
      <c r="E135" s="5" t="s">
        <v>8</v>
      </c>
    </row>
    <row r="136" spans="1:5">
      <c r="A136" s="10" t="s">
        <v>91</v>
      </c>
      <c r="B136" s="6" t="s">
        <v>29</v>
      </c>
      <c r="C136" s="17">
        <v>0.17</v>
      </c>
      <c r="D136" s="8">
        <v>26380</v>
      </c>
      <c r="E136" s="8">
        <f>C136*D136</f>
        <v>4484.6000000000004</v>
      </c>
    </row>
    <row r="137" spans="1:5">
      <c r="A137" s="10" t="s">
        <v>41</v>
      </c>
      <c r="B137" s="6" t="s">
        <v>23</v>
      </c>
      <c r="C137" s="17">
        <v>0.17</v>
      </c>
      <c r="D137" s="8">
        <v>500</v>
      </c>
      <c r="E137" s="8">
        <f>C137*D137</f>
        <v>85</v>
      </c>
    </row>
    <row r="138" spans="1:5">
      <c r="A138" s="10"/>
      <c r="B138" s="6"/>
      <c r="C138" s="11"/>
      <c r="D138" s="8"/>
      <c r="E138" s="8"/>
    </row>
    <row r="139" spans="1:5">
      <c r="A139" s="13" t="s">
        <v>15</v>
      </c>
      <c r="B139" s="40"/>
      <c r="C139" s="40"/>
      <c r="D139" s="40"/>
      <c r="E139" s="8">
        <f>(E136+E137)*0.02</f>
        <v>91.39200000000001</v>
      </c>
    </row>
    <row r="140" spans="1:5">
      <c r="A140" s="13"/>
      <c r="B140" s="14"/>
      <c r="C140" s="15"/>
      <c r="D140" s="15"/>
      <c r="E140" s="8"/>
    </row>
    <row r="141" spans="1:5">
      <c r="A141" s="32" t="s">
        <v>11</v>
      </c>
      <c r="B141" s="32"/>
      <c r="C141" s="32"/>
      <c r="D141" s="32"/>
      <c r="E141" s="9">
        <f>SUM(E136:E139)</f>
        <v>4660.9920000000002</v>
      </c>
    </row>
    <row r="142" spans="1:5">
      <c r="A142" s="38" t="s">
        <v>16</v>
      </c>
      <c r="B142" s="38"/>
      <c r="C142" s="38"/>
      <c r="D142" s="38"/>
      <c r="E142" s="38"/>
    </row>
    <row r="143" spans="1:5">
      <c r="A143" s="5" t="s">
        <v>5</v>
      </c>
      <c r="B143" s="5" t="s">
        <v>2</v>
      </c>
      <c r="C143" s="5" t="s">
        <v>6</v>
      </c>
      <c r="D143" s="5" t="s">
        <v>7</v>
      </c>
      <c r="E143" s="5" t="s">
        <v>8</v>
      </c>
    </row>
    <row r="144" spans="1:5">
      <c r="A144" s="10" t="s">
        <v>17</v>
      </c>
      <c r="B144" s="6" t="s">
        <v>18</v>
      </c>
      <c r="C144" s="7">
        <v>0</v>
      </c>
      <c r="D144" s="8">
        <v>0</v>
      </c>
      <c r="E144" s="8">
        <v>0</v>
      </c>
    </row>
    <row r="145" spans="1:5">
      <c r="A145" s="10"/>
      <c r="B145" s="6"/>
      <c r="C145" s="7"/>
      <c r="D145" s="8"/>
      <c r="E145" s="8"/>
    </row>
    <row r="146" spans="1:5">
      <c r="A146" s="32" t="s">
        <v>11</v>
      </c>
      <c r="B146" s="32"/>
      <c r="C146" s="32"/>
      <c r="D146" s="32"/>
      <c r="E146" s="9">
        <f>SUM(E144)</f>
        <v>0</v>
      </c>
    </row>
    <row r="147" spans="1:5">
      <c r="A147" s="38" t="s">
        <v>19</v>
      </c>
      <c r="B147" s="38"/>
      <c r="C147" s="38"/>
      <c r="D147" s="38"/>
      <c r="E147" s="38"/>
    </row>
    <row r="148" spans="1:5">
      <c r="A148" s="5" t="s">
        <v>5</v>
      </c>
      <c r="B148" s="5" t="s">
        <v>2</v>
      </c>
      <c r="C148" s="5" t="s">
        <v>6</v>
      </c>
      <c r="D148" s="5" t="s">
        <v>20</v>
      </c>
      <c r="E148" s="5" t="s">
        <v>8</v>
      </c>
    </row>
    <row r="149" spans="1:5">
      <c r="A149" s="10" t="s">
        <v>42</v>
      </c>
      <c r="B149" s="6" t="s">
        <v>18</v>
      </c>
      <c r="C149" s="7">
        <v>100</v>
      </c>
      <c r="D149" s="8">
        <v>95000</v>
      </c>
      <c r="E149" s="8">
        <f>D149/C149</f>
        <v>950</v>
      </c>
    </row>
    <row r="150" spans="1:5">
      <c r="A150" s="10"/>
      <c r="B150" s="6"/>
      <c r="C150" s="7"/>
      <c r="D150" s="8"/>
      <c r="E150" s="8"/>
    </row>
    <row r="151" spans="1:5">
      <c r="A151" s="32" t="s">
        <v>11</v>
      </c>
      <c r="B151" s="32"/>
      <c r="C151" s="32"/>
      <c r="D151" s="32"/>
      <c r="E151" s="9">
        <f>SUM(E149)</f>
        <v>950</v>
      </c>
    </row>
    <row r="152" spans="1:5">
      <c r="A152" s="6"/>
      <c r="B152" s="15"/>
      <c r="C152" s="15"/>
      <c r="D152" s="15"/>
      <c r="E152" s="15"/>
    </row>
    <row r="153" spans="1:5">
      <c r="A153" s="32" t="s">
        <v>22</v>
      </c>
      <c r="B153" s="32"/>
      <c r="C153" s="32"/>
      <c r="D153" s="32"/>
      <c r="E153" s="9">
        <f>SUM(E133,E141,E146,E151)</f>
        <v>6230.9920000000002</v>
      </c>
    </row>
    <row r="155" spans="1:5">
      <c r="A155" s="42" t="s">
        <v>92</v>
      </c>
      <c r="B155" s="43"/>
      <c r="C155" s="43"/>
      <c r="D155" s="28" t="s">
        <v>0</v>
      </c>
      <c r="E155" s="28" t="s">
        <v>89</v>
      </c>
    </row>
    <row r="156" spans="1:5">
      <c r="A156" s="36"/>
      <c r="B156" s="37"/>
      <c r="C156" s="37"/>
      <c r="D156" s="4" t="s">
        <v>2</v>
      </c>
      <c r="E156" s="4" t="s">
        <v>37</v>
      </c>
    </row>
    <row r="157" spans="1:5">
      <c r="A157" s="38" t="s">
        <v>4</v>
      </c>
      <c r="B157" s="39"/>
      <c r="C157" s="39"/>
      <c r="D157" s="39"/>
      <c r="E157" s="39"/>
    </row>
    <row r="158" spans="1:5">
      <c r="A158" s="5" t="s">
        <v>5</v>
      </c>
      <c r="B158" s="5" t="s">
        <v>2</v>
      </c>
      <c r="C158" s="5" t="s">
        <v>6</v>
      </c>
      <c r="D158" s="5" t="s">
        <v>7</v>
      </c>
      <c r="E158" s="5" t="s">
        <v>8</v>
      </c>
    </row>
    <row r="159" spans="1:5">
      <c r="A159" s="10" t="s">
        <v>9</v>
      </c>
      <c r="B159" s="6" t="s">
        <v>10</v>
      </c>
      <c r="C159" s="7">
        <v>0.1</v>
      </c>
      <c r="D159" s="8">
        <f>E180</f>
        <v>8666.6666666666661</v>
      </c>
      <c r="E159" s="8">
        <f>C159*D159</f>
        <v>866.66666666666663</v>
      </c>
    </row>
    <row r="160" spans="1:5">
      <c r="A160" s="10" t="s">
        <v>93</v>
      </c>
      <c r="B160" s="6" t="s">
        <v>10</v>
      </c>
      <c r="C160" s="7">
        <v>0.1</v>
      </c>
      <c r="D160" s="8">
        <v>25000</v>
      </c>
      <c r="E160" s="8">
        <f>C160*D160</f>
        <v>2500</v>
      </c>
    </row>
    <row r="161" spans="1:7">
      <c r="A161" s="6"/>
      <c r="B161" s="6"/>
      <c r="C161" s="6"/>
      <c r="D161" s="8"/>
      <c r="E161" s="8"/>
    </row>
    <row r="162" spans="1:7">
      <c r="A162" s="32" t="s">
        <v>11</v>
      </c>
      <c r="B162" s="33"/>
      <c r="C162" s="33"/>
      <c r="D162" s="33"/>
      <c r="E162" s="9">
        <f>SUM(E159:E160)</f>
        <v>3366.6666666666665</v>
      </c>
    </row>
    <row r="163" spans="1:7">
      <c r="A163" s="38" t="s">
        <v>12</v>
      </c>
      <c r="B163" s="39"/>
      <c r="C163" s="39"/>
      <c r="D163" s="39"/>
      <c r="E163" s="39"/>
    </row>
    <row r="164" spans="1:7">
      <c r="A164" s="5" t="s">
        <v>5</v>
      </c>
      <c r="B164" s="5" t="s">
        <v>2</v>
      </c>
      <c r="C164" s="5" t="s">
        <v>13</v>
      </c>
      <c r="D164" s="5" t="s">
        <v>14</v>
      </c>
      <c r="E164" s="5" t="s">
        <v>8</v>
      </c>
    </row>
    <row r="165" spans="1:7">
      <c r="A165" s="10" t="s">
        <v>95</v>
      </c>
      <c r="B165" s="6" t="s">
        <v>29</v>
      </c>
      <c r="C165" s="12">
        <v>2.5</v>
      </c>
      <c r="D165" s="8">
        <v>56668.892026143803</v>
      </c>
      <c r="E165" s="8">
        <f>C165*D165</f>
        <v>141672.2300653595</v>
      </c>
    </row>
    <row r="166" spans="1:7">
      <c r="A166" s="10" t="s">
        <v>30</v>
      </c>
      <c r="B166" s="6" t="s">
        <v>3</v>
      </c>
      <c r="C166" s="12">
        <v>1.4999999999999999E-2</v>
      </c>
      <c r="D166" s="8">
        <v>100000</v>
      </c>
      <c r="E166" s="8">
        <f>C166*D166</f>
        <v>1500</v>
      </c>
    </row>
    <row r="167" spans="1:7">
      <c r="A167" s="10"/>
      <c r="B167" s="6"/>
      <c r="C167" s="12"/>
      <c r="D167" s="8"/>
      <c r="E167" s="8"/>
    </row>
    <row r="168" spans="1:7">
      <c r="A168" s="13" t="s">
        <v>15</v>
      </c>
      <c r="B168" s="40"/>
      <c r="C168" s="37"/>
      <c r="D168" s="37"/>
      <c r="E168" s="8">
        <f>SUM(E165:E166)*0.02</f>
        <v>2863.4446013071902</v>
      </c>
    </row>
    <row r="169" spans="1:7">
      <c r="A169" s="13"/>
      <c r="B169" s="14"/>
      <c r="C169" s="15"/>
      <c r="D169" s="15"/>
      <c r="E169" s="8"/>
    </row>
    <row r="170" spans="1:7">
      <c r="A170" s="32" t="s">
        <v>11</v>
      </c>
      <c r="B170" s="33"/>
      <c r="C170" s="33"/>
      <c r="D170" s="33"/>
      <c r="E170" s="9">
        <f>SUM(E165:E168)</f>
        <v>146035.67466666669</v>
      </c>
    </row>
    <row r="171" spans="1:7">
      <c r="A171" s="38" t="s">
        <v>16</v>
      </c>
      <c r="B171" s="39"/>
      <c r="C171" s="39"/>
      <c r="D171" s="39"/>
      <c r="E171" s="39"/>
    </row>
    <row r="172" spans="1:7">
      <c r="A172" s="5" t="s">
        <v>5</v>
      </c>
      <c r="B172" s="5" t="s">
        <v>2</v>
      </c>
      <c r="C172" s="5" t="s">
        <v>6</v>
      </c>
      <c r="D172" s="5" t="s">
        <v>7</v>
      </c>
      <c r="E172" s="5" t="s">
        <v>8</v>
      </c>
    </row>
    <row r="173" spans="1:7">
      <c r="A173" s="10" t="s">
        <v>17</v>
      </c>
      <c r="B173" s="6" t="s">
        <v>18</v>
      </c>
      <c r="C173" s="7">
        <v>0.02</v>
      </c>
      <c r="D173" s="8">
        <v>45000</v>
      </c>
      <c r="E173" s="8">
        <f>D173*C173</f>
        <v>900</v>
      </c>
    </row>
    <row r="174" spans="1:7">
      <c r="A174" s="10"/>
      <c r="B174" s="6"/>
      <c r="C174" s="7"/>
      <c r="D174" s="8"/>
      <c r="E174" s="8"/>
    </row>
    <row r="175" spans="1:7">
      <c r="A175" s="32" t="s">
        <v>11</v>
      </c>
      <c r="B175" s="33"/>
      <c r="C175" s="33"/>
      <c r="D175" s="33"/>
      <c r="E175" s="9">
        <f>SUM(E173)</f>
        <v>900</v>
      </c>
    </row>
    <row r="176" spans="1:7">
      <c r="A176" s="38" t="s">
        <v>19</v>
      </c>
      <c r="B176" s="39"/>
      <c r="C176" s="39"/>
      <c r="D176" s="39"/>
      <c r="E176" s="39"/>
      <c r="G176" s="31"/>
    </row>
    <row r="177" spans="1:5">
      <c r="A177" s="5" t="s">
        <v>5</v>
      </c>
      <c r="B177" s="5" t="s">
        <v>2</v>
      </c>
      <c r="C177" s="5" t="s">
        <v>6</v>
      </c>
      <c r="D177" s="5" t="s">
        <v>20</v>
      </c>
      <c r="E177" s="5" t="s">
        <v>8</v>
      </c>
    </row>
    <row r="178" spans="1:5">
      <c r="A178" s="10" t="s">
        <v>21</v>
      </c>
      <c r="B178" s="6" t="s">
        <v>18</v>
      </c>
      <c r="C178" s="7">
        <v>15</v>
      </c>
      <c r="D178" s="8">
        <v>130000</v>
      </c>
      <c r="E178" s="8">
        <f>D178/C178</f>
        <v>8666.6666666666661</v>
      </c>
    </row>
    <row r="179" spans="1:5">
      <c r="A179" s="10"/>
      <c r="B179" s="6"/>
      <c r="C179" s="7"/>
      <c r="D179" s="8"/>
      <c r="E179" s="8"/>
    </row>
    <row r="180" spans="1:5">
      <c r="A180" s="32" t="s">
        <v>11</v>
      </c>
      <c r="B180" s="33"/>
      <c r="C180" s="33"/>
      <c r="D180" s="33"/>
      <c r="E180" s="9">
        <f>SUM(E178)</f>
        <v>8666.6666666666661</v>
      </c>
    </row>
    <row r="181" spans="1:5">
      <c r="A181" s="6"/>
      <c r="B181" s="15"/>
      <c r="C181" s="15"/>
      <c r="D181" s="15"/>
      <c r="E181" s="15"/>
    </row>
    <row r="182" spans="1:5">
      <c r="A182" s="32" t="s">
        <v>22</v>
      </c>
      <c r="B182" s="33"/>
      <c r="C182" s="33"/>
      <c r="D182" s="33"/>
      <c r="E182" s="9">
        <f>SUM(E162,E170,E175,E180)</f>
        <v>158969.008</v>
      </c>
    </row>
    <row r="184" spans="1:5">
      <c r="A184" s="41" t="s">
        <v>77</v>
      </c>
      <c r="B184" s="41"/>
      <c r="C184" s="41"/>
      <c r="D184" s="18" t="s">
        <v>0</v>
      </c>
      <c r="E184" s="18" t="s">
        <v>75</v>
      </c>
    </row>
    <row r="185" spans="1:5">
      <c r="A185" s="36"/>
      <c r="B185" s="36"/>
      <c r="C185" s="36"/>
      <c r="D185" s="4" t="s">
        <v>2</v>
      </c>
      <c r="E185" s="4" t="s">
        <v>35</v>
      </c>
    </row>
    <row r="186" spans="1:5">
      <c r="A186" s="38" t="s">
        <v>4</v>
      </c>
      <c r="B186" s="38"/>
      <c r="C186" s="38"/>
      <c r="D186" s="38"/>
      <c r="E186" s="38"/>
    </row>
    <row r="187" spans="1:5">
      <c r="A187" s="5" t="s">
        <v>5</v>
      </c>
      <c r="B187" s="5" t="s">
        <v>2</v>
      </c>
      <c r="C187" s="5" t="s">
        <v>6</v>
      </c>
      <c r="D187" s="5" t="s">
        <v>7</v>
      </c>
      <c r="E187" s="5" t="s">
        <v>8</v>
      </c>
    </row>
    <row r="188" spans="1:5">
      <c r="A188" s="10" t="s">
        <v>9</v>
      </c>
      <c r="B188" s="6" t="s">
        <v>10</v>
      </c>
      <c r="C188" s="7">
        <v>0.8</v>
      </c>
      <c r="D188" s="8">
        <f>E210</f>
        <v>3714.2857142857142</v>
      </c>
      <c r="E188" s="8">
        <f>C188*D188</f>
        <v>2971.4285714285716</v>
      </c>
    </row>
    <row r="189" spans="1:5">
      <c r="A189" s="10" t="s">
        <v>43</v>
      </c>
      <c r="B189" s="6" t="s">
        <v>18</v>
      </c>
      <c r="C189" s="7">
        <v>0.01</v>
      </c>
      <c r="D189" s="8">
        <v>15000</v>
      </c>
      <c r="E189" s="8">
        <f>C189*D189</f>
        <v>150</v>
      </c>
    </row>
    <row r="190" spans="1:5">
      <c r="A190" s="10"/>
      <c r="B190" s="6"/>
      <c r="C190" s="7"/>
      <c r="D190" s="8"/>
      <c r="E190" s="8"/>
    </row>
    <row r="191" spans="1:5">
      <c r="A191" s="32" t="s">
        <v>11</v>
      </c>
      <c r="B191" s="32"/>
      <c r="C191" s="32"/>
      <c r="D191" s="32"/>
      <c r="E191" s="9">
        <f>SUM(E188:E189)</f>
        <v>3121.4285714285716</v>
      </c>
    </row>
    <row r="192" spans="1:5">
      <c r="A192" s="38" t="s">
        <v>12</v>
      </c>
      <c r="B192" s="38"/>
      <c r="C192" s="38"/>
      <c r="D192" s="38"/>
      <c r="E192" s="38"/>
    </row>
    <row r="193" spans="1:5">
      <c r="A193" s="5" t="s">
        <v>5</v>
      </c>
      <c r="B193" s="5" t="s">
        <v>2</v>
      </c>
      <c r="C193" s="5" t="s">
        <v>13</v>
      </c>
      <c r="D193" s="5" t="s">
        <v>14</v>
      </c>
      <c r="E193" s="5" t="s">
        <v>8</v>
      </c>
    </row>
    <row r="194" spans="1:5">
      <c r="A194" s="10" t="s">
        <v>28</v>
      </c>
      <c r="B194" s="6" t="s">
        <v>96</v>
      </c>
      <c r="C194" s="12">
        <v>1.0018327719437288E-2</v>
      </c>
      <c r="D194" s="8">
        <v>280000</v>
      </c>
      <c r="E194" s="8">
        <f>C194*D194</f>
        <v>2805.1317614424406</v>
      </c>
    </row>
    <row r="195" spans="1:5">
      <c r="A195" s="10" t="s">
        <v>30</v>
      </c>
      <c r="B195" s="6" t="s">
        <v>3</v>
      </c>
      <c r="C195" s="12">
        <v>1.4999999999999999E-2</v>
      </c>
      <c r="D195" s="8">
        <v>100000</v>
      </c>
      <c r="E195" s="8">
        <f>C195*D195</f>
        <v>1500</v>
      </c>
    </row>
    <row r="196" spans="1:5">
      <c r="A196" s="10" t="s">
        <v>40</v>
      </c>
      <c r="B196" s="6" t="s">
        <v>34</v>
      </c>
      <c r="C196" s="17">
        <v>0.05</v>
      </c>
      <c r="D196" s="8">
        <v>35000</v>
      </c>
      <c r="E196" s="8">
        <f>C196*D196</f>
        <v>1750</v>
      </c>
    </row>
    <row r="197" spans="1:5">
      <c r="A197" s="10"/>
      <c r="B197" s="6"/>
      <c r="C197" s="12"/>
      <c r="D197" s="8"/>
      <c r="E197" s="8"/>
    </row>
    <row r="198" spans="1:5">
      <c r="A198" s="13" t="s">
        <v>31</v>
      </c>
      <c r="B198" s="40"/>
      <c r="C198" s="40"/>
      <c r="D198" s="40"/>
      <c r="E198" s="8">
        <f>E194*0.03</f>
        <v>84.153952843273217</v>
      </c>
    </row>
    <row r="199" spans="1:5">
      <c r="A199" s="13"/>
      <c r="B199" s="14"/>
      <c r="C199" s="15"/>
      <c r="D199" s="15"/>
      <c r="E199" s="8"/>
    </row>
    <row r="200" spans="1:5">
      <c r="A200" s="32" t="s">
        <v>11</v>
      </c>
      <c r="B200" s="32"/>
      <c r="C200" s="32"/>
      <c r="D200" s="32"/>
      <c r="E200" s="9">
        <f>SUM(E194:E198)</f>
        <v>6139.2857142857138</v>
      </c>
    </row>
    <row r="201" spans="1:5">
      <c r="A201" s="38" t="s">
        <v>16</v>
      </c>
      <c r="B201" s="38"/>
      <c r="C201" s="38"/>
      <c r="D201" s="38"/>
      <c r="E201" s="38"/>
    </row>
    <row r="202" spans="1:5">
      <c r="A202" s="5" t="s">
        <v>5</v>
      </c>
      <c r="B202" s="5" t="s">
        <v>2</v>
      </c>
      <c r="C202" s="5" t="s">
        <v>6</v>
      </c>
      <c r="D202" s="5" t="s">
        <v>7</v>
      </c>
      <c r="E202" s="5" t="s">
        <v>8</v>
      </c>
    </row>
    <row r="203" spans="1:5">
      <c r="A203" s="10" t="s">
        <v>32</v>
      </c>
      <c r="B203" s="6" t="s">
        <v>18</v>
      </c>
      <c r="C203" s="7">
        <v>2.5000000000000001E-2</v>
      </c>
      <c r="D203" s="8">
        <v>25000</v>
      </c>
      <c r="E203" s="8">
        <f>D203*C203</f>
        <v>625</v>
      </c>
    </row>
    <row r="204" spans="1:5">
      <c r="A204" s="10"/>
      <c r="B204" s="6"/>
      <c r="C204" s="7"/>
      <c r="D204" s="8"/>
      <c r="E204" s="8"/>
    </row>
    <row r="205" spans="1:5">
      <c r="A205" s="32" t="s">
        <v>11</v>
      </c>
      <c r="B205" s="32"/>
      <c r="C205" s="32"/>
      <c r="D205" s="32"/>
      <c r="E205" s="9">
        <f>SUM(E203)</f>
        <v>625</v>
      </c>
    </row>
    <row r="206" spans="1:5">
      <c r="A206" s="38" t="s">
        <v>19</v>
      </c>
      <c r="B206" s="38"/>
      <c r="C206" s="38"/>
      <c r="D206" s="38"/>
      <c r="E206" s="38"/>
    </row>
    <row r="207" spans="1:5">
      <c r="A207" s="5" t="s">
        <v>5</v>
      </c>
      <c r="B207" s="5" t="s">
        <v>2</v>
      </c>
      <c r="C207" s="5" t="s">
        <v>6</v>
      </c>
      <c r="D207" s="5" t="s">
        <v>20</v>
      </c>
      <c r="E207" s="5" t="s">
        <v>8</v>
      </c>
    </row>
    <row r="208" spans="1:5">
      <c r="A208" s="10" t="s">
        <v>33</v>
      </c>
      <c r="B208" s="6" t="s">
        <v>18</v>
      </c>
      <c r="C208" s="7">
        <v>35</v>
      </c>
      <c r="D208" s="8">
        <v>130000</v>
      </c>
      <c r="E208" s="8">
        <f>D208/C208</f>
        <v>3714.2857142857142</v>
      </c>
    </row>
    <row r="209" spans="1:5">
      <c r="A209" s="10"/>
      <c r="B209" s="6"/>
      <c r="C209" s="7"/>
      <c r="D209" s="8"/>
      <c r="E209" s="8"/>
    </row>
    <row r="210" spans="1:5">
      <c r="A210" s="32" t="s">
        <v>11</v>
      </c>
      <c r="B210" s="32"/>
      <c r="C210" s="32"/>
      <c r="D210" s="32"/>
      <c r="E210" s="9">
        <f>SUM(E208)</f>
        <v>3714.2857142857142</v>
      </c>
    </row>
    <row r="211" spans="1:5">
      <c r="A211" s="6"/>
      <c r="B211" s="15"/>
      <c r="C211" s="15"/>
      <c r="D211" s="15"/>
      <c r="E211" s="15"/>
    </row>
    <row r="212" spans="1:5">
      <c r="A212" s="32" t="s">
        <v>22</v>
      </c>
      <c r="B212" s="32"/>
      <c r="C212" s="32"/>
      <c r="D212" s="32"/>
      <c r="E212" s="9">
        <f>SUM(E191,E200,E205,E210)</f>
        <v>13600</v>
      </c>
    </row>
    <row r="214" spans="1:5">
      <c r="A214" s="42" t="s">
        <v>81</v>
      </c>
      <c r="B214" s="43"/>
      <c r="C214" s="43"/>
      <c r="D214" s="28" t="s">
        <v>0</v>
      </c>
      <c r="E214" s="28" t="s">
        <v>79</v>
      </c>
    </row>
    <row r="215" spans="1:5">
      <c r="A215" s="36"/>
      <c r="B215" s="37"/>
      <c r="C215" s="37"/>
      <c r="D215" s="4" t="s">
        <v>2</v>
      </c>
      <c r="E215" s="4" t="s">
        <v>35</v>
      </c>
    </row>
    <row r="216" spans="1:5">
      <c r="A216" s="38" t="s">
        <v>4</v>
      </c>
      <c r="B216" s="39"/>
      <c r="C216" s="39"/>
      <c r="D216" s="39"/>
      <c r="E216" s="39"/>
    </row>
    <row r="217" spans="1:5">
      <c r="A217" s="5" t="s">
        <v>5</v>
      </c>
      <c r="B217" s="5" t="s">
        <v>2</v>
      </c>
      <c r="C217" s="5" t="s">
        <v>6</v>
      </c>
      <c r="D217" s="5" t="s">
        <v>7</v>
      </c>
      <c r="E217" s="5" t="s">
        <v>8</v>
      </c>
    </row>
    <row r="218" spans="1:5">
      <c r="A218" s="10" t="s">
        <v>9</v>
      </c>
      <c r="B218" s="6" t="s">
        <v>10</v>
      </c>
      <c r="C218" s="7">
        <v>0.1</v>
      </c>
      <c r="D218" s="8">
        <f>E239</f>
        <v>2166.6666666666665</v>
      </c>
      <c r="E218" s="8">
        <f>C218*D218</f>
        <v>216.66666666666666</v>
      </c>
    </row>
    <row r="219" spans="1:5">
      <c r="A219" s="10" t="s">
        <v>44</v>
      </c>
      <c r="B219" s="6" t="s">
        <v>18</v>
      </c>
      <c r="C219" s="7">
        <v>1.4999999999999999E-2</v>
      </c>
      <c r="D219" s="8">
        <v>25000</v>
      </c>
      <c r="E219" s="8">
        <f>C219*D219</f>
        <v>375</v>
      </c>
    </row>
    <row r="220" spans="1:5">
      <c r="A220" s="6"/>
      <c r="B220" s="6"/>
      <c r="C220" s="6"/>
      <c r="D220" s="8"/>
      <c r="E220" s="8"/>
    </row>
    <row r="221" spans="1:5">
      <c r="A221" s="32" t="s">
        <v>11</v>
      </c>
      <c r="B221" s="33"/>
      <c r="C221" s="33"/>
      <c r="D221" s="33"/>
      <c r="E221" s="9">
        <f>SUM(E218:E219)</f>
        <v>591.66666666666663</v>
      </c>
    </row>
    <row r="222" spans="1:5">
      <c r="A222" s="38" t="s">
        <v>12</v>
      </c>
      <c r="B222" s="39"/>
      <c r="C222" s="39"/>
      <c r="D222" s="39"/>
      <c r="E222" s="39"/>
    </row>
    <row r="223" spans="1:5">
      <c r="A223" s="5" t="s">
        <v>5</v>
      </c>
      <c r="B223" s="5" t="s">
        <v>2</v>
      </c>
      <c r="C223" s="5" t="s">
        <v>13</v>
      </c>
      <c r="D223" s="5" t="s">
        <v>14</v>
      </c>
      <c r="E223" s="5" t="s">
        <v>8</v>
      </c>
    </row>
    <row r="224" spans="1:5">
      <c r="A224" s="10" t="s">
        <v>78</v>
      </c>
      <c r="B224" s="6" t="s">
        <v>37</v>
      </c>
      <c r="C224" s="17">
        <v>4.6855921855921835E-2</v>
      </c>
      <c r="D224" s="8">
        <v>26000</v>
      </c>
      <c r="E224" s="8">
        <f>C224*D224</f>
        <v>1218.2539682539677</v>
      </c>
    </row>
    <row r="225" spans="1:5">
      <c r="A225" s="10" t="s">
        <v>82</v>
      </c>
      <c r="B225" s="6" t="s">
        <v>23</v>
      </c>
      <c r="C225" s="17">
        <v>0.05</v>
      </c>
      <c r="D225" s="8">
        <v>5000</v>
      </c>
      <c r="E225" s="8">
        <f>C225*D225</f>
        <v>250</v>
      </c>
    </row>
    <row r="226" spans="1:5">
      <c r="A226" s="10"/>
      <c r="B226" s="6"/>
      <c r="C226" s="12"/>
      <c r="D226" s="8"/>
      <c r="E226" s="8"/>
    </row>
    <row r="227" spans="1:5">
      <c r="A227" s="13" t="s">
        <v>15</v>
      </c>
      <c r="B227" s="40"/>
      <c r="C227" s="37"/>
      <c r="D227" s="37"/>
      <c r="E227" s="8">
        <f>SUM(E224:E226)*0.05</f>
        <v>73.41269841269839</v>
      </c>
    </row>
    <row r="228" spans="1:5">
      <c r="A228" s="13"/>
      <c r="B228" s="14"/>
      <c r="C228" s="15"/>
      <c r="D228" s="15"/>
      <c r="E228" s="8"/>
    </row>
    <row r="229" spans="1:5">
      <c r="A229" s="32" t="s">
        <v>11</v>
      </c>
      <c r="B229" s="33"/>
      <c r="C229" s="33"/>
      <c r="D229" s="33"/>
      <c r="E229" s="9">
        <f>SUM(E224:E227)</f>
        <v>1541.6666666666661</v>
      </c>
    </row>
    <row r="230" spans="1:5">
      <c r="A230" s="38" t="s">
        <v>16</v>
      </c>
      <c r="B230" s="39"/>
      <c r="C230" s="39"/>
      <c r="D230" s="39"/>
      <c r="E230" s="39"/>
    </row>
    <row r="231" spans="1:5">
      <c r="A231" s="5" t="s">
        <v>5</v>
      </c>
      <c r="B231" s="5" t="s">
        <v>2</v>
      </c>
      <c r="C231" s="5" t="s">
        <v>6</v>
      </c>
      <c r="D231" s="5" t="s">
        <v>7</v>
      </c>
      <c r="E231" s="5" t="s">
        <v>8</v>
      </c>
    </row>
    <row r="232" spans="1:5">
      <c r="A232" s="10" t="s">
        <v>17</v>
      </c>
      <c r="B232" s="6" t="s">
        <v>18</v>
      </c>
      <c r="C232" s="7">
        <v>0.02</v>
      </c>
      <c r="D232" s="8">
        <v>45000</v>
      </c>
      <c r="E232" s="8">
        <f>D232*C232</f>
        <v>900</v>
      </c>
    </row>
    <row r="233" spans="1:5">
      <c r="A233" s="10"/>
      <c r="B233" s="6"/>
      <c r="C233" s="7"/>
      <c r="D233" s="8"/>
      <c r="E233" s="8"/>
    </row>
    <row r="234" spans="1:5">
      <c r="A234" s="32" t="s">
        <v>11</v>
      </c>
      <c r="B234" s="33"/>
      <c r="C234" s="33"/>
      <c r="D234" s="33"/>
      <c r="E234" s="9">
        <f>SUM(E232)</f>
        <v>900</v>
      </c>
    </row>
    <row r="235" spans="1:5">
      <c r="A235" s="38" t="s">
        <v>19</v>
      </c>
      <c r="B235" s="39"/>
      <c r="C235" s="39"/>
      <c r="D235" s="39"/>
      <c r="E235" s="39"/>
    </row>
    <row r="236" spans="1:5">
      <c r="A236" s="5" t="s">
        <v>5</v>
      </c>
      <c r="B236" s="5" t="s">
        <v>2</v>
      </c>
      <c r="C236" s="5" t="s">
        <v>6</v>
      </c>
      <c r="D236" s="5" t="s">
        <v>20</v>
      </c>
      <c r="E236" s="5" t="s">
        <v>8</v>
      </c>
    </row>
    <row r="237" spans="1:5">
      <c r="A237" s="10" t="s">
        <v>21</v>
      </c>
      <c r="B237" s="6" t="s">
        <v>18</v>
      </c>
      <c r="C237" s="7">
        <v>60</v>
      </c>
      <c r="D237" s="8">
        <v>130000</v>
      </c>
      <c r="E237" s="8">
        <f>D237/C237</f>
        <v>2166.6666666666665</v>
      </c>
    </row>
    <row r="238" spans="1:5">
      <c r="A238" s="10"/>
      <c r="B238" s="6"/>
      <c r="C238" s="7"/>
      <c r="D238" s="8"/>
      <c r="E238" s="8"/>
    </row>
    <row r="239" spans="1:5">
      <c r="A239" s="32" t="s">
        <v>11</v>
      </c>
      <c r="B239" s="33"/>
      <c r="C239" s="33"/>
      <c r="D239" s="33"/>
      <c r="E239" s="9">
        <f>SUM(E237)</f>
        <v>2166.6666666666665</v>
      </c>
    </row>
    <row r="240" spans="1:5">
      <c r="A240" s="6"/>
      <c r="B240" s="15"/>
      <c r="C240" s="15"/>
      <c r="D240" s="15"/>
      <c r="E240" s="15"/>
    </row>
    <row r="241" spans="1:5">
      <c r="A241" s="32" t="s">
        <v>22</v>
      </c>
      <c r="B241" s="33"/>
      <c r="C241" s="33"/>
      <c r="D241" s="33"/>
      <c r="E241" s="9">
        <f>SUM(E221,E229,E234,E239)</f>
        <v>5199.9999999999991</v>
      </c>
    </row>
    <row r="243" spans="1:5">
      <c r="A243" s="42" t="s">
        <v>98</v>
      </c>
      <c r="B243" s="43"/>
      <c r="C243" s="43"/>
      <c r="D243" s="28" t="s">
        <v>0</v>
      </c>
      <c r="E243" s="28" t="s">
        <v>79</v>
      </c>
    </row>
    <row r="244" spans="1:5">
      <c r="A244" s="36"/>
      <c r="B244" s="37"/>
      <c r="C244" s="37"/>
      <c r="D244" s="4" t="s">
        <v>2</v>
      </c>
      <c r="E244" s="4" t="s">
        <v>35</v>
      </c>
    </row>
    <row r="245" spans="1:5">
      <c r="A245" s="38" t="s">
        <v>4</v>
      </c>
      <c r="B245" s="39"/>
      <c r="C245" s="39"/>
      <c r="D245" s="39"/>
      <c r="E245" s="39"/>
    </row>
    <row r="246" spans="1:5">
      <c r="A246" s="5" t="s">
        <v>5</v>
      </c>
      <c r="B246" s="5" t="s">
        <v>2</v>
      </c>
      <c r="C246" s="5" t="s">
        <v>6</v>
      </c>
      <c r="D246" s="5" t="s">
        <v>7</v>
      </c>
      <c r="E246" s="5" t="s">
        <v>8</v>
      </c>
    </row>
    <row r="247" spans="1:5">
      <c r="A247" s="10" t="s">
        <v>9</v>
      </c>
      <c r="B247" s="6" t="s">
        <v>10</v>
      </c>
      <c r="C247" s="7">
        <v>0.1</v>
      </c>
      <c r="D247" s="8">
        <f>E268</f>
        <v>2621.2121750173451</v>
      </c>
      <c r="E247" s="8">
        <f>C247*D247</f>
        <v>262.12121750173452</v>
      </c>
    </row>
    <row r="248" spans="1:5">
      <c r="A248" s="10" t="s">
        <v>44</v>
      </c>
      <c r="B248" s="6" t="s">
        <v>18</v>
      </c>
      <c r="C248" s="7">
        <v>1.4999999999999999E-2</v>
      </c>
      <c r="D248" s="8">
        <v>25000</v>
      </c>
      <c r="E248" s="8">
        <f>C248*D248</f>
        <v>375</v>
      </c>
    </row>
    <row r="249" spans="1:5">
      <c r="A249" s="6"/>
      <c r="B249" s="6"/>
      <c r="C249" s="6"/>
      <c r="D249" s="8"/>
      <c r="E249" s="8"/>
    </row>
    <row r="250" spans="1:5">
      <c r="A250" s="32" t="s">
        <v>11</v>
      </c>
      <c r="B250" s="33"/>
      <c r="C250" s="33"/>
      <c r="D250" s="33"/>
      <c r="E250" s="9">
        <f>SUM(E247:E248)</f>
        <v>637.12121750173446</v>
      </c>
    </row>
    <row r="251" spans="1:5">
      <c r="A251" s="38" t="s">
        <v>12</v>
      </c>
      <c r="B251" s="39"/>
      <c r="C251" s="39"/>
      <c r="D251" s="39"/>
      <c r="E251" s="39"/>
    </row>
    <row r="252" spans="1:5">
      <c r="A252" s="5" t="s">
        <v>5</v>
      </c>
      <c r="B252" s="5" t="s">
        <v>2</v>
      </c>
      <c r="C252" s="5" t="s">
        <v>13</v>
      </c>
      <c r="D252" s="5" t="s">
        <v>14</v>
      </c>
      <c r="E252" s="5" t="s">
        <v>8</v>
      </c>
    </row>
    <row r="253" spans="1:5">
      <c r="A253" s="10" t="s">
        <v>78</v>
      </c>
      <c r="B253" s="6" t="s">
        <v>37</v>
      </c>
      <c r="C253" s="17">
        <v>4.6855921855921835E-2</v>
      </c>
      <c r="D253" s="8">
        <v>26000</v>
      </c>
      <c r="E253" s="8">
        <f>C253*D253</f>
        <v>1218.2539682539677</v>
      </c>
    </row>
    <row r="254" spans="1:5">
      <c r="A254" s="10" t="s">
        <v>82</v>
      </c>
      <c r="B254" s="6" t="s">
        <v>23</v>
      </c>
      <c r="C254" s="17">
        <v>0.05</v>
      </c>
      <c r="D254" s="8">
        <v>5000</v>
      </c>
      <c r="E254" s="8">
        <f>C254*D254</f>
        <v>250</v>
      </c>
    </row>
    <row r="255" spans="1:5">
      <c r="A255" s="10"/>
      <c r="B255" s="6"/>
      <c r="C255" s="12"/>
      <c r="D255" s="8"/>
      <c r="E255" s="8"/>
    </row>
    <row r="256" spans="1:5">
      <c r="A256" s="13" t="s">
        <v>15</v>
      </c>
      <c r="B256" s="40"/>
      <c r="C256" s="37"/>
      <c r="D256" s="37"/>
      <c r="E256" s="8">
        <f>SUM(E253:E255)*0.05</f>
        <v>73.41269841269839</v>
      </c>
    </row>
    <row r="257" spans="1:5">
      <c r="A257" s="13"/>
      <c r="B257" s="14"/>
      <c r="C257" s="15"/>
      <c r="D257" s="15"/>
      <c r="E257" s="8"/>
    </row>
    <row r="258" spans="1:5">
      <c r="A258" s="32" t="s">
        <v>11</v>
      </c>
      <c r="B258" s="33"/>
      <c r="C258" s="33"/>
      <c r="D258" s="33"/>
      <c r="E258" s="9">
        <f>SUM(E253:E256)</f>
        <v>1541.6666666666661</v>
      </c>
    </row>
    <row r="259" spans="1:5">
      <c r="A259" s="38" t="s">
        <v>16</v>
      </c>
      <c r="B259" s="39"/>
      <c r="C259" s="39"/>
      <c r="D259" s="39"/>
      <c r="E259" s="39"/>
    </row>
    <row r="260" spans="1:5">
      <c r="A260" s="5" t="s">
        <v>5</v>
      </c>
      <c r="B260" s="5" t="s">
        <v>2</v>
      </c>
      <c r="C260" s="5" t="s">
        <v>6</v>
      </c>
      <c r="D260" s="5" t="s">
        <v>7</v>
      </c>
      <c r="E260" s="5" t="s">
        <v>8</v>
      </c>
    </row>
    <row r="261" spans="1:5">
      <c r="A261" s="10" t="s">
        <v>17</v>
      </c>
      <c r="B261" s="6" t="s">
        <v>18</v>
      </c>
      <c r="C261" s="7">
        <v>0.02</v>
      </c>
      <c r="D261" s="8">
        <v>45000</v>
      </c>
      <c r="E261" s="8">
        <f>D261*C261</f>
        <v>900</v>
      </c>
    </row>
    <row r="262" spans="1:5">
      <c r="A262" s="10"/>
      <c r="B262" s="6"/>
      <c r="C262" s="7"/>
      <c r="D262" s="8"/>
      <c r="E262" s="8"/>
    </row>
    <row r="263" spans="1:5">
      <c r="A263" s="32" t="s">
        <v>11</v>
      </c>
      <c r="B263" s="33"/>
      <c r="C263" s="33"/>
      <c r="D263" s="33"/>
      <c r="E263" s="9">
        <f>SUM(E261)</f>
        <v>900</v>
      </c>
    </row>
    <row r="264" spans="1:5">
      <c r="A264" s="38" t="s">
        <v>19</v>
      </c>
      <c r="B264" s="39"/>
      <c r="C264" s="39"/>
      <c r="D264" s="39"/>
      <c r="E264" s="39"/>
    </row>
    <row r="265" spans="1:5">
      <c r="A265" s="5" t="s">
        <v>5</v>
      </c>
      <c r="B265" s="5" t="s">
        <v>2</v>
      </c>
      <c r="C265" s="5" t="s">
        <v>6</v>
      </c>
      <c r="D265" s="5" t="s">
        <v>20</v>
      </c>
      <c r="E265" s="5" t="s">
        <v>8</v>
      </c>
    </row>
    <row r="266" spans="1:5">
      <c r="A266" s="10" t="s">
        <v>21</v>
      </c>
      <c r="B266" s="6" t="s">
        <v>18</v>
      </c>
      <c r="C266" s="19">
        <v>49.595374704506611</v>
      </c>
      <c r="D266" s="8">
        <v>130000</v>
      </c>
      <c r="E266" s="8">
        <f>D266/C266</f>
        <v>2621.2121750173451</v>
      </c>
    </row>
    <row r="267" spans="1:5">
      <c r="A267" s="10"/>
      <c r="B267" s="6"/>
      <c r="C267" s="7"/>
      <c r="D267" s="8"/>
      <c r="E267" s="8"/>
    </row>
    <row r="268" spans="1:5">
      <c r="A268" s="32" t="s">
        <v>11</v>
      </c>
      <c r="B268" s="33"/>
      <c r="C268" s="33"/>
      <c r="D268" s="33"/>
      <c r="E268" s="9">
        <f>SUM(E266)</f>
        <v>2621.2121750173451</v>
      </c>
    </row>
    <row r="269" spans="1:5">
      <c r="A269" s="6"/>
      <c r="B269" s="15"/>
      <c r="C269" s="15"/>
      <c r="D269" s="15"/>
      <c r="E269" s="15"/>
    </row>
    <row r="270" spans="1:5">
      <c r="A270" s="32" t="s">
        <v>22</v>
      </c>
      <c r="B270" s="33"/>
      <c r="C270" s="33"/>
      <c r="D270" s="33"/>
      <c r="E270" s="9">
        <f>SUM(E250,E258,E263,E268)</f>
        <v>5700.0000591857461</v>
      </c>
    </row>
    <row r="272" spans="1:5">
      <c r="A272" s="45" t="s">
        <v>63</v>
      </c>
      <c r="B272" s="46"/>
      <c r="C272" s="46"/>
      <c r="D272" s="28" t="s">
        <v>0</v>
      </c>
      <c r="E272" s="28" t="s">
        <v>1</v>
      </c>
    </row>
    <row r="273" spans="1:5">
      <c r="A273" s="36"/>
      <c r="B273" s="37"/>
      <c r="C273" s="37"/>
      <c r="D273" s="4" t="s">
        <v>2</v>
      </c>
      <c r="E273" s="4" t="s">
        <v>3</v>
      </c>
    </row>
    <row r="274" spans="1:5">
      <c r="A274" s="38" t="s">
        <v>4</v>
      </c>
      <c r="B274" s="39"/>
      <c r="C274" s="39"/>
      <c r="D274" s="39"/>
      <c r="E274" s="39"/>
    </row>
    <row r="275" spans="1:5">
      <c r="A275" s="5" t="s">
        <v>5</v>
      </c>
      <c r="B275" s="5" t="s">
        <v>2</v>
      </c>
      <c r="C275" s="5" t="s">
        <v>6</v>
      </c>
      <c r="D275" s="5" t="s">
        <v>7</v>
      </c>
      <c r="E275" s="5" t="s">
        <v>8</v>
      </c>
    </row>
    <row r="276" spans="1:5">
      <c r="A276" s="10" t="s">
        <v>9</v>
      </c>
      <c r="B276" s="6" t="s">
        <v>10</v>
      </c>
      <c r="C276" s="7">
        <v>0.1</v>
      </c>
      <c r="D276" s="8">
        <f>E299</f>
        <v>6000</v>
      </c>
      <c r="E276" s="8">
        <f>C276*D276</f>
        <v>600</v>
      </c>
    </row>
    <row r="277" spans="1:5">
      <c r="A277" s="10" t="s">
        <v>44</v>
      </c>
      <c r="B277" s="6" t="s">
        <v>18</v>
      </c>
      <c r="C277" s="7">
        <v>1.4999999999999999E-2</v>
      </c>
      <c r="D277" s="8">
        <v>25000</v>
      </c>
      <c r="E277" s="8">
        <f>C277*D277</f>
        <v>375</v>
      </c>
    </row>
    <row r="278" spans="1:5">
      <c r="A278" s="6"/>
      <c r="B278" s="6"/>
      <c r="C278" s="6"/>
      <c r="D278" s="8"/>
      <c r="E278" s="8"/>
    </row>
    <row r="279" spans="1:5">
      <c r="A279" s="32" t="s">
        <v>11</v>
      </c>
      <c r="B279" s="33"/>
      <c r="C279" s="33"/>
      <c r="D279" s="33"/>
      <c r="E279" s="9">
        <f>SUM(E276:E277)</f>
        <v>975</v>
      </c>
    </row>
    <row r="280" spans="1:5">
      <c r="A280" s="38" t="s">
        <v>12</v>
      </c>
      <c r="B280" s="39"/>
      <c r="C280" s="39"/>
      <c r="D280" s="39"/>
      <c r="E280" s="39"/>
    </row>
    <row r="281" spans="1:5">
      <c r="A281" s="5" t="s">
        <v>5</v>
      </c>
      <c r="B281" s="5" t="s">
        <v>2</v>
      </c>
      <c r="C281" s="5" t="s">
        <v>13</v>
      </c>
      <c r="D281" s="5" t="s">
        <v>14</v>
      </c>
      <c r="E281" s="5" t="s">
        <v>8</v>
      </c>
    </row>
    <row r="282" spans="1:5">
      <c r="A282" s="10" t="s">
        <v>100</v>
      </c>
      <c r="B282" s="6" t="s">
        <v>59</v>
      </c>
      <c r="C282" s="17">
        <v>2.1691710758377399E-2</v>
      </c>
      <c r="D282" s="8">
        <v>540000</v>
      </c>
      <c r="E282" s="8">
        <f>C282*D282</f>
        <v>11713.523809523795</v>
      </c>
    </row>
    <row r="283" spans="1:5">
      <c r="A283" s="10" t="s">
        <v>60</v>
      </c>
      <c r="B283" s="6" t="s">
        <v>23</v>
      </c>
      <c r="C283" s="12">
        <v>2E-3</v>
      </c>
      <c r="D283" s="8">
        <v>38000</v>
      </c>
      <c r="E283" s="8">
        <f>C283*D283</f>
        <v>76</v>
      </c>
    </row>
    <row r="284" spans="1:5">
      <c r="A284" s="10" t="s">
        <v>61</v>
      </c>
      <c r="B284" s="6" t="s">
        <v>23</v>
      </c>
      <c r="C284" s="12">
        <v>2E-3</v>
      </c>
      <c r="D284" s="8">
        <v>10000</v>
      </c>
      <c r="E284" s="8">
        <f>C284*D284</f>
        <v>20</v>
      </c>
    </row>
    <row r="285" spans="1:5">
      <c r="A285" s="10"/>
      <c r="B285" s="6"/>
      <c r="C285" s="12"/>
      <c r="D285" s="8"/>
      <c r="E285" s="8"/>
    </row>
    <row r="286" spans="1:5">
      <c r="A286" s="10"/>
      <c r="B286" s="6"/>
      <c r="C286" s="11"/>
      <c r="D286" s="8"/>
      <c r="E286" s="8"/>
    </row>
    <row r="287" spans="1:5">
      <c r="A287" s="13" t="s">
        <v>15</v>
      </c>
      <c r="B287" s="40"/>
      <c r="C287" s="37"/>
      <c r="D287" s="37"/>
      <c r="E287" s="8">
        <f>SUM(E282:E286)*0.05</f>
        <v>590.4761904761898</v>
      </c>
    </row>
    <row r="288" spans="1:5">
      <c r="A288" s="13"/>
      <c r="B288" s="14"/>
      <c r="C288" s="15"/>
      <c r="D288" s="15"/>
      <c r="E288" s="8"/>
    </row>
    <row r="289" spans="1:5">
      <c r="A289" s="32" t="s">
        <v>11</v>
      </c>
      <c r="B289" s="33"/>
      <c r="C289" s="33"/>
      <c r="D289" s="33"/>
      <c r="E289" s="9">
        <f>SUM(E282:E287)</f>
        <v>12399.999999999984</v>
      </c>
    </row>
    <row r="290" spans="1:5">
      <c r="A290" s="38" t="s">
        <v>16</v>
      </c>
      <c r="B290" s="39"/>
      <c r="C290" s="39"/>
      <c r="D290" s="39"/>
      <c r="E290" s="39"/>
    </row>
    <row r="291" spans="1:5">
      <c r="A291" s="5" t="s">
        <v>5</v>
      </c>
      <c r="B291" s="5" t="s">
        <v>2</v>
      </c>
      <c r="C291" s="5" t="s">
        <v>6</v>
      </c>
      <c r="D291" s="5" t="s">
        <v>7</v>
      </c>
      <c r="E291" s="5" t="s">
        <v>8</v>
      </c>
    </row>
    <row r="292" spans="1:5">
      <c r="A292" s="10" t="s">
        <v>32</v>
      </c>
      <c r="B292" s="6" t="s">
        <v>18</v>
      </c>
      <c r="C292" s="7">
        <v>2.5000000000000001E-2</v>
      </c>
      <c r="D292" s="8">
        <v>25000</v>
      </c>
      <c r="E292" s="8">
        <f>D292*C292</f>
        <v>625</v>
      </c>
    </row>
    <row r="293" spans="1:5">
      <c r="A293" s="10"/>
      <c r="B293" s="6"/>
      <c r="C293" s="7"/>
      <c r="D293" s="8"/>
      <c r="E293" s="8"/>
    </row>
    <row r="294" spans="1:5">
      <c r="A294" s="32" t="s">
        <v>11</v>
      </c>
      <c r="B294" s="33"/>
      <c r="C294" s="33"/>
      <c r="D294" s="33"/>
      <c r="E294" s="9">
        <f>SUM(E292)</f>
        <v>625</v>
      </c>
    </row>
    <row r="295" spans="1:5">
      <c r="A295" s="38" t="s">
        <v>19</v>
      </c>
      <c r="B295" s="39"/>
      <c r="C295" s="39"/>
      <c r="D295" s="39"/>
      <c r="E295" s="39"/>
    </row>
    <row r="296" spans="1:5">
      <c r="A296" s="5" t="s">
        <v>5</v>
      </c>
      <c r="B296" s="5" t="s">
        <v>2</v>
      </c>
      <c r="C296" s="5" t="s">
        <v>6</v>
      </c>
      <c r="D296" s="5" t="s">
        <v>20</v>
      </c>
      <c r="E296" s="5" t="s">
        <v>8</v>
      </c>
    </row>
    <row r="297" spans="1:5">
      <c r="A297" s="10" t="s">
        <v>101</v>
      </c>
      <c r="B297" s="6" t="s">
        <v>18</v>
      </c>
      <c r="C297" s="7">
        <v>40</v>
      </c>
      <c r="D297" s="8">
        <v>240000</v>
      </c>
      <c r="E297" s="8">
        <f>D297/C297</f>
        <v>6000</v>
      </c>
    </row>
    <row r="298" spans="1:5">
      <c r="A298" s="10"/>
      <c r="B298" s="6"/>
      <c r="C298" s="7"/>
      <c r="D298" s="8"/>
      <c r="E298" s="8"/>
    </row>
    <row r="299" spans="1:5">
      <c r="A299" s="32" t="s">
        <v>11</v>
      </c>
      <c r="B299" s="33"/>
      <c r="C299" s="33"/>
      <c r="D299" s="33"/>
      <c r="E299" s="9">
        <f>SUM(E297)</f>
        <v>6000</v>
      </c>
    </row>
    <row r="300" spans="1:5">
      <c r="A300" s="6"/>
      <c r="B300" s="15"/>
      <c r="C300" s="15"/>
      <c r="D300" s="15"/>
      <c r="E300" s="15"/>
    </row>
    <row r="301" spans="1:5">
      <c r="A301" s="32" t="s">
        <v>22</v>
      </c>
      <c r="B301" s="33"/>
      <c r="C301" s="33"/>
      <c r="D301" s="33"/>
      <c r="E301" s="9">
        <f>SUM(E279,E289,E294,E299)</f>
        <v>19999.999999999985</v>
      </c>
    </row>
    <row r="303" spans="1:5">
      <c r="A303" s="44" t="s">
        <v>68</v>
      </c>
      <c r="B303" s="44"/>
      <c r="C303" s="44"/>
      <c r="D303" s="29" t="s">
        <v>0</v>
      </c>
      <c r="E303" s="29" t="s">
        <v>66</v>
      </c>
    </row>
    <row r="304" spans="1:5">
      <c r="A304" s="36"/>
      <c r="B304" s="37"/>
      <c r="C304" s="37"/>
      <c r="D304" s="4" t="s">
        <v>2</v>
      </c>
      <c r="E304" s="4" t="s">
        <v>3</v>
      </c>
    </row>
    <row r="305" spans="1:5">
      <c r="A305" s="38" t="s">
        <v>4</v>
      </c>
      <c r="B305" s="39"/>
      <c r="C305" s="39"/>
      <c r="D305" s="39"/>
      <c r="E305" s="39"/>
    </row>
    <row r="306" spans="1:5">
      <c r="A306" s="5" t="s">
        <v>5</v>
      </c>
      <c r="B306" s="5" t="s">
        <v>2</v>
      </c>
      <c r="C306" s="5" t="s">
        <v>6</v>
      </c>
      <c r="D306" s="5" t="s">
        <v>7</v>
      </c>
      <c r="E306" s="5" t="s">
        <v>8</v>
      </c>
    </row>
    <row r="307" spans="1:5">
      <c r="A307" s="10" t="s">
        <v>9</v>
      </c>
      <c r="B307" s="6" t="s">
        <v>10</v>
      </c>
      <c r="C307" s="7">
        <v>0.1</v>
      </c>
      <c r="D307" s="8">
        <f>E329</f>
        <v>4000</v>
      </c>
      <c r="E307" s="8">
        <f>C307*D307</f>
        <v>400</v>
      </c>
    </row>
    <row r="308" spans="1:5">
      <c r="A308" s="10" t="s">
        <v>44</v>
      </c>
      <c r="B308" s="6" t="s">
        <v>18</v>
      </c>
      <c r="C308" s="7">
        <v>0.02</v>
      </c>
      <c r="D308" s="8">
        <v>25000</v>
      </c>
      <c r="E308" s="8">
        <f>C308*D308</f>
        <v>500</v>
      </c>
    </row>
    <row r="309" spans="1:5">
      <c r="A309" s="6"/>
      <c r="B309" s="6"/>
      <c r="C309" s="6"/>
      <c r="D309" s="8"/>
      <c r="E309" s="8"/>
    </row>
    <row r="310" spans="1:5">
      <c r="A310" s="32" t="s">
        <v>11</v>
      </c>
      <c r="B310" s="33"/>
      <c r="C310" s="33"/>
      <c r="D310" s="33"/>
      <c r="E310" s="9">
        <f>SUM(E307:E308)</f>
        <v>900</v>
      </c>
    </row>
    <row r="311" spans="1:5">
      <c r="A311" s="38" t="s">
        <v>12</v>
      </c>
      <c r="B311" s="39"/>
      <c r="C311" s="39"/>
      <c r="D311" s="39"/>
      <c r="E311" s="39"/>
    </row>
    <row r="312" spans="1:5">
      <c r="A312" s="5" t="s">
        <v>5</v>
      </c>
      <c r="B312" s="5" t="s">
        <v>2</v>
      </c>
      <c r="C312" s="5" t="s">
        <v>13</v>
      </c>
      <c r="D312" s="5" t="s">
        <v>14</v>
      </c>
      <c r="E312" s="5" t="s">
        <v>8</v>
      </c>
    </row>
    <row r="313" spans="1:5">
      <c r="A313" s="10" t="s">
        <v>69</v>
      </c>
      <c r="B313" s="6" t="s">
        <v>3</v>
      </c>
      <c r="C313" s="12">
        <v>1.7085122131754255E-2</v>
      </c>
      <c r="D313" s="8">
        <v>386000</v>
      </c>
      <c r="E313" s="8">
        <f>C313*D313</f>
        <v>6594.8571428571422</v>
      </c>
    </row>
    <row r="314" spans="1:5">
      <c r="A314" s="10" t="s">
        <v>60</v>
      </c>
      <c r="B314" s="6" t="s">
        <v>23</v>
      </c>
      <c r="C314" s="12">
        <v>1E-3</v>
      </c>
      <c r="D314" s="8">
        <v>38000</v>
      </c>
      <c r="E314" s="8">
        <f>C314*D314</f>
        <v>38</v>
      </c>
    </row>
    <row r="315" spans="1:5">
      <c r="A315" s="10" t="s">
        <v>61</v>
      </c>
      <c r="B315" s="6" t="s">
        <v>23</v>
      </c>
      <c r="C315" s="12">
        <v>1E-3</v>
      </c>
      <c r="D315" s="8">
        <v>10000</v>
      </c>
      <c r="E315" s="8">
        <f>C315*D315</f>
        <v>10</v>
      </c>
    </row>
    <row r="316" spans="1:5">
      <c r="A316" s="10"/>
      <c r="B316" s="6"/>
      <c r="C316" s="12"/>
      <c r="D316" s="8"/>
      <c r="E316" s="8"/>
    </row>
    <row r="317" spans="1:5">
      <c r="A317" s="13" t="s">
        <v>36</v>
      </c>
      <c r="B317" s="40"/>
      <c r="C317" s="37"/>
      <c r="D317" s="37"/>
      <c r="E317" s="8">
        <f>SUM(E313:E316)*0.05</f>
        <v>332.14285714285711</v>
      </c>
    </row>
    <row r="318" spans="1:5">
      <c r="A318" s="13"/>
      <c r="B318" s="14"/>
      <c r="C318" s="15"/>
      <c r="D318" s="15"/>
      <c r="E318" s="8"/>
    </row>
    <row r="319" spans="1:5">
      <c r="A319" s="32" t="s">
        <v>11</v>
      </c>
      <c r="B319" s="33"/>
      <c r="C319" s="33"/>
      <c r="D319" s="33"/>
      <c r="E319" s="9">
        <f>SUM(E313:E317)</f>
        <v>6974.9999999999991</v>
      </c>
    </row>
    <row r="320" spans="1:5">
      <c r="A320" s="38" t="s">
        <v>16</v>
      </c>
      <c r="B320" s="39"/>
      <c r="C320" s="39"/>
      <c r="D320" s="39"/>
      <c r="E320" s="39"/>
    </row>
    <row r="321" spans="1:5">
      <c r="A321" s="5" t="s">
        <v>5</v>
      </c>
      <c r="B321" s="5" t="s">
        <v>2</v>
      </c>
      <c r="C321" s="5" t="s">
        <v>6</v>
      </c>
      <c r="D321" s="5" t="s">
        <v>7</v>
      </c>
      <c r="E321" s="5" t="s">
        <v>8</v>
      </c>
    </row>
    <row r="322" spans="1:5">
      <c r="A322" s="10" t="s">
        <v>32</v>
      </c>
      <c r="B322" s="6" t="s">
        <v>18</v>
      </c>
      <c r="C322" s="7">
        <v>2.5000000000000001E-2</v>
      </c>
      <c r="D322" s="8">
        <v>45000</v>
      </c>
      <c r="E322" s="8">
        <f>D322*C322</f>
        <v>1125</v>
      </c>
    </row>
    <row r="323" spans="1:5">
      <c r="A323" s="10"/>
      <c r="B323" s="6"/>
      <c r="C323" s="7"/>
      <c r="D323" s="8"/>
      <c r="E323" s="8"/>
    </row>
    <row r="324" spans="1:5">
      <c r="A324" s="32" t="s">
        <v>11</v>
      </c>
      <c r="B324" s="33"/>
      <c r="C324" s="33"/>
      <c r="D324" s="33"/>
      <c r="E324" s="9">
        <f>SUM(E322)</f>
        <v>1125</v>
      </c>
    </row>
    <row r="325" spans="1:5">
      <c r="A325" s="38" t="s">
        <v>19</v>
      </c>
      <c r="B325" s="39"/>
      <c r="C325" s="39"/>
      <c r="D325" s="39"/>
      <c r="E325" s="39"/>
    </row>
    <row r="326" spans="1:5">
      <c r="A326" s="5" t="s">
        <v>5</v>
      </c>
      <c r="B326" s="5" t="s">
        <v>2</v>
      </c>
      <c r="C326" s="5" t="s">
        <v>6</v>
      </c>
      <c r="D326" s="5" t="s">
        <v>20</v>
      </c>
      <c r="E326" s="5" t="s">
        <v>8</v>
      </c>
    </row>
    <row r="327" spans="1:5">
      <c r="A327" s="10" t="s">
        <v>27</v>
      </c>
      <c r="B327" s="6" t="s">
        <v>18</v>
      </c>
      <c r="C327" s="7">
        <v>55</v>
      </c>
      <c r="D327" s="8">
        <v>220000</v>
      </c>
      <c r="E327" s="8">
        <f>D327/C327</f>
        <v>4000</v>
      </c>
    </row>
    <row r="328" spans="1:5">
      <c r="A328" s="10"/>
      <c r="B328" s="6"/>
      <c r="C328" s="7"/>
      <c r="D328" s="8"/>
      <c r="E328" s="8"/>
    </row>
    <row r="329" spans="1:5">
      <c r="A329" s="32" t="s">
        <v>11</v>
      </c>
      <c r="B329" s="33"/>
      <c r="C329" s="33"/>
      <c r="D329" s="33"/>
      <c r="E329" s="9">
        <f>SUM(E327)</f>
        <v>4000</v>
      </c>
    </row>
    <row r="330" spans="1:5">
      <c r="A330" s="6"/>
      <c r="B330" s="15"/>
      <c r="C330" s="15"/>
      <c r="D330" s="15"/>
      <c r="E330" s="15"/>
    </row>
    <row r="331" spans="1:5">
      <c r="A331" s="32" t="s">
        <v>22</v>
      </c>
      <c r="B331" s="33"/>
      <c r="C331" s="33"/>
      <c r="D331" s="33"/>
      <c r="E331" s="9">
        <f>SUM(E310,E319,E324,E329)</f>
        <v>13000</v>
      </c>
    </row>
    <row r="335" spans="1:5">
      <c r="A335" s="47" t="s">
        <v>103</v>
      </c>
      <c r="B335" s="47"/>
      <c r="C335" s="47"/>
      <c r="D335" s="29" t="s">
        <v>0</v>
      </c>
      <c r="E335" s="29" t="s">
        <v>73</v>
      </c>
    </row>
    <row r="336" spans="1:5">
      <c r="A336" s="36"/>
      <c r="B336" s="37"/>
      <c r="C336" s="37"/>
      <c r="D336" s="4" t="s">
        <v>2</v>
      </c>
      <c r="E336" s="4" t="s">
        <v>3</v>
      </c>
    </row>
    <row r="337" spans="1:5">
      <c r="A337" s="38" t="s">
        <v>4</v>
      </c>
      <c r="B337" s="39"/>
      <c r="C337" s="39"/>
      <c r="D337" s="39"/>
      <c r="E337" s="39"/>
    </row>
    <row r="338" spans="1:5">
      <c r="A338" s="5" t="s">
        <v>5</v>
      </c>
      <c r="B338" s="5" t="s">
        <v>2</v>
      </c>
      <c r="C338" s="5" t="s">
        <v>6</v>
      </c>
      <c r="D338" s="5" t="s">
        <v>7</v>
      </c>
      <c r="E338" s="5" t="s">
        <v>8</v>
      </c>
    </row>
    <row r="339" spans="1:5">
      <c r="A339" s="10" t="s">
        <v>9</v>
      </c>
      <c r="B339" s="6" t="s">
        <v>10</v>
      </c>
      <c r="C339" s="7">
        <v>0.1</v>
      </c>
      <c r="D339" s="8">
        <f>E362</f>
        <v>9600</v>
      </c>
      <c r="E339" s="8">
        <f>C339*D339</f>
        <v>960</v>
      </c>
    </row>
    <row r="340" spans="1:5">
      <c r="A340" s="6"/>
      <c r="B340" s="6"/>
      <c r="C340" s="6"/>
      <c r="D340" s="8"/>
      <c r="E340" s="8"/>
    </row>
    <row r="341" spans="1:5">
      <c r="A341" s="32" t="s">
        <v>11</v>
      </c>
      <c r="B341" s="33"/>
      <c r="C341" s="33"/>
      <c r="D341" s="33"/>
      <c r="E341" s="9">
        <f>SUM(E339:E339)</f>
        <v>960</v>
      </c>
    </row>
    <row r="342" spans="1:5">
      <c r="A342" s="38" t="s">
        <v>12</v>
      </c>
      <c r="B342" s="39"/>
      <c r="C342" s="39"/>
      <c r="D342" s="39"/>
      <c r="E342" s="39"/>
    </row>
    <row r="343" spans="1:5">
      <c r="A343" s="5" t="s">
        <v>5</v>
      </c>
      <c r="B343" s="5" t="s">
        <v>2</v>
      </c>
      <c r="C343" s="5" t="s">
        <v>13</v>
      </c>
      <c r="D343" s="5" t="s">
        <v>14</v>
      </c>
      <c r="E343" s="5" t="s">
        <v>8</v>
      </c>
    </row>
    <row r="344" spans="1:5">
      <c r="A344" s="10" t="s">
        <v>70</v>
      </c>
      <c r="B344" s="6" t="s">
        <v>34</v>
      </c>
      <c r="C344" s="12">
        <v>6.9739311783107397E-2</v>
      </c>
      <c r="D344" s="8">
        <v>137000</v>
      </c>
      <c r="E344" s="8">
        <f>C344*D344</f>
        <v>9554.2857142857138</v>
      </c>
    </row>
    <row r="345" spans="1:5">
      <c r="A345" s="10" t="s">
        <v>104</v>
      </c>
      <c r="B345" s="6" t="s">
        <v>34</v>
      </c>
      <c r="C345" s="12">
        <v>0.04</v>
      </c>
      <c r="D345" s="8">
        <v>38000</v>
      </c>
      <c r="E345" s="8">
        <f>C345*D345</f>
        <v>1520</v>
      </c>
    </row>
    <row r="346" spans="1:5">
      <c r="A346" s="10" t="s">
        <v>60</v>
      </c>
      <c r="B346" s="6" t="s">
        <v>23</v>
      </c>
      <c r="C346" s="12">
        <v>4.0000000000000001E-3</v>
      </c>
      <c r="D346" s="8">
        <v>15000</v>
      </c>
      <c r="E346" s="8">
        <f>C346*D346</f>
        <v>60</v>
      </c>
    </row>
    <row r="347" spans="1:5">
      <c r="A347" s="10" t="s">
        <v>61</v>
      </c>
      <c r="B347" s="6" t="s">
        <v>23</v>
      </c>
      <c r="C347" s="12">
        <v>4.0000000000000001E-3</v>
      </c>
      <c r="D347" s="8">
        <v>10000</v>
      </c>
      <c r="E347" s="8">
        <f>C347*D347</f>
        <v>40</v>
      </c>
    </row>
    <row r="348" spans="1:5">
      <c r="A348" s="10" t="s">
        <v>72</v>
      </c>
      <c r="B348" s="6" t="s">
        <v>23</v>
      </c>
      <c r="C348" s="12">
        <v>0.3</v>
      </c>
      <c r="D348" s="8">
        <v>2800</v>
      </c>
      <c r="E348" s="8">
        <f>C348*D348</f>
        <v>840</v>
      </c>
    </row>
    <row r="349" spans="1:5">
      <c r="A349" s="10"/>
      <c r="B349" s="6"/>
      <c r="C349" s="12"/>
      <c r="D349" s="8"/>
      <c r="E349" s="8"/>
    </row>
    <row r="350" spans="1:5">
      <c r="A350" s="13" t="s">
        <v>36</v>
      </c>
      <c r="B350" s="40"/>
      <c r="C350" s="37"/>
      <c r="D350" s="37"/>
      <c r="E350" s="8">
        <f>SUM(E344:E349)*0.05</f>
        <v>600.71428571428567</v>
      </c>
    </row>
    <row r="351" spans="1:5">
      <c r="A351" s="13"/>
      <c r="B351" s="14"/>
      <c r="C351" s="15"/>
      <c r="D351" s="15"/>
      <c r="E351" s="8"/>
    </row>
    <row r="352" spans="1:5">
      <c r="A352" s="32" t="s">
        <v>11</v>
      </c>
      <c r="B352" s="33"/>
      <c r="C352" s="33"/>
      <c r="D352" s="33"/>
      <c r="E352" s="9">
        <f>SUM(E344:E350)</f>
        <v>12615</v>
      </c>
    </row>
    <row r="353" spans="1:5">
      <c r="A353" s="38" t="s">
        <v>16</v>
      </c>
      <c r="B353" s="39"/>
      <c r="C353" s="39"/>
      <c r="D353" s="39"/>
      <c r="E353" s="39"/>
    </row>
    <row r="354" spans="1:5">
      <c r="A354" s="5" t="s">
        <v>5</v>
      </c>
      <c r="B354" s="5" t="s">
        <v>2</v>
      </c>
      <c r="C354" s="5" t="s">
        <v>6</v>
      </c>
      <c r="D354" s="5" t="s">
        <v>7</v>
      </c>
      <c r="E354" s="5" t="s">
        <v>8</v>
      </c>
    </row>
    <row r="355" spans="1:5">
      <c r="A355" s="10" t="s">
        <v>32</v>
      </c>
      <c r="B355" s="6" t="s">
        <v>18</v>
      </c>
      <c r="C355" s="7">
        <v>2.5000000000000001E-2</v>
      </c>
      <c r="D355" s="8">
        <v>45000</v>
      </c>
      <c r="E355" s="8">
        <f>D355*C355</f>
        <v>1125</v>
      </c>
    </row>
    <row r="356" spans="1:5">
      <c r="A356" s="10"/>
      <c r="B356" s="6"/>
      <c r="C356" s="7"/>
      <c r="D356" s="8"/>
      <c r="E356" s="8"/>
    </row>
    <row r="357" spans="1:5">
      <c r="A357" s="32" t="s">
        <v>11</v>
      </c>
      <c r="B357" s="33"/>
      <c r="C357" s="33"/>
      <c r="D357" s="33"/>
      <c r="E357" s="9">
        <f>SUM(E355)</f>
        <v>1125</v>
      </c>
    </row>
    <row r="358" spans="1:5">
      <c r="A358" s="38" t="s">
        <v>19</v>
      </c>
      <c r="B358" s="39"/>
      <c r="C358" s="39"/>
      <c r="D358" s="39"/>
      <c r="E358" s="39"/>
    </row>
    <row r="359" spans="1:5">
      <c r="A359" s="5" t="s">
        <v>5</v>
      </c>
      <c r="B359" s="5" t="s">
        <v>2</v>
      </c>
      <c r="C359" s="5" t="s">
        <v>6</v>
      </c>
      <c r="D359" s="5" t="s">
        <v>20</v>
      </c>
      <c r="E359" s="5" t="s">
        <v>8</v>
      </c>
    </row>
    <row r="360" spans="1:5">
      <c r="A360" s="10" t="s">
        <v>102</v>
      </c>
      <c r="B360" s="6" t="s">
        <v>18</v>
      </c>
      <c r="C360" s="7">
        <v>25</v>
      </c>
      <c r="D360" s="8">
        <v>240000</v>
      </c>
      <c r="E360" s="8">
        <f>D360/C360</f>
        <v>9600</v>
      </c>
    </row>
    <row r="361" spans="1:5">
      <c r="A361" s="10"/>
      <c r="B361" s="6"/>
      <c r="C361" s="7"/>
      <c r="D361" s="8"/>
      <c r="E361" s="8"/>
    </row>
    <row r="362" spans="1:5">
      <c r="A362" s="32" t="s">
        <v>11</v>
      </c>
      <c r="B362" s="33"/>
      <c r="C362" s="33"/>
      <c r="D362" s="33"/>
      <c r="E362" s="9">
        <f>SUM(E360)</f>
        <v>9600</v>
      </c>
    </row>
    <row r="363" spans="1:5">
      <c r="A363" s="6"/>
      <c r="B363" s="15"/>
      <c r="C363" s="15"/>
      <c r="D363" s="15"/>
      <c r="E363" s="15"/>
    </row>
    <row r="364" spans="1:5">
      <c r="A364" s="32" t="s">
        <v>22</v>
      </c>
      <c r="B364" s="33"/>
      <c r="C364" s="33"/>
      <c r="D364" s="33"/>
      <c r="E364" s="9">
        <f>SUM(E341,E352,E357,E362)</f>
        <v>24300</v>
      </c>
    </row>
  </sheetData>
  <mergeCells count="144">
    <mergeCell ref="A17:D17"/>
    <mergeCell ref="A18:E18"/>
    <mergeCell ref="A22:D22"/>
    <mergeCell ref="A23:E23"/>
    <mergeCell ref="A27:D27"/>
    <mergeCell ref="A29:D29"/>
    <mergeCell ref="A1:C1"/>
    <mergeCell ref="A2:C2"/>
    <mergeCell ref="A3:E3"/>
    <mergeCell ref="A9:D9"/>
    <mergeCell ref="A10:E10"/>
    <mergeCell ref="B15:D15"/>
    <mergeCell ref="A47:D47"/>
    <mergeCell ref="A48:E48"/>
    <mergeCell ref="A52:D52"/>
    <mergeCell ref="A53:E53"/>
    <mergeCell ref="A57:D57"/>
    <mergeCell ref="A59:D59"/>
    <mergeCell ref="A34:C34"/>
    <mergeCell ref="A35:C35"/>
    <mergeCell ref="A36:E36"/>
    <mergeCell ref="A41:D41"/>
    <mergeCell ref="A42:E42"/>
    <mergeCell ref="B45:D45"/>
    <mergeCell ref="A80:D80"/>
    <mergeCell ref="A81:E81"/>
    <mergeCell ref="A85:D85"/>
    <mergeCell ref="A86:E86"/>
    <mergeCell ref="A90:D90"/>
    <mergeCell ref="A92:D92"/>
    <mergeCell ref="A62:C62"/>
    <mergeCell ref="A63:C63"/>
    <mergeCell ref="A64:E64"/>
    <mergeCell ref="A69:D69"/>
    <mergeCell ref="A70:E70"/>
    <mergeCell ref="B78:D78"/>
    <mergeCell ref="A111:D111"/>
    <mergeCell ref="A112:E112"/>
    <mergeCell ref="A116:D116"/>
    <mergeCell ref="A117:E117"/>
    <mergeCell ref="A121:D121"/>
    <mergeCell ref="A123:D123"/>
    <mergeCell ref="A95:C95"/>
    <mergeCell ref="A96:C96"/>
    <mergeCell ref="A97:E97"/>
    <mergeCell ref="A101:D101"/>
    <mergeCell ref="A102:E102"/>
    <mergeCell ref="B109:D109"/>
    <mergeCell ref="A141:D141"/>
    <mergeCell ref="A142:E142"/>
    <mergeCell ref="A146:D146"/>
    <mergeCell ref="A147:E147"/>
    <mergeCell ref="A151:D151"/>
    <mergeCell ref="A153:D153"/>
    <mergeCell ref="A125:C125"/>
    <mergeCell ref="A126:C126"/>
    <mergeCell ref="A127:E127"/>
    <mergeCell ref="A133:D133"/>
    <mergeCell ref="A134:E134"/>
    <mergeCell ref="B139:D139"/>
    <mergeCell ref="A170:D170"/>
    <mergeCell ref="A171:E171"/>
    <mergeCell ref="A175:D175"/>
    <mergeCell ref="A176:E176"/>
    <mergeCell ref="A180:D180"/>
    <mergeCell ref="A182:D182"/>
    <mergeCell ref="A155:C155"/>
    <mergeCell ref="A156:C156"/>
    <mergeCell ref="A157:E157"/>
    <mergeCell ref="A162:D162"/>
    <mergeCell ref="A163:E163"/>
    <mergeCell ref="B168:D168"/>
    <mergeCell ref="A200:D200"/>
    <mergeCell ref="A201:E201"/>
    <mergeCell ref="A205:D205"/>
    <mergeCell ref="A206:E206"/>
    <mergeCell ref="A210:D210"/>
    <mergeCell ref="A212:D212"/>
    <mergeCell ref="A184:C184"/>
    <mergeCell ref="A185:C185"/>
    <mergeCell ref="A186:E186"/>
    <mergeCell ref="A191:D191"/>
    <mergeCell ref="A192:E192"/>
    <mergeCell ref="B198:D198"/>
    <mergeCell ref="A229:D229"/>
    <mergeCell ref="A230:E230"/>
    <mergeCell ref="A234:D234"/>
    <mergeCell ref="A235:E235"/>
    <mergeCell ref="A239:D239"/>
    <mergeCell ref="A241:D241"/>
    <mergeCell ref="A214:C214"/>
    <mergeCell ref="A215:C215"/>
    <mergeCell ref="A216:E216"/>
    <mergeCell ref="A221:D221"/>
    <mergeCell ref="A222:E222"/>
    <mergeCell ref="B227:D227"/>
    <mergeCell ref="A258:D258"/>
    <mergeCell ref="A259:E259"/>
    <mergeCell ref="A263:D263"/>
    <mergeCell ref="A264:E264"/>
    <mergeCell ref="A268:D268"/>
    <mergeCell ref="A270:D270"/>
    <mergeCell ref="A243:C243"/>
    <mergeCell ref="A244:C244"/>
    <mergeCell ref="A245:E245"/>
    <mergeCell ref="A250:D250"/>
    <mergeCell ref="A251:E251"/>
    <mergeCell ref="B256:D256"/>
    <mergeCell ref="A289:D289"/>
    <mergeCell ref="A290:E290"/>
    <mergeCell ref="A294:D294"/>
    <mergeCell ref="A295:E295"/>
    <mergeCell ref="A299:D299"/>
    <mergeCell ref="A301:D301"/>
    <mergeCell ref="A272:C272"/>
    <mergeCell ref="A273:C273"/>
    <mergeCell ref="A274:E274"/>
    <mergeCell ref="A279:D279"/>
    <mergeCell ref="A280:E280"/>
    <mergeCell ref="B287:D287"/>
    <mergeCell ref="A319:D319"/>
    <mergeCell ref="A320:E320"/>
    <mergeCell ref="A324:D324"/>
    <mergeCell ref="A325:E325"/>
    <mergeCell ref="A329:D329"/>
    <mergeCell ref="A331:D331"/>
    <mergeCell ref="A303:C303"/>
    <mergeCell ref="A304:C304"/>
    <mergeCell ref="A305:E305"/>
    <mergeCell ref="A310:D310"/>
    <mergeCell ref="A311:E311"/>
    <mergeCell ref="B317:D317"/>
    <mergeCell ref="A352:D352"/>
    <mergeCell ref="A353:E353"/>
    <mergeCell ref="A357:D357"/>
    <mergeCell ref="A358:E358"/>
    <mergeCell ref="A362:D362"/>
    <mergeCell ref="A364:D364"/>
    <mergeCell ref="A335:C335"/>
    <mergeCell ref="A336:C336"/>
    <mergeCell ref="A337:E337"/>
    <mergeCell ref="A341:D341"/>
    <mergeCell ref="A342:E342"/>
    <mergeCell ref="B350:D3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APU BELMONTE</vt:lpstr>
      <vt:lpstr>APU BELMONTE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PC</dc:creator>
  <cp:lastModifiedBy>Renso Montoya Upegui</cp:lastModifiedBy>
  <dcterms:created xsi:type="dcterms:W3CDTF">2025-04-04T20:06:46Z</dcterms:created>
  <dcterms:modified xsi:type="dcterms:W3CDTF">2025-10-01T14:35:45Z</dcterms:modified>
</cp:coreProperties>
</file>