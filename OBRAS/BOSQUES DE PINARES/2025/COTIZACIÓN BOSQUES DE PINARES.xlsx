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montoyaosorio/Documents/TRABAJO/COTIZACIONES/EDITABLES/"/>
    </mc:Choice>
  </mc:AlternateContent>
  <xr:revisionPtr revIDLastSave="0" documentId="13_ncr:1_{691B0DD9-A684-C643-BE75-C4922759FF94}" xr6:coauthVersionLast="47" xr6:coauthVersionMax="47" xr10:uidLastSave="{00000000-0000-0000-0000-000000000000}"/>
  <bookViews>
    <workbookView xWindow="4420" yWindow="680" windowWidth="24980" windowHeight="16860" xr2:uid="{00000000-000D-0000-FFFF-FFFF00000000}"/>
  </bookViews>
  <sheets>
    <sheet name="COT. SANTA CLARA PINT. IMP" sheetId="27" r:id="rId1"/>
  </sheets>
  <definedNames>
    <definedName name="_xlnm.Print_Area" localSheetId="0">'COT. SANTA CLARA PINT. IMP'!$A$1:$G$27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27" l="1"/>
  <c r="F29" i="27"/>
  <c r="G32" i="27"/>
  <c r="G16" i="27"/>
  <c r="G29" i="27" l="1"/>
  <c r="G31" i="27" s="1"/>
  <c r="F14" i="27"/>
  <c r="G14" i="27" s="1"/>
  <c r="E11" i="27"/>
  <c r="G11" i="27" s="1"/>
  <c r="G18" i="27"/>
  <c r="G15" i="27"/>
  <c r="G13" i="27"/>
  <c r="G12" i="27" s="1"/>
  <c r="G10" i="27"/>
  <c r="H33" i="27" l="1"/>
  <c r="I33" i="27" s="1"/>
  <c r="G17" i="27"/>
  <c r="G9" i="27"/>
  <c r="G20" i="27" l="1"/>
  <c r="G19" i="27" s="1"/>
  <c r="G6" i="27"/>
  <c r="G21" i="27" l="1"/>
  <c r="G23" i="27" l="1"/>
  <c r="G24" i="27"/>
  <c r="G25" i="27" s="1"/>
  <c r="G22" i="27"/>
  <c r="G26" i="27" l="1"/>
  <c r="G27" i="27" s="1"/>
  <c r="G30" i="27" s="1"/>
</calcChain>
</file>

<file path=xl/sharedStrings.xml><?xml version="1.0" encoding="utf-8"?>
<sst xmlns="http://schemas.openxmlformats.org/spreadsheetml/2006/main" count="60" uniqueCount="53">
  <si>
    <t>CAPT</t>
  </si>
  <si>
    <t>ITEMS</t>
  </si>
  <si>
    <t>ML</t>
  </si>
  <si>
    <t>IVA/U</t>
  </si>
  <si>
    <t>DESCRIPCION</t>
  </si>
  <si>
    <t>1.0</t>
  </si>
  <si>
    <t>PRELIMINARES</t>
  </si>
  <si>
    <t>DIRECCION: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</si>
  <si>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</si>
  <si>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</si>
  <si>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</si>
  <si>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</si>
  <si>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</si>
  <si>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</si>
  <si>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</si>
  <si>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</si>
  <si>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</si>
  <si>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</si>
  <si>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</si>
  <si>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</si>
  <si>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</si>
  <si>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</si>
  <si>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>INCLUIDO</t>
  </si>
  <si>
    <t>M2</t>
  </si>
  <si>
    <t>Calle 19 Norte 18-64 Ed. Atlantis piso 3 local 7</t>
  </si>
  <si>
    <t>Gerencia@freshouse.com.co</t>
  </si>
  <si>
    <t xml:space="preserve">             LIMPIEZA Y ALISTAMIENTO DE SUPERFICIES</t>
  </si>
  <si>
    <t xml:space="preserve">            OBRAS DE PINTURA EN MUROS DE FACHADA E IMPERMEABILIZACIÓN</t>
  </si>
  <si>
    <t xml:space="preserve">            RESTAURACIÓN DE SELLOS</t>
  </si>
  <si>
    <t xml:space="preserve">            TERMINADO Y LIMPIEZA</t>
  </si>
  <si>
    <t>COSTO DIRECTO</t>
  </si>
  <si>
    <t>ADMON</t>
  </si>
  <si>
    <t>IMPREV</t>
  </si>
  <si>
    <t>UTILIDADES</t>
  </si>
  <si>
    <t>COSTO INDIRECTO</t>
  </si>
  <si>
    <t>VALOR PROPUESTA</t>
  </si>
  <si>
    <t>COTIZACIÓN OBRA - EDIFICIO ATLANTIS</t>
  </si>
  <si>
    <t xml:space="preserve">  FECHA: 22/08/2025</t>
  </si>
  <si>
    <t xml:space="preserve">  VALIDO HASTA: 22/11/2025</t>
  </si>
  <si>
    <t>2.1</t>
  </si>
  <si>
    <t>Lavado General de Superficies a Intervenir</t>
  </si>
  <si>
    <t>2.2</t>
  </si>
  <si>
    <t>3.1</t>
  </si>
  <si>
    <t>Suministro y Aplicación de Pintura para exteriores, tipo Koraza, sobre superficies de Fachadas y Muros Externos del Edificio</t>
  </si>
  <si>
    <t>3.2</t>
  </si>
  <si>
    <t>4.1</t>
  </si>
  <si>
    <t xml:space="preserve">Retiro y Reposicion de sello perimetral en elementos vidriados de los bloque de apartamentos  </t>
  </si>
  <si>
    <t>3.3</t>
  </si>
  <si>
    <t>Suministro y Aplicación de Pintura para exteriores, tipo Koraza, sobre superficies de balcones y baños</t>
  </si>
  <si>
    <t>Suministro y Aplicación de Pintura tipo Vinilo en areas comunes externas e internas del edificio: pasillos y escalas interiores</t>
  </si>
  <si>
    <t>3.7</t>
  </si>
  <si>
    <t>Retiro y disposición final de alfajia existente. Suministro e instalación de alfajia metalica con cotagotera calibre 22</t>
  </si>
  <si>
    <t>Retiro y Reemplazo de Graniplast Deteriorado   en fachadas de las tres torres (5%)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</si>
</sst>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.5"/>
      <name val="Century Gothic"/>
      <family val="1"/>
    </font>
    <font>
      <sz val="11.5"/>
      <name val="Century Gothic"/>
      <family val="1"/>
    </font>
    <font>
      <sz val="11.5"/>
      <color theme="1"/>
      <name val="Century Gothic"/>
      <family val="1"/>
    </font>
    <font>
      <b/>
      <sz val="11.5"/>
      <color rgb="FF000000"/>
      <name val="Century Gothic"/>
      <family val="1"/>
    </font>
    <font>
      <b/>
      <sz val="11.5"/>
      <color theme="1"/>
      <name val="Century Gothic"/>
      <family val="1"/>
    </font>
    <font>
      <sz val="11.5"/>
      <color rgb="FF000000"/>
      <name val="Century Gothic"/>
      <family val="1"/>
    </font>
    <font>
      <b/>
      <sz val="11.5"/>
      <color rgb="FFFF0000"/>
      <name val="Century Gothic"/>
      <family val="1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indexed="64"/>
      </top>
      <bottom style="thin">
        <color rgb="FF505050"/>
      </bottom>
      <diagonal/>
    </border>
    <border>
      <left/>
      <right/>
      <top style="thin">
        <color indexed="64"/>
      </top>
      <bottom style="thin">
        <color rgb="FF505050"/>
      </bottom>
      <diagonal/>
    </border>
    <border>
      <left/>
      <right style="thin">
        <color rgb="FF505050"/>
      </right>
      <top style="thin">
        <color indexed="64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44" fontId="2" fillId="0" borderId="0" xfId="0" applyNumberFormat="1" applyFont="1" applyAlignment="1">
      <alignment vertical="center"/>
    </xf>
    <xf numFmtId="44" fontId="6" fillId="5" borderId="5" xfId="0" applyNumberFormat="1" applyFont="1" applyFill="1" applyBorder="1" applyAlignment="1">
      <alignment horizontal="center" vertical="center"/>
    </xf>
    <xf numFmtId="44" fontId="7" fillId="5" borderId="5" xfId="0" applyNumberFormat="1" applyFont="1" applyFill="1" applyBorder="1" applyAlignment="1">
      <alignment vertical="center" wrapText="1"/>
    </xf>
    <xf numFmtId="44" fontId="7" fillId="5" borderId="5" xfId="0" applyNumberFormat="1" applyFont="1" applyFill="1" applyBorder="1" applyAlignment="1">
      <alignment horizontal="center" vertical="center"/>
    </xf>
    <xf numFmtId="44" fontId="7" fillId="5" borderId="5" xfId="2" applyFont="1" applyFill="1" applyBorder="1" applyAlignment="1">
      <alignment vertical="center"/>
    </xf>
    <xf numFmtId="44" fontId="8" fillId="5" borderId="5" xfId="0" applyNumberFormat="1" applyFont="1" applyFill="1" applyBorder="1" applyAlignment="1">
      <alignment horizontal="center" vertical="center"/>
    </xf>
    <xf numFmtId="44" fontId="7" fillId="5" borderId="5" xfId="2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165" fontId="10" fillId="2" borderId="11" xfId="0" applyNumberFormat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vertical="center" wrapText="1"/>
    </xf>
    <xf numFmtId="44" fontId="8" fillId="2" borderId="1" xfId="0" applyNumberFormat="1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 wrapText="1"/>
    </xf>
    <xf numFmtId="43" fontId="8" fillId="5" borderId="5" xfId="1" applyFont="1" applyFill="1" applyBorder="1" applyAlignment="1">
      <alignment vertical="center" wrapText="1"/>
    </xf>
    <xf numFmtId="164" fontId="12" fillId="4" borderId="5" xfId="0" applyNumberFormat="1" applyFont="1" applyFill="1" applyBorder="1" applyAlignment="1">
      <alignment horizontal="center" vertical="center" wrapText="1"/>
    </xf>
    <xf numFmtId="44" fontId="8" fillId="5" borderId="3" xfId="0" applyNumberFormat="1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44" fontId="9" fillId="7" borderId="3" xfId="0" applyNumberFormat="1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center" vertical="center"/>
    </xf>
    <xf numFmtId="165" fontId="10" fillId="8" borderId="11" xfId="0" applyNumberFormat="1" applyFont="1" applyFill="1" applyBorder="1" applyAlignment="1">
      <alignment horizontal="center" vertical="center" wrapText="1"/>
    </xf>
    <xf numFmtId="44" fontId="10" fillId="9" borderId="1" xfId="0" applyNumberFormat="1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center" vertical="center" wrapText="1"/>
    </xf>
    <xf numFmtId="165" fontId="11" fillId="5" borderId="6" xfId="0" applyNumberFormat="1" applyFont="1" applyFill="1" applyBorder="1" applyAlignment="1">
      <alignment horizontal="center" vertical="center" wrapText="1"/>
    </xf>
    <xf numFmtId="44" fontId="11" fillId="5" borderId="5" xfId="0" applyNumberFormat="1" applyFont="1" applyFill="1" applyBorder="1" applyAlignment="1">
      <alignment vertical="center" wrapText="1"/>
    </xf>
    <xf numFmtId="44" fontId="11" fillId="5" borderId="7" xfId="0" applyNumberFormat="1" applyFont="1" applyFill="1" applyBorder="1" applyAlignment="1">
      <alignment horizontal="center" vertical="center" wrapText="1"/>
    </xf>
    <xf numFmtId="44" fontId="8" fillId="5" borderId="5" xfId="1" applyNumberFormat="1" applyFont="1" applyFill="1" applyBorder="1" applyAlignment="1">
      <alignment vertical="center" wrapText="1"/>
    </xf>
    <xf numFmtId="44" fontId="8" fillId="5" borderId="5" xfId="0" applyNumberFormat="1" applyFont="1" applyFill="1" applyBorder="1" applyAlignment="1">
      <alignment horizontal="left" vertical="center" wrapText="1"/>
    </xf>
    <xf numFmtId="44" fontId="8" fillId="2" borderId="3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44" fontId="10" fillId="10" borderId="2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9" fontId="8" fillId="5" borderId="1" xfId="3" applyFont="1" applyFill="1" applyBorder="1" applyAlignment="1">
      <alignment horizontal="center" vertical="center"/>
    </xf>
    <xf numFmtId="44" fontId="8" fillId="5" borderId="1" xfId="2" applyFont="1" applyFill="1" applyBorder="1" applyAlignment="1">
      <alignment horizontal="center" vertical="center"/>
    </xf>
    <xf numFmtId="44" fontId="8" fillId="10" borderId="1" xfId="0" applyNumberFormat="1" applyFont="1" applyFill="1" applyBorder="1" applyAlignment="1">
      <alignment horizontal="center" vertical="center"/>
    </xf>
    <xf numFmtId="44" fontId="10" fillId="3" borderId="1" xfId="0" applyNumberFormat="1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44" fontId="9" fillId="6" borderId="4" xfId="0" applyNumberFormat="1" applyFont="1" applyFill="1" applyBorder="1" applyAlignment="1">
      <alignment horizontal="left" vertical="center"/>
    </xf>
    <xf numFmtId="44" fontId="9" fillId="6" borderId="22" xfId="0" applyNumberFormat="1" applyFont="1" applyFill="1" applyBorder="1" applyAlignment="1">
      <alignment horizontal="left" vertical="center"/>
    </xf>
    <xf numFmtId="44" fontId="9" fillId="6" borderId="3" xfId="0" applyNumberFormat="1" applyFont="1" applyFill="1" applyBorder="1" applyAlignment="1">
      <alignment horizontal="left" vertical="center"/>
    </xf>
    <xf numFmtId="44" fontId="10" fillId="8" borderId="9" xfId="0" applyNumberFormat="1" applyFont="1" applyFill="1" applyBorder="1" applyAlignment="1">
      <alignment horizontal="left" vertical="center" wrapText="1"/>
    </xf>
    <xf numFmtId="44" fontId="10" fillId="8" borderId="10" xfId="0" applyNumberFormat="1" applyFont="1" applyFill="1" applyBorder="1" applyAlignment="1">
      <alignment horizontal="left" vertical="center" wrapText="1"/>
    </xf>
    <xf numFmtId="43" fontId="10" fillId="10" borderId="19" xfId="1" applyFont="1" applyFill="1" applyBorder="1" applyAlignment="1">
      <alignment horizontal="center" vertical="center"/>
    </xf>
    <xf numFmtId="43" fontId="10" fillId="10" borderId="21" xfId="1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left" vertical="center"/>
    </xf>
    <xf numFmtId="0" fontId="9" fillId="6" borderId="20" xfId="0" applyFont="1" applyFill="1" applyBorder="1" applyAlignment="1">
      <alignment horizontal="left" vertical="center"/>
    </xf>
    <xf numFmtId="0" fontId="9" fillId="6" borderId="21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351367</xdr:colOff>
      <xdr:row>1</xdr:row>
      <xdr:rowOff>137396</xdr:rowOff>
    </xdr:from>
    <xdr:to>
      <xdr:col>6</xdr:col>
      <xdr:colOff>1998133</xdr:colOff>
      <xdr:row>3</xdr:row>
      <xdr:rowOff>392161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8606EF-34FC-4333-9991-FE2C598A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645396"/>
          <a:ext cx="3357033" cy="1270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BBE5-0650-4C32-9372-B11BD1231774}">
  <dimension ref="A1:I35"/>
  <sheetViews>
    <sheetView tabSelected="1" topLeftCell="A8" zoomScale="75" zoomScaleNormal="66" workbookViewId="0">
      <selection activeCell="F31" sqref="F31"/>
    </sheetView>
  </sheetViews>
  <sheetFormatPr baseColWidth="10" defaultColWidth="12.33203125" defaultRowHeight="14" x14ac:dyDescent="0.2"/>
  <cols>
    <col min="1" max="1" width="7.6640625" style="2" customWidth="1"/>
    <col min="2" max="2" width="8.33203125" style="1" customWidth="1"/>
    <col min="3" max="3" width="74" style="1" customWidth="1"/>
    <col min="4" max="4" width="21.5" style="1" customWidth="1"/>
    <col min="5" max="5" width="25.1640625" style="1" bestFit="1" customWidth="1"/>
    <col min="6" max="6" width="22.33203125" style="1" bestFit="1" customWidth="1"/>
    <col min="7" max="7" width="28.83203125" style="1" customWidth="1"/>
    <col min="8" max="8" width="25.5" style="1" customWidth="1"/>
    <col min="9" max="16384" width="12.33203125" style="1"/>
  </cols>
  <sheetData>
    <row r="1" spans="1:8" s="3" customFormat="1" ht="40" customHeight="1" x14ac:dyDescent="0.2">
      <c r="A1" s="61" t="s">
        <v>36</v>
      </c>
      <c r="B1" s="62"/>
      <c r="C1" s="62"/>
      <c r="D1" s="62"/>
      <c r="E1" s="62"/>
      <c r="F1" s="62"/>
      <c r="G1" s="63"/>
    </row>
    <row r="2" spans="1:8" ht="40" customHeight="1" x14ac:dyDescent="0.2">
      <c r="A2" s="64" t="s">
        <v>7</v>
      </c>
      <c r="B2" s="65"/>
      <c r="C2" s="14" t="s">
        <v>24</v>
      </c>
      <c r="D2" s="14" t="s">
        <v>8</v>
      </c>
      <c r="E2" s="14" t="s">
        <v>9</v>
      </c>
      <c r="F2" s="66"/>
      <c r="G2" s="67"/>
    </row>
    <row r="3" spans="1:8" ht="40" customHeight="1" x14ac:dyDescent="0.2">
      <c r="A3" s="64" t="s">
        <v>10</v>
      </c>
      <c r="B3" s="65"/>
      <c r="C3" s="15" t="s">
        <v>25</v>
      </c>
      <c r="D3" s="64" t="s">
        <v>37</v>
      </c>
      <c r="E3" s="65"/>
      <c r="F3" s="68"/>
      <c r="G3" s="69"/>
      <c r="H3"/>
    </row>
    <row r="4" spans="1:8" ht="40" customHeight="1" x14ac:dyDescent="0.2">
      <c r="A4" s="64" t="s">
        <v>11</v>
      </c>
      <c r="B4" s="65"/>
      <c r="C4" s="14" t="s">
        <v>12</v>
      </c>
      <c r="D4" s="64" t="s">
        <v>38</v>
      </c>
      <c r="E4" s="65"/>
      <c r="F4" s="70"/>
      <c r="G4" s="71"/>
      <c r="H4"/>
    </row>
    <row r="5" spans="1:8" ht="40" customHeight="1" x14ac:dyDescent="0.2">
      <c r="A5" s="16" t="s">
        <v>0</v>
      </c>
      <c r="B5" s="16" t="s">
        <v>1</v>
      </c>
      <c r="C5" s="16" t="s">
        <v>4</v>
      </c>
      <c r="D5" s="16" t="s">
        <v>13</v>
      </c>
      <c r="E5" s="16" t="s">
        <v>14</v>
      </c>
      <c r="F5" s="16" t="s">
        <v>15</v>
      </c>
      <c r="G5" s="16" t="s">
        <v>16</v>
      </c>
      <c r="H5"/>
    </row>
    <row r="6" spans="1:8" ht="40" customHeight="1" x14ac:dyDescent="0.2">
      <c r="A6" s="17" t="s">
        <v>5</v>
      </c>
      <c r="B6" s="18"/>
      <c r="C6" s="18" t="s">
        <v>6</v>
      </c>
      <c r="D6" s="18"/>
      <c r="E6" s="18"/>
      <c r="F6" s="18"/>
      <c r="G6" s="19">
        <f>SUM(G7:G8)</f>
        <v>0</v>
      </c>
    </row>
    <row r="7" spans="1:8" ht="40" customHeight="1" x14ac:dyDescent="0.2">
      <c r="A7" s="20"/>
      <c r="B7" s="13">
        <v>1.1000000000000001</v>
      </c>
      <c r="C7" s="21" t="s">
        <v>19</v>
      </c>
      <c r="D7" s="22" t="s">
        <v>18</v>
      </c>
      <c r="E7" s="23">
        <v>1</v>
      </c>
      <c r="F7" s="24" t="s">
        <v>22</v>
      </c>
      <c r="G7" s="25"/>
    </row>
    <row r="8" spans="1:8" ht="87" customHeight="1" x14ac:dyDescent="0.2">
      <c r="A8" s="20"/>
      <c r="B8" s="13">
        <v>1.2</v>
      </c>
      <c r="C8" s="21" t="s">
        <v>20</v>
      </c>
      <c r="D8" s="22" t="s">
        <v>17</v>
      </c>
      <c r="E8" s="23">
        <v>1</v>
      </c>
      <c r="F8" s="24" t="s">
        <v>22</v>
      </c>
      <c r="G8" s="25"/>
    </row>
    <row r="9" spans="1:8" s="4" customFormat="1" ht="50" customHeight="1" x14ac:dyDescent="0.2">
      <c r="A9" s="26">
        <v>2</v>
      </c>
      <c r="B9" s="58" t="s">
        <v>26</v>
      </c>
      <c r="C9" s="59"/>
      <c r="D9" s="59"/>
      <c r="E9" s="59"/>
      <c r="F9" s="60"/>
      <c r="G9" s="27">
        <f>SUM(G10:G11)</f>
        <v>70982086.5</v>
      </c>
    </row>
    <row r="10" spans="1:8" s="4" customFormat="1" ht="50" customHeight="1" x14ac:dyDescent="0.2">
      <c r="A10" s="28"/>
      <c r="B10" s="7" t="s">
        <v>39</v>
      </c>
      <c r="C10" s="8" t="s">
        <v>40</v>
      </c>
      <c r="D10" s="9" t="s">
        <v>23</v>
      </c>
      <c r="E10" s="9">
        <v>12133.69</v>
      </c>
      <c r="F10" s="10">
        <v>3800</v>
      </c>
      <c r="G10" s="10">
        <f>E10*F10</f>
        <v>46108022</v>
      </c>
    </row>
    <row r="11" spans="1:8" s="4" customFormat="1" ht="50" customHeight="1" x14ac:dyDescent="0.2">
      <c r="A11" s="28"/>
      <c r="B11" s="7" t="s">
        <v>41</v>
      </c>
      <c r="C11" s="8" t="s">
        <v>52</v>
      </c>
      <c r="D11" s="9" t="s">
        <v>23</v>
      </c>
      <c r="E11" s="11">
        <f>E10*0.05</f>
        <v>606.68450000000007</v>
      </c>
      <c r="F11" s="10">
        <v>41000</v>
      </c>
      <c r="G11" s="10">
        <f t="shared" ref="G11" si="0">E11*F11</f>
        <v>24874064.500000004</v>
      </c>
    </row>
    <row r="12" spans="1:8" s="4" customFormat="1" ht="50" customHeight="1" x14ac:dyDescent="0.2">
      <c r="A12" s="26">
        <v>3</v>
      </c>
      <c r="B12" s="51" t="s">
        <v>27</v>
      </c>
      <c r="C12" s="52"/>
      <c r="D12" s="52"/>
      <c r="E12" s="52"/>
      <c r="F12" s="53"/>
      <c r="G12" s="27">
        <f>SUM(G13:G16)</f>
        <v>428430741</v>
      </c>
    </row>
    <row r="13" spans="1:8" s="5" customFormat="1" ht="50" customHeight="1" x14ac:dyDescent="0.2">
      <c r="A13" s="28"/>
      <c r="B13" s="7" t="s">
        <v>42</v>
      </c>
      <c r="C13" s="8" t="s">
        <v>43</v>
      </c>
      <c r="D13" s="9" t="s">
        <v>23</v>
      </c>
      <c r="E13" s="9">
        <v>12133.69</v>
      </c>
      <c r="F13" s="12">
        <v>19500</v>
      </c>
      <c r="G13" s="12">
        <f>E13*F13</f>
        <v>236606955</v>
      </c>
    </row>
    <row r="14" spans="1:8" s="5" customFormat="1" ht="50" customHeight="1" x14ac:dyDescent="0.2">
      <c r="A14" s="28"/>
      <c r="B14" s="7" t="s">
        <v>44</v>
      </c>
      <c r="C14" s="8" t="s">
        <v>48</v>
      </c>
      <c r="D14" s="9" t="s">
        <v>2</v>
      </c>
      <c r="E14" s="9">
        <v>1511.24</v>
      </c>
      <c r="F14" s="12">
        <f>19500*0.7</f>
        <v>13650</v>
      </c>
      <c r="G14" s="12">
        <f>E14*F14</f>
        <v>20628426</v>
      </c>
    </row>
    <row r="15" spans="1:8" s="5" customFormat="1" ht="50" customHeight="1" x14ac:dyDescent="0.2">
      <c r="A15" s="28"/>
      <c r="B15" s="7" t="s">
        <v>47</v>
      </c>
      <c r="C15" s="8" t="s">
        <v>49</v>
      </c>
      <c r="D15" s="9" t="s">
        <v>23</v>
      </c>
      <c r="E15" s="9">
        <v>8188.78</v>
      </c>
      <c r="F15" s="12">
        <v>12000</v>
      </c>
      <c r="G15" s="12">
        <f>E15*F15</f>
        <v>98265360</v>
      </c>
    </row>
    <row r="16" spans="1:8" s="5" customFormat="1" ht="50" customHeight="1" x14ac:dyDescent="0.2">
      <c r="A16" s="28"/>
      <c r="B16" s="7" t="s">
        <v>50</v>
      </c>
      <c r="C16" s="8" t="s">
        <v>51</v>
      </c>
      <c r="D16" s="9" t="s">
        <v>2</v>
      </c>
      <c r="E16" s="9">
        <v>1122</v>
      </c>
      <c r="F16" s="12">
        <v>65000</v>
      </c>
      <c r="G16" s="12">
        <f t="shared" ref="G16" si="1">E16*F16</f>
        <v>72930000</v>
      </c>
    </row>
    <row r="17" spans="1:7" s="5" customFormat="1" ht="50" customHeight="1" x14ac:dyDescent="0.2">
      <c r="A17" s="26">
        <v>4</v>
      </c>
      <c r="B17" s="51" t="s">
        <v>28</v>
      </c>
      <c r="C17" s="52"/>
      <c r="D17" s="52"/>
      <c r="E17" s="52"/>
      <c r="F17" s="53"/>
      <c r="G17" s="27">
        <f>SUM(G18:G18)</f>
        <v>60774560</v>
      </c>
    </row>
    <row r="18" spans="1:7" s="5" customFormat="1" ht="50" customHeight="1" x14ac:dyDescent="0.2">
      <c r="A18" s="29"/>
      <c r="B18" s="7" t="s">
        <v>45</v>
      </c>
      <c r="C18" s="8" t="s">
        <v>46</v>
      </c>
      <c r="D18" s="9" t="s">
        <v>2</v>
      </c>
      <c r="E18" s="9">
        <v>7892.8</v>
      </c>
      <c r="F18" s="12">
        <v>7700</v>
      </c>
      <c r="G18" s="12">
        <f>+E18*F18</f>
        <v>60774560</v>
      </c>
    </row>
    <row r="19" spans="1:7" s="5" customFormat="1" ht="50" customHeight="1" x14ac:dyDescent="0.2">
      <c r="A19" s="30">
        <v>5</v>
      </c>
      <c r="B19" s="54" t="s">
        <v>29</v>
      </c>
      <c r="C19" s="54"/>
      <c r="D19" s="54"/>
      <c r="E19" s="54"/>
      <c r="F19" s="55"/>
      <c r="G19" s="31">
        <f>SUM(G20:G20)</f>
        <v>750000</v>
      </c>
    </row>
    <row r="20" spans="1:7" s="5" customFormat="1" ht="50" customHeight="1" x14ac:dyDescent="0.2">
      <c r="A20" s="32"/>
      <c r="B20" s="33">
        <v>5.0999999999999996</v>
      </c>
      <c r="C20" s="34" t="s">
        <v>21</v>
      </c>
      <c r="D20" s="35" t="s">
        <v>18</v>
      </c>
      <c r="E20" s="36">
        <v>1</v>
      </c>
      <c r="F20" s="37">
        <v>750000</v>
      </c>
      <c r="G20" s="38">
        <f>F20*E20</f>
        <v>750000</v>
      </c>
    </row>
    <row r="21" spans="1:7" ht="50" customHeight="1" x14ac:dyDescent="0.2">
      <c r="A21" s="39"/>
      <c r="B21" s="40"/>
      <c r="C21" s="40"/>
      <c r="D21" s="40"/>
      <c r="E21" s="56" t="s">
        <v>30</v>
      </c>
      <c r="F21" s="57"/>
      <c r="G21" s="41">
        <f>G9+G12+G17+G19</f>
        <v>560937387.5</v>
      </c>
    </row>
    <row r="22" spans="1:7" ht="50" customHeight="1" x14ac:dyDescent="0.2">
      <c r="A22" s="39"/>
      <c r="B22" s="40"/>
      <c r="C22" s="40"/>
      <c r="D22" s="40"/>
      <c r="E22" s="42" t="s">
        <v>31</v>
      </c>
      <c r="F22" s="43">
        <v>0.08</v>
      </c>
      <c r="G22" s="44">
        <f>+$G$21*F22</f>
        <v>44874991</v>
      </c>
    </row>
    <row r="23" spans="1:7" ht="50" customHeight="1" x14ac:dyDescent="0.2">
      <c r="A23" s="39"/>
      <c r="B23" s="40"/>
      <c r="C23" s="40"/>
      <c r="D23" s="40"/>
      <c r="E23" s="42" t="s">
        <v>32</v>
      </c>
      <c r="F23" s="43">
        <v>0.05</v>
      </c>
      <c r="G23" s="44">
        <f t="shared" ref="G23:G24" si="2">+$G$21*F23</f>
        <v>28046869.375</v>
      </c>
    </row>
    <row r="24" spans="1:7" ht="50" customHeight="1" x14ac:dyDescent="0.2">
      <c r="A24" s="39"/>
      <c r="B24" s="40"/>
      <c r="C24" s="40"/>
      <c r="D24" s="40"/>
      <c r="E24" s="42" t="s">
        <v>33</v>
      </c>
      <c r="F24" s="43">
        <v>0.05</v>
      </c>
      <c r="G24" s="44">
        <f t="shared" si="2"/>
        <v>28046869.375</v>
      </c>
    </row>
    <row r="25" spans="1:7" ht="30" customHeight="1" x14ac:dyDescent="0.2">
      <c r="A25" s="39"/>
      <c r="B25" s="40"/>
      <c r="C25" s="40"/>
      <c r="D25" s="40"/>
      <c r="E25" s="42" t="s">
        <v>3</v>
      </c>
      <c r="F25" s="43">
        <v>0.19</v>
      </c>
      <c r="G25" s="44">
        <f>+G24*F25</f>
        <v>5328905.1812500004</v>
      </c>
    </row>
    <row r="26" spans="1:7" ht="30" customHeight="1" x14ac:dyDescent="0.2">
      <c r="A26" s="39"/>
      <c r="B26" s="40"/>
      <c r="C26" s="40"/>
      <c r="D26" s="40"/>
      <c r="E26" s="47" t="s">
        <v>34</v>
      </c>
      <c r="F26" s="48"/>
      <c r="G26" s="45">
        <f>+G22+G23+G24+G25</f>
        <v>106297634.93125001</v>
      </c>
    </row>
    <row r="27" spans="1:7" ht="30" customHeight="1" x14ac:dyDescent="0.2">
      <c r="A27" s="39"/>
      <c r="B27" s="40"/>
      <c r="C27" s="40"/>
      <c r="D27" s="40"/>
      <c r="E27" s="49" t="s">
        <v>35</v>
      </c>
      <c r="F27" s="50"/>
      <c r="G27" s="46">
        <f>+G21+G26</f>
        <v>667235022.43124998</v>
      </c>
    </row>
    <row r="28" spans="1:7" ht="30" customHeight="1" x14ac:dyDescent="0.2"/>
    <row r="29" spans="1:7" ht="30" customHeight="1" x14ac:dyDescent="0.2">
      <c r="F29" s="6">
        <f>E13+E14+E15</f>
        <v>21833.71</v>
      </c>
      <c r="G29" s="6" t="e">
        <f>SUM(E13:E15)-E14-#REF!</f>
        <v>#REF!</v>
      </c>
    </row>
    <row r="30" spans="1:7" ht="30" customHeight="1" x14ac:dyDescent="0.2">
      <c r="F30" s="1">
        <f>G27/F29</f>
        <v>30559.855490947255</v>
      </c>
      <c r="G30" s="1" t="e">
        <f>G27/G29</f>
        <v>#REF!</v>
      </c>
    </row>
    <row r="31" spans="1:7" ht="30" customHeight="1" x14ac:dyDescent="0.2">
      <c r="G31" s="6" t="e">
        <f>G29*30000</f>
        <v>#REF!</v>
      </c>
    </row>
    <row r="32" spans="1:7" x14ac:dyDescent="0.2">
      <c r="G32" s="6">
        <f>G27/21</f>
        <v>31773096.306249999</v>
      </c>
    </row>
    <row r="33" spans="8:9" x14ac:dyDescent="0.2">
      <c r="H33" s="6" t="e">
        <f>G29+#REF!*0.4+E14*0.7</f>
        <v>#REF!</v>
      </c>
      <c r="I33" s="6" t="e">
        <f>H33-E13</f>
        <v>#REF!</v>
      </c>
    </row>
    <row r="35" spans="8:9" ht="16" customHeight="1" x14ac:dyDescent="0.2"/>
  </sheetData>
  <mergeCells count="14">
    <mergeCell ref="B9:F9"/>
    <mergeCell ref="B12:F12"/>
    <mergeCell ref="A1:G1"/>
    <mergeCell ref="A2:B2"/>
    <mergeCell ref="F2:G4"/>
    <mergeCell ref="A3:B3"/>
    <mergeCell ref="D3:E3"/>
    <mergeCell ref="A4:B4"/>
    <mergeCell ref="D4:E4"/>
    <mergeCell ref="E26:F26"/>
    <mergeCell ref="E27:F27"/>
    <mergeCell ref="B17:F17"/>
    <mergeCell ref="B19:F19"/>
    <mergeCell ref="E21:F21"/>
  </mergeCells>
  <phoneticPr fontId="5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COT. SANTA CLARA PINT. IMP</vt:lpstr>
      <vt:lpstr>'COT. SANTA CLARA PINT. IMP'!Área_de_impresión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cp:lastPrinted>2025-03-03T21:27:54Z</cp:lastPrinted>
  <dcterms:created xsi:type="dcterms:W3CDTF">2024-02-08T21:06:52Z</dcterms:created>
  <dcterms:modified xsi:type="dcterms:W3CDTF">2025-10-01T14:35:55Z</dcterms:modified>
  <cp:category/>
  <cp:contentStatus/>
</cp:coreProperties>
</file>