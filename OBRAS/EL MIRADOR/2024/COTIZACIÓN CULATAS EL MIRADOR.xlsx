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 Montoya\OneDrive\Escritorio\"/>
    </mc:Choice>
  </mc:AlternateContent>
  <xr:revisionPtr revIDLastSave="0" documentId="13_ncr:1_{DC291674-2A5D-4585-AB56-BF0552197C27}" xr6:coauthVersionLast="47" xr6:coauthVersionMax="47" xr10:uidLastSave="{00000000-0000-0000-0000-000000000000}"/>
  <bookViews>
    <workbookView xWindow="0" yWindow="24" windowWidth="23040" windowHeight="12216" xr2:uid="{BCFB1664-7DBD-4EFF-A670-B77D79CD3276}"/>
  </bookViews>
  <sheets>
    <sheet name="ESPECIFICACIONES" sheetId="1" r:id="rId1"/>
  </sheets>
  <definedNames>
    <definedName name="_xlnm.Print_Area" localSheetId="0">ESPECIFICACIONES!$A$1:$G$16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18" i="1" s="1"/>
  <c r="G15" i="1"/>
  <c r="G17" i="1"/>
  <c r="G13" i="1"/>
  <c r="G16" i="1" l="1"/>
  <c r="G14" i="1"/>
  <c r="G12" i="1" l="1"/>
  <c r="G11" i="1" s="1"/>
  <c r="G10" i="1"/>
  <c r="G9" i="1" s="1"/>
  <c r="G20" i="1" l="1"/>
  <c r="G22" i="1" s="1"/>
  <c r="G23" i="1" l="1"/>
  <c r="G24" i="1" s="1"/>
  <c r="G21" i="1"/>
  <c r="G25" i="1" l="1"/>
  <c r="G26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<sst xmlns="http://schemas.openxmlformats.org/spreadsheetml/2006/main" count="50" uniqueCount="48">
  <si>
    <t>CANTIDADES DE OBRA Y ESPECIFICACIONES TECNICAS PARA ACTIVIDADES DE MANTENIMIENTO INTEGRAL EN FACHADAS</t>
  </si>
  <si>
    <t>CAPT</t>
  </si>
  <si>
    <t>ITEMS</t>
  </si>
  <si>
    <t>ACTIVIDAD</t>
  </si>
  <si>
    <t>UNIDAD</t>
  </si>
  <si>
    <t>CANTIDAD</t>
  </si>
  <si>
    <t>VR UNITARIO</t>
  </si>
  <si>
    <t>VALOR DIRECTO ACTIVIDAD</t>
  </si>
  <si>
    <t>PRELIMINARES Y ACABADOS</t>
  </si>
  <si>
    <t>GL</t>
  </si>
  <si>
    <t>1.2.1</t>
  </si>
  <si>
    <t>M2</t>
  </si>
  <si>
    <t>1.2.2</t>
  </si>
  <si>
    <t>ML</t>
  </si>
  <si>
    <t>IMPERMEABILIZACION</t>
  </si>
  <si>
    <t>1.3.1</t>
  </si>
  <si>
    <t>SE HARA TRATAMIENTO DE FISURAS EN DILATACIONES Y SE IMPERMEABILIZARAN CON PINTUCOFILL 7 AÑOS EN UN ÁREA MAYOR AL 10% EN ANCHO</t>
  </si>
  <si>
    <t>1.4.1</t>
  </si>
  <si>
    <t xml:space="preserve">SUMINISTRO Y APLICACIÓN DE PINTURA KORAZA PRO 550 EN IGUALES COLORES A LOS ACTUALES A DOS MANOS TENIENDO UN TIEMPO MINIMO ENTRE MANOS DE DOS HORAS </t>
  </si>
  <si>
    <t>TERMINADO/LIMPIEZA</t>
  </si>
  <si>
    <t>1.5.1</t>
  </si>
  <si>
    <t>ASEO GENERAL Y RETIRO DE PINTURA</t>
  </si>
  <si>
    <t>GLB</t>
  </si>
  <si>
    <t>COSTO DIRECTO</t>
  </si>
  <si>
    <t>ADMON</t>
  </si>
  <si>
    <t>IMPREV</t>
  </si>
  <si>
    <t>UTILIDADES</t>
  </si>
  <si>
    <t>IVA/U</t>
  </si>
  <si>
    <t>COSTO INDIRECTO</t>
  </si>
  <si>
    <t>VALOR PROPUESTA</t>
  </si>
  <si>
    <t>CALLE 3 NORTE # 18-49 LOCAL 2</t>
  </si>
  <si>
    <t>DIRECCION:</t>
  </si>
  <si>
    <t>INSTALACION Y DEMARCACIÓN DE SEÑALETICA</t>
  </si>
  <si>
    <t>CORREO:</t>
  </si>
  <si>
    <t>TELEFONO:</t>
  </si>
  <si>
    <t xml:space="preserve">Admin@fresh-house.co                                                    Rensomontoya@fresh-house.co                                                                                                                 </t>
  </si>
  <si>
    <t>+57 310 461 7353</t>
  </si>
  <si>
    <t>CODIGO: FH-F-02</t>
  </si>
  <si>
    <t xml:space="preserve"> DEMOLICION Y PREPARADO DE SUPERFICIE</t>
  </si>
  <si>
    <t xml:space="preserve"> PRELIMINARES DE OBRA</t>
  </si>
  <si>
    <t xml:space="preserve"> ACABADO DE PINTURA</t>
  </si>
  <si>
    <t xml:space="preserve"> VERSIÓN: 01</t>
  </si>
  <si>
    <t>LEVANTAMIENTO, REMOCIÓN Y REEMPLAZO DE GRANIPLAST DESPRENDIDO EN  LAS FACHADAS DEL EDIFICIO INCLUYE MAMPOSTERÍA, CONCRETO Y FACHADAS SE DEBE DESPRENDER TODO GRANIPLAST SOPLADO EVIDENCIADO A LA VISTA Y EL QUE POR REMOSION CON LA ESPATULA NO PRESENTE LA SUFICIENTE ADHERENCIA</t>
  </si>
  <si>
    <t>LAVADO Y LIMPIEZA DE SUPERFICIES QUE PRESENTAN HONGOS, INCLUYE PAREDES, VENTANAS Y VIDRIERAS. EL LAVADO SE REALIZARA CON BACTERICIDAS O HIPOCLORITO AL 10%, SE DEBEN ELIMINAR POLVOS Y GRASAS QUE IMPIDAN EL CORRECTO FUNCIONAMIENTO DE LOS PRODUCTOS</t>
  </si>
  <si>
    <t xml:space="preserve">  FECHA:  31/07/2024</t>
  </si>
  <si>
    <t xml:space="preserve">  VALIDO HASTA:  31/07/2024</t>
  </si>
  <si>
    <t>1.1.1</t>
  </si>
  <si>
    <t>EDIFICIO EL MIRADOR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</si>
</sst>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entury Gothic"/>
      <family val="2"/>
    </font>
    <font>
      <sz val="14"/>
      <color theme="1"/>
      <name val="Century Gothic"/>
      <family val="2"/>
    </font>
    <font>
      <sz val="11"/>
      <color theme="1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  <font>
      <b/>
      <sz val="16"/>
      <color rgb="FF000000"/>
      <name val="Century Gothic"/>
      <family val="2"/>
    </font>
    <font>
      <sz val="16"/>
      <color rgb="FF000000"/>
      <name val="Century Gothic"/>
      <family val="2"/>
    </font>
    <font>
      <b/>
      <sz val="18"/>
      <color rgb="FF000000"/>
      <name val="Century Gothic"/>
      <family val="2"/>
    </font>
    <font>
      <sz val="14"/>
      <color rgb="FF000000"/>
      <name val="Century Gothic"/>
      <family val="2"/>
    </font>
    <font>
      <b/>
      <sz val="14"/>
      <color theme="1"/>
      <name val="Century Gothic"/>
      <family val="2"/>
    </font>
    <font>
      <b/>
      <sz val="22"/>
      <color theme="1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9" fontId="4" fillId="0" borderId="1" xfId="3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vertical="center"/>
    </xf>
    <xf numFmtId="164" fontId="4" fillId="0" borderId="1" xfId="2" applyNumberFormat="1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vertical="center"/>
    </xf>
    <xf numFmtId="43" fontId="12" fillId="2" borderId="2" xfId="1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center" vertical="center"/>
    </xf>
    <xf numFmtId="164" fontId="5" fillId="6" borderId="5" xfId="0" applyNumberFormat="1" applyFont="1" applyFill="1" applyBorder="1" applyAlignment="1">
      <alignment horizontal="center" vertical="center"/>
    </xf>
    <xf numFmtId="164" fontId="4" fillId="7" borderId="5" xfId="0" applyNumberFormat="1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5" fontId="4" fillId="0" borderId="5" xfId="1" applyNumberFormat="1" applyFont="1" applyFill="1" applyBorder="1" applyAlignment="1">
      <alignment vertical="center"/>
    </xf>
    <xf numFmtId="164" fontId="4" fillId="0" borderId="5" xfId="0" applyNumberFormat="1" applyFont="1" applyBorder="1" applyAlignment="1">
      <alignment horizontal="left" vertical="center" wrapText="1"/>
    </xf>
    <xf numFmtId="164" fontId="4" fillId="10" borderId="5" xfId="0" applyNumberFormat="1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6" borderId="5" xfId="0" applyFont="1" applyFill="1" applyBorder="1" applyAlignment="1">
      <alignment horizontal="center" vertical="center"/>
    </xf>
    <xf numFmtId="165" fontId="4" fillId="6" borderId="5" xfId="1" applyNumberFormat="1" applyFont="1" applyFill="1" applyBorder="1" applyAlignment="1">
      <alignment vertical="center"/>
    </xf>
    <xf numFmtId="164" fontId="4" fillId="6" borderId="5" xfId="0" applyNumberFormat="1" applyFont="1" applyFill="1" applyBorder="1" applyAlignment="1">
      <alignment horizontal="left" vertical="center" wrapText="1"/>
    </xf>
    <xf numFmtId="164" fontId="4" fillId="7" borderId="5" xfId="0" applyNumberFormat="1" applyFont="1" applyFill="1" applyBorder="1" applyAlignment="1">
      <alignment horizontal="left" vertical="center" wrapText="1"/>
    </xf>
    <xf numFmtId="0" fontId="8" fillId="9" borderId="5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left" vertical="center"/>
    </xf>
    <xf numFmtId="0" fontId="11" fillId="9" borderId="5" xfId="0" applyFont="1" applyFill="1" applyBorder="1" applyAlignment="1">
      <alignment horizontal="center" vertical="center"/>
    </xf>
    <xf numFmtId="165" fontId="11" fillId="9" borderId="5" xfId="0" applyNumberFormat="1" applyFont="1" applyFill="1" applyBorder="1" applyAlignment="1">
      <alignment vertical="center"/>
    </xf>
    <xf numFmtId="164" fontId="11" fillId="9" borderId="5" xfId="0" applyNumberFormat="1" applyFont="1" applyFill="1" applyBorder="1" applyAlignment="1">
      <alignment horizontal="left" vertical="center" wrapText="1"/>
    </xf>
    <xf numFmtId="164" fontId="11" fillId="8" borderId="5" xfId="0" applyNumberFormat="1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/>
    </xf>
    <xf numFmtId="164" fontId="11" fillId="10" borderId="5" xfId="0" applyNumberFormat="1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E7D6-464F-4FFD-8771-DBD0E3D15CF3}">
  <sheetPr>
    <pageSetUpPr fitToPage="1"/>
  </sheetPr>
  <dimension ref="A1:H36"/>
  <sheetViews>
    <sheetView tabSelected="1" zoomScale="59" zoomScaleNormal="59" workbookViewId="0">
      <selection activeCell="G26" sqref="A1:G26"/>
    </sheetView>
  </sheetViews>
  <sheetFormatPr baseColWidth="10" defaultColWidth="12.33203125" defaultRowHeight="14.4" x14ac:dyDescent="0.3"/>
  <cols>
    <col min="1" max="1" width="11.5546875" style="1" customWidth="1"/>
    <col min="2" max="2" width="12" style="1" bestFit="1" customWidth="1"/>
    <col min="3" max="3" width="95.44140625" style="1" customWidth="1"/>
    <col min="4" max="4" width="25" style="1" customWidth="1"/>
    <col min="5" max="5" width="25.109375" style="1" bestFit="1" customWidth="1"/>
    <col min="6" max="6" width="22.33203125" style="1" bestFit="1" customWidth="1"/>
    <col min="7" max="7" width="28.88671875" style="1" customWidth="1"/>
    <col min="8" max="8" width="50.5546875" style="1" customWidth="1"/>
    <col min="9" max="16384" width="12.33203125" style="1"/>
  </cols>
  <sheetData>
    <row r="1" spans="1:7" ht="27.6" x14ac:dyDescent="0.3">
      <c r="A1" s="53" t="s">
        <v>47</v>
      </c>
      <c r="B1" s="54"/>
      <c r="C1" s="54"/>
      <c r="D1" s="54"/>
      <c r="E1" s="54"/>
      <c r="F1" s="54"/>
      <c r="G1" s="54"/>
    </row>
    <row r="2" spans="1:7" ht="33.6" customHeight="1" x14ac:dyDescent="0.3">
      <c r="A2" s="62" t="s">
        <v>0</v>
      </c>
      <c r="B2" s="63"/>
      <c r="C2" s="63"/>
      <c r="D2" s="63"/>
      <c r="E2" s="63"/>
      <c r="F2" s="63"/>
      <c r="G2" s="64"/>
    </row>
    <row r="3" spans="1:7" ht="51" customHeight="1" x14ac:dyDescent="0.3">
      <c r="A3" s="51" t="s">
        <v>31</v>
      </c>
      <c r="B3" s="51"/>
      <c r="C3" s="14" t="s">
        <v>30</v>
      </c>
      <c r="D3" s="16" t="s">
        <v>37</v>
      </c>
      <c r="E3" s="16" t="s">
        <v>41</v>
      </c>
      <c r="F3" s="56" t="e" vm="1">
        <v>#VALUE!</v>
      </c>
      <c r="G3" s="57"/>
    </row>
    <row r="4" spans="1:7" ht="65.400000000000006" customHeight="1" x14ac:dyDescent="0.3">
      <c r="A4" s="51" t="s">
        <v>33</v>
      </c>
      <c r="B4" s="51"/>
      <c r="C4" s="15" t="s">
        <v>35</v>
      </c>
      <c r="D4" s="52" t="s">
        <v>44</v>
      </c>
      <c r="E4" s="52"/>
      <c r="F4" s="58"/>
      <c r="G4" s="59"/>
    </row>
    <row r="5" spans="1:7" ht="36.6" customHeight="1" x14ac:dyDescent="0.3">
      <c r="A5" s="55" t="s">
        <v>34</v>
      </c>
      <c r="B5" s="55"/>
      <c r="C5" s="14" t="s">
        <v>36</v>
      </c>
      <c r="D5" s="65" t="s">
        <v>45</v>
      </c>
      <c r="E5" s="65"/>
      <c r="F5" s="60"/>
      <c r="G5" s="61"/>
    </row>
    <row r="6" spans="1:7" x14ac:dyDescent="0.3">
      <c r="A6" s="48"/>
      <c r="B6" s="48"/>
      <c r="C6" s="48"/>
      <c r="D6" s="48"/>
      <c r="E6" s="48"/>
      <c r="F6" s="48"/>
      <c r="G6" s="48"/>
    </row>
    <row r="7" spans="1:7" ht="34.799999999999997" customHeight="1" x14ac:dyDescent="0.3">
      <c r="A7" s="18" t="s">
        <v>1</v>
      </c>
      <c r="B7" s="19" t="s">
        <v>2</v>
      </c>
      <c r="C7" s="19" t="s">
        <v>3</v>
      </c>
      <c r="D7" s="19" t="s">
        <v>4</v>
      </c>
      <c r="E7" s="18" t="s">
        <v>5</v>
      </c>
      <c r="F7" s="19" t="s">
        <v>6</v>
      </c>
      <c r="G7" s="18" t="s">
        <v>7</v>
      </c>
    </row>
    <row r="8" spans="1:7" ht="23.4" customHeight="1" x14ac:dyDescent="0.3">
      <c r="A8" s="49" t="s">
        <v>8</v>
      </c>
      <c r="B8" s="50"/>
      <c r="C8" s="50"/>
      <c r="D8" s="50"/>
      <c r="E8" s="50"/>
      <c r="F8" s="50"/>
      <c r="G8" s="50"/>
    </row>
    <row r="9" spans="1:7" ht="23.4" x14ac:dyDescent="0.3">
      <c r="A9" s="20">
        <v>1.1000000000000001</v>
      </c>
      <c r="B9" s="21"/>
      <c r="C9" s="22" t="s">
        <v>39</v>
      </c>
      <c r="D9" s="23"/>
      <c r="E9" s="23"/>
      <c r="F9" s="24"/>
      <c r="G9" s="25">
        <f>SUM(G10:G10)</f>
        <v>70000</v>
      </c>
    </row>
    <row r="10" spans="1:7" ht="50.4" customHeight="1" x14ac:dyDescent="0.3">
      <c r="A10" s="26"/>
      <c r="B10" s="26" t="s">
        <v>46</v>
      </c>
      <c r="C10" s="27" t="s">
        <v>32</v>
      </c>
      <c r="D10" s="17" t="s">
        <v>9</v>
      </c>
      <c r="E10" s="28">
        <v>1</v>
      </c>
      <c r="F10" s="29">
        <v>70000</v>
      </c>
      <c r="G10" s="30">
        <f>+E10*F10</f>
        <v>70000</v>
      </c>
    </row>
    <row r="11" spans="1:7" ht="23.4" x14ac:dyDescent="0.3">
      <c r="A11" s="20">
        <v>1.2</v>
      </c>
      <c r="B11" s="21"/>
      <c r="C11" s="22" t="s">
        <v>38</v>
      </c>
      <c r="D11" s="32"/>
      <c r="E11" s="33"/>
      <c r="F11" s="34"/>
      <c r="G11" s="35">
        <f>SUM(G12:G13)</f>
        <v>1856200</v>
      </c>
    </row>
    <row r="12" spans="1:7" ht="100.8" customHeight="1" x14ac:dyDescent="0.3">
      <c r="A12" s="14"/>
      <c r="B12" s="26" t="s">
        <v>10</v>
      </c>
      <c r="C12" s="31" t="s">
        <v>43</v>
      </c>
      <c r="D12" s="17" t="s">
        <v>11</v>
      </c>
      <c r="E12" s="28">
        <v>378</v>
      </c>
      <c r="F12" s="29">
        <v>2900</v>
      </c>
      <c r="G12" s="30">
        <f t="shared" ref="G12:G13" si="0">+E12*F12</f>
        <v>1096200</v>
      </c>
    </row>
    <row r="13" spans="1:7" ht="99" customHeight="1" x14ac:dyDescent="0.3">
      <c r="A13" s="14"/>
      <c r="B13" s="26" t="s">
        <v>12</v>
      </c>
      <c r="C13" s="31" t="s">
        <v>42</v>
      </c>
      <c r="D13" s="17" t="s">
        <v>11</v>
      </c>
      <c r="E13" s="28">
        <v>20</v>
      </c>
      <c r="F13" s="29">
        <v>38000</v>
      </c>
      <c r="G13" s="30">
        <f t="shared" si="0"/>
        <v>760000</v>
      </c>
    </row>
    <row r="14" spans="1:7" ht="23.4" x14ac:dyDescent="0.3">
      <c r="A14" s="36">
        <v>1.3</v>
      </c>
      <c r="B14" s="37"/>
      <c r="C14" s="38" t="s">
        <v>14</v>
      </c>
      <c r="D14" s="39"/>
      <c r="E14" s="40"/>
      <c r="F14" s="41"/>
      <c r="G14" s="42">
        <f>SUM(G15:G15)</f>
        <v>1140000</v>
      </c>
    </row>
    <row r="15" spans="1:7" ht="78" customHeight="1" x14ac:dyDescent="0.3">
      <c r="A15" s="43"/>
      <c r="B15" s="44" t="s">
        <v>15</v>
      </c>
      <c r="C15" s="45" t="s">
        <v>16</v>
      </c>
      <c r="D15" s="46" t="s">
        <v>13</v>
      </c>
      <c r="E15" s="28">
        <v>228</v>
      </c>
      <c r="F15" s="29">
        <v>5000</v>
      </c>
      <c r="G15" s="30">
        <f>+E15*F15</f>
        <v>1140000</v>
      </c>
    </row>
    <row r="16" spans="1:7" ht="23.4" x14ac:dyDescent="0.3">
      <c r="A16" s="36">
        <v>1.4</v>
      </c>
      <c r="B16" s="37"/>
      <c r="C16" s="38" t="s">
        <v>40</v>
      </c>
      <c r="D16" s="39"/>
      <c r="E16" s="40"/>
      <c r="F16" s="41"/>
      <c r="G16" s="42">
        <f>SUM(G17:G17)</f>
        <v>6048000</v>
      </c>
    </row>
    <row r="17" spans="1:8" ht="70.8" customHeight="1" x14ac:dyDescent="0.3">
      <c r="A17" s="43"/>
      <c r="B17" s="44" t="s">
        <v>17</v>
      </c>
      <c r="C17" s="45" t="s">
        <v>18</v>
      </c>
      <c r="D17" s="46" t="s">
        <v>11</v>
      </c>
      <c r="E17" s="28">
        <v>378</v>
      </c>
      <c r="F17" s="29">
        <v>16000</v>
      </c>
      <c r="G17" s="30">
        <f>+E17*F17</f>
        <v>6048000</v>
      </c>
    </row>
    <row r="18" spans="1:8" ht="23.4" x14ac:dyDescent="0.3">
      <c r="A18" s="36">
        <v>1.5</v>
      </c>
      <c r="B18" s="37"/>
      <c r="C18" s="38" t="s">
        <v>19</v>
      </c>
      <c r="D18" s="39"/>
      <c r="E18" s="40"/>
      <c r="F18" s="41"/>
      <c r="G18" s="42">
        <f>G19</f>
        <v>100000</v>
      </c>
    </row>
    <row r="19" spans="1:8" ht="21" x14ac:dyDescent="0.3">
      <c r="A19" s="43"/>
      <c r="B19" s="44" t="s">
        <v>20</v>
      </c>
      <c r="C19" s="45" t="s">
        <v>21</v>
      </c>
      <c r="D19" s="46" t="s">
        <v>22</v>
      </c>
      <c r="E19" s="28">
        <v>1</v>
      </c>
      <c r="F19" s="29">
        <v>100000</v>
      </c>
      <c r="G19" s="47">
        <f>F19*E19</f>
        <v>100000</v>
      </c>
    </row>
    <row r="20" spans="1:8" ht="17.399999999999999" x14ac:dyDescent="0.3">
      <c r="A20" s="2"/>
      <c r="B20" s="2"/>
      <c r="C20" s="2"/>
      <c r="D20" s="2"/>
      <c r="E20" s="9" t="s">
        <v>23</v>
      </c>
      <c r="F20" s="9"/>
      <c r="G20" s="5">
        <f>G18+G16+G14+G11+G9</f>
        <v>9214200</v>
      </c>
    </row>
    <row r="21" spans="1:8" ht="17.399999999999999" x14ac:dyDescent="0.3">
      <c r="A21" s="2"/>
      <c r="B21" s="2"/>
      <c r="C21" s="2"/>
      <c r="D21" s="2"/>
      <c r="E21" s="3" t="s">
        <v>24</v>
      </c>
      <c r="F21" s="4">
        <v>0.08</v>
      </c>
      <c r="G21" s="6">
        <f>+$G$20*F21</f>
        <v>737136</v>
      </c>
    </row>
    <row r="22" spans="1:8" ht="17.399999999999999" x14ac:dyDescent="0.3">
      <c r="A22" s="2"/>
      <c r="B22" s="2"/>
      <c r="C22" s="2"/>
      <c r="D22" s="2"/>
      <c r="E22" s="3" t="s">
        <v>25</v>
      </c>
      <c r="F22" s="4">
        <v>0.05</v>
      </c>
      <c r="G22" s="6">
        <f t="shared" ref="G22:G23" si="1">+$G$20*F22</f>
        <v>460710</v>
      </c>
    </row>
    <row r="23" spans="1:8" ht="17.399999999999999" x14ac:dyDescent="0.3">
      <c r="A23" s="2"/>
      <c r="B23" s="2"/>
      <c r="C23" s="2"/>
      <c r="D23" s="2"/>
      <c r="E23" s="3" t="s">
        <v>26</v>
      </c>
      <c r="F23" s="4">
        <v>0.05</v>
      </c>
      <c r="G23" s="6">
        <f t="shared" si="1"/>
        <v>460710</v>
      </c>
    </row>
    <row r="24" spans="1:8" ht="17.399999999999999" x14ac:dyDescent="0.3">
      <c r="A24" s="2"/>
      <c r="B24" s="2"/>
      <c r="C24" s="2"/>
      <c r="D24" s="2"/>
      <c r="E24" s="3" t="s">
        <v>27</v>
      </c>
      <c r="F24" s="4">
        <v>0.19</v>
      </c>
      <c r="G24" s="6">
        <f>+G23*F24</f>
        <v>87534.9</v>
      </c>
    </row>
    <row r="25" spans="1:8" ht="17.399999999999999" x14ac:dyDescent="0.3">
      <c r="A25" s="2"/>
      <c r="B25" s="2"/>
      <c r="C25" s="2"/>
      <c r="D25" s="2"/>
      <c r="E25" s="10" t="s">
        <v>28</v>
      </c>
      <c r="F25" s="11"/>
      <c r="G25" s="7">
        <f>+G21+G22+G23+G24</f>
        <v>1746090.9</v>
      </c>
    </row>
    <row r="26" spans="1:8" ht="24" customHeight="1" x14ac:dyDescent="0.3">
      <c r="A26" s="2"/>
      <c r="B26" s="2"/>
      <c r="C26" s="2"/>
      <c r="D26" s="2"/>
      <c r="E26" s="12" t="s">
        <v>29</v>
      </c>
      <c r="F26" s="13"/>
      <c r="G26" s="8">
        <f>+G20+G25</f>
        <v>10960290.9</v>
      </c>
      <c r="H26" s="2"/>
    </row>
    <row r="27" spans="1:8" x14ac:dyDescent="0.3">
      <c r="H27" s="2"/>
    </row>
    <row r="28" spans="1:8" x14ac:dyDescent="0.3">
      <c r="H28" s="2"/>
    </row>
    <row r="29" spans="1:8" x14ac:dyDescent="0.3">
      <c r="H29" s="2"/>
    </row>
    <row r="30" spans="1:8" ht="19.95" customHeight="1" x14ac:dyDescent="0.3">
      <c r="H30" s="2"/>
    </row>
    <row r="31" spans="1:8" ht="19.95" customHeight="1" x14ac:dyDescent="0.3">
      <c r="H31" s="2"/>
    </row>
    <row r="32" spans="1:8" ht="19.95" customHeight="1" x14ac:dyDescent="0.3">
      <c r="H32" s="2"/>
    </row>
    <row r="33" ht="19.95" customHeight="1" x14ac:dyDescent="0.3"/>
    <row r="34" ht="19.95" customHeight="1" x14ac:dyDescent="0.3"/>
    <row r="35" ht="19.95" customHeight="1" x14ac:dyDescent="0.3"/>
    <row r="36" ht="19.95" customHeight="1" x14ac:dyDescent="0.3"/>
  </sheetData>
  <mergeCells count="10">
    <mergeCell ref="D4:E4"/>
    <mergeCell ref="A5:B5"/>
    <mergeCell ref="A8:G8"/>
    <mergeCell ref="F3:G5"/>
    <mergeCell ref="A2:G2"/>
    <mergeCell ref="A1:G1"/>
    <mergeCell ref="A6:G6"/>
    <mergeCell ref="D5:E5"/>
    <mergeCell ref="A4:B4"/>
    <mergeCell ref="A3:B3"/>
  </mergeCells>
  <phoneticPr fontId="2" type="noConversion"/>
  <pageMargins left="0.70866141732283461" right="0.70866141732283461" top="0.74803149606299213" bottom="0.74803149606299213" header="0.31496062992125984" footer="0.31496062992125984"/>
  <pageSetup scale="55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ESPECIFICACIONES</vt:lpstr>
      <vt:lpstr>ESPECIFICACIONES!Área_de_impresión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Renso Montoya Upegui</cp:lastModifiedBy>
  <cp:revision/>
  <cp:lastPrinted>2024-08-01T02:05:51Z</cp:lastPrinted>
  <dcterms:created xsi:type="dcterms:W3CDTF">2024-02-08T21:06:52Z</dcterms:created>
  <dcterms:modified xsi:type="dcterms:W3CDTF">2024-08-01T02:05:55Z</dcterms:modified>
  <cp:category/>
  <cp:contentStatus/>
</cp:coreProperties>
</file>