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8_{E4FDFC41-5385-48EB-9164-999E0EE86F47}" xr6:coauthVersionLast="47" xr6:coauthVersionMax="47" xr10:uidLastSave="{00000000-0000-0000-0000-000000000000}"/>
  <bookViews>
    <workbookView xWindow="-108" yWindow="-108" windowWidth="23256" windowHeight="12456" xr2:uid="{BCFB1664-7DBD-4EFF-A670-B77D79CD3276}"/>
  </bookViews>
  <sheets>
    <sheet name="ESPECIFICACIONES" sheetId="1" r:id="rId1"/>
  </sheets>
  <definedNames>
    <definedName name="_xlnm.Print_Area" localSheetId="0">ESPECIFICACIONES!$A$1:$G$10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9" i="1" l="1"/>
  <c r="J14" i="1"/>
  <c r="J13" i="1"/>
  <c r="J12" i="1"/>
  <c r="I13" i="1"/>
  <c r="I12" i="1"/>
  <c r="G10" i="1"/>
  <c r="G9" i="1"/>
  <c r="G26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8" i="1" l="1"/>
  <c r="G27" i="1" s="1"/>
  <c r="G25" i="1"/>
  <c r="G30" i="1" l="1"/>
  <c r="G31" i="1" s="1"/>
  <c r="G28" i="1" l="1"/>
  <c r="G29" i="1"/>
  <c r="G32" i="1" l="1"/>
  <c r="G33" i="1" s="1"/>
</calcChain>
</file>

<file path=xl/sharedStrings.xml><?xml version="1.0" encoding="utf-8"?>
<sst xmlns="http://schemas.openxmlformats.org/spreadsheetml/2006/main" count="65" uniqueCount="50">
  <si>
    <t>CAPT</t>
  </si>
  <si>
    <t>ITEMS</t>
  </si>
  <si>
    <t>ACTIVIDAD</t>
  </si>
  <si>
    <t>UNIDAD</t>
  </si>
  <si>
    <t>CANTIDAD</t>
  </si>
  <si>
    <t>VR UNITARIO</t>
  </si>
  <si>
    <t>VALOR DIRECTO ACTIVIDAD</t>
  </si>
  <si>
    <t>GL</t>
  </si>
  <si>
    <t>M2</t>
  </si>
  <si>
    <t>ML</t>
  </si>
  <si>
    <t>IVA/U</t>
  </si>
  <si>
    <t>CALLE 3 NORTE # 18-49 LOCAL 2</t>
  </si>
  <si>
    <t>DIRECCION:</t>
  </si>
  <si>
    <t>CORREO:</t>
  </si>
  <si>
    <t>TELEFONO: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</si>
  <si>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</si>
  <si>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+57 310 461 7353</t>
  </si>
  <si>
    <t>1.0</t>
  </si>
  <si>
    <t>PRELIMINARES</t>
  </si>
  <si>
    <t>Limpieza integral de superficies</t>
  </si>
  <si>
    <t>LABORES DE FINALIZACION Y ENTREGA</t>
  </si>
  <si>
    <t>Aseo y limpieza general</t>
  </si>
  <si>
    <t>TOTALES DIRECTOS</t>
  </si>
  <si>
    <t>Administracion</t>
  </si>
  <si>
    <t>Imprevistos</t>
  </si>
  <si>
    <t>Utilidad</t>
  </si>
  <si>
    <t>TOTAL INDIRECTOS</t>
  </si>
  <si>
    <t>TOTAL PROPUESTA</t>
  </si>
  <si>
    <t>CANTIDADES DE OBRA PARA ACTIVIDADES DE MANTENIMIENTO INTEGRAL EN FACHADAS</t>
  </si>
  <si>
    <t xml:space="preserve">  FECHA: 24-09-2024</t>
  </si>
  <si>
    <t xml:space="preserve">  VALIDO HASTA: 24-12-2024</t>
  </si>
  <si>
    <t>Suministro y aplicación de pintura Koraza pro 550</t>
  </si>
  <si>
    <t>Tratamientos de fisuras con Sikadur 32 Primer y sellado con Sikaflex 1-A Plus</t>
  </si>
  <si>
    <t>Suministro e instalacion de cortagoteras faltantes y existentes</t>
  </si>
  <si>
    <t>Suministro e instalación de angulos de aluminio en balcones</t>
  </si>
  <si>
    <t>Sello de ventaneria pared-marco</t>
  </si>
  <si>
    <t>Sello de ventaneria marco-vidrio</t>
  </si>
  <si>
    <t>Recorrido de techos general</t>
  </si>
  <si>
    <t>Construcción de alfajia en concreto y correcion de las existentes</t>
  </si>
  <si>
    <t>Mantenimiento general de canales de desagues (Impermeabilización con Sikafill 7 años y tela de refuerzo)</t>
  </si>
  <si>
    <t>Suministro e instalación de ceramica sobre muros de volumen que sobresalen de fachada</t>
  </si>
  <si>
    <t>Contrucción de alfajias metalicas en lamina galvanizada 20-22</t>
  </si>
  <si>
    <t>Suministro e instalacion de boquilla acrilica en balcones</t>
  </si>
  <si>
    <t>Remate de guardaescoba en pared</t>
  </si>
  <si>
    <t>Sello de dilataciones en fachada</t>
  </si>
  <si>
    <t>Reparación de revoques</t>
  </si>
  <si>
    <t>EDIFICIO EL MIRADOR</t>
  </si>
  <si>
    <t>A</t>
  </si>
  <si>
    <t>I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</si>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</sst>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43" fontId="6" fillId="0" borderId="2" xfId="1" applyFont="1" applyFill="1" applyBorder="1" applyAlignment="1">
      <alignment vertical="center"/>
    </xf>
    <xf numFmtId="164" fontId="6" fillId="0" borderId="2" xfId="0" applyNumberFormat="1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9" fontId="6" fillId="0" borderId="2" xfId="3" applyFont="1" applyFill="1" applyBorder="1" applyAlignment="1">
      <alignment horizontal="center" vertical="center"/>
    </xf>
    <xf numFmtId="164" fontId="6" fillId="0" borderId="1" xfId="2" applyNumberFormat="1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6" xfId="0" applyNumberFormat="1" applyFont="1" applyFill="1" applyBorder="1" applyAlignment="1">
      <alignment vertical="center"/>
    </xf>
    <xf numFmtId="165" fontId="5" fillId="2" borderId="7" xfId="0" applyNumberFormat="1" applyFont="1" applyFill="1" applyBorder="1" applyAlignment="1">
      <alignment horizontal="center" vertical="center"/>
    </xf>
    <xf numFmtId="164" fontId="6" fillId="2" borderId="7" xfId="0" applyNumberFormat="1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2" fontId="8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43" fontId="5" fillId="2" borderId="3" xfId="1" applyFont="1" applyFill="1" applyBorder="1" applyAlignment="1">
      <alignment horizontal="center" vertical="center"/>
    </xf>
    <xf numFmtId="43" fontId="5" fillId="2" borderId="5" xfId="1" applyFont="1" applyFill="1" applyBorder="1" applyAlignment="1">
      <alignment horizontal="center" vertical="center"/>
    </xf>
    <xf numFmtId="43" fontId="5" fillId="2" borderId="4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wrapText="1"/>
    </xf>
    <xf numFmtId="43" fontId="6" fillId="6" borderId="2" xfId="1" applyFont="1" applyFill="1" applyBorder="1" applyAlignment="1">
      <alignment vertical="center"/>
    </xf>
    <xf numFmtId="164" fontId="6" fillId="6" borderId="2" xfId="0" applyNumberFormat="1" applyFont="1" applyFill="1" applyBorder="1" applyAlignment="1">
      <alignment horizontal="left" vertical="center" wrapText="1"/>
    </xf>
    <xf numFmtId="2" fontId="8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/>
    </xf>
    <xf numFmtId="44" fontId="12" fillId="0" borderId="0" xfId="2" applyFont="1" applyAlignment="1">
      <alignment vertical="center"/>
    </xf>
    <xf numFmtId="43" fontId="11" fillId="0" borderId="0" xfId="0" applyNumberFormat="1" applyFont="1" applyAlignment="1">
      <alignment vertical="center"/>
    </xf>
    <xf numFmtId="44" fontId="0" fillId="0" borderId="0" xfId="0" applyNumberFormat="1" applyAlignment="1">
      <alignment vertical="center"/>
    </xf>
    <xf numFmtId="44" fontId="13" fillId="0" borderId="0" xfId="0" applyNumberFormat="1" applyFont="1" applyAlignment="1">
      <alignment vertical="center"/>
    </xf>
    <xf numFmtId="9" fontId="0" fillId="0" borderId="0" xfId="3" applyFont="1" applyAlignment="1">
      <alignment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E7D6-464F-4FFD-8771-DBD0E3D15CF3}">
  <sheetPr>
    <pageSetUpPr fitToPage="1"/>
  </sheetPr>
  <dimension ref="A1:J37"/>
  <sheetViews>
    <sheetView tabSelected="1" topLeftCell="C3" zoomScale="59" zoomScaleNormal="50" zoomScaleSheetLayoutView="40" workbookViewId="0">
      <selection activeCell="J19" sqref="J19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8" width="50.5546875" style="1" customWidth="1"/>
    <col min="9" max="9" width="12.33203125" style="1"/>
    <col min="10" max="10" width="30.33203125" style="1" bestFit="1" customWidth="1"/>
    <col min="11" max="16384" width="12.33203125" style="1"/>
  </cols>
  <sheetData>
    <row r="1" spans="1:10" ht="27.6" x14ac:dyDescent="0.3">
      <c r="A1" s="40" t="s">
        <v>46</v>
      </c>
      <c r="B1" s="40"/>
      <c r="C1" s="40"/>
      <c r="D1" s="40"/>
      <c r="E1" s="40"/>
      <c r="F1" s="40"/>
      <c r="G1" s="40"/>
    </row>
    <row r="2" spans="1:10" ht="33.6" customHeight="1" x14ac:dyDescent="0.3">
      <c r="A2" s="28" t="s">
        <v>28</v>
      </c>
      <c r="B2" s="28"/>
      <c r="C2" s="28"/>
      <c r="D2" s="28"/>
      <c r="E2" s="28"/>
      <c r="F2" s="28"/>
      <c r="G2" s="28"/>
    </row>
    <row r="3" spans="1:10" ht="51" customHeight="1" x14ac:dyDescent="0.3">
      <c r="A3" s="35" t="s">
        <v>12</v>
      </c>
      <c r="B3" s="35"/>
      <c r="C3" s="29" t="s">
        <v>11</v>
      </c>
      <c r="D3" s="29"/>
      <c r="E3" s="29"/>
      <c r="F3" s="39"/>
      <c r="G3" s="39"/>
    </row>
    <row r="4" spans="1:10" ht="49.8" customHeight="1" x14ac:dyDescent="0.3">
      <c r="A4" s="35" t="s">
        <v>13</v>
      </c>
      <c r="B4" s="35"/>
      <c r="C4" s="4" t="s">
        <v>15</v>
      </c>
      <c r="D4" s="28" t="s">
        <v>29</v>
      </c>
      <c r="E4" s="28"/>
      <c r="F4" s="39"/>
      <c r="G4" s="39"/>
    </row>
    <row r="5" spans="1:10" ht="36.6" customHeight="1" x14ac:dyDescent="0.3">
      <c r="A5" s="29" t="s">
        <v>14</v>
      </c>
      <c r="B5" s="29"/>
      <c r="C5" s="3" t="s">
        <v>16</v>
      </c>
      <c r="D5" s="34" t="s">
        <v>30</v>
      </c>
      <c r="E5" s="34"/>
      <c r="F5" s="39"/>
      <c r="G5" s="39"/>
    </row>
    <row r="6" spans="1:10" x14ac:dyDescent="0.3">
      <c r="A6" s="33"/>
      <c r="B6" s="33"/>
      <c r="C6" s="33"/>
      <c r="D6" s="33"/>
      <c r="E6" s="33"/>
      <c r="F6" s="33"/>
      <c r="G6" s="33"/>
    </row>
    <row r="7" spans="1:10" ht="48" customHeight="1" x14ac:dyDescent="0.3">
      <c r="A7" s="22" t="s">
        <v>0</v>
      </c>
      <c r="B7" s="23" t="s">
        <v>1</v>
      </c>
      <c r="C7" s="23" t="s">
        <v>2</v>
      </c>
      <c r="D7" s="23" t="s">
        <v>3</v>
      </c>
      <c r="E7" s="22" t="s">
        <v>4</v>
      </c>
      <c r="F7" s="23" t="s">
        <v>5</v>
      </c>
      <c r="G7" s="22" t="s">
        <v>6</v>
      </c>
    </row>
    <row r="8" spans="1:10" ht="34.950000000000003" customHeight="1" x14ac:dyDescent="0.3">
      <c r="A8" s="24" t="s">
        <v>17</v>
      </c>
      <c r="B8" s="42" t="s">
        <v>18</v>
      </c>
      <c r="C8" s="42"/>
      <c r="D8" s="42"/>
      <c r="E8" s="42"/>
      <c r="F8" s="42"/>
      <c r="G8" s="25">
        <f>SUM(G9:G24)</f>
        <v>127003500</v>
      </c>
    </row>
    <row r="9" spans="1:10" ht="34.950000000000003" customHeight="1" x14ac:dyDescent="0.3">
      <c r="A9" s="5"/>
      <c r="B9" s="5">
        <v>1.1000000000000001</v>
      </c>
      <c r="C9" s="8" t="s">
        <v>19</v>
      </c>
      <c r="D9" s="5" t="s">
        <v>8</v>
      </c>
      <c r="E9" s="9">
        <v>3850</v>
      </c>
      <c r="F9" s="10">
        <v>3210</v>
      </c>
      <c r="G9" s="10">
        <f>+E9*F9</f>
        <v>12358500</v>
      </c>
    </row>
    <row r="10" spans="1:10" ht="21" x14ac:dyDescent="0.3">
      <c r="A10" s="3"/>
      <c r="B10" s="5">
        <v>1.2</v>
      </c>
      <c r="C10" s="26" t="s">
        <v>31</v>
      </c>
      <c r="D10" s="5" t="s">
        <v>8</v>
      </c>
      <c r="E10" s="9">
        <v>3850</v>
      </c>
      <c r="F10" s="10">
        <v>17200</v>
      </c>
      <c r="G10" s="10">
        <f>+E10*F10</f>
        <v>66220000</v>
      </c>
    </row>
    <row r="11" spans="1:10" ht="52.8" customHeight="1" x14ac:dyDescent="0.3">
      <c r="A11" s="3"/>
      <c r="B11" s="5">
        <v>1.3</v>
      </c>
      <c r="C11" s="26" t="s">
        <v>32</v>
      </c>
      <c r="D11" s="5" t="s">
        <v>9</v>
      </c>
      <c r="E11" s="9">
        <v>500</v>
      </c>
      <c r="F11" s="10">
        <v>5500</v>
      </c>
      <c r="G11" s="10">
        <f t="shared" ref="G11:G12" si="0">+E11*F11</f>
        <v>2750000</v>
      </c>
    </row>
    <row r="12" spans="1:10" ht="34.200000000000003" customHeight="1" x14ac:dyDescent="0.3">
      <c r="A12" s="3"/>
      <c r="B12" s="5">
        <v>1.4</v>
      </c>
      <c r="C12" s="26" t="s">
        <v>33</v>
      </c>
      <c r="D12" s="5" t="s">
        <v>9</v>
      </c>
      <c r="E12" s="9">
        <v>128</v>
      </c>
      <c r="F12" s="10">
        <v>37000</v>
      </c>
      <c r="G12" s="10">
        <f t="shared" si="0"/>
        <v>4736000</v>
      </c>
      <c r="H12" s="9">
        <v>600</v>
      </c>
      <c r="I12" s="56">
        <f>H12-E12</f>
        <v>472</v>
      </c>
      <c r="J12" s="55">
        <f>I12*F12</f>
        <v>17464000</v>
      </c>
    </row>
    <row r="13" spans="1:10" ht="34.950000000000003" customHeight="1" x14ac:dyDescent="0.3">
      <c r="A13" s="6"/>
      <c r="B13" s="5">
        <v>1.5</v>
      </c>
      <c r="C13" s="26" t="s">
        <v>34</v>
      </c>
      <c r="D13" s="7" t="s">
        <v>9</v>
      </c>
      <c r="E13" s="9">
        <v>112</v>
      </c>
      <c r="F13" s="10">
        <v>37000</v>
      </c>
      <c r="G13" s="10">
        <f>+E13*F13</f>
        <v>4144000</v>
      </c>
      <c r="H13" s="9">
        <v>700</v>
      </c>
      <c r="I13" s="56">
        <f>H13-E13</f>
        <v>588</v>
      </c>
      <c r="J13" s="55">
        <f>I13*F13</f>
        <v>21756000</v>
      </c>
    </row>
    <row r="14" spans="1:10" ht="34.950000000000003" customHeight="1" x14ac:dyDescent="0.3">
      <c r="A14" s="6"/>
      <c r="B14" s="5">
        <v>1.6</v>
      </c>
      <c r="C14" s="26" t="s">
        <v>35</v>
      </c>
      <c r="D14" s="7" t="s">
        <v>9</v>
      </c>
      <c r="E14" s="9">
        <v>900</v>
      </c>
      <c r="F14" s="10">
        <v>4500</v>
      </c>
      <c r="G14" s="10">
        <f t="shared" ref="G14:G19" si="1">+E14*F14</f>
        <v>4050000</v>
      </c>
      <c r="J14" s="58">
        <f>J13+J12</f>
        <v>39220000</v>
      </c>
    </row>
    <row r="15" spans="1:10" ht="34.950000000000003" customHeight="1" x14ac:dyDescent="0.3">
      <c r="A15" s="6"/>
      <c r="B15" s="5">
        <v>1.7</v>
      </c>
      <c r="C15" s="26" t="s">
        <v>36</v>
      </c>
      <c r="D15" s="7" t="s">
        <v>9</v>
      </c>
      <c r="E15" s="9">
        <v>1400</v>
      </c>
      <c r="F15" s="10">
        <v>4500</v>
      </c>
      <c r="G15" s="10">
        <f t="shared" si="1"/>
        <v>6300000</v>
      </c>
      <c r="I15" s="1" t="s">
        <v>47</v>
      </c>
      <c r="J15" s="59">
        <v>0.08</v>
      </c>
    </row>
    <row r="16" spans="1:10" ht="34.950000000000003" customHeight="1" x14ac:dyDescent="0.3">
      <c r="A16" s="6"/>
      <c r="B16" s="5">
        <v>1.8</v>
      </c>
      <c r="C16" s="26" t="s">
        <v>37</v>
      </c>
      <c r="D16" s="7" t="s">
        <v>8</v>
      </c>
      <c r="E16" s="9">
        <v>610</v>
      </c>
      <c r="F16" s="10">
        <v>12000</v>
      </c>
      <c r="G16" s="10">
        <f t="shared" si="1"/>
        <v>7320000</v>
      </c>
      <c r="I16" s="1" t="s">
        <v>48</v>
      </c>
      <c r="J16" s="59">
        <v>0.05</v>
      </c>
    </row>
    <row r="17" spans="1:10" ht="58.8" customHeight="1" x14ac:dyDescent="0.3">
      <c r="A17" s="6"/>
      <c r="B17" s="5">
        <v>1.9</v>
      </c>
      <c r="C17" s="26" t="s">
        <v>39</v>
      </c>
      <c r="D17" s="7" t="s">
        <v>9</v>
      </c>
      <c r="E17" s="9">
        <v>80</v>
      </c>
      <c r="F17" s="10">
        <v>45000</v>
      </c>
      <c r="G17" s="10">
        <f>+E17*F17</f>
        <v>3600000</v>
      </c>
      <c r="I17" s="1" t="s">
        <v>49</v>
      </c>
      <c r="J17" s="59">
        <v>0.05</v>
      </c>
    </row>
    <row r="18" spans="1:10" ht="34.950000000000003" customHeight="1" x14ac:dyDescent="0.3">
      <c r="A18" s="6"/>
      <c r="B18" s="27">
        <v>1.1000000000000001</v>
      </c>
      <c r="C18" s="26" t="s">
        <v>38</v>
      </c>
      <c r="D18" s="7" t="s">
        <v>9</v>
      </c>
      <c r="E18" s="9">
        <v>150</v>
      </c>
      <c r="F18" s="10">
        <v>50000</v>
      </c>
      <c r="G18" s="10">
        <f t="shared" si="1"/>
        <v>7500000</v>
      </c>
      <c r="H18" s="2"/>
      <c r="I18" s="1" t="s">
        <v>10</v>
      </c>
      <c r="J18" s="59">
        <v>0.19</v>
      </c>
    </row>
    <row r="19" spans="1:10" ht="51.6" customHeight="1" x14ac:dyDescent="0.3">
      <c r="A19" s="48"/>
      <c r="B19" s="49">
        <v>1.1100000000000001</v>
      </c>
      <c r="C19" s="54" t="s">
        <v>40</v>
      </c>
      <c r="D19" s="49" t="s">
        <v>9</v>
      </c>
      <c r="E19" s="51">
        <v>205</v>
      </c>
      <c r="F19" s="52">
        <v>0</v>
      </c>
      <c r="G19" s="52">
        <f t="shared" si="1"/>
        <v>0</v>
      </c>
      <c r="H19" s="2"/>
      <c r="J19" s="57">
        <f>(J14*J15)+(J14*J16)*2+((J14*1.05)*0.19)</f>
        <v>14883990</v>
      </c>
    </row>
    <row r="20" spans="1:10" ht="34.950000000000003" customHeight="1" x14ac:dyDescent="0.3">
      <c r="A20" s="6"/>
      <c r="B20" s="27">
        <v>1.1200000000000001</v>
      </c>
      <c r="C20" s="12" t="s">
        <v>41</v>
      </c>
      <c r="D20" s="7" t="s">
        <v>9</v>
      </c>
      <c r="E20" s="9">
        <v>35</v>
      </c>
      <c r="F20" s="10">
        <v>45000</v>
      </c>
      <c r="G20" s="10">
        <f>F20*E20</f>
        <v>1575000</v>
      </c>
      <c r="H20" s="2"/>
    </row>
    <row r="21" spans="1:10" ht="34.950000000000003" customHeight="1" x14ac:dyDescent="0.3">
      <c r="A21" s="48"/>
      <c r="B21" s="49">
        <v>1.1299999999999999</v>
      </c>
      <c r="C21" s="50" t="s">
        <v>42</v>
      </c>
      <c r="D21" s="49" t="s">
        <v>8</v>
      </c>
      <c r="E21" s="51">
        <v>245</v>
      </c>
      <c r="F21" s="52">
        <v>0</v>
      </c>
      <c r="G21" s="52">
        <f t="shared" ref="G21:G24" si="2">F21*E21</f>
        <v>0</v>
      </c>
      <c r="H21" s="2"/>
    </row>
    <row r="22" spans="1:10" ht="34.950000000000003" customHeight="1" x14ac:dyDescent="0.3">
      <c r="A22" s="48"/>
      <c r="B22" s="53">
        <v>1.1399999999999999</v>
      </c>
      <c r="C22" s="50" t="s">
        <v>43</v>
      </c>
      <c r="D22" s="49" t="s">
        <v>9</v>
      </c>
      <c r="E22" s="51">
        <v>130</v>
      </c>
      <c r="F22" s="52"/>
      <c r="G22" s="52">
        <f t="shared" si="2"/>
        <v>0</v>
      </c>
      <c r="H22" s="2"/>
    </row>
    <row r="23" spans="1:10" ht="34.950000000000003" customHeight="1" x14ac:dyDescent="0.3">
      <c r="A23" s="6"/>
      <c r="B23" s="7">
        <v>1.1499999999999999</v>
      </c>
      <c r="C23" s="12" t="s">
        <v>44</v>
      </c>
      <c r="D23" s="7" t="s">
        <v>9</v>
      </c>
      <c r="E23" s="9">
        <v>150</v>
      </c>
      <c r="F23" s="10">
        <v>7000</v>
      </c>
      <c r="G23" s="10">
        <f t="shared" si="2"/>
        <v>1050000</v>
      </c>
      <c r="H23" s="2"/>
    </row>
    <row r="24" spans="1:10" ht="34.950000000000003" customHeight="1" x14ac:dyDescent="0.3">
      <c r="A24" s="6"/>
      <c r="B24" s="27">
        <v>1.1599999999999999</v>
      </c>
      <c r="C24" s="12" t="s">
        <v>45</v>
      </c>
      <c r="D24" s="7" t="s">
        <v>8</v>
      </c>
      <c r="E24" s="9">
        <v>100</v>
      </c>
      <c r="F24" s="10">
        <v>54000</v>
      </c>
      <c r="G24" s="10">
        <f t="shared" si="2"/>
        <v>5400000</v>
      </c>
    </row>
    <row r="25" spans="1:10" ht="34.950000000000003" customHeight="1" x14ac:dyDescent="0.3">
      <c r="A25" s="20">
        <v>2</v>
      </c>
      <c r="B25" s="41" t="s">
        <v>20</v>
      </c>
      <c r="C25" s="41"/>
      <c r="D25" s="41"/>
      <c r="E25" s="41"/>
      <c r="F25" s="41"/>
      <c r="G25" s="21">
        <f>SUM(G26:G26)</f>
        <v>300000</v>
      </c>
    </row>
    <row r="26" spans="1:10" ht="34.950000000000003" customHeight="1" x14ac:dyDescent="0.3">
      <c r="A26" s="6"/>
      <c r="B26" s="7">
        <v>2.1</v>
      </c>
      <c r="C26" s="12" t="s">
        <v>21</v>
      </c>
      <c r="D26" s="7" t="s">
        <v>7</v>
      </c>
      <c r="E26" s="9">
        <v>1</v>
      </c>
      <c r="F26" s="10">
        <v>300000</v>
      </c>
      <c r="G26" s="11">
        <f t="shared" ref="G26" si="3">F26*E26</f>
        <v>300000</v>
      </c>
    </row>
    <row r="27" spans="1:10" ht="34.950000000000003" customHeight="1" x14ac:dyDescent="0.3">
      <c r="A27" s="13"/>
      <c r="B27" s="14"/>
      <c r="C27" s="14"/>
      <c r="D27" s="30" t="s">
        <v>22</v>
      </c>
      <c r="E27" s="31"/>
      <c r="F27" s="32"/>
      <c r="G27" s="19">
        <f>+G25+G8</f>
        <v>127303500</v>
      </c>
    </row>
    <row r="28" spans="1:10" ht="34.950000000000003" customHeight="1" x14ac:dyDescent="0.3">
      <c r="A28" s="13"/>
      <c r="B28" s="14"/>
      <c r="C28" s="14"/>
      <c r="D28" s="43" t="s">
        <v>23</v>
      </c>
      <c r="E28" s="44"/>
      <c r="F28" s="15">
        <v>0.08</v>
      </c>
      <c r="G28" s="16">
        <f>+$G$27*F28</f>
        <v>10184280</v>
      </c>
    </row>
    <row r="29" spans="1:10" ht="34.950000000000003" customHeight="1" x14ac:dyDescent="0.3">
      <c r="A29" s="13"/>
      <c r="B29" s="14"/>
      <c r="C29" s="14"/>
      <c r="D29" s="43" t="s">
        <v>24</v>
      </c>
      <c r="E29" s="44"/>
      <c r="F29" s="15">
        <v>0.05</v>
      </c>
      <c r="G29" s="16">
        <f>+$G$27*F29</f>
        <v>6365175</v>
      </c>
    </row>
    <row r="30" spans="1:10" ht="34.950000000000003" customHeight="1" x14ac:dyDescent="0.3">
      <c r="A30" s="13"/>
      <c r="B30" s="14"/>
      <c r="C30" s="14"/>
      <c r="D30" s="43" t="s">
        <v>25</v>
      </c>
      <c r="E30" s="44"/>
      <c r="F30" s="15">
        <v>0.05</v>
      </c>
      <c r="G30" s="16">
        <f>+$G$27*F30</f>
        <v>6365175</v>
      </c>
    </row>
    <row r="31" spans="1:10" ht="34.950000000000003" customHeight="1" x14ac:dyDescent="0.3">
      <c r="A31" s="13"/>
      <c r="B31" s="14"/>
      <c r="C31" s="14"/>
      <c r="D31" s="43" t="s">
        <v>10</v>
      </c>
      <c r="E31" s="44"/>
      <c r="F31" s="15">
        <v>0.19</v>
      </c>
      <c r="G31" s="16">
        <f>+G30*F31</f>
        <v>1209383.25</v>
      </c>
    </row>
    <row r="32" spans="1:10" ht="34.950000000000003" customHeight="1" x14ac:dyDescent="0.3">
      <c r="A32" s="13"/>
      <c r="B32" s="14"/>
      <c r="C32" s="14"/>
      <c r="D32" s="45" t="s">
        <v>26</v>
      </c>
      <c r="E32" s="46"/>
      <c r="F32" s="47"/>
      <c r="G32" s="18">
        <f>+G28+G29+G30+G31</f>
        <v>24124013.25</v>
      </c>
    </row>
    <row r="33" spans="1:7" ht="34.950000000000003" customHeight="1" x14ac:dyDescent="0.3">
      <c r="A33" s="13"/>
      <c r="B33" s="14"/>
      <c r="C33" s="14"/>
      <c r="D33" s="36" t="s">
        <v>27</v>
      </c>
      <c r="E33" s="37"/>
      <c r="F33" s="38"/>
      <c r="G33" s="17">
        <f>+G27+G32</f>
        <v>151427513.25</v>
      </c>
    </row>
    <row r="34" spans="1:7" ht="34.950000000000003" customHeight="1" x14ac:dyDescent="0.3"/>
    <row r="35" spans="1:7" ht="34.950000000000003" customHeight="1" x14ac:dyDescent="0.3"/>
    <row r="36" spans="1:7" ht="34.950000000000003" customHeight="1" x14ac:dyDescent="0.3"/>
    <row r="37" spans="1:7" ht="34.950000000000003" customHeight="1" x14ac:dyDescent="0.3"/>
  </sheetData>
  <mergeCells count="19">
    <mergeCell ref="D33:F33"/>
    <mergeCell ref="F3:G5"/>
    <mergeCell ref="A1:G1"/>
    <mergeCell ref="A2:G2"/>
    <mergeCell ref="B25:F25"/>
    <mergeCell ref="B8:F8"/>
    <mergeCell ref="C3:E3"/>
    <mergeCell ref="D28:E28"/>
    <mergeCell ref="D29:E29"/>
    <mergeCell ref="D30:E30"/>
    <mergeCell ref="D31:E31"/>
    <mergeCell ref="D32:F32"/>
    <mergeCell ref="A3:B3"/>
    <mergeCell ref="D4:E4"/>
    <mergeCell ref="A5:B5"/>
    <mergeCell ref="D27:F27"/>
    <mergeCell ref="A6:G6"/>
    <mergeCell ref="D5:E5"/>
    <mergeCell ref="A4:B4"/>
  </mergeCells>
  <phoneticPr fontId="2" type="noConversion"/>
  <pageMargins left="0.70866141732283461" right="0.70866141732283461" top="0.74803149606299213" bottom="0.74803149606299213" header="0.31496062992125984" footer="0.31496062992125984"/>
  <pageSetup scale="4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ESPECIFICACIONES</vt:lpstr>
      <vt:lpstr>ESPECIFICACIONES!Área_de_impresión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2024-09-23T12:55:56Z</cp:lastPrinted>
  <dcterms:created xsi:type="dcterms:W3CDTF">2024-02-08T21:06:52Z</dcterms:created>
  <dcterms:modified xsi:type="dcterms:W3CDTF">2024-11-28T21:22:40Z</dcterms:modified>
  <cp:category/>
  <cp:contentStatus/>
</cp:coreProperties>
</file>