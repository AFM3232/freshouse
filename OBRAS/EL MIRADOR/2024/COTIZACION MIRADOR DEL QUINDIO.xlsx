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Felipe Montoya\Downloads\"/>
    </mc:Choice>
  </mc:AlternateContent>
  <xr:revisionPtr revIDLastSave="0" documentId="13_ncr:1_{0888A334-98B8-4377-ADD9-77D806C8C326}" xr6:coauthVersionLast="47" xr6:coauthVersionMax="47" xr10:uidLastSave="{00000000-0000-0000-0000-000000000000}"/>
  <workbookProtection workbookAlgorithmName="SHA-512" workbookHashValue="Mi45niL48fhbVwf5GF2oMPHhP0sL1d9gLOgYC9rlRcmRp0wolfAyuDvFEB9Un2VMG5TjPcu+x284dMpl3oCe9g==" workbookSaltValue="Hs1HE1E7MT/4lejBquKLGA==" workbookSpinCount="100000" lockStructure="1"/>
  <bookViews>
    <workbookView xWindow="-108" yWindow="-108" windowWidth="23256" windowHeight="12456" activeTab="1" xr2:uid="{00000000-000D-0000-FFFF-FFFF00000000}"/>
  </bookViews>
  <sheets>
    <sheet name="formato presup." sheetId="1" r:id="rId1"/>
    <sheet name="esp tecnic cantidad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G20" i="1"/>
  <c r="G22" i="1"/>
  <c r="H21" i="1" s="1"/>
  <c r="G19" i="1"/>
  <c r="G16" i="1"/>
  <c r="G15" i="1"/>
  <c r="G14" i="1"/>
  <c r="G12" i="1"/>
  <c r="G11" i="1"/>
  <c r="G10" i="1"/>
  <c r="G25" i="1"/>
  <c r="G24" i="1"/>
  <c r="H13" i="1" l="1"/>
  <c r="G18" i="1"/>
  <c r="H17" i="1" s="1"/>
  <c r="H23" i="1"/>
  <c r="H9" i="1"/>
  <c r="H29" i="1" l="1"/>
  <c r="H30" i="1" s="1"/>
  <c r="H28" i="1" l="1"/>
  <c r="H27" i="1"/>
  <c r="H31" i="1" l="1"/>
  <c r="H3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<sst xmlns="http://schemas.openxmlformats.org/spreadsheetml/2006/main" count="74" uniqueCount="62">
  <si>
    <t>Reparacion Integral de Areas Comunes</t>
  </si>
  <si>
    <t>Cuadro con Cantidades y Precios Unitarios</t>
  </si>
  <si>
    <t>REFERENCIA DE ACTIVIDADES</t>
  </si>
  <si>
    <t>Valoracion de Actividades</t>
  </si>
  <si>
    <t>Capitulo</t>
  </si>
  <si>
    <t>Items</t>
  </si>
  <si>
    <t>ACTIVIDAD</t>
  </si>
  <si>
    <t>Unidad</t>
  </si>
  <si>
    <t>Cantidad</t>
  </si>
  <si>
    <t>Vr Unitario</t>
  </si>
  <si>
    <t>Vr Parcial</t>
  </si>
  <si>
    <t>Vr Capitulo</t>
  </si>
  <si>
    <t>I</t>
  </si>
  <si>
    <t>Preliminares</t>
  </si>
  <si>
    <t>I.1</t>
  </si>
  <si>
    <t>Campamento de Obra</t>
  </si>
  <si>
    <t>Gl</t>
  </si>
  <si>
    <t>I.2</t>
  </si>
  <si>
    <t>Inspeccion Tecnica General</t>
  </si>
  <si>
    <t>I.3</t>
  </si>
  <si>
    <t>Señalizacion y Seguridad en Obra</t>
  </si>
  <si>
    <t>II</t>
  </si>
  <si>
    <t>II.1</t>
  </si>
  <si>
    <t>M2</t>
  </si>
  <si>
    <t>II.2</t>
  </si>
  <si>
    <t>II.3</t>
  </si>
  <si>
    <t>III</t>
  </si>
  <si>
    <t>III.1</t>
  </si>
  <si>
    <t>III.2</t>
  </si>
  <si>
    <t>III.3</t>
  </si>
  <si>
    <t>IV</t>
  </si>
  <si>
    <t>IV.1</t>
  </si>
  <si>
    <t>V</t>
  </si>
  <si>
    <t>Actividades de entrega de la obra</t>
  </si>
  <si>
    <t>VI.1</t>
  </si>
  <si>
    <t>Detallada General de Obra</t>
  </si>
  <si>
    <t>VI.2</t>
  </si>
  <si>
    <t>Costo Directo</t>
  </si>
  <si>
    <t>Administracion</t>
  </si>
  <si>
    <t>A</t>
  </si>
  <si>
    <t>Imprevistos</t>
  </si>
  <si>
    <t>Utilidad</t>
  </si>
  <si>
    <t>U</t>
  </si>
  <si>
    <t>Iva/Utilidad</t>
  </si>
  <si>
    <t>IVA/U</t>
  </si>
  <si>
    <t>Costo Indirecto</t>
  </si>
  <si>
    <t>Valor Propuesta</t>
  </si>
  <si>
    <t xml:space="preserve">FRESHOUSE S.A.S </t>
  </si>
  <si>
    <t>NIT 9 0 1 7 1 8 2 5 8</t>
  </si>
  <si>
    <t>Hidro lavado a presión adecuada. Para eliminación total de hongos, esporas y en general donde existan manchas verdes o negruzcas aplicar una solución liquida de hipoclorito de sodio diluido al 10% con agua, dejando actuar 15 minutos y enjuagando con abundante agua. TORRE 1 Y TORRE 3</t>
  </si>
  <si>
    <t>Preparación de la superficie retirando escoriaciones, protuberancias, textura con poca adherencia o ausencia de esta, corrigiendo con GRANIPLAST ESGRAFIADO PREMIUM O IMPATEXTURA igualando la geometría del rayado existente, teniendo en cuenta que en áreas afectadas que superen el 50% del paño, debe texturizarse completamente. Tratamiento de grietas y juntas con PINTUCO FLEX PROFESSIONAL o PINTUCO SELLADOR ACRILICO. Las porosidades puntuales, corregirlas con Estuco Acrílico para exteriores ref. 27060. No usar acabados con yeso, puzolanas, cales, etc. Imprimación de la superficie texturizada con Texacryl@50 Ref. 17048 diluida 1 parte por 4 partes de agua. Acabado a DOS (2) manos con KORAZA DOBLE VIDA, con un máximo del 15% de agua, según color escogido por el CONJUNTO RESIDENCIAL MIRADOR DEL QUINDÍO CRA 27 # 48-00 ARMENIA QUINDÍO. Área equivalente al 4% del área total de fachadas</t>
  </si>
  <si>
    <t>Imprimación de la superficie texturizada con Texacryl@50 Ref. 17048 diluida 1 parte por 4 partes de agua. Acabado a DOS (2) manos con KORAZA DOBLE VIDA, con un máximo del 15% de agua, según color escogido por el CONJUNTO RESIDENCIAL MIRADOR DEL QUINDÍO CRA 27 # 48-00 ARMENIA QUINDÍO.</t>
  </si>
  <si>
    <t>FACHADAS EXTERNAS TEXTURIZADAS INCLUYENDO BALCONES</t>
  </si>
  <si>
    <t>FACHADAS INTERNAS TEXTURIZADAS</t>
  </si>
  <si>
    <t>Hidro lavado a presión adecuada. para eliminar hollín y suciedad. Para eliminación total de hongos, esporas y en general donde existan manchas verdes o negruzcas aplicar una solución liquida de hipoclorito de sodio diluido al 10% con agua, dejando actuar 15 minutos y enjuagando con abundante agua. TORRE 1 Y TORRE 3</t>
  </si>
  <si>
    <t>Preparación de la superficie retirando escoriaciones, protuberancias, textura con poca adherencia o ausencia de esta, corrigiendo con GRANIPLAST ESGRAFIADO PREMIUN igualando la geometría del rayado existente, teniendo en cuenta que en áreas afectadas que superen el 50% del paño, debe texturizarse completamente. Tratamiento de grietas y juntas con PINTUCO FLEX PROFESSIONAL o PINTUCO SELLADOR ACRILICO. Las porosidades puntuales, corregirlas con Estuco Acrílico para exteriores ref. 27060. No usar acabados con yeso, puzolanas, cales, etc. Imprimación de la superficie texturizada con Texacryl@50 Ref. 17048 diluida 1 parte por 4 partes de agua. Acabado a DOS (2) manos con KORAZA DOBLE VIDA, con un máximo del 15% de agua, según color escogido por el CONJUNTO RESIDENCIAL MIRADOR DEL QUINDÍO CRA 27 # 48-00 ARMENIA QUINDÍO</t>
  </si>
  <si>
    <t xml:space="preserve">CARPINTERIA METALICA </t>
  </si>
  <si>
    <t>Preparación de superficie, lijada eficiente, resane, limpieza y aplicación esmalte PINTULUX en aceite 3 en 1 para exteriores de alta resistencia marca PINTUCO en pasamanos, barandas.</t>
  </si>
  <si>
    <t>Aseo general, limpieza de vidrios y retiro de sobrantes</t>
  </si>
  <si>
    <t>MIRADOR DEL QUINDIO</t>
  </si>
  <si>
    <t>Fecha de Presentacion de Oferta: 15/02/2024</t>
  </si>
  <si>
    <t>Ubicación del Proyecto:  CRA 27 # 48-00 ARMENIA QUINDÍO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</si>
</sst>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sz val="14"/>
      <color theme="1"/>
      <name val="Century Gothic"/>
      <family val="2"/>
    </font>
    <font>
      <b/>
      <sz val="18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4" fontId="6" fillId="0" borderId="1" xfId="2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9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43" fontId="3" fillId="4" borderId="1" xfId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43" fontId="6" fillId="3" borderId="1" xfId="1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 wrapText="1"/>
    </xf>
    <xf numFmtId="164" fontId="3" fillId="6" borderId="1" xfId="0" applyNumberFormat="1" applyFont="1" applyFill="1" applyBorder="1" applyAlignment="1">
      <alignment vertical="center"/>
    </xf>
    <xf numFmtId="164" fontId="6" fillId="4" borderId="1" xfId="2" applyNumberFormat="1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3" fillId="0" borderId="1" xfId="2" applyNumberFormat="1" applyFont="1" applyBorder="1" applyAlignment="1">
      <alignment vertical="center"/>
    </xf>
    <xf numFmtId="164" fontId="6" fillId="2" borderId="1" xfId="0" applyNumberFormat="1" applyFont="1" applyFill="1" applyBorder="1" applyAlignment="1">
      <alignment vertical="center"/>
    </xf>
    <xf numFmtId="164" fontId="5" fillId="5" borderId="1" xfId="0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H83"/>
  <sheetViews>
    <sheetView zoomScale="52" zoomScaleNormal="78" workbookViewId="0">
      <selection activeCell="K15" sqref="K15"/>
    </sheetView>
  </sheetViews>
  <sheetFormatPr baseColWidth="10" defaultColWidth="11.44140625" defaultRowHeight="14.4" outlineLevelRow="2" outlineLevelCol="1" x14ac:dyDescent="0.3"/>
  <cols>
    <col min="1" max="1" width="11.44140625" style="2"/>
    <col min="2" max="2" width="11.44140625" style="1"/>
    <col min="3" max="3" width="96.44140625" style="1" bestFit="1" customWidth="1"/>
    <col min="4" max="4" width="10.44140625" style="1" customWidth="1"/>
    <col min="5" max="5" width="21.44140625" style="1" customWidth="1" outlineLevel="1"/>
    <col min="6" max="6" width="20.109375" style="1" customWidth="1" outlineLevel="1"/>
    <col min="7" max="7" width="24.33203125" style="1" customWidth="1"/>
    <col min="8" max="8" width="33.88671875" style="1" customWidth="1"/>
    <col min="9" max="16384" width="11.44140625" style="1"/>
  </cols>
  <sheetData>
    <row r="1" spans="1:8" ht="25.05" customHeight="1" x14ac:dyDescent="0.3">
      <c r="A1" s="38" t="s">
        <v>59</v>
      </c>
      <c r="B1" s="38"/>
      <c r="C1" s="38"/>
      <c r="D1" s="38"/>
      <c r="E1" s="38"/>
      <c r="F1" s="40" t="e" vm="1">
        <v>#VALUE!</v>
      </c>
      <c r="G1" s="40"/>
      <c r="H1" s="40"/>
    </row>
    <row r="2" spans="1:8" ht="25.05" customHeight="1" x14ac:dyDescent="0.3">
      <c r="A2" s="39" t="s">
        <v>0</v>
      </c>
      <c r="B2" s="39"/>
      <c r="C2" s="39"/>
      <c r="D2" s="39"/>
      <c r="E2" s="39"/>
      <c r="F2" s="40"/>
      <c r="G2" s="40"/>
      <c r="H2" s="40"/>
    </row>
    <row r="3" spans="1:8" ht="25.05" customHeight="1" x14ac:dyDescent="0.3">
      <c r="A3" s="39" t="s">
        <v>1</v>
      </c>
      <c r="B3" s="39"/>
      <c r="C3" s="39"/>
      <c r="D3" s="39"/>
      <c r="E3" s="39"/>
      <c r="F3" s="40"/>
      <c r="G3" s="40"/>
      <c r="H3" s="40"/>
    </row>
    <row r="4" spans="1:8" ht="25.05" customHeight="1" x14ac:dyDescent="0.3">
      <c r="A4" s="3" t="s">
        <v>47</v>
      </c>
      <c r="B4" s="3"/>
      <c r="C4" s="41" t="s">
        <v>48</v>
      </c>
      <c r="D4" s="41"/>
      <c r="E4" s="41"/>
      <c r="F4" s="40"/>
      <c r="G4" s="40"/>
      <c r="H4" s="40"/>
    </row>
    <row r="5" spans="1:8" ht="25.05" customHeight="1" x14ac:dyDescent="0.3">
      <c r="A5" s="41" t="s">
        <v>60</v>
      </c>
      <c r="B5" s="41"/>
      <c r="C5" s="41"/>
      <c r="D5" s="41"/>
      <c r="E5" s="41"/>
      <c r="F5" s="40"/>
      <c r="G5" s="40"/>
      <c r="H5" s="40"/>
    </row>
    <row r="6" spans="1:8" ht="25.05" customHeight="1" x14ac:dyDescent="0.3">
      <c r="A6" s="41" t="s">
        <v>61</v>
      </c>
      <c r="B6" s="41"/>
      <c r="C6" s="41"/>
      <c r="D6" s="41"/>
      <c r="E6" s="41"/>
      <c r="F6" s="40"/>
      <c r="G6" s="40"/>
      <c r="H6" s="40"/>
    </row>
    <row r="7" spans="1:8" ht="25.05" customHeight="1" x14ac:dyDescent="0.3">
      <c r="A7" s="36" t="s">
        <v>2</v>
      </c>
      <c r="B7" s="36"/>
      <c r="C7" s="36"/>
      <c r="D7" s="36"/>
      <c r="E7" s="36"/>
      <c r="F7" s="36" t="s">
        <v>3</v>
      </c>
      <c r="G7" s="36"/>
      <c r="H7" s="36"/>
    </row>
    <row r="8" spans="1:8" ht="30" customHeight="1" x14ac:dyDescent="0.3">
      <c r="A8" s="11" t="s">
        <v>4</v>
      </c>
      <c r="B8" s="11" t="s">
        <v>5</v>
      </c>
      <c r="C8" s="11" t="s">
        <v>6</v>
      </c>
      <c r="D8" s="11" t="s">
        <v>7</v>
      </c>
      <c r="E8" s="11" t="s">
        <v>8</v>
      </c>
      <c r="F8" s="11" t="s">
        <v>9</v>
      </c>
      <c r="G8" s="11" t="s">
        <v>10</v>
      </c>
      <c r="H8" s="11" t="s">
        <v>11</v>
      </c>
    </row>
    <row r="9" spans="1:8" ht="30" customHeight="1" x14ac:dyDescent="0.3">
      <c r="A9" s="18" t="s">
        <v>12</v>
      </c>
      <c r="B9" s="37" t="s">
        <v>13</v>
      </c>
      <c r="C9" s="37"/>
      <c r="D9" s="19"/>
      <c r="E9" s="19"/>
      <c r="F9" s="19"/>
      <c r="G9" s="19"/>
      <c r="H9" s="24">
        <f>+G10+G11+G12</f>
        <v>950000</v>
      </c>
    </row>
    <row r="10" spans="1:8" ht="30" customHeight="1" x14ac:dyDescent="0.3">
      <c r="A10" s="5"/>
      <c r="B10" s="13" t="s">
        <v>14</v>
      </c>
      <c r="C10" s="14" t="s">
        <v>15</v>
      </c>
      <c r="D10" s="13" t="s">
        <v>16</v>
      </c>
      <c r="E10" s="15">
        <v>1</v>
      </c>
      <c r="F10" s="25">
        <v>400000</v>
      </c>
      <c r="G10" s="25">
        <f>+E10*F10</f>
        <v>400000</v>
      </c>
      <c r="H10" s="6"/>
    </row>
    <row r="11" spans="1:8" ht="30" customHeight="1" x14ac:dyDescent="0.3">
      <c r="A11" s="5"/>
      <c r="B11" s="13" t="s">
        <v>17</v>
      </c>
      <c r="C11" s="14" t="s">
        <v>18</v>
      </c>
      <c r="D11" s="13" t="s">
        <v>16</v>
      </c>
      <c r="E11" s="15">
        <v>1</v>
      </c>
      <c r="F11" s="25">
        <v>200000</v>
      </c>
      <c r="G11" s="25">
        <f>E11*F11</f>
        <v>200000</v>
      </c>
      <c r="H11" s="6"/>
    </row>
    <row r="12" spans="1:8" ht="30" customHeight="1" x14ac:dyDescent="0.3">
      <c r="A12" s="5"/>
      <c r="B12" s="13" t="s">
        <v>19</v>
      </c>
      <c r="C12" s="14" t="s">
        <v>20</v>
      </c>
      <c r="D12" s="13" t="s">
        <v>16</v>
      </c>
      <c r="E12" s="15">
        <v>1</v>
      </c>
      <c r="F12" s="25">
        <v>350000</v>
      </c>
      <c r="G12" s="25">
        <f>E12*F12</f>
        <v>350000</v>
      </c>
      <c r="H12" s="6"/>
    </row>
    <row r="13" spans="1:8" ht="38.4" customHeight="1" x14ac:dyDescent="0.3">
      <c r="A13" s="12" t="s">
        <v>21</v>
      </c>
      <c r="B13" s="34" t="s">
        <v>52</v>
      </c>
      <c r="C13" s="35"/>
      <c r="D13" s="20"/>
      <c r="E13" s="21"/>
      <c r="F13" s="22"/>
      <c r="G13" s="22"/>
      <c r="H13" s="26">
        <f>+G14+G15+G16</f>
        <v>192060000</v>
      </c>
    </row>
    <row r="14" spans="1:8" ht="90" customHeight="1" x14ac:dyDescent="0.3">
      <c r="A14" s="5"/>
      <c r="B14" s="13" t="s">
        <v>22</v>
      </c>
      <c r="C14" s="23" t="s">
        <v>49</v>
      </c>
      <c r="D14" s="13" t="s">
        <v>23</v>
      </c>
      <c r="E14" s="15">
        <v>7960</v>
      </c>
      <c r="F14" s="25">
        <v>2900</v>
      </c>
      <c r="G14" s="25">
        <f>+E14*F14</f>
        <v>23084000</v>
      </c>
      <c r="H14" s="7"/>
    </row>
    <row r="15" spans="1:8" ht="235.2" outlineLevel="1" x14ac:dyDescent="0.3">
      <c r="A15" s="5"/>
      <c r="B15" s="13" t="s">
        <v>24</v>
      </c>
      <c r="C15" s="17" t="s">
        <v>50</v>
      </c>
      <c r="D15" s="13" t="s">
        <v>23</v>
      </c>
      <c r="E15" s="15">
        <v>318</v>
      </c>
      <c r="F15" s="25">
        <v>56750</v>
      </c>
      <c r="G15" s="25">
        <f>+E15*F15</f>
        <v>18046500</v>
      </c>
      <c r="H15" s="7"/>
    </row>
    <row r="16" spans="1:8" ht="91.2" customHeight="1" outlineLevel="1" x14ac:dyDescent="0.3">
      <c r="A16" s="5"/>
      <c r="B16" s="13" t="s">
        <v>25</v>
      </c>
      <c r="C16" s="17" t="s">
        <v>51</v>
      </c>
      <c r="D16" s="13" t="s">
        <v>23</v>
      </c>
      <c r="E16" s="15">
        <v>7642</v>
      </c>
      <c r="F16" s="25">
        <v>19750</v>
      </c>
      <c r="G16" s="25">
        <f>+E16*F16</f>
        <v>150929500</v>
      </c>
      <c r="H16" s="7"/>
    </row>
    <row r="17" spans="1:8" ht="30" customHeight="1" outlineLevel="1" x14ac:dyDescent="0.3">
      <c r="A17" s="12" t="s">
        <v>26</v>
      </c>
      <c r="B17" s="35" t="s">
        <v>53</v>
      </c>
      <c r="C17" s="35"/>
      <c r="D17" s="20"/>
      <c r="E17" s="21"/>
      <c r="F17" s="22"/>
      <c r="G17" s="22"/>
      <c r="H17" s="26">
        <f>G18+G19+G20</f>
        <v>185950850</v>
      </c>
    </row>
    <row r="18" spans="1:8" ht="95.4" customHeight="1" x14ac:dyDescent="0.3">
      <c r="A18" s="5"/>
      <c r="B18" s="13" t="s">
        <v>27</v>
      </c>
      <c r="C18" s="17" t="s">
        <v>54</v>
      </c>
      <c r="D18" s="13" t="s">
        <v>23</v>
      </c>
      <c r="E18" s="15">
        <v>7704</v>
      </c>
      <c r="F18" s="25">
        <v>2900</v>
      </c>
      <c r="G18" s="25">
        <f>+E18*F18</f>
        <v>22341600</v>
      </c>
      <c r="H18" s="7"/>
    </row>
    <row r="19" spans="1:8" ht="218.4" x14ac:dyDescent="0.3">
      <c r="A19" s="5"/>
      <c r="B19" s="13" t="s">
        <v>28</v>
      </c>
      <c r="C19" s="17" t="s">
        <v>55</v>
      </c>
      <c r="D19" s="13" t="s">
        <v>23</v>
      </c>
      <c r="E19" s="15">
        <v>308</v>
      </c>
      <c r="F19" s="25">
        <v>56750</v>
      </c>
      <c r="G19" s="25">
        <f>+E19*F19</f>
        <v>17479000</v>
      </c>
      <c r="H19" s="7"/>
    </row>
    <row r="20" spans="1:8" ht="84" outlineLevel="1" x14ac:dyDescent="0.3">
      <c r="A20" s="5"/>
      <c r="B20" s="13" t="s">
        <v>29</v>
      </c>
      <c r="C20" s="17" t="s">
        <v>51</v>
      </c>
      <c r="D20" s="13" t="s">
        <v>23</v>
      </c>
      <c r="E20" s="15">
        <v>7399</v>
      </c>
      <c r="F20" s="25">
        <v>19750</v>
      </c>
      <c r="G20" s="25">
        <f>+E20*F20</f>
        <v>146130250</v>
      </c>
      <c r="H20" s="7"/>
    </row>
    <row r="21" spans="1:8" ht="30" customHeight="1" outlineLevel="1" x14ac:dyDescent="0.3">
      <c r="A21" s="12" t="s">
        <v>30</v>
      </c>
      <c r="B21" s="35" t="s">
        <v>56</v>
      </c>
      <c r="C21" s="35"/>
      <c r="D21" s="20"/>
      <c r="E21" s="21"/>
      <c r="F21" s="22"/>
      <c r="G21" s="22"/>
      <c r="H21" s="26">
        <f>+G22</f>
        <v>11040000</v>
      </c>
    </row>
    <row r="22" spans="1:8" ht="60.6" customHeight="1" outlineLevel="1" x14ac:dyDescent="0.3">
      <c r="A22" s="5"/>
      <c r="B22" s="13" t="s">
        <v>31</v>
      </c>
      <c r="C22" s="17" t="s">
        <v>57</v>
      </c>
      <c r="D22" s="13" t="s">
        <v>23</v>
      </c>
      <c r="E22" s="15">
        <v>480</v>
      </c>
      <c r="F22" s="25">
        <v>23000</v>
      </c>
      <c r="G22" s="25">
        <f>+E22*F22</f>
        <v>11040000</v>
      </c>
      <c r="H22" s="7"/>
    </row>
    <row r="23" spans="1:8" ht="30" customHeight="1" x14ac:dyDescent="0.3">
      <c r="A23" s="12" t="s">
        <v>32</v>
      </c>
      <c r="B23" s="36" t="s">
        <v>33</v>
      </c>
      <c r="C23" s="36"/>
      <c r="D23" s="36"/>
      <c r="E23" s="36"/>
      <c r="F23" s="22"/>
      <c r="G23" s="22"/>
      <c r="H23" s="26">
        <f>+G24+G25</f>
        <v>400001</v>
      </c>
    </row>
    <row r="24" spans="1:8" ht="30" customHeight="1" outlineLevel="1" x14ac:dyDescent="0.3">
      <c r="A24" s="5"/>
      <c r="B24" s="13" t="s">
        <v>34</v>
      </c>
      <c r="C24" s="16" t="s">
        <v>35</v>
      </c>
      <c r="D24" s="13" t="s">
        <v>16</v>
      </c>
      <c r="E24" s="15">
        <v>1</v>
      </c>
      <c r="F24" s="25">
        <v>1</v>
      </c>
      <c r="G24" s="25">
        <f t="shared" ref="G24:G25" si="0">+E24*F24</f>
        <v>1</v>
      </c>
      <c r="H24" s="7"/>
    </row>
    <row r="25" spans="1:8" ht="30" customHeight="1" outlineLevel="1" x14ac:dyDescent="0.3">
      <c r="A25" s="5"/>
      <c r="B25" s="13" t="s">
        <v>36</v>
      </c>
      <c r="C25" s="16" t="s">
        <v>58</v>
      </c>
      <c r="D25" s="13" t="s">
        <v>16</v>
      </c>
      <c r="E25" s="15">
        <v>1</v>
      </c>
      <c r="F25" s="25">
        <v>400000</v>
      </c>
      <c r="G25" s="25">
        <f t="shared" si="0"/>
        <v>400000</v>
      </c>
      <c r="H25" s="7"/>
    </row>
    <row r="26" spans="1:8" ht="30" customHeight="1" outlineLevel="1" x14ac:dyDescent="0.3">
      <c r="A26" s="8"/>
      <c r="B26" s="9"/>
      <c r="C26" s="9"/>
      <c r="D26" s="9"/>
      <c r="E26" s="31" t="s">
        <v>37</v>
      </c>
      <c r="F26" s="31"/>
      <c r="G26" s="31"/>
      <c r="H26" s="27">
        <f>+H9+H13+H17+H21+H23</f>
        <v>390400851</v>
      </c>
    </row>
    <row r="27" spans="1:8" ht="30" customHeight="1" x14ac:dyDescent="0.3">
      <c r="A27" s="8"/>
      <c r="B27" s="9"/>
      <c r="C27" s="9"/>
      <c r="D27" s="9"/>
      <c r="E27" s="4" t="s">
        <v>38</v>
      </c>
      <c r="F27" s="4" t="s">
        <v>39</v>
      </c>
      <c r="G27" s="10">
        <v>0.04</v>
      </c>
      <c r="H27" s="28">
        <f>+$H$26*G27</f>
        <v>15616034.040000001</v>
      </c>
    </row>
    <row r="28" spans="1:8" ht="30" customHeight="1" outlineLevel="1" x14ac:dyDescent="0.3">
      <c r="A28" s="8"/>
      <c r="B28" s="9"/>
      <c r="C28" s="9"/>
      <c r="D28" s="9"/>
      <c r="E28" s="4" t="s">
        <v>40</v>
      </c>
      <c r="F28" s="4" t="s">
        <v>12</v>
      </c>
      <c r="G28" s="10">
        <v>0.03</v>
      </c>
      <c r="H28" s="28">
        <f t="shared" ref="H28:H29" si="1">+$H$26*G28</f>
        <v>11712025.529999999</v>
      </c>
    </row>
    <row r="29" spans="1:8" ht="30" customHeight="1" outlineLevel="1" x14ac:dyDescent="0.3">
      <c r="A29" s="8"/>
      <c r="B29" s="9"/>
      <c r="C29" s="9"/>
      <c r="D29" s="9"/>
      <c r="E29" s="4" t="s">
        <v>41</v>
      </c>
      <c r="F29" s="4" t="s">
        <v>42</v>
      </c>
      <c r="G29" s="10">
        <v>0.03</v>
      </c>
      <c r="H29" s="28">
        <f t="shared" si="1"/>
        <v>11712025.529999999</v>
      </c>
    </row>
    <row r="30" spans="1:8" ht="30" customHeight="1" outlineLevel="1" x14ac:dyDescent="0.3">
      <c r="A30" s="8"/>
      <c r="B30" s="9"/>
      <c r="C30" s="9"/>
      <c r="D30" s="9"/>
      <c r="E30" s="4" t="s">
        <v>43</v>
      </c>
      <c r="F30" s="4" t="s">
        <v>44</v>
      </c>
      <c r="G30" s="10">
        <v>0.16</v>
      </c>
      <c r="H30" s="28">
        <f>+H29*G30</f>
        <v>1873924.0847999998</v>
      </c>
    </row>
    <row r="31" spans="1:8" ht="30" customHeight="1" x14ac:dyDescent="0.3">
      <c r="A31" s="8"/>
      <c r="B31" s="9"/>
      <c r="C31" s="9"/>
      <c r="D31" s="9"/>
      <c r="E31" s="32" t="s">
        <v>45</v>
      </c>
      <c r="F31" s="32"/>
      <c r="G31" s="32"/>
      <c r="H31" s="29">
        <f>+H27+H28+H29+H30</f>
        <v>40914009.184799999</v>
      </c>
    </row>
    <row r="32" spans="1:8" ht="30" customHeight="1" outlineLevel="1" x14ac:dyDescent="0.3">
      <c r="A32" s="8"/>
      <c r="B32" s="9"/>
      <c r="C32" s="9"/>
      <c r="D32" s="9"/>
      <c r="E32" s="33" t="s">
        <v>46</v>
      </c>
      <c r="F32" s="33"/>
      <c r="G32" s="33"/>
      <c r="H32" s="30">
        <f>+H26+H31</f>
        <v>431314860.18480003</v>
      </c>
    </row>
    <row r="33" ht="30" customHeight="1" outlineLevel="1" x14ac:dyDescent="0.3"/>
    <row r="34" ht="30" customHeight="1" outlineLevel="1" x14ac:dyDescent="0.3"/>
    <row r="35" ht="30" customHeight="1" x14ac:dyDescent="0.3"/>
    <row r="36" ht="30" customHeight="1" x14ac:dyDescent="0.3"/>
    <row r="37" ht="30" customHeight="1" x14ac:dyDescent="0.3"/>
    <row r="38" ht="30" customHeight="1" x14ac:dyDescent="0.3"/>
    <row r="39" ht="30" customHeight="1" x14ac:dyDescent="0.3"/>
    <row r="40" ht="30" customHeight="1" outlineLevel="1" x14ac:dyDescent="0.3"/>
    <row r="41" ht="30" customHeight="1" outlineLevel="1" x14ac:dyDescent="0.3"/>
    <row r="42" ht="30" customHeight="1" outlineLevel="1" x14ac:dyDescent="0.3"/>
    <row r="43" ht="30" customHeight="1" x14ac:dyDescent="0.3"/>
    <row r="44" outlineLevel="1" x14ac:dyDescent="0.3"/>
    <row r="45" outlineLevel="1" x14ac:dyDescent="0.3"/>
    <row r="46" outlineLevel="1" x14ac:dyDescent="0.3"/>
    <row r="48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2" ht="14.4" customHeight="1" outlineLevel="1" x14ac:dyDescent="0.3"/>
    <row r="63" ht="14.4" customHeight="1" outlineLevel="1" x14ac:dyDescent="0.3"/>
    <row r="64" ht="14.4" customHeight="1" outlineLevel="1" x14ac:dyDescent="0.3"/>
    <row r="65" ht="14.4" customHeight="1" outlineLevel="1" x14ac:dyDescent="0.3"/>
    <row r="68" outlineLevel="1" x14ac:dyDescent="0.3"/>
    <row r="69" outlineLevel="2" x14ac:dyDescent="0.3"/>
    <row r="70" outlineLevel="2" x14ac:dyDescent="0.3"/>
    <row r="71" outlineLevel="1" x14ac:dyDescent="0.3"/>
    <row r="72" outlineLevel="2" x14ac:dyDescent="0.3"/>
    <row r="73" outlineLevel="2" x14ac:dyDescent="0.3"/>
    <row r="74" outlineLevel="1" x14ac:dyDescent="0.3"/>
    <row r="75" outlineLevel="2" x14ac:dyDescent="0.3"/>
    <row r="76" outlineLevel="2" x14ac:dyDescent="0.3"/>
    <row r="78" outlineLevel="1" x14ac:dyDescent="0.3"/>
    <row r="79" outlineLevel="1" x14ac:dyDescent="0.3"/>
    <row r="80" outlineLevel="1" x14ac:dyDescent="0.3"/>
    <row r="81" outlineLevel="1" x14ac:dyDescent="0.3"/>
    <row r="82" outlineLevel="1" x14ac:dyDescent="0.3"/>
    <row r="83" outlineLevel="1" x14ac:dyDescent="0.3"/>
  </sheetData>
  <mergeCells count="17">
    <mergeCell ref="B9:C9"/>
    <mergeCell ref="A7:E7"/>
    <mergeCell ref="F7:H7"/>
    <mergeCell ref="A1:E1"/>
    <mergeCell ref="A2:E2"/>
    <mergeCell ref="A3:E3"/>
    <mergeCell ref="F1:H6"/>
    <mergeCell ref="C4:E4"/>
    <mergeCell ref="A6:E6"/>
    <mergeCell ref="A5:E5"/>
    <mergeCell ref="E26:G26"/>
    <mergeCell ref="E31:G31"/>
    <mergeCell ref="E32:G32"/>
    <mergeCell ref="B13:C13"/>
    <mergeCell ref="B17:C17"/>
    <mergeCell ref="B21:C21"/>
    <mergeCell ref="B23:E23"/>
  </mergeCells>
  <phoneticPr fontId="2" type="noConversion"/>
  <pageMargins left="0.7" right="0.7" top="0.75" bottom="0.75" header="0.3" footer="0.3"/>
  <pageSetup paperSize="9" scale="3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A80"/>
  <sheetViews>
    <sheetView tabSelected="1" topLeftCell="A73" zoomScale="80" zoomScaleNormal="80" workbookViewId="0">
      <selection activeCell="H82" sqref="A1:H82"/>
    </sheetView>
  </sheetViews>
  <sheetFormatPr baseColWidth="10" defaultColWidth="11.44140625" defaultRowHeight="14.4" x14ac:dyDescent="0.3"/>
  <cols>
    <col min="1" max="1" width="8.44140625" style="1" bestFit="1" customWidth="1"/>
    <col min="2" max="2" width="6.5546875" style="1" bestFit="1" customWidth="1"/>
    <col min="3" max="3" width="51.6640625" style="1" bestFit="1" customWidth="1"/>
    <col min="4" max="4" width="7.44140625" style="1" bestFit="1" customWidth="1"/>
    <col min="5" max="5" width="10.5546875" style="1" bestFit="1" customWidth="1"/>
    <col min="6" max="6" width="66.33203125" style="1" customWidth="1"/>
    <col min="7" max="7" width="54.33203125" style="1" customWidth="1"/>
    <col min="8" max="8" width="31.6640625" style="1" customWidth="1"/>
    <col min="9" max="16384" width="11.44140625" style="1"/>
  </cols>
  <sheetData>
    <row r="9" ht="93.75" customHeight="1" x14ac:dyDescent="0.3"/>
    <row r="10" ht="93.75" customHeight="1" x14ac:dyDescent="0.3"/>
    <row r="24" ht="27" customHeight="1" x14ac:dyDescent="0.3"/>
    <row r="25" ht="23.25" customHeight="1" x14ac:dyDescent="0.3"/>
    <row r="26" ht="23.25" customHeight="1" x14ac:dyDescent="0.3"/>
    <row r="27" ht="23.25" customHeight="1" x14ac:dyDescent="0.3"/>
    <row r="29" ht="24" customHeight="1" x14ac:dyDescent="0.3"/>
    <row r="30" ht="24" customHeight="1" x14ac:dyDescent="0.3"/>
    <row r="31" ht="24" customHeight="1" x14ac:dyDescent="0.3"/>
    <row r="33" ht="66.75" customHeight="1" x14ac:dyDescent="0.3"/>
    <row r="34" ht="63.75" customHeight="1" x14ac:dyDescent="0.3"/>
    <row r="37" ht="30" customHeight="1" x14ac:dyDescent="0.3"/>
    <row r="38" ht="30" customHeight="1" x14ac:dyDescent="0.3"/>
    <row r="39" ht="30" customHeight="1" x14ac:dyDescent="0.3"/>
    <row r="43" ht="27.75" customHeight="1" x14ac:dyDescent="0.3"/>
    <row r="44" ht="63" customHeight="1" x14ac:dyDescent="0.3"/>
    <row r="55" ht="45.75" customHeight="1" x14ac:dyDescent="0.3"/>
    <row r="56" ht="40.5" customHeight="1" x14ac:dyDescent="0.3"/>
    <row r="58" ht="32.25" customHeight="1" x14ac:dyDescent="0.3"/>
    <row r="59" ht="32.25" customHeight="1" x14ac:dyDescent="0.3"/>
    <row r="60" ht="32.25" customHeight="1" x14ac:dyDescent="0.3"/>
    <row r="61" ht="32.25" customHeight="1" x14ac:dyDescent="0.3"/>
    <row r="62" ht="32.25" customHeight="1" x14ac:dyDescent="0.3"/>
    <row r="74" ht="19.5" customHeight="1" x14ac:dyDescent="0.3"/>
    <row r="75" ht="19.5" customHeight="1" x14ac:dyDescent="0.3"/>
    <row r="76" ht="19.5" customHeight="1" x14ac:dyDescent="0.3"/>
    <row r="77" ht="19.5" customHeight="1" x14ac:dyDescent="0.3"/>
    <row r="79" ht="49.5" customHeight="1" x14ac:dyDescent="0.3"/>
    <row r="80" ht="52.5" customHeight="1" x14ac:dyDescent="0.3"/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presup.</vt:lpstr>
      <vt:lpstr>esp tecnic cantidades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Fresh House</cp:lastModifiedBy>
  <cp:revision/>
  <cp:lastPrinted>2024-02-09T17:02:42Z</cp:lastPrinted>
  <dcterms:created xsi:type="dcterms:W3CDTF">2024-01-18T22:50:23Z</dcterms:created>
  <dcterms:modified xsi:type="dcterms:W3CDTF">2024-02-14T18:13:27Z</dcterms:modified>
  <cp:category/>
  <cp:contentStatus/>
</cp:coreProperties>
</file>