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Montoya\Downloads\"/>
    </mc:Choice>
  </mc:AlternateContent>
  <xr:revisionPtr revIDLastSave="0" documentId="8_{F18AFFD1-8FD7-4DCE-82F0-52EA4254463E}" xr6:coauthVersionLast="47" xr6:coauthVersionMax="47" xr10:uidLastSave="{00000000-0000-0000-0000-000000000000}"/>
  <bookViews>
    <workbookView xWindow="0" yWindow="24" windowWidth="23040" windowHeight="12216" xr2:uid="{BCFB1664-7DBD-4EFF-A670-B77D79CD3276}"/>
  </bookViews>
  <sheets>
    <sheet name="formato present oferta" sheetId="1" r:id="rId1"/>
  </sheets>
  <definedNames>
    <definedName name="_xlnm.Print_Area" localSheetId="0">'formato present oferta'!$A$1:$G$13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 s="1"/>
  <c r="G13" i="1"/>
  <c r="G12" i="1" l="1"/>
  <c r="G11" i="1" s="1"/>
  <c r="G10" i="1"/>
  <c r="G9" i="1" s="1"/>
  <c r="G16" i="1" l="1"/>
  <c r="G18" i="1"/>
  <c r="G19" i="1" l="1"/>
  <c r="G20" i="1" s="1"/>
  <c r="G17" i="1"/>
  <c r="G21" i="1" l="1"/>
  <c r="G2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<sst xmlns="http://schemas.openxmlformats.org/spreadsheetml/2006/main" count="42" uniqueCount="42">
  <si>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</si>
  <si>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</si>
  <si>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</si>
  <si>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</si>
  <si>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</si>
  <si>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</si>
  <si>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VR UNITARIO</t>
  </si>
  <si>
    <t>VALOR DIRECTO ACTIVIDAD</t>
  </si>
  <si>
    <t>PRELIMINARES Y ACABADOS</t>
  </si>
  <si>
    <t>GL</t>
  </si>
  <si>
    <t>1.1.3</t>
  </si>
  <si>
    <t>1.2.1</t>
  </si>
  <si>
    <t>1.2.2</t>
  </si>
  <si>
    <t>ML</t>
  </si>
  <si>
    <t>TERMINADO/LIMPIEZA</t>
  </si>
  <si>
    <t>1.5.1</t>
  </si>
  <si>
    <t>ASEO GENERAL Y RETIRO DE PINTURA</t>
  </si>
  <si>
    <t>GLB</t>
  </si>
  <si>
    <t>COSTO DIRECTO</t>
  </si>
  <si>
    <t>ADMON</t>
  </si>
  <si>
    <t>IMPREV</t>
  </si>
  <si>
    <t>UTILIDADES</t>
  </si>
  <si>
    <t>IVA/U</t>
  </si>
  <si>
    <t>COSTO INDIRECTO</t>
  </si>
  <si>
    <t>VALOR PROPUESTA</t>
  </si>
  <si>
    <t>CALLE 3 NORTE # 18-49 LOCAL 2</t>
  </si>
  <si>
    <t>DIRECCION:</t>
  </si>
  <si>
    <t>INSTALACION Y DEMARCACIÓN DE SEÑALETICA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</si>
  <si>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</si>
  <si>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</si>
  <si>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</si>
  <si>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</si>
  <si>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</si>
  <si>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DEMOLICION Y PREPARADO DE SUPERFICIE</t>
  </si>
  <si>
    <t xml:space="preserve"> PRELIMINARES DE OBRA</t>
  </si>
  <si>
    <t xml:space="preserve"> VERSIÓN: 01</t>
  </si>
  <si>
    <t>INSTALACIÓN DE ALFAJIA METALICA</t>
  </si>
  <si>
    <t>UND</t>
  </si>
  <si>
    <t>TRATAMIENDO DE CIELOS, SE RETIRARA GRANIPLAST EXISTENTE EN SU TOTALIDAD EN ANEPECHOS Y SE REPONDRA BOQUILLA DETERIORADA POR BOQUILLA EPOXICA SIKA O ALFA</t>
  </si>
  <si>
    <t xml:space="preserve">  FECHA:  31/07/2024</t>
  </si>
  <si>
    <t xml:space="preserve">  VALIDO HASTA:  31/07/2024</t>
  </si>
  <si>
    <t>EDIFICIO EL MIRADOR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</si>
</sst>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entury Gothic"/>
      <family val="2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8"/>
      <color rgb="FF000000"/>
      <name val="Century Gothic"/>
      <family val="2"/>
    </font>
    <font>
      <sz val="14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horizontal="left" vertical="center" wrapText="1"/>
    </xf>
    <xf numFmtId="164" fontId="4" fillId="10" borderId="1" xfId="0" applyNumberFormat="1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left" vertical="center" wrapText="1"/>
    </xf>
    <xf numFmtId="164" fontId="11" fillId="9" borderId="3" xfId="0" applyNumberFormat="1" applyFont="1" applyFill="1" applyBorder="1" applyAlignment="1">
      <alignment horizontal="left" vertical="center" wrapText="1"/>
    </xf>
    <xf numFmtId="164" fontId="11" fillId="8" borderId="3" xfId="0" applyNumberFormat="1" applyFont="1" applyFill="1" applyBorder="1" applyAlignment="1">
      <alignment horizontal="left" vertical="center" wrapText="1"/>
    </xf>
    <xf numFmtId="164" fontId="11" fillId="10" borderId="4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vertical="center"/>
    </xf>
    <xf numFmtId="164" fontId="4" fillId="0" borderId="1" xfId="2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165" fontId="4" fillId="6" borderId="1" xfId="1" applyNumberFormat="1" applyFont="1" applyFill="1" applyBorder="1" applyAlignment="1">
      <alignment vertical="center"/>
    </xf>
    <xf numFmtId="165" fontId="11" fillId="9" borderId="3" xfId="0" applyNumberFormat="1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43" fontId="12" fillId="2" borderId="2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G36"/>
  <sheetViews>
    <sheetView tabSelected="1" zoomScale="59" zoomScaleNormal="59" workbookViewId="0">
      <selection activeCell="G22" sqref="A1:G22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16384" width="12.33203125" style="1"/>
  </cols>
  <sheetData>
    <row r="1" spans="1:7" ht="27.6" x14ac:dyDescent="0.3">
      <c r="A1" s="56" t="s">
        <v>41</v>
      </c>
      <c r="B1" s="57"/>
      <c r="C1" s="57"/>
      <c r="D1" s="57"/>
      <c r="E1" s="57"/>
      <c r="F1" s="57"/>
      <c r="G1" s="58"/>
    </row>
    <row r="2" spans="1:7" ht="33.6" customHeight="1" x14ac:dyDescent="0.3">
      <c r="A2" s="59" t="s">
        <v>0</v>
      </c>
      <c r="B2" s="60"/>
      <c r="C2" s="60"/>
      <c r="D2" s="60"/>
      <c r="E2" s="60"/>
      <c r="F2" s="60"/>
      <c r="G2" s="61"/>
    </row>
    <row r="3" spans="1:7" ht="39.6" customHeight="1" x14ac:dyDescent="0.3">
      <c r="A3" s="62" t="s">
        <v>26</v>
      </c>
      <c r="B3" s="63"/>
      <c r="C3" s="44" t="s">
        <v>25</v>
      </c>
      <c r="D3" s="48" t="s">
        <v>32</v>
      </c>
      <c r="E3" s="48" t="s">
        <v>35</v>
      </c>
      <c r="F3" s="64" t="e" vm="1">
        <v>#VALUE!</v>
      </c>
      <c r="G3" s="65"/>
    </row>
    <row r="4" spans="1:7" ht="52.2" customHeight="1" x14ac:dyDescent="0.3">
      <c r="A4" s="62" t="s">
        <v>28</v>
      </c>
      <c r="B4" s="63"/>
      <c r="C4" s="45" t="s">
        <v>30</v>
      </c>
      <c r="D4" s="70" t="s">
        <v>39</v>
      </c>
      <c r="E4" s="70"/>
      <c r="F4" s="66"/>
      <c r="G4" s="67"/>
    </row>
    <row r="5" spans="1:7" ht="36.6" customHeight="1" x14ac:dyDescent="0.3">
      <c r="A5" s="71" t="s">
        <v>29</v>
      </c>
      <c r="B5" s="72"/>
      <c r="C5" s="44" t="s">
        <v>31</v>
      </c>
      <c r="D5" s="55" t="s">
        <v>40</v>
      </c>
      <c r="E5" s="55"/>
      <c r="F5" s="68"/>
      <c r="G5" s="69"/>
    </row>
    <row r="6" spans="1:7" x14ac:dyDescent="0.3">
      <c r="A6" s="49"/>
      <c r="B6" s="50"/>
      <c r="C6" s="50"/>
      <c r="D6" s="50"/>
      <c r="E6" s="50"/>
      <c r="F6" s="50"/>
      <c r="G6" s="51"/>
    </row>
    <row r="7" spans="1:7" ht="34.799999999999997" x14ac:dyDescent="0.3">
      <c r="A7" s="46" t="s">
        <v>1</v>
      </c>
      <c r="B7" s="47" t="s">
        <v>2</v>
      </c>
      <c r="C7" s="47" t="s">
        <v>3</v>
      </c>
      <c r="D7" s="47" t="s">
        <v>4</v>
      </c>
      <c r="E7" s="46" t="s">
        <v>5</v>
      </c>
      <c r="F7" s="47" t="s">
        <v>6</v>
      </c>
      <c r="G7" s="46" t="s">
        <v>7</v>
      </c>
    </row>
    <row r="8" spans="1:7" ht="23.4" x14ac:dyDescent="0.3">
      <c r="A8" s="52" t="s">
        <v>8</v>
      </c>
      <c r="B8" s="53"/>
      <c r="C8" s="53"/>
      <c r="D8" s="53"/>
      <c r="E8" s="53"/>
      <c r="F8" s="53"/>
      <c r="G8" s="54"/>
    </row>
    <row r="9" spans="1:7" ht="23.4" x14ac:dyDescent="0.3">
      <c r="A9" s="3">
        <v>1.1000000000000001</v>
      </c>
      <c r="B9" s="4"/>
      <c r="C9" s="5" t="s">
        <v>34</v>
      </c>
      <c r="D9" s="6"/>
      <c r="E9" s="6"/>
      <c r="F9" s="22"/>
      <c r="G9" s="23">
        <f>SUM(G10:G10)</f>
        <v>50000</v>
      </c>
    </row>
    <row r="10" spans="1:7" ht="21" x14ac:dyDescent="0.3">
      <c r="A10" s="7"/>
      <c r="B10" s="7" t="s">
        <v>10</v>
      </c>
      <c r="C10" s="8" t="s">
        <v>27</v>
      </c>
      <c r="D10" s="2" t="s">
        <v>9</v>
      </c>
      <c r="E10" s="35">
        <v>1</v>
      </c>
      <c r="F10" s="24">
        <v>50000</v>
      </c>
      <c r="G10" s="25">
        <f>+E10*F10</f>
        <v>50000</v>
      </c>
    </row>
    <row r="11" spans="1:7" ht="23.4" x14ac:dyDescent="0.3">
      <c r="A11" s="3">
        <v>1.2</v>
      </c>
      <c r="B11" s="4"/>
      <c r="C11" s="5" t="s">
        <v>33</v>
      </c>
      <c r="D11" s="9"/>
      <c r="E11" s="36"/>
      <c r="F11" s="26"/>
      <c r="G11" s="27">
        <f>SUM(G12:G13)</f>
        <v>6900000</v>
      </c>
    </row>
    <row r="12" spans="1:7" ht="62.4" customHeight="1" x14ac:dyDescent="0.3">
      <c r="A12" s="10"/>
      <c r="B12" s="7" t="s">
        <v>11</v>
      </c>
      <c r="C12" s="11" t="s">
        <v>38</v>
      </c>
      <c r="D12" s="2" t="s">
        <v>37</v>
      </c>
      <c r="E12" s="35">
        <v>12</v>
      </c>
      <c r="F12" s="24">
        <v>350000</v>
      </c>
      <c r="G12" s="25">
        <f t="shared" ref="G12:G13" si="0">+E12*F12</f>
        <v>4200000</v>
      </c>
    </row>
    <row r="13" spans="1:7" ht="25.8" customHeight="1" x14ac:dyDescent="0.3">
      <c r="A13" s="10"/>
      <c r="B13" s="7" t="s">
        <v>12</v>
      </c>
      <c r="C13" s="11" t="s">
        <v>36</v>
      </c>
      <c r="D13" s="2" t="s">
        <v>13</v>
      </c>
      <c r="E13" s="35">
        <v>60</v>
      </c>
      <c r="F13" s="24">
        <v>45000</v>
      </c>
      <c r="G13" s="25">
        <f t="shared" si="0"/>
        <v>2700000</v>
      </c>
    </row>
    <row r="14" spans="1:7" ht="23.4" x14ac:dyDescent="0.3">
      <c r="A14" s="17">
        <v>1.5</v>
      </c>
      <c r="B14" s="18"/>
      <c r="C14" s="19" t="s">
        <v>14</v>
      </c>
      <c r="D14" s="20"/>
      <c r="E14" s="37"/>
      <c r="F14" s="28"/>
      <c r="G14" s="29">
        <f>G15</f>
        <v>20000</v>
      </c>
    </row>
    <row r="15" spans="1:7" ht="21" x14ac:dyDescent="0.3">
      <c r="A15" s="12"/>
      <c r="B15" s="38" t="s">
        <v>15</v>
      </c>
      <c r="C15" s="13" t="s">
        <v>16</v>
      </c>
      <c r="D15" s="14" t="s">
        <v>17</v>
      </c>
      <c r="E15" s="35">
        <v>1</v>
      </c>
      <c r="F15" s="24">
        <v>20000</v>
      </c>
      <c r="G15" s="30">
        <f>F15*E15</f>
        <v>20000</v>
      </c>
    </row>
    <row r="16" spans="1:7" ht="17.399999999999999" x14ac:dyDescent="0.3">
      <c r="A16" s="15"/>
      <c r="B16" s="15"/>
      <c r="C16" s="15"/>
      <c r="D16" s="15"/>
      <c r="E16" s="39" t="s">
        <v>18</v>
      </c>
      <c r="F16" s="39"/>
      <c r="G16" s="31">
        <f>G14+G11+G9</f>
        <v>6970000</v>
      </c>
    </row>
    <row r="17" spans="1:7" ht="17.399999999999999" x14ac:dyDescent="0.3">
      <c r="A17" s="15"/>
      <c r="B17" s="15"/>
      <c r="C17" s="15"/>
      <c r="D17" s="15"/>
      <c r="E17" s="16" t="s">
        <v>19</v>
      </c>
      <c r="F17" s="21">
        <v>0.08</v>
      </c>
      <c r="G17" s="32">
        <f>+$G$16*F17</f>
        <v>557600</v>
      </c>
    </row>
    <row r="18" spans="1:7" ht="17.399999999999999" x14ac:dyDescent="0.3">
      <c r="A18" s="15"/>
      <c r="B18" s="15"/>
      <c r="C18" s="15"/>
      <c r="D18" s="15"/>
      <c r="E18" s="16" t="s">
        <v>20</v>
      </c>
      <c r="F18" s="21">
        <v>0.05</v>
      </c>
      <c r="G18" s="32">
        <f t="shared" ref="G18:G19" si="1">+$G$16*F18</f>
        <v>348500</v>
      </c>
    </row>
    <row r="19" spans="1:7" ht="17.399999999999999" x14ac:dyDescent="0.3">
      <c r="A19" s="15"/>
      <c r="B19" s="15"/>
      <c r="C19" s="15"/>
      <c r="D19" s="15"/>
      <c r="E19" s="16" t="s">
        <v>21</v>
      </c>
      <c r="F19" s="21">
        <v>0.05</v>
      </c>
      <c r="G19" s="32">
        <f t="shared" si="1"/>
        <v>348500</v>
      </c>
    </row>
    <row r="20" spans="1:7" ht="17.399999999999999" x14ac:dyDescent="0.3">
      <c r="A20" s="15"/>
      <c r="B20" s="15"/>
      <c r="C20" s="15"/>
      <c r="D20" s="15"/>
      <c r="E20" s="16" t="s">
        <v>22</v>
      </c>
      <c r="F20" s="21">
        <v>0.19</v>
      </c>
      <c r="G20" s="32">
        <f>+G19*F20</f>
        <v>66215</v>
      </c>
    </row>
    <row r="21" spans="1:7" ht="17.399999999999999" x14ac:dyDescent="0.3">
      <c r="A21" s="15"/>
      <c r="B21" s="15"/>
      <c r="C21" s="15"/>
      <c r="D21" s="15"/>
      <c r="E21" s="40" t="s">
        <v>23</v>
      </c>
      <c r="F21" s="41"/>
      <c r="G21" s="33">
        <f>+G17+G18+G19+G20</f>
        <v>1320815</v>
      </c>
    </row>
    <row r="22" spans="1:7" ht="23.4" x14ac:dyDescent="0.3">
      <c r="A22" s="15"/>
      <c r="B22" s="15"/>
      <c r="C22" s="15"/>
      <c r="D22" s="15"/>
      <c r="E22" s="42" t="s">
        <v>24</v>
      </c>
      <c r="F22" s="43"/>
      <c r="G22" s="34">
        <f>+G16+G21</f>
        <v>8290815</v>
      </c>
    </row>
    <row r="26" spans="1:7" ht="58.8" customHeight="1" x14ac:dyDescent="0.3"/>
    <row r="27" spans="1:7" ht="39.6" customHeight="1" x14ac:dyDescent="0.3"/>
    <row r="30" spans="1:7" ht="19.95" customHeight="1" x14ac:dyDescent="0.3"/>
    <row r="31" spans="1:7" ht="19.95" customHeight="1" x14ac:dyDescent="0.3"/>
    <row r="32" spans="1:7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</sheetData>
  <mergeCells count="10">
    <mergeCell ref="A6:G6"/>
    <mergeCell ref="A8:G8"/>
    <mergeCell ref="D5:E5"/>
    <mergeCell ref="A1:G1"/>
    <mergeCell ref="A2:G2"/>
    <mergeCell ref="A4:B4"/>
    <mergeCell ref="F3:G5"/>
    <mergeCell ref="A3:B3"/>
    <mergeCell ref="D4:E4"/>
    <mergeCell ref="A5:B5"/>
  </mergeCells>
  <phoneticPr fontId="2" type="noConversion"/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2024-08-01T02:06:47Z</cp:lastPrinted>
  <dcterms:created xsi:type="dcterms:W3CDTF">2024-02-08T21:06:52Z</dcterms:created>
  <dcterms:modified xsi:type="dcterms:W3CDTF">2024-08-13T22:06:06Z</dcterms:modified>
  <cp:category/>
  <cp:contentStatus/>
</cp:coreProperties>
</file>