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0F032E92-DB5B-1A4A-98C7-96A84EFDEC17}" xr6:coauthVersionLast="47" xr6:coauthVersionMax="47" xr10:uidLastSave="{00000000-0000-0000-0000-000000000000}"/>
  <bookViews>
    <workbookView xWindow="0" yWindow="680" windowWidth="29400" windowHeight="16960" activeTab="1" xr2:uid="{00000000-000D-0000-FFFF-FFFF00000000}"/>
  </bookViews>
  <sheets>
    <sheet name="COT. SANTA CLARA PINT. IMP (2)" sheetId="28" state="hidden" r:id="rId1"/>
    <sheet name="MIRADOR DEL QUINDIO" sheetId="27" r:id="rId2"/>
  </sheets>
  <definedNames>
    <definedName name="_xlnm.Print_Area" localSheetId="0">'COT. SANTA CLARA PINT. IMP (2)'!$A$1:$G$64</definedName>
    <definedName name="_xlnm.Print_Area" localSheetId="1">'MIRADOR DEL QUINDIO'!$A$1:$G$31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7" l="1"/>
  <c r="G8" i="27"/>
  <c r="G22" i="27"/>
  <c r="G21" i="27" s="1"/>
  <c r="G18" i="27"/>
  <c r="G72" i="28"/>
  <c r="G71" i="28"/>
  <c r="G69" i="28"/>
  <c r="H54" i="28"/>
  <c r="G66" i="28" l="1"/>
  <c r="G68" i="28" s="1"/>
  <c r="G57" i="28"/>
  <c r="G56" i="28" s="1"/>
  <c r="G55" i="28"/>
  <c r="G54" i="28"/>
  <c r="G52" i="28"/>
  <c r="G51" i="28"/>
  <c r="G50" i="28"/>
  <c r="G49" i="28"/>
  <c r="G48" i="28"/>
  <c r="G46" i="28"/>
  <c r="G45" i="28"/>
  <c r="G44" i="28"/>
  <c r="G43" i="28"/>
  <c r="G42" i="28"/>
  <c r="G41" i="28"/>
  <c r="G40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8" i="28"/>
  <c r="G17" i="28"/>
  <c r="G16" i="28"/>
  <c r="G15" i="28"/>
  <c r="G14" i="28"/>
  <c r="G13" i="28"/>
  <c r="G12" i="28"/>
  <c r="G10" i="28"/>
  <c r="G9" i="28"/>
  <c r="G8" i="28"/>
  <c r="G6" i="28" s="1"/>
  <c r="G7" i="28"/>
  <c r="G39" i="28" l="1"/>
  <c r="G19" i="28"/>
  <c r="G11" i="28"/>
  <c r="H66" i="28"/>
  <c r="I66" i="28" s="1"/>
  <c r="G58" i="28" l="1"/>
  <c r="G59" i="28" s="1"/>
  <c r="G61" i="28" l="1"/>
  <c r="G62" i="28" s="1"/>
  <c r="G60" i="28"/>
  <c r="G63" i="28" l="1"/>
  <c r="G64" i="28" s="1"/>
  <c r="G67" i="28" s="1"/>
  <c r="G7" i="27" l="1"/>
  <c r="G20" i="27"/>
  <c r="G19" i="27" s="1"/>
  <c r="G14" i="27"/>
  <c r="G13" i="27"/>
  <c r="G12" i="27"/>
  <c r="G17" i="27" l="1"/>
  <c r="G11" i="27"/>
  <c r="G16" i="27"/>
  <c r="G10" i="27"/>
  <c r="G9" i="27" l="1"/>
  <c r="G15" i="27"/>
  <c r="G24" i="27" l="1"/>
  <c r="G23" i="27" s="1"/>
  <c r="G6" i="27"/>
  <c r="G27" i="27" l="1"/>
  <c r="G28" i="27"/>
  <c r="G29" i="27" s="1"/>
  <c r="G26" i="27"/>
  <c r="G30" i="27" l="1"/>
  <c r="G31" i="27" s="1"/>
</calcChain>
</file>

<file path=xl/sharedStrings.xml><?xml version="1.0" encoding="utf-8"?>
<sst xmlns="http://schemas.openxmlformats.org/spreadsheetml/2006/main" count="232" uniqueCount="138">
  <si>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</si>
  <si>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</si>
  <si>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</si>
  <si>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</si>
  <si>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</si>
  <si>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</si>
  <si>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</si>
  <si>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</si>
  <si>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</si>
  <si>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</si>
  <si>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</si>
  <si>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</si>
  <si>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</si>
  <si>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</si>
  <si>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</si>
  <si>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</si>
  <si>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</si>
  <si>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</si>
  <si>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</si>
  <si>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Aseo general y retiro de pintura.</t>
  </si>
  <si>
    <t>M2</t>
  </si>
  <si>
    <t>Calle 19 Norte 18-64 Ed. Atlantis piso 3 local 7</t>
  </si>
  <si>
    <t>Gerencia@freshouse.com.co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</si>
  <si>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</si>
  <si>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</si>
  <si>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</si>
  <si>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</si>
  <si>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</si>
  <si>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</si>
  <si>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</si>
  <si>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</si>
  <si>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</si>
  <si>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</si>
  <si>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</si>
  <si>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</si>
  <si>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</si>
  <si>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2.1</t>
  </si>
  <si>
    <t>2.2</t>
  </si>
  <si>
    <t>3.1</t>
  </si>
  <si>
    <t>3.2</t>
  </si>
  <si>
    <t>3.4</t>
  </si>
  <si>
    <t>3.5</t>
  </si>
  <si>
    <t>4.1</t>
  </si>
  <si>
    <t>3.3</t>
  </si>
  <si>
    <t>3.6</t>
  </si>
  <si>
    <t>3.7</t>
  </si>
  <si>
    <t>Asesoria Especializada</t>
  </si>
  <si>
    <t>Campamento de obra</t>
  </si>
  <si>
    <t>Señalización y seguridad de obra</t>
  </si>
  <si>
    <t>Reserva por actividades no detectadas en fase de consultoria</t>
  </si>
  <si>
    <t>Lavado General de Fachadas en Superboard</t>
  </si>
  <si>
    <t>Lavado General de Fachadas en Concreto</t>
  </si>
  <si>
    <t>Lavado General de Elementos Vidriados en Fachadas</t>
  </si>
  <si>
    <t>Retiro y Restitución de Superboard deteriorado en Fachadas (25%)</t>
  </si>
  <si>
    <t>Restitución de Graniplast deteriorado o Suelto (20%)</t>
  </si>
  <si>
    <t>Restitución de Revoque quemado o Suelto (5%)</t>
  </si>
  <si>
    <t>2.3</t>
  </si>
  <si>
    <t>2.4</t>
  </si>
  <si>
    <t>2.5</t>
  </si>
  <si>
    <t>2.6</t>
  </si>
  <si>
    <t>2.7</t>
  </si>
  <si>
    <t>Impermeabilización de Placas y de Cubiertas de Concreto</t>
  </si>
  <si>
    <t>Impermeabilización de Zonas de Jardines contra muros de los sótanos de los edificios</t>
  </si>
  <si>
    <t>Impermeabilización de Vigascanales</t>
  </si>
  <si>
    <t>Recorrido de Cubiertas en los accesos y terrazas de las tres torres</t>
  </si>
  <si>
    <t>Recorrido de Cubiertas en los Balcones de las tres Torres y Salón Social</t>
  </si>
  <si>
    <t>Construcción de Cubiertas en Teja Liviana</t>
  </si>
  <si>
    <t>Suministro e Instalación de Cortagoteras</t>
  </si>
  <si>
    <t>Suministro e Instalación de Flanches contra muros colindantes Torre A y Torre Aparta estudios Loft</t>
  </si>
  <si>
    <t>Suministro y Aplicación de Sellantes en Ventaneria</t>
  </si>
  <si>
    <t>Suministro y Aplicación de Sellantes en Juntas de Superboard</t>
  </si>
  <si>
    <t>Conformación de Peraltada en elementos horizontales de Fachada</t>
  </si>
  <si>
    <t>Retiro y Restitución de Ventanas en Lamina x Aluminio</t>
  </si>
  <si>
    <t>Sustitución de vidrios templados de cerramiento en Salon Social</t>
  </si>
  <si>
    <t>Reparación de Grietas y Fisuras Estructurales en las Fachadas</t>
  </si>
  <si>
    <t>Emboquillado e Impermeabilización de muros externos en Areas Comunes</t>
  </si>
  <si>
    <t>Levantamiento de Enchape y Emboquillado Area Social</t>
  </si>
  <si>
    <t>Suministro e Instalación de Canal Amazon en Parqueaderos</t>
  </si>
  <si>
    <t>Bordillo Perimetral a la base de las Torres, Anclado con Epóxico Anchorfix y varilla de 3/8”</t>
  </si>
  <si>
    <t>Emboquillado de Pisos en Balcones, Patios y Terrazas de Apartamento en segundos pisos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</si>
  <si>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</si>
  <si>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</si>
  <si>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</si>
  <si>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</si>
  <si>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</si>
  <si>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</si>
  <si>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</si>
  <si>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</si>
  <si>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</si>
  <si>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</si>
  <si>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</si>
  <si>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</si>
  <si>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Pintura Tipo Koraza para Exteriores sobre superficies en Superboard</t>
  </si>
  <si>
    <t>Pintura Tipo Koraza para Exteriores sobre muros de jardineras externas</t>
  </si>
  <si>
    <t>Pintura Tipo Koraza para Exteriores sobre superficies en Concreto de Fachadas</t>
  </si>
  <si>
    <t>Pintura Tipo Koraza para Exteriores sobre superficies de Cielorasos en Fachadas</t>
  </si>
  <si>
    <t>Pintura Tipo Koraza Gris Basalto sobre Alfajías de Concreto en Cubiertas</t>
  </si>
  <si>
    <t>Pintura Tipo Koraza en muros perimetrales y medianeros en cubiertas</t>
  </si>
  <si>
    <t>Pintura Tipo PINTULUX 3 en 1 sobre estructuras de soporte de cubiertas en balcones</t>
  </si>
  <si>
    <t>Pintura Tipo PINTULUX 3 en 1 sobre barandas y pasamanos metálicos 7 LINEAS TERRAZA</t>
  </si>
  <si>
    <t>Pintura Tipo PINTULUX 3 en 1 sobre barandas y pasamanos metálicos 3 LINEAS PUENTE</t>
  </si>
  <si>
    <t>Pintura Tipo PINTULUX 3 en 1 sobre barandas y pasamanos metálicos ESCALERAS INTERNAS</t>
  </si>
  <si>
    <t>Pintura Tipo PINTULUX 3 en 1 sobre tapas de cuartos de equipos y acceso a Terrazas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</si>
  <si>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</si>
  <si>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</si>
  <si>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</si>
  <si>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</si>
  <si>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</si>
  <si>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</si>
  <si>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</si>
  <si>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</si>
  <si>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</si>
  <si>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Pintura Tipo Vinilo tipo 1 sobre Cielorasos de Areas Comunes Interiores</t>
  </si>
  <si>
    <t>Pintura Tipo Vinilo tipo 1 sobre paredes Internas de Areas Comunes</t>
  </si>
  <si>
    <t>4.3</t>
  </si>
  <si>
    <t>4.3.1</t>
  </si>
  <si>
    <t>4.3.2</t>
  </si>
  <si>
    <t>Retiro y Restitución de Drywall deteriorado en Fachadas (20%)</t>
  </si>
  <si>
    <t>Hidrolavado a presión con solución de hipoclorito al 10% (TORRE 1 y TORRE 3). Incluye cepillado y enjuague a toda el área de fachada.</t>
  </si>
  <si>
    <t>Preparación de superficie: retiro de escoriaciones, protuberancias y texturas con poca adherencia. Imprimación puntual con ACROLATEX 50 (1:3 agua) SOLO donde lo requiera.</t>
  </si>
  <si>
    <t>Revoques estructurales: resane de zonas donde el lavado desprenda revoque, previo al acabado final.</t>
  </si>
  <si>
    <t>Revisión y recambio integral de sellos de ventanería perimetral. Limpieza, aplicación de primer y sellado con silicona de alto desempeño (Sikaseal C). Incluye perforaciones de desagüe en sillar si aplica.</t>
  </si>
  <si>
    <t>Pintura de fachada a 2 manos con KORAZA PRO (máx. 15% de agua). Incluye sellado de fisuras (soudaflex o sellador acrílico) sobre superficie seca, limpia y tratada.</t>
  </si>
  <si>
    <t>Limpieza de muros internos con solución de hipoclorito al 10% donde exista presencia de hongos/manchas.</t>
  </si>
  <si>
    <t>Muros internos: acabado a 2 manos con VINILTEX (Tipo 1, máx. 15% de agua). Incluye sellado de fisuras.</t>
  </si>
  <si>
    <t>Cielorrasos: acabado a 2 manos con pintura Tipo 2 (máx. 15% de agua).</t>
  </si>
  <si>
    <t>Carpintería metálica: preparación (lijado, limpieza) y aplicación de esmalte PINTULUX 3 en 1 para exteriores en pasamanos/barandas.</t>
  </si>
  <si>
    <t>Aseo general: limpieza de vidrios y retiro de sobrantes.</t>
  </si>
  <si>
    <t>GL</t>
  </si>
  <si>
    <t>5.1</t>
  </si>
  <si>
    <t>COTIZACIÓN OBRA - MIRADOR DEL QUINDIO</t>
  </si>
  <si>
    <t>UTILIDAD</t>
  </si>
  <si>
    <t xml:space="preserve">  FECHA: 01/10/2025</t>
  </si>
  <si>
    <t xml:space="preserve">  VALIDO HASTA: 31/12/2025</t>
  </si>
  <si>
    <t xml:space="preserve"> Represntante Legal  </t>
  </si>
  <si>
    <t xml:space="preserve"> RENSO MONTOYA UPEGUI </t>
  </si>
  <si>
    <t>NOTA ACLARATORIA:  LA EMPRESA INSTALARÁ SUS PROPIOS PUNTOS DE ANCLAJE CERTIFICADOS PARA LA EJECUCION DE LA OBRA</t>
  </si>
  <si>
    <t>Calle 19 Norte 18-80 Ed. Atlantis piso 3 local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</si>
</sst>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.5"/>
      <name val="Century Gothic"/>
      <family val="1"/>
    </font>
    <font>
      <sz val="11.5"/>
      <name val="Century Gothic"/>
      <family val="1"/>
    </font>
    <font>
      <sz val="11.5"/>
      <color theme="1"/>
      <name val="Century Gothic"/>
      <family val="1"/>
    </font>
    <font>
      <b/>
      <sz val="11.5"/>
      <color rgb="FF000000"/>
      <name val="Century Gothic"/>
      <family val="1"/>
    </font>
    <font>
      <b/>
      <sz val="11.5"/>
      <color theme="1"/>
      <name val="Century Gothic"/>
      <family val="1"/>
    </font>
    <font>
      <sz val="11.5"/>
      <color rgb="FF000000"/>
      <name val="Century Gothic"/>
      <family val="1"/>
    </font>
    <font>
      <b/>
      <sz val="11.5"/>
      <color rgb="FFFF0000"/>
      <name val="Century Gothic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4" fontId="2" fillId="0" borderId="0" xfId="0" applyNumberFormat="1" applyFont="1" applyAlignment="1">
      <alignment vertical="center"/>
    </xf>
    <xf numFmtId="44" fontId="6" fillId="4" borderId="5" xfId="0" applyNumberFormat="1" applyFont="1" applyFill="1" applyBorder="1" applyAlignment="1">
      <alignment horizontal="center" vertical="center"/>
    </xf>
    <xf numFmtId="44" fontId="7" fillId="4" borderId="5" xfId="0" applyNumberFormat="1" applyFont="1" applyFill="1" applyBorder="1" applyAlignment="1">
      <alignment vertical="center" wrapText="1"/>
    </xf>
    <xf numFmtId="44" fontId="7" fillId="4" borderId="5" xfId="2" applyFont="1" applyFill="1" applyBorder="1" applyAlignment="1">
      <alignment vertical="center"/>
    </xf>
    <xf numFmtId="44" fontId="7" fillId="4" borderId="5" xfId="2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64" fontId="10" fillId="2" borderId="11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44" fontId="8" fillId="2" borderId="1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44" fontId="9" fillId="6" borderId="3" xfId="0" applyNumberFormat="1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10" fillId="7" borderId="11" xfId="0" applyNumberFormat="1" applyFont="1" applyFill="1" applyBorder="1" applyAlignment="1">
      <alignment horizontal="center" vertical="center" wrapText="1"/>
    </xf>
    <xf numFmtId="44" fontId="10" fillId="8" borderId="1" xfId="0" applyNumberFormat="1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horizontal="center" vertical="center" wrapText="1"/>
    </xf>
    <xf numFmtId="44" fontId="11" fillId="4" borderId="5" xfId="0" applyNumberFormat="1" applyFont="1" applyFill="1" applyBorder="1" applyAlignment="1">
      <alignment vertical="center" wrapText="1"/>
    </xf>
    <xf numFmtId="44" fontId="11" fillId="4" borderId="7" xfId="0" applyNumberFormat="1" applyFont="1" applyFill="1" applyBorder="1" applyAlignment="1">
      <alignment horizontal="center" vertical="center" wrapText="1"/>
    </xf>
    <xf numFmtId="44" fontId="8" fillId="4" borderId="5" xfId="1" applyNumberFormat="1" applyFont="1" applyFill="1" applyBorder="1" applyAlignment="1">
      <alignment vertical="center" wrapText="1"/>
    </xf>
    <xf numFmtId="44" fontId="8" fillId="4" borderId="5" xfId="0" applyNumberFormat="1" applyFont="1" applyFill="1" applyBorder="1" applyAlignment="1">
      <alignment horizontal="left" vertical="center" wrapText="1"/>
    </xf>
    <xf numFmtId="44" fontId="8" fillId="2" borderId="3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4" fontId="10" fillId="9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44" fontId="8" fillId="4" borderId="1" xfId="2" applyFont="1" applyFill="1" applyBorder="1" applyAlignment="1">
      <alignment horizontal="center" vertical="center"/>
    </xf>
    <xf numFmtId="44" fontId="8" fillId="9" borderId="1" xfId="0" applyNumberFormat="1" applyFont="1" applyFill="1" applyBorder="1" applyAlignment="1">
      <alignment horizontal="center" vertical="center"/>
    </xf>
    <xf numFmtId="44" fontId="10" fillId="3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44" fontId="6" fillId="4" borderId="5" xfId="0" applyNumberFormat="1" applyFont="1" applyFill="1" applyBorder="1" applyAlignment="1">
      <alignment horizontal="center" vertical="center" wrapText="1"/>
    </xf>
    <xf numFmtId="44" fontId="7" fillId="4" borderId="5" xfId="0" applyNumberFormat="1" applyFont="1" applyFill="1" applyBorder="1" applyAlignment="1">
      <alignment horizontal="center" vertical="center" wrapText="1"/>
    </xf>
    <xf numFmtId="44" fontId="7" fillId="4" borderId="5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2" fontId="7" fillId="4" borderId="5" xfId="0" applyNumberFormat="1" applyFont="1" applyFill="1" applyBorder="1" applyAlignment="1">
      <alignment horizontal="right" vertical="center"/>
    </xf>
    <xf numFmtId="2" fontId="8" fillId="4" borderId="5" xfId="0" applyNumberFormat="1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Alignment="1">
      <alignment horizontal="right" vertical="center"/>
    </xf>
    <xf numFmtId="44" fontId="0" fillId="0" borderId="0" xfId="0" applyNumberFormat="1" applyAlignment="1">
      <alignment vertical="center"/>
    </xf>
    <xf numFmtId="4" fontId="7" fillId="4" borderId="5" xfId="0" applyNumberFormat="1" applyFont="1" applyFill="1" applyBorder="1" applyAlignment="1">
      <alignment horizontal="right" vertical="center"/>
    </xf>
    <xf numFmtId="4" fontId="8" fillId="4" borderId="5" xfId="0" applyNumberFormat="1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" fontId="8" fillId="4" borderId="5" xfId="1" applyNumberFormat="1" applyFont="1" applyFill="1" applyBorder="1" applyAlignment="1">
      <alignment vertical="center" wrapText="1"/>
    </xf>
    <xf numFmtId="44" fontId="8" fillId="4" borderId="3" xfId="0" applyNumberFormat="1" applyFont="1" applyFill="1" applyBorder="1" applyAlignment="1">
      <alignment horizontal="left" vertical="center" wrapText="1"/>
    </xf>
    <xf numFmtId="44" fontId="8" fillId="0" borderId="3" xfId="0" applyNumberFormat="1" applyFont="1" applyBorder="1" applyAlignment="1">
      <alignment horizontal="left" vertical="center" wrapText="1"/>
    </xf>
    <xf numFmtId="4" fontId="8" fillId="0" borderId="5" xfId="0" applyNumberFormat="1" applyFont="1" applyBorder="1" applyAlignment="1">
      <alignment horizontal="right" vertical="center"/>
    </xf>
    <xf numFmtId="0" fontId="13" fillId="0" borderId="0" xfId="0" applyFont="1"/>
    <xf numFmtId="0" fontId="14" fillId="0" borderId="0" xfId="0" applyFont="1"/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/>
    </xf>
    <xf numFmtId="44" fontId="9" fillId="5" borderId="22" xfId="0" applyNumberFormat="1" applyFont="1" applyFill="1" applyBorder="1" applyAlignment="1">
      <alignment horizontal="left" vertical="center"/>
    </xf>
    <xf numFmtId="44" fontId="9" fillId="5" borderId="3" xfId="0" applyNumberFormat="1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 wrapText="1"/>
    </xf>
    <xf numFmtId="44" fontId="9" fillId="5" borderId="22" xfId="0" applyNumberFormat="1" applyFont="1" applyFill="1" applyBorder="1" applyAlignment="1">
      <alignment horizontal="left" vertical="center" wrapText="1"/>
    </xf>
    <xf numFmtId="44" fontId="9" fillId="5" borderId="3" xfId="0" applyNumberFormat="1" applyFont="1" applyFill="1" applyBorder="1" applyAlignment="1">
      <alignment horizontal="left" vertical="center" wrapText="1"/>
    </xf>
    <xf numFmtId="44" fontId="10" fillId="7" borderId="9" xfId="0" applyNumberFormat="1" applyFont="1" applyFill="1" applyBorder="1" applyAlignment="1">
      <alignment horizontal="left" vertical="center" wrapText="1"/>
    </xf>
    <xf numFmtId="44" fontId="10" fillId="7" borderId="23" xfId="0" applyNumberFormat="1" applyFont="1" applyFill="1" applyBorder="1" applyAlignment="1">
      <alignment horizontal="left" vertical="center" wrapText="1"/>
    </xf>
    <xf numFmtId="44" fontId="10" fillId="7" borderId="10" xfId="0" applyNumberFormat="1" applyFont="1" applyFill="1" applyBorder="1" applyAlignment="1">
      <alignment horizontal="left" vertical="center" wrapText="1"/>
    </xf>
    <xf numFmtId="43" fontId="10" fillId="9" borderId="19" xfId="1" applyFont="1" applyFill="1" applyBorder="1" applyAlignment="1">
      <alignment horizontal="center" vertical="center"/>
    </xf>
    <xf numFmtId="43" fontId="10" fillId="9" borderId="21" xfId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44" fontId="9" fillId="5" borderId="12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BAB0D0-8B4E-5845-941E-95D7F2A9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367" y="645396"/>
          <a:ext cx="3348566" cy="1270765"/>
        </a:xfrm>
        <a:prstGeom prst="rect">
          <a:avLst/>
        </a:prstGeom>
      </xdr:spPr>
    </xdr:pic>
    <xdr:clientData/>
  </xdr:twoCellAnchor>
  <xdr:twoCellAnchor editAs="oneCell">
    <xdr:from>
      <xdr:col>8</xdr:col>
      <xdr:colOff>677334</xdr:colOff>
      <xdr:row>0</xdr:row>
      <xdr:rowOff>0</xdr:rowOff>
    </xdr:from>
    <xdr:to>
      <xdr:col>24</xdr:col>
      <xdr:colOff>618252</xdr:colOff>
      <xdr:row>34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BAFA1-17CC-7148-BEF4-B5E90D23A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34" y="0"/>
          <a:ext cx="14977718" cy="2122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99558</xdr:colOff>
      <xdr:row>1</xdr:row>
      <xdr:rowOff>246879</xdr:rowOff>
    </xdr:from>
    <xdr:to>
      <xdr:col>6</xdr:col>
      <xdr:colOff>1007360</xdr:colOff>
      <xdr:row>3</xdr:row>
      <xdr:rowOff>65690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4386" y="750500"/>
          <a:ext cx="2002630" cy="826052"/>
        </a:xfrm>
        <a:prstGeom prst="rect">
          <a:avLst/>
        </a:prstGeom>
      </xdr:spPr>
    </xdr:pic>
    <xdr:clientData/>
  </xdr:twoCellAnchor>
  <xdr:twoCellAnchor editAs="oneCell">
    <xdr:from>
      <xdr:col>1</xdr:col>
      <xdr:colOff>153276</xdr:colOff>
      <xdr:row>27</xdr:row>
      <xdr:rowOff>43793</xdr:rowOff>
    </xdr:from>
    <xdr:to>
      <xdr:col>2</xdr:col>
      <xdr:colOff>2272205</xdr:colOff>
      <xdr:row>29</xdr:row>
      <xdr:rowOff>10205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CB1859-798A-A239-078B-37F0B4710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845" y="16433362"/>
          <a:ext cx="2622550" cy="732790"/>
        </a:xfrm>
        <a:prstGeom prst="rect">
          <a:avLst/>
        </a:prstGeom>
        <a:noFill/>
        <a:ln>
          <a:noFill/>
        </a:ln>
        <a:effectLst>
          <a:glow rad="127000">
            <a:schemeClr val="bg1"/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BB32-4553-6744-849A-50A4E215D63E}">
  <dimension ref="A1:I72"/>
  <sheetViews>
    <sheetView zoomScale="75" zoomScaleNormal="66" workbookViewId="0">
      <selection activeCell="G73" sqref="G73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85" t="s">
        <v>33</v>
      </c>
      <c r="B1" s="86"/>
      <c r="C1" s="86"/>
      <c r="D1" s="86"/>
      <c r="E1" s="86"/>
      <c r="F1" s="86"/>
      <c r="G1" s="87"/>
    </row>
    <row r="2" spans="1:8" ht="40" customHeight="1" x14ac:dyDescent="0.2">
      <c r="A2" s="88" t="s">
        <v>7</v>
      </c>
      <c r="B2" s="89"/>
      <c r="C2" s="12" t="s">
        <v>21</v>
      </c>
      <c r="D2" s="12" t="s">
        <v>8</v>
      </c>
      <c r="E2" s="12" t="s">
        <v>9</v>
      </c>
      <c r="F2" s="90"/>
      <c r="G2" s="91"/>
    </row>
    <row r="3" spans="1:8" ht="40" customHeight="1" x14ac:dyDescent="0.2">
      <c r="A3" s="88" t="s">
        <v>10</v>
      </c>
      <c r="B3" s="89"/>
      <c r="C3" s="13" t="s">
        <v>22</v>
      </c>
      <c r="D3" s="88" t="s">
        <v>34</v>
      </c>
      <c r="E3" s="89"/>
      <c r="F3" s="92"/>
      <c r="G3" s="93"/>
      <c r="H3"/>
    </row>
    <row r="4" spans="1:8" ht="40" customHeight="1" x14ac:dyDescent="0.2">
      <c r="A4" s="88" t="s">
        <v>11</v>
      </c>
      <c r="B4" s="89"/>
      <c r="C4" s="12" t="s">
        <v>12</v>
      </c>
      <c r="D4" s="88" t="s">
        <v>35</v>
      </c>
      <c r="E4" s="89"/>
      <c r="F4" s="94"/>
      <c r="G4" s="95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1000000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750000</v>
      </c>
      <c r="G7" s="9">
        <f>E7*F7</f>
        <v>750000</v>
      </c>
    </row>
    <row r="8" spans="1:8" ht="87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250000</v>
      </c>
      <c r="G8" s="9">
        <f>E8*F8</f>
        <v>250000</v>
      </c>
    </row>
    <row r="9" spans="1:8" ht="40" customHeight="1" x14ac:dyDescent="0.2">
      <c r="A9" s="18"/>
      <c r="B9" s="11">
        <v>1.1000000000000001</v>
      </c>
      <c r="C9" s="19" t="s">
        <v>46</v>
      </c>
      <c r="D9" s="20" t="s">
        <v>18</v>
      </c>
      <c r="E9" s="21">
        <v>1</v>
      </c>
      <c r="F9" s="9">
        <v>800000</v>
      </c>
      <c r="G9" s="9">
        <f>E9*F9</f>
        <v>800000</v>
      </c>
    </row>
    <row r="10" spans="1:8" ht="40" customHeight="1" x14ac:dyDescent="0.2">
      <c r="A10" s="18"/>
      <c r="B10" s="11">
        <v>1.1000000000000001</v>
      </c>
      <c r="C10" s="19" t="s">
        <v>49</v>
      </c>
      <c r="D10" s="20" t="s">
        <v>18</v>
      </c>
      <c r="E10" s="21">
        <v>1</v>
      </c>
      <c r="F10" s="9">
        <v>25000000</v>
      </c>
      <c r="G10" s="9">
        <f>E10*F10</f>
        <v>25000000</v>
      </c>
    </row>
    <row r="11" spans="1:8" s="4" customFormat="1" ht="50" customHeight="1" x14ac:dyDescent="0.2">
      <c r="A11" s="22">
        <v>2</v>
      </c>
      <c r="B11" s="69" t="s">
        <v>23</v>
      </c>
      <c r="C11" s="70"/>
      <c r="D11" s="70"/>
      <c r="E11" s="70"/>
      <c r="F11" s="71"/>
      <c r="G11" s="23">
        <f>SUM(G12:G18)</f>
        <v>99369500</v>
      </c>
    </row>
    <row r="12" spans="1:8" s="4" customFormat="1" ht="50" customHeight="1" x14ac:dyDescent="0.2">
      <c r="A12" s="24"/>
      <c r="B12" s="7" t="s">
        <v>36</v>
      </c>
      <c r="C12" s="8" t="s">
        <v>50</v>
      </c>
      <c r="D12" s="48" t="s">
        <v>20</v>
      </c>
      <c r="E12" s="49">
        <v>2617</v>
      </c>
      <c r="F12" s="9">
        <v>1500</v>
      </c>
      <c r="G12" s="9">
        <f>E12*F12</f>
        <v>3925500</v>
      </c>
      <c r="H12" s="55"/>
    </row>
    <row r="13" spans="1:8" s="4" customFormat="1" ht="50" customHeight="1" x14ac:dyDescent="0.2">
      <c r="A13" s="24"/>
      <c r="B13" s="7" t="s">
        <v>37</v>
      </c>
      <c r="C13" s="8" t="s">
        <v>51</v>
      </c>
      <c r="D13" s="48" t="s">
        <v>20</v>
      </c>
      <c r="E13" s="50">
        <v>10286</v>
      </c>
      <c r="F13" s="9">
        <v>1500</v>
      </c>
      <c r="G13" s="9">
        <f t="shared" ref="G13" si="0">E13*F13</f>
        <v>15429000</v>
      </c>
    </row>
    <row r="14" spans="1:8" s="4" customFormat="1" ht="50" customHeight="1" x14ac:dyDescent="0.2">
      <c r="A14" s="24"/>
      <c r="B14" s="7" t="s">
        <v>56</v>
      </c>
      <c r="C14" s="8" t="s">
        <v>52</v>
      </c>
      <c r="D14" s="48" t="s">
        <v>20</v>
      </c>
      <c r="E14" s="49">
        <v>7516</v>
      </c>
      <c r="F14" s="9">
        <v>1500</v>
      </c>
      <c r="G14" s="9">
        <f>E14*F14</f>
        <v>11274000</v>
      </c>
    </row>
    <row r="15" spans="1:8" s="4" customFormat="1" ht="50" customHeight="1" x14ac:dyDescent="0.2">
      <c r="A15" s="24"/>
      <c r="B15" s="7" t="s">
        <v>57</v>
      </c>
      <c r="C15" s="8" t="s">
        <v>53</v>
      </c>
      <c r="D15" s="48" t="s">
        <v>20</v>
      </c>
      <c r="E15" s="49">
        <v>650</v>
      </c>
      <c r="F15" s="9">
        <v>40000</v>
      </c>
      <c r="G15" s="9">
        <f>E15*F15</f>
        <v>26000000</v>
      </c>
    </row>
    <row r="16" spans="1:8" s="4" customFormat="1" ht="50" customHeight="1" x14ac:dyDescent="0.2">
      <c r="A16" s="24"/>
      <c r="B16" s="7" t="s">
        <v>58</v>
      </c>
      <c r="C16" s="8" t="s">
        <v>117</v>
      </c>
      <c r="D16" s="48" t="s">
        <v>20</v>
      </c>
      <c r="E16" s="49">
        <v>150</v>
      </c>
      <c r="F16" s="9">
        <v>40000</v>
      </c>
      <c r="G16" s="9">
        <f>E16*F16</f>
        <v>6000000</v>
      </c>
    </row>
    <row r="17" spans="1:7" s="4" customFormat="1" ht="50" customHeight="1" x14ac:dyDescent="0.2">
      <c r="A17" s="24"/>
      <c r="B17" s="7" t="s">
        <v>59</v>
      </c>
      <c r="C17" s="8" t="s">
        <v>54</v>
      </c>
      <c r="D17" s="48" t="s">
        <v>20</v>
      </c>
      <c r="E17" s="49">
        <v>2057</v>
      </c>
      <c r="F17" s="9">
        <v>13000</v>
      </c>
      <c r="G17" s="9">
        <f>E17*F17</f>
        <v>26741000</v>
      </c>
    </row>
    <row r="18" spans="1:7" s="4" customFormat="1" ht="50" customHeight="1" x14ac:dyDescent="0.2">
      <c r="A18" s="24"/>
      <c r="B18" s="7" t="s">
        <v>60</v>
      </c>
      <c r="C18" s="8" t="s">
        <v>55</v>
      </c>
      <c r="D18" s="48" t="s">
        <v>20</v>
      </c>
      <c r="E18" s="49">
        <v>500</v>
      </c>
      <c r="F18" s="9">
        <v>20000</v>
      </c>
      <c r="G18" s="9">
        <f>E18*F18</f>
        <v>10000000</v>
      </c>
    </row>
    <row r="19" spans="1:7" s="4" customFormat="1" ht="50" customHeight="1" x14ac:dyDescent="0.2">
      <c r="A19" s="22">
        <v>3</v>
      </c>
      <c r="B19" s="72" t="s">
        <v>24</v>
      </c>
      <c r="C19" s="73"/>
      <c r="D19" s="73"/>
      <c r="E19" s="73"/>
      <c r="F19" s="74"/>
      <c r="G19" s="23">
        <f>SUM(G20:G38)</f>
        <v>123772000</v>
      </c>
    </row>
    <row r="20" spans="1:7" s="5" customFormat="1" ht="50" customHeight="1" x14ac:dyDescent="0.2">
      <c r="A20" s="24"/>
      <c r="B20" s="44" t="s">
        <v>38</v>
      </c>
      <c r="C20" s="43" t="s">
        <v>61</v>
      </c>
      <c r="D20" s="52" t="s">
        <v>20</v>
      </c>
      <c r="E20" s="53">
        <v>481</v>
      </c>
      <c r="F20" s="46">
        <v>80000</v>
      </c>
      <c r="G20" s="10">
        <f>E20*F20</f>
        <v>38480000</v>
      </c>
    </row>
    <row r="21" spans="1:7" s="5" customFormat="1" ht="50" customHeight="1" x14ac:dyDescent="0.2">
      <c r="A21" s="24"/>
      <c r="B21" s="44" t="s">
        <v>39</v>
      </c>
      <c r="C21" s="43" t="s">
        <v>62</v>
      </c>
      <c r="D21" s="52" t="s">
        <v>2</v>
      </c>
      <c r="E21" s="53">
        <v>20</v>
      </c>
      <c r="F21" s="46">
        <v>0</v>
      </c>
      <c r="G21" s="10">
        <f>E21*F21</f>
        <v>0</v>
      </c>
    </row>
    <row r="22" spans="1:7" s="5" customFormat="1" ht="50" customHeight="1" x14ac:dyDescent="0.2">
      <c r="A22" s="24"/>
      <c r="B22" s="44" t="s">
        <v>43</v>
      </c>
      <c r="C22" s="43" t="s">
        <v>63</v>
      </c>
      <c r="D22" s="52" t="s">
        <v>2</v>
      </c>
      <c r="E22" s="53">
        <v>94</v>
      </c>
      <c r="F22" s="46">
        <v>8500</v>
      </c>
      <c r="G22" s="10">
        <f>E22*F22</f>
        <v>799000</v>
      </c>
    </row>
    <row r="23" spans="1:7" s="5" customFormat="1" ht="50" customHeight="1" x14ac:dyDescent="0.2">
      <c r="A23" s="24"/>
      <c r="B23" s="44" t="s">
        <v>40</v>
      </c>
      <c r="C23" s="43" t="s">
        <v>64</v>
      </c>
      <c r="D23" s="52" t="s">
        <v>20</v>
      </c>
      <c r="E23" s="53">
        <v>1736</v>
      </c>
      <c r="F23" s="46">
        <v>15000</v>
      </c>
      <c r="G23" s="10">
        <f t="shared" ref="G23:G38" si="1">E23*F23</f>
        <v>26040000</v>
      </c>
    </row>
    <row r="24" spans="1:7" s="5" customFormat="1" ht="50" customHeight="1" x14ac:dyDescent="0.2">
      <c r="A24" s="24"/>
      <c r="B24" s="44" t="s">
        <v>41</v>
      </c>
      <c r="C24" s="43" t="s">
        <v>65</v>
      </c>
      <c r="D24" s="52" t="s">
        <v>20</v>
      </c>
      <c r="E24" s="53">
        <v>445</v>
      </c>
      <c r="F24" s="46">
        <v>15000</v>
      </c>
      <c r="G24" s="10">
        <f t="shared" si="1"/>
        <v>6675000</v>
      </c>
    </row>
    <row r="25" spans="1:7" s="5" customFormat="1" ht="50" customHeight="1" x14ac:dyDescent="0.2">
      <c r="A25" s="24"/>
      <c r="B25" s="44" t="s">
        <v>44</v>
      </c>
      <c r="C25" s="43" t="s">
        <v>66</v>
      </c>
      <c r="D25" s="52" t="s">
        <v>20</v>
      </c>
      <c r="E25" s="53">
        <v>35</v>
      </c>
      <c r="F25" s="46">
        <v>65000</v>
      </c>
      <c r="G25" s="10">
        <f t="shared" si="1"/>
        <v>2275000</v>
      </c>
    </row>
    <row r="26" spans="1:7" s="5" customFormat="1" ht="50" customHeight="1" x14ac:dyDescent="0.2">
      <c r="A26" s="24"/>
      <c r="B26" s="44" t="s">
        <v>45</v>
      </c>
      <c r="C26" s="43" t="s">
        <v>67</v>
      </c>
      <c r="D26" s="52" t="s">
        <v>2</v>
      </c>
      <c r="E26" s="53">
        <v>998</v>
      </c>
      <c r="F26" s="46">
        <v>10500</v>
      </c>
      <c r="G26" s="10">
        <f t="shared" si="1"/>
        <v>10479000</v>
      </c>
    </row>
    <row r="27" spans="1:7" s="5" customFormat="1" ht="50" customHeight="1" x14ac:dyDescent="0.2">
      <c r="A27" s="24"/>
      <c r="B27" s="44" t="s">
        <v>80</v>
      </c>
      <c r="C27" s="43" t="s">
        <v>68</v>
      </c>
      <c r="D27" s="52" t="s">
        <v>2</v>
      </c>
      <c r="E27" s="53">
        <v>30</v>
      </c>
      <c r="F27" s="46">
        <v>13000</v>
      </c>
      <c r="G27" s="10">
        <f t="shared" si="1"/>
        <v>390000</v>
      </c>
    </row>
    <row r="28" spans="1:7" s="5" customFormat="1" ht="50" customHeight="1" x14ac:dyDescent="0.2">
      <c r="A28" s="24"/>
      <c r="B28" s="44" t="s">
        <v>81</v>
      </c>
      <c r="C28" s="43" t="s">
        <v>69</v>
      </c>
      <c r="D28" s="52" t="s">
        <v>2</v>
      </c>
      <c r="E28" s="53">
        <v>10927</v>
      </c>
      <c r="F28" s="46">
        <v>2000</v>
      </c>
      <c r="G28" s="10">
        <f t="shared" si="1"/>
        <v>21854000</v>
      </c>
    </row>
    <row r="29" spans="1:7" s="5" customFormat="1" ht="50" customHeight="1" x14ac:dyDescent="0.2">
      <c r="A29" s="24"/>
      <c r="B29" s="44" t="s">
        <v>82</v>
      </c>
      <c r="C29" s="43" t="s">
        <v>70</v>
      </c>
      <c r="D29" s="52" t="s">
        <v>2</v>
      </c>
      <c r="E29" s="53">
        <v>3714</v>
      </c>
      <c r="F29" s="46">
        <v>2000</v>
      </c>
      <c r="G29" s="10">
        <f t="shared" si="1"/>
        <v>7428000</v>
      </c>
    </row>
    <row r="30" spans="1:7" s="5" customFormat="1" ht="50" customHeight="1" x14ac:dyDescent="0.2">
      <c r="A30" s="24"/>
      <c r="B30" s="44" t="s">
        <v>83</v>
      </c>
      <c r="C30" s="43" t="s">
        <v>71</v>
      </c>
      <c r="D30" s="52" t="s">
        <v>2</v>
      </c>
      <c r="E30" s="53">
        <v>32</v>
      </c>
      <c r="F30" s="46">
        <v>13000</v>
      </c>
      <c r="G30" s="10">
        <f t="shared" si="1"/>
        <v>416000</v>
      </c>
    </row>
    <row r="31" spans="1:7" s="5" customFormat="1" ht="50" customHeight="1" x14ac:dyDescent="0.2">
      <c r="A31" s="24"/>
      <c r="B31" s="44" t="s">
        <v>84</v>
      </c>
      <c r="C31" s="43" t="s">
        <v>72</v>
      </c>
      <c r="D31" s="52" t="s">
        <v>20</v>
      </c>
      <c r="E31" s="53">
        <v>2</v>
      </c>
      <c r="F31" s="46">
        <v>0</v>
      </c>
      <c r="G31" s="10">
        <f t="shared" si="1"/>
        <v>0</v>
      </c>
    </row>
    <row r="32" spans="1:7" s="5" customFormat="1" ht="50" customHeight="1" x14ac:dyDescent="0.2">
      <c r="A32" s="24"/>
      <c r="B32" s="44" t="s">
        <v>85</v>
      </c>
      <c r="C32" s="43" t="s">
        <v>73</v>
      </c>
      <c r="D32" s="52" t="s">
        <v>20</v>
      </c>
      <c r="E32" s="53">
        <v>12</v>
      </c>
      <c r="F32" s="46">
        <v>0</v>
      </c>
      <c r="G32" s="10">
        <f t="shared" si="1"/>
        <v>0</v>
      </c>
    </row>
    <row r="33" spans="1:7" s="5" customFormat="1" ht="50" customHeight="1" x14ac:dyDescent="0.2">
      <c r="A33" s="24"/>
      <c r="B33" s="44" t="s">
        <v>86</v>
      </c>
      <c r="C33" s="43" t="s">
        <v>74</v>
      </c>
      <c r="D33" s="52" t="s">
        <v>2</v>
      </c>
      <c r="E33" s="53">
        <v>128</v>
      </c>
      <c r="F33" s="46">
        <v>3000</v>
      </c>
      <c r="G33" s="10">
        <f t="shared" si="1"/>
        <v>384000</v>
      </c>
    </row>
    <row r="34" spans="1:7" s="5" customFormat="1" ht="50" customHeight="1" x14ac:dyDescent="0.2">
      <c r="A34" s="24"/>
      <c r="B34" s="44" t="s">
        <v>87</v>
      </c>
      <c r="C34" s="43" t="s">
        <v>75</v>
      </c>
      <c r="D34" s="52" t="s">
        <v>20</v>
      </c>
      <c r="E34" s="53">
        <v>264</v>
      </c>
      <c r="F34" s="46">
        <v>7000</v>
      </c>
      <c r="G34" s="10">
        <f t="shared" si="1"/>
        <v>1848000</v>
      </c>
    </row>
    <row r="35" spans="1:7" s="5" customFormat="1" ht="50" customHeight="1" x14ac:dyDescent="0.2">
      <c r="A35" s="24"/>
      <c r="B35" s="44" t="s">
        <v>88</v>
      </c>
      <c r="C35" s="43" t="s">
        <v>76</v>
      </c>
      <c r="D35" s="52" t="s">
        <v>20</v>
      </c>
      <c r="E35" s="53">
        <v>354</v>
      </c>
      <c r="F35" s="46">
        <v>7000</v>
      </c>
      <c r="G35" s="10">
        <f t="shared" si="1"/>
        <v>2478000</v>
      </c>
    </row>
    <row r="36" spans="1:7" s="5" customFormat="1" ht="50" customHeight="1" x14ac:dyDescent="0.2">
      <c r="A36" s="24"/>
      <c r="B36" s="44" t="s">
        <v>89</v>
      </c>
      <c r="C36" s="43" t="s">
        <v>77</v>
      </c>
      <c r="D36" s="52" t="s">
        <v>2</v>
      </c>
      <c r="E36" s="53">
        <v>25</v>
      </c>
      <c r="F36" s="46">
        <v>52000</v>
      </c>
      <c r="G36" s="10">
        <f t="shared" si="1"/>
        <v>1300000</v>
      </c>
    </row>
    <row r="37" spans="1:7" s="5" customFormat="1" ht="50" customHeight="1" x14ac:dyDescent="0.2">
      <c r="A37" s="24"/>
      <c r="B37" s="44" t="s">
        <v>90</v>
      </c>
      <c r="C37" s="43" t="s">
        <v>78</v>
      </c>
      <c r="D37" s="52" t="s">
        <v>2</v>
      </c>
      <c r="E37" s="53">
        <v>79</v>
      </c>
      <c r="F37" s="46">
        <v>0</v>
      </c>
      <c r="G37" s="10">
        <f t="shared" si="1"/>
        <v>0</v>
      </c>
    </row>
    <row r="38" spans="1:7" s="5" customFormat="1" ht="50" customHeight="1" x14ac:dyDescent="0.2">
      <c r="A38" s="24"/>
      <c r="B38" s="44" t="s">
        <v>91</v>
      </c>
      <c r="C38" s="43" t="s">
        <v>79</v>
      </c>
      <c r="D38" s="52" t="s">
        <v>20</v>
      </c>
      <c r="E38" s="53">
        <v>418</v>
      </c>
      <c r="F38" s="46">
        <v>7000</v>
      </c>
      <c r="G38" s="10">
        <f t="shared" si="1"/>
        <v>2926000</v>
      </c>
    </row>
    <row r="39" spans="1:7" ht="50" customHeight="1" x14ac:dyDescent="0.2">
      <c r="A39" s="22">
        <v>4</v>
      </c>
      <c r="B39" s="75" t="s">
        <v>25</v>
      </c>
      <c r="C39" s="76"/>
      <c r="D39" s="76"/>
      <c r="E39" s="76"/>
      <c r="F39" s="77"/>
      <c r="G39" s="23">
        <f>SUM(G40:G55)</f>
        <v>237970000</v>
      </c>
    </row>
    <row r="40" spans="1:7" ht="50" customHeight="1" x14ac:dyDescent="0.2">
      <c r="A40" s="25"/>
      <c r="B40" s="44" t="s">
        <v>42</v>
      </c>
      <c r="C40" s="8"/>
      <c r="D40" s="45"/>
      <c r="E40" s="45"/>
      <c r="F40" s="46"/>
      <c r="G40" s="10">
        <f t="shared" ref="G40:G46" si="2">+E40*F40</f>
        <v>0</v>
      </c>
    </row>
    <row r="41" spans="1:7" ht="50" customHeight="1" x14ac:dyDescent="0.2">
      <c r="A41" s="25"/>
      <c r="B41" s="44" t="s">
        <v>103</v>
      </c>
      <c r="C41" s="47" t="s">
        <v>92</v>
      </c>
      <c r="D41" s="35" t="s">
        <v>20</v>
      </c>
      <c r="E41" s="54">
        <v>2617</v>
      </c>
      <c r="F41" s="46">
        <v>15000</v>
      </c>
      <c r="G41" s="10">
        <f t="shared" si="2"/>
        <v>39255000</v>
      </c>
    </row>
    <row r="42" spans="1:7" ht="50" customHeight="1" x14ac:dyDescent="0.2">
      <c r="A42" s="25"/>
      <c r="B42" s="44" t="s">
        <v>104</v>
      </c>
      <c r="C42" s="47" t="s">
        <v>93</v>
      </c>
      <c r="D42" s="35" t="s">
        <v>20</v>
      </c>
      <c r="E42" s="54">
        <v>460</v>
      </c>
      <c r="F42" s="46">
        <v>15000</v>
      </c>
      <c r="G42" s="10">
        <f t="shared" si="2"/>
        <v>6900000</v>
      </c>
    </row>
    <row r="43" spans="1:7" ht="50" customHeight="1" x14ac:dyDescent="0.2">
      <c r="A43" s="25"/>
      <c r="B43" s="44" t="s">
        <v>105</v>
      </c>
      <c r="C43" s="47" t="s">
        <v>94</v>
      </c>
      <c r="D43" s="35" t="s">
        <v>20</v>
      </c>
      <c r="E43" s="54">
        <v>10286</v>
      </c>
      <c r="F43" s="46">
        <v>15000</v>
      </c>
      <c r="G43" s="10">
        <f t="shared" si="2"/>
        <v>154290000</v>
      </c>
    </row>
    <row r="44" spans="1:7" ht="50" customHeight="1" x14ac:dyDescent="0.2">
      <c r="A44" s="25"/>
      <c r="B44" s="44" t="s">
        <v>106</v>
      </c>
      <c r="C44" s="47" t="s">
        <v>95</v>
      </c>
      <c r="D44" s="35" t="s">
        <v>20</v>
      </c>
      <c r="E44" s="54">
        <v>639</v>
      </c>
      <c r="F44" s="46">
        <v>15000</v>
      </c>
      <c r="G44" s="10">
        <f t="shared" si="2"/>
        <v>9585000</v>
      </c>
    </row>
    <row r="45" spans="1:7" ht="50" customHeight="1" x14ac:dyDescent="0.2">
      <c r="A45" s="25"/>
      <c r="B45" s="44" t="s">
        <v>107</v>
      </c>
      <c r="C45" s="47" t="s">
        <v>96</v>
      </c>
      <c r="D45" s="35" t="s">
        <v>2</v>
      </c>
      <c r="E45" s="54">
        <v>460</v>
      </c>
      <c r="F45" s="46">
        <v>3500</v>
      </c>
      <c r="G45" s="10">
        <f t="shared" si="2"/>
        <v>1610000</v>
      </c>
    </row>
    <row r="46" spans="1:7" ht="50" customHeight="1" x14ac:dyDescent="0.2">
      <c r="A46" s="25"/>
      <c r="B46" s="44" t="s">
        <v>108</v>
      </c>
      <c r="C46" s="47" t="s">
        <v>97</v>
      </c>
      <c r="D46" s="35" t="s">
        <v>20</v>
      </c>
      <c r="E46" s="54">
        <v>230</v>
      </c>
      <c r="F46" s="46">
        <v>15000</v>
      </c>
      <c r="G46" s="10">
        <f t="shared" si="2"/>
        <v>3450000</v>
      </c>
    </row>
    <row r="47" spans="1:7" ht="50" customHeight="1" x14ac:dyDescent="0.2">
      <c r="A47" s="25"/>
      <c r="B47" s="44" t="s">
        <v>109</v>
      </c>
      <c r="C47" s="8"/>
      <c r="D47" s="45"/>
      <c r="E47" s="45"/>
      <c r="F47" s="46"/>
      <c r="G47" s="10"/>
    </row>
    <row r="48" spans="1:7" ht="50" customHeight="1" x14ac:dyDescent="0.2">
      <c r="A48" s="25"/>
      <c r="B48" s="44" t="s">
        <v>110</v>
      </c>
      <c r="C48" s="47" t="s">
        <v>98</v>
      </c>
      <c r="D48" s="45" t="s">
        <v>20</v>
      </c>
      <c r="E48" s="53">
        <v>2</v>
      </c>
      <c r="F48" s="46">
        <v>7000</v>
      </c>
      <c r="G48" s="10">
        <f>+E48*F48</f>
        <v>14000</v>
      </c>
    </row>
    <row r="49" spans="1:8" ht="50" customHeight="1" x14ac:dyDescent="0.2">
      <c r="A49" s="25"/>
      <c r="B49" s="44" t="s">
        <v>111</v>
      </c>
      <c r="C49" s="47" t="s">
        <v>99</v>
      </c>
      <c r="D49" s="45" t="s">
        <v>2</v>
      </c>
      <c r="E49" s="53">
        <v>43</v>
      </c>
      <c r="F49" s="46">
        <v>7000</v>
      </c>
      <c r="G49" s="10">
        <f>+E49*F49</f>
        <v>301000</v>
      </c>
    </row>
    <row r="50" spans="1:8" ht="50" customHeight="1" x14ac:dyDescent="0.2">
      <c r="A50" s="25"/>
      <c r="B50" s="44" t="s">
        <v>111</v>
      </c>
      <c r="C50" s="47" t="s">
        <v>100</v>
      </c>
      <c r="D50" s="45" t="s">
        <v>2</v>
      </c>
      <c r="E50" s="53">
        <v>25</v>
      </c>
      <c r="F50" s="46">
        <v>7000</v>
      </c>
      <c r="G50" s="10">
        <f>+E50*F50</f>
        <v>175000</v>
      </c>
    </row>
    <row r="51" spans="1:8" ht="50" customHeight="1" x14ac:dyDescent="0.2">
      <c r="A51" s="25"/>
      <c r="B51" s="44" t="s">
        <v>111</v>
      </c>
      <c r="C51" s="47" t="s">
        <v>101</v>
      </c>
      <c r="D51" s="45" t="s">
        <v>2</v>
      </c>
      <c r="E51" s="53">
        <v>102</v>
      </c>
      <c r="F51" s="46">
        <v>7000</v>
      </c>
      <c r="G51" s="10">
        <f>+E51*F51</f>
        <v>714000</v>
      </c>
    </row>
    <row r="52" spans="1:8" ht="50" customHeight="1" x14ac:dyDescent="0.2">
      <c r="A52" s="25"/>
      <c r="B52" s="44" t="s">
        <v>111</v>
      </c>
      <c r="C52" s="47" t="s">
        <v>102</v>
      </c>
      <c r="D52" s="45" t="s">
        <v>20</v>
      </c>
      <c r="E52" s="53">
        <v>3</v>
      </c>
      <c r="F52" s="46">
        <v>7000</v>
      </c>
      <c r="G52" s="10">
        <f>+E52*F52</f>
        <v>21000</v>
      </c>
    </row>
    <row r="53" spans="1:8" ht="50" customHeight="1" x14ac:dyDescent="0.2">
      <c r="A53" s="25"/>
      <c r="B53" s="44" t="s">
        <v>114</v>
      </c>
      <c r="C53" s="47"/>
      <c r="D53" s="45"/>
      <c r="E53" s="45"/>
      <c r="F53" s="46"/>
      <c r="G53" s="10"/>
    </row>
    <row r="54" spans="1:8" ht="50" customHeight="1" x14ac:dyDescent="0.2">
      <c r="A54" s="25"/>
      <c r="B54" s="44" t="s">
        <v>115</v>
      </c>
      <c r="C54" s="47" t="s">
        <v>112</v>
      </c>
      <c r="D54" s="51" t="s">
        <v>20</v>
      </c>
      <c r="E54" s="53">
        <v>1095</v>
      </c>
      <c r="F54" s="46">
        <v>5000</v>
      </c>
      <c r="G54" s="10">
        <f>+E54*F54</f>
        <v>5475000</v>
      </c>
      <c r="H54" s="1">
        <f>280000/120</f>
        <v>2333.3333333333335</v>
      </c>
    </row>
    <row r="55" spans="1:8" ht="50" customHeight="1" x14ac:dyDescent="0.2">
      <c r="A55" s="25"/>
      <c r="B55" s="44" t="s">
        <v>116</v>
      </c>
      <c r="C55" s="47" t="s">
        <v>113</v>
      </c>
      <c r="D55" s="51" t="s">
        <v>20</v>
      </c>
      <c r="E55" s="53">
        <v>3236</v>
      </c>
      <c r="F55" s="46">
        <v>5000</v>
      </c>
      <c r="G55" s="10">
        <f>+E55*F55</f>
        <v>16180000</v>
      </c>
    </row>
    <row r="56" spans="1:8" ht="50" customHeight="1" x14ac:dyDescent="0.2">
      <c r="A56" s="26">
        <v>5</v>
      </c>
      <c r="B56" s="78" t="s">
        <v>26</v>
      </c>
      <c r="C56" s="79"/>
      <c r="D56" s="78"/>
      <c r="E56" s="78"/>
      <c r="F56" s="80"/>
      <c r="G56" s="27">
        <f>SUM(G57:G57)</f>
        <v>1500000</v>
      </c>
    </row>
    <row r="57" spans="1:8" ht="50" customHeight="1" x14ac:dyDescent="0.2">
      <c r="A57" s="28"/>
      <c r="B57" s="29">
        <v>5.0999999999999996</v>
      </c>
      <c r="C57" s="30" t="s">
        <v>19</v>
      </c>
      <c r="D57" s="31" t="s">
        <v>18</v>
      </c>
      <c r="E57" s="32">
        <v>1</v>
      </c>
      <c r="F57" s="33">
        <v>1500000</v>
      </c>
      <c r="G57" s="34">
        <f>F57*E57</f>
        <v>1500000</v>
      </c>
    </row>
    <row r="58" spans="1:8" ht="30" customHeight="1" x14ac:dyDescent="0.2">
      <c r="A58" s="35"/>
      <c r="B58" s="36"/>
      <c r="C58" s="36"/>
      <c r="D58" s="36"/>
      <c r="E58" s="81" t="s">
        <v>27</v>
      </c>
      <c r="F58" s="82"/>
      <c r="G58" s="37">
        <f>G11+G19+G39+G56</f>
        <v>462611500</v>
      </c>
    </row>
    <row r="59" spans="1:8" ht="30" customHeight="1" x14ac:dyDescent="0.2">
      <c r="A59" s="35"/>
      <c r="B59" s="36"/>
      <c r="C59" s="36"/>
      <c r="D59" s="36"/>
      <c r="E59" s="38" t="s">
        <v>28</v>
      </c>
      <c r="F59" s="39">
        <v>0.08</v>
      </c>
      <c r="G59" s="40">
        <f>+$G$58*F59</f>
        <v>37008920</v>
      </c>
    </row>
    <row r="60" spans="1:8" ht="30" customHeight="1" x14ac:dyDescent="0.2">
      <c r="A60" s="35"/>
      <c r="B60" s="36"/>
      <c r="C60" s="36"/>
      <c r="D60" s="36"/>
      <c r="E60" s="38" t="s">
        <v>29</v>
      </c>
      <c r="F60" s="39">
        <v>0.03</v>
      </c>
      <c r="G60" s="40">
        <f t="shared" ref="G60:G61" si="3">+$G$58*F60</f>
        <v>13878345</v>
      </c>
    </row>
    <row r="61" spans="1:8" ht="30" customHeight="1" x14ac:dyDescent="0.2">
      <c r="A61" s="35"/>
      <c r="B61" s="36"/>
      <c r="C61" s="36"/>
      <c r="D61" s="36"/>
      <c r="E61" s="38" t="s">
        <v>30</v>
      </c>
      <c r="F61" s="39">
        <v>0.05</v>
      </c>
      <c r="G61" s="40">
        <f t="shared" si="3"/>
        <v>23130575</v>
      </c>
    </row>
    <row r="62" spans="1:8" ht="30" customHeight="1" x14ac:dyDescent="0.2">
      <c r="A62" s="35"/>
      <c r="B62" s="36"/>
      <c r="C62" s="36"/>
      <c r="D62" s="36"/>
      <c r="E62" s="38" t="s">
        <v>3</v>
      </c>
      <c r="F62" s="39">
        <v>0.19</v>
      </c>
      <c r="G62" s="40">
        <f>+G61*F62</f>
        <v>4394809.25</v>
      </c>
    </row>
    <row r="63" spans="1:8" ht="30" customHeight="1" x14ac:dyDescent="0.2">
      <c r="A63" s="35"/>
      <c r="B63" s="36"/>
      <c r="C63" s="36"/>
      <c r="D63" s="36"/>
      <c r="E63" s="83" t="s">
        <v>31</v>
      </c>
      <c r="F63" s="84"/>
      <c r="G63" s="41">
        <f>+G59+G60+G61+G62</f>
        <v>78412649.25</v>
      </c>
    </row>
    <row r="64" spans="1:8" ht="30" customHeight="1" x14ac:dyDescent="0.2">
      <c r="A64" s="35"/>
      <c r="B64" s="36"/>
      <c r="C64" s="36"/>
      <c r="D64" s="36"/>
      <c r="E64" s="67" t="s">
        <v>32</v>
      </c>
      <c r="F64" s="68"/>
      <c r="G64" s="42">
        <f>+G58+G63</f>
        <v>541024149.25</v>
      </c>
    </row>
    <row r="66" spans="7:9" x14ac:dyDescent="0.2">
      <c r="G66" s="6">
        <f>SUM(E20:E26)-E21-E26</f>
        <v>2791</v>
      </c>
      <c r="H66" s="6">
        <f>G66+E26*0.4+E21*0.7</f>
        <v>3204.2</v>
      </c>
      <c r="I66" s="6">
        <f>H66-E20</f>
        <v>2723.2</v>
      </c>
    </row>
    <row r="67" spans="7:9" x14ac:dyDescent="0.2">
      <c r="G67" s="1">
        <f>G64/G66</f>
        <v>193845.98683267646</v>
      </c>
    </row>
    <row r="68" spans="7:9" ht="16" customHeight="1" x14ac:dyDescent="0.2">
      <c r="G68" s="6">
        <f>G66*30000</f>
        <v>83730000</v>
      </c>
    </row>
    <row r="69" spans="7:9" x14ac:dyDescent="0.2">
      <c r="G69" s="6">
        <f>G64*1.1</f>
        <v>595126564.17500007</v>
      </c>
    </row>
    <row r="71" spans="7:9" x14ac:dyDescent="0.2">
      <c r="G71" s="6">
        <f>G69*1.35</f>
        <v>803420861.63625014</v>
      </c>
    </row>
    <row r="72" spans="7:9" x14ac:dyDescent="0.2">
      <c r="G72" s="6">
        <f>G71*1.1</f>
        <v>883762947.79987526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E64:F64"/>
    <mergeCell ref="B11:F11"/>
    <mergeCell ref="B19:F19"/>
    <mergeCell ref="B39:F39"/>
    <mergeCell ref="B56:F56"/>
    <mergeCell ref="E58:F58"/>
    <mergeCell ref="E63:F6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6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I35"/>
  <sheetViews>
    <sheetView tabSelected="1" topLeftCell="A20" zoomScale="87" zoomScaleNormal="66" workbookViewId="0">
      <selection activeCell="A8" sqref="A8:XFD8"/>
    </sheetView>
  </sheetViews>
  <sheetFormatPr baseColWidth="10" defaultColWidth="12.33203125" defaultRowHeight="14" x14ac:dyDescent="0.2"/>
  <cols>
    <col min="1" max="1" width="7.6640625" style="2" customWidth="1"/>
    <col min="2" max="2" width="7.5" style="1" customWidth="1"/>
    <col min="3" max="3" width="62.5" style="1" customWidth="1"/>
    <col min="4" max="4" width="12.5" style="1" customWidth="1"/>
    <col min="5" max="5" width="15.83203125" style="1" customWidth="1"/>
    <col min="6" max="6" width="16.5" style="1" customWidth="1"/>
    <col min="7" max="7" width="19.16406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85" t="s">
        <v>130</v>
      </c>
      <c r="B1" s="86"/>
      <c r="C1" s="86"/>
      <c r="D1" s="86"/>
      <c r="E1" s="86"/>
      <c r="F1" s="86"/>
      <c r="G1" s="87"/>
    </row>
    <row r="2" spans="1:8" ht="40" customHeight="1" x14ac:dyDescent="0.2">
      <c r="A2" s="88" t="s">
        <v>7</v>
      </c>
      <c r="B2" s="89"/>
      <c r="C2" s="12" t="s">
        <v>137</v>
      </c>
      <c r="D2" s="12" t="s">
        <v>8</v>
      </c>
      <c r="E2" s="12" t="s">
        <v>9</v>
      </c>
      <c r="F2" s="90"/>
      <c r="G2" s="91"/>
    </row>
    <row r="3" spans="1:8" ht="40" customHeight="1" x14ac:dyDescent="0.2">
      <c r="A3" s="88" t="s">
        <v>10</v>
      </c>
      <c r="B3" s="89"/>
      <c r="C3" s="13" t="s">
        <v>22</v>
      </c>
      <c r="D3" s="88" t="s">
        <v>132</v>
      </c>
      <c r="E3" s="89"/>
      <c r="F3" s="92"/>
      <c r="G3" s="93"/>
      <c r="H3"/>
    </row>
    <row r="4" spans="1:8" ht="40" customHeight="1" x14ac:dyDescent="0.2">
      <c r="A4" s="88" t="s">
        <v>11</v>
      </c>
      <c r="B4" s="89"/>
      <c r="C4" s="12" t="s">
        <v>12</v>
      </c>
      <c r="D4" s="88" t="s">
        <v>133</v>
      </c>
      <c r="E4" s="89"/>
      <c r="F4" s="94"/>
      <c r="G4" s="95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1000000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500000</v>
      </c>
      <c r="G7" s="9">
        <f>E7*F7</f>
        <v>500000</v>
      </c>
    </row>
    <row r="8" spans="1:8" ht="36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500000</v>
      </c>
      <c r="G8" s="9">
        <f>E8*F8</f>
        <v>500000</v>
      </c>
    </row>
    <row r="9" spans="1:8" s="4" customFormat="1" ht="50" customHeight="1" x14ac:dyDescent="0.2">
      <c r="A9" s="22">
        <v>2</v>
      </c>
      <c r="B9" s="69" t="s">
        <v>23</v>
      </c>
      <c r="C9" s="70"/>
      <c r="D9" s="70"/>
      <c r="E9" s="70"/>
      <c r="F9" s="71"/>
      <c r="G9" s="23">
        <f>SUM(G10:G14)</f>
        <v>210745200</v>
      </c>
    </row>
    <row r="10" spans="1:8" s="4" customFormat="1" ht="50" customHeight="1" x14ac:dyDescent="0.2">
      <c r="A10" s="24"/>
      <c r="B10" s="25" t="s">
        <v>36</v>
      </c>
      <c r="C10" s="43" t="s">
        <v>118</v>
      </c>
      <c r="D10" s="48" t="s">
        <v>20</v>
      </c>
      <c r="E10" s="56">
        <v>7447</v>
      </c>
      <c r="F10" s="9">
        <v>3800</v>
      </c>
      <c r="G10" s="9">
        <f>E10*F10</f>
        <v>28298600</v>
      </c>
      <c r="H10" s="55"/>
    </row>
    <row r="11" spans="1:8" s="4" customFormat="1" ht="50" customHeight="1" x14ac:dyDescent="0.2">
      <c r="A11" s="24"/>
      <c r="B11" s="25" t="s">
        <v>37</v>
      </c>
      <c r="C11" s="43" t="s">
        <v>119</v>
      </c>
      <c r="D11" s="48" t="s">
        <v>20</v>
      </c>
      <c r="E11" s="57">
        <v>3734</v>
      </c>
      <c r="F11" s="9">
        <v>5100</v>
      </c>
      <c r="G11" s="9">
        <f t="shared" ref="G11" si="0">E11*F11</f>
        <v>19043400</v>
      </c>
    </row>
    <row r="12" spans="1:8" s="4" customFormat="1" ht="50" customHeight="1" x14ac:dyDescent="0.2">
      <c r="A12" s="24"/>
      <c r="B12" s="25" t="s">
        <v>56</v>
      </c>
      <c r="C12" s="43" t="s">
        <v>120</v>
      </c>
      <c r="D12" s="48" t="s">
        <v>20</v>
      </c>
      <c r="E12" s="56">
        <v>20</v>
      </c>
      <c r="F12" s="9">
        <v>44000</v>
      </c>
      <c r="G12" s="9">
        <f>E12*F12</f>
        <v>880000</v>
      </c>
    </row>
    <row r="13" spans="1:8" s="4" customFormat="1" ht="50" customHeight="1" x14ac:dyDescent="0.2">
      <c r="A13" s="24"/>
      <c r="B13" s="25" t="s">
        <v>57</v>
      </c>
      <c r="C13" s="43" t="s">
        <v>121</v>
      </c>
      <c r="D13" s="48" t="s">
        <v>2</v>
      </c>
      <c r="E13" s="56">
        <v>4996</v>
      </c>
      <c r="F13" s="9">
        <v>5700</v>
      </c>
      <c r="G13" s="9">
        <f>E13*F13</f>
        <v>28477200</v>
      </c>
    </row>
    <row r="14" spans="1:8" s="4" customFormat="1" ht="50" customHeight="1" x14ac:dyDescent="0.2">
      <c r="A14" s="24"/>
      <c r="B14" s="25" t="s">
        <v>58</v>
      </c>
      <c r="C14" s="43" t="s">
        <v>122</v>
      </c>
      <c r="D14" s="48" t="s">
        <v>20</v>
      </c>
      <c r="E14" s="56">
        <v>7447</v>
      </c>
      <c r="F14" s="9">
        <v>18000</v>
      </c>
      <c r="G14" s="9">
        <f>E14*F14</f>
        <v>134046000</v>
      </c>
    </row>
    <row r="15" spans="1:8" s="4" customFormat="1" ht="50" customHeight="1" x14ac:dyDescent="0.2">
      <c r="A15" s="22">
        <v>3</v>
      </c>
      <c r="B15" s="72" t="s">
        <v>24</v>
      </c>
      <c r="C15" s="73"/>
      <c r="D15" s="73"/>
      <c r="E15" s="73"/>
      <c r="F15" s="74"/>
      <c r="G15" s="23">
        <f>SUM(G16:G18)</f>
        <v>84984991.999999985</v>
      </c>
    </row>
    <row r="16" spans="1:8" s="5" customFormat="1" ht="50" customHeight="1" x14ac:dyDescent="0.2">
      <c r="A16" s="24"/>
      <c r="B16" s="44" t="s">
        <v>38</v>
      </c>
      <c r="C16" s="43" t="s">
        <v>123</v>
      </c>
      <c r="D16" s="52" t="s">
        <v>20</v>
      </c>
      <c r="E16" s="53">
        <v>4462.3599999999997</v>
      </c>
      <c r="F16" s="46">
        <v>3200</v>
      </c>
      <c r="G16" s="10">
        <f>E16*F16</f>
        <v>14279551.999999998</v>
      </c>
    </row>
    <row r="17" spans="1:9" s="5" customFormat="1" ht="50" customHeight="1" x14ac:dyDescent="0.2">
      <c r="A17" s="24"/>
      <c r="B17" s="44" t="s">
        <v>39</v>
      </c>
      <c r="C17" s="43" t="s">
        <v>124</v>
      </c>
      <c r="D17" s="52" t="s">
        <v>20</v>
      </c>
      <c r="E17" s="53">
        <v>4462.3599999999997</v>
      </c>
      <c r="F17" s="46">
        <v>12000</v>
      </c>
      <c r="G17" s="10">
        <f>E17*F17</f>
        <v>53548319.999999993</v>
      </c>
    </row>
    <row r="18" spans="1:9" s="5" customFormat="1" ht="50" customHeight="1" x14ac:dyDescent="0.2">
      <c r="A18" s="24"/>
      <c r="B18" s="44" t="s">
        <v>43</v>
      </c>
      <c r="C18" s="43" t="s">
        <v>125</v>
      </c>
      <c r="D18" s="52" t="s">
        <v>20</v>
      </c>
      <c r="E18" s="53">
        <v>1429.76</v>
      </c>
      <c r="F18" s="46">
        <v>12000</v>
      </c>
      <c r="G18" s="10">
        <f>E18*F18</f>
        <v>17157120</v>
      </c>
    </row>
    <row r="19" spans="1:9" ht="50" customHeight="1" x14ac:dyDescent="0.2">
      <c r="A19" s="22">
        <v>4</v>
      </c>
      <c r="B19" s="75" t="s">
        <v>25</v>
      </c>
      <c r="C19" s="76"/>
      <c r="D19" s="76"/>
      <c r="E19" s="96"/>
      <c r="F19" s="77"/>
      <c r="G19" s="23">
        <f>SUM(G20:G20)</f>
        <v>9072000</v>
      </c>
    </row>
    <row r="20" spans="1:9" ht="50" customHeight="1" x14ac:dyDescent="0.2">
      <c r="A20" s="25"/>
      <c r="B20" s="58" t="s">
        <v>42</v>
      </c>
      <c r="C20" s="47" t="s">
        <v>126</v>
      </c>
      <c r="D20" s="35" t="s">
        <v>2</v>
      </c>
      <c r="E20" s="64">
        <v>480</v>
      </c>
      <c r="F20" s="46">
        <v>18900</v>
      </c>
      <c r="G20" s="10">
        <f t="shared" ref="G20" si="1">+E20*F20</f>
        <v>9072000</v>
      </c>
    </row>
    <row r="21" spans="1:9" ht="50" customHeight="1" x14ac:dyDescent="0.2">
      <c r="A21" s="26">
        <v>5</v>
      </c>
      <c r="B21" s="78" t="s">
        <v>26</v>
      </c>
      <c r="C21" s="79"/>
      <c r="D21" s="78"/>
      <c r="E21" s="79"/>
      <c r="F21" s="80"/>
      <c r="G21" s="27">
        <f>SUM(G22:G22)</f>
        <v>2600000</v>
      </c>
    </row>
    <row r="22" spans="1:9" ht="50" customHeight="1" x14ac:dyDescent="0.2">
      <c r="A22" s="28"/>
      <c r="B22" s="59" t="s">
        <v>129</v>
      </c>
      <c r="C22" s="19" t="s">
        <v>127</v>
      </c>
      <c r="D22" s="60" t="s">
        <v>128</v>
      </c>
      <c r="E22" s="61">
        <v>2</v>
      </c>
      <c r="F22" s="33">
        <v>1300000</v>
      </c>
      <c r="G22" s="62">
        <f>F22*E22</f>
        <v>2600000</v>
      </c>
    </row>
    <row r="23" spans="1:9" ht="30" customHeight="1" x14ac:dyDescent="0.2">
      <c r="A23" s="26">
        <v>6</v>
      </c>
      <c r="B23" s="78" t="s">
        <v>26</v>
      </c>
      <c r="C23" s="79"/>
      <c r="D23" s="78"/>
      <c r="E23" s="78"/>
      <c r="F23" s="80"/>
      <c r="G23" s="27">
        <f>SUM(G24:G24)</f>
        <v>2600000</v>
      </c>
    </row>
    <row r="24" spans="1:9" ht="30" customHeight="1" x14ac:dyDescent="0.2">
      <c r="A24" s="28"/>
      <c r="B24" s="29">
        <v>6.1</v>
      </c>
      <c r="C24" s="30" t="s">
        <v>19</v>
      </c>
      <c r="D24" s="31" t="s">
        <v>18</v>
      </c>
      <c r="E24" s="32">
        <v>1</v>
      </c>
      <c r="F24" s="33">
        <v>2600000</v>
      </c>
      <c r="G24" s="63">
        <f>F24*E24</f>
        <v>2600000</v>
      </c>
    </row>
    <row r="25" spans="1:9" ht="30" customHeight="1" x14ac:dyDescent="0.2">
      <c r="A25" s="35"/>
      <c r="B25" s="36"/>
      <c r="C25" s="36"/>
      <c r="D25" s="36"/>
      <c r="E25" s="81" t="s">
        <v>27</v>
      </c>
      <c r="F25" s="82"/>
      <c r="G25" s="37">
        <f>G6+G9+G15+G19+G23+G21</f>
        <v>311002192</v>
      </c>
    </row>
    <row r="26" spans="1:9" ht="30" customHeight="1" x14ac:dyDescent="0.2">
      <c r="A26" s="97" t="s">
        <v>136</v>
      </c>
      <c r="B26" s="97"/>
      <c r="C26" s="97"/>
      <c r="D26" s="98"/>
      <c r="E26" s="38" t="s">
        <v>28</v>
      </c>
      <c r="F26" s="39">
        <v>0.1</v>
      </c>
      <c r="G26" s="40">
        <f>+$G$25*F26</f>
        <v>31100219.200000003</v>
      </c>
    </row>
    <row r="27" spans="1:9" ht="30" customHeight="1" x14ac:dyDescent="0.2">
      <c r="A27" s="1"/>
      <c r="B27" s="36"/>
      <c r="C27" s="36"/>
      <c r="D27" s="36"/>
      <c r="E27" s="38" t="s">
        <v>29</v>
      </c>
      <c r="F27" s="39">
        <v>0.02</v>
      </c>
      <c r="G27" s="40">
        <f t="shared" ref="G27:G28" si="2">+$G$25*F27</f>
        <v>6220043.8399999999</v>
      </c>
    </row>
    <row r="28" spans="1:9" ht="30" customHeight="1" x14ac:dyDescent="0.2">
      <c r="A28" s="35"/>
      <c r="B28" s="36"/>
      <c r="C28" s="36"/>
      <c r="D28" s="36"/>
      <c r="E28" s="38" t="s">
        <v>131</v>
      </c>
      <c r="F28" s="39">
        <v>0.05</v>
      </c>
      <c r="G28" s="40">
        <f t="shared" si="2"/>
        <v>15550109.600000001</v>
      </c>
    </row>
    <row r="29" spans="1:9" ht="30" customHeight="1" x14ac:dyDescent="0.25">
      <c r="A29" s="35"/>
      <c r="B29" s="36"/>
      <c r="C29" s="65"/>
      <c r="D29" s="36"/>
      <c r="E29" s="38" t="s">
        <v>3</v>
      </c>
      <c r="F29" s="39">
        <v>0.19</v>
      </c>
      <c r="G29" s="40">
        <f>+G28*F29</f>
        <v>2954520.8240000005</v>
      </c>
    </row>
    <row r="30" spans="1:9" ht="16" x14ac:dyDescent="0.25">
      <c r="A30" s="35"/>
      <c r="B30" s="36"/>
      <c r="C30" s="65" t="s">
        <v>135</v>
      </c>
      <c r="D30" s="36"/>
      <c r="E30" s="83" t="s">
        <v>31</v>
      </c>
      <c r="F30" s="84"/>
      <c r="G30" s="41">
        <f>+G26+G27+G28+G29</f>
        <v>55824893.464000009</v>
      </c>
    </row>
    <row r="31" spans="1:9" ht="16" x14ac:dyDescent="0.25">
      <c r="A31" s="35"/>
      <c r="B31" s="36"/>
      <c r="C31" s="66" t="s">
        <v>134</v>
      </c>
      <c r="D31" s="36"/>
      <c r="E31" s="67" t="s">
        <v>32</v>
      </c>
      <c r="F31" s="68"/>
      <c r="G31" s="42">
        <f>+G25+G30</f>
        <v>366827085.46399999</v>
      </c>
      <c r="H31" s="6"/>
      <c r="I31" s="6"/>
    </row>
    <row r="33" spans="7:7" ht="16" customHeight="1" x14ac:dyDescent="0.2">
      <c r="G33" s="6"/>
    </row>
    <row r="34" spans="7:7" x14ac:dyDescent="0.2">
      <c r="G34" s="6"/>
    </row>
    <row r="35" spans="7:7" x14ac:dyDescent="0.2">
      <c r="G35" s="6"/>
    </row>
  </sheetData>
  <mergeCells count="16">
    <mergeCell ref="B9:F9"/>
    <mergeCell ref="B15:F15"/>
    <mergeCell ref="A1:G1"/>
    <mergeCell ref="A2:B2"/>
    <mergeCell ref="F2:G4"/>
    <mergeCell ref="A3:B3"/>
    <mergeCell ref="D3:E3"/>
    <mergeCell ref="A4:B4"/>
    <mergeCell ref="D4:E4"/>
    <mergeCell ref="E30:F30"/>
    <mergeCell ref="E31:F31"/>
    <mergeCell ref="B19:F19"/>
    <mergeCell ref="B23:F23"/>
    <mergeCell ref="E25:F25"/>
    <mergeCell ref="B21:F21"/>
    <mergeCell ref="A26:D26"/>
  </mergeCells>
  <phoneticPr fontId="5" type="noConversion"/>
  <pageMargins left="0.62992125984251968" right="3.937007874015748E-2" top="0.94488188976377963" bottom="0.74803149606299213" header="0.11811023622047245" footer="0.11811023622047245"/>
  <pageSetup scale="69" orientation="portrait" r:id="rId1"/>
  <rowBreaks count="1" manualBreakCount="1">
    <brk id="3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COT. SANTA CLARA PINT. IMP (2)</vt:lpstr>
      <vt:lpstr>MIRADOR DEL QUINDIO</vt:lpstr>
      <vt:lpstr>'COT. SANTA CLARA PINT. IMP (2)'!Área_de_impresión</vt:lpstr>
      <vt:lpstr>'MIRADOR DEL QUINDIO'!Área_de_impresión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2025-10-02T16:25:06Z</cp:lastPrinted>
  <dcterms:created xsi:type="dcterms:W3CDTF">2024-02-08T21:06:52Z</dcterms:created>
  <dcterms:modified xsi:type="dcterms:W3CDTF">2026-01-19T21:30:47Z</dcterms:modified>
  <cp:category/>
  <cp:contentStatus/>
</cp:coreProperties>
</file>