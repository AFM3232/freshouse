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LaCie/"/>
    </mc:Choice>
  </mc:AlternateContent>
  <xr:revisionPtr revIDLastSave="0" documentId="8_{FD467553-9D52-6244-BAAE-9D00C0FC3321}" xr6:coauthVersionLast="47" xr6:coauthVersionMax="47" xr10:uidLastSave="{00000000-0000-0000-0000-000000000000}"/>
  <bookViews>
    <workbookView xWindow="0" yWindow="680" windowWidth="29400" windowHeight="16940" xr2:uid="{AB514A95-4366-C447-8026-AD4D6CA0DFD6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1" l="1"/>
  <c r="Z13" i="1"/>
  <c r="Z12" i="1"/>
  <c r="K10" i="1"/>
  <c r="U24" i="1"/>
  <c r="S42" i="1"/>
  <c r="W12" i="1"/>
  <c r="S37" i="1"/>
  <c r="S35" i="1" l="1"/>
  <c r="W24" i="1"/>
  <c r="W26" i="1" s="1"/>
  <c r="W19" i="1"/>
  <c r="W21" i="1" s="1"/>
  <c r="W11" i="1"/>
  <c r="W10" i="1"/>
  <c r="Q12" i="1"/>
  <c r="Q24" i="1"/>
  <c r="Q26" i="1" s="1"/>
  <c r="P5" i="1" s="1"/>
  <c r="Q5" i="1" s="1"/>
  <c r="Q7" i="1" s="1"/>
  <c r="Q19" i="1"/>
  <c r="Q21" i="1" s="1"/>
  <c r="Q11" i="1"/>
  <c r="Q10" i="1"/>
  <c r="K24" i="1"/>
  <c r="K26" i="1" s="1"/>
  <c r="J5" i="1" s="1"/>
  <c r="K5" i="1" s="1"/>
  <c r="K7" i="1" s="1"/>
  <c r="K19" i="1"/>
  <c r="K21" i="1" s="1"/>
  <c r="K12" i="1"/>
  <c r="K11" i="1"/>
  <c r="E21" i="1"/>
  <c r="E23" i="1" s="1"/>
  <c r="D5" i="1" s="1"/>
  <c r="E5" i="1" s="1"/>
  <c r="E7" i="1" s="1"/>
  <c r="E25" i="1" s="1"/>
  <c r="E16" i="1"/>
  <c r="E18" i="1" s="1"/>
  <c r="E13" i="1"/>
  <c r="V5" i="1" l="1"/>
  <c r="W5" i="1" s="1"/>
  <c r="W14" i="1" s="1"/>
  <c r="W7" i="1"/>
  <c r="Q14" i="1"/>
  <c r="K14" i="1"/>
  <c r="K16" i="1" s="1"/>
  <c r="K28" i="1" s="1"/>
  <c r="K30" i="1" s="1"/>
  <c r="W16" i="1" l="1"/>
  <c r="W28" i="1" s="1"/>
  <c r="W30" i="1" s="1"/>
  <c r="W35" i="1" s="1"/>
  <c r="Q16" i="1"/>
  <c r="Q28" i="1" s="1"/>
  <c r="Q30" i="1" s="1"/>
  <c r="T38" i="1"/>
  <c r="K39" i="1"/>
  <c r="L39" i="1" s="1"/>
  <c r="T37" i="1"/>
  <c r="N39" i="1" l="1"/>
</calcChain>
</file>

<file path=xl/sharedStrings.xml><?xml version="1.0" encoding="utf-8"?>
<sst xmlns="http://schemas.openxmlformats.org/spreadsheetml/2006/main" count="192" uniqueCount="46">
  <si>
    <t>ACTIVIDAD: Desmonte de teja de fibrocemento</t>
  </si>
  <si>
    <t>ITEM</t>
  </si>
  <si>
    <t>4.1</t>
  </si>
  <si>
    <t>UNIDAD</t>
  </si>
  <si>
    <t>M2</t>
  </si>
  <si>
    <t>I. EQUIPOS</t>
  </si>
  <si>
    <t>DESCRIPCIÓN</t>
  </si>
  <si>
    <t>RENDIMIENTO</t>
  </si>
  <si>
    <t>TARIFA</t>
  </si>
  <si>
    <t>VALOR - PARCIAL</t>
  </si>
  <si>
    <t>Herramienta menor</t>
  </si>
  <si>
    <t>%MO</t>
  </si>
  <si>
    <t>SUB - TOTAL</t>
  </si>
  <si>
    <t>II. MATERIALES</t>
  </si>
  <si>
    <t>CANTIDAD</t>
  </si>
  <si>
    <t>PRECIO - UNIT</t>
  </si>
  <si>
    <t>Desperdicio 2%</t>
  </si>
  <si>
    <t>III. TRANSPORTE</t>
  </si>
  <si>
    <t>Acarreo LUV</t>
  </si>
  <si>
    <t>Día</t>
  </si>
  <si>
    <t>IV. MANO DE OBRA</t>
  </si>
  <si>
    <t>JORNAL</t>
  </si>
  <si>
    <t>CUADRILLA 1: 1 Oficial y 1 ayudante</t>
  </si>
  <si>
    <t>TOTAL UNITARIO</t>
  </si>
  <si>
    <t>ACTIVIDAD: Suministro e instalación de teja de fibrocemento</t>
  </si>
  <si>
    <t>Teja de fibrocemento</t>
  </si>
  <si>
    <t>Und</t>
  </si>
  <si>
    <t>Amarras</t>
  </si>
  <si>
    <t>Ganchos</t>
  </si>
  <si>
    <t>ACTIVIDAD: Suministro e instalación de teja Techoline</t>
  </si>
  <si>
    <t>Teja Techoline</t>
  </si>
  <si>
    <t>TEJA FIBROCEMENTO</t>
  </si>
  <si>
    <t>TEJA TECHOLINE</t>
  </si>
  <si>
    <t>DESMONTE DE TEJA</t>
  </si>
  <si>
    <t>Tornillo Autoperforante</t>
  </si>
  <si>
    <t>Refuerzo de estructura</t>
  </si>
  <si>
    <t>UND</t>
  </si>
  <si>
    <t>ACTIVIDAD: Suministro e instalación de teja UPVC</t>
  </si>
  <si>
    <t>TEJA UPVC</t>
  </si>
  <si>
    <t>Teja UPVC</t>
  </si>
  <si>
    <t>15 dias</t>
  </si>
  <si>
    <t>5 dias</t>
  </si>
  <si>
    <t xml:space="preserve">50 cm con omegas </t>
  </si>
  <si>
    <t>2,4M2 6ML DE VIGUETA. 12ML DE OMEGA</t>
  </si>
  <si>
    <t>OMEGA</t>
  </si>
  <si>
    <t>VIGUETAS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</si>
</sst>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"/>
    <numFmt numFmtId="165" formatCode="0.000"/>
    <numFmt numFmtId="166" formatCode="&quot;$&quot;\ #,##0.000"/>
  </numFmts>
  <fonts count="9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0"/>
      <name val="Swis721 BT"/>
      <family val="2"/>
    </font>
    <font>
      <sz val="10"/>
      <name val="Swis721 BT"/>
      <family val="2"/>
    </font>
    <font>
      <b/>
      <sz val="10"/>
      <color theme="1"/>
      <name val="Swis721 BT"/>
      <family val="2"/>
    </font>
    <font>
      <sz val="10"/>
      <color theme="1"/>
      <name val="Swis721 BT"/>
      <family val="2"/>
    </font>
    <font>
      <sz val="10"/>
      <color rgb="FF000000"/>
      <name val="Swis721 BT"/>
      <family val="2"/>
    </font>
    <font>
      <b/>
      <sz val="22"/>
      <color theme="1"/>
      <name val="Aptos Narrow"/>
      <scheme val="minor"/>
    </font>
    <font>
      <b/>
      <sz val="22"/>
      <color rgb="FF00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15761"/>
        <bgColor indexed="64"/>
      </patternFill>
    </fill>
    <fill>
      <patternFill patternType="solid">
        <fgColor theme="2" tint="-9.9978637043366805E-2"/>
        <bgColor rgb="FF8496B0"/>
      </patternFill>
    </fill>
    <fill>
      <patternFill patternType="solid">
        <fgColor rgb="FF64A0B0"/>
        <bgColor rgb="FF333F4F"/>
      </patternFill>
    </fill>
    <fill>
      <patternFill patternType="solid">
        <fgColor rgb="FF64A0B0"/>
        <bgColor indexed="64"/>
      </patternFill>
    </fill>
    <fill>
      <patternFill patternType="solid">
        <fgColor theme="6" tint="0.39997558519241921"/>
        <bgColor rgb="FF8496B0"/>
      </patternFill>
    </fill>
    <fill>
      <patternFill patternType="solid">
        <fgColor theme="6" tint="0.79998168889431442"/>
        <bgColor rgb="FFD6DCE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rgb="FF8496B0"/>
      </patternFill>
    </fill>
    <fill>
      <patternFill patternType="solid">
        <fgColor theme="5" tint="0.79998168889431442"/>
        <bgColor rgb="FFD6DCE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1" applyFont="1" applyAlignment="1">
      <alignment vertical="center"/>
    </xf>
    <xf numFmtId="0" fontId="4" fillId="3" borderId="0" xfId="1" applyFont="1" applyFill="1" applyAlignment="1">
      <alignment horizontal="center" vertical="center"/>
    </xf>
    <xf numFmtId="0" fontId="4" fillId="6" borderId="0" xfId="1" applyFont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64" fontId="5" fillId="0" borderId="0" xfId="1" applyNumberFormat="1" applyFont="1" applyAlignment="1">
      <alignment horizontal="right" vertical="center"/>
    </xf>
    <xf numFmtId="164" fontId="4" fillId="7" borderId="0" xfId="1" applyNumberFormat="1" applyFont="1" applyFill="1" applyAlignment="1">
      <alignment horizontal="right" vertical="center"/>
    </xf>
    <xf numFmtId="0" fontId="5" fillId="0" borderId="0" xfId="1" applyFont="1" applyAlignment="1">
      <alignment horizontal="left"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4" fillId="0" borderId="0" xfId="1" applyFont="1" applyAlignment="1">
      <alignment horizontal="right" vertical="center"/>
    </xf>
    <xf numFmtId="2" fontId="6" fillId="0" borderId="0" xfId="1" applyNumberFormat="1" applyFont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0" fontId="4" fillId="9" borderId="0" xfId="1" applyFont="1" applyFill="1" applyAlignment="1">
      <alignment horizontal="center" vertical="center"/>
    </xf>
    <xf numFmtId="164" fontId="4" fillId="10" borderId="0" xfId="1" applyNumberFormat="1" applyFont="1" applyFill="1" applyAlignment="1">
      <alignment horizontal="right" vertical="center"/>
    </xf>
    <xf numFmtId="164" fontId="0" fillId="0" borderId="0" xfId="0" applyNumberFormat="1"/>
    <xf numFmtId="166" fontId="0" fillId="0" borderId="0" xfId="0" applyNumberFormat="1"/>
    <xf numFmtId="2" fontId="0" fillId="0" borderId="0" xfId="0" applyNumberFormat="1"/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4" fillId="10" borderId="0" xfId="1" applyFont="1" applyFill="1" applyAlignment="1">
      <alignment horizontal="right" vertical="center"/>
    </xf>
    <xf numFmtId="0" fontId="3" fillId="11" borderId="0" xfId="1" applyFont="1" applyFill="1" applyAlignment="1">
      <alignment vertical="center"/>
    </xf>
    <xf numFmtId="0" fontId="2" fillId="4" borderId="0" xfId="1" applyFont="1" applyFill="1" applyAlignment="1">
      <alignment horizontal="left" vertical="center"/>
    </xf>
    <xf numFmtId="0" fontId="3" fillId="5" borderId="0" xfId="1" applyFont="1" applyFill="1" applyAlignment="1">
      <alignment vertical="center"/>
    </xf>
    <xf numFmtId="0" fontId="2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4" fillId="7" borderId="0" xfId="1" applyFont="1" applyFill="1" applyAlignment="1">
      <alignment horizontal="right" vertical="center"/>
    </xf>
    <xf numFmtId="0" fontId="3" fillId="8" borderId="0" xfId="1" applyFont="1" applyFill="1" applyAlignment="1">
      <alignment vertical="center"/>
    </xf>
    <xf numFmtId="0" fontId="2" fillId="2" borderId="0" xfId="1" applyFont="1" applyFill="1" applyAlignment="1">
      <alignment horizontal="left" vertical="center"/>
    </xf>
    <xf numFmtId="0" fontId="3" fillId="2" borderId="0" xfId="1" applyFont="1" applyFill="1" applyAlignment="1">
      <alignment vertical="center"/>
    </xf>
  </cellXfs>
  <cellStyles count="2">
    <cellStyle name="Normal" xfId="0" builtinId="0"/>
    <cellStyle name="Normal 2" xfId="1" xr:uid="{37786FE4-BA58-8646-BD13-56912643E3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9EAD-DE37-414B-A231-53AB899B03CE}">
  <dimension ref="A1:Z43"/>
  <sheetViews>
    <sheetView tabSelected="1" topLeftCell="G1" zoomScale="75" workbookViewId="0">
      <selection activeCell="W36" sqref="W36"/>
    </sheetView>
  </sheetViews>
  <sheetFormatPr baseColWidth="10" defaultRowHeight="16"/>
  <cols>
    <col min="1" max="1" width="37.5" customWidth="1"/>
    <col min="2" max="2" width="12.1640625" customWidth="1"/>
    <col min="3" max="5" width="18.6640625" customWidth="1"/>
    <col min="7" max="7" width="37.5" customWidth="1"/>
    <col min="8" max="8" width="12.1640625" customWidth="1"/>
    <col min="9" max="11" width="18.6640625" customWidth="1"/>
    <col min="12" max="12" width="12.83203125" bestFit="1" customWidth="1"/>
    <col min="13" max="13" width="37.5" customWidth="1"/>
    <col min="14" max="14" width="12.1640625" customWidth="1"/>
    <col min="15" max="17" width="18.6640625" customWidth="1"/>
    <col min="19" max="19" width="37.5" customWidth="1"/>
    <col min="20" max="20" width="12.83203125" bestFit="1" customWidth="1"/>
    <col min="21" max="23" width="18.6640625" customWidth="1"/>
  </cols>
  <sheetData>
    <row r="1" spans="1:26" ht="16" customHeight="1">
      <c r="A1" s="34" t="s">
        <v>0</v>
      </c>
      <c r="B1" s="35"/>
      <c r="C1" s="35"/>
      <c r="D1" s="1" t="s">
        <v>1</v>
      </c>
      <c r="E1" s="1" t="s">
        <v>2</v>
      </c>
      <c r="G1" s="26" t="s">
        <v>24</v>
      </c>
      <c r="H1" s="27"/>
      <c r="I1" s="27"/>
      <c r="J1" s="1" t="s">
        <v>1</v>
      </c>
      <c r="K1" s="1" t="s">
        <v>2</v>
      </c>
      <c r="M1" s="26" t="s">
        <v>29</v>
      </c>
      <c r="N1" s="27"/>
      <c r="O1" s="27"/>
      <c r="P1" s="1" t="s">
        <v>1</v>
      </c>
      <c r="Q1" s="1" t="s">
        <v>2</v>
      </c>
      <c r="S1" s="26" t="s">
        <v>37</v>
      </c>
      <c r="T1" s="27"/>
      <c r="U1" s="27"/>
      <c r="V1" s="1" t="s">
        <v>1</v>
      </c>
      <c r="W1" s="1" t="s">
        <v>2</v>
      </c>
    </row>
    <row r="2" spans="1:26">
      <c r="A2" s="28"/>
      <c r="B2" s="29"/>
      <c r="C2" s="29"/>
      <c r="D2" s="3" t="s">
        <v>3</v>
      </c>
      <c r="E2" s="3" t="s">
        <v>4</v>
      </c>
      <c r="G2" s="28"/>
      <c r="H2" s="29"/>
      <c r="I2" s="29"/>
      <c r="J2" s="3" t="s">
        <v>3</v>
      </c>
      <c r="K2" s="3" t="s">
        <v>4</v>
      </c>
      <c r="M2" s="28"/>
      <c r="N2" s="29"/>
      <c r="O2" s="29"/>
      <c r="P2" s="3" t="s">
        <v>3</v>
      </c>
      <c r="Q2" s="3" t="s">
        <v>4</v>
      </c>
      <c r="S2" s="28"/>
      <c r="T2" s="29"/>
      <c r="U2" s="29"/>
      <c r="V2" s="3" t="s">
        <v>3</v>
      </c>
      <c r="W2" s="3" t="s">
        <v>4</v>
      </c>
    </row>
    <row r="3" spans="1:26">
      <c r="A3" s="24" t="s">
        <v>5</v>
      </c>
      <c r="B3" s="25"/>
      <c r="C3" s="25"/>
      <c r="D3" s="25"/>
      <c r="E3" s="25"/>
      <c r="G3" s="24" t="s">
        <v>5</v>
      </c>
      <c r="H3" s="25"/>
      <c r="I3" s="25"/>
      <c r="J3" s="25"/>
      <c r="K3" s="25"/>
      <c r="M3" s="24" t="s">
        <v>5</v>
      </c>
      <c r="N3" s="25"/>
      <c r="O3" s="25"/>
      <c r="P3" s="25"/>
      <c r="Q3" s="25"/>
      <c r="S3" s="24" t="s">
        <v>5</v>
      </c>
      <c r="T3" s="25"/>
      <c r="U3" s="25"/>
      <c r="V3" s="25"/>
      <c r="W3" s="25"/>
    </row>
    <row r="4" spans="1:26">
      <c r="A4" s="4" t="s">
        <v>6</v>
      </c>
      <c r="B4" s="4" t="s">
        <v>3</v>
      </c>
      <c r="C4" s="4" t="s">
        <v>7</v>
      </c>
      <c r="D4" s="4" t="s">
        <v>8</v>
      </c>
      <c r="E4" s="4" t="s">
        <v>9</v>
      </c>
      <c r="G4" s="4" t="s">
        <v>6</v>
      </c>
      <c r="H4" s="4" t="s">
        <v>3</v>
      </c>
      <c r="I4" s="4" t="s">
        <v>7</v>
      </c>
      <c r="J4" s="4" t="s">
        <v>8</v>
      </c>
      <c r="K4" s="4" t="s">
        <v>9</v>
      </c>
      <c r="M4" s="15" t="s">
        <v>6</v>
      </c>
      <c r="N4" s="15" t="s">
        <v>3</v>
      </c>
      <c r="O4" s="15" t="s">
        <v>7</v>
      </c>
      <c r="P4" s="15" t="s">
        <v>8</v>
      </c>
      <c r="Q4" s="15" t="s">
        <v>9</v>
      </c>
      <c r="S4" s="15" t="s">
        <v>6</v>
      </c>
      <c r="T4" s="15" t="s">
        <v>3</v>
      </c>
      <c r="U4" s="15" t="s">
        <v>7</v>
      </c>
      <c r="V4" s="15" t="s">
        <v>8</v>
      </c>
      <c r="W4" s="15" t="s">
        <v>9</v>
      </c>
    </row>
    <row r="5" spans="1:26">
      <c r="A5" s="5" t="s">
        <v>10</v>
      </c>
      <c r="B5" s="5" t="s">
        <v>11</v>
      </c>
      <c r="C5" s="6">
        <v>0.05</v>
      </c>
      <c r="D5" s="7">
        <f>E23</f>
        <v>11827.95698924731</v>
      </c>
      <c r="E5" s="7">
        <f>C5*D5</f>
        <v>591.39784946236557</v>
      </c>
      <c r="G5" s="5" t="s">
        <v>10</v>
      </c>
      <c r="H5" s="5" t="s">
        <v>11</v>
      </c>
      <c r="I5" s="6">
        <v>0.1</v>
      </c>
      <c r="J5" s="7">
        <f>K26</f>
        <v>11827.95698924731</v>
      </c>
      <c r="K5" s="7">
        <f>I5*J5</f>
        <v>1182.7956989247311</v>
      </c>
      <c r="M5" s="5" t="s">
        <v>10</v>
      </c>
      <c r="N5" s="5" t="s">
        <v>11</v>
      </c>
      <c r="O5" s="6">
        <v>0.1</v>
      </c>
      <c r="P5" s="7">
        <f>Q26</f>
        <v>7333.333333333333</v>
      </c>
      <c r="Q5" s="7">
        <f>O5*P5</f>
        <v>733.33333333333337</v>
      </c>
      <c r="S5" s="5" t="s">
        <v>10</v>
      </c>
      <c r="T5" s="5" t="s">
        <v>11</v>
      </c>
      <c r="U5" s="6">
        <v>0.1</v>
      </c>
      <c r="V5" s="7">
        <f>W26</f>
        <v>3942.6523297491035</v>
      </c>
      <c r="W5" s="7">
        <f>U5*V5</f>
        <v>394.26523297491036</v>
      </c>
    </row>
    <row r="6" spans="1:26">
      <c r="A6" s="5"/>
      <c r="B6" s="5"/>
      <c r="C6" s="5"/>
      <c r="D6" s="7"/>
      <c r="E6" s="7"/>
      <c r="G6" s="5"/>
      <c r="H6" s="5"/>
      <c r="I6" s="5"/>
      <c r="J6" s="7"/>
      <c r="K6" s="7"/>
      <c r="M6" s="5"/>
      <c r="N6" s="5"/>
      <c r="O6" s="5"/>
      <c r="P6" s="7"/>
      <c r="Q6" s="7"/>
      <c r="S6" s="5"/>
      <c r="T6" s="5"/>
      <c r="U6" s="5"/>
      <c r="V6" s="7"/>
      <c r="W6" s="7"/>
    </row>
    <row r="7" spans="1:26">
      <c r="A7" s="32" t="s">
        <v>12</v>
      </c>
      <c r="B7" s="33"/>
      <c r="C7" s="33"/>
      <c r="D7" s="33"/>
      <c r="E7" s="8">
        <f>SUM(E5:E5)</f>
        <v>591.39784946236557</v>
      </c>
      <c r="G7" s="32" t="s">
        <v>12</v>
      </c>
      <c r="H7" s="33"/>
      <c r="I7" s="33"/>
      <c r="J7" s="33"/>
      <c r="K7" s="8">
        <f>SUM(K5:K5)</f>
        <v>1182.7956989247311</v>
      </c>
      <c r="M7" s="22" t="s">
        <v>12</v>
      </c>
      <c r="N7" s="23"/>
      <c r="O7" s="23"/>
      <c r="P7" s="23"/>
      <c r="Q7" s="16">
        <f>SUM(Q5:Q5)</f>
        <v>733.33333333333337</v>
      </c>
      <c r="S7" s="22" t="s">
        <v>12</v>
      </c>
      <c r="T7" s="23"/>
      <c r="U7" s="23"/>
      <c r="V7" s="23"/>
      <c r="W7" s="16">
        <f>SUM(W5:W5)</f>
        <v>394.26523297491036</v>
      </c>
    </row>
    <row r="8" spans="1:26">
      <c r="A8" s="24" t="s">
        <v>13</v>
      </c>
      <c r="B8" s="25"/>
      <c r="C8" s="25"/>
      <c r="D8" s="25"/>
      <c r="E8" s="25"/>
      <c r="G8" s="24" t="s">
        <v>13</v>
      </c>
      <c r="H8" s="25"/>
      <c r="I8" s="25"/>
      <c r="J8" s="25"/>
      <c r="K8" s="25"/>
      <c r="M8" s="24" t="s">
        <v>13</v>
      </c>
      <c r="N8" s="25"/>
      <c r="O8" s="25"/>
      <c r="P8" s="25"/>
      <c r="Q8" s="25"/>
      <c r="S8" s="24" t="s">
        <v>13</v>
      </c>
      <c r="T8" s="25"/>
      <c r="U8" s="25"/>
      <c r="V8" s="25"/>
      <c r="W8" s="25"/>
    </row>
    <row r="9" spans="1:26">
      <c r="A9" s="4" t="s">
        <v>6</v>
      </c>
      <c r="B9" s="4" t="s">
        <v>3</v>
      </c>
      <c r="C9" s="4" t="s">
        <v>14</v>
      </c>
      <c r="D9" s="4" t="s">
        <v>15</v>
      </c>
      <c r="E9" s="4" t="s">
        <v>9</v>
      </c>
      <c r="G9" s="4" t="s">
        <v>6</v>
      </c>
      <c r="H9" s="4" t="s">
        <v>3</v>
      </c>
      <c r="I9" s="4" t="s">
        <v>14</v>
      </c>
      <c r="J9" s="4" t="s">
        <v>15</v>
      </c>
      <c r="K9" s="4" t="s">
        <v>9</v>
      </c>
      <c r="M9" s="15" t="s">
        <v>6</v>
      </c>
      <c r="N9" s="15" t="s">
        <v>3</v>
      </c>
      <c r="O9" s="15" t="s">
        <v>14</v>
      </c>
      <c r="P9" s="15" t="s">
        <v>15</v>
      </c>
      <c r="Q9" s="15" t="s">
        <v>9</v>
      </c>
      <c r="S9" s="15" t="s">
        <v>6</v>
      </c>
      <c r="T9" s="15" t="s">
        <v>3</v>
      </c>
      <c r="U9" s="15" t="s">
        <v>14</v>
      </c>
      <c r="V9" s="15" t="s">
        <v>15</v>
      </c>
      <c r="W9" s="15" t="s">
        <v>9</v>
      </c>
    </row>
    <row r="10" spans="1:26">
      <c r="A10" s="9"/>
      <c r="B10" s="5"/>
      <c r="C10" s="10"/>
      <c r="D10" s="7"/>
      <c r="E10" s="7"/>
      <c r="G10" s="9" t="s">
        <v>25</v>
      </c>
      <c r="H10" s="5" t="s">
        <v>26</v>
      </c>
      <c r="I10" s="13">
        <v>0.70899999999999996</v>
      </c>
      <c r="J10" s="7">
        <v>35000</v>
      </c>
      <c r="K10" s="7">
        <f>I10*J10</f>
        <v>24815</v>
      </c>
      <c r="M10" s="9" t="s">
        <v>30</v>
      </c>
      <c r="N10" s="5" t="s">
        <v>26</v>
      </c>
      <c r="O10" s="13">
        <v>1</v>
      </c>
      <c r="P10" s="7">
        <v>29947</v>
      </c>
      <c r="Q10" s="7">
        <f>O10*P10</f>
        <v>29947</v>
      </c>
      <c r="S10" s="9" t="s">
        <v>39</v>
      </c>
      <c r="T10" s="5" t="s">
        <v>26</v>
      </c>
      <c r="U10" s="13">
        <v>8.5999999999999993E-2</v>
      </c>
      <c r="V10" s="7">
        <v>298319</v>
      </c>
      <c r="W10" s="7">
        <f>U10*V10</f>
        <v>25655.433999999997</v>
      </c>
    </row>
    <row r="11" spans="1:26">
      <c r="A11" s="11" t="s">
        <v>16</v>
      </c>
      <c r="B11" s="30"/>
      <c r="C11" s="29"/>
      <c r="D11" s="29"/>
      <c r="E11" s="7">
        <v>0</v>
      </c>
      <c r="G11" s="9" t="s">
        <v>27</v>
      </c>
      <c r="H11" s="5" t="s">
        <v>26</v>
      </c>
      <c r="I11" s="14">
        <v>4</v>
      </c>
      <c r="J11" s="7">
        <v>800</v>
      </c>
      <c r="K11" s="7">
        <f>I11*J11</f>
        <v>3200</v>
      </c>
      <c r="M11" s="9" t="s">
        <v>34</v>
      </c>
      <c r="N11" s="5" t="s">
        <v>26</v>
      </c>
      <c r="O11" s="14">
        <v>8</v>
      </c>
      <c r="P11" s="7">
        <v>1038</v>
      </c>
      <c r="Q11" s="7">
        <f>O11*P11</f>
        <v>8304</v>
      </c>
      <c r="S11" s="9" t="s">
        <v>34</v>
      </c>
      <c r="T11" s="5" t="s">
        <v>26</v>
      </c>
      <c r="U11" s="14">
        <v>8</v>
      </c>
      <c r="V11" s="7">
        <v>1038</v>
      </c>
      <c r="W11" s="7">
        <f>U11*V11</f>
        <v>8304</v>
      </c>
    </row>
    <row r="12" spans="1:26">
      <c r="A12" s="11"/>
      <c r="B12" s="12"/>
      <c r="C12" s="2"/>
      <c r="D12" s="2"/>
      <c r="E12" s="7"/>
      <c r="G12" s="9" t="s">
        <v>28</v>
      </c>
      <c r="H12" s="5" t="s">
        <v>26</v>
      </c>
      <c r="I12" s="14">
        <v>2</v>
      </c>
      <c r="J12" s="7">
        <v>1500</v>
      </c>
      <c r="K12" s="7">
        <f>I12*J12</f>
        <v>3000</v>
      </c>
      <c r="M12" s="9" t="s">
        <v>35</v>
      </c>
      <c r="N12" s="5" t="s">
        <v>36</v>
      </c>
      <c r="O12" s="14">
        <v>1</v>
      </c>
      <c r="P12" s="7">
        <v>5183</v>
      </c>
      <c r="Q12" s="7">
        <f>O12*P12</f>
        <v>5183</v>
      </c>
      <c r="S12" s="9" t="s">
        <v>44</v>
      </c>
      <c r="T12" s="5" t="s">
        <v>26</v>
      </c>
      <c r="U12" s="13">
        <v>5</v>
      </c>
      <c r="V12" s="7">
        <v>1962</v>
      </c>
      <c r="W12" s="7">
        <f>V12*U12</f>
        <v>9810</v>
      </c>
      <c r="Z12">
        <f>1/11.5</f>
        <v>8.6956521739130432E-2</v>
      </c>
    </row>
    <row r="13" spans="1:26">
      <c r="A13" s="32" t="s">
        <v>12</v>
      </c>
      <c r="B13" s="33"/>
      <c r="C13" s="33"/>
      <c r="D13" s="33"/>
      <c r="E13" s="8">
        <f>SUM(E10:E11)</f>
        <v>0</v>
      </c>
      <c r="G13" s="9"/>
      <c r="H13" s="5"/>
      <c r="I13" s="14"/>
      <c r="J13" s="7"/>
      <c r="K13" s="7"/>
      <c r="M13" s="9"/>
      <c r="N13" s="5"/>
      <c r="O13" s="14"/>
      <c r="P13" s="7"/>
      <c r="Q13" s="7"/>
      <c r="S13" s="9" t="s">
        <v>45</v>
      </c>
      <c r="T13" s="5" t="s">
        <v>36</v>
      </c>
      <c r="U13" s="13">
        <v>2.5</v>
      </c>
      <c r="V13" s="7">
        <v>1639</v>
      </c>
      <c r="W13" s="7">
        <f>V13*U13</f>
        <v>4097.5</v>
      </c>
      <c r="Z13" s="19">
        <f>6/2.4</f>
        <v>2.5</v>
      </c>
    </row>
    <row r="14" spans="1:26">
      <c r="A14" s="24" t="s">
        <v>17</v>
      </c>
      <c r="B14" s="25"/>
      <c r="C14" s="25"/>
      <c r="D14" s="25"/>
      <c r="E14" s="25"/>
      <c r="G14" s="11" t="s">
        <v>16</v>
      </c>
      <c r="H14" s="30"/>
      <c r="I14" s="29"/>
      <c r="J14" s="29"/>
      <c r="K14" s="7">
        <f>SUM(K10:K10)*0.02</f>
        <v>496.3</v>
      </c>
      <c r="M14" s="11" t="s">
        <v>16</v>
      </c>
      <c r="N14" s="30"/>
      <c r="O14" s="29"/>
      <c r="P14" s="29"/>
      <c r="Q14" s="7">
        <f>SUM(Q10:Q10)*0.02</f>
        <v>598.94000000000005</v>
      </c>
      <c r="S14" s="11" t="s">
        <v>16</v>
      </c>
      <c r="T14" s="30"/>
      <c r="U14" s="29"/>
      <c r="V14" s="29"/>
      <c r="W14" s="7">
        <f>SUM(W1:W13)*0.02</f>
        <v>973.10928931899628</v>
      </c>
    </row>
    <row r="15" spans="1:26">
      <c r="A15" s="4" t="s">
        <v>6</v>
      </c>
      <c r="B15" s="4" t="s">
        <v>3</v>
      </c>
      <c r="C15" s="4" t="s">
        <v>7</v>
      </c>
      <c r="D15" s="4" t="s">
        <v>8</v>
      </c>
      <c r="E15" s="4" t="s">
        <v>9</v>
      </c>
      <c r="G15" s="11"/>
      <c r="H15" s="12"/>
      <c r="I15" s="2"/>
      <c r="J15" s="2"/>
      <c r="K15" s="7"/>
      <c r="M15" s="11"/>
      <c r="N15" s="12"/>
      <c r="O15" s="2"/>
      <c r="P15" s="2"/>
      <c r="Q15" s="7"/>
      <c r="S15" s="11"/>
      <c r="T15" s="12"/>
      <c r="U15" s="2"/>
      <c r="V15" s="2"/>
      <c r="W15" s="7"/>
    </row>
    <row r="16" spans="1:26">
      <c r="A16" s="9" t="s">
        <v>18</v>
      </c>
      <c r="B16" s="5" t="s">
        <v>19</v>
      </c>
      <c r="C16" s="6">
        <v>0</v>
      </c>
      <c r="D16" s="7">
        <v>60000</v>
      </c>
      <c r="E16" s="7">
        <f>D16*C16</f>
        <v>0</v>
      </c>
      <c r="G16" s="32" t="s">
        <v>12</v>
      </c>
      <c r="H16" s="33"/>
      <c r="I16" s="33"/>
      <c r="J16" s="33"/>
      <c r="K16" s="8">
        <f>SUM(K10:K14)</f>
        <v>31511.3</v>
      </c>
      <c r="M16" s="22" t="s">
        <v>12</v>
      </c>
      <c r="N16" s="23"/>
      <c r="O16" s="23"/>
      <c r="P16" s="23"/>
      <c r="Q16" s="16">
        <f>SUM(Q10:Q14)</f>
        <v>44032.94</v>
      </c>
      <c r="S16" s="22" t="s">
        <v>12</v>
      </c>
      <c r="T16" s="23"/>
      <c r="U16" s="23"/>
      <c r="V16" s="23"/>
      <c r="W16" s="16">
        <f>SUM(W10:W14)</f>
        <v>48840.043289318994</v>
      </c>
    </row>
    <row r="17" spans="1:23">
      <c r="A17" s="9"/>
      <c r="B17" s="5"/>
      <c r="C17" s="6"/>
      <c r="D17" s="7"/>
      <c r="E17" s="7"/>
      <c r="G17" s="24" t="s">
        <v>17</v>
      </c>
      <c r="H17" s="25"/>
      <c r="I17" s="25"/>
      <c r="J17" s="25"/>
      <c r="K17" s="25"/>
      <c r="M17" s="24" t="s">
        <v>17</v>
      </c>
      <c r="N17" s="25"/>
      <c r="O17" s="25"/>
      <c r="P17" s="25"/>
      <c r="Q17" s="25"/>
      <c r="S17" s="24" t="s">
        <v>17</v>
      </c>
      <c r="T17" s="25"/>
      <c r="U17" s="25"/>
      <c r="V17" s="25"/>
      <c r="W17" s="25"/>
    </row>
    <row r="18" spans="1:23">
      <c r="A18" s="32" t="s">
        <v>12</v>
      </c>
      <c r="B18" s="33"/>
      <c r="C18" s="33"/>
      <c r="D18" s="33"/>
      <c r="E18" s="8">
        <f>SUM(E16)</f>
        <v>0</v>
      </c>
      <c r="G18" s="4" t="s">
        <v>6</v>
      </c>
      <c r="H18" s="4" t="s">
        <v>3</v>
      </c>
      <c r="I18" s="4" t="s">
        <v>7</v>
      </c>
      <c r="J18" s="4" t="s">
        <v>8</v>
      </c>
      <c r="K18" s="4" t="s">
        <v>9</v>
      </c>
      <c r="M18" s="15" t="s">
        <v>6</v>
      </c>
      <c r="N18" s="15" t="s">
        <v>3</v>
      </c>
      <c r="O18" s="15" t="s">
        <v>7</v>
      </c>
      <c r="P18" s="15" t="s">
        <v>8</v>
      </c>
      <c r="Q18" s="15" t="s">
        <v>9</v>
      </c>
      <c r="S18" s="15" t="s">
        <v>6</v>
      </c>
      <c r="T18" s="15" t="s">
        <v>3</v>
      </c>
      <c r="U18" s="15" t="s">
        <v>7</v>
      </c>
      <c r="V18" s="15" t="s">
        <v>8</v>
      </c>
      <c r="W18" s="15" t="s">
        <v>9</v>
      </c>
    </row>
    <row r="19" spans="1:23">
      <c r="A19" s="24" t="s">
        <v>20</v>
      </c>
      <c r="B19" s="25"/>
      <c r="C19" s="25"/>
      <c r="D19" s="25"/>
      <c r="E19" s="25"/>
      <c r="G19" s="9" t="s">
        <v>18</v>
      </c>
      <c r="H19" s="5" t="s">
        <v>19</v>
      </c>
      <c r="I19" s="6">
        <v>2.5000000000000001E-2</v>
      </c>
      <c r="J19" s="7">
        <v>60000</v>
      </c>
      <c r="K19" s="7">
        <f>J19*I19</f>
        <v>1500</v>
      </c>
      <c r="M19" s="9" t="s">
        <v>18</v>
      </c>
      <c r="N19" s="5" t="s">
        <v>19</v>
      </c>
      <c r="O19" s="6">
        <v>2.5000000000000001E-2</v>
      </c>
      <c r="P19" s="7">
        <v>60000</v>
      </c>
      <c r="Q19" s="7">
        <f>P19*O19</f>
        <v>1500</v>
      </c>
      <c r="S19" s="9" t="s">
        <v>18</v>
      </c>
      <c r="T19" s="5" t="s">
        <v>19</v>
      </c>
      <c r="U19" s="6">
        <v>2.5000000000000001E-2</v>
      </c>
      <c r="V19" s="7">
        <v>60000</v>
      </c>
      <c r="W19" s="7">
        <f>V19*U19</f>
        <v>1500</v>
      </c>
    </row>
    <row r="20" spans="1:23">
      <c r="A20" s="4" t="s">
        <v>6</v>
      </c>
      <c r="B20" s="4" t="s">
        <v>3</v>
      </c>
      <c r="C20" s="4" t="s">
        <v>7</v>
      </c>
      <c r="D20" s="4" t="s">
        <v>21</v>
      </c>
      <c r="E20" s="4" t="s">
        <v>9</v>
      </c>
      <c r="G20" s="9"/>
      <c r="H20" s="5"/>
      <c r="I20" s="6"/>
      <c r="J20" s="7"/>
      <c r="K20" s="7"/>
      <c r="M20" s="9"/>
      <c r="N20" s="5"/>
      <c r="O20" s="6"/>
      <c r="P20" s="7"/>
      <c r="Q20" s="7"/>
      <c r="S20" s="9"/>
      <c r="T20" s="5"/>
      <c r="U20" s="6"/>
      <c r="V20" s="7"/>
      <c r="W20" s="7"/>
    </row>
    <row r="21" spans="1:23">
      <c r="A21" s="9" t="s">
        <v>22</v>
      </c>
      <c r="B21" s="5" t="s">
        <v>19</v>
      </c>
      <c r="C21" s="6">
        <v>18.600000000000001</v>
      </c>
      <c r="D21" s="7">
        <v>220000</v>
      </c>
      <c r="E21" s="7">
        <f>D21/C21</f>
        <v>11827.95698924731</v>
      </c>
      <c r="G21" s="32" t="s">
        <v>12</v>
      </c>
      <c r="H21" s="33"/>
      <c r="I21" s="33"/>
      <c r="J21" s="33"/>
      <c r="K21" s="8">
        <f>SUM(K19)</f>
        <v>1500</v>
      </c>
      <c r="M21" s="22" t="s">
        <v>12</v>
      </c>
      <c r="N21" s="23"/>
      <c r="O21" s="23"/>
      <c r="P21" s="23"/>
      <c r="Q21" s="16">
        <f>SUM(Q19)</f>
        <v>1500</v>
      </c>
      <c r="S21" s="22" t="s">
        <v>12</v>
      </c>
      <c r="T21" s="23"/>
      <c r="U21" s="23"/>
      <c r="V21" s="23"/>
      <c r="W21" s="16">
        <f>SUM(W19)</f>
        <v>1500</v>
      </c>
    </row>
    <row r="22" spans="1:23">
      <c r="A22" s="9"/>
      <c r="B22" s="5"/>
      <c r="C22" s="6"/>
      <c r="D22" s="7"/>
      <c r="E22" s="7"/>
      <c r="G22" s="24" t="s">
        <v>20</v>
      </c>
      <c r="H22" s="25"/>
      <c r="I22" s="25"/>
      <c r="J22" s="25"/>
      <c r="K22" s="25"/>
      <c r="M22" s="24" t="s">
        <v>20</v>
      </c>
      <c r="N22" s="25"/>
      <c r="O22" s="25"/>
      <c r="P22" s="25"/>
      <c r="Q22" s="25"/>
      <c r="S22" s="24" t="s">
        <v>20</v>
      </c>
      <c r="T22" s="25"/>
      <c r="U22" s="25"/>
      <c r="V22" s="25"/>
      <c r="W22" s="25"/>
    </row>
    <row r="23" spans="1:23">
      <c r="A23" s="32" t="s">
        <v>12</v>
      </c>
      <c r="B23" s="33"/>
      <c r="C23" s="33"/>
      <c r="D23" s="33"/>
      <c r="E23" s="8">
        <f>SUM(E21)</f>
        <v>11827.95698924731</v>
      </c>
      <c r="G23" s="4" t="s">
        <v>6</v>
      </c>
      <c r="H23" s="4" t="s">
        <v>3</v>
      </c>
      <c r="I23" s="4" t="s">
        <v>7</v>
      </c>
      <c r="J23" s="4" t="s">
        <v>21</v>
      </c>
      <c r="K23" s="4" t="s">
        <v>9</v>
      </c>
      <c r="M23" s="15" t="s">
        <v>6</v>
      </c>
      <c r="N23" s="15" t="s">
        <v>3</v>
      </c>
      <c r="O23" s="15" t="s">
        <v>7</v>
      </c>
      <c r="P23" s="15" t="s">
        <v>21</v>
      </c>
      <c r="Q23" s="15" t="s">
        <v>9</v>
      </c>
      <c r="S23" s="15" t="s">
        <v>6</v>
      </c>
      <c r="T23" s="15" t="s">
        <v>3</v>
      </c>
      <c r="U23" s="15" t="s">
        <v>7</v>
      </c>
      <c r="V23" s="15" t="s">
        <v>21</v>
      </c>
      <c r="W23" s="15" t="s">
        <v>9</v>
      </c>
    </row>
    <row r="24" spans="1:23">
      <c r="A24" s="5"/>
      <c r="B24" s="2"/>
      <c r="C24" s="2"/>
      <c r="D24" s="2"/>
      <c r="E24" s="2"/>
      <c r="G24" s="9" t="s">
        <v>22</v>
      </c>
      <c r="H24" s="5" t="s">
        <v>19</v>
      </c>
      <c r="I24" s="6">
        <v>18.600000000000001</v>
      </c>
      <c r="J24" s="7">
        <v>220000</v>
      </c>
      <c r="K24" s="7">
        <f>J24/I24</f>
        <v>11827.95698924731</v>
      </c>
      <c r="M24" s="9" t="s">
        <v>22</v>
      </c>
      <c r="N24" s="5" t="s">
        <v>19</v>
      </c>
      <c r="O24" s="6">
        <v>30</v>
      </c>
      <c r="P24" s="7">
        <v>220000</v>
      </c>
      <c r="Q24" s="7">
        <f>P24/O24</f>
        <v>7333.333333333333</v>
      </c>
      <c r="S24" s="9" t="s">
        <v>22</v>
      </c>
      <c r="T24" s="5" t="s">
        <v>19</v>
      </c>
      <c r="U24" s="6">
        <f>I24*3</f>
        <v>55.800000000000004</v>
      </c>
      <c r="V24" s="7">
        <v>220000</v>
      </c>
      <c r="W24" s="7">
        <f>V24/U24</f>
        <v>3942.6523297491035</v>
      </c>
    </row>
    <row r="25" spans="1:23">
      <c r="A25" s="32" t="s">
        <v>23</v>
      </c>
      <c r="B25" s="33"/>
      <c r="C25" s="33"/>
      <c r="D25" s="33"/>
      <c r="E25" s="8">
        <f>SUM(E7,E13,E18,E23)</f>
        <v>12419.354838709676</v>
      </c>
      <c r="G25" s="9"/>
      <c r="H25" s="5"/>
      <c r="I25" s="6"/>
      <c r="J25" s="7"/>
      <c r="K25" s="7"/>
      <c r="M25" s="9"/>
      <c r="N25" s="5"/>
      <c r="O25" s="6"/>
      <c r="P25" s="7"/>
      <c r="Q25" s="7"/>
      <c r="S25" s="9"/>
      <c r="T25" s="5"/>
      <c r="U25" s="6"/>
      <c r="V25" s="7"/>
      <c r="W25" s="7"/>
    </row>
    <row r="26" spans="1:23">
      <c r="G26" s="32" t="s">
        <v>12</v>
      </c>
      <c r="H26" s="33"/>
      <c r="I26" s="33"/>
      <c r="J26" s="33"/>
      <c r="K26" s="8">
        <f>SUM(K24)</f>
        <v>11827.95698924731</v>
      </c>
      <c r="M26" s="22" t="s">
        <v>12</v>
      </c>
      <c r="N26" s="23"/>
      <c r="O26" s="23"/>
      <c r="P26" s="23"/>
      <c r="Q26" s="16">
        <f>SUM(Q24)</f>
        <v>7333.333333333333</v>
      </c>
      <c r="S26" s="22" t="s">
        <v>12</v>
      </c>
      <c r="T26" s="23"/>
      <c r="U26" s="23"/>
      <c r="V26" s="23"/>
      <c r="W26" s="16">
        <f>SUM(W24)</f>
        <v>3942.6523297491035</v>
      </c>
    </row>
    <row r="27" spans="1:23">
      <c r="G27" s="5"/>
      <c r="H27" s="2"/>
      <c r="I27" s="2"/>
      <c r="J27" s="2"/>
      <c r="K27" s="2"/>
      <c r="M27" s="5"/>
      <c r="N27" s="2"/>
      <c r="O27" s="2"/>
      <c r="P27" s="2"/>
      <c r="Q27" s="2"/>
      <c r="S27" s="5"/>
      <c r="T27" s="2"/>
      <c r="U27" s="2"/>
      <c r="V27" s="2"/>
      <c r="W27" s="2"/>
    </row>
    <row r="28" spans="1:23">
      <c r="G28" s="32" t="s">
        <v>23</v>
      </c>
      <c r="H28" s="33"/>
      <c r="I28" s="33"/>
      <c r="J28" s="33"/>
      <c r="K28" s="8">
        <f>SUM(K7,K16,K21,K26)</f>
        <v>46022.052688172043</v>
      </c>
      <c r="M28" s="22" t="s">
        <v>23</v>
      </c>
      <c r="N28" s="23"/>
      <c r="O28" s="23"/>
      <c r="P28" s="23"/>
      <c r="Q28" s="16">
        <f>SUM(Q7,Q16,Q21,Q26)</f>
        <v>53599.606666666674</v>
      </c>
      <c r="S28" s="22" t="s">
        <v>23</v>
      </c>
      <c r="T28" s="23"/>
      <c r="U28" s="23"/>
      <c r="V28" s="23"/>
      <c r="W28" s="16">
        <f>SUM(W7,W16,W21,W26)</f>
        <v>54676.960852043005</v>
      </c>
    </row>
    <row r="30" spans="1:23" ht="16" customHeight="1">
      <c r="A30" s="31" t="s">
        <v>33</v>
      </c>
      <c r="B30" s="31"/>
      <c r="C30" s="31"/>
      <c r="D30" s="31"/>
      <c r="E30" s="31"/>
      <c r="G30" s="20" t="s">
        <v>31</v>
      </c>
      <c r="H30" s="20"/>
      <c r="I30" s="20"/>
      <c r="J30" s="20"/>
      <c r="K30" s="21">
        <f>K28+E25</f>
        <v>58441.407526881718</v>
      </c>
      <c r="M30" s="20" t="s">
        <v>32</v>
      </c>
      <c r="N30" s="20"/>
      <c r="O30" s="20"/>
      <c r="P30" s="20"/>
      <c r="Q30" s="21">
        <f>E25+Q28</f>
        <v>66018.961505376355</v>
      </c>
      <c r="S30" s="20" t="s">
        <v>38</v>
      </c>
      <c r="T30" s="20"/>
      <c r="U30" s="20"/>
      <c r="V30" s="20"/>
      <c r="W30" s="21">
        <f>K25+W28</f>
        <v>54676.960852043005</v>
      </c>
    </row>
    <row r="31" spans="1:23" ht="16" customHeight="1">
      <c r="A31" s="31"/>
      <c r="B31" s="31"/>
      <c r="C31" s="31"/>
      <c r="D31" s="31"/>
      <c r="E31" s="31"/>
      <c r="G31" s="20"/>
      <c r="H31" s="20"/>
      <c r="I31" s="20"/>
      <c r="J31" s="20"/>
      <c r="K31" s="20"/>
      <c r="M31" s="20"/>
      <c r="N31" s="20"/>
      <c r="O31" s="20"/>
      <c r="P31" s="20"/>
      <c r="Q31" s="20"/>
      <c r="S31" s="20"/>
      <c r="T31" s="20"/>
      <c r="U31" s="20"/>
      <c r="V31" s="20"/>
      <c r="W31" s="20"/>
    </row>
    <row r="32" spans="1:23" ht="16" customHeight="1">
      <c r="A32" s="31"/>
      <c r="B32" s="31"/>
      <c r="C32" s="31"/>
      <c r="D32" s="31"/>
      <c r="E32" s="31"/>
      <c r="G32" s="20"/>
      <c r="H32" s="20"/>
      <c r="I32" s="20"/>
      <c r="J32" s="20"/>
      <c r="K32" s="20"/>
      <c r="M32" s="20"/>
      <c r="N32" s="20"/>
      <c r="O32" s="20"/>
      <c r="P32" s="20"/>
      <c r="Q32" s="20"/>
      <c r="S32" s="20"/>
      <c r="T32" s="20"/>
      <c r="U32" s="20"/>
      <c r="V32" s="20"/>
      <c r="W32" s="20"/>
    </row>
    <row r="33" spans="1:23" ht="16" customHeight="1">
      <c r="A33" s="31"/>
      <c r="B33" s="31"/>
      <c r="C33" s="31"/>
      <c r="D33" s="31"/>
      <c r="E33" s="31"/>
      <c r="G33" s="20"/>
      <c r="H33" s="20"/>
      <c r="I33" s="20"/>
      <c r="J33" s="20"/>
      <c r="K33" s="20"/>
      <c r="M33" s="20"/>
      <c r="N33" s="20"/>
      <c r="O33" s="20"/>
      <c r="P33" s="20"/>
      <c r="Q33" s="20"/>
      <c r="S33" s="20"/>
      <c r="T33" s="20"/>
      <c r="U33" s="20"/>
      <c r="V33" s="20"/>
      <c r="W33" s="20"/>
    </row>
    <row r="35" spans="1:23">
      <c r="G35" t="s">
        <v>40</v>
      </c>
      <c r="S35">
        <f>298319/11.8</f>
        <v>25281.271186440677</v>
      </c>
      <c r="V35" t="s">
        <v>42</v>
      </c>
      <c r="W35">
        <f>W26/W30</f>
        <v>7.2108110405368048E-2</v>
      </c>
    </row>
    <row r="37" spans="1:23">
      <c r="S37">
        <f>11.8*31.6</f>
        <v>372.88000000000005</v>
      </c>
      <c r="T37" s="17">
        <f>W30*S37</f>
        <v>20387945.162509799</v>
      </c>
    </row>
    <row r="38" spans="1:23">
      <c r="T38" s="17">
        <f>S37*K30+S37*E25</f>
        <v>26422561.070881721</v>
      </c>
    </row>
    <row r="39" spans="1:23">
      <c r="K39" s="17">
        <f>K30+E25</f>
        <v>70860.762365591392</v>
      </c>
      <c r="L39" s="18">
        <f>K39*1.085</f>
        <v>76883.927166666661</v>
      </c>
      <c r="N39">
        <f>K39/W30</f>
        <v>1.2959894123841684</v>
      </c>
      <c r="S39" t="s">
        <v>41</v>
      </c>
    </row>
    <row r="42" spans="1:23">
      <c r="S42">
        <f>S37/20</f>
        <v>18.644000000000002</v>
      </c>
    </row>
    <row r="43" spans="1:23">
      <c r="U43" t="s">
        <v>43</v>
      </c>
    </row>
  </sheetData>
  <mergeCells count="55">
    <mergeCell ref="A25:D25"/>
    <mergeCell ref="A1:C1"/>
    <mergeCell ref="A2:C2"/>
    <mergeCell ref="A3:E3"/>
    <mergeCell ref="A7:D7"/>
    <mergeCell ref="A8:E8"/>
    <mergeCell ref="B11:D11"/>
    <mergeCell ref="A13:D13"/>
    <mergeCell ref="A14:E14"/>
    <mergeCell ref="A18:D18"/>
    <mergeCell ref="A19:E19"/>
    <mergeCell ref="A23:D23"/>
    <mergeCell ref="G22:K22"/>
    <mergeCell ref="G26:J26"/>
    <mergeCell ref="G28:J28"/>
    <mergeCell ref="G1:I1"/>
    <mergeCell ref="G2:I2"/>
    <mergeCell ref="G3:K3"/>
    <mergeCell ref="G7:J7"/>
    <mergeCell ref="G8:K8"/>
    <mergeCell ref="H14:J14"/>
    <mergeCell ref="M1:O1"/>
    <mergeCell ref="M2:O2"/>
    <mergeCell ref="M3:Q3"/>
    <mergeCell ref="M7:P7"/>
    <mergeCell ref="M8:Q8"/>
    <mergeCell ref="T14:V14"/>
    <mergeCell ref="A30:E33"/>
    <mergeCell ref="M30:P33"/>
    <mergeCell ref="G30:J33"/>
    <mergeCell ref="K30:K33"/>
    <mergeCell ref="Q30:Q33"/>
    <mergeCell ref="M16:P16"/>
    <mergeCell ref="M17:Q17"/>
    <mergeCell ref="M21:P21"/>
    <mergeCell ref="M22:Q22"/>
    <mergeCell ref="M26:P26"/>
    <mergeCell ref="M28:P28"/>
    <mergeCell ref="N14:P14"/>
    <mergeCell ref="G16:J16"/>
    <mergeCell ref="G17:K17"/>
    <mergeCell ref="G21:J21"/>
    <mergeCell ref="S1:U1"/>
    <mergeCell ref="S2:U2"/>
    <mergeCell ref="S3:W3"/>
    <mergeCell ref="S7:V7"/>
    <mergeCell ref="S8:W8"/>
    <mergeCell ref="S30:V33"/>
    <mergeCell ref="W30:W33"/>
    <mergeCell ref="S16:V16"/>
    <mergeCell ref="S17:W17"/>
    <mergeCell ref="S21:V21"/>
    <mergeCell ref="S22:W22"/>
    <mergeCell ref="S26:V26"/>
    <mergeCell ref="S28:V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Renso Montoya Upegui</dc:creator>
  <cp:lastModifiedBy>Renso Montoya Upegui</cp:lastModifiedBy>
  <dcterms:created xsi:type="dcterms:W3CDTF">2025-11-26T16:11:28Z</dcterms:created>
  <dcterms:modified xsi:type="dcterms:W3CDTF">2025-11-27T15:15:46Z</dcterms:modified>
</cp:coreProperties>
</file>