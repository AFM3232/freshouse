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OneDrive\Desktop\"/>
    </mc:Choice>
  </mc:AlternateContent>
  <xr:revisionPtr revIDLastSave="0" documentId="13_ncr:1_{9826E213-7F9B-46A6-87A3-4495F1190831}" xr6:coauthVersionLast="47" xr6:coauthVersionMax="47" xr10:uidLastSave="{00000000-0000-0000-0000-000000000000}"/>
  <bookViews>
    <workbookView xWindow="-108" yWindow="-108" windowWidth="23256" windowHeight="12456" firstSheet="3" activeTab="6" xr2:uid="{DCDBBDE6-686C-49CF-A060-6E45395EDD38}"/>
  </bookViews>
  <sheets>
    <sheet name="APU MORTERO" sheetId="9" r:id="rId1"/>
    <sheet name="APU LAVADO" sheetId="12" r:id="rId2"/>
    <sheet name="APU SELLO VENTANERIA" sheetId="11" r:id="rId3"/>
    <sheet name="APU PINTURA SOL Y LLUVIA" sheetId="13" r:id="rId4"/>
    <sheet name="APU PINTURA INTERIORES" sheetId="14" r:id="rId5"/>
    <sheet name="APU PINTURA KORAZA" sheetId="10" r:id="rId6"/>
    <sheet name="APU GRANIPLAST" sheetId="8" r:id="rId7"/>
    <sheet name="COTIZACIÓN" sheetId="7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8" i="7" l="1"/>
  <c r="G39" i="7"/>
  <c r="G31" i="7"/>
  <c r="G24" i="7"/>
  <c r="G17" i="7"/>
  <c r="G8" i="7"/>
  <c r="G13" i="7"/>
  <c r="G36" i="7"/>
  <c r="I44" i="7"/>
  <c r="I43" i="7"/>
  <c r="G10" i="7"/>
  <c r="G11" i="7"/>
  <c r="G12" i="7"/>
  <c r="G15" i="7"/>
  <c r="G16" i="7"/>
  <c r="G19" i="7"/>
  <c r="G20" i="7"/>
  <c r="G21" i="7"/>
  <c r="G22" i="7"/>
  <c r="G23" i="7"/>
  <c r="G38" i="7"/>
  <c r="G33" i="7"/>
  <c r="G34" i="7"/>
  <c r="G35" i="7"/>
  <c r="G26" i="7"/>
  <c r="G27" i="7"/>
  <c r="G28" i="7"/>
  <c r="G29" i="7"/>
  <c r="G30" i="7"/>
  <c r="D2" i="14"/>
  <c r="F30" i="14"/>
  <c r="F32" i="14" s="1"/>
  <c r="E9" i="14" s="1"/>
  <c r="F9" i="14" s="1"/>
  <c r="F12" i="14" s="1"/>
  <c r="F25" i="14"/>
  <c r="F27" i="14" s="1"/>
  <c r="F17" i="14"/>
  <c r="F16" i="14"/>
  <c r="F15" i="14"/>
  <c r="F10" i="14"/>
  <c r="F15" i="13"/>
  <c r="F30" i="13"/>
  <c r="F32" i="13" s="1"/>
  <c r="E9" i="13" s="1"/>
  <c r="F9" i="13" s="1"/>
  <c r="F12" i="13" s="1"/>
  <c r="F25" i="13"/>
  <c r="F27" i="13" s="1"/>
  <c r="F17" i="13"/>
  <c r="F16" i="13"/>
  <c r="F10" i="13"/>
  <c r="D3" i="10"/>
  <c r="G9" i="7"/>
  <c r="I49" i="7" l="1"/>
  <c r="F20" i="14"/>
  <c r="F22" i="14" s="1"/>
  <c r="F34" i="14" s="1"/>
  <c r="D3" i="14" s="1"/>
  <c r="F20" i="13"/>
  <c r="F22" i="13" s="1"/>
  <c r="F34" i="13" s="1"/>
  <c r="D3" i="13" s="1"/>
  <c r="D2" i="13" s="1"/>
  <c r="G32" i="7"/>
  <c r="F28" i="12"/>
  <c r="F30" i="12" s="1"/>
  <c r="E8" i="12" s="1"/>
  <c r="F8" i="12" s="1"/>
  <c r="F12" i="12" s="1"/>
  <c r="F25" i="12"/>
  <c r="F16" i="12"/>
  <c r="F15" i="12"/>
  <c r="F20" i="12" s="1"/>
  <c r="F10" i="12"/>
  <c r="F9" i="12"/>
  <c r="D2" i="11"/>
  <c r="F28" i="11"/>
  <c r="F30" i="11" s="1"/>
  <c r="E9" i="11" s="1"/>
  <c r="F9" i="11" s="1"/>
  <c r="F12" i="11" s="1"/>
  <c r="F23" i="11"/>
  <c r="F25" i="11" s="1"/>
  <c r="F16" i="11"/>
  <c r="F15" i="11"/>
  <c r="F10" i="11"/>
  <c r="F30" i="10"/>
  <c r="F32" i="10" s="1"/>
  <c r="E9" i="10" s="1"/>
  <c r="F9" i="10" s="1"/>
  <c r="F12" i="10" s="1"/>
  <c r="F25" i="10"/>
  <c r="F27" i="10" s="1"/>
  <c r="F17" i="10"/>
  <c r="F16" i="10"/>
  <c r="F15" i="10"/>
  <c r="F10" i="10"/>
  <c r="D3" i="9"/>
  <c r="F29" i="9"/>
  <c r="F31" i="9" s="1"/>
  <c r="E9" i="9" s="1"/>
  <c r="F9" i="9" s="1"/>
  <c r="F24" i="9"/>
  <c r="F26" i="9" s="1"/>
  <c r="E17" i="9"/>
  <c r="F17" i="9" s="1"/>
  <c r="F16" i="9"/>
  <c r="F15" i="9"/>
  <c r="F19" i="9" s="1"/>
  <c r="F10" i="9"/>
  <c r="F93" i="8"/>
  <c r="F95" i="8" s="1"/>
  <c r="E74" i="8" s="1"/>
  <c r="F74" i="8" s="1"/>
  <c r="F77" i="8" s="1"/>
  <c r="F88" i="8"/>
  <c r="F90" i="8" s="1"/>
  <c r="F81" i="8"/>
  <c r="F80" i="8"/>
  <c r="F75" i="8"/>
  <c r="F60" i="8"/>
  <c r="F62" i="8" s="1"/>
  <c r="E41" i="8" s="1"/>
  <c r="F41" i="8" s="1"/>
  <c r="F55" i="8"/>
  <c r="F57" i="8" s="1"/>
  <c r="F48" i="8"/>
  <c r="F47" i="8"/>
  <c r="F50" i="8" s="1"/>
  <c r="F42" i="8"/>
  <c r="F30" i="8"/>
  <c r="F32" i="8" s="1"/>
  <c r="E13" i="8" s="1"/>
  <c r="F13" i="8" s="1"/>
  <c r="F16" i="8" s="1"/>
  <c r="F34" i="8" s="1"/>
  <c r="F25" i="8"/>
  <c r="F27" i="8" s="1"/>
  <c r="F22" i="8"/>
  <c r="F14" i="8"/>
  <c r="G18" i="7"/>
  <c r="G14" i="7"/>
  <c r="G37" i="7"/>
  <c r="F44" i="8" l="1"/>
  <c r="F32" i="12"/>
  <c r="F18" i="11"/>
  <c r="F20" i="11" s="1"/>
  <c r="F32" i="11" s="1"/>
  <c r="F20" i="10"/>
  <c r="F34" i="10"/>
  <c r="F22" i="10"/>
  <c r="F12" i="9"/>
  <c r="F21" i="9"/>
  <c r="F33" i="9" s="1"/>
  <c r="F85" i="8"/>
  <c r="F97" i="8" s="1"/>
  <c r="F52" i="8"/>
  <c r="F64" i="8" s="1"/>
  <c r="F83" i="8"/>
  <c r="G25" i="7" l="1"/>
  <c r="G40" i="7" l="1"/>
  <c r="G42" i="7" l="1"/>
  <c r="G43" i="7" s="1"/>
  <c r="G41" i="7"/>
  <c r="G44" i="7" l="1"/>
  <c r="I46" i="7" s="1"/>
</calcChain>
</file>

<file path=xl/sharedStrings.xml><?xml version="1.0" encoding="utf-8"?>
<sst xmlns="http://schemas.openxmlformats.org/spreadsheetml/2006/main" count="560" uniqueCount="157">
  <si>
    <t>ITEM</t>
  </si>
  <si>
    <t>UNIDAD</t>
  </si>
  <si>
    <t>M2</t>
  </si>
  <si>
    <t>I. EQUIPOS</t>
  </si>
  <si>
    <t>DESCRIPCIÓN</t>
  </si>
  <si>
    <t>RENDIMIENTO</t>
  </si>
  <si>
    <t>TARIFA</t>
  </si>
  <si>
    <t>VALOR - PARCIAL</t>
  </si>
  <si>
    <t>Herramienta menor</t>
  </si>
  <si>
    <t>%MO</t>
  </si>
  <si>
    <t>SUB - TOTAL</t>
  </si>
  <si>
    <t>II. MATERIALES</t>
  </si>
  <si>
    <t>CANTIDAD</t>
  </si>
  <si>
    <t>PRECIO - UNIT</t>
  </si>
  <si>
    <t>Desperdicio 2%</t>
  </si>
  <si>
    <t>III. TRANSPORTE</t>
  </si>
  <si>
    <t>Acarreo LUV</t>
  </si>
  <si>
    <t>Día</t>
  </si>
  <si>
    <t>IV. MANO DE OBRA</t>
  </si>
  <si>
    <t>JORNAL</t>
  </si>
  <si>
    <t xml:space="preserve">Oficial </t>
  </si>
  <si>
    <t>TOTAL UNITARIO</t>
  </si>
  <si>
    <t>Und</t>
  </si>
  <si>
    <t>CUADRILLA 1: 1 Oficial y 1 ayudante</t>
  </si>
  <si>
    <t>Desperdicio 3%</t>
  </si>
  <si>
    <t xml:space="preserve">Acarreo </t>
  </si>
  <si>
    <t>Oficial</t>
  </si>
  <si>
    <t xml:space="preserve">Acronal </t>
  </si>
  <si>
    <t>GL</t>
  </si>
  <si>
    <t>ML</t>
  </si>
  <si>
    <t>Desperdicio 5%</t>
  </si>
  <si>
    <t>Kg</t>
  </si>
  <si>
    <t>Mortero 1:3</t>
  </si>
  <si>
    <t>Acronal</t>
  </si>
  <si>
    <t>PRELIMINARES</t>
  </si>
  <si>
    <t xml:space="preserve">ACTIVIDAD: Lavado General de Superficies </t>
  </si>
  <si>
    <t>Hipoclorito</t>
  </si>
  <si>
    <t xml:space="preserve">Agua </t>
  </si>
  <si>
    <t>Práctico</t>
  </si>
  <si>
    <t>Equipo Hidrolavadora</t>
  </si>
  <si>
    <t>Equipos Freshouse</t>
  </si>
  <si>
    <t>Retiro y Reemplazo de Graniplast Deteriorado</t>
  </si>
  <si>
    <t>ACTIVIDAD: Inspección de superficie incluye rasqueteado</t>
  </si>
  <si>
    <t>ACTIVIDAD: Nivelación de superficie con Mortero Listo</t>
  </si>
  <si>
    <t xml:space="preserve">Saco </t>
  </si>
  <si>
    <t>Mortero Listo Impadoc x 40kg</t>
  </si>
  <si>
    <t>2.1</t>
  </si>
  <si>
    <t>2.2</t>
  </si>
  <si>
    <t>2.3</t>
  </si>
  <si>
    <t>Nivelación de superficie con Mortero Listo</t>
  </si>
  <si>
    <t>Inspección de superficie incluye rasqueteado</t>
  </si>
  <si>
    <t>ACTIVIDAD: Aplicación de Graniplast</t>
  </si>
  <si>
    <t>Aplicación de Graniplast</t>
  </si>
  <si>
    <t>ACTIVIDAD: Reposicion de Mortero en mal estado</t>
  </si>
  <si>
    <t>Reposicion de Mortero en mal estado</t>
  </si>
  <si>
    <t>Graniplast Premium Escagrafiado</t>
  </si>
  <si>
    <t>Lavado de superficie</t>
  </si>
  <si>
    <t>Koraza Pro 550</t>
  </si>
  <si>
    <t>CÑ</t>
  </si>
  <si>
    <t xml:space="preserve">Rodillo 9" </t>
  </si>
  <si>
    <t>Brocha</t>
  </si>
  <si>
    <t>3.1</t>
  </si>
  <si>
    <t>3.2</t>
  </si>
  <si>
    <t>3.3</t>
  </si>
  <si>
    <t>3.4</t>
  </si>
  <si>
    <t>3.5</t>
  </si>
  <si>
    <t>3.6</t>
  </si>
  <si>
    <t>4.1</t>
  </si>
  <si>
    <t>4.2</t>
  </si>
  <si>
    <t>Soudaflex</t>
  </si>
  <si>
    <t>4.3</t>
  </si>
  <si>
    <t>Sellado Perimetral de ventaneria</t>
  </si>
  <si>
    <t>ACTIVIDAD: Sellado Perimetral de ventaneria</t>
  </si>
  <si>
    <t>Cuchillas</t>
  </si>
  <si>
    <t>4.4</t>
  </si>
  <si>
    <t>Aplicación de revoque impermeabilizado</t>
  </si>
  <si>
    <t>Sikasit</t>
  </si>
  <si>
    <t>Aseo General y Retiro de Escombros y Sobrantes</t>
  </si>
  <si>
    <t>Campamento de Obra</t>
  </si>
  <si>
    <t>1.1</t>
  </si>
  <si>
    <t>1.2</t>
  </si>
  <si>
    <t>Cuadro General de Actividades, Unidades de Medida, Cantidades y Precios Unitarios</t>
  </si>
  <si>
    <t>Levanto  Informacion:</t>
  </si>
  <si>
    <t>Interventor: Ing. Luis Fernando Márquez Jaramillo</t>
  </si>
  <si>
    <t>Arq. Maria Fernanda Morales Palacio</t>
  </si>
  <si>
    <t>Capitulo</t>
  </si>
  <si>
    <t>Items</t>
  </si>
  <si>
    <t>Descripcion de Actividad</t>
  </si>
  <si>
    <t>Unidad</t>
  </si>
  <si>
    <t>Cantidad</t>
  </si>
  <si>
    <t>Vr Unitario</t>
  </si>
  <si>
    <t>Vr Total</t>
  </si>
  <si>
    <t>Gbl</t>
  </si>
  <si>
    <t>PREPARACION DE SUPERFICIES</t>
  </si>
  <si>
    <t>ASEO GENERAL DE OBRA Y RETIRO DE ESCOMBROS</t>
  </si>
  <si>
    <t>5.1</t>
  </si>
  <si>
    <t>GBL</t>
  </si>
  <si>
    <t xml:space="preserve">TOTAL COSTO DIRECTO </t>
  </si>
  <si>
    <t>ADMINISTRACION</t>
  </si>
  <si>
    <t xml:space="preserve">IMPREVISTOS </t>
  </si>
  <si>
    <t xml:space="preserve">UTILIDAD </t>
  </si>
  <si>
    <t>IVA/U</t>
  </si>
  <si>
    <t>COSTO TOTAL</t>
  </si>
  <si>
    <t>PRIMERA ETAPA- SOLO FACHADAS</t>
  </si>
  <si>
    <t>EDIFICIO EL MIRADOR</t>
  </si>
  <si>
    <t>Proponente: FRESHOUSE S.A.S</t>
  </si>
  <si>
    <t>Fecha: Mayo de 2025</t>
  </si>
  <si>
    <t>Ubicación Proyecto: Cra 19 # 26N 69 - Armenia</t>
  </si>
  <si>
    <t>1.3</t>
  </si>
  <si>
    <t>1.4</t>
  </si>
  <si>
    <t>Asesoria tecnica externa</t>
  </si>
  <si>
    <t>Recurso de respaldo por omisión de diagnostico previo</t>
  </si>
  <si>
    <t>Suministro y restitución de graniplast (25%)</t>
  </si>
  <si>
    <t>Suministro y restitución de mortero de fachada (10% 2.2)</t>
  </si>
  <si>
    <t>Suministro y aplicación de Pintura gris basalto sobre alfajias de muros en los accesos del edificio y garajes</t>
  </si>
  <si>
    <t>Suministro y aplicación de Pintura, del tipo Pintulux 3 en 1 de Pintuco, en puertas y ventanas de fachada</t>
  </si>
  <si>
    <t>Suministro y aplicación de Pintura, del tipo Pintulux 3 en 1 de Pintuco en barandas de parqueaderos</t>
  </si>
  <si>
    <t>Suministro y aplicación de Pintura en interiores - paredes y cielo raso de pasillos y porteria</t>
  </si>
  <si>
    <t xml:space="preserve">PINTURA </t>
  </si>
  <si>
    <t>REPARACIONES Y PROTECCIONES ESPECIALES</t>
  </si>
  <si>
    <t>Suministro e instalación de cortagoteras en fachadas y balcones</t>
  </si>
  <si>
    <t>Retiro y Reposicion de sello en elementos vidriados de las areas comunes y fachadas del edificio (60%)</t>
  </si>
  <si>
    <t>Sellamiento de elementos varios en balcones</t>
  </si>
  <si>
    <t>Suministro e instalación de alfajias en lamina en el perimetro y muros medianeros de las cubiertas del edificio</t>
  </si>
  <si>
    <t>Conformación de escurrideros en antepechos de balcones y en otros elementos de la fachada</t>
  </si>
  <si>
    <t>Impermeabilización de muros internos en las cubiertas del edificio</t>
  </si>
  <si>
    <t>5.2</t>
  </si>
  <si>
    <t>5.3</t>
  </si>
  <si>
    <t>5.4</t>
  </si>
  <si>
    <t>6.1</t>
  </si>
  <si>
    <t>6.2</t>
  </si>
  <si>
    <t>Retiro de escombros y disposición final</t>
  </si>
  <si>
    <t>Señalizacion y Seguridad</t>
  </si>
  <si>
    <t>Lavado General de Areas a Intervenir</t>
  </si>
  <si>
    <t>Suministro y Aplicación de Pintura para exteriores, tipo Koraza de Pintuco, en fachadas de concreto con revestimiento de graniplast</t>
  </si>
  <si>
    <t>Retiro de cubiertas antiguas y suministro e instalación de cubiertas Nuevas en Fibrocemento</t>
  </si>
  <si>
    <t>Suministro e instalación de teja translucida en vacio del edificio</t>
  </si>
  <si>
    <t>Impermeabilización de la placa del cuarto de maquinas</t>
  </si>
  <si>
    <t>Impermeabilización y tratamiento general a la viga canal de cubierta</t>
  </si>
  <si>
    <t>1ra cotización</t>
  </si>
  <si>
    <t>PARQUE RESIDENCIAL DEL CAFÉ</t>
  </si>
  <si>
    <t>ATLANTIS 2,6</t>
  </si>
  <si>
    <t>ATLANTIS 2,3</t>
  </si>
  <si>
    <t>cedros 3,3 + pintucofill</t>
  </si>
  <si>
    <t>Suministro y aplicación de pintura de impermeabilización, tipo koraza sol y lluvia, sobre paredes en concreto limpio en fachadas</t>
  </si>
  <si>
    <t>Viniltex advance</t>
  </si>
  <si>
    <t>Koraza sol y lluvia</t>
  </si>
  <si>
    <t>Suministro y Aplicación de Pintura para exteriores KORAZA PRO 550</t>
  </si>
  <si>
    <t>ACTIVIDAD: Suministro y Aplicación de Pintura para exteriores KORAZA PRO 550</t>
  </si>
  <si>
    <t>ACTIVIDAD: Suministro y Aplicación de Pintura Impermeabilizante</t>
  </si>
  <si>
    <t>Suministro y Aplicación de Pintura Impermeabilizante</t>
  </si>
  <si>
    <t>ACTIVIDAD: Suministro y Aplicación de Pintura para interiores Viniltex</t>
  </si>
  <si>
    <t>Suministro y Aplicación de Pintura para Interiores Viniltex</t>
  </si>
  <si>
    <t>TRATAMIENTO DE CUBIERTAS EN GENERAL</t>
  </si>
  <si>
    <t>2.2.1</t>
  </si>
  <si>
    <t>2.2.2</t>
  </si>
  <si>
    <t>2.2.3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</si>
</sst>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"/>
    <numFmt numFmtId="165" formatCode="0.000"/>
    <numFmt numFmtId="166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Swis721 BT"/>
      <family val="2"/>
    </font>
    <font>
      <sz val="11"/>
      <name val="Swis721 BT"/>
      <family val="2"/>
    </font>
    <font>
      <sz val="11"/>
      <color theme="1"/>
      <name val="Swis721 BT"/>
      <family val="2"/>
    </font>
    <font>
      <b/>
      <sz val="10"/>
      <color theme="0"/>
      <name val="Swis721 BT"/>
      <family val="2"/>
    </font>
    <font>
      <sz val="10"/>
      <name val="Swis721 BT"/>
      <family val="2"/>
    </font>
    <font>
      <b/>
      <sz val="10"/>
      <color theme="1"/>
      <name val="Swis721 BT"/>
      <family val="2"/>
    </font>
    <font>
      <sz val="10"/>
      <color theme="1"/>
      <name val="Swis721 BT"/>
      <family val="2"/>
    </font>
    <font>
      <sz val="10"/>
      <color rgb="FF000000"/>
      <name val="Swis721 BT"/>
      <family val="2"/>
    </font>
    <font>
      <b/>
      <sz val="10"/>
      <color rgb="FF000000"/>
      <name val="Swis721 BT"/>
      <family val="2"/>
    </font>
    <font>
      <sz val="16"/>
      <color theme="1"/>
      <name val="Swis721 BT"/>
      <family val="2"/>
    </font>
    <font>
      <b/>
      <sz val="11"/>
      <color theme="1"/>
      <name val="Swis721 BT"/>
      <family val="2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315761"/>
        <bgColor rgb="FF333F4F"/>
      </patternFill>
    </fill>
    <fill>
      <patternFill patternType="solid">
        <fgColor rgb="FF315761"/>
        <bgColor indexed="64"/>
      </patternFill>
    </fill>
    <fill>
      <patternFill patternType="solid">
        <fgColor theme="2" tint="-9.9978637043366805E-2"/>
        <bgColor rgb="FF8496B0"/>
      </patternFill>
    </fill>
    <fill>
      <patternFill patternType="solid">
        <fgColor rgb="FF64A0B0"/>
        <bgColor rgb="FF333F4F"/>
      </patternFill>
    </fill>
    <fill>
      <patternFill patternType="solid">
        <fgColor rgb="FF64A0B0"/>
        <bgColor indexed="64"/>
      </patternFill>
    </fill>
    <fill>
      <patternFill patternType="solid">
        <fgColor theme="6" tint="0.39997558519241921"/>
        <bgColor rgb="FF8496B0"/>
      </patternFill>
    </fill>
    <fill>
      <patternFill patternType="solid">
        <fgColor theme="6" tint="0.79998168889431442"/>
        <bgColor rgb="FFD6DCE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7B89"/>
        <bgColor indexed="64"/>
      </patternFill>
    </fill>
    <fill>
      <patternFill patternType="solid">
        <fgColor rgb="FFFF7B89"/>
        <bgColor rgb="FF333F4F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2" applyFont="1" applyAlignment="1">
      <alignment horizontal="left" vertical="center"/>
    </xf>
    <xf numFmtId="0" fontId="4" fillId="0" borderId="0" xfId="2" applyFont="1" applyAlignment="1">
      <alignment vertical="center"/>
    </xf>
    <xf numFmtId="0" fontId="6" fillId="3" borderId="0" xfId="2" applyFont="1" applyFill="1" applyAlignment="1">
      <alignment horizontal="center" vertical="center"/>
    </xf>
    <xf numFmtId="0" fontId="8" fillId="4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164" fontId="9" fillId="0" borderId="0" xfId="2" applyNumberFormat="1" applyFont="1" applyAlignment="1">
      <alignment horizontal="right" vertical="center"/>
    </xf>
    <xf numFmtId="164" fontId="8" fillId="8" borderId="0" xfId="2" applyNumberFormat="1" applyFont="1" applyFill="1" applyAlignment="1">
      <alignment horizontal="right" vertical="center"/>
    </xf>
    <xf numFmtId="0" fontId="9" fillId="0" borderId="0" xfId="2" applyFont="1" applyAlignment="1">
      <alignment horizontal="left" vertical="center"/>
    </xf>
    <xf numFmtId="1" fontId="10" fillId="0" borderId="0" xfId="2" applyNumberFormat="1" applyFont="1" applyAlignment="1">
      <alignment horizontal="center" vertical="center"/>
    </xf>
    <xf numFmtId="165" fontId="10" fillId="0" borderId="0" xfId="2" applyNumberFormat="1" applyFont="1" applyAlignment="1">
      <alignment horizontal="center" vertical="center"/>
    </xf>
    <xf numFmtId="0" fontId="10" fillId="0" borderId="0" xfId="2" applyFont="1" applyAlignment="1">
      <alignment horizontal="left" vertical="center"/>
    </xf>
    <xf numFmtId="0" fontId="8" fillId="0" borderId="0" xfId="2" applyFont="1" applyAlignment="1">
      <alignment horizontal="right" vertical="center"/>
    </xf>
    <xf numFmtId="0" fontId="7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2" fontId="10" fillId="0" borderId="0" xfId="2" applyNumberFormat="1" applyFont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44" fontId="9" fillId="0" borderId="0" xfId="1" applyFont="1" applyAlignment="1">
      <alignment horizontal="center" vertical="center"/>
    </xf>
    <xf numFmtId="44" fontId="7" fillId="0" borderId="0" xfId="1" applyFont="1" applyAlignment="1">
      <alignment vertical="center"/>
    </xf>
    <xf numFmtId="44" fontId="11" fillId="10" borderId="0" xfId="2" applyNumberFormat="1" applyFont="1" applyFill="1" applyAlignment="1">
      <alignment horizontal="center" vertical="center"/>
    </xf>
    <xf numFmtId="0" fontId="8" fillId="10" borderId="0" xfId="2" applyFont="1" applyFill="1" applyAlignment="1">
      <alignment horizontal="center" vertical="center"/>
    </xf>
    <xf numFmtId="0" fontId="8" fillId="10" borderId="0" xfId="2" applyFont="1" applyFill="1" applyAlignment="1">
      <alignment horizontal="left" vertical="center" wrapText="1"/>
    </xf>
    <xf numFmtId="0" fontId="3" fillId="12" borderId="0" xfId="2" applyFont="1" applyFill="1" applyAlignment="1">
      <alignment horizontal="left" vertical="center"/>
    </xf>
    <xf numFmtId="0" fontId="4" fillId="11" borderId="0" xfId="2" applyFont="1" applyFill="1" applyAlignment="1">
      <alignment vertical="center"/>
    </xf>
    <xf numFmtId="0" fontId="6" fillId="11" borderId="0" xfId="2" applyFont="1" applyFill="1" applyAlignment="1">
      <alignment horizontal="center" vertical="center"/>
    </xf>
    <xf numFmtId="0" fontId="3" fillId="11" borderId="0" xfId="2" applyFont="1" applyFill="1" applyAlignment="1">
      <alignment horizontal="center" vertical="center"/>
    </xf>
    <xf numFmtId="0" fontId="6" fillId="12" borderId="0" xfId="2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44" fontId="5" fillId="13" borderId="1" xfId="1" applyFont="1" applyFill="1" applyBorder="1" applyAlignment="1">
      <alignment vertical="center"/>
    </xf>
    <xf numFmtId="43" fontId="5" fillId="0" borderId="1" xfId="3" applyFont="1" applyBorder="1" applyAlignment="1">
      <alignment vertical="center"/>
    </xf>
    <xf numFmtId="44" fontId="5" fillId="0" borderId="1" xfId="0" applyNumberFormat="1" applyFont="1" applyBorder="1" applyAlignment="1">
      <alignment vertical="center"/>
    </xf>
    <xf numFmtId="44" fontId="5" fillId="0" borderId="1" xfId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66" fontId="5" fillId="0" borderId="1" xfId="3" applyNumberFormat="1" applyFont="1" applyBorder="1" applyAlignment="1">
      <alignment vertical="center"/>
    </xf>
    <xf numFmtId="166" fontId="5" fillId="0" borderId="0" xfId="0" applyNumberFormat="1" applyFont="1" applyAlignment="1">
      <alignment vertical="center"/>
    </xf>
    <xf numFmtId="44" fontId="5" fillId="13" borderId="1" xfId="0" applyNumberFormat="1" applyFont="1" applyFill="1" applyBorder="1" applyAlignment="1">
      <alignment vertical="center"/>
    </xf>
    <xf numFmtId="0" fontId="4" fillId="0" borderId="9" xfId="0" applyFont="1" applyBorder="1" applyAlignment="1">
      <alignment vertical="center" wrapText="1"/>
    </xf>
    <xf numFmtId="9" fontId="5" fillId="0" borderId="1" xfId="4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5" fillId="0" borderId="0" xfId="1" applyFont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164" fontId="9" fillId="0" borderId="0" xfId="1" applyNumberFormat="1" applyFont="1" applyAlignment="1">
      <alignment horizontal="center" vertical="center"/>
    </xf>
    <xf numFmtId="164" fontId="11" fillId="10" borderId="0" xfId="2" applyNumberFormat="1" applyFont="1" applyFill="1" applyAlignment="1">
      <alignment horizontal="center" vertical="center"/>
    </xf>
    <xf numFmtId="0" fontId="8" fillId="8" borderId="0" xfId="2" applyFont="1" applyFill="1" applyAlignment="1">
      <alignment horizontal="right" vertical="center"/>
    </xf>
    <xf numFmtId="0" fontId="6" fillId="5" borderId="0" xfId="2" applyFont="1" applyFill="1" applyAlignment="1">
      <alignment horizontal="left" vertical="center"/>
    </xf>
    <xf numFmtId="44" fontId="5" fillId="14" borderId="1" xfId="0" applyNumberFormat="1" applyFont="1" applyFill="1" applyBorder="1" applyAlignment="1">
      <alignment vertical="center"/>
    </xf>
    <xf numFmtId="0" fontId="5" fillId="14" borderId="1" xfId="0" applyFont="1" applyFill="1" applyBorder="1" applyAlignment="1">
      <alignment vertical="center"/>
    </xf>
    <xf numFmtId="44" fontId="5" fillId="0" borderId="0" xfId="0" applyNumberFormat="1" applyFont="1" applyAlignment="1">
      <alignment vertical="center"/>
    </xf>
    <xf numFmtId="0" fontId="8" fillId="8" borderId="0" xfId="2" applyFont="1" applyFill="1" applyAlignment="1">
      <alignment horizontal="right" vertical="center"/>
    </xf>
    <xf numFmtId="0" fontId="7" fillId="9" borderId="0" xfId="2" applyFont="1" applyFill="1" applyAlignment="1">
      <alignment vertical="center"/>
    </xf>
    <xf numFmtId="0" fontId="6" fillId="12" borderId="0" xfId="2" applyFont="1" applyFill="1" applyAlignment="1">
      <alignment horizontal="left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vertical="center"/>
    </xf>
    <xf numFmtId="0" fontId="6" fillId="5" borderId="0" xfId="2" applyFont="1" applyFill="1" applyAlignment="1">
      <alignment horizontal="left" vertical="center"/>
    </xf>
    <xf numFmtId="0" fontId="7" fillId="6" borderId="0" xfId="2" applyFont="1" applyFill="1" applyAlignment="1">
      <alignment vertical="center"/>
    </xf>
    <xf numFmtId="0" fontId="8" fillId="0" borderId="0" xfId="2" applyFont="1" applyAlignment="1">
      <alignment horizontal="right" vertical="center"/>
    </xf>
    <xf numFmtId="0" fontId="6" fillId="11" borderId="0" xfId="2" applyFont="1" applyFill="1" applyAlignment="1">
      <alignment horizontal="left" vertical="center"/>
    </xf>
    <xf numFmtId="0" fontId="7" fillId="11" borderId="0" xfId="2" applyFont="1" applyFill="1" applyAlignment="1">
      <alignment vertical="center"/>
    </xf>
    <xf numFmtId="0" fontId="6" fillId="11" borderId="0" xfId="2" applyFont="1" applyFill="1" applyAlignment="1">
      <alignment horizontal="left" vertical="center" wrapText="1"/>
    </xf>
    <xf numFmtId="0" fontId="7" fillId="11" borderId="0" xfId="2" applyFont="1" applyFill="1" applyAlignment="1">
      <alignment vertical="center" wrapText="1"/>
    </xf>
    <xf numFmtId="0" fontId="6" fillId="2" borderId="0" xfId="2" applyFont="1" applyFill="1" applyAlignment="1">
      <alignment horizontal="left" vertical="center"/>
    </xf>
    <xf numFmtId="0" fontId="6" fillId="3" borderId="0" xfId="2" applyFont="1" applyFill="1" applyAlignment="1">
      <alignment horizontal="left" vertical="center"/>
    </xf>
    <xf numFmtId="0" fontId="7" fillId="3" borderId="0" xfId="2" applyFont="1" applyFill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2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3" fillId="13" borderId="3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</cellXfs>
  <cellStyles count="5">
    <cellStyle name="Millares" xfId="3" builtinId="3"/>
    <cellStyle name="Moneda" xfId="1" builtinId="4"/>
    <cellStyle name="Normal" xfId="0" builtinId="0"/>
    <cellStyle name="Normal 2" xfId="2" xr:uid="{A77CDD94-9DDF-4F34-9F90-C2867F37B82D}"/>
    <cellStyle name="Porcentaje" xfId="4" builtinId="5"/>
  </cellStyles>
  <dxfs count="0"/>
  <tableStyles count="0" defaultTableStyle="TableStyleMedium2" defaultPivotStyle="PivotStyleLight16"/>
  <colors>
    <mruColors>
      <color rgb="FFFF7B89"/>
      <color rgb="FF64A0B0"/>
      <color rgb="FFFFBDC3"/>
      <color rgb="FFC0D8DE"/>
      <color rgb="FF9CC2CC"/>
      <color rgb="FF3157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B082-CCA2-41FB-903C-C9CD45D2C3A4}">
  <sheetPr>
    <pageSetUpPr fitToPage="1"/>
  </sheetPr>
  <dimension ref="B2:F34"/>
  <sheetViews>
    <sheetView workbookViewId="0">
      <selection activeCell="B2" sqref="B2:F33"/>
    </sheetView>
  </sheetViews>
  <sheetFormatPr baseColWidth="10" defaultRowHeight="14.4" x14ac:dyDescent="0.3"/>
  <cols>
    <col min="2" max="2" width="13.88671875" customWidth="1"/>
    <col min="3" max="3" width="56.109375" customWidth="1"/>
    <col min="4" max="4" width="18.6640625" customWidth="1"/>
    <col min="6" max="6" width="18" customWidth="1"/>
  </cols>
  <sheetData>
    <row r="2" spans="2:6" x14ac:dyDescent="0.3">
      <c r="B2" s="22" t="s">
        <v>48</v>
      </c>
      <c r="C2" s="23" t="s">
        <v>54</v>
      </c>
      <c r="D2" s="21">
        <v>52000</v>
      </c>
    </row>
    <row r="3" spans="2:6" x14ac:dyDescent="0.3">
      <c r="B3" s="6"/>
      <c r="C3" s="10" t="s">
        <v>75</v>
      </c>
      <c r="D3" s="19">
        <f>D2</f>
        <v>52000</v>
      </c>
    </row>
    <row r="5" spans="2:6" x14ac:dyDescent="0.3">
      <c r="B5" s="56" t="s">
        <v>53</v>
      </c>
      <c r="C5" s="56"/>
      <c r="D5" s="56"/>
      <c r="E5" s="28" t="s">
        <v>0</v>
      </c>
      <c r="F5" s="28" t="s">
        <v>48</v>
      </c>
    </row>
    <row r="6" spans="2:6" x14ac:dyDescent="0.3">
      <c r="B6" s="57"/>
      <c r="C6" s="58"/>
      <c r="D6" s="58"/>
      <c r="E6" s="4" t="s">
        <v>1</v>
      </c>
      <c r="F6" s="4" t="s">
        <v>2</v>
      </c>
    </row>
    <row r="7" spans="2:6" x14ac:dyDescent="0.3">
      <c r="B7" s="59" t="s">
        <v>3</v>
      </c>
      <c r="C7" s="60"/>
      <c r="D7" s="60"/>
      <c r="E7" s="60"/>
      <c r="F7" s="60"/>
    </row>
    <row r="8" spans="2:6" x14ac:dyDescent="0.3">
      <c r="B8" s="5" t="s">
        <v>4</v>
      </c>
      <c r="C8" s="5" t="s">
        <v>1</v>
      </c>
      <c r="D8" s="5" t="s">
        <v>5</v>
      </c>
      <c r="E8" s="5" t="s">
        <v>6</v>
      </c>
      <c r="F8" s="5" t="s">
        <v>7</v>
      </c>
    </row>
    <row r="9" spans="2:6" x14ac:dyDescent="0.3">
      <c r="B9" s="10" t="s">
        <v>8</v>
      </c>
      <c r="C9" s="6" t="s">
        <v>9</v>
      </c>
      <c r="D9" s="7">
        <v>0.1</v>
      </c>
      <c r="E9" s="8">
        <f>F31</f>
        <v>14666.666666666666</v>
      </c>
      <c r="F9" s="8">
        <f>D9*E9</f>
        <v>1466.6666666666667</v>
      </c>
    </row>
    <row r="10" spans="2:6" x14ac:dyDescent="0.3">
      <c r="B10" s="10" t="s">
        <v>40</v>
      </c>
      <c r="C10" s="6" t="s">
        <v>17</v>
      </c>
      <c r="D10" s="7">
        <v>0.02</v>
      </c>
      <c r="E10" s="8">
        <v>25000</v>
      </c>
      <c r="F10" s="8">
        <f>D10*E10</f>
        <v>500</v>
      </c>
    </row>
    <row r="11" spans="2:6" x14ac:dyDescent="0.3">
      <c r="B11" s="6"/>
      <c r="C11" s="6"/>
      <c r="D11" s="6"/>
      <c r="E11" s="8"/>
      <c r="F11" s="8"/>
    </row>
    <row r="12" spans="2:6" x14ac:dyDescent="0.3">
      <c r="B12" s="54" t="s">
        <v>10</v>
      </c>
      <c r="C12" s="55"/>
      <c r="D12" s="55"/>
      <c r="E12" s="55"/>
      <c r="F12" s="9">
        <f>SUM(F9:F10)</f>
        <v>1966.6666666666667</v>
      </c>
    </row>
    <row r="13" spans="2:6" x14ac:dyDescent="0.3">
      <c r="B13" s="59" t="s">
        <v>11</v>
      </c>
      <c r="C13" s="60"/>
      <c r="D13" s="60"/>
      <c r="E13" s="60"/>
      <c r="F13" s="60"/>
    </row>
    <row r="14" spans="2:6" x14ac:dyDescent="0.3">
      <c r="B14" s="5" t="s">
        <v>4</v>
      </c>
      <c r="C14" s="5" t="s">
        <v>1</v>
      </c>
      <c r="D14" s="5" t="s">
        <v>12</v>
      </c>
      <c r="E14" s="5" t="s">
        <v>13</v>
      </c>
      <c r="F14" s="5" t="s">
        <v>7</v>
      </c>
    </row>
    <row r="15" spans="2:6" x14ac:dyDescent="0.3">
      <c r="B15" s="10" t="s">
        <v>32</v>
      </c>
      <c r="C15" s="6" t="s">
        <v>2</v>
      </c>
      <c r="D15" s="12">
        <v>4.4132478632478635E-2</v>
      </c>
      <c r="E15" s="8">
        <v>650000</v>
      </c>
      <c r="F15" s="8">
        <f>D15*E15</f>
        <v>28686.111111111113</v>
      </c>
    </row>
    <row r="16" spans="2:6" x14ac:dyDescent="0.3">
      <c r="B16" s="10" t="s">
        <v>27</v>
      </c>
      <c r="C16" s="6" t="s">
        <v>28</v>
      </c>
      <c r="D16" s="12">
        <v>0.01</v>
      </c>
      <c r="E16" s="8">
        <v>32500</v>
      </c>
      <c r="F16" s="8">
        <f>D16*E16</f>
        <v>325</v>
      </c>
    </row>
    <row r="17" spans="2:6" x14ac:dyDescent="0.3">
      <c r="B17" s="10" t="s">
        <v>76</v>
      </c>
      <c r="C17" s="6" t="s">
        <v>31</v>
      </c>
      <c r="D17" s="12">
        <v>0.02</v>
      </c>
      <c r="E17" s="8">
        <f>180000</f>
        <v>180000</v>
      </c>
      <c r="F17" s="8">
        <f>D17*E17</f>
        <v>3600</v>
      </c>
    </row>
    <row r="18" spans="2:6" x14ac:dyDescent="0.3">
      <c r="B18" s="10"/>
      <c r="C18" s="6"/>
      <c r="D18" s="12"/>
      <c r="E18" s="8"/>
      <c r="F18" s="8"/>
    </row>
    <row r="19" spans="2:6" x14ac:dyDescent="0.3">
      <c r="B19" s="13" t="s">
        <v>30</v>
      </c>
      <c r="C19" s="61"/>
      <c r="D19" s="58"/>
      <c r="E19" s="58"/>
      <c r="F19" s="8">
        <f>SUM(F15:F18)*0.05</f>
        <v>1630.5555555555557</v>
      </c>
    </row>
    <row r="20" spans="2:6" x14ac:dyDescent="0.3">
      <c r="B20" s="13"/>
      <c r="C20" s="14"/>
      <c r="D20" s="15"/>
      <c r="E20" s="15"/>
      <c r="F20" s="8"/>
    </row>
    <row r="21" spans="2:6" x14ac:dyDescent="0.3">
      <c r="B21" s="54" t="s">
        <v>10</v>
      </c>
      <c r="C21" s="55"/>
      <c r="D21" s="55"/>
      <c r="E21" s="55"/>
      <c r="F21" s="9">
        <f>SUM(F15:F19)</f>
        <v>34241.666666666672</v>
      </c>
    </row>
    <row r="22" spans="2:6" x14ac:dyDescent="0.3">
      <c r="B22" s="59" t="s">
        <v>15</v>
      </c>
      <c r="C22" s="60"/>
      <c r="D22" s="60"/>
      <c r="E22" s="60"/>
      <c r="F22" s="60"/>
    </row>
    <row r="23" spans="2:6" x14ac:dyDescent="0.3">
      <c r="B23" s="5" t="s">
        <v>4</v>
      </c>
      <c r="C23" s="5" t="s">
        <v>1</v>
      </c>
      <c r="D23" s="5" t="s">
        <v>5</v>
      </c>
      <c r="E23" s="5" t="s">
        <v>6</v>
      </c>
      <c r="F23" s="5" t="s">
        <v>7</v>
      </c>
    </row>
    <row r="24" spans="2:6" x14ac:dyDescent="0.3">
      <c r="B24" s="10" t="s">
        <v>25</v>
      </c>
      <c r="C24" s="6" t="s">
        <v>17</v>
      </c>
      <c r="D24" s="7">
        <v>2.5000000000000001E-2</v>
      </c>
      <c r="E24" s="8">
        <v>45000</v>
      </c>
      <c r="F24" s="8">
        <f>E24*D24</f>
        <v>1125</v>
      </c>
    </row>
    <row r="25" spans="2:6" x14ac:dyDescent="0.3">
      <c r="B25" s="10"/>
      <c r="C25" s="6"/>
      <c r="D25" s="7"/>
      <c r="E25" s="8"/>
      <c r="F25" s="8"/>
    </row>
    <row r="26" spans="2:6" x14ac:dyDescent="0.3">
      <c r="B26" s="54" t="s">
        <v>10</v>
      </c>
      <c r="C26" s="55"/>
      <c r="D26" s="55"/>
      <c r="E26" s="55"/>
      <c r="F26" s="9">
        <f>SUM(F24)</f>
        <v>1125</v>
      </c>
    </row>
    <row r="27" spans="2:6" x14ac:dyDescent="0.3">
      <c r="B27" s="59" t="s">
        <v>18</v>
      </c>
      <c r="C27" s="60"/>
      <c r="D27" s="60"/>
      <c r="E27" s="60"/>
      <c r="F27" s="60"/>
    </row>
    <row r="28" spans="2:6" x14ac:dyDescent="0.3">
      <c r="B28" s="5" t="s">
        <v>4</v>
      </c>
      <c r="C28" s="5" t="s">
        <v>1</v>
      </c>
      <c r="D28" s="5" t="s">
        <v>5</v>
      </c>
      <c r="E28" s="5" t="s">
        <v>19</v>
      </c>
      <c r="F28" s="5" t="s">
        <v>7</v>
      </c>
    </row>
    <row r="29" spans="2:6" x14ac:dyDescent="0.3">
      <c r="B29" s="10" t="s">
        <v>23</v>
      </c>
      <c r="C29" s="6" t="s">
        <v>17</v>
      </c>
      <c r="D29" s="7">
        <v>15</v>
      </c>
      <c r="E29" s="8">
        <v>220000</v>
      </c>
      <c r="F29" s="8">
        <f>E29/D29</f>
        <v>14666.666666666666</v>
      </c>
    </row>
    <row r="30" spans="2:6" x14ac:dyDescent="0.3">
      <c r="B30" s="10"/>
      <c r="C30" s="6"/>
      <c r="D30" s="7"/>
      <c r="E30" s="8"/>
      <c r="F30" s="8"/>
    </row>
    <row r="31" spans="2:6" x14ac:dyDescent="0.3">
      <c r="B31" s="54" t="s">
        <v>10</v>
      </c>
      <c r="C31" s="55"/>
      <c r="D31" s="55"/>
      <c r="E31" s="55"/>
      <c r="F31" s="9">
        <f>SUM(F29)</f>
        <v>14666.666666666666</v>
      </c>
    </row>
    <row r="32" spans="2:6" x14ac:dyDescent="0.3">
      <c r="B32" s="6"/>
      <c r="C32" s="15"/>
      <c r="D32" s="15"/>
      <c r="E32" s="15"/>
      <c r="F32" s="15"/>
    </row>
    <row r="33" spans="2:6" x14ac:dyDescent="0.3">
      <c r="B33" s="54" t="s">
        <v>21</v>
      </c>
      <c r="C33" s="55"/>
      <c r="D33" s="55"/>
      <c r="E33" s="55"/>
      <c r="F33" s="9">
        <f>SUM(F12,F21,F26,F31)</f>
        <v>52000</v>
      </c>
    </row>
    <row r="34" spans="2:6" x14ac:dyDescent="0.3">
      <c r="B34" s="16"/>
      <c r="C34" s="16"/>
      <c r="D34" s="16"/>
      <c r="E34" s="16"/>
      <c r="F34" s="16"/>
    </row>
  </sheetData>
  <mergeCells count="12">
    <mergeCell ref="B31:E31"/>
    <mergeCell ref="B33:E33"/>
    <mergeCell ref="B5:D5"/>
    <mergeCell ref="B6:D6"/>
    <mergeCell ref="B7:F7"/>
    <mergeCell ref="B12:E12"/>
    <mergeCell ref="B13:F13"/>
    <mergeCell ref="C19:E19"/>
    <mergeCell ref="B21:E21"/>
    <mergeCell ref="B22:F22"/>
    <mergeCell ref="B26:E26"/>
    <mergeCell ref="B27:F27"/>
  </mergeCells>
  <pageMargins left="0.7" right="0.7" top="0.75" bottom="0.75" header="0.3" footer="0.3"/>
  <pageSetup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47A3-787E-448D-9C81-7C41501D5F40}">
  <sheetPr>
    <pageSetUpPr fitToPage="1"/>
  </sheetPr>
  <dimension ref="B2:F33"/>
  <sheetViews>
    <sheetView topLeftCell="A8" workbookViewId="0">
      <selection activeCell="B2" sqref="B2:F32"/>
    </sheetView>
  </sheetViews>
  <sheetFormatPr baseColWidth="10" defaultRowHeight="14.4" x14ac:dyDescent="0.3"/>
  <cols>
    <col min="2" max="2" width="13.88671875" customWidth="1"/>
    <col min="3" max="3" width="56.109375" customWidth="1"/>
    <col min="4" max="4" width="18.6640625" customWidth="1"/>
    <col min="6" max="6" width="18" customWidth="1"/>
  </cols>
  <sheetData>
    <row r="2" spans="2:6" x14ac:dyDescent="0.3">
      <c r="B2" s="22" t="s">
        <v>46</v>
      </c>
      <c r="C2" s="23" t="s">
        <v>56</v>
      </c>
      <c r="D2" s="21">
        <v>3120</v>
      </c>
    </row>
    <row r="4" spans="2:6" x14ac:dyDescent="0.3">
      <c r="B4" s="62" t="s">
        <v>35</v>
      </c>
      <c r="C4" s="63"/>
      <c r="D4" s="63"/>
      <c r="E4" s="26" t="s">
        <v>0</v>
      </c>
      <c r="F4" s="26" t="s">
        <v>46</v>
      </c>
    </row>
    <row r="5" spans="2:6" x14ac:dyDescent="0.3">
      <c r="B5" s="57"/>
      <c r="C5" s="58"/>
      <c r="D5" s="58"/>
      <c r="E5" s="4" t="s">
        <v>1</v>
      </c>
      <c r="F5" s="4" t="s">
        <v>2</v>
      </c>
    </row>
    <row r="6" spans="2:6" x14ac:dyDescent="0.3">
      <c r="B6" s="59" t="s">
        <v>3</v>
      </c>
      <c r="C6" s="60"/>
      <c r="D6" s="60"/>
      <c r="E6" s="60"/>
      <c r="F6" s="60"/>
    </row>
    <row r="7" spans="2:6" x14ac:dyDescent="0.3">
      <c r="B7" s="5" t="s">
        <v>4</v>
      </c>
      <c r="C7" s="5" t="s">
        <v>1</v>
      </c>
      <c r="D7" s="5" t="s">
        <v>5</v>
      </c>
      <c r="E7" s="5" t="s">
        <v>6</v>
      </c>
      <c r="F7" s="5" t="s">
        <v>7</v>
      </c>
    </row>
    <row r="8" spans="2:6" x14ac:dyDescent="0.3">
      <c r="B8" s="10" t="s">
        <v>8</v>
      </c>
      <c r="C8" s="6" t="s">
        <v>9</v>
      </c>
      <c r="D8" s="7">
        <v>0.1</v>
      </c>
      <c r="E8" s="8">
        <f>F30</f>
        <v>866.66666666666663</v>
      </c>
      <c r="F8" s="8">
        <f>D8*E8</f>
        <v>86.666666666666671</v>
      </c>
    </row>
    <row r="9" spans="2:6" x14ac:dyDescent="0.3">
      <c r="B9" s="10" t="s">
        <v>40</v>
      </c>
      <c r="C9" s="6" t="s">
        <v>17</v>
      </c>
      <c r="D9" s="7">
        <v>1.4999999999999999E-2</v>
      </c>
      <c r="E9" s="8">
        <v>25000</v>
      </c>
      <c r="F9" s="8">
        <f>D9*E9</f>
        <v>375</v>
      </c>
    </row>
    <row r="10" spans="2:6" x14ac:dyDescent="0.3">
      <c r="B10" s="10" t="s">
        <v>39</v>
      </c>
      <c r="C10" s="6" t="s">
        <v>17</v>
      </c>
      <c r="D10" s="7">
        <v>0.01</v>
      </c>
      <c r="E10" s="8">
        <v>15000</v>
      </c>
      <c r="F10" s="8">
        <f>D10*E10</f>
        <v>150</v>
      </c>
    </row>
    <row r="11" spans="2:6" x14ac:dyDescent="0.3">
      <c r="B11" s="6"/>
      <c r="C11" s="6"/>
      <c r="D11" s="6"/>
      <c r="E11" s="8"/>
      <c r="F11" s="8"/>
    </row>
    <row r="12" spans="2:6" x14ac:dyDescent="0.3">
      <c r="B12" s="54" t="s">
        <v>10</v>
      </c>
      <c r="C12" s="55"/>
      <c r="D12" s="55"/>
      <c r="E12" s="55"/>
      <c r="F12" s="9">
        <f>SUM(F8:F10)</f>
        <v>611.66666666666674</v>
      </c>
    </row>
    <row r="13" spans="2:6" x14ac:dyDescent="0.3">
      <c r="B13" s="59" t="s">
        <v>11</v>
      </c>
      <c r="C13" s="60"/>
      <c r="D13" s="60"/>
      <c r="E13" s="60"/>
      <c r="F13" s="60"/>
    </row>
    <row r="14" spans="2:6" x14ac:dyDescent="0.3">
      <c r="B14" s="5" t="s">
        <v>4</v>
      </c>
      <c r="C14" s="5" t="s">
        <v>1</v>
      </c>
      <c r="D14" s="5" t="s">
        <v>12</v>
      </c>
      <c r="E14" s="5" t="s">
        <v>13</v>
      </c>
      <c r="F14" s="5" t="s">
        <v>7</v>
      </c>
    </row>
    <row r="15" spans="2:6" x14ac:dyDescent="0.3">
      <c r="B15" s="10" t="s">
        <v>36</v>
      </c>
      <c r="C15" s="6" t="s">
        <v>28</v>
      </c>
      <c r="D15" s="17">
        <v>4.5476190476190469E-2</v>
      </c>
      <c r="E15" s="8">
        <v>35000</v>
      </c>
      <c r="F15" s="8">
        <f>D15*E15</f>
        <v>1591.6666666666665</v>
      </c>
    </row>
    <row r="16" spans="2:6" x14ac:dyDescent="0.3">
      <c r="B16" s="10" t="s">
        <v>37</v>
      </c>
      <c r="C16" s="6" t="s">
        <v>22</v>
      </c>
      <c r="D16" s="17">
        <v>0.1</v>
      </c>
      <c r="E16" s="8">
        <v>500</v>
      </c>
      <c r="F16" s="8">
        <f>D16*E16</f>
        <v>50</v>
      </c>
    </row>
    <row r="17" spans="2:6" x14ac:dyDescent="0.3">
      <c r="B17" s="10"/>
      <c r="C17" s="6"/>
      <c r="D17" s="11"/>
      <c r="E17" s="8"/>
      <c r="F17" s="8"/>
    </row>
    <row r="18" spans="2:6" x14ac:dyDescent="0.3">
      <c r="B18" s="13" t="s">
        <v>14</v>
      </c>
      <c r="C18" s="61"/>
      <c r="D18" s="58"/>
      <c r="E18" s="58"/>
      <c r="F18" s="8">
        <v>0</v>
      </c>
    </row>
    <row r="19" spans="2:6" x14ac:dyDescent="0.3">
      <c r="B19" s="13"/>
      <c r="C19" s="14"/>
      <c r="D19" s="15"/>
      <c r="E19" s="15"/>
      <c r="F19" s="8"/>
    </row>
    <row r="20" spans="2:6" x14ac:dyDescent="0.3">
      <c r="B20" s="54" t="s">
        <v>10</v>
      </c>
      <c r="C20" s="55"/>
      <c r="D20" s="55"/>
      <c r="E20" s="55"/>
      <c r="F20" s="9">
        <f>SUM(F15:F18)</f>
        <v>1641.6666666666665</v>
      </c>
    </row>
    <row r="21" spans="2:6" x14ac:dyDescent="0.3">
      <c r="B21" s="59" t="s">
        <v>15</v>
      </c>
      <c r="C21" s="60"/>
      <c r="D21" s="60"/>
      <c r="E21" s="60"/>
      <c r="F21" s="60"/>
    </row>
    <row r="22" spans="2:6" x14ac:dyDescent="0.3">
      <c r="B22" s="5" t="s">
        <v>4</v>
      </c>
      <c r="C22" s="5" t="s">
        <v>1</v>
      </c>
      <c r="D22" s="5" t="s">
        <v>5</v>
      </c>
      <c r="E22" s="5" t="s">
        <v>6</v>
      </c>
      <c r="F22" s="5" t="s">
        <v>7</v>
      </c>
    </row>
    <row r="23" spans="2:6" x14ac:dyDescent="0.3">
      <c r="B23" s="10" t="s">
        <v>16</v>
      </c>
      <c r="C23" s="6" t="s">
        <v>17</v>
      </c>
      <c r="D23" s="7">
        <v>0</v>
      </c>
      <c r="E23" s="8">
        <v>0</v>
      </c>
      <c r="F23" s="8">
        <v>0</v>
      </c>
    </row>
    <row r="24" spans="2:6" x14ac:dyDescent="0.3">
      <c r="B24" s="10"/>
      <c r="C24" s="6"/>
      <c r="D24" s="7"/>
      <c r="E24" s="8"/>
      <c r="F24" s="8"/>
    </row>
    <row r="25" spans="2:6" x14ac:dyDescent="0.3">
      <c r="B25" s="54" t="s">
        <v>10</v>
      </c>
      <c r="C25" s="55"/>
      <c r="D25" s="55"/>
      <c r="E25" s="55"/>
      <c r="F25" s="9">
        <f>SUM(F23)</f>
        <v>0</v>
      </c>
    </row>
    <row r="26" spans="2:6" x14ac:dyDescent="0.3">
      <c r="B26" s="59" t="s">
        <v>18</v>
      </c>
      <c r="C26" s="60"/>
      <c r="D26" s="60"/>
      <c r="E26" s="60"/>
      <c r="F26" s="60"/>
    </row>
    <row r="27" spans="2:6" x14ac:dyDescent="0.3">
      <c r="B27" s="5" t="s">
        <v>4</v>
      </c>
      <c r="C27" s="5" t="s">
        <v>1</v>
      </c>
      <c r="D27" s="5" t="s">
        <v>5</v>
      </c>
      <c r="E27" s="5" t="s">
        <v>19</v>
      </c>
      <c r="F27" s="5" t="s">
        <v>7</v>
      </c>
    </row>
    <row r="28" spans="2:6" x14ac:dyDescent="0.3">
      <c r="B28" s="10" t="s">
        <v>38</v>
      </c>
      <c r="C28" s="6" t="s">
        <v>17</v>
      </c>
      <c r="D28" s="7">
        <v>150</v>
      </c>
      <c r="E28" s="8">
        <v>130000</v>
      </c>
      <c r="F28" s="8">
        <f>E28/D28</f>
        <v>866.66666666666663</v>
      </c>
    </row>
    <row r="29" spans="2:6" x14ac:dyDescent="0.3">
      <c r="B29" s="10"/>
      <c r="C29" s="6"/>
      <c r="D29" s="7"/>
      <c r="E29" s="8"/>
      <c r="F29" s="8"/>
    </row>
    <row r="30" spans="2:6" x14ac:dyDescent="0.3">
      <c r="B30" s="54" t="s">
        <v>10</v>
      </c>
      <c r="C30" s="55"/>
      <c r="D30" s="55"/>
      <c r="E30" s="55"/>
      <c r="F30" s="9">
        <f>SUM(F28)</f>
        <v>866.66666666666663</v>
      </c>
    </row>
    <row r="31" spans="2:6" x14ac:dyDescent="0.3">
      <c r="B31" s="6"/>
      <c r="C31" s="15"/>
      <c r="D31" s="15"/>
      <c r="E31" s="15"/>
      <c r="F31" s="15"/>
    </row>
    <row r="32" spans="2:6" x14ac:dyDescent="0.3">
      <c r="B32" s="54" t="s">
        <v>21</v>
      </c>
      <c r="C32" s="55"/>
      <c r="D32" s="55"/>
      <c r="E32" s="55"/>
      <c r="F32" s="9">
        <f>SUM(F12,F20,F25,F30)</f>
        <v>3119.9999999999995</v>
      </c>
    </row>
    <row r="33" spans="2:6" x14ac:dyDescent="0.3">
      <c r="B33" s="16"/>
      <c r="C33" s="16"/>
      <c r="D33" s="16"/>
      <c r="E33" s="16"/>
      <c r="F33" s="16"/>
    </row>
  </sheetData>
  <mergeCells count="12">
    <mergeCell ref="B4:D4"/>
    <mergeCell ref="B5:D5"/>
    <mergeCell ref="B6:F6"/>
    <mergeCell ref="B12:E12"/>
    <mergeCell ref="B13:F13"/>
    <mergeCell ref="B32:E32"/>
    <mergeCell ref="C18:E18"/>
    <mergeCell ref="B20:E20"/>
    <mergeCell ref="B21:F21"/>
    <mergeCell ref="B25:E25"/>
    <mergeCell ref="B26:F26"/>
    <mergeCell ref="B30:E30"/>
  </mergeCells>
  <pageMargins left="0.7" right="0.7" top="0.75" bottom="0.75" header="0.3" footer="0.3"/>
  <pageSetup scale="9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35B0F-E17A-4AD7-AA78-068A4A9AC409}">
  <sheetPr>
    <pageSetUpPr fitToPage="1"/>
  </sheetPr>
  <dimension ref="B2:F34"/>
  <sheetViews>
    <sheetView workbookViewId="0">
      <selection activeCell="B2" sqref="B2:F32"/>
    </sheetView>
  </sheetViews>
  <sheetFormatPr baseColWidth="10" defaultRowHeight="14.4" x14ac:dyDescent="0.3"/>
  <cols>
    <col min="2" max="2" width="13.88671875" customWidth="1"/>
    <col min="3" max="3" width="56.109375" customWidth="1"/>
    <col min="4" max="4" width="18.6640625" customWidth="1"/>
    <col min="6" max="6" width="18" customWidth="1"/>
  </cols>
  <sheetData>
    <row r="2" spans="2:6" x14ac:dyDescent="0.3">
      <c r="B2" s="22" t="s">
        <v>68</v>
      </c>
      <c r="C2" s="23" t="s">
        <v>71</v>
      </c>
      <c r="D2" s="21">
        <f>SUM(D3:D3)</f>
        <v>5200</v>
      </c>
    </row>
    <row r="3" spans="2:6" x14ac:dyDescent="0.3">
      <c r="B3" s="6" t="s">
        <v>68</v>
      </c>
      <c r="C3" s="10" t="s">
        <v>71</v>
      </c>
      <c r="D3" s="19">
        <v>5200</v>
      </c>
    </row>
    <row r="5" spans="2:6" x14ac:dyDescent="0.3">
      <c r="B5" s="62" t="s">
        <v>72</v>
      </c>
      <c r="C5" s="63"/>
      <c r="D5" s="63"/>
      <c r="E5" s="26" t="s">
        <v>0</v>
      </c>
      <c r="F5" s="26" t="s">
        <v>68</v>
      </c>
    </row>
    <row r="6" spans="2:6" x14ac:dyDescent="0.3">
      <c r="B6" s="57"/>
      <c r="C6" s="58"/>
      <c r="D6" s="58"/>
      <c r="E6" s="4" t="s">
        <v>1</v>
      </c>
      <c r="F6" s="4" t="s">
        <v>29</v>
      </c>
    </row>
    <row r="7" spans="2:6" x14ac:dyDescent="0.3">
      <c r="B7" s="59" t="s">
        <v>3</v>
      </c>
      <c r="C7" s="60"/>
      <c r="D7" s="60"/>
      <c r="E7" s="60"/>
      <c r="F7" s="60"/>
    </row>
    <row r="8" spans="2:6" x14ac:dyDescent="0.3">
      <c r="B8" s="5" t="s">
        <v>4</v>
      </c>
      <c r="C8" s="5" t="s">
        <v>1</v>
      </c>
      <c r="D8" s="5" t="s">
        <v>5</v>
      </c>
      <c r="E8" s="5" t="s">
        <v>6</v>
      </c>
      <c r="F8" s="5" t="s">
        <v>7</v>
      </c>
    </row>
    <row r="9" spans="2:6" x14ac:dyDescent="0.3">
      <c r="B9" s="10" t="s">
        <v>8</v>
      </c>
      <c r="C9" s="6" t="s">
        <v>9</v>
      </c>
      <c r="D9" s="7">
        <v>0.1</v>
      </c>
      <c r="E9" s="8">
        <f>F30</f>
        <v>1857.1428571428571</v>
      </c>
      <c r="F9" s="8">
        <f>D9*E9</f>
        <v>185.71428571428572</v>
      </c>
    </row>
    <row r="10" spans="2:6" x14ac:dyDescent="0.3">
      <c r="B10" s="10" t="s">
        <v>40</v>
      </c>
      <c r="C10" s="6" t="s">
        <v>17</v>
      </c>
      <c r="D10" s="7">
        <v>1.4999999999999999E-2</v>
      </c>
      <c r="E10" s="8">
        <v>25000</v>
      </c>
      <c r="F10" s="8">
        <f>D10*E10</f>
        <v>375</v>
      </c>
    </row>
    <row r="11" spans="2:6" x14ac:dyDescent="0.3">
      <c r="B11" s="6"/>
      <c r="C11" s="6"/>
      <c r="D11" s="6"/>
      <c r="E11" s="8"/>
      <c r="F11" s="8"/>
    </row>
    <row r="12" spans="2:6" x14ac:dyDescent="0.3">
      <c r="B12" s="54" t="s">
        <v>10</v>
      </c>
      <c r="C12" s="55"/>
      <c r="D12" s="55"/>
      <c r="E12" s="55"/>
      <c r="F12" s="9">
        <f>SUM(F9:F10)</f>
        <v>560.71428571428578</v>
      </c>
    </row>
    <row r="13" spans="2:6" x14ac:dyDescent="0.3">
      <c r="B13" s="59" t="s">
        <v>11</v>
      </c>
      <c r="C13" s="60"/>
      <c r="D13" s="60"/>
      <c r="E13" s="60"/>
      <c r="F13" s="60"/>
    </row>
    <row r="14" spans="2:6" x14ac:dyDescent="0.3">
      <c r="B14" s="5" t="s">
        <v>4</v>
      </c>
      <c r="C14" s="5" t="s">
        <v>1</v>
      </c>
      <c r="D14" s="5" t="s">
        <v>12</v>
      </c>
      <c r="E14" s="5" t="s">
        <v>13</v>
      </c>
      <c r="F14" s="5" t="s">
        <v>7</v>
      </c>
    </row>
    <row r="15" spans="2:6" x14ac:dyDescent="0.3">
      <c r="B15" s="10" t="s">
        <v>69</v>
      </c>
      <c r="C15" s="6" t="s">
        <v>31</v>
      </c>
      <c r="D15" s="17">
        <v>7.6786524133462972E-2</v>
      </c>
      <c r="E15" s="8">
        <v>21000</v>
      </c>
      <c r="F15" s="8">
        <f>D15*E15</f>
        <v>1612.5170068027223</v>
      </c>
    </row>
    <row r="16" spans="2:6" x14ac:dyDescent="0.3">
      <c r="B16" s="10" t="s">
        <v>73</v>
      </c>
      <c r="C16" s="6" t="s">
        <v>22</v>
      </c>
      <c r="D16" s="17">
        <v>0.04</v>
      </c>
      <c r="E16" s="8">
        <v>4500</v>
      </c>
      <c r="F16" s="8">
        <f>D16*E16</f>
        <v>180</v>
      </c>
    </row>
    <row r="17" spans="2:6" x14ac:dyDescent="0.3">
      <c r="B17" s="10"/>
      <c r="C17" s="6"/>
      <c r="D17" s="12"/>
      <c r="E17" s="8"/>
      <c r="F17" s="8"/>
    </row>
    <row r="18" spans="2:6" x14ac:dyDescent="0.3">
      <c r="B18" s="13" t="s">
        <v>14</v>
      </c>
      <c r="C18" s="61"/>
      <c r="D18" s="58"/>
      <c r="E18" s="58"/>
      <c r="F18" s="8">
        <f>SUM(F15:F17)*0.05</f>
        <v>89.625850340136125</v>
      </c>
    </row>
    <row r="19" spans="2:6" x14ac:dyDescent="0.3">
      <c r="B19" s="13"/>
      <c r="C19" s="14"/>
      <c r="D19" s="15"/>
      <c r="E19" s="15"/>
      <c r="F19" s="8"/>
    </row>
    <row r="20" spans="2:6" x14ac:dyDescent="0.3">
      <c r="B20" s="54" t="s">
        <v>10</v>
      </c>
      <c r="C20" s="55"/>
      <c r="D20" s="55"/>
      <c r="E20" s="55"/>
      <c r="F20" s="9">
        <f>SUM(F15:F18)</f>
        <v>1882.1428571428585</v>
      </c>
    </row>
    <row r="21" spans="2:6" x14ac:dyDescent="0.3">
      <c r="B21" s="59" t="s">
        <v>15</v>
      </c>
      <c r="C21" s="60"/>
      <c r="D21" s="60"/>
      <c r="E21" s="60"/>
      <c r="F21" s="60"/>
    </row>
    <row r="22" spans="2:6" x14ac:dyDescent="0.3">
      <c r="B22" s="5" t="s">
        <v>4</v>
      </c>
      <c r="C22" s="5" t="s">
        <v>1</v>
      </c>
      <c r="D22" s="5" t="s">
        <v>5</v>
      </c>
      <c r="E22" s="5" t="s">
        <v>6</v>
      </c>
      <c r="F22" s="5" t="s">
        <v>7</v>
      </c>
    </row>
    <row r="23" spans="2:6" x14ac:dyDescent="0.3">
      <c r="B23" s="10" t="s">
        <v>16</v>
      </c>
      <c r="C23" s="6" t="s">
        <v>17</v>
      </c>
      <c r="D23" s="7">
        <v>0.02</v>
      </c>
      <c r="E23" s="8">
        <v>45000</v>
      </c>
      <c r="F23" s="8">
        <f>E23*D23</f>
        <v>900</v>
      </c>
    </row>
    <row r="24" spans="2:6" x14ac:dyDescent="0.3">
      <c r="B24" s="10"/>
      <c r="C24" s="6"/>
      <c r="D24" s="7"/>
      <c r="E24" s="8"/>
      <c r="F24" s="8"/>
    </row>
    <row r="25" spans="2:6" x14ac:dyDescent="0.3">
      <c r="B25" s="54" t="s">
        <v>10</v>
      </c>
      <c r="C25" s="55"/>
      <c r="D25" s="55"/>
      <c r="E25" s="55"/>
      <c r="F25" s="9">
        <f>SUM(F23)</f>
        <v>900</v>
      </c>
    </row>
    <row r="26" spans="2:6" x14ac:dyDescent="0.3">
      <c r="B26" s="59" t="s">
        <v>18</v>
      </c>
      <c r="C26" s="60"/>
      <c r="D26" s="60"/>
      <c r="E26" s="60"/>
      <c r="F26" s="60"/>
    </row>
    <row r="27" spans="2:6" x14ac:dyDescent="0.3">
      <c r="B27" s="5" t="s">
        <v>4</v>
      </c>
      <c r="C27" s="5" t="s">
        <v>1</v>
      </c>
      <c r="D27" s="5" t="s">
        <v>5</v>
      </c>
      <c r="E27" s="5" t="s">
        <v>19</v>
      </c>
      <c r="F27" s="5" t="s">
        <v>7</v>
      </c>
    </row>
    <row r="28" spans="2:6" x14ac:dyDescent="0.3">
      <c r="B28" s="10" t="s">
        <v>20</v>
      </c>
      <c r="C28" s="6" t="s">
        <v>17</v>
      </c>
      <c r="D28" s="7">
        <v>70</v>
      </c>
      <c r="E28" s="8">
        <v>130000</v>
      </c>
      <c r="F28" s="8">
        <f>E28/D28</f>
        <v>1857.1428571428571</v>
      </c>
    </row>
    <row r="29" spans="2:6" x14ac:dyDescent="0.3">
      <c r="B29" s="10"/>
      <c r="C29" s="6"/>
      <c r="D29" s="7"/>
      <c r="E29" s="8"/>
      <c r="F29" s="8"/>
    </row>
    <row r="30" spans="2:6" x14ac:dyDescent="0.3">
      <c r="B30" s="54" t="s">
        <v>10</v>
      </c>
      <c r="C30" s="55"/>
      <c r="D30" s="55"/>
      <c r="E30" s="55"/>
      <c r="F30" s="9">
        <f>SUM(F28)</f>
        <v>1857.1428571428571</v>
      </c>
    </row>
    <row r="31" spans="2:6" x14ac:dyDescent="0.3">
      <c r="B31" s="6"/>
      <c r="C31" s="15"/>
      <c r="D31" s="15"/>
      <c r="E31" s="15"/>
      <c r="F31" s="15"/>
    </row>
    <row r="32" spans="2:6" x14ac:dyDescent="0.3">
      <c r="B32" s="54" t="s">
        <v>21</v>
      </c>
      <c r="C32" s="55"/>
      <c r="D32" s="55"/>
      <c r="E32" s="55"/>
      <c r="F32" s="9">
        <f>SUM(F12,F20,F25,F30)</f>
        <v>5200.0000000000009</v>
      </c>
    </row>
    <row r="33" spans="2:6" x14ac:dyDescent="0.3">
      <c r="B33" s="16"/>
      <c r="C33" s="16"/>
      <c r="D33" s="16"/>
      <c r="E33" s="16"/>
      <c r="F33" s="16"/>
    </row>
    <row r="34" spans="2:6" x14ac:dyDescent="0.3">
      <c r="B34" s="16"/>
      <c r="C34" s="16"/>
      <c r="D34" s="16"/>
      <c r="E34" s="16"/>
      <c r="F34" s="16"/>
    </row>
  </sheetData>
  <mergeCells count="12">
    <mergeCell ref="B32:E32"/>
    <mergeCell ref="C18:E18"/>
    <mergeCell ref="B20:E20"/>
    <mergeCell ref="B21:F21"/>
    <mergeCell ref="B25:E25"/>
    <mergeCell ref="B26:F26"/>
    <mergeCell ref="B30:E30"/>
    <mergeCell ref="B5:D5"/>
    <mergeCell ref="B6:D6"/>
    <mergeCell ref="B7:F7"/>
    <mergeCell ref="B12:E12"/>
    <mergeCell ref="B13:F13"/>
  </mergeCells>
  <pageMargins left="0.7" right="0.7" top="0.75" bottom="0.75" header="0.3" footer="0.3"/>
  <pageSetup scale="9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B48E-BE2C-4403-9579-9D45A3FE3270}">
  <sheetPr>
    <pageSetUpPr fitToPage="1"/>
  </sheetPr>
  <dimension ref="B2:F34"/>
  <sheetViews>
    <sheetView topLeftCell="A11" workbookViewId="0">
      <selection activeCell="B2" sqref="B2:F34"/>
    </sheetView>
  </sheetViews>
  <sheetFormatPr baseColWidth="10" defaultRowHeight="14.4" x14ac:dyDescent="0.3"/>
  <cols>
    <col min="2" max="2" width="13.88671875" customWidth="1"/>
    <col min="3" max="3" width="56.109375" customWidth="1"/>
    <col min="4" max="4" width="18.6640625" customWidth="1"/>
    <col min="6" max="6" width="18" customWidth="1"/>
  </cols>
  <sheetData>
    <row r="2" spans="2:6" x14ac:dyDescent="0.3">
      <c r="B2" s="22" t="s">
        <v>62</v>
      </c>
      <c r="C2" s="23" t="s">
        <v>150</v>
      </c>
      <c r="D2" s="48">
        <f>D3</f>
        <v>19400.000000000015</v>
      </c>
    </row>
    <row r="3" spans="2:6" x14ac:dyDescent="0.3">
      <c r="B3" s="6"/>
      <c r="C3" s="10" t="s">
        <v>150</v>
      </c>
      <c r="D3" s="47">
        <f>F34</f>
        <v>19400.000000000015</v>
      </c>
    </row>
    <row r="5" spans="2:6" x14ac:dyDescent="0.3">
      <c r="B5" s="64" t="s">
        <v>149</v>
      </c>
      <c r="C5" s="65"/>
      <c r="D5" s="65"/>
      <c r="E5" s="26" t="s">
        <v>0</v>
      </c>
      <c r="F5" s="26" t="s">
        <v>62</v>
      </c>
    </row>
    <row r="6" spans="2:6" x14ac:dyDescent="0.3">
      <c r="B6" s="57"/>
      <c r="C6" s="58"/>
      <c r="D6" s="58"/>
      <c r="E6" s="4" t="s">
        <v>1</v>
      </c>
      <c r="F6" s="4" t="s">
        <v>2</v>
      </c>
    </row>
    <row r="7" spans="2:6" x14ac:dyDescent="0.3">
      <c r="B7" s="59" t="s">
        <v>3</v>
      </c>
      <c r="C7" s="60"/>
      <c r="D7" s="60"/>
      <c r="E7" s="60"/>
      <c r="F7" s="60"/>
    </row>
    <row r="8" spans="2:6" x14ac:dyDescent="0.3">
      <c r="B8" s="5" t="s">
        <v>4</v>
      </c>
      <c r="C8" s="5" t="s">
        <v>1</v>
      </c>
      <c r="D8" s="5" t="s">
        <v>5</v>
      </c>
      <c r="E8" s="5" t="s">
        <v>6</v>
      </c>
      <c r="F8" s="5" t="s">
        <v>7</v>
      </c>
    </row>
    <row r="9" spans="2:6" x14ac:dyDescent="0.3">
      <c r="B9" s="10" t="s">
        <v>8</v>
      </c>
      <c r="C9" s="6" t="s">
        <v>9</v>
      </c>
      <c r="D9" s="7">
        <v>0.1</v>
      </c>
      <c r="E9" s="8">
        <f>F32</f>
        <v>2000</v>
      </c>
      <c r="F9" s="8">
        <f>D9*E9</f>
        <v>200</v>
      </c>
    </row>
    <row r="10" spans="2:6" x14ac:dyDescent="0.3">
      <c r="B10" s="10" t="s">
        <v>40</v>
      </c>
      <c r="C10" s="6" t="s">
        <v>17</v>
      </c>
      <c r="D10" s="7">
        <v>1.4999999999999999E-2</v>
      </c>
      <c r="E10" s="8">
        <v>25000</v>
      </c>
      <c r="F10" s="8">
        <f>D10*E10</f>
        <v>375</v>
      </c>
    </row>
    <row r="11" spans="2:6" x14ac:dyDescent="0.3">
      <c r="B11" s="6"/>
      <c r="C11" s="6"/>
      <c r="D11" s="6"/>
      <c r="E11" s="8"/>
      <c r="F11" s="8"/>
    </row>
    <row r="12" spans="2:6" x14ac:dyDescent="0.3">
      <c r="B12" s="54" t="s">
        <v>10</v>
      </c>
      <c r="C12" s="55"/>
      <c r="D12" s="55"/>
      <c r="E12" s="55"/>
      <c r="F12" s="9">
        <f>SUM(F9:F10)</f>
        <v>575</v>
      </c>
    </row>
    <row r="13" spans="2:6" x14ac:dyDescent="0.3">
      <c r="B13" s="59" t="s">
        <v>11</v>
      </c>
      <c r="C13" s="60"/>
      <c r="D13" s="60"/>
      <c r="E13" s="60"/>
      <c r="F13" s="60"/>
    </row>
    <row r="14" spans="2:6" x14ac:dyDescent="0.3">
      <c r="B14" s="5" t="s">
        <v>4</v>
      </c>
      <c r="C14" s="5" t="s">
        <v>1</v>
      </c>
      <c r="D14" s="5" t="s">
        <v>12</v>
      </c>
      <c r="E14" s="5" t="s">
        <v>13</v>
      </c>
      <c r="F14" s="5" t="s">
        <v>7</v>
      </c>
    </row>
    <row r="15" spans="2:6" x14ac:dyDescent="0.3">
      <c r="B15" s="10" t="s">
        <v>146</v>
      </c>
      <c r="C15" s="6" t="s">
        <v>58</v>
      </c>
      <c r="D15" s="17">
        <v>3.1712518409425655E-2</v>
      </c>
      <c r="E15" s="8">
        <v>485000</v>
      </c>
      <c r="F15" s="8">
        <f>D15*E15</f>
        <v>15380.571428571442</v>
      </c>
    </row>
    <row r="16" spans="2:6" x14ac:dyDescent="0.3">
      <c r="B16" s="10" t="s">
        <v>59</v>
      </c>
      <c r="C16" s="6" t="s">
        <v>22</v>
      </c>
      <c r="D16" s="12">
        <v>1E-3</v>
      </c>
      <c r="E16" s="8">
        <v>38000</v>
      </c>
      <c r="F16" s="8">
        <f>D16*E16</f>
        <v>38</v>
      </c>
    </row>
    <row r="17" spans="2:6" x14ac:dyDescent="0.3">
      <c r="B17" s="10" t="s">
        <v>60</v>
      </c>
      <c r="C17" s="6" t="s">
        <v>22</v>
      </c>
      <c r="D17" s="12">
        <v>1E-3</v>
      </c>
      <c r="E17" s="8">
        <v>10000</v>
      </c>
      <c r="F17" s="8">
        <f>D17*E17</f>
        <v>10</v>
      </c>
    </row>
    <row r="18" spans="2:6" x14ac:dyDescent="0.3">
      <c r="B18" s="10"/>
      <c r="C18" s="6"/>
      <c r="D18" s="12"/>
      <c r="E18" s="8"/>
      <c r="F18" s="8"/>
    </row>
    <row r="19" spans="2:6" x14ac:dyDescent="0.3">
      <c r="B19" s="10"/>
      <c r="C19" s="6"/>
      <c r="D19" s="11"/>
      <c r="E19" s="8"/>
      <c r="F19" s="8"/>
    </row>
    <row r="20" spans="2:6" x14ac:dyDescent="0.3">
      <c r="B20" s="13" t="s">
        <v>14</v>
      </c>
      <c r="C20" s="61"/>
      <c r="D20" s="58"/>
      <c r="E20" s="58"/>
      <c r="F20" s="8">
        <f>SUM(F15:F19)*0.05</f>
        <v>771.42857142857213</v>
      </c>
    </row>
    <row r="21" spans="2:6" x14ac:dyDescent="0.3">
      <c r="B21" s="13"/>
      <c r="C21" s="14"/>
      <c r="D21" s="15"/>
      <c r="E21" s="15"/>
      <c r="F21" s="8"/>
    </row>
    <row r="22" spans="2:6" x14ac:dyDescent="0.3">
      <c r="B22" s="54" t="s">
        <v>10</v>
      </c>
      <c r="C22" s="55"/>
      <c r="D22" s="55"/>
      <c r="E22" s="55"/>
      <c r="F22" s="9">
        <f>SUM(F15:F20)</f>
        <v>16200.000000000015</v>
      </c>
    </row>
    <row r="23" spans="2:6" x14ac:dyDescent="0.3">
      <c r="B23" s="59" t="s">
        <v>15</v>
      </c>
      <c r="C23" s="60"/>
      <c r="D23" s="60"/>
      <c r="E23" s="60"/>
      <c r="F23" s="60"/>
    </row>
    <row r="24" spans="2:6" x14ac:dyDescent="0.3">
      <c r="B24" s="5" t="s">
        <v>4</v>
      </c>
      <c r="C24" s="5" t="s">
        <v>1</v>
      </c>
      <c r="D24" s="5" t="s">
        <v>5</v>
      </c>
      <c r="E24" s="5" t="s">
        <v>6</v>
      </c>
      <c r="F24" s="5" t="s">
        <v>7</v>
      </c>
    </row>
    <row r="25" spans="2:6" x14ac:dyDescent="0.3">
      <c r="B25" s="10" t="s">
        <v>25</v>
      </c>
      <c r="C25" s="6" t="s">
        <v>17</v>
      </c>
      <c r="D25" s="7">
        <v>2.5000000000000001E-2</v>
      </c>
      <c r="E25" s="8">
        <v>25000</v>
      </c>
      <c r="F25" s="8">
        <f>E25*D25</f>
        <v>625</v>
      </c>
    </row>
    <row r="26" spans="2:6" x14ac:dyDescent="0.3">
      <c r="B26" s="10"/>
      <c r="C26" s="6"/>
      <c r="D26" s="7"/>
      <c r="E26" s="8"/>
      <c r="F26" s="8"/>
    </row>
    <row r="27" spans="2:6" x14ac:dyDescent="0.3">
      <c r="B27" s="54" t="s">
        <v>10</v>
      </c>
      <c r="C27" s="55"/>
      <c r="D27" s="55"/>
      <c r="E27" s="55"/>
      <c r="F27" s="9">
        <f>SUM(F25)</f>
        <v>625</v>
      </c>
    </row>
    <row r="28" spans="2:6" x14ac:dyDescent="0.3">
      <c r="B28" s="59" t="s">
        <v>18</v>
      </c>
      <c r="C28" s="60"/>
      <c r="D28" s="60"/>
      <c r="E28" s="60"/>
      <c r="F28" s="60"/>
    </row>
    <row r="29" spans="2:6" x14ac:dyDescent="0.3">
      <c r="B29" s="5" t="s">
        <v>4</v>
      </c>
      <c r="C29" s="5" t="s">
        <v>1</v>
      </c>
      <c r="D29" s="5" t="s">
        <v>5</v>
      </c>
      <c r="E29" s="5" t="s">
        <v>19</v>
      </c>
      <c r="F29" s="5" t="s">
        <v>7</v>
      </c>
    </row>
    <row r="30" spans="2:6" x14ac:dyDescent="0.3">
      <c r="B30" s="10" t="s">
        <v>26</v>
      </c>
      <c r="C30" s="6" t="s">
        <v>17</v>
      </c>
      <c r="D30" s="7">
        <v>65</v>
      </c>
      <c r="E30" s="8">
        <v>130000</v>
      </c>
      <c r="F30" s="8">
        <f>E30/D30</f>
        <v>2000</v>
      </c>
    </row>
    <row r="31" spans="2:6" x14ac:dyDescent="0.3">
      <c r="B31" s="10"/>
      <c r="C31" s="6"/>
      <c r="D31" s="7"/>
      <c r="E31" s="8"/>
      <c r="F31" s="8"/>
    </row>
    <row r="32" spans="2:6" x14ac:dyDescent="0.3">
      <c r="B32" s="54" t="s">
        <v>10</v>
      </c>
      <c r="C32" s="55"/>
      <c r="D32" s="55"/>
      <c r="E32" s="55"/>
      <c r="F32" s="9">
        <f>SUM(F30)</f>
        <v>2000</v>
      </c>
    </row>
    <row r="33" spans="2:6" x14ac:dyDescent="0.3">
      <c r="B33" s="6"/>
      <c r="C33" s="15"/>
      <c r="D33" s="15"/>
      <c r="E33" s="15"/>
      <c r="F33" s="15"/>
    </row>
    <row r="34" spans="2:6" x14ac:dyDescent="0.3">
      <c r="B34" s="54" t="s">
        <v>21</v>
      </c>
      <c r="C34" s="55"/>
      <c r="D34" s="55"/>
      <c r="E34" s="55"/>
      <c r="F34" s="9">
        <f>SUM(F12,F22,F27,F32)</f>
        <v>19400.000000000015</v>
      </c>
    </row>
  </sheetData>
  <mergeCells count="12">
    <mergeCell ref="B34:E34"/>
    <mergeCell ref="B5:D5"/>
    <mergeCell ref="B6:D6"/>
    <mergeCell ref="B7:F7"/>
    <mergeCell ref="B12:E12"/>
    <mergeCell ref="B13:F13"/>
    <mergeCell ref="C20:E20"/>
    <mergeCell ref="B22:E22"/>
    <mergeCell ref="B23:F23"/>
    <mergeCell ref="B27:E27"/>
    <mergeCell ref="B28:F28"/>
    <mergeCell ref="B32:E32"/>
  </mergeCells>
  <pageMargins left="0.7" right="0.7" top="0.75" bottom="0.75" header="0.3" footer="0.3"/>
  <pageSetup scale="9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9C02-24A5-450C-A052-A752207BB658}">
  <sheetPr>
    <pageSetUpPr fitToPage="1"/>
  </sheetPr>
  <dimension ref="B2:F34"/>
  <sheetViews>
    <sheetView topLeftCell="A10" workbookViewId="0">
      <selection activeCell="B2" sqref="B2:F34"/>
    </sheetView>
  </sheetViews>
  <sheetFormatPr baseColWidth="10" defaultRowHeight="14.4" x14ac:dyDescent="0.3"/>
  <cols>
    <col min="2" max="2" width="13.88671875" customWidth="1"/>
    <col min="3" max="3" width="56.109375" customWidth="1"/>
    <col min="4" max="4" width="18.6640625" customWidth="1"/>
    <col min="6" max="6" width="18" customWidth="1"/>
  </cols>
  <sheetData>
    <row r="2" spans="2:6" x14ac:dyDescent="0.3">
      <c r="B2" s="22" t="s">
        <v>66</v>
      </c>
      <c r="C2" s="23" t="s">
        <v>152</v>
      </c>
      <c r="D2" s="48">
        <f>D3</f>
        <v>12000</v>
      </c>
    </row>
    <row r="3" spans="2:6" x14ac:dyDescent="0.3">
      <c r="B3" s="6"/>
      <c r="C3" s="10" t="s">
        <v>152</v>
      </c>
      <c r="D3" s="47">
        <f>F34</f>
        <v>12000</v>
      </c>
    </row>
    <row r="5" spans="2:6" x14ac:dyDescent="0.3">
      <c r="B5" s="64" t="s">
        <v>151</v>
      </c>
      <c r="C5" s="65"/>
      <c r="D5" s="65"/>
      <c r="E5" s="26" t="s">
        <v>0</v>
      </c>
      <c r="F5" s="26" t="s">
        <v>66</v>
      </c>
    </row>
    <row r="6" spans="2:6" x14ac:dyDescent="0.3">
      <c r="B6" s="57"/>
      <c r="C6" s="58"/>
      <c r="D6" s="58"/>
      <c r="E6" s="4" t="s">
        <v>1</v>
      </c>
      <c r="F6" s="4" t="s">
        <v>2</v>
      </c>
    </row>
    <row r="7" spans="2:6" x14ac:dyDescent="0.3">
      <c r="B7" s="59" t="s">
        <v>3</v>
      </c>
      <c r="C7" s="60"/>
      <c r="D7" s="60"/>
      <c r="E7" s="60"/>
      <c r="F7" s="60"/>
    </row>
    <row r="8" spans="2:6" x14ac:dyDescent="0.3">
      <c r="B8" s="5" t="s">
        <v>4</v>
      </c>
      <c r="C8" s="5" t="s">
        <v>1</v>
      </c>
      <c r="D8" s="5" t="s">
        <v>5</v>
      </c>
      <c r="E8" s="5" t="s">
        <v>6</v>
      </c>
      <c r="F8" s="5" t="s">
        <v>7</v>
      </c>
    </row>
    <row r="9" spans="2:6" x14ac:dyDescent="0.3">
      <c r="B9" s="10" t="s">
        <v>8</v>
      </c>
      <c r="C9" s="6" t="s">
        <v>9</v>
      </c>
      <c r="D9" s="7">
        <v>0.1</v>
      </c>
      <c r="E9" s="8">
        <f>F32</f>
        <v>2000</v>
      </c>
      <c r="F9" s="8">
        <f>D9*E9</f>
        <v>200</v>
      </c>
    </row>
    <row r="10" spans="2:6" x14ac:dyDescent="0.3">
      <c r="B10" s="10" t="s">
        <v>40</v>
      </c>
      <c r="C10" s="6" t="s">
        <v>17</v>
      </c>
      <c r="D10" s="7">
        <v>1.4999999999999999E-2</v>
      </c>
      <c r="E10" s="8">
        <v>25000</v>
      </c>
      <c r="F10" s="8">
        <f>D10*E10</f>
        <v>375</v>
      </c>
    </row>
    <row r="11" spans="2:6" x14ac:dyDescent="0.3">
      <c r="B11" s="6"/>
      <c r="C11" s="6"/>
      <c r="D11" s="6"/>
      <c r="E11" s="8"/>
      <c r="F11" s="8"/>
    </row>
    <row r="12" spans="2:6" x14ac:dyDescent="0.3">
      <c r="B12" s="54" t="s">
        <v>10</v>
      </c>
      <c r="C12" s="55"/>
      <c r="D12" s="55"/>
      <c r="E12" s="55"/>
      <c r="F12" s="9">
        <f>SUM(F9:F10)</f>
        <v>575</v>
      </c>
    </row>
    <row r="13" spans="2:6" x14ac:dyDescent="0.3">
      <c r="B13" s="59" t="s">
        <v>11</v>
      </c>
      <c r="C13" s="60"/>
      <c r="D13" s="60"/>
      <c r="E13" s="60"/>
      <c r="F13" s="60"/>
    </row>
    <row r="14" spans="2:6" x14ac:dyDescent="0.3">
      <c r="B14" s="5" t="s">
        <v>4</v>
      </c>
      <c r="C14" s="5" t="s">
        <v>1</v>
      </c>
      <c r="D14" s="5" t="s">
        <v>12</v>
      </c>
      <c r="E14" s="5" t="s">
        <v>13</v>
      </c>
      <c r="F14" s="5" t="s">
        <v>7</v>
      </c>
    </row>
    <row r="15" spans="2:6" x14ac:dyDescent="0.3">
      <c r="B15" s="10" t="s">
        <v>145</v>
      </c>
      <c r="C15" s="6" t="s">
        <v>58</v>
      </c>
      <c r="D15" s="17">
        <v>2.2221206349206352E-2</v>
      </c>
      <c r="E15" s="8">
        <v>375000</v>
      </c>
      <c r="F15" s="8">
        <f>D15*E15</f>
        <v>8332.9523809523816</v>
      </c>
    </row>
    <row r="16" spans="2:6" x14ac:dyDescent="0.3">
      <c r="B16" s="10" t="s">
        <v>59</v>
      </c>
      <c r="C16" s="6" t="s">
        <v>22</v>
      </c>
      <c r="D16" s="12">
        <v>1E-3</v>
      </c>
      <c r="E16" s="8">
        <v>38000</v>
      </c>
      <c r="F16" s="8">
        <f>D16*E16</f>
        <v>38</v>
      </c>
    </row>
    <row r="17" spans="2:6" x14ac:dyDescent="0.3">
      <c r="B17" s="10" t="s">
        <v>60</v>
      </c>
      <c r="C17" s="6" t="s">
        <v>22</v>
      </c>
      <c r="D17" s="12">
        <v>1E-3</v>
      </c>
      <c r="E17" s="8">
        <v>10000</v>
      </c>
      <c r="F17" s="8">
        <f>D17*E17</f>
        <v>10</v>
      </c>
    </row>
    <row r="18" spans="2:6" x14ac:dyDescent="0.3">
      <c r="B18" s="10"/>
      <c r="C18" s="6"/>
      <c r="D18" s="12"/>
      <c r="E18" s="8"/>
      <c r="F18" s="8"/>
    </row>
    <row r="19" spans="2:6" x14ac:dyDescent="0.3">
      <c r="B19" s="10"/>
      <c r="C19" s="6"/>
      <c r="D19" s="11"/>
      <c r="E19" s="8"/>
      <c r="F19" s="8"/>
    </row>
    <row r="20" spans="2:6" x14ac:dyDescent="0.3">
      <c r="B20" s="13" t="s">
        <v>14</v>
      </c>
      <c r="C20" s="61"/>
      <c r="D20" s="58"/>
      <c r="E20" s="58"/>
      <c r="F20" s="8">
        <f>SUM(F15:F19)*0.05</f>
        <v>419.04761904761909</v>
      </c>
    </row>
    <row r="21" spans="2:6" x14ac:dyDescent="0.3">
      <c r="B21" s="13"/>
      <c r="C21" s="14"/>
      <c r="D21" s="15"/>
      <c r="E21" s="15"/>
      <c r="F21" s="8"/>
    </row>
    <row r="22" spans="2:6" x14ac:dyDescent="0.3">
      <c r="B22" s="54" t="s">
        <v>10</v>
      </c>
      <c r="C22" s="55"/>
      <c r="D22" s="55"/>
      <c r="E22" s="55"/>
      <c r="F22" s="9">
        <f>SUM(F15:F20)</f>
        <v>8800</v>
      </c>
    </row>
    <row r="23" spans="2:6" x14ac:dyDescent="0.3">
      <c r="B23" s="59" t="s">
        <v>15</v>
      </c>
      <c r="C23" s="60"/>
      <c r="D23" s="60"/>
      <c r="E23" s="60"/>
      <c r="F23" s="60"/>
    </row>
    <row r="24" spans="2:6" x14ac:dyDescent="0.3">
      <c r="B24" s="5" t="s">
        <v>4</v>
      </c>
      <c r="C24" s="5" t="s">
        <v>1</v>
      </c>
      <c r="D24" s="5" t="s">
        <v>5</v>
      </c>
      <c r="E24" s="5" t="s">
        <v>6</v>
      </c>
      <c r="F24" s="5" t="s">
        <v>7</v>
      </c>
    </row>
    <row r="25" spans="2:6" x14ac:dyDescent="0.3">
      <c r="B25" s="10" t="s">
        <v>25</v>
      </c>
      <c r="C25" s="6" t="s">
        <v>17</v>
      </c>
      <c r="D25" s="7">
        <v>2.5000000000000001E-2</v>
      </c>
      <c r="E25" s="8">
        <v>25000</v>
      </c>
      <c r="F25" s="8">
        <f>E25*D25</f>
        <v>625</v>
      </c>
    </row>
    <row r="26" spans="2:6" x14ac:dyDescent="0.3">
      <c r="B26" s="10"/>
      <c r="C26" s="6"/>
      <c r="D26" s="7"/>
      <c r="E26" s="8"/>
      <c r="F26" s="8"/>
    </row>
    <row r="27" spans="2:6" x14ac:dyDescent="0.3">
      <c r="B27" s="54" t="s">
        <v>10</v>
      </c>
      <c r="C27" s="55"/>
      <c r="D27" s="55"/>
      <c r="E27" s="55"/>
      <c r="F27" s="9">
        <f>SUM(F25)</f>
        <v>625</v>
      </c>
    </row>
    <row r="28" spans="2:6" x14ac:dyDescent="0.3">
      <c r="B28" s="59" t="s">
        <v>18</v>
      </c>
      <c r="C28" s="60"/>
      <c r="D28" s="60"/>
      <c r="E28" s="60"/>
      <c r="F28" s="60"/>
    </row>
    <row r="29" spans="2:6" x14ac:dyDescent="0.3">
      <c r="B29" s="5" t="s">
        <v>4</v>
      </c>
      <c r="C29" s="5" t="s">
        <v>1</v>
      </c>
      <c r="D29" s="5" t="s">
        <v>5</v>
      </c>
      <c r="E29" s="5" t="s">
        <v>19</v>
      </c>
      <c r="F29" s="5" t="s">
        <v>7</v>
      </c>
    </row>
    <row r="30" spans="2:6" x14ac:dyDescent="0.3">
      <c r="B30" s="10" t="s">
        <v>26</v>
      </c>
      <c r="C30" s="6" t="s">
        <v>17</v>
      </c>
      <c r="D30" s="7">
        <v>65</v>
      </c>
      <c r="E30" s="8">
        <v>130000</v>
      </c>
      <c r="F30" s="8">
        <f>E30/D30</f>
        <v>2000</v>
      </c>
    </row>
    <row r="31" spans="2:6" x14ac:dyDescent="0.3">
      <c r="B31" s="10"/>
      <c r="C31" s="6"/>
      <c r="D31" s="7"/>
      <c r="E31" s="8"/>
      <c r="F31" s="8"/>
    </row>
    <row r="32" spans="2:6" x14ac:dyDescent="0.3">
      <c r="B32" s="54" t="s">
        <v>10</v>
      </c>
      <c r="C32" s="55"/>
      <c r="D32" s="55"/>
      <c r="E32" s="55"/>
      <c r="F32" s="9">
        <f>SUM(F30)</f>
        <v>2000</v>
      </c>
    </row>
    <row r="33" spans="2:6" x14ac:dyDescent="0.3">
      <c r="B33" s="6"/>
      <c r="C33" s="15"/>
      <c r="D33" s="15"/>
      <c r="E33" s="15"/>
      <c r="F33" s="15"/>
    </row>
    <row r="34" spans="2:6" x14ac:dyDescent="0.3">
      <c r="B34" s="54" t="s">
        <v>21</v>
      </c>
      <c r="C34" s="55"/>
      <c r="D34" s="55"/>
      <c r="E34" s="55"/>
      <c r="F34" s="9">
        <f>SUM(F12,F22,F27,F32)</f>
        <v>12000</v>
      </c>
    </row>
  </sheetData>
  <mergeCells count="12">
    <mergeCell ref="B34:E34"/>
    <mergeCell ref="B5:D5"/>
    <mergeCell ref="B6:D6"/>
    <mergeCell ref="B7:F7"/>
    <mergeCell ref="B12:E12"/>
    <mergeCell ref="B13:F13"/>
    <mergeCell ref="C20:E20"/>
    <mergeCell ref="B22:E22"/>
    <mergeCell ref="B23:F23"/>
    <mergeCell ref="B27:E27"/>
    <mergeCell ref="B28:F28"/>
    <mergeCell ref="B32:E32"/>
  </mergeCells>
  <pageMargins left="0.7" right="0.7" top="0.75" bottom="0.75" header="0.3" footer="0.3"/>
  <pageSetup scale="9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78FF-79EA-4832-B955-FDEB8C249913}">
  <sheetPr>
    <pageSetUpPr fitToPage="1"/>
  </sheetPr>
  <dimension ref="B2:F34"/>
  <sheetViews>
    <sheetView topLeftCell="A10" workbookViewId="0">
      <selection activeCell="B2" sqref="B2:F34"/>
    </sheetView>
  </sheetViews>
  <sheetFormatPr baseColWidth="10" defaultRowHeight="14.4" x14ac:dyDescent="0.3"/>
  <cols>
    <col min="2" max="2" width="13.88671875" customWidth="1"/>
    <col min="3" max="3" width="59.77734375" customWidth="1"/>
    <col min="4" max="4" width="18.6640625" customWidth="1"/>
    <col min="6" max="6" width="18" customWidth="1"/>
  </cols>
  <sheetData>
    <row r="2" spans="2:6" ht="26.4" x14ac:dyDescent="0.3">
      <c r="B2" s="22" t="s">
        <v>61</v>
      </c>
      <c r="C2" s="23" t="s">
        <v>147</v>
      </c>
      <c r="D2" s="21">
        <v>17500</v>
      </c>
    </row>
    <row r="3" spans="2:6" x14ac:dyDescent="0.3">
      <c r="B3" s="6"/>
      <c r="C3" s="10" t="s">
        <v>147</v>
      </c>
      <c r="D3" s="47">
        <f>F34</f>
        <v>17500</v>
      </c>
    </row>
    <row r="5" spans="2:6" x14ac:dyDescent="0.3">
      <c r="B5" s="64" t="s">
        <v>148</v>
      </c>
      <c r="C5" s="65"/>
      <c r="D5" s="65"/>
      <c r="E5" s="26" t="s">
        <v>0</v>
      </c>
      <c r="F5" s="26" t="s">
        <v>61</v>
      </c>
    </row>
    <row r="6" spans="2:6" x14ac:dyDescent="0.3">
      <c r="B6" s="57"/>
      <c r="C6" s="58"/>
      <c r="D6" s="58"/>
      <c r="E6" s="4" t="s">
        <v>1</v>
      </c>
      <c r="F6" s="4" t="s">
        <v>2</v>
      </c>
    </row>
    <row r="7" spans="2:6" x14ac:dyDescent="0.3">
      <c r="B7" s="59" t="s">
        <v>3</v>
      </c>
      <c r="C7" s="60"/>
      <c r="D7" s="60"/>
      <c r="E7" s="60"/>
      <c r="F7" s="60"/>
    </row>
    <row r="8" spans="2:6" x14ac:dyDescent="0.3">
      <c r="B8" s="5" t="s">
        <v>4</v>
      </c>
      <c r="C8" s="5" t="s">
        <v>1</v>
      </c>
      <c r="D8" s="5" t="s">
        <v>5</v>
      </c>
      <c r="E8" s="5" t="s">
        <v>6</v>
      </c>
      <c r="F8" s="5" t="s">
        <v>7</v>
      </c>
    </row>
    <row r="9" spans="2:6" x14ac:dyDescent="0.3">
      <c r="B9" s="10" t="s">
        <v>8</v>
      </c>
      <c r="C9" s="6" t="s">
        <v>9</v>
      </c>
      <c r="D9" s="7">
        <v>0.1</v>
      </c>
      <c r="E9" s="8">
        <f>F32</f>
        <v>2000</v>
      </c>
      <c r="F9" s="8">
        <f>D9*E9</f>
        <v>200</v>
      </c>
    </row>
    <row r="10" spans="2:6" x14ac:dyDescent="0.3">
      <c r="B10" s="10" t="s">
        <v>40</v>
      </c>
      <c r="C10" s="6" t="s">
        <v>17</v>
      </c>
      <c r="D10" s="7">
        <v>1.4999999999999999E-2</v>
      </c>
      <c r="E10" s="8">
        <v>25000</v>
      </c>
      <c r="F10" s="8">
        <f>D10*E10</f>
        <v>375</v>
      </c>
    </row>
    <row r="11" spans="2:6" x14ac:dyDescent="0.3">
      <c r="B11" s="6"/>
      <c r="C11" s="6"/>
      <c r="D11" s="6"/>
      <c r="E11" s="8"/>
      <c r="F11" s="8"/>
    </row>
    <row r="12" spans="2:6" x14ac:dyDescent="0.3">
      <c r="B12" s="54" t="s">
        <v>10</v>
      </c>
      <c r="C12" s="55"/>
      <c r="D12" s="55"/>
      <c r="E12" s="55"/>
      <c r="F12" s="9">
        <f>SUM(F9:F10)</f>
        <v>575</v>
      </c>
    </row>
    <row r="13" spans="2:6" x14ac:dyDescent="0.3">
      <c r="B13" s="59" t="s">
        <v>11</v>
      </c>
      <c r="C13" s="60"/>
      <c r="D13" s="60"/>
      <c r="E13" s="60"/>
      <c r="F13" s="60"/>
    </row>
    <row r="14" spans="2:6" x14ac:dyDescent="0.3">
      <c r="B14" s="5" t="s">
        <v>4</v>
      </c>
      <c r="C14" s="5" t="s">
        <v>1</v>
      </c>
      <c r="D14" s="5" t="s">
        <v>12</v>
      </c>
      <c r="E14" s="5" t="s">
        <v>13</v>
      </c>
      <c r="F14" s="5" t="s">
        <v>7</v>
      </c>
    </row>
    <row r="15" spans="2:6" x14ac:dyDescent="0.3">
      <c r="B15" s="10" t="s">
        <v>57</v>
      </c>
      <c r="C15" s="6" t="s">
        <v>58</v>
      </c>
      <c r="D15" s="17">
        <v>3.0157883597883593E-2</v>
      </c>
      <c r="E15" s="8">
        <v>450000</v>
      </c>
      <c r="F15" s="8">
        <f>D15*E15</f>
        <v>13571.047619047617</v>
      </c>
    </row>
    <row r="16" spans="2:6" x14ac:dyDescent="0.3">
      <c r="B16" s="10" t="s">
        <v>59</v>
      </c>
      <c r="C16" s="6" t="s">
        <v>22</v>
      </c>
      <c r="D16" s="12">
        <v>1E-3</v>
      </c>
      <c r="E16" s="8">
        <v>38000</v>
      </c>
      <c r="F16" s="8">
        <f>D16*E16</f>
        <v>38</v>
      </c>
    </row>
    <row r="17" spans="2:6" x14ac:dyDescent="0.3">
      <c r="B17" s="10" t="s">
        <v>60</v>
      </c>
      <c r="C17" s="6" t="s">
        <v>22</v>
      </c>
      <c r="D17" s="12">
        <v>1E-3</v>
      </c>
      <c r="E17" s="8">
        <v>10000</v>
      </c>
      <c r="F17" s="8">
        <f>D17*E17</f>
        <v>10</v>
      </c>
    </row>
    <row r="18" spans="2:6" x14ac:dyDescent="0.3">
      <c r="B18" s="10"/>
      <c r="C18" s="6"/>
      <c r="D18" s="12"/>
      <c r="E18" s="8"/>
      <c r="F18" s="8"/>
    </row>
    <row r="19" spans="2:6" x14ac:dyDescent="0.3">
      <c r="B19" s="10"/>
      <c r="C19" s="6"/>
      <c r="D19" s="11"/>
      <c r="E19" s="8"/>
      <c r="F19" s="8"/>
    </row>
    <row r="20" spans="2:6" x14ac:dyDescent="0.3">
      <c r="B20" s="13" t="s">
        <v>14</v>
      </c>
      <c r="C20" s="61"/>
      <c r="D20" s="58"/>
      <c r="E20" s="58"/>
      <c r="F20" s="8">
        <f>SUM(F15:F19)*0.05</f>
        <v>680.95238095238085</v>
      </c>
    </row>
    <row r="21" spans="2:6" x14ac:dyDescent="0.3">
      <c r="B21" s="13"/>
      <c r="C21" s="14"/>
      <c r="D21" s="15"/>
      <c r="E21" s="15"/>
      <c r="F21" s="8"/>
    </row>
    <row r="22" spans="2:6" x14ac:dyDescent="0.3">
      <c r="B22" s="54" t="s">
        <v>10</v>
      </c>
      <c r="C22" s="55"/>
      <c r="D22" s="55"/>
      <c r="E22" s="55"/>
      <c r="F22" s="9">
        <f>SUM(F15:F20)</f>
        <v>14299.999999999998</v>
      </c>
    </row>
    <row r="23" spans="2:6" x14ac:dyDescent="0.3">
      <c r="B23" s="59" t="s">
        <v>15</v>
      </c>
      <c r="C23" s="60"/>
      <c r="D23" s="60"/>
      <c r="E23" s="60"/>
      <c r="F23" s="60"/>
    </row>
    <row r="24" spans="2:6" x14ac:dyDescent="0.3">
      <c r="B24" s="5" t="s">
        <v>4</v>
      </c>
      <c r="C24" s="5" t="s">
        <v>1</v>
      </c>
      <c r="D24" s="5" t="s">
        <v>5</v>
      </c>
      <c r="E24" s="5" t="s">
        <v>6</v>
      </c>
      <c r="F24" s="5" t="s">
        <v>7</v>
      </c>
    </row>
    <row r="25" spans="2:6" x14ac:dyDescent="0.3">
      <c r="B25" s="10" t="s">
        <v>25</v>
      </c>
      <c r="C25" s="6" t="s">
        <v>17</v>
      </c>
      <c r="D25" s="7">
        <v>2.5000000000000001E-2</v>
      </c>
      <c r="E25" s="8">
        <v>25000</v>
      </c>
      <c r="F25" s="8">
        <f>E25*D25</f>
        <v>625</v>
      </c>
    </row>
    <row r="26" spans="2:6" x14ac:dyDescent="0.3">
      <c r="B26" s="10"/>
      <c r="C26" s="6"/>
      <c r="D26" s="7"/>
      <c r="E26" s="8"/>
      <c r="F26" s="8"/>
    </row>
    <row r="27" spans="2:6" x14ac:dyDescent="0.3">
      <c r="B27" s="54" t="s">
        <v>10</v>
      </c>
      <c r="C27" s="55"/>
      <c r="D27" s="55"/>
      <c r="E27" s="55"/>
      <c r="F27" s="9">
        <f>SUM(F25)</f>
        <v>625</v>
      </c>
    </row>
    <row r="28" spans="2:6" x14ac:dyDescent="0.3">
      <c r="B28" s="59" t="s">
        <v>18</v>
      </c>
      <c r="C28" s="60"/>
      <c r="D28" s="60"/>
      <c r="E28" s="60"/>
      <c r="F28" s="60"/>
    </row>
    <row r="29" spans="2:6" x14ac:dyDescent="0.3">
      <c r="B29" s="5" t="s">
        <v>4</v>
      </c>
      <c r="C29" s="5" t="s">
        <v>1</v>
      </c>
      <c r="D29" s="5" t="s">
        <v>5</v>
      </c>
      <c r="E29" s="5" t="s">
        <v>19</v>
      </c>
      <c r="F29" s="5" t="s">
        <v>7</v>
      </c>
    </row>
    <row r="30" spans="2:6" x14ac:dyDescent="0.3">
      <c r="B30" s="10" t="s">
        <v>26</v>
      </c>
      <c r="C30" s="6" t="s">
        <v>17</v>
      </c>
      <c r="D30" s="7">
        <v>65</v>
      </c>
      <c r="E30" s="8">
        <v>130000</v>
      </c>
      <c r="F30" s="8">
        <f>E30/D30</f>
        <v>2000</v>
      </c>
    </row>
    <row r="31" spans="2:6" x14ac:dyDescent="0.3">
      <c r="B31" s="10"/>
      <c r="C31" s="6"/>
      <c r="D31" s="7"/>
      <c r="E31" s="8"/>
      <c r="F31" s="8"/>
    </row>
    <row r="32" spans="2:6" x14ac:dyDescent="0.3">
      <c r="B32" s="54" t="s">
        <v>10</v>
      </c>
      <c r="C32" s="55"/>
      <c r="D32" s="55"/>
      <c r="E32" s="55"/>
      <c r="F32" s="9">
        <f>SUM(F30)</f>
        <v>2000</v>
      </c>
    </row>
    <row r="33" spans="2:6" x14ac:dyDescent="0.3">
      <c r="B33" s="6"/>
      <c r="C33" s="15"/>
      <c r="D33" s="15"/>
      <c r="E33" s="15"/>
      <c r="F33" s="15"/>
    </row>
    <row r="34" spans="2:6" x14ac:dyDescent="0.3">
      <c r="B34" s="54" t="s">
        <v>21</v>
      </c>
      <c r="C34" s="55"/>
      <c r="D34" s="55"/>
      <c r="E34" s="55"/>
      <c r="F34" s="9">
        <f>SUM(F12,F22,F27,F32)</f>
        <v>17500</v>
      </c>
    </row>
  </sheetData>
  <mergeCells count="12">
    <mergeCell ref="B34:E34"/>
    <mergeCell ref="B5:D5"/>
    <mergeCell ref="B6:D6"/>
    <mergeCell ref="B7:F7"/>
    <mergeCell ref="B12:E12"/>
    <mergeCell ref="B13:F13"/>
    <mergeCell ref="C20:E20"/>
    <mergeCell ref="B32:E32"/>
    <mergeCell ref="B22:E22"/>
    <mergeCell ref="B23:F23"/>
    <mergeCell ref="B27:E27"/>
    <mergeCell ref="B28:F28"/>
  </mergeCells>
  <pageMargins left="0.7" right="0.7" top="0.75" bottom="0.75" header="0.3" footer="0.3"/>
  <pageSetup scale="9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9388-CD4C-4611-85DC-A40D187B2303}">
  <sheetPr>
    <pageSetUpPr fitToPage="1"/>
  </sheetPr>
  <dimension ref="B2:F97"/>
  <sheetViews>
    <sheetView tabSelected="1" topLeftCell="A31" workbookViewId="0">
      <selection activeCell="F97" sqref="B2:F97"/>
    </sheetView>
  </sheetViews>
  <sheetFormatPr baseColWidth="10" defaultRowHeight="14.4" x14ac:dyDescent="0.3"/>
  <cols>
    <col min="2" max="2" width="13.88671875" customWidth="1"/>
    <col min="3" max="3" width="56.109375" customWidth="1"/>
    <col min="4" max="4" width="18.6640625" customWidth="1"/>
    <col min="6" max="6" width="18" customWidth="1"/>
  </cols>
  <sheetData>
    <row r="2" spans="2:6" x14ac:dyDescent="0.3">
      <c r="B2" s="22" t="s">
        <v>47</v>
      </c>
      <c r="C2" s="23" t="s">
        <v>41</v>
      </c>
      <c r="D2" s="21">
        <v>34000</v>
      </c>
    </row>
    <row r="3" spans="2:6" x14ac:dyDescent="0.3">
      <c r="B3" s="6" t="s">
        <v>154</v>
      </c>
      <c r="C3" s="10" t="s">
        <v>50</v>
      </c>
      <c r="D3" s="19">
        <v>1142.3076923076924</v>
      </c>
    </row>
    <row r="4" spans="2:6" x14ac:dyDescent="0.3">
      <c r="B4" s="6" t="s">
        <v>155</v>
      </c>
      <c r="C4" s="10" t="s">
        <v>49</v>
      </c>
      <c r="D4" s="20">
        <v>15426.642857142857</v>
      </c>
    </row>
    <row r="5" spans="2:6" x14ac:dyDescent="0.3">
      <c r="B5" s="6" t="s">
        <v>156</v>
      </c>
      <c r="C5" s="10" t="s">
        <v>52</v>
      </c>
      <c r="D5" s="20">
        <v>17431.049450549453</v>
      </c>
    </row>
    <row r="7" spans="2:6" x14ac:dyDescent="0.3">
      <c r="B7" s="24" t="s">
        <v>41</v>
      </c>
      <c r="C7" s="25"/>
      <c r="D7" s="25"/>
      <c r="E7" s="25"/>
      <c r="F7" s="27" t="s">
        <v>47</v>
      </c>
    </row>
    <row r="8" spans="2:6" x14ac:dyDescent="0.3">
      <c r="B8" s="1"/>
      <c r="C8" s="2"/>
      <c r="D8" s="2"/>
      <c r="E8" s="2"/>
      <c r="F8" s="2"/>
    </row>
    <row r="9" spans="2:6" x14ac:dyDescent="0.3">
      <c r="B9" s="67" t="s">
        <v>42</v>
      </c>
      <c r="C9" s="68"/>
      <c r="D9" s="68"/>
      <c r="E9" s="3" t="s">
        <v>0</v>
      </c>
      <c r="F9" s="3"/>
    </row>
    <row r="10" spans="2:6" x14ac:dyDescent="0.3">
      <c r="B10" s="57"/>
      <c r="C10" s="58"/>
      <c r="D10" s="58"/>
      <c r="E10" s="4" t="s">
        <v>1</v>
      </c>
      <c r="F10" s="4" t="s">
        <v>2</v>
      </c>
    </row>
    <row r="11" spans="2:6" x14ac:dyDescent="0.3">
      <c r="B11" s="59" t="s">
        <v>3</v>
      </c>
      <c r="C11" s="60"/>
      <c r="D11" s="60"/>
      <c r="E11" s="60"/>
      <c r="F11" s="60"/>
    </row>
    <row r="12" spans="2:6" x14ac:dyDescent="0.3">
      <c r="B12" s="5" t="s">
        <v>4</v>
      </c>
      <c r="C12" s="5" t="s">
        <v>1</v>
      </c>
      <c r="D12" s="5" t="s">
        <v>5</v>
      </c>
      <c r="E12" s="5" t="s">
        <v>6</v>
      </c>
      <c r="F12" s="5" t="s">
        <v>7</v>
      </c>
    </row>
    <row r="13" spans="2:6" x14ac:dyDescent="0.3">
      <c r="B13" s="10" t="s">
        <v>8</v>
      </c>
      <c r="C13" s="6" t="s">
        <v>9</v>
      </c>
      <c r="D13" s="7">
        <v>0.05</v>
      </c>
      <c r="E13" s="8">
        <f>F32</f>
        <v>730.76923076923072</v>
      </c>
      <c r="F13" s="8">
        <f>D13*E13</f>
        <v>36.53846153846154</v>
      </c>
    </row>
    <row r="14" spans="2:6" x14ac:dyDescent="0.3">
      <c r="B14" s="10" t="s">
        <v>40</v>
      </c>
      <c r="C14" s="6" t="s">
        <v>17</v>
      </c>
      <c r="D14" s="7">
        <v>1.4999999999999999E-2</v>
      </c>
      <c r="E14" s="8">
        <v>25000</v>
      </c>
      <c r="F14" s="8">
        <f>D14*E14</f>
        <v>375</v>
      </c>
    </row>
    <row r="15" spans="2:6" x14ac:dyDescent="0.3">
      <c r="B15" s="6"/>
      <c r="C15" s="6"/>
      <c r="D15" s="6"/>
      <c r="E15" s="8"/>
      <c r="F15" s="8"/>
    </row>
    <row r="16" spans="2:6" x14ac:dyDescent="0.3">
      <c r="B16" s="54" t="s">
        <v>10</v>
      </c>
      <c r="C16" s="55"/>
      <c r="D16" s="55"/>
      <c r="E16" s="55"/>
      <c r="F16" s="9">
        <f>SUM(F13:F14)</f>
        <v>411.53846153846155</v>
      </c>
    </row>
    <row r="17" spans="2:6" x14ac:dyDescent="0.3">
      <c r="B17" s="59" t="s">
        <v>11</v>
      </c>
      <c r="C17" s="60"/>
      <c r="D17" s="60"/>
      <c r="E17" s="60"/>
      <c r="F17" s="60"/>
    </row>
    <row r="18" spans="2:6" x14ac:dyDescent="0.3">
      <c r="B18" s="5" t="s">
        <v>4</v>
      </c>
      <c r="C18" s="5" t="s">
        <v>1</v>
      </c>
      <c r="D18" s="5" t="s">
        <v>12</v>
      </c>
      <c r="E18" s="5" t="s">
        <v>13</v>
      </c>
      <c r="F18" s="5" t="s">
        <v>7</v>
      </c>
    </row>
    <row r="19" spans="2:6" x14ac:dyDescent="0.3">
      <c r="B19" s="10"/>
      <c r="C19" s="6"/>
      <c r="D19" s="12"/>
      <c r="E19" s="8"/>
      <c r="F19" s="8"/>
    </row>
    <row r="20" spans="2:6" x14ac:dyDescent="0.3">
      <c r="B20" s="13" t="s">
        <v>14</v>
      </c>
      <c r="C20" s="61"/>
      <c r="D20" s="58"/>
      <c r="E20" s="58"/>
      <c r="F20" s="8">
        <v>0</v>
      </c>
    </row>
    <row r="21" spans="2:6" x14ac:dyDescent="0.3">
      <c r="B21" s="13"/>
      <c r="C21" s="14"/>
      <c r="D21" s="15"/>
      <c r="E21" s="15"/>
      <c r="F21" s="8"/>
    </row>
    <row r="22" spans="2:6" x14ac:dyDescent="0.3">
      <c r="B22" s="54" t="s">
        <v>10</v>
      </c>
      <c r="C22" s="55"/>
      <c r="D22" s="55"/>
      <c r="E22" s="55"/>
      <c r="F22" s="9">
        <f>SUM(F19:F20)</f>
        <v>0</v>
      </c>
    </row>
    <row r="23" spans="2:6" x14ac:dyDescent="0.3">
      <c r="B23" s="59" t="s">
        <v>15</v>
      </c>
      <c r="C23" s="60"/>
      <c r="D23" s="60"/>
      <c r="E23" s="60"/>
      <c r="F23" s="60"/>
    </row>
    <row r="24" spans="2:6" x14ac:dyDescent="0.3">
      <c r="B24" s="5" t="s">
        <v>4</v>
      </c>
      <c r="C24" s="5" t="s">
        <v>1</v>
      </c>
      <c r="D24" s="5" t="s">
        <v>5</v>
      </c>
      <c r="E24" s="5" t="s">
        <v>6</v>
      </c>
      <c r="F24" s="5" t="s">
        <v>7</v>
      </c>
    </row>
    <row r="25" spans="2:6" x14ac:dyDescent="0.3">
      <c r="B25" s="10" t="s">
        <v>16</v>
      </c>
      <c r="C25" s="6" t="s">
        <v>17</v>
      </c>
      <c r="D25" s="7">
        <v>0</v>
      </c>
      <c r="E25" s="8">
        <v>60000</v>
      </c>
      <c r="F25" s="8">
        <f>E25*D25</f>
        <v>0</v>
      </c>
    </row>
    <row r="26" spans="2:6" x14ac:dyDescent="0.3">
      <c r="B26" s="10"/>
      <c r="C26" s="6"/>
      <c r="D26" s="7"/>
      <c r="E26" s="8"/>
      <c r="F26" s="8"/>
    </row>
    <row r="27" spans="2:6" x14ac:dyDescent="0.3">
      <c r="B27" s="54" t="s">
        <v>10</v>
      </c>
      <c r="C27" s="55"/>
      <c r="D27" s="55"/>
      <c r="E27" s="55"/>
      <c r="F27" s="9">
        <f>SUM(F25)</f>
        <v>0</v>
      </c>
    </row>
    <row r="28" spans="2:6" x14ac:dyDescent="0.3">
      <c r="B28" s="59" t="s">
        <v>18</v>
      </c>
      <c r="C28" s="60"/>
      <c r="D28" s="60"/>
      <c r="E28" s="60"/>
      <c r="F28" s="60"/>
    </row>
    <row r="29" spans="2:6" x14ac:dyDescent="0.3">
      <c r="B29" s="5" t="s">
        <v>4</v>
      </c>
      <c r="C29" s="5" t="s">
        <v>1</v>
      </c>
      <c r="D29" s="5" t="s">
        <v>5</v>
      </c>
      <c r="E29" s="5" t="s">
        <v>19</v>
      </c>
      <c r="F29" s="5" t="s">
        <v>7</v>
      </c>
    </row>
    <row r="30" spans="2:6" x14ac:dyDescent="0.3">
      <c r="B30" s="10" t="s">
        <v>38</v>
      </c>
      <c r="C30" s="6" t="s">
        <v>17</v>
      </c>
      <c r="D30" s="7">
        <v>130</v>
      </c>
      <c r="E30" s="8">
        <v>95000</v>
      </c>
      <c r="F30" s="8">
        <f>E30/D30</f>
        <v>730.76923076923072</v>
      </c>
    </row>
    <row r="31" spans="2:6" x14ac:dyDescent="0.3">
      <c r="B31" s="10"/>
      <c r="C31" s="6"/>
      <c r="D31" s="7"/>
      <c r="E31" s="8"/>
      <c r="F31" s="8"/>
    </row>
    <row r="32" spans="2:6" x14ac:dyDescent="0.3">
      <c r="B32" s="54" t="s">
        <v>10</v>
      </c>
      <c r="C32" s="55"/>
      <c r="D32" s="55"/>
      <c r="E32" s="55"/>
      <c r="F32" s="9">
        <f>SUM(F30)</f>
        <v>730.76923076923072</v>
      </c>
    </row>
    <row r="33" spans="2:6" x14ac:dyDescent="0.3">
      <c r="B33" s="6"/>
      <c r="C33" s="15"/>
      <c r="D33" s="15"/>
      <c r="E33" s="15"/>
      <c r="F33" s="15"/>
    </row>
    <row r="34" spans="2:6" x14ac:dyDescent="0.3">
      <c r="B34" s="54" t="s">
        <v>21</v>
      </c>
      <c r="C34" s="55"/>
      <c r="D34" s="55"/>
      <c r="E34" s="55"/>
      <c r="F34" s="9">
        <f>SUM(F16,F22,F27,F32)</f>
        <v>1142.3076923076924</v>
      </c>
    </row>
    <row r="35" spans="2:6" x14ac:dyDescent="0.3">
      <c r="B35" s="16"/>
      <c r="C35" s="16"/>
      <c r="D35" s="16"/>
      <c r="E35" s="16"/>
      <c r="F35" s="16"/>
    </row>
    <row r="36" spans="2:6" x14ac:dyDescent="0.3">
      <c r="B36" s="16"/>
      <c r="C36" s="16"/>
      <c r="D36" s="16"/>
      <c r="E36" s="16"/>
      <c r="F36" s="16"/>
    </row>
    <row r="37" spans="2:6" x14ac:dyDescent="0.3">
      <c r="B37" s="66" t="s">
        <v>43</v>
      </c>
      <c r="C37" s="66"/>
      <c r="D37" s="66"/>
      <c r="E37" s="18" t="s">
        <v>0</v>
      </c>
      <c r="F37" s="18"/>
    </row>
    <row r="38" spans="2:6" x14ac:dyDescent="0.3">
      <c r="B38" s="57"/>
      <c r="C38" s="57"/>
      <c r="D38" s="57"/>
      <c r="E38" s="4" t="s">
        <v>1</v>
      </c>
      <c r="F38" s="4" t="s">
        <v>2</v>
      </c>
    </row>
    <row r="39" spans="2:6" x14ac:dyDescent="0.3">
      <c r="B39" s="59" t="s">
        <v>3</v>
      </c>
      <c r="C39" s="59"/>
      <c r="D39" s="59"/>
      <c r="E39" s="59"/>
      <c r="F39" s="59"/>
    </row>
    <row r="40" spans="2:6" x14ac:dyDescent="0.3">
      <c r="B40" s="5" t="s">
        <v>4</v>
      </c>
      <c r="C40" s="5" t="s">
        <v>1</v>
      </c>
      <c r="D40" s="5" t="s">
        <v>5</v>
      </c>
      <c r="E40" s="5" t="s">
        <v>6</v>
      </c>
      <c r="F40" s="5" t="s">
        <v>7</v>
      </c>
    </row>
    <row r="41" spans="2:6" x14ac:dyDescent="0.3">
      <c r="B41" s="6" t="s">
        <v>8</v>
      </c>
      <c r="C41" s="6" t="s">
        <v>9</v>
      </c>
      <c r="D41" s="7">
        <v>0.8</v>
      </c>
      <c r="E41" s="8">
        <f>F62</f>
        <v>6142.8571428571431</v>
      </c>
      <c r="F41" s="8">
        <f>D41*E41</f>
        <v>4914.2857142857147</v>
      </c>
    </row>
    <row r="42" spans="2:6" x14ac:dyDescent="0.3">
      <c r="B42" s="10" t="s">
        <v>40</v>
      </c>
      <c r="C42" s="6" t="s">
        <v>17</v>
      </c>
      <c r="D42" s="7">
        <v>0.02</v>
      </c>
      <c r="E42" s="8">
        <v>25000</v>
      </c>
      <c r="F42" s="8">
        <f>D42*E42</f>
        <v>500</v>
      </c>
    </row>
    <row r="43" spans="2:6" x14ac:dyDescent="0.3">
      <c r="B43" s="6"/>
      <c r="C43" s="6"/>
      <c r="D43" s="6"/>
      <c r="E43" s="8"/>
      <c r="F43" s="8"/>
    </row>
    <row r="44" spans="2:6" x14ac:dyDescent="0.3">
      <c r="B44" s="54" t="s">
        <v>10</v>
      </c>
      <c r="C44" s="54"/>
      <c r="D44" s="54"/>
      <c r="E44" s="54"/>
      <c r="F44" s="9">
        <f>SUM(F41:F42)</f>
        <v>5414.2857142857147</v>
      </c>
    </row>
    <row r="45" spans="2:6" x14ac:dyDescent="0.3">
      <c r="B45" s="59" t="s">
        <v>11</v>
      </c>
      <c r="C45" s="59"/>
      <c r="D45" s="59"/>
      <c r="E45" s="59"/>
      <c r="F45" s="59"/>
    </row>
    <row r="46" spans="2:6" x14ac:dyDescent="0.3">
      <c r="B46" s="5" t="s">
        <v>4</v>
      </c>
      <c r="C46" s="5" t="s">
        <v>1</v>
      </c>
      <c r="D46" s="5" t="s">
        <v>12</v>
      </c>
      <c r="E46" s="5" t="s">
        <v>13</v>
      </c>
      <c r="F46" s="5" t="s">
        <v>7</v>
      </c>
    </row>
    <row r="47" spans="2:6" x14ac:dyDescent="0.3">
      <c r="B47" s="10" t="s">
        <v>45</v>
      </c>
      <c r="C47" s="6" t="s">
        <v>44</v>
      </c>
      <c r="D47" s="12">
        <v>7.4999999999999997E-2</v>
      </c>
      <c r="E47" s="8">
        <v>42000</v>
      </c>
      <c r="F47" s="8">
        <f>D47*E47</f>
        <v>3150</v>
      </c>
    </row>
    <row r="48" spans="2:6" x14ac:dyDescent="0.3">
      <c r="B48" s="10" t="s">
        <v>33</v>
      </c>
      <c r="C48" s="6" t="s">
        <v>28</v>
      </c>
      <c r="D48" s="12">
        <v>0.01</v>
      </c>
      <c r="E48" s="8">
        <v>32500</v>
      </c>
      <c r="F48" s="8">
        <f>D48*E48</f>
        <v>325</v>
      </c>
    </row>
    <row r="49" spans="2:6" x14ac:dyDescent="0.3">
      <c r="B49" s="10"/>
      <c r="C49" s="6"/>
      <c r="D49" s="12"/>
      <c r="E49" s="8"/>
      <c r="F49" s="8"/>
    </row>
    <row r="50" spans="2:6" x14ac:dyDescent="0.3">
      <c r="B50" s="13" t="s">
        <v>24</v>
      </c>
      <c r="C50" s="61"/>
      <c r="D50" s="61"/>
      <c r="E50" s="61"/>
      <c r="F50" s="8">
        <f>F47*0.03</f>
        <v>94.5</v>
      </c>
    </row>
    <row r="51" spans="2:6" x14ac:dyDescent="0.3">
      <c r="B51" s="13"/>
      <c r="C51" s="14"/>
      <c r="D51" s="15"/>
      <c r="E51" s="15"/>
      <c r="F51" s="8"/>
    </row>
    <row r="52" spans="2:6" x14ac:dyDescent="0.3">
      <c r="B52" s="54" t="s">
        <v>10</v>
      </c>
      <c r="C52" s="54"/>
      <c r="D52" s="54"/>
      <c r="E52" s="54"/>
      <c r="F52" s="9">
        <f>SUM(F47:F50)</f>
        <v>3569.5</v>
      </c>
    </row>
    <row r="53" spans="2:6" x14ac:dyDescent="0.3">
      <c r="B53" s="59" t="s">
        <v>15</v>
      </c>
      <c r="C53" s="59"/>
      <c r="D53" s="59"/>
      <c r="E53" s="59"/>
      <c r="F53" s="59"/>
    </row>
    <row r="54" spans="2:6" x14ac:dyDescent="0.3">
      <c r="B54" s="5" t="s">
        <v>4</v>
      </c>
      <c r="C54" s="5" t="s">
        <v>1</v>
      </c>
      <c r="D54" s="5" t="s">
        <v>5</v>
      </c>
      <c r="E54" s="5" t="s">
        <v>6</v>
      </c>
      <c r="F54" s="5" t="s">
        <v>7</v>
      </c>
    </row>
    <row r="55" spans="2:6" x14ac:dyDescent="0.3">
      <c r="B55" s="10" t="s">
        <v>25</v>
      </c>
      <c r="C55" s="6" t="s">
        <v>17</v>
      </c>
      <c r="D55" s="7">
        <v>5.0000000000000001E-3</v>
      </c>
      <c r="E55" s="8">
        <v>60000</v>
      </c>
      <c r="F55" s="8">
        <f>E55*D55</f>
        <v>300</v>
      </c>
    </row>
    <row r="56" spans="2:6" x14ac:dyDescent="0.3">
      <c r="B56" s="10"/>
      <c r="C56" s="6"/>
      <c r="D56" s="7"/>
      <c r="E56" s="8"/>
      <c r="F56" s="8"/>
    </row>
    <row r="57" spans="2:6" x14ac:dyDescent="0.3">
      <c r="B57" s="54" t="s">
        <v>10</v>
      </c>
      <c r="C57" s="54"/>
      <c r="D57" s="54"/>
      <c r="E57" s="54"/>
      <c r="F57" s="9">
        <f>SUM(F55)</f>
        <v>300</v>
      </c>
    </row>
    <row r="58" spans="2:6" x14ac:dyDescent="0.3">
      <c r="B58" s="59" t="s">
        <v>18</v>
      </c>
      <c r="C58" s="59"/>
      <c r="D58" s="59"/>
      <c r="E58" s="59"/>
      <c r="F58" s="59"/>
    </row>
    <row r="59" spans="2:6" x14ac:dyDescent="0.3">
      <c r="B59" s="5" t="s">
        <v>4</v>
      </c>
      <c r="C59" s="5" t="s">
        <v>1</v>
      </c>
      <c r="D59" s="5" t="s">
        <v>5</v>
      </c>
      <c r="E59" s="5" t="s">
        <v>19</v>
      </c>
      <c r="F59" s="5" t="s">
        <v>7</v>
      </c>
    </row>
    <row r="60" spans="2:6" x14ac:dyDescent="0.3">
      <c r="B60" s="10" t="s">
        <v>23</v>
      </c>
      <c r="C60" s="6" t="s">
        <v>17</v>
      </c>
      <c r="D60" s="7">
        <v>35</v>
      </c>
      <c r="E60" s="8">
        <v>215000</v>
      </c>
      <c r="F60" s="8">
        <f>E60/D60</f>
        <v>6142.8571428571431</v>
      </c>
    </row>
    <row r="61" spans="2:6" x14ac:dyDescent="0.3">
      <c r="B61" s="10"/>
      <c r="C61" s="6"/>
      <c r="D61" s="7"/>
      <c r="E61" s="8"/>
      <c r="F61" s="8"/>
    </row>
    <row r="62" spans="2:6" x14ac:dyDescent="0.3">
      <c r="B62" s="54" t="s">
        <v>10</v>
      </c>
      <c r="C62" s="54"/>
      <c r="D62" s="54"/>
      <c r="E62" s="54"/>
      <c r="F62" s="9">
        <f>SUM(F60)</f>
        <v>6142.8571428571431</v>
      </c>
    </row>
    <row r="63" spans="2:6" x14ac:dyDescent="0.3">
      <c r="B63" s="6"/>
      <c r="C63" s="15"/>
      <c r="D63" s="15"/>
      <c r="E63" s="15"/>
      <c r="F63" s="15"/>
    </row>
    <row r="64" spans="2:6" x14ac:dyDescent="0.3">
      <c r="B64" s="54" t="s">
        <v>21</v>
      </c>
      <c r="C64" s="54"/>
      <c r="D64" s="54"/>
      <c r="E64" s="54"/>
      <c r="F64" s="9">
        <f>SUM(F44,F52,F57,F62)</f>
        <v>15426.642857142857</v>
      </c>
    </row>
    <row r="65" spans="2:6" x14ac:dyDescent="0.3">
      <c r="B65" s="16"/>
      <c r="C65" s="16"/>
      <c r="D65" s="16"/>
      <c r="E65" s="16"/>
      <c r="F65" s="16"/>
    </row>
    <row r="66" spans="2:6" x14ac:dyDescent="0.3">
      <c r="B66" s="16"/>
      <c r="C66" s="15"/>
      <c r="D66" s="15"/>
      <c r="E66" s="15"/>
      <c r="F66" s="15"/>
    </row>
    <row r="70" spans="2:6" x14ac:dyDescent="0.3">
      <c r="B70" s="66" t="s">
        <v>51</v>
      </c>
      <c r="C70" s="66"/>
      <c r="D70" s="66"/>
      <c r="E70" s="18" t="s">
        <v>0</v>
      </c>
      <c r="F70" s="18"/>
    </row>
    <row r="71" spans="2:6" x14ac:dyDescent="0.3">
      <c r="B71" s="57"/>
      <c r="C71" s="57"/>
      <c r="D71" s="57"/>
      <c r="E71" s="4" t="s">
        <v>1</v>
      </c>
      <c r="F71" s="4" t="s">
        <v>2</v>
      </c>
    </row>
    <row r="72" spans="2:6" x14ac:dyDescent="0.3">
      <c r="B72" s="59" t="s">
        <v>3</v>
      </c>
      <c r="C72" s="59"/>
      <c r="D72" s="59"/>
      <c r="E72" s="59"/>
      <c r="F72" s="59"/>
    </row>
    <row r="73" spans="2:6" x14ac:dyDescent="0.3">
      <c r="B73" s="5" t="s">
        <v>4</v>
      </c>
      <c r="C73" s="5" t="s">
        <v>1</v>
      </c>
      <c r="D73" s="5" t="s">
        <v>5</v>
      </c>
      <c r="E73" s="5" t="s">
        <v>6</v>
      </c>
      <c r="F73" s="5" t="s">
        <v>7</v>
      </c>
    </row>
    <row r="74" spans="2:6" x14ac:dyDescent="0.3">
      <c r="B74" s="10" t="s">
        <v>8</v>
      </c>
      <c r="C74" s="6" t="s">
        <v>9</v>
      </c>
      <c r="D74" s="7">
        <v>0.1</v>
      </c>
      <c r="E74" s="8">
        <f>F95</f>
        <v>6285.7142857142853</v>
      </c>
      <c r="F74" s="8">
        <f>D74*E74</f>
        <v>628.57142857142856</v>
      </c>
    </row>
    <row r="75" spans="2:6" x14ac:dyDescent="0.3">
      <c r="B75" s="10" t="s">
        <v>40</v>
      </c>
      <c r="C75" s="6" t="s">
        <v>17</v>
      </c>
      <c r="D75" s="7">
        <v>0.02</v>
      </c>
      <c r="E75" s="8">
        <v>25000</v>
      </c>
      <c r="F75" s="8">
        <f>D75*E75</f>
        <v>500</v>
      </c>
    </row>
    <row r="76" spans="2:6" x14ac:dyDescent="0.3">
      <c r="B76" s="6"/>
      <c r="C76" s="6"/>
      <c r="D76" s="6"/>
      <c r="E76" s="8"/>
      <c r="F76" s="8"/>
    </row>
    <row r="77" spans="2:6" x14ac:dyDescent="0.3">
      <c r="B77" s="49" t="s">
        <v>10</v>
      </c>
      <c r="C77" s="49"/>
      <c r="D77" s="49"/>
      <c r="E77" s="49"/>
      <c r="F77" s="9">
        <f>SUM(F74:F75)</f>
        <v>1128.5714285714284</v>
      </c>
    </row>
    <row r="78" spans="2:6" x14ac:dyDescent="0.3">
      <c r="B78" s="50" t="s">
        <v>11</v>
      </c>
      <c r="C78" s="50"/>
      <c r="D78" s="50"/>
      <c r="E78" s="50"/>
      <c r="F78" s="50"/>
    </row>
    <row r="79" spans="2:6" x14ac:dyDescent="0.3">
      <c r="B79" s="5" t="s">
        <v>4</v>
      </c>
      <c r="C79" s="5" t="s">
        <v>1</v>
      </c>
      <c r="D79" s="5" t="s">
        <v>12</v>
      </c>
      <c r="E79" s="5" t="s">
        <v>13</v>
      </c>
      <c r="F79" s="5" t="s">
        <v>7</v>
      </c>
    </row>
    <row r="80" spans="2:6" x14ac:dyDescent="0.3">
      <c r="B80" s="10" t="s">
        <v>55</v>
      </c>
      <c r="C80" s="6" t="s">
        <v>2</v>
      </c>
      <c r="D80" s="17">
        <v>4.8924978505218382E-2</v>
      </c>
      <c r="E80" s="8">
        <v>170000</v>
      </c>
      <c r="F80" s="8">
        <f>D80*E80</f>
        <v>8317.2463458871243</v>
      </c>
    </row>
    <row r="81" spans="2:6" x14ac:dyDescent="0.3">
      <c r="B81" s="10" t="s">
        <v>27</v>
      </c>
      <c r="C81" s="6" t="s">
        <v>28</v>
      </c>
      <c r="D81" s="12">
        <v>0.01</v>
      </c>
      <c r="E81" s="8">
        <v>32500</v>
      </c>
      <c r="F81" s="8">
        <f>D81*E81</f>
        <v>325</v>
      </c>
    </row>
    <row r="82" spans="2:6" x14ac:dyDescent="0.3">
      <c r="B82" s="10"/>
      <c r="C82" s="6"/>
      <c r="D82" s="12"/>
      <c r="E82" s="8"/>
      <c r="F82" s="8"/>
    </row>
    <row r="83" spans="2:6" x14ac:dyDescent="0.3">
      <c r="B83" s="13" t="s">
        <v>24</v>
      </c>
      <c r="C83" s="14"/>
      <c r="D83" s="14"/>
      <c r="E83" s="14"/>
      <c r="F83" s="8">
        <f>F80*0.03</f>
        <v>249.51739037661372</v>
      </c>
    </row>
    <row r="84" spans="2:6" x14ac:dyDescent="0.3">
      <c r="B84" s="13"/>
      <c r="C84" s="14"/>
      <c r="D84" s="15"/>
      <c r="E84" s="15"/>
      <c r="F84" s="8"/>
    </row>
    <row r="85" spans="2:6" x14ac:dyDescent="0.3">
      <c r="B85" s="49" t="s">
        <v>10</v>
      </c>
      <c r="C85" s="49"/>
      <c r="D85" s="49"/>
      <c r="E85" s="49"/>
      <c r="F85" s="9">
        <f>SUM(F80:F83)</f>
        <v>8891.7637362637379</v>
      </c>
    </row>
    <row r="86" spans="2:6" x14ac:dyDescent="0.3">
      <c r="B86" s="50" t="s">
        <v>15</v>
      </c>
      <c r="C86" s="50"/>
      <c r="D86" s="50"/>
      <c r="E86" s="50"/>
      <c r="F86" s="50"/>
    </row>
    <row r="87" spans="2:6" x14ac:dyDescent="0.3">
      <c r="B87" s="5" t="s">
        <v>4</v>
      </c>
      <c r="C87" s="5" t="s">
        <v>1</v>
      </c>
      <c r="D87" s="5" t="s">
        <v>5</v>
      </c>
      <c r="E87" s="5" t="s">
        <v>6</v>
      </c>
      <c r="F87" s="5" t="s">
        <v>7</v>
      </c>
    </row>
    <row r="88" spans="2:6" x14ac:dyDescent="0.3">
      <c r="B88" s="10" t="s">
        <v>25</v>
      </c>
      <c r="C88" s="6" t="s">
        <v>17</v>
      </c>
      <c r="D88" s="7">
        <v>2.5000000000000001E-2</v>
      </c>
      <c r="E88" s="8">
        <v>45000</v>
      </c>
      <c r="F88" s="8">
        <f>E88*D88</f>
        <v>1125</v>
      </c>
    </row>
    <row r="89" spans="2:6" x14ac:dyDescent="0.3">
      <c r="B89" s="10"/>
      <c r="C89" s="6"/>
      <c r="D89" s="7"/>
      <c r="E89" s="8"/>
      <c r="F89" s="8"/>
    </row>
    <row r="90" spans="2:6" x14ac:dyDescent="0.3">
      <c r="B90" s="49" t="s">
        <v>10</v>
      </c>
      <c r="C90" s="49"/>
      <c r="D90" s="49"/>
      <c r="E90" s="49"/>
      <c r="F90" s="9">
        <f>SUM(F88)</f>
        <v>1125</v>
      </c>
    </row>
    <row r="91" spans="2:6" x14ac:dyDescent="0.3">
      <c r="B91" s="50" t="s">
        <v>18</v>
      </c>
      <c r="C91" s="50"/>
      <c r="D91" s="50"/>
      <c r="E91" s="50"/>
      <c r="F91" s="50"/>
    </row>
    <row r="92" spans="2:6" x14ac:dyDescent="0.3">
      <c r="B92" s="5" t="s">
        <v>4</v>
      </c>
      <c r="C92" s="5" t="s">
        <v>1</v>
      </c>
      <c r="D92" s="5" t="s">
        <v>5</v>
      </c>
      <c r="E92" s="5" t="s">
        <v>19</v>
      </c>
      <c r="F92" s="5" t="s">
        <v>7</v>
      </c>
    </row>
    <row r="93" spans="2:6" x14ac:dyDescent="0.3">
      <c r="B93" s="10" t="s">
        <v>23</v>
      </c>
      <c r="C93" s="6" t="s">
        <v>17</v>
      </c>
      <c r="D93" s="7">
        <v>35</v>
      </c>
      <c r="E93" s="8">
        <v>220000</v>
      </c>
      <c r="F93" s="8">
        <f>E93/D93</f>
        <v>6285.7142857142853</v>
      </c>
    </row>
    <row r="94" spans="2:6" x14ac:dyDescent="0.3">
      <c r="B94" s="10"/>
      <c r="C94" s="6"/>
      <c r="D94" s="7"/>
      <c r="E94" s="8"/>
      <c r="F94" s="8"/>
    </row>
    <row r="95" spans="2:6" x14ac:dyDescent="0.3">
      <c r="B95" s="54" t="s">
        <v>10</v>
      </c>
      <c r="C95" s="54"/>
      <c r="D95" s="54"/>
      <c r="E95" s="54"/>
      <c r="F95" s="9">
        <f>SUM(F93)</f>
        <v>6285.7142857142853</v>
      </c>
    </row>
    <row r="96" spans="2:6" x14ac:dyDescent="0.3">
      <c r="B96" s="6"/>
      <c r="C96" s="15"/>
      <c r="D96" s="15"/>
      <c r="E96" s="15"/>
      <c r="F96" s="15"/>
    </row>
    <row r="97" spans="2:6" x14ac:dyDescent="0.3">
      <c r="B97" s="54" t="s">
        <v>21</v>
      </c>
      <c r="C97" s="54"/>
      <c r="D97" s="54"/>
      <c r="E97" s="54"/>
      <c r="F97" s="9">
        <f>SUM(F77,F85,F90,F95)</f>
        <v>17431.049450549453</v>
      </c>
    </row>
  </sheetData>
  <mergeCells count="29">
    <mergeCell ref="B95:E95"/>
    <mergeCell ref="B97:E97"/>
    <mergeCell ref="B34:E34"/>
    <mergeCell ref="B9:D9"/>
    <mergeCell ref="B10:D10"/>
    <mergeCell ref="B11:F11"/>
    <mergeCell ref="B16:E16"/>
    <mergeCell ref="B17:F17"/>
    <mergeCell ref="C20:E20"/>
    <mergeCell ref="B22:E22"/>
    <mergeCell ref="B23:F23"/>
    <mergeCell ref="B27:E27"/>
    <mergeCell ref="B28:F28"/>
    <mergeCell ref="B32:E32"/>
    <mergeCell ref="B64:E64"/>
    <mergeCell ref="B37:D37"/>
    <mergeCell ref="B38:D38"/>
    <mergeCell ref="B39:F39"/>
    <mergeCell ref="B44:E44"/>
    <mergeCell ref="B45:F45"/>
    <mergeCell ref="C50:E50"/>
    <mergeCell ref="B52:E52"/>
    <mergeCell ref="B53:F53"/>
    <mergeCell ref="B57:E57"/>
    <mergeCell ref="B58:F58"/>
    <mergeCell ref="B62:E62"/>
    <mergeCell ref="B70:D70"/>
    <mergeCell ref="B71:D71"/>
    <mergeCell ref="B72:F72"/>
  </mergeCells>
  <phoneticPr fontId="14" type="noConversion"/>
  <pageMargins left="0.7" right="0.7" top="0.75" bottom="0.75" header="0.3" footer="0.3"/>
  <pageSetup scale="94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5858-18EA-41B6-B9C0-E606E55E08C1}">
  <sheetPr>
    <pageSetUpPr fitToPage="1"/>
  </sheetPr>
  <dimension ref="A1:K49"/>
  <sheetViews>
    <sheetView topLeftCell="A22" zoomScale="80" zoomScaleNormal="80" workbookViewId="0">
      <selection activeCell="G44" sqref="A1:G44"/>
    </sheetView>
  </sheetViews>
  <sheetFormatPr baseColWidth="10" defaultColWidth="12.6640625" defaultRowHeight="13.8" x14ac:dyDescent="0.3"/>
  <cols>
    <col min="1" max="1" width="11.21875" style="44" customWidth="1"/>
    <col min="2" max="2" width="10.109375" style="44" customWidth="1"/>
    <col min="3" max="3" width="81.44140625" style="29" customWidth="1"/>
    <col min="4" max="4" width="14" style="29" customWidth="1"/>
    <col min="5" max="5" width="12.88671875" style="29" bestFit="1" customWidth="1"/>
    <col min="6" max="6" width="22.6640625" style="29" customWidth="1"/>
    <col min="7" max="7" width="23.33203125" style="29" customWidth="1"/>
    <col min="8" max="8" width="12.6640625" style="29"/>
    <col min="9" max="9" width="35.109375" style="29" bestFit="1" customWidth="1"/>
    <col min="10" max="10" width="12.6640625" style="29"/>
    <col min="11" max="11" width="18" style="29" bestFit="1" customWidth="1"/>
    <col min="12" max="16384" width="12.6640625" style="29"/>
  </cols>
  <sheetData>
    <row r="1" spans="1:11" ht="20.399999999999999" x14ac:dyDescent="0.3">
      <c r="A1" s="72" t="s">
        <v>104</v>
      </c>
      <c r="B1" s="72"/>
      <c r="C1" s="72"/>
      <c r="D1" s="72"/>
      <c r="E1" s="72"/>
      <c r="F1" s="72"/>
      <c r="G1" s="72"/>
    </row>
    <row r="2" spans="1:11" x14ac:dyDescent="0.3">
      <c r="A2" s="73" t="s">
        <v>81</v>
      </c>
      <c r="B2" s="73"/>
      <c r="C2" s="73"/>
      <c r="D2" s="73"/>
      <c r="E2" s="73"/>
      <c r="F2" s="73"/>
      <c r="G2" s="73"/>
    </row>
    <row r="3" spans="1:11" x14ac:dyDescent="0.3">
      <c r="A3" s="74" t="s">
        <v>103</v>
      </c>
      <c r="B3" s="74"/>
      <c r="C3" s="74"/>
      <c r="D3" s="74"/>
      <c r="E3" s="74"/>
      <c r="F3" s="74"/>
      <c r="G3" s="74"/>
    </row>
    <row r="4" spans="1:11" ht="14.4" customHeight="1" x14ac:dyDescent="0.3">
      <c r="A4" s="69" t="s">
        <v>105</v>
      </c>
      <c r="B4" s="70"/>
      <c r="C4" s="71"/>
      <c r="D4" s="75" t="s">
        <v>82</v>
      </c>
      <c r="E4" s="76"/>
      <c r="F4" s="79" t="s">
        <v>84</v>
      </c>
      <c r="G4" s="80"/>
    </row>
    <row r="5" spans="1:11" x14ac:dyDescent="0.3">
      <c r="A5" s="69" t="s">
        <v>83</v>
      </c>
      <c r="B5" s="70"/>
      <c r="C5" s="71"/>
      <c r="D5" s="77"/>
      <c r="E5" s="78"/>
      <c r="F5" s="81"/>
      <c r="G5" s="82"/>
    </row>
    <row r="6" spans="1:11" x14ac:dyDescent="0.3">
      <c r="A6" s="69" t="s">
        <v>107</v>
      </c>
      <c r="B6" s="70"/>
      <c r="C6" s="71"/>
      <c r="D6" s="69" t="s">
        <v>106</v>
      </c>
      <c r="E6" s="71"/>
      <c r="F6" s="83"/>
      <c r="G6" s="84"/>
    </row>
    <row r="7" spans="1:11" x14ac:dyDescent="0.3">
      <c r="A7" s="30" t="s">
        <v>85</v>
      </c>
      <c r="B7" s="30" t="s">
        <v>86</v>
      </c>
      <c r="C7" s="30" t="s">
        <v>87</v>
      </c>
      <c r="D7" s="30" t="s">
        <v>88</v>
      </c>
      <c r="E7" s="30" t="s">
        <v>89</v>
      </c>
      <c r="F7" s="30" t="s">
        <v>90</v>
      </c>
      <c r="G7" s="30" t="s">
        <v>91</v>
      </c>
    </row>
    <row r="8" spans="1:11" x14ac:dyDescent="0.3">
      <c r="A8" s="31">
        <v>1</v>
      </c>
      <c r="B8" s="31"/>
      <c r="C8" s="32" t="s">
        <v>34</v>
      </c>
      <c r="D8" s="33"/>
      <c r="E8" s="33"/>
      <c r="F8" s="33"/>
      <c r="G8" s="34">
        <f>SUM(G9:G12)</f>
        <v>6300000</v>
      </c>
    </row>
    <row r="9" spans="1:11" x14ac:dyDescent="0.3">
      <c r="A9" s="30"/>
      <c r="B9" s="30" t="s">
        <v>79</v>
      </c>
      <c r="C9" s="33" t="s">
        <v>78</v>
      </c>
      <c r="D9" s="30" t="s">
        <v>92</v>
      </c>
      <c r="E9" s="35">
        <v>1</v>
      </c>
      <c r="F9" s="36">
        <v>700000</v>
      </c>
      <c r="G9" s="37">
        <f>+E9*F9</f>
        <v>700000</v>
      </c>
    </row>
    <row r="10" spans="1:11" x14ac:dyDescent="0.3">
      <c r="A10" s="30"/>
      <c r="B10" s="30" t="s">
        <v>80</v>
      </c>
      <c r="C10" s="33" t="s">
        <v>132</v>
      </c>
      <c r="D10" s="30" t="s">
        <v>92</v>
      </c>
      <c r="E10" s="35">
        <v>1</v>
      </c>
      <c r="F10" s="36">
        <v>300000</v>
      </c>
      <c r="G10" s="37">
        <f t="shared" ref="G10:G12" si="0">+E10*F10</f>
        <v>300000</v>
      </c>
    </row>
    <row r="11" spans="1:11" x14ac:dyDescent="0.3">
      <c r="A11" s="30"/>
      <c r="B11" s="30" t="s">
        <v>108</v>
      </c>
      <c r="C11" s="33" t="s">
        <v>110</v>
      </c>
      <c r="D11" s="30" t="s">
        <v>92</v>
      </c>
      <c r="E11" s="35">
        <v>1</v>
      </c>
      <c r="F11" s="36">
        <v>300000</v>
      </c>
      <c r="G11" s="37">
        <f t="shared" si="0"/>
        <v>300000</v>
      </c>
    </row>
    <row r="12" spans="1:11" x14ac:dyDescent="0.3">
      <c r="A12" s="30"/>
      <c r="B12" s="30" t="s">
        <v>109</v>
      </c>
      <c r="C12" s="33" t="s">
        <v>111</v>
      </c>
      <c r="D12" s="30" t="s">
        <v>92</v>
      </c>
      <c r="E12" s="35">
        <v>1</v>
      </c>
      <c r="F12" s="36">
        <v>5000000</v>
      </c>
      <c r="G12" s="37">
        <f t="shared" si="0"/>
        <v>5000000</v>
      </c>
    </row>
    <row r="13" spans="1:11" x14ac:dyDescent="0.3">
      <c r="A13" s="31">
        <v>2</v>
      </c>
      <c r="B13" s="31"/>
      <c r="C13" s="32" t="s">
        <v>93</v>
      </c>
      <c r="D13" s="30"/>
      <c r="E13" s="35"/>
      <c r="F13" s="33"/>
      <c r="G13" s="34">
        <f>SUM(G14:G16)</f>
        <v>53145324.799999997</v>
      </c>
    </row>
    <row r="14" spans="1:11" x14ac:dyDescent="0.3">
      <c r="A14" s="30"/>
      <c r="B14" s="30" t="s">
        <v>46</v>
      </c>
      <c r="C14" s="38" t="s">
        <v>133</v>
      </c>
      <c r="D14" s="30" t="s">
        <v>2</v>
      </c>
      <c r="E14" s="35">
        <v>5019.54</v>
      </c>
      <c r="F14" s="51">
        <v>3120</v>
      </c>
      <c r="G14" s="37">
        <f t="shared" ref="G14:G16" si="1">+E14*F14</f>
        <v>15660964.800000001</v>
      </c>
    </row>
    <row r="15" spans="1:11" x14ac:dyDescent="0.3">
      <c r="A15" s="30"/>
      <c r="B15" s="30" t="s">
        <v>47</v>
      </c>
      <c r="C15" s="38" t="s">
        <v>112</v>
      </c>
      <c r="D15" s="30" t="s">
        <v>2</v>
      </c>
      <c r="E15" s="35">
        <v>949.54</v>
      </c>
      <c r="F15" s="51">
        <v>34000</v>
      </c>
      <c r="G15" s="37">
        <f t="shared" si="1"/>
        <v>32284360</v>
      </c>
      <c r="H15" s="40"/>
    </row>
    <row r="16" spans="1:11" x14ac:dyDescent="0.3">
      <c r="A16" s="30"/>
      <c r="B16" s="30" t="s">
        <v>48</v>
      </c>
      <c r="C16" s="38" t="s">
        <v>113</v>
      </c>
      <c r="D16" s="30" t="s">
        <v>2</v>
      </c>
      <c r="E16" s="35">
        <v>100</v>
      </c>
      <c r="F16" s="51">
        <v>52000</v>
      </c>
      <c r="G16" s="37">
        <f t="shared" si="1"/>
        <v>5200000</v>
      </c>
      <c r="J16" s="85"/>
      <c r="K16" s="86"/>
    </row>
    <row r="17" spans="1:11" x14ac:dyDescent="0.3">
      <c r="A17" s="31">
        <v>3</v>
      </c>
      <c r="B17" s="31"/>
      <c r="C17" s="32" t="s">
        <v>118</v>
      </c>
      <c r="D17" s="30"/>
      <c r="E17" s="39"/>
      <c r="F17" s="52"/>
      <c r="G17" s="34">
        <f>SUM(G18:G23)</f>
        <v>90759739</v>
      </c>
    </row>
    <row r="18" spans="1:11" ht="27.6" x14ac:dyDescent="0.3">
      <c r="A18" s="30"/>
      <c r="B18" s="30" t="s">
        <v>61</v>
      </c>
      <c r="C18" s="38" t="s">
        <v>134</v>
      </c>
      <c r="D18" s="30" t="s">
        <v>2</v>
      </c>
      <c r="E18" s="35">
        <v>3798.14</v>
      </c>
      <c r="F18" s="51">
        <v>17500</v>
      </c>
      <c r="G18" s="37">
        <f t="shared" ref="G18:G23" si="2">+E18*F18</f>
        <v>66467450</v>
      </c>
    </row>
    <row r="19" spans="1:11" ht="27.6" x14ac:dyDescent="0.3">
      <c r="A19" s="30"/>
      <c r="B19" s="30" t="s">
        <v>62</v>
      </c>
      <c r="C19" s="38" t="s">
        <v>144</v>
      </c>
      <c r="D19" s="30" t="s">
        <v>2</v>
      </c>
      <c r="E19" s="35">
        <v>382.96</v>
      </c>
      <c r="F19" s="51">
        <v>19400</v>
      </c>
      <c r="G19" s="37">
        <f t="shared" si="2"/>
        <v>7429424</v>
      </c>
      <c r="I19" s="29">
        <v>20780</v>
      </c>
    </row>
    <row r="20" spans="1:11" ht="27.6" x14ac:dyDescent="0.3">
      <c r="A20" s="30"/>
      <c r="B20" s="30" t="s">
        <v>63</v>
      </c>
      <c r="C20" s="38" t="s">
        <v>114</v>
      </c>
      <c r="D20" s="30" t="s">
        <v>29</v>
      </c>
      <c r="E20" s="35">
        <v>53.65</v>
      </c>
      <c r="F20" s="51">
        <v>8100</v>
      </c>
      <c r="G20" s="37">
        <f t="shared" si="2"/>
        <v>434565</v>
      </c>
    </row>
    <row r="21" spans="1:11" ht="27.6" x14ac:dyDescent="0.3">
      <c r="A21" s="30"/>
      <c r="B21" s="30" t="s">
        <v>64</v>
      </c>
      <c r="C21" s="38" t="s">
        <v>115</v>
      </c>
      <c r="D21" s="30" t="s">
        <v>2</v>
      </c>
      <c r="E21" s="35">
        <v>71</v>
      </c>
      <c r="F21" s="51">
        <v>24300</v>
      </c>
      <c r="G21" s="37">
        <f t="shared" si="2"/>
        <v>1725300</v>
      </c>
    </row>
    <row r="22" spans="1:11" ht="27.6" x14ac:dyDescent="0.3">
      <c r="A22" s="30"/>
      <c r="B22" s="30" t="s">
        <v>65</v>
      </c>
      <c r="C22" s="38" t="s">
        <v>116</v>
      </c>
      <c r="D22" s="30" t="s">
        <v>29</v>
      </c>
      <c r="E22" s="35">
        <v>24.3</v>
      </c>
      <c r="F22" s="51">
        <v>22400</v>
      </c>
      <c r="G22" s="37">
        <f t="shared" si="2"/>
        <v>544320</v>
      </c>
    </row>
    <row r="23" spans="1:11" ht="27.6" x14ac:dyDescent="0.3">
      <c r="A23" s="30"/>
      <c r="B23" s="30" t="s">
        <v>66</v>
      </c>
      <c r="C23" s="46" t="s">
        <v>117</v>
      </c>
      <c r="D23" s="30" t="s">
        <v>2</v>
      </c>
      <c r="E23" s="35">
        <v>1179.8900000000001</v>
      </c>
      <c r="F23" s="51">
        <v>12000</v>
      </c>
      <c r="G23" s="37">
        <f t="shared" si="2"/>
        <v>14158680.000000002</v>
      </c>
    </row>
    <row r="24" spans="1:11" x14ac:dyDescent="0.3">
      <c r="A24" s="31">
        <v>4</v>
      </c>
      <c r="B24" s="31"/>
      <c r="C24" s="32" t="s">
        <v>119</v>
      </c>
      <c r="D24" s="30"/>
      <c r="E24" s="39"/>
      <c r="F24" s="33"/>
      <c r="G24" s="41">
        <f>SUM(G25:G30)</f>
        <v>38695442</v>
      </c>
    </row>
    <row r="25" spans="1:11" x14ac:dyDescent="0.3">
      <c r="A25" s="30"/>
      <c r="B25" s="30" t="s">
        <v>67</v>
      </c>
      <c r="C25" s="42" t="s">
        <v>120</v>
      </c>
      <c r="D25" s="30" t="s">
        <v>29</v>
      </c>
      <c r="E25" s="35">
        <v>346.79</v>
      </c>
      <c r="F25" s="36">
        <v>37000</v>
      </c>
      <c r="G25" s="37">
        <f t="shared" ref="G25:G30" si="3">+E25*F25</f>
        <v>12831230</v>
      </c>
    </row>
    <row r="26" spans="1:11" ht="27.6" x14ac:dyDescent="0.3">
      <c r="A26" s="30"/>
      <c r="B26" s="30" t="s">
        <v>68</v>
      </c>
      <c r="C26" s="42" t="s">
        <v>121</v>
      </c>
      <c r="D26" s="30" t="s">
        <v>29</v>
      </c>
      <c r="E26" s="35">
        <v>1450.14</v>
      </c>
      <c r="F26" s="51">
        <v>5200</v>
      </c>
      <c r="G26" s="37">
        <f t="shared" si="3"/>
        <v>7540728.0000000009</v>
      </c>
    </row>
    <row r="27" spans="1:11" x14ac:dyDescent="0.3">
      <c r="A27" s="30"/>
      <c r="B27" s="30" t="s">
        <v>70</v>
      </c>
      <c r="C27" s="38" t="s">
        <v>122</v>
      </c>
      <c r="D27" s="30" t="s">
        <v>29</v>
      </c>
      <c r="E27" s="35">
        <v>346.79</v>
      </c>
      <c r="F27" s="36">
        <v>5200</v>
      </c>
      <c r="G27" s="37">
        <f t="shared" si="3"/>
        <v>1803308</v>
      </c>
    </row>
    <row r="28" spans="1:11" ht="27.6" x14ac:dyDescent="0.3">
      <c r="A28" s="30"/>
      <c r="B28" s="30" t="s">
        <v>74</v>
      </c>
      <c r="C28" s="38" t="s">
        <v>123</v>
      </c>
      <c r="D28" s="30" t="s">
        <v>29</v>
      </c>
      <c r="E28" s="35">
        <v>122</v>
      </c>
      <c r="F28" s="36">
        <v>63000</v>
      </c>
      <c r="G28" s="37">
        <f t="shared" si="3"/>
        <v>7686000</v>
      </c>
    </row>
    <row r="29" spans="1:11" ht="27.6" x14ac:dyDescent="0.3">
      <c r="A29" s="30"/>
      <c r="B29" s="30">
        <v>4.5</v>
      </c>
      <c r="C29" s="38" t="s">
        <v>124</v>
      </c>
      <c r="D29" s="30" t="s">
        <v>2</v>
      </c>
      <c r="E29" s="35">
        <v>45.28</v>
      </c>
      <c r="F29" s="36">
        <v>41200</v>
      </c>
      <c r="G29" s="37">
        <f t="shared" si="3"/>
        <v>1865536</v>
      </c>
      <c r="I29" s="29" t="s">
        <v>143</v>
      </c>
    </row>
    <row r="30" spans="1:11" x14ac:dyDescent="0.3">
      <c r="A30" s="30"/>
      <c r="B30" s="30">
        <v>4.5999999999999996</v>
      </c>
      <c r="C30" s="38" t="s">
        <v>125</v>
      </c>
      <c r="D30" s="30" t="s">
        <v>2</v>
      </c>
      <c r="E30" s="35">
        <v>97.6</v>
      </c>
      <c r="F30" s="51">
        <v>71400</v>
      </c>
      <c r="G30" s="37">
        <f t="shared" si="3"/>
        <v>6968640</v>
      </c>
      <c r="K30" s="44" t="s">
        <v>139</v>
      </c>
    </row>
    <row r="31" spans="1:11" x14ac:dyDescent="0.3">
      <c r="A31" s="31">
        <v>5</v>
      </c>
      <c r="B31" s="31"/>
      <c r="C31" s="32" t="s">
        <v>153</v>
      </c>
      <c r="D31" s="30"/>
      <c r="E31" s="39"/>
      <c r="F31" s="33"/>
      <c r="G31" s="41">
        <f>SUM(G32:G35)</f>
        <v>29601800</v>
      </c>
      <c r="K31" s="45">
        <v>170000000</v>
      </c>
    </row>
    <row r="32" spans="1:11" ht="27.6" x14ac:dyDescent="0.3">
      <c r="A32" s="30"/>
      <c r="B32" s="30" t="s">
        <v>95</v>
      </c>
      <c r="C32" s="42" t="s">
        <v>135</v>
      </c>
      <c r="D32" s="30" t="s">
        <v>2</v>
      </c>
      <c r="E32" s="35">
        <v>395</v>
      </c>
      <c r="F32" s="36">
        <v>65000</v>
      </c>
      <c r="G32" s="37">
        <f t="shared" ref="G32:G35" si="4">+E32*F32</f>
        <v>25675000</v>
      </c>
    </row>
    <row r="33" spans="1:9" x14ac:dyDescent="0.3">
      <c r="A33" s="30"/>
      <c r="B33" s="30" t="s">
        <v>126</v>
      </c>
      <c r="C33" s="42" t="s">
        <v>136</v>
      </c>
      <c r="D33" s="30" t="s">
        <v>2</v>
      </c>
      <c r="E33" s="35">
        <v>29.6</v>
      </c>
      <c r="F33" s="51">
        <v>71000</v>
      </c>
      <c r="G33" s="37">
        <f t="shared" si="4"/>
        <v>2101600</v>
      </c>
      <c r="I33" s="29" t="s">
        <v>140</v>
      </c>
    </row>
    <row r="34" spans="1:9" x14ac:dyDescent="0.3">
      <c r="A34" s="30"/>
      <c r="B34" s="30" t="s">
        <v>127</v>
      </c>
      <c r="C34" s="38" t="s">
        <v>137</v>
      </c>
      <c r="D34" s="30" t="s">
        <v>2</v>
      </c>
      <c r="E34" s="35">
        <v>35</v>
      </c>
      <c r="F34" s="36">
        <v>39000</v>
      </c>
      <c r="G34" s="37">
        <f t="shared" si="4"/>
        <v>1365000</v>
      </c>
      <c r="I34" s="29" t="s">
        <v>142</v>
      </c>
    </row>
    <row r="35" spans="1:9" x14ac:dyDescent="0.3">
      <c r="A35" s="30"/>
      <c r="B35" s="30" t="s">
        <v>128</v>
      </c>
      <c r="C35" s="38" t="s">
        <v>138</v>
      </c>
      <c r="D35" s="30" t="s">
        <v>2</v>
      </c>
      <c r="E35" s="35">
        <v>11.8</v>
      </c>
      <c r="F35" s="36">
        <v>39000</v>
      </c>
      <c r="G35" s="37">
        <f t="shared" si="4"/>
        <v>460200</v>
      </c>
      <c r="I35" s="29" t="s">
        <v>141</v>
      </c>
    </row>
    <row r="36" spans="1:9" x14ac:dyDescent="0.3">
      <c r="A36" s="31">
        <v>6</v>
      </c>
      <c r="B36" s="31"/>
      <c r="C36" s="32" t="s">
        <v>94</v>
      </c>
      <c r="D36" s="30"/>
      <c r="E36" s="39"/>
      <c r="F36" s="33"/>
      <c r="G36" s="41">
        <f>SUM(G37:G38)</f>
        <v>1800000</v>
      </c>
    </row>
    <row r="37" spans="1:9" x14ac:dyDescent="0.3">
      <c r="A37" s="30"/>
      <c r="B37" s="30" t="s">
        <v>129</v>
      </c>
      <c r="C37" s="38" t="s">
        <v>77</v>
      </c>
      <c r="D37" s="30" t="s">
        <v>96</v>
      </c>
      <c r="E37" s="35">
        <v>1</v>
      </c>
      <c r="F37" s="37">
        <v>500000</v>
      </c>
      <c r="G37" s="37">
        <f>+E37*F37</f>
        <v>500000</v>
      </c>
    </row>
    <row r="38" spans="1:9" x14ac:dyDescent="0.3">
      <c r="A38" s="30"/>
      <c r="B38" s="30" t="s">
        <v>130</v>
      </c>
      <c r="C38" s="38" t="s">
        <v>131</v>
      </c>
      <c r="D38" s="30" t="s">
        <v>96</v>
      </c>
      <c r="E38" s="35">
        <v>1</v>
      </c>
      <c r="F38" s="37">
        <v>1300000</v>
      </c>
      <c r="G38" s="37">
        <f>+E38*F38</f>
        <v>1300000</v>
      </c>
    </row>
    <row r="39" spans="1:9" x14ac:dyDescent="0.3">
      <c r="A39" s="30"/>
      <c r="B39" s="30"/>
      <c r="C39" s="33"/>
      <c r="D39" s="87" t="s">
        <v>97</v>
      </c>
      <c r="E39" s="88"/>
      <c r="F39" s="89"/>
      <c r="G39" s="41">
        <f>+G8+G13+G17+G24+G36+G31</f>
        <v>220302305.80000001</v>
      </c>
    </row>
    <row r="40" spans="1:9" x14ac:dyDescent="0.3">
      <c r="A40" s="30"/>
      <c r="B40" s="30"/>
      <c r="C40" s="33"/>
      <c r="D40" s="85" t="s">
        <v>98</v>
      </c>
      <c r="E40" s="86"/>
      <c r="F40" s="43">
        <v>0.08</v>
      </c>
      <c r="G40" s="37">
        <f>+$G$39*F40</f>
        <v>17624184.464000002</v>
      </c>
    </row>
    <row r="41" spans="1:9" x14ac:dyDescent="0.3">
      <c r="A41" s="30"/>
      <c r="B41" s="30"/>
      <c r="C41" s="33"/>
      <c r="D41" s="85" t="s">
        <v>99</v>
      </c>
      <c r="E41" s="86"/>
      <c r="F41" s="43">
        <v>0.03</v>
      </c>
      <c r="G41" s="37">
        <f t="shared" ref="G41:G42" si="5">+$G$39*F41</f>
        <v>6609069.1739999996</v>
      </c>
    </row>
    <row r="42" spans="1:9" x14ac:dyDescent="0.3">
      <c r="A42" s="30"/>
      <c r="B42" s="30"/>
      <c r="C42" s="33"/>
      <c r="D42" s="85" t="s">
        <v>100</v>
      </c>
      <c r="E42" s="86"/>
      <c r="F42" s="43">
        <v>0.05</v>
      </c>
      <c r="G42" s="37">
        <f t="shared" si="5"/>
        <v>11015115.290000001</v>
      </c>
      <c r="I42" s="45">
        <v>175000000</v>
      </c>
    </row>
    <row r="43" spans="1:9" x14ac:dyDescent="0.3">
      <c r="A43" s="30"/>
      <c r="B43" s="30"/>
      <c r="C43" s="33"/>
      <c r="D43" s="85" t="s">
        <v>101</v>
      </c>
      <c r="E43" s="86"/>
      <c r="F43" s="43">
        <v>0.19</v>
      </c>
      <c r="G43" s="37">
        <f>+G42*F43</f>
        <v>2092871.9051000003</v>
      </c>
      <c r="I43" s="53">
        <f>F12*(1.165)</f>
        <v>5825000</v>
      </c>
    </row>
    <row r="44" spans="1:9" x14ac:dyDescent="0.3">
      <c r="A44" s="30"/>
      <c r="B44" s="30"/>
      <c r="C44" s="33"/>
      <c r="D44" s="87" t="s">
        <v>102</v>
      </c>
      <c r="E44" s="88"/>
      <c r="F44" s="89"/>
      <c r="G44" s="41">
        <f>+G39+G40+G41+G42+G43</f>
        <v>257643546.63309997</v>
      </c>
      <c r="I44" s="53">
        <f>I43+I42</f>
        <v>180825000</v>
      </c>
    </row>
    <row r="45" spans="1:9" x14ac:dyDescent="0.3">
      <c r="I45" s="53"/>
    </row>
    <row r="46" spans="1:9" x14ac:dyDescent="0.3">
      <c r="G46" s="45"/>
      <c r="I46" s="53">
        <f>G44-I44</f>
        <v>76818546.633099973</v>
      </c>
    </row>
    <row r="48" spans="1:9" x14ac:dyDescent="0.3">
      <c r="I48" s="53">
        <f>G44-G31*(1.195)</f>
        <v>222269395.63309997</v>
      </c>
    </row>
    <row r="49" spans="9:9" x14ac:dyDescent="0.3">
      <c r="I49" s="53">
        <f>I48-I44</f>
        <v>41444395.633099973</v>
      </c>
    </row>
  </sheetData>
  <mergeCells count="16">
    <mergeCell ref="J16:K16"/>
    <mergeCell ref="D43:E43"/>
    <mergeCell ref="D44:F44"/>
    <mergeCell ref="D39:F39"/>
    <mergeCell ref="D40:E40"/>
    <mergeCell ref="D41:E41"/>
    <mergeCell ref="D42:E42"/>
    <mergeCell ref="A6:C6"/>
    <mergeCell ref="D6:E6"/>
    <mergeCell ref="A1:G1"/>
    <mergeCell ref="A2:G2"/>
    <mergeCell ref="A3:G3"/>
    <mergeCell ref="A4:C4"/>
    <mergeCell ref="D4:E5"/>
    <mergeCell ref="A5:C5"/>
    <mergeCell ref="F4:G6"/>
  </mergeCells>
  <pageMargins left="0.7" right="0.7" top="0.75" bottom="0.75" header="0.3" footer="0.3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APU MORTERO</vt:lpstr>
      <vt:lpstr>APU LAVADO</vt:lpstr>
      <vt:lpstr>APU SELLO VENTANERIA</vt:lpstr>
      <vt:lpstr>APU PINTURA SOL Y LLUVIA</vt:lpstr>
      <vt:lpstr>APU PINTURA INTERIORES</vt:lpstr>
      <vt:lpstr>APU PINTURA KORAZA</vt:lpstr>
      <vt:lpstr>APU GRANIPLAST</vt:lpstr>
      <vt:lpstr>COTIZACIÓN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PC</dc:creator>
  <cp:lastModifiedBy>Andrés Felipe Montoya Osorio</cp:lastModifiedBy>
  <cp:lastPrinted>2025-06-05T19:21:06Z</cp:lastPrinted>
  <dcterms:created xsi:type="dcterms:W3CDTF">2025-04-04T20:06:46Z</dcterms:created>
  <dcterms:modified xsi:type="dcterms:W3CDTF">2025-06-05T19:26:17Z</dcterms:modified>
</cp:coreProperties>
</file>