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9D3DC45E-8DDC-1842-B128-90F31CCBB84A}" xr6:coauthVersionLast="47" xr6:coauthVersionMax="47" xr10:uidLastSave="{00000000-0000-0000-0000-000000000000}"/>
  <bookViews>
    <workbookView xWindow="-11020" yWindow="-28200" windowWidth="51200" windowHeight="28200" tabRatio="855" activeTab="2" xr2:uid="{EE7D0630-27E6-4956-BF3F-6752BA5FDDCB}"/>
  </bookViews>
  <sheets>
    <sheet name="Acta Av Obra 01-nov 2025" sheetId="29" r:id="rId1"/>
    <sheet name="Acta Av Obra 02 - dic 15 2025" sheetId="30" r:id="rId2"/>
    <sheet name="Acta Av Obra 03 - ene 21 2026" sheetId="31" r:id="rId3"/>
    <sheet name="Estado de la Obra" sheetId="27" r:id="rId4"/>
    <sheet name="CO" sheetId="12" r:id="rId5"/>
    <sheet name="CO SIF" sheetId="20" r:id="rId6"/>
    <sheet name="Lavado" sheetId="13" r:id="rId7"/>
    <sheet name="Sellos" sheetId="23" r:id="rId8"/>
    <sheet name="Graniplast" sheetId="22" r:id="rId9"/>
    <sheet name="Pintura" sheetId="24" r:id="rId10"/>
  </sheets>
  <externalReferences>
    <externalReference r:id="rId11"/>
  </externalReferences>
  <definedNames>
    <definedName name="_xlnm.Print_Area" localSheetId="3">'Estado de la Obra'!$A$1:$H$25</definedName>
    <definedName name="_xlnm.Print_Area" localSheetId="8">Graniplast!$A$1:$AB$63</definedName>
    <definedName name="_xlnm.Print_Area" localSheetId="6">Lavado!$A$1:$AB$49</definedName>
    <definedName name="_xlnm.Print_Area" localSheetId="9">Pintura!$A$1:$AI$62</definedName>
    <definedName name="_xlnm.Print_Area" localSheetId="7">Sellos!$A$1:$AD$48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6" i="31" l="1"/>
  <c r="Q25" i="31"/>
  <c r="K22" i="31"/>
  <c r="Q22" i="31" s="1"/>
  <c r="T37" i="31"/>
  <c r="T36" i="31"/>
  <c r="T32" i="31"/>
  <c r="T33" i="31"/>
  <c r="T34" i="31"/>
  <c r="T31" i="31"/>
  <c r="T25" i="31"/>
  <c r="T26" i="31"/>
  <c r="T27" i="31"/>
  <c r="T28" i="31"/>
  <c r="T29" i="31"/>
  <c r="T24" i="31"/>
  <c r="T18" i="31"/>
  <c r="T19" i="31"/>
  <c r="T20" i="31"/>
  <c r="T21" i="31"/>
  <c r="T17" i="31"/>
  <c r="T14" i="31"/>
  <c r="T15" i="31"/>
  <c r="T13" i="31"/>
  <c r="T9" i="31"/>
  <c r="T10" i="31"/>
  <c r="T11" i="31"/>
  <c r="T8" i="31"/>
  <c r="Q17" i="31"/>
  <c r="Y58" i="24"/>
  <c r="Y57" i="24"/>
  <c r="Y56" i="24"/>
  <c r="Y55" i="24"/>
  <c r="AA55" i="24" s="1"/>
  <c r="Y54" i="24"/>
  <c r="AA54" i="24" s="1"/>
  <c r="Y53" i="24"/>
  <c r="AA53" i="24" s="1"/>
  <c r="Y52" i="24"/>
  <c r="AA52" i="24" s="1"/>
  <c r="Y51" i="24"/>
  <c r="AA51" i="24" s="1"/>
  <c r="Y50" i="24"/>
  <c r="AA50" i="24" s="1"/>
  <c r="Y49" i="24"/>
  <c r="AA49" i="24" s="1"/>
  <c r="Y48" i="24"/>
  <c r="AA48" i="24" s="1"/>
  <c r="Y40" i="24"/>
  <c r="AA40" i="24" s="1"/>
  <c r="Y39" i="24"/>
  <c r="Y38" i="24"/>
  <c r="AA38" i="24" s="1"/>
  <c r="Y37" i="24"/>
  <c r="AA37" i="24" s="1"/>
  <c r="Y36" i="24"/>
  <c r="AA36" i="24" s="1"/>
  <c r="Y35" i="24"/>
  <c r="AA35" i="24" s="1"/>
  <c r="Y34" i="24"/>
  <c r="AA34" i="24" s="1"/>
  <c r="Y33" i="24"/>
  <c r="AA33" i="24" s="1"/>
  <c r="Y28" i="24"/>
  <c r="AA28" i="24" s="1"/>
  <c r="Y23" i="24"/>
  <c r="Y22" i="24"/>
  <c r="Y21" i="24"/>
  <c r="Y20" i="24"/>
  <c r="Y19" i="24"/>
  <c r="AA19" i="24" s="1"/>
  <c r="Y18" i="24"/>
  <c r="AA18" i="24" s="1"/>
  <c r="Y13" i="24"/>
  <c r="AA13" i="24" s="1"/>
  <c r="Y12" i="24"/>
  <c r="Y11" i="24"/>
  <c r="Y10" i="24"/>
  <c r="AA22" i="24"/>
  <c r="AA21" i="24"/>
  <c r="AA58" i="24"/>
  <c r="AA57" i="24"/>
  <c r="AA56" i="24"/>
  <c r="AA39" i="24"/>
  <c r="AA23" i="24"/>
  <c r="AA20" i="24"/>
  <c r="AA12" i="24"/>
  <c r="AA11" i="24"/>
  <c r="AA10" i="24"/>
  <c r="W60" i="24"/>
  <c r="X60" i="24" s="1"/>
  <c r="V60" i="24"/>
  <c r="U60" i="24"/>
  <c r="T60" i="24"/>
  <c r="S60" i="24"/>
  <c r="Y15" i="24"/>
  <c r="Z15" i="24" s="1"/>
  <c r="Q13" i="31"/>
  <c r="R13" i="31" s="1"/>
  <c r="S37" i="31"/>
  <c r="R37" i="31"/>
  <c r="S36" i="31"/>
  <c r="S34" i="31"/>
  <c r="R34" i="31"/>
  <c r="S33" i="31"/>
  <c r="S30" i="31" s="1"/>
  <c r="R33" i="31"/>
  <c r="S32" i="31"/>
  <c r="R32" i="31"/>
  <c r="S31" i="31"/>
  <c r="R31" i="31"/>
  <c r="S29" i="31"/>
  <c r="R29" i="31"/>
  <c r="S28" i="31"/>
  <c r="R28" i="31"/>
  <c r="S27" i="31"/>
  <c r="R27" i="31"/>
  <c r="S26" i="31"/>
  <c r="R26" i="31"/>
  <c r="R25" i="31"/>
  <c r="S24" i="31"/>
  <c r="R24" i="31"/>
  <c r="S21" i="31"/>
  <c r="R21" i="31"/>
  <c r="S20" i="31"/>
  <c r="R20" i="31"/>
  <c r="S19" i="31"/>
  <c r="R19" i="31"/>
  <c r="S18" i="31"/>
  <c r="R18" i="31"/>
  <c r="R17" i="31"/>
  <c r="S15" i="31"/>
  <c r="R15" i="31"/>
  <c r="Q14" i="31"/>
  <c r="S14" i="31" s="1"/>
  <c r="S13" i="31"/>
  <c r="S11" i="31"/>
  <c r="R11" i="31"/>
  <c r="S10" i="31"/>
  <c r="R10" i="31"/>
  <c r="S9" i="31"/>
  <c r="R9" i="31"/>
  <c r="S8" i="31"/>
  <c r="S7" i="31" s="1"/>
  <c r="R8" i="31"/>
  <c r="Y12" i="23"/>
  <c r="AA37" i="23"/>
  <c r="AA35" i="23"/>
  <c r="AA34" i="23"/>
  <c r="AA29" i="23"/>
  <c r="AA19" i="23"/>
  <c r="AA10" i="23"/>
  <c r="W41" i="13"/>
  <c r="W40" i="13"/>
  <c r="W39" i="13"/>
  <c r="W38" i="13"/>
  <c r="W37" i="13"/>
  <c r="W36" i="13"/>
  <c r="W35" i="13"/>
  <c r="W34" i="13"/>
  <c r="W29" i="13"/>
  <c r="X29" i="13" s="1"/>
  <c r="Y35" i="23"/>
  <c r="Y36" i="23"/>
  <c r="AA36" i="23" s="1"/>
  <c r="Y37" i="23"/>
  <c r="Y38" i="23"/>
  <c r="AA38" i="23" s="1"/>
  <c r="Y39" i="23"/>
  <c r="AA39" i="23" s="1"/>
  <c r="Y40" i="23"/>
  <c r="AA40" i="23" s="1"/>
  <c r="Y41" i="23"/>
  <c r="AA41" i="23" s="1"/>
  <c r="Y34" i="23"/>
  <c r="Y29" i="23"/>
  <c r="Y20" i="23"/>
  <c r="AA20" i="23" s="1"/>
  <c r="Y21" i="23"/>
  <c r="AA21" i="23" s="1"/>
  <c r="Y22" i="23"/>
  <c r="AA22" i="23" s="1"/>
  <c r="Y23" i="23"/>
  <c r="AA23" i="23" s="1"/>
  <c r="Y24" i="23"/>
  <c r="AA24" i="23" s="1"/>
  <c r="Y19" i="23"/>
  <c r="Y11" i="23"/>
  <c r="AA12" i="23"/>
  <c r="Y13" i="23"/>
  <c r="AA13" i="23" s="1"/>
  <c r="Y10" i="23"/>
  <c r="V43" i="23"/>
  <c r="V43" i="13"/>
  <c r="V31" i="13"/>
  <c r="V26" i="13"/>
  <c r="U35" i="13"/>
  <c r="U36" i="13"/>
  <c r="U37" i="13"/>
  <c r="U38" i="13"/>
  <c r="U39" i="13"/>
  <c r="U40" i="13"/>
  <c r="U41" i="13"/>
  <c r="U34" i="13"/>
  <c r="U29" i="13"/>
  <c r="S29" i="13"/>
  <c r="U24" i="13"/>
  <c r="U23" i="13"/>
  <c r="U22" i="13"/>
  <c r="U21" i="13"/>
  <c r="U20" i="13"/>
  <c r="U26" i="13" s="1"/>
  <c r="U19" i="13"/>
  <c r="U13" i="13"/>
  <c r="U12" i="13"/>
  <c r="U11" i="13"/>
  <c r="U10" i="13"/>
  <c r="U15" i="13" s="1"/>
  <c r="V15" i="13" s="1"/>
  <c r="O87" i="12"/>
  <c r="N14" i="31"/>
  <c r="P37" i="31"/>
  <c r="O37" i="31"/>
  <c r="P36" i="31"/>
  <c r="P35" i="31" s="1"/>
  <c r="O36" i="31"/>
  <c r="P34" i="31"/>
  <c r="O34" i="31"/>
  <c r="P33" i="31"/>
  <c r="O33" i="31"/>
  <c r="P32" i="31"/>
  <c r="O32" i="31"/>
  <c r="P31" i="31"/>
  <c r="P29" i="31"/>
  <c r="P28" i="31"/>
  <c r="P27" i="31"/>
  <c r="P26" i="31"/>
  <c r="P24" i="31"/>
  <c r="P22" i="31"/>
  <c r="P21" i="31"/>
  <c r="P20" i="31"/>
  <c r="P19" i="31"/>
  <c r="P18" i="31"/>
  <c r="P15" i="31"/>
  <c r="O15" i="31"/>
  <c r="P14" i="31"/>
  <c r="P11" i="31"/>
  <c r="O11" i="31"/>
  <c r="P10" i="31"/>
  <c r="O10" i="31"/>
  <c r="P9" i="31"/>
  <c r="O9" i="31"/>
  <c r="P8" i="31"/>
  <c r="O8" i="31"/>
  <c r="S35" i="31" l="1"/>
  <c r="S22" i="31"/>
  <c r="R22" i="31"/>
  <c r="T22" i="31"/>
  <c r="S12" i="31"/>
  <c r="Y42" i="24"/>
  <c r="Z42" i="24" s="1"/>
  <c r="Y60" i="24"/>
  <c r="Z60" i="24" s="1"/>
  <c r="Y25" i="24"/>
  <c r="Z25" i="24" s="1"/>
  <c r="S17" i="31"/>
  <c r="S16" i="31" s="1"/>
  <c r="S25" i="31"/>
  <c r="S23" i="31" s="1"/>
  <c r="R14" i="31"/>
  <c r="P30" i="31"/>
  <c r="Y43" i="23"/>
  <c r="Z43" i="23" s="1"/>
  <c r="Y15" i="23"/>
  <c r="Z15" i="23" s="1"/>
  <c r="AA11" i="23"/>
  <c r="Y26" i="23"/>
  <c r="Z26" i="23" s="1"/>
  <c r="U43" i="13"/>
  <c r="U31" i="13"/>
  <c r="P7" i="31"/>
  <c r="Y30" i="24" l="1"/>
  <c r="Z30" i="24" s="1"/>
  <c r="S38" i="31"/>
  <c r="S41" i="31" s="1"/>
  <c r="S43" i="31" s="1"/>
  <c r="S39" i="31"/>
  <c r="Y31" i="23"/>
  <c r="Z31" i="23" s="1"/>
  <c r="U58" i="24"/>
  <c r="U57" i="24"/>
  <c r="U56" i="24"/>
  <c r="U55" i="24"/>
  <c r="U54" i="24"/>
  <c r="U53" i="24"/>
  <c r="U52" i="24"/>
  <c r="U51" i="24"/>
  <c r="U50" i="24"/>
  <c r="U49" i="24"/>
  <c r="U48" i="24"/>
  <c r="S58" i="24"/>
  <c r="S57" i="24"/>
  <c r="S56" i="24"/>
  <c r="S55" i="24"/>
  <c r="S54" i="24"/>
  <c r="S53" i="24"/>
  <c r="S52" i="24"/>
  <c r="S51" i="24"/>
  <c r="S50" i="24"/>
  <c r="S49" i="24"/>
  <c r="S48" i="24"/>
  <c r="W29" i="22"/>
  <c r="W20" i="22"/>
  <c r="W21" i="22"/>
  <c r="W22" i="22"/>
  <c r="W23" i="22"/>
  <c r="W24" i="22"/>
  <c r="W19" i="22"/>
  <c r="W11" i="22"/>
  <c r="W12" i="22"/>
  <c r="W13" i="22"/>
  <c r="W10" i="22"/>
  <c r="AC26" i="22"/>
  <c r="U34" i="22"/>
  <c r="U43" i="22" s="1"/>
  <c r="U35" i="22"/>
  <c r="U36" i="22"/>
  <c r="U37" i="22"/>
  <c r="U38" i="22"/>
  <c r="U39" i="22"/>
  <c r="U40" i="22"/>
  <c r="U19" i="22"/>
  <c r="U20" i="22"/>
  <c r="AC20" i="22" s="1"/>
  <c r="AD20" i="22" s="1"/>
  <c r="U21" i="22"/>
  <c r="AC21" i="22" s="1"/>
  <c r="AD21" i="22" s="1"/>
  <c r="U22" i="22"/>
  <c r="AC22" i="22" s="1"/>
  <c r="AD22" i="22" s="1"/>
  <c r="U23" i="22"/>
  <c r="U41" i="22"/>
  <c r="U29" i="22"/>
  <c r="U31" i="22" s="1"/>
  <c r="U24" i="22"/>
  <c r="AC24" i="22" s="1"/>
  <c r="AD24" i="22" s="1"/>
  <c r="U10" i="22"/>
  <c r="U11" i="22"/>
  <c r="AC11" i="22" s="1"/>
  <c r="AD11" i="22" s="1"/>
  <c r="U12" i="22"/>
  <c r="U13" i="22"/>
  <c r="AC23" i="22"/>
  <c r="AD23" i="22" s="1"/>
  <c r="AC41" i="22"/>
  <c r="AC12" i="22"/>
  <c r="AD12" i="22" s="1"/>
  <c r="AC13" i="22"/>
  <c r="AD13" i="22" s="1"/>
  <c r="D11" i="27"/>
  <c r="AG19" i="23"/>
  <c r="W35" i="23"/>
  <c r="W37" i="23"/>
  <c r="W39" i="23"/>
  <c r="W41" i="23"/>
  <c r="W19" i="23"/>
  <c r="W20" i="23"/>
  <c r="AG20" i="23" s="1"/>
  <c r="W21" i="23"/>
  <c r="AG21" i="23" s="1"/>
  <c r="W22" i="23"/>
  <c r="AG22" i="23" s="1"/>
  <c r="W23" i="23"/>
  <c r="AG23" i="23" s="1"/>
  <c r="W12" i="23"/>
  <c r="W13" i="23"/>
  <c r="U37" i="31"/>
  <c r="M37" i="31"/>
  <c r="L37" i="31"/>
  <c r="J37" i="31"/>
  <c r="I37" i="31"/>
  <c r="G37" i="31"/>
  <c r="V36" i="31"/>
  <c r="M36" i="31"/>
  <c r="L36" i="31"/>
  <c r="J36" i="31"/>
  <c r="I36" i="31"/>
  <c r="G36" i="31"/>
  <c r="V34" i="31"/>
  <c r="M34" i="31"/>
  <c r="L34" i="31"/>
  <c r="J34" i="31"/>
  <c r="I34" i="31"/>
  <c r="G34" i="31"/>
  <c r="V33" i="31"/>
  <c r="M33" i="31"/>
  <c r="L33" i="31"/>
  <c r="J33" i="31"/>
  <c r="I33" i="31"/>
  <c r="G33" i="31"/>
  <c r="V32" i="31"/>
  <c r="M32" i="31"/>
  <c r="L32" i="31"/>
  <c r="J32" i="31"/>
  <c r="I32" i="31"/>
  <c r="G32" i="31"/>
  <c r="V31" i="31"/>
  <c r="M31" i="31"/>
  <c r="J31" i="31"/>
  <c r="E31" i="31"/>
  <c r="V29" i="31"/>
  <c r="M29" i="31"/>
  <c r="J29" i="31"/>
  <c r="E29" i="31"/>
  <c r="M28" i="31"/>
  <c r="J28" i="31"/>
  <c r="E28" i="31"/>
  <c r="V27" i="31"/>
  <c r="M27" i="31"/>
  <c r="J27" i="31"/>
  <c r="E27" i="31"/>
  <c r="V26" i="31"/>
  <c r="M26" i="31"/>
  <c r="J26" i="31"/>
  <c r="E26" i="31"/>
  <c r="J25" i="31"/>
  <c r="E25" i="31"/>
  <c r="V24" i="31"/>
  <c r="M24" i="31"/>
  <c r="J24" i="31"/>
  <c r="E24" i="31"/>
  <c r="J22" i="31"/>
  <c r="E22" i="31"/>
  <c r="V21" i="31"/>
  <c r="M21" i="31"/>
  <c r="J21" i="31"/>
  <c r="E21" i="31"/>
  <c r="V20" i="31"/>
  <c r="M20" i="31"/>
  <c r="J20" i="31"/>
  <c r="E20" i="31"/>
  <c r="V19" i="31"/>
  <c r="M19" i="31"/>
  <c r="J19" i="31"/>
  <c r="E19" i="31"/>
  <c r="V18" i="31"/>
  <c r="M18" i="31"/>
  <c r="J18" i="31"/>
  <c r="E18" i="31"/>
  <c r="J17" i="31"/>
  <c r="E17" i="31"/>
  <c r="U15" i="31"/>
  <c r="M15" i="31"/>
  <c r="L15" i="31"/>
  <c r="J15" i="31"/>
  <c r="I15" i="31"/>
  <c r="G15" i="31"/>
  <c r="V14" i="31"/>
  <c r="M14" i="31"/>
  <c r="J14" i="31"/>
  <c r="M13" i="31"/>
  <c r="J13" i="31"/>
  <c r="E13" i="31"/>
  <c r="V11" i="31"/>
  <c r="M11" i="31"/>
  <c r="L11" i="31"/>
  <c r="J11" i="31"/>
  <c r="I11" i="31"/>
  <c r="G11" i="31"/>
  <c r="U10" i="31"/>
  <c r="M10" i="31"/>
  <c r="L10" i="31"/>
  <c r="J10" i="31"/>
  <c r="I10" i="31"/>
  <c r="G10" i="31"/>
  <c r="V9" i="31"/>
  <c r="M9" i="31"/>
  <c r="L9" i="31"/>
  <c r="J9" i="31"/>
  <c r="I9" i="31"/>
  <c r="G9" i="31"/>
  <c r="U8" i="31"/>
  <c r="M8" i="31"/>
  <c r="L8" i="31"/>
  <c r="J8" i="31"/>
  <c r="I8" i="31"/>
  <c r="G8" i="31"/>
  <c r="M35" i="30"/>
  <c r="M30" i="30"/>
  <c r="P30" i="30"/>
  <c r="M12" i="30"/>
  <c r="N8" i="30"/>
  <c r="O8" i="30" s="1"/>
  <c r="N9" i="30"/>
  <c r="N10" i="30"/>
  <c r="P10" i="30" s="1"/>
  <c r="N11" i="30"/>
  <c r="O11" i="30" s="1"/>
  <c r="N12" i="30"/>
  <c r="N13" i="30"/>
  <c r="P13" i="30" s="1"/>
  <c r="N14" i="30"/>
  <c r="O14" i="30" s="1"/>
  <c r="N15" i="30"/>
  <c r="P15" i="30" s="1"/>
  <c r="N16" i="30"/>
  <c r="N18" i="30"/>
  <c r="O18" i="30" s="1"/>
  <c r="N19" i="30"/>
  <c r="O19" i="30" s="1"/>
  <c r="N20" i="30"/>
  <c r="N21" i="30"/>
  <c r="N23" i="30"/>
  <c r="N24" i="30"/>
  <c r="P24" i="30" s="1"/>
  <c r="N26" i="30"/>
  <c r="P26" i="30" s="1"/>
  <c r="N27" i="30"/>
  <c r="P27" i="30" s="1"/>
  <c r="N28" i="30"/>
  <c r="P28" i="30" s="1"/>
  <c r="N29" i="30"/>
  <c r="P29" i="30" s="1"/>
  <c r="N31" i="30"/>
  <c r="P31" i="30" s="1"/>
  <c r="N32" i="30"/>
  <c r="N33" i="30"/>
  <c r="P33" i="30" s="1"/>
  <c r="N34" i="30"/>
  <c r="N35" i="30"/>
  <c r="N36" i="30"/>
  <c r="N37" i="30"/>
  <c r="N7" i="30"/>
  <c r="P37" i="30"/>
  <c r="O37" i="30"/>
  <c r="P36" i="30"/>
  <c r="O36" i="30"/>
  <c r="P35" i="30"/>
  <c r="P34" i="30"/>
  <c r="O34" i="30"/>
  <c r="P32" i="30"/>
  <c r="O32" i="30"/>
  <c r="P21" i="30"/>
  <c r="P20" i="30"/>
  <c r="P19" i="30"/>
  <c r="P18" i="30"/>
  <c r="P9" i="30"/>
  <c r="O9" i="30"/>
  <c r="P8" i="30"/>
  <c r="M37" i="30"/>
  <c r="L37" i="30"/>
  <c r="M36" i="30"/>
  <c r="L36" i="30"/>
  <c r="M34" i="30"/>
  <c r="L34" i="30"/>
  <c r="M33" i="30"/>
  <c r="L33" i="30"/>
  <c r="M32" i="30"/>
  <c r="L32" i="30"/>
  <c r="M31" i="30"/>
  <c r="L31" i="30"/>
  <c r="M29" i="30"/>
  <c r="L29" i="30"/>
  <c r="M28" i="30"/>
  <c r="M27" i="30"/>
  <c r="L27" i="30"/>
  <c r="M26" i="30"/>
  <c r="M24" i="30"/>
  <c r="M21" i="30"/>
  <c r="M20" i="30"/>
  <c r="M19" i="30"/>
  <c r="L19" i="30"/>
  <c r="M18" i="30"/>
  <c r="L18" i="30"/>
  <c r="M15" i="30"/>
  <c r="L15" i="30"/>
  <c r="M14" i="30"/>
  <c r="M13" i="30"/>
  <c r="M11" i="30"/>
  <c r="L11" i="30"/>
  <c r="M10" i="30"/>
  <c r="L10" i="30"/>
  <c r="M9" i="30"/>
  <c r="L9" i="30"/>
  <c r="M8" i="30"/>
  <c r="M7" i="30" s="1"/>
  <c r="L8" i="30"/>
  <c r="J37" i="30"/>
  <c r="J35" i="30" s="1"/>
  <c r="I37" i="30"/>
  <c r="G37" i="30"/>
  <c r="J36" i="30"/>
  <c r="I36" i="30"/>
  <c r="G36" i="30"/>
  <c r="J34" i="30"/>
  <c r="I34" i="30"/>
  <c r="G34" i="30"/>
  <c r="J33" i="30"/>
  <c r="I33" i="30"/>
  <c r="G33" i="30"/>
  <c r="J32" i="30"/>
  <c r="I32" i="30"/>
  <c r="G32" i="30"/>
  <c r="J31" i="30"/>
  <c r="J30" i="30" s="1"/>
  <c r="E31" i="30"/>
  <c r="G31" i="30" s="1"/>
  <c r="J29" i="30"/>
  <c r="E29" i="30"/>
  <c r="I29" i="30" s="1"/>
  <c r="J28" i="30"/>
  <c r="E28" i="30"/>
  <c r="I28" i="30" s="1"/>
  <c r="J27" i="30"/>
  <c r="I27" i="30"/>
  <c r="G27" i="30"/>
  <c r="E27" i="30"/>
  <c r="J26" i="30"/>
  <c r="E26" i="30"/>
  <c r="G26" i="30" s="1"/>
  <c r="J25" i="30"/>
  <c r="E25" i="30"/>
  <c r="I25" i="30" s="1"/>
  <c r="J24" i="30"/>
  <c r="E24" i="30"/>
  <c r="I24" i="30" s="1"/>
  <c r="J22" i="30"/>
  <c r="I22" i="30"/>
  <c r="E22" i="30"/>
  <c r="G22" i="30" s="1"/>
  <c r="J21" i="30"/>
  <c r="E21" i="30"/>
  <c r="L21" i="30" s="1"/>
  <c r="J20" i="30"/>
  <c r="E20" i="30"/>
  <c r="I20" i="30" s="1"/>
  <c r="J19" i="30"/>
  <c r="E19" i="30"/>
  <c r="I19" i="30" s="1"/>
  <c r="J18" i="30"/>
  <c r="E18" i="30"/>
  <c r="G18" i="30" s="1"/>
  <c r="J17" i="30"/>
  <c r="J16" i="30" s="1"/>
  <c r="I17" i="30"/>
  <c r="E17" i="30"/>
  <c r="J15" i="30"/>
  <c r="I15" i="30"/>
  <c r="G15" i="30"/>
  <c r="J14" i="30"/>
  <c r="E14" i="30"/>
  <c r="I14" i="30" s="1"/>
  <c r="J13" i="30"/>
  <c r="J12" i="30" s="1"/>
  <c r="E13" i="30"/>
  <c r="I13" i="30" s="1"/>
  <c r="J11" i="30"/>
  <c r="I11" i="30"/>
  <c r="G11" i="30"/>
  <c r="J10" i="30"/>
  <c r="I10" i="30"/>
  <c r="G10" i="30"/>
  <c r="J9" i="30"/>
  <c r="I9" i="30"/>
  <c r="G9" i="30"/>
  <c r="J8" i="30"/>
  <c r="I8" i="30"/>
  <c r="G8" i="30"/>
  <c r="J37" i="29"/>
  <c r="J35" i="29" s="1"/>
  <c r="I37" i="29"/>
  <c r="G37" i="29"/>
  <c r="G35" i="29" s="1"/>
  <c r="J36" i="29"/>
  <c r="I36" i="29"/>
  <c r="G36" i="29"/>
  <c r="J34" i="29"/>
  <c r="I34" i="29"/>
  <c r="G34" i="29"/>
  <c r="J33" i="29"/>
  <c r="I33" i="29"/>
  <c r="G33" i="29"/>
  <c r="J32" i="29"/>
  <c r="I32" i="29"/>
  <c r="G32" i="29"/>
  <c r="G30" i="29" s="1"/>
  <c r="J31" i="29"/>
  <c r="J30" i="29" s="1"/>
  <c r="I31" i="29"/>
  <c r="G31" i="29"/>
  <c r="E31" i="29"/>
  <c r="J29" i="29"/>
  <c r="I29" i="29"/>
  <c r="E29" i="29"/>
  <c r="G29" i="29" s="1"/>
  <c r="J28" i="29"/>
  <c r="E28" i="29"/>
  <c r="I28" i="29" s="1"/>
  <c r="J27" i="29"/>
  <c r="E27" i="29"/>
  <c r="I27" i="29" s="1"/>
  <c r="J26" i="29"/>
  <c r="E26" i="29"/>
  <c r="I26" i="29" s="1"/>
  <c r="J25" i="29"/>
  <c r="I25" i="29"/>
  <c r="E25" i="29"/>
  <c r="G25" i="29" s="1"/>
  <c r="J24" i="29"/>
  <c r="E24" i="29"/>
  <c r="I24" i="29" s="1"/>
  <c r="J23" i="29"/>
  <c r="J22" i="29"/>
  <c r="I22" i="29"/>
  <c r="G22" i="29"/>
  <c r="E22" i="29"/>
  <c r="J21" i="29"/>
  <c r="E21" i="29"/>
  <c r="I21" i="29" s="1"/>
  <c r="J20" i="29"/>
  <c r="E20" i="29"/>
  <c r="I20" i="29" s="1"/>
  <c r="J19" i="29"/>
  <c r="E19" i="29"/>
  <c r="I19" i="29" s="1"/>
  <c r="J18" i="29"/>
  <c r="I18" i="29"/>
  <c r="G18" i="29"/>
  <c r="E18" i="29"/>
  <c r="J17" i="29"/>
  <c r="J16" i="29" s="1"/>
  <c r="E17" i="29"/>
  <c r="I17" i="29" s="1"/>
  <c r="J15" i="29"/>
  <c r="I15" i="29"/>
  <c r="G15" i="29"/>
  <c r="J14" i="29"/>
  <c r="E14" i="29"/>
  <c r="G14" i="29" s="1"/>
  <c r="G12" i="29" s="1"/>
  <c r="J13" i="29"/>
  <c r="J12" i="29" s="1"/>
  <c r="I13" i="29"/>
  <c r="G13" i="29"/>
  <c r="E13" i="29"/>
  <c r="J11" i="29"/>
  <c r="I11" i="29"/>
  <c r="G11" i="29"/>
  <c r="J10" i="29"/>
  <c r="I10" i="29"/>
  <c r="G10" i="29"/>
  <c r="J9" i="29"/>
  <c r="I9" i="29"/>
  <c r="G9" i="29"/>
  <c r="J8" i="29"/>
  <c r="J7" i="29" s="1"/>
  <c r="I8" i="29"/>
  <c r="G8" i="29"/>
  <c r="G7" i="29" s="1"/>
  <c r="S40" i="31" l="1"/>
  <c r="S42" i="31"/>
  <c r="S44" i="31"/>
  <c r="S45" i="31"/>
  <c r="L20" i="31"/>
  <c r="O20" i="31"/>
  <c r="G31" i="31"/>
  <c r="G30" i="31" s="1"/>
  <c r="O31" i="31"/>
  <c r="E14" i="31"/>
  <c r="O14" i="31" s="1"/>
  <c r="I25" i="31"/>
  <c r="I26" i="31"/>
  <c r="O26" i="31"/>
  <c r="M12" i="31"/>
  <c r="L21" i="31"/>
  <c r="O21" i="31"/>
  <c r="G27" i="31"/>
  <c r="O27" i="31"/>
  <c r="G13" i="31"/>
  <c r="L18" i="31"/>
  <c r="O18" i="31"/>
  <c r="I22" i="31"/>
  <c r="O22" i="31"/>
  <c r="J12" i="31"/>
  <c r="L29" i="31"/>
  <c r="O29" i="31"/>
  <c r="L28" i="31"/>
  <c r="O28" i="31"/>
  <c r="L19" i="31"/>
  <c r="O19" i="31"/>
  <c r="L24" i="31"/>
  <c r="O24" i="31"/>
  <c r="U21" i="31"/>
  <c r="J16" i="31"/>
  <c r="J30" i="31"/>
  <c r="M35" i="31"/>
  <c r="I27" i="31"/>
  <c r="L27" i="31"/>
  <c r="G35" i="31"/>
  <c r="U11" i="31"/>
  <c r="U9" i="31"/>
  <c r="U19" i="31"/>
  <c r="V37" i="31"/>
  <c r="V35" i="31" s="1"/>
  <c r="V30" i="31" s="1"/>
  <c r="U28" i="31"/>
  <c r="V28" i="31"/>
  <c r="G29" i="31"/>
  <c r="L31" i="31"/>
  <c r="M30" i="31"/>
  <c r="J23" i="31"/>
  <c r="V15" i="31"/>
  <c r="G7" i="31"/>
  <c r="J7" i="31"/>
  <c r="G18" i="31"/>
  <c r="I29" i="31"/>
  <c r="J35" i="31"/>
  <c r="I18" i="31"/>
  <c r="I31" i="31"/>
  <c r="M7" i="31"/>
  <c r="AC29" i="22"/>
  <c r="U26" i="22"/>
  <c r="V26" i="22" s="1"/>
  <c r="AC19" i="22"/>
  <c r="AD19" i="22" s="1"/>
  <c r="V43" i="22"/>
  <c r="V31" i="22"/>
  <c r="AD41" i="22"/>
  <c r="AD26" i="22"/>
  <c r="U15" i="22"/>
  <c r="V15" i="22" s="1"/>
  <c r="AC10" i="22"/>
  <c r="AD10" i="22" s="1"/>
  <c r="G14" i="31"/>
  <c r="L14" i="31"/>
  <c r="I14" i="31"/>
  <c r="U29" i="31"/>
  <c r="V8" i="31"/>
  <c r="V10" i="31"/>
  <c r="I13" i="31"/>
  <c r="U20" i="31"/>
  <c r="G28" i="31"/>
  <c r="G19" i="31"/>
  <c r="U24" i="31"/>
  <c r="L26" i="31"/>
  <c r="I28" i="31"/>
  <c r="U36" i="31"/>
  <c r="L13" i="31"/>
  <c r="I19" i="31"/>
  <c r="G21" i="31"/>
  <c r="I21" i="31"/>
  <c r="G25" i="31"/>
  <c r="U26" i="31"/>
  <c r="U32" i="31"/>
  <c r="U34" i="31"/>
  <c r="G20" i="31"/>
  <c r="I20" i="31"/>
  <c r="G24" i="31"/>
  <c r="G22" i="31"/>
  <c r="I24" i="31"/>
  <c r="U31" i="31"/>
  <c r="U33" i="31"/>
  <c r="U27" i="31"/>
  <c r="U14" i="31"/>
  <c r="G17" i="31"/>
  <c r="U18" i="31"/>
  <c r="G26" i="31"/>
  <c r="I17" i="31"/>
  <c r="O15" i="30"/>
  <c r="P14" i="30"/>
  <c r="P12" i="30" s="1"/>
  <c r="O10" i="30"/>
  <c r="P11" i="30"/>
  <c r="P7" i="30"/>
  <c r="O27" i="30"/>
  <c r="O33" i="30"/>
  <c r="L13" i="30"/>
  <c r="G21" i="30"/>
  <c r="L14" i="30"/>
  <c r="O28" i="30"/>
  <c r="I21" i="30"/>
  <c r="O20" i="30"/>
  <c r="O29" i="30"/>
  <c r="L24" i="30"/>
  <c r="J7" i="30"/>
  <c r="G35" i="30"/>
  <c r="O21" i="30"/>
  <c r="J23" i="30"/>
  <c r="G7" i="30"/>
  <c r="G30" i="30"/>
  <c r="L26" i="30"/>
  <c r="O13" i="30"/>
  <c r="G17" i="30"/>
  <c r="I31" i="30"/>
  <c r="O31" i="30"/>
  <c r="L28" i="30"/>
  <c r="O24" i="30"/>
  <c r="I18" i="30"/>
  <c r="L20" i="30"/>
  <c r="O26" i="30"/>
  <c r="J38" i="30"/>
  <c r="G19" i="30"/>
  <c r="I26" i="30"/>
  <c r="G14" i="30"/>
  <c r="G13" i="30"/>
  <c r="G12" i="30" s="1"/>
  <c r="G24" i="30"/>
  <c r="G28" i="30"/>
  <c r="G20" i="30"/>
  <c r="G25" i="30"/>
  <c r="G29" i="30"/>
  <c r="J38" i="29"/>
  <c r="G19" i="29"/>
  <c r="G27" i="29"/>
  <c r="G21" i="29"/>
  <c r="G26" i="29"/>
  <c r="I14" i="29"/>
  <c r="G17" i="29"/>
  <c r="G24" i="29"/>
  <c r="G28" i="29"/>
  <c r="G20" i="29"/>
  <c r="S47" i="31" l="1"/>
  <c r="S46" i="31"/>
  <c r="S48" i="31" s="1"/>
  <c r="G12" i="31"/>
  <c r="V7" i="31"/>
  <c r="J38" i="31"/>
  <c r="J41" i="31" s="1"/>
  <c r="J43" i="31" s="1"/>
  <c r="G23" i="31"/>
  <c r="AD29" i="22"/>
  <c r="AC31" i="22"/>
  <c r="AD31" i="22" s="1"/>
  <c r="G16" i="31"/>
  <c r="G16" i="30"/>
  <c r="G23" i="30"/>
  <c r="G38" i="30" s="1"/>
  <c r="J41" i="30"/>
  <c r="J43" i="30" s="1"/>
  <c r="J40" i="30"/>
  <c r="J39" i="30"/>
  <c r="G23" i="29"/>
  <c r="G16" i="29"/>
  <c r="J40" i="29"/>
  <c r="J39" i="29"/>
  <c r="J41" i="29"/>
  <c r="J43" i="29" s="1"/>
  <c r="J39" i="31" l="1"/>
  <c r="J40" i="31"/>
  <c r="G38" i="31"/>
  <c r="G41" i="31" s="1"/>
  <c r="G43" i="31" s="1"/>
  <c r="J42" i="30"/>
  <c r="G41" i="30"/>
  <c r="G43" i="30" s="1"/>
  <c r="G40" i="30"/>
  <c r="G39" i="30"/>
  <c r="G42" i="30"/>
  <c r="G44" i="30" s="1"/>
  <c r="E48" i="30" s="1"/>
  <c r="E49" i="30" s="1"/>
  <c r="J44" i="30"/>
  <c r="J45" i="30"/>
  <c r="J42" i="29"/>
  <c r="G38" i="29"/>
  <c r="J42" i="31" l="1"/>
  <c r="J45" i="31" s="1"/>
  <c r="J44" i="31"/>
  <c r="J47" i="31" s="1"/>
  <c r="G39" i="31"/>
  <c r="G40" i="31"/>
  <c r="E52" i="30"/>
  <c r="E53" i="30" s="1"/>
  <c r="J47" i="30"/>
  <c r="J46" i="30"/>
  <c r="E50" i="30" s="1"/>
  <c r="E51" i="30" s="1"/>
  <c r="J44" i="29"/>
  <c r="J45" i="29"/>
  <c r="G41" i="29"/>
  <c r="G43" i="29" s="1"/>
  <c r="G40" i="29"/>
  <c r="G39" i="29"/>
  <c r="G42" i="29"/>
  <c r="G44" i="29" s="1"/>
  <c r="E48" i="29" s="1"/>
  <c r="E49" i="29" s="1"/>
  <c r="G42" i="31" l="1"/>
  <c r="G44" i="31" s="1"/>
  <c r="E48" i="31" s="1"/>
  <c r="E52" i="31"/>
  <c r="E53" i="31" s="1"/>
  <c r="J46" i="31"/>
  <c r="J48" i="30"/>
  <c r="E51" i="29"/>
  <c r="E52" i="29"/>
  <c r="E53" i="29" s="1"/>
  <c r="J47" i="29"/>
  <c r="J48" i="29" s="1"/>
  <c r="J46" i="29"/>
  <c r="E50" i="29" s="1"/>
  <c r="E49" i="31" l="1"/>
  <c r="E50" i="31"/>
  <c r="E51" i="31" s="1"/>
  <c r="J48" i="31"/>
  <c r="D13" i="27"/>
  <c r="D15" i="27"/>
  <c r="S40" i="22"/>
  <c r="S39" i="22"/>
  <c r="S38" i="22"/>
  <c r="S37" i="22"/>
  <c r="S36" i="22"/>
  <c r="S35" i="22"/>
  <c r="S34" i="22"/>
  <c r="U20" i="23"/>
  <c r="U21" i="23"/>
  <c r="U23" i="23"/>
  <c r="U12" i="23"/>
  <c r="U13" i="23"/>
  <c r="U41" i="23"/>
  <c r="U40" i="23"/>
  <c r="U39" i="23"/>
  <c r="U38" i="23"/>
  <c r="U37" i="23"/>
  <c r="U36" i="23"/>
  <c r="U35" i="23"/>
  <c r="U34" i="23"/>
  <c r="U39" i="24"/>
  <c r="U38" i="24"/>
  <c r="U37" i="24"/>
  <c r="U36" i="24"/>
  <c r="U35" i="24"/>
  <c r="U34" i="24"/>
  <c r="U33" i="24"/>
  <c r="H21" i="27"/>
  <c r="J21" i="27" s="1"/>
  <c r="H23" i="27"/>
  <c r="J23" i="27" s="1"/>
  <c r="Q20" i="23"/>
  <c r="Q21" i="23"/>
  <c r="Q23" i="23"/>
  <c r="S41" i="23"/>
  <c r="S40" i="23"/>
  <c r="S39" i="23"/>
  <c r="S38" i="23"/>
  <c r="S37" i="23"/>
  <c r="S36" i="23"/>
  <c r="S35" i="23"/>
  <c r="S34" i="23"/>
  <c r="S29" i="23"/>
  <c r="S24" i="23"/>
  <c r="S23" i="23"/>
  <c r="S22" i="23"/>
  <c r="S21" i="23"/>
  <c r="S20" i="23"/>
  <c r="S19" i="23"/>
  <c r="S13" i="23"/>
  <c r="S12" i="23"/>
  <c r="S11" i="23"/>
  <c r="S10" i="23"/>
  <c r="S15" i="23" s="1"/>
  <c r="Q41" i="23"/>
  <c r="Q40" i="23"/>
  <c r="Q39" i="23"/>
  <c r="Q38" i="23"/>
  <c r="Q37" i="23"/>
  <c r="Q36" i="23"/>
  <c r="Q35" i="23"/>
  <c r="Q34" i="23"/>
  <c r="Q29" i="23"/>
  <c r="Q13" i="23"/>
  <c r="Q12" i="23"/>
  <c r="Q11" i="23"/>
  <c r="Q10" i="23"/>
  <c r="O41" i="23"/>
  <c r="O40" i="23"/>
  <c r="O39" i="23"/>
  <c r="O38" i="23"/>
  <c r="O37" i="23"/>
  <c r="O36" i="23"/>
  <c r="O35" i="23"/>
  <c r="O34" i="23"/>
  <c r="O29" i="23"/>
  <c r="O24" i="23"/>
  <c r="O23" i="23"/>
  <c r="O22" i="23"/>
  <c r="O21" i="23"/>
  <c r="O20" i="23"/>
  <c r="O13" i="23"/>
  <c r="O12" i="23"/>
  <c r="O11" i="23"/>
  <c r="O10" i="23"/>
  <c r="M41" i="23"/>
  <c r="M40" i="23"/>
  <c r="M39" i="23"/>
  <c r="M38" i="23"/>
  <c r="M37" i="23"/>
  <c r="M36" i="23"/>
  <c r="M35" i="23"/>
  <c r="M34" i="23"/>
  <c r="M29" i="23"/>
  <c r="M24" i="23"/>
  <c r="M23" i="23"/>
  <c r="M22" i="23"/>
  <c r="M21" i="23"/>
  <c r="M20" i="23"/>
  <c r="M19" i="23"/>
  <c r="M13" i="23"/>
  <c r="M12" i="23"/>
  <c r="M11" i="23"/>
  <c r="M10" i="23"/>
  <c r="K41" i="23"/>
  <c r="K40" i="23"/>
  <c r="K39" i="23"/>
  <c r="K38" i="23"/>
  <c r="K37" i="23"/>
  <c r="K36" i="23"/>
  <c r="K35" i="23"/>
  <c r="K34" i="23"/>
  <c r="K29" i="23"/>
  <c r="K24" i="23"/>
  <c r="K23" i="23"/>
  <c r="K22" i="23"/>
  <c r="K21" i="23"/>
  <c r="K20" i="23"/>
  <c r="K19" i="23"/>
  <c r="K13" i="23"/>
  <c r="K12" i="23"/>
  <c r="K11" i="23"/>
  <c r="K10" i="23"/>
  <c r="H27" i="27"/>
  <c r="F27" i="27"/>
  <c r="I25" i="27"/>
  <c r="G23" i="27"/>
  <c r="F23" i="27"/>
  <c r="G21" i="27"/>
  <c r="F21" i="27"/>
  <c r="S40" i="24"/>
  <c r="S39" i="24"/>
  <c r="S38" i="24"/>
  <c r="S37" i="24"/>
  <c r="S36" i="24"/>
  <c r="S35" i="24"/>
  <c r="S34" i="24"/>
  <c r="S33" i="24"/>
  <c r="S28" i="24"/>
  <c r="S13" i="24"/>
  <c r="S12" i="24"/>
  <c r="S11" i="24"/>
  <c r="S10" i="24"/>
  <c r="S15" i="24" s="1"/>
  <c r="S43" i="23" l="1"/>
  <c r="O43" i="23"/>
  <c r="M43" i="23"/>
  <c r="AG12" i="23"/>
  <c r="AG13" i="23"/>
  <c r="M15" i="23"/>
  <c r="O15" i="23"/>
  <c r="K15" i="23"/>
  <c r="AE12" i="23"/>
  <c r="K26" i="23"/>
  <c r="K31" i="23" s="1"/>
  <c r="AE21" i="23"/>
  <c r="AE13" i="23"/>
  <c r="AE20" i="23"/>
  <c r="U43" i="23"/>
  <c r="AE23" i="23"/>
  <c r="M26" i="23"/>
  <c r="M31" i="23" s="1"/>
  <c r="Q15" i="23"/>
  <c r="S26" i="23"/>
  <c r="S31" i="23" s="1"/>
  <c r="K43" i="23"/>
  <c r="Q43" i="23"/>
  <c r="S42" i="24"/>
  <c r="Q58" i="24"/>
  <c r="Q57" i="24"/>
  <c r="Q56" i="24"/>
  <c r="Q55" i="24"/>
  <c r="Q54" i="24"/>
  <c r="Q53" i="24"/>
  <c r="Q52" i="24"/>
  <c r="Q51" i="24"/>
  <c r="Q50" i="24"/>
  <c r="Q49" i="24"/>
  <c r="Q48" i="24"/>
  <c r="Q60" i="24" l="1"/>
  <c r="D48" i="24" l="1"/>
  <c r="W48" i="24" s="1"/>
  <c r="D35" i="24"/>
  <c r="W35" i="24" s="1"/>
  <c r="D34" i="24"/>
  <c r="W34" i="24" s="1"/>
  <c r="D23" i="24"/>
  <c r="W23" i="24" s="1"/>
  <c r="AG23" i="24" s="1"/>
  <c r="AH23" i="24" s="1"/>
  <c r="D22" i="24"/>
  <c r="W22" i="24" s="1"/>
  <c r="AG22" i="24" s="1"/>
  <c r="AH22" i="24" s="1"/>
  <c r="D21" i="24"/>
  <c r="D20" i="24"/>
  <c r="W20" i="24" s="1"/>
  <c r="AG20" i="24" s="1"/>
  <c r="AH20" i="24" s="1"/>
  <c r="D19" i="24"/>
  <c r="W19" i="24" s="1"/>
  <c r="AG19" i="24" s="1"/>
  <c r="AH19" i="24" s="1"/>
  <c r="D40" i="23"/>
  <c r="D38" i="23"/>
  <c r="D36" i="23"/>
  <c r="D34" i="23"/>
  <c r="D29" i="23"/>
  <c r="W29" i="23" s="1"/>
  <c r="AG29" i="23" s="1"/>
  <c r="D24" i="23"/>
  <c r="W24" i="23" s="1"/>
  <c r="AG24" i="23" s="1"/>
  <c r="AH24" i="23" s="1"/>
  <c r="D22" i="23"/>
  <c r="AH22" i="23" s="1"/>
  <c r="D19" i="23"/>
  <c r="D20" i="13"/>
  <c r="S20" i="13" s="1"/>
  <c r="AA20" i="13" s="1"/>
  <c r="AB20" i="13" s="1"/>
  <c r="D21" i="13"/>
  <c r="S21" i="13" s="1"/>
  <c r="AA21" i="13" s="1"/>
  <c r="AB21" i="13" s="1"/>
  <c r="D22" i="13"/>
  <c r="S22" i="13" s="1"/>
  <c r="D11" i="23"/>
  <c r="W11" i="23" s="1"/>
  <c r="D10" i="23"/>
  <c r="E41" i="23"/>
  <c r="E39" i="23"/>
  <c r="E35" i="23"/>
  <c r="I23" i="23"/>
  <c r="I21" i="23"/>
  <c r="G20" i="23"/>
  <c r="I13" i="23"/>
  <c r="G13" i="23"/>
  <c r="I12" i="23"/>
  <c r="G12" i="23"/>
  <c r="D49" i="22"/>
  <c r="D59" i="22" s="1"/>
  <c r="D24" i="22"/>
  <c r="S24" i="22" s="1"/>
  <c r="D23" i="22"/>
  <c r="S23" i="22" s="1"/>
  <c r="D22" i="22"/>
  <c r="D21" i="22"/>
  <c r="S21" i="22" s="1"/>
  <c r="D20" i="22"/>
  <c r="S20" i="22" s="1"/>
  <c r="D13" i="22"/>
  <c r="S13" i="22" s="1"/>
  <c r="D82" i="20"/>
  <c r="D80" i="20"/>
  <c r="D79" i="20"/>
  <c r="D78" i="20"/>
  <c r="D51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G3" i="20"/>
  <c r="D39" i="20"/>
  <c r="E39" i="20" s="1"/>
  <c r="D41" i="13" s="1"/>
  <c r="S41" i="13" s="1"/>
  <c r="D38" i="20"/>
  <c r="E38" i="20" s="1"/>
  <c r="D40" i="13" s="1"/>
  <c r="S40" i="13" s="1"/>
  <c r="D37" i="20"/>
  <c r="D36" i="20"/>
  <c r="E36" i="20" s="1"/>
  <c r="D38" i="13" s="1"/>
  <c r="S38" i="13" s="1"/>
  <c r="D35" i="20"/>
  <c r="E35" i="20" s="1"/>
  <c r="D37" i="13" s="1"/>
  <c r="S37" i="13" s="1"/>
  <c r="D34" i="20"/>
  <c r="E34" i="20" s="1"/>
  <c r="D36" i="13" s="1"/>
  <c r="S36" i="13" s="1"/>
  <c r="D33" i="20"/>
  <c r="E33" i="20" s="1"/>
  <c r="D35" i="13" s="1"/>
  <c r="S35" i="13" s="1"/>
  <c r="D32" i="20"/>
  <c r="D26" i="20"/>
  <c r="D20" i="20"/>
  <c r="E20" i="20" s="1"/>
  <c r="D24" i="13" s="1"/>
  <c r="S24" i="13" s="1"/>
  <c r="D18" i="20"/>
  <c r="E18" i="20" s="1"/>
  <c r="D19" i="20"/>
  <c r="E19" i="20" s="1"/>
  <c r="D23" i="13" s="1"/>
  <c r="S23" i="13" s="1"/>
  <c r="AA23" i="13" s="1"/>
  <c r="AB23" i="13" s="1"/>
  <c r="D17" i="20"/>
  <c r="E17" i="20" s="1"/>
  <c r="D16" i="20"/>
  <c r="E16" i="20" s="1"/>
  <c r="D15" i="20"/>
  <c r="D9" i="20"/>
  <c r="E9" i="20" s="1"/>
  <c r="D13" i="13" s="1"/>
  <c r="S13" i="13" s="1"/>
  <c r="AA13" i="13" s="1"/>
  <c r="AB13" i="13" s="1"/>
  <c r="D8" i="20"/>
  <c r="D7" i="20"/>
  <c r="D6" i="20"/>
  <c r="M28" i="12"/>
  <c r="O28" i="12" s="1"/>
  <c r="AH29" i="23" l="1"/>
  <c r="U19" i="23"/>
  <c r="AH19" i="23"/>
  <c r="AA22" i="13"/>
  <c r="AB22" i="13" s="1"/>
  <c r="AA24" i="13"/>
  <c r="AB24" i="13" s="1"/>
  <c r="U21" i="24"/>
  <c r="W21" i="24"/>
  <c r="AG21" i="24" s="1"/>
  <c r="AH21" i="24" s="1"/>
  <c r="I34" i="23"/>
  <c r="W34" i="23"/>
  <c r="I40" i="23"/>
  <c r="W40" i="23"/>
  <c r="I38" i="23"/>
  <c r="W38" i="23"/>
  <c r="I36" i="23"/>
  <c r="W36" i="23"/>
  <c r="W26" i="23"/>
  <c r="W31" i="23"/>
  <c r="U10" i="23"/>
  <c r="W10" i="23"/>
  <c r="W15" i="23" s="1"/>
  <c r="AC12" i="23"/>
  <c r="AC13" i="23"/>
  <c r="K22" i="22"/>
  <c r="S22" i="22"/>
  <c r="S22" i="24"/>
  <c r="U22" i="24"/>
  <c r="Q24" i="23"/>
  <c r="U24" i="23"/>
  <c r="I29" i="23"/>
  <c r="U29" i="23"/>
  <c r="AE29" i="23" s="1"/>
  <c r="D35" i="22"/>
  <c r="E35" i="22" s="1"/>
  <c r="D36" i="22"/>
  <c r="E36" i="22" s="1"/>
  <c r="D36" i="24"/>
  <c r="Q22" i="23"/>
  <c r="U22" i="23"/>
  <c r="D37" i="22"/>
  <c r="O37" i="22" s="1"/>
  <c r="D37" i="24"/>
  <c r="D38" i="22"/>
  <c r="Q38" i="22" s="1"/>
  <c r="I11" i="23"/>
  <c r="U11" i="23"/>
  <c r="D39" i="24"/>
  <c r="S19" i="24"/>
  <c r="U19" i="24"/>
  <c r="S20" i="24"/>
  <c r="U20" i="24"/>
  <c r="S23" i="24"/>
  <c r="U23" i="24"/>
  <c r="D40" i="22"/>
  <c r="I40" i="22" s="1"/>
  <c r="D40" i="24"/>
  <c r="D41" i="22"/>
  <c r="S41" i="22" s="1"/>
  <c r="S43" i="22" s="1"/>
  <c r="D13" i="24"/>
  <c r="O13" i="24" s="1"/>
  <c r="D31" i="23"/>
  <c r="T31" i="23" s="1"/>
  <c r="E22" i="23"/>
  <c r="Q19" i="23"/>
  <c r="O19" i="23"/>
  <c r="E29" i="23"/>
  <c r="O21" i="24"/>
  <c r="S21" i="24"/>
  <c r="G29" i="23"/>
  <c r="D58" i="24"/>
  <c r="K48" i="24"/>
  <c r="M48" i="24"/>
  <c r="O48" i="24"/>
  <c r="O19" i="24"/>
  <c r="K19" i="24"/>
  <c r="Q19" i="24"/>
  <c r="M19" i="24"/>
  <c r="I22" i="24"/>
  <c r="K22" i="24"/>
  <c r="Q22" i="24"/>
  <c r="O22" i="24"/>
  <c r="M22" i="24"/>
  <c r="Q20" i="24"/>
  <c r="O20" i="24"/>
  <c r="M20" i="24"/>
  <c r="K20" i="24"/>
  <c r="AE20" i="24" s="1"/>
  <c r="Q21" i="24"/>
  <c r="M21" i="24"/>
  <c r="K21" i="24"/>
  <c r="Q23" i="24"/>
  <c r="O23" i="24"/>
  <c r="M23" i="24"/>
  <c r="K23" i="24"/>
  <c r="G34" i="24"/>
  <c r="Q34" i="24"/>
  <c r="O34" i="24"/>
  <c r="M34" i="24"/>
  <c r="K34" i="24"/>
  <c r="E35" i="24"/>
  <c r="Q35" i="24"/>
  <c r="K35" i="24"/>
  <c r="O35" i="24"/>
  <c r="M35" i="24"/>
  <c r="E22" i="24"/>
  <c r="E23" i="24"/>
  <c r="E34" i="24"/>
  <c r="I34" i="24"/>
  <c r="G35" i="24"/>
  <c r="I35" i="24"/>
  <c r="G20" i="24"/>
  <c r="I20" i="24"/>
  <c r="E21" i="24"/>
  <c r="G19" i="24"/>
  <c r="E19" i="24"/>
  <c r="I19" i="24"/>
  <c r="D53" i="24"/>
  <c r="W53" i="24" s="1"/>
  <c r="E20" i="24"/>
  <c r="G22" i="24"/>
  <c r="Q13" i="22"/>
  <c r="O13" i="22"/>
  <c r="M13" i="22"/>
  <c r="K13" i="22"/>
  <c r="Q20" i="22"/>
  <c r="O20" i="22"/>
  <c r="M20" i="22"/>
  <c r="K20" i="22"/>
  <c r="O21" i="22"/>
  <c r="M21" i="22"/>
  <c r="K21" i="22"/>
  <c r="Q21" i="22"/>
  <c r="H13" i="22"/>
  <c r="Q22" i="22"/>
  <c r="O22" i="22"/>
  <c r="M22" i="22"/>
  <c r="AA22" i="22" s="1"/>
  <c r="AB22" i="22" s="1"/>
  <c r="Q23" i="22"/>
  <c r="O23" i="22"/>
  <c r="M23" i="22"/>
  <c r="K23" i="22"/>
  <c r="Q24" i="22"/>
  <c r="O24" i="22"/>
  <c r="M24" i="22"/>
  <c r="K24" i="22"/>
  <c r="J13" i="22"/>
  <c r="D54" i="22"/>
  <c r="G54" i="22" s="1"/>
  <c r="I24" i="23"/>
  <c r="E19" i="23"/>
  <c r="K21" i="13"/>
  <c r="Q21" i="13"/>
  <c r="O21" i="13"/>
  <c r="M21" i="13"/>
  <c r="Q20" i="13"/>
  <c r="O20" i="13"/>
  <c r="M20" i="13"/>
  <c r="K20" i="13"/>
  <c r="E35" i="13"/>
  <c r="Q35" i="13"/>
  <c r="O35" i="13"/>
  <c r="M35" i="13"/>
  <c r="K35" i="13"/>
  <c r="I36" i="13"/>
  <c r="Q36" i="13"/>
  <c r="O36" i="13"/>
  <c r="M36" i="13"/>
  <c r="K36" i="13"/>
  <c r="I37" i="13"/>
  <c r="Q37" i="13"/>
  <c r="O37" i="13"/>
  <c r="M37" i="13"/>
  <c r="K37" i="13"/>
  <c r="I38" i="13"/>
  <c r="Q38" i="13"/>
  <c r="O38" i="13"/>
  <c r="M38" i="13"/>
  <c r="K38" i="13"/>
  <c r="Q40" i="13"/>
  <c r="O40" i="13"/>
  <c r="M40" i="13"/>
  <c r="K40" i="13"/>
  <c r="Q41" i="13"/>
  <c r="O41" i="13"/>
  <c r="M41" i="13"/>
  <c r="K41" i="13"/>
  <c r="Q13" i="13"/>
  <c r="O13" i="13"/>
  <c r="M13" i="13"/>
  <c r="K13" i="13"/>
  <c r="Q24" i="13"/>
  <c r="O24" i="13"/>
  <c r="M24" i="13"/>
  <c r="K24" i="13"/>
  <c r="Q22" i="13"/>
  <c r="O22" i="13"/>
  <c r="M22" i="13"/>
  <c r="K22" i="13"/>
  <c r="Q23" i="13"/>
  <c r="O23" i="13"/>
  <c r="M23" i="13"/>
  <c r="K23" i="13"/>
  <c r="I20" i="13"/>
  <c r="G23" i="24"/>
  <c r="G21" i="24"/>
  <c r="I21" i="24"/>
  <c r="D49" i="24"/>
  <c r="W49" i="24" s="1"/>
  <c r="D57" i="24"/>
  <c r="W57" i="24" s="1"/>
  <c r="I23" i="24"/>
  <c r="D51" i="24"/>
  <c r="W51" i="24" s="1"/>
  <c r="D52" i="24"/>
  <c r="W52" i="24" s="1"/>
  <c r="E48" i="24"/>
  <c r="D54" i="24"/>
  <c r="W54" i="24" s="1"/>
  <c r="D55" i="24"/>
  <c r="W55" i="24" s="1"/>
  <c r="G48" i="24"/>
  <c r="D56" i="24"/>
  <c r="W56" i="24" s="1"/>
  <c r="I48" i="24"/>
  <c r="D50" i="24"/>
  <c r="W50" i="24" s="1"/>
  <c r="G41" i="23"/>
  <c r="I41" i="23"/>
  <c r="E36" i="23"/>
  <c r="G36" i="23"/>
  <c r="D15" i="23"/>
  <c r="G39" i="23"/>
  <c r="I10" i="23"/>
  <c r="E24" i="23"/>
  <c r="I39" i="23"/>
  <c r="E21" i="23"/>
  <c r="G21" i="23"/>
  <c r="I22" i="23"/>
  <c r="G22" i="23"/>
  <c r="E37" i="23"/>
  <c r="I37" i="23"/>
  <c r="G37" i="23"/>
  <c r="E10" i="23"/>
  <c r="G10" i="23"/>
  <c r="D26" i="23"/>
  <c r="G19" i="23"/>
  <c r="G24" i="23"/>
  <c r="E34" i="23"/>
  <c r="I19" i="23"/>
  <c r="G34" i="23"/>
  <c r="D43" i="23"/>
  <c r="E40" i="23"/>
  <c r="E43" i="23" s="1"/>
  <c r="F43" i="23" s="1"/>
  <c r="G40" i="23"/>
  <c r="G11" i="23"/>
  <c r="E20" i="23"/>
  <c r="G35" i="23"/>
  <c r="I20" i="23"/>
  <c r="E23" i="23"/>
  <c r="I35" i="23"/>
  <c r="E38" i="23"/>
  <c r="G23" i="23"/>
  <c r="G38" i="23"/>
  <c r="E15" i="22"/>
  <c r="G59" i="22"/>
  <c r="E59" i="22"/>
  <c r="I59" i="22"/>
  <c r="G26" i="22"/>
  <c r="I15" i="22"/>
  <c r="I49" i="22"/>
  <c r="D55" i="22"/>
  <c r="D50" i="22"/>
  <c r="I50" i="22" s="1"/>
  <c r="D56" i="22"/>
  <c r="D57" i="22"/>
  <c r="E49" i="22"/>
  <c r="G49" i="22"/>
  <c r="I26" i="22"/>
  <c r="D58" i="22"/>
  <c r="D53" i="22"/>
  <c r="I53" i="22" s="1"/>
  <c r="D52" i="22"/>
  <c r="I52" i="22" s="1"/>
  <c r="D51" i="22"/>
  <c r="I51" i="22" s="1"/>
  <c r="I41" i="13"/>
  <c r="G41" i="13"/>
  <c r="E41" i="13"/>
  <c r="E40" i="13"/>
  <c r="I40" i="13"/>
  <c r="G40" i="13"/>
  <c r="G36" i="13"/>
  <c r="E36" i="13"/>
  <c r="G37" i="13"/>
  <c r="E37" i="13"/>
  <c r="G35" i="13"/>
  <c r="I35" i="13"/>
  <c r="E38" i="13"/>
  <c r="G38" i="13"/>
  <c r="E20" i="13"/>
  <c r="G20" i="13"/>
  <c r="D11" i="20"/>
  <c r="E6" i="20"/>
  <c r="D22" i="20"/>
  <c r="D41" i="20"/>
  <c r="E7" i="20"/>
  <c r="E15" i="20"/>
  <c r="E32" i="20"/>
  <c r="E37" i="20"/>
  <c r="D28" i="20"/>
  <c r="E26" i="20"/>
  <c r="E8" i="20"/>
  <c r="E58" i="24" l="1"/>
  <c r="W58" i="24"/>
  <c r="K13" i="24"/>
  <c r="AB22" i="24"/>
  <c r="AB21" i="24"/>
  <c r="AE23" i="24"/>
  <c r="AF23" i="24" s="1"/>
  <c r="I15" i="23"/>
  <c r="J15" i="23" s="1"/>
  <c r="AC29" i="23"/>
  <c r="AB22" i="23"/>
  <c r="AF29" i="23"/>
  <c r="W43" i="23"/>
  <c r="X43" i="23" s="1"/>
  <c r="Y20" i="13"/>
  <c r="Z20" i="13" s="1"/>
  <c r="K40" i="22"/>
  <c r="M40" i="22"/>
  <c r="K35" i="22"/>
  <c r="O40" i="22"/>
  <c r="M35" i="22"/>
  <c r="O35" i="22"/>
  <c r="G37" i="22"/>
  <c r="Q35" i="22"/>
  <c r="I35" i="22"/>
  <c r="AA24" i="22"/>
  <c r="AB24" i="22" s="1"/>
  <c r="AA20" i="22"/>
  <c r="M38" i="22"/>
  <c r="Y21" i="22"/>
  <c r="Z21" i="22" s="1"/>
  <c r="X21" i="22"/>
  <c r="Y20" i="22"/>
  <c r="Z20" i="22" s="1"/>
  <c r="X20" i="22"/>
  <c r="G38" i="22"/>
  <c r="K38" i="22"/>
  <c r="I38" i="22"/>
  <c r="E38" i="22"/>
  <c r="G35" i="22"/>
  <c r="Y23" i="22"/>
  <c r="Z23" i="22" s="1"/>
  <c r="X23" i="22"/>
  <c r="AA23" i="22"/>
  <c r="AB23" i="22" s="1"/>
  <c r="AA13" i="22"/>
  <c r="AB13" i="22" s="1"/>
  <c r="O38" i="22"/>
  <c r="AC38" i="22" s="1"/>
  <c r="AA21" i="22"/>
  <c r="AB21" i="22" s="1"/>
  <c r="Y24" i="22"/>
  <c r="Z24" i="22" s="1"/>
  <c r="X24" i="22"/>
  <c r="AB20" i="22"/>
  <c r="X13" i="22"/>
  <c r="Y13" i="22"/>
  <c r="Z13" i="22" s="1"/>
  <c r="Y22" i="22"/>
  <c r="Z22" i="22" s="1"/>
  <c r="X22" i="22"/>
  <c r="K37" i="24"/>
  <c r="W37" i="24"/>
  <c r="U13" i="24"/>
  <c r="W13" i="24"/>
  <c r="K36" i="24"/>
  <c r="W36" i="24"/>
  <c r="Q13" i="24"/>
  <c r="AB19" i="24"/>
  <c r="G13" i="24"/>
  <c r="M13" i="24"/>
  <c r="AC20" i="24"/>
  <c r="U40" i="24"/>
  <c r="U42" i="24" s="1"/>
  <c r="W40" i="24"/>
  <c r="I13" i="24"/>
  <c r="AC21" i="24"/>
  <c r="AD21" i="24" s="1"/>
  <c r="I40" i="24"/>
  <c r="I39" i="24"/>
  <c r="W39" i="24"/>
  <c r="E37" i="24"/>
  <c r="M37" i="24"/>
  <c r="O37" i="24"/>
  <c r="G39" i="24"/>
  <c r="Q37" i="24"/>
  <c r="AE21" i="24"/>
  <c r="AF21" i="24" s="1"/>
  <c r="E39" i="24"/>
  <c r="G37" i="24"/>
  <c r="I36" i="24"/>
  <c r="AC19" i="24"/>
  <c r="AD19" i="24" s="1"/>
  <c r="AE22" i="24"/>
  <c r="AF22" i="24" s="1"/>
  <c r="I37" i="24"/>
  <c r="K39" i="24"/>
  <c r="AE19" i="24"/>
  <c r="AF19" i="24" s="1"/>
  <c r="AC23" i="24"/>
  <c r="AF20" i="24"/>
  <c r="G58" i="24"/>
  <c r="E13" i="24"/>
  <c r="AC22" i="24"/>
  <c r="AD22" i="24" s="1"/>
  <c r="X31" i="23"/>
  <c r="X26" i="23"/>
  <c r="AB11" i="23"/>
  <c r="AE10" i="23"/>
  <c r="AF10" i="23" s="1"/>
  <c r="AG10" i="23"/>
  <c r="L31" i="23"/>
  <c r="N31" i="23"/>
  <c r="AB24" i="23"/>
  <c r="AE11" i="23"/>
  <c r="AF11" i="23" s="1"/>
  <c r="AG11" i="23"/>
  <c r="AH11" i="23" s="1"/>
  <c r="X15" i="23"/>
  <c r="U15" i="23"/>
  <c r="V15" i="23" s="1"/>
  <c r="AC21" i="23"/>
  <c r="AC24" i="23"/>
  <c r="AD24" i="23" s="1"/>
  <c r="AC19" i="23"/>
  <c r="O26" i="23"/>
  <c r="P26" i="23" s="1"/>
  <c r="AE19" i="23"/>
  <c r="AF19" i="23" s="1"/>
  <c r="AC22" i="23"/>
  <c r="AD22" i="23" s="1"/>
  <c r="AC20" i="23"/>
  <c r="E15" i="23"/>
  <c r="F15" i="23" s="1"/>
  <c r="AC10" i="23"/>
  <c r="AE22" i="23"/>
  <c r="AF22" i="23" s="1"/>
  <c r="AC11" i="23"/>
  <c r="AD11" i="23" s="1"/>
  <c r="AE24" i="23"/>
  <c r="AC23" i="23"/>
  <c r="E41" i="22"/>
  <c r="G40" i="24"/>
  <c r="G40" i="22"/>
  <c r="O36" i="24"/>
  <c r="X37" i="13"/>
  <c r="M36" i="24"/>
  <c r="D29" i="13"/>
  <c r="D28" i="24"/>
  <c r="W28" i="24" s="1"/>
  <c r="D29" i="22"/>
  <c r="G36" i="24"/>
  <c r="Q41" i="22"/>
  <c r="Q36" i="24"/>
  <c r="K41" i="22"/>
  <c r="Q37" i="22"/>
  <c r="AC37" i="22" s="1"/>
  <c r="AD37" i="22" s="1"/>
  <c r="E36" i="24"/>
  <c r="D39" i="13"/>
  <c r="S39" i="13" s="1"/>
  <c r="D39" i="22"/>
  <c r="D38" i="24"/>
  <c r="W38" i="24" s="1"/>
  <c r="M41" i="22"/>
  <c r="K37" i="22"/>
  <c r="D34" i="13"/>
  <c r="D34" i="22"/>
  <c r="D33" i="24"/>
  <c r="W33" i="24" s="1"/>
  <c r="K36" i="22"/>
  <c r="O41" i="22"/>
  <c r="M37" i="22"/>
  <c r="E40" i="24"/>
  <c r="D11" i="13"/>
  <c r="S11" i="13" s="1"/>
  <c r="AA11" i="13" s="1"/>
  <c r="AB11" i="13" s="1"/>
  <c r="D11" i="22"/>
  <c r="D11" i="24"/>
  <c r="W11" i="24" s="1"/>
  <c r="I41" i="22"/>
  <c r="O36" i="22"/>
  <c r="AC36" i="22" s="1"/>
  <c r="AD36" i="22" s="1"/>
  <c r="I37" i="22"/>
  <c r="W37" i="22" s="1"/>
  <c r="X37" i="22" s="1"/>
  <c r="M39" i="24"/>
  <c r="K40" i="24"/>
  <c r="Q26" i="23"/>
  <c r="Q31" i="23" s="1"/>
  <c r="R31" i="23" s="1"/>
  <c r="Q40" i="22"/>
  <c r="AA40" i="22" s="1"/>
  <c r="AB40" i="22" s="1"/>
  <c r="E40" i="22"/>
  <c r="D18" i="24"/>
  <c r="W18" i="24" s="1"/>
  <c r="D19" i="22"/>
  <c r="D19" i="13"/>
  <c r="S19" i="13" s="1"/>
  <c r="E37" i="22"/>
  <c r="G36" i="22"/>
  <c r="I36" i="22"/>
  <c r="Q39" i="24"/>
  <c r="O40" i="24"/>
  <c r="U26" i="23"/>
  <c r="V26" i="23" s="1"/>
  <c r="AB23" i="24"/>
  <c r="D12" i="13"/>
  <c r="D12" i="22"/>
  <c r="D12" i="24"/>
  <c r="W12" i="24" s="1"/>
  <c r="M36" i="22"/>
  <c r="G41" i="22"/>
  <c r="Q36" i="22"/>
  <c r="O39" i="24"/>
  <c r="M40" i="24"/>
  <c r="I58" i="24"/>
  <c r="D10" i="13"/>
  <c r="K10" i="13" s="1"/>
  <c r="D10" i="22"/>
  <c r="D10" i="24"/>
  <c r="W10" i="24" s="1"/>
  <c r="Q40" i="24"/>
  <c r="G15" i="23"/>
  <c r="H15" i="23" s="1"/>
  <c r="I26" i="23"/>
  <c r="J26" i="23" s="1"/>
  <c r="G43" i="23"/>
  <c r="H43" i="23" s="1"/>
  <c r="N15" i="23"/>
  <c r="P15" i="23"/>
  <c r="L15" i="23"/>
  <c r="R15" i="23"/>
  <c r="T15" i="23"/>
  <c r="N26" i="23"/>
  <c r="T26" i="23"/>
  <c r="L26" i="23"/>
  <c r="G26" i="23"/>
  <c r="E26" i="23"/>
  <c r="O31" i="23"/>
  <c r="P31" i="23" s="1"/>
  <c r="N43" i="23"/>
  <c r="R43" i="23"/>
  <c r="P43" i="23"/>
  <c r="L43" i="23"/>
  <c r="T43" i="23"/>
  <c r="I43" i="23"/>
  <c r="J43" i="23" s="1"/>
  <c r="AD20" i="24"/>
  <c r="AB38" i="23"/>
  <c r="AB36" i="23"/>
  <c r="AB40" i="23"/>
  <c r="AA31" i="23"/>
  <c r="AB29" i="23"/>
  <c r="AB20" i="24"/>
  <c r="M51" i="24"/>
  <c r="O51" i="24"/>
  <c r="K51" i="24"/>
  <c r="K57" i="24"/>
  <c r="M57" i="24"/>
  <c r="O57" i="24"/>
  <c r="M52" i="24"/>
  <c r="O52" i="24"/>
  <c r="K52" i="24"/>
  <c r="M50" i="24"/>
  <c r="O50" i="24"/>
  <c r="K50" i="24"/>
  <c r="K56" i="24"/>
  <c r="M56" i="24"/>
  <c r="O56" i="24"/>
  <c r="K55" i="24"/>
  <c r="M55" i="24"/>
  <c r="O55" i="24"/>
  <c r="M49" i="24"/>
  <c r="O49" i="24"/>
  <c r="K49" i="24"/>
  <c r="K54" i="24"/>
  <c r="M54" i="24"/>
  <c r="O54" i="24"/>
  <c r="E53" i="24"/>
  <c r="M53" i="24"/>
  <c r="O53" i="24"/>
  <c r="K53" i="24"/>
  <c r="AB34" i="24"/>
  <c r="K58" i="24"/>
  <c r="M58" i="24"/>
  <c r="O58" i="24"/>
  <c r="AB35" i="24"/>
  <c r="I53" i="24"/>
  <c r="G53" i="24"/>
  <c r="E54" i="22"/>
  <c r="I54" i="22"/>
  <c r="X36" i="13"/>
  <c r="X40" i="13"/>
  <c r="X41" i="13"/>
  <c r="W20" i="13"/>
  <c r="X20" i="13" s="1"/>
  <c r="X38" i="13"/>
  <c r="X35" i="13"/>
  <c r="D31" i="13"/>
  <c r="I39" i="13"/>
  <c r="G56" i="24"/>
  <c r="I56" i="24"/>
  <c r="E56" i="24"/>
  <c r="AB56" i="24" s="1"/>
  <c r="I52" i="24"/>
  <c r="G52" i="24"/>
  <c r="E52" i="24"/>
  <c r="I49" i="24"/>
  <c r="G49" i="24"/>
  <c r="E49" i="24"/>
  <c r="I50" i="24"/>
  <c r="E50" i="24"/>
  <c r="G50" i="24"/>
  <c r="G51" i="24"/>
  <c r="E51" i="24"/>
  <c r="I51" i="24"/>
  <c r="G55" i="24"/>
  <c r="I55" i="24"/>
  <c r="E55" i="24"/>
  <c r="I57" i="24"/>
  <c r="G57" i="24"/>
  <c r="E57" i="24"/>
  <c r="I54" i="24"/>
  <c r="G54" i="24"/>
  <c r="E54" i="24"/>
  <c r="D60" i="24"/>
  <c r="D46" i="23"/>
  <c r="I58" i="22"/>
  <c r="E58" i="22"/>
  <c r="G58" i="22"/>
  <c r="G57" i="22"/>
  <c r="E57" i="22"/>
  <c r="I57" i="22"/>
  <c r="G50" i="22"/>
  <c r="E50" i="22"/>
  <c r="E51" i="22"/>
  <c r="G51" i="22"/>
  <c r="W59" i="22"/>
  <c r="X59" i="22" s="1"/>
  <c r="I55" i="22"/>
  <c r="E55" i="22"/>
  <c r="G55" i="22"/>
  <c r="E26" i="22"/>
  <c r="W49" i="22"/>
  <c r="D61" i="22"/>
  <c r="G52" i="22"/>
  <c r="E52" i="22"/>
  <c r="G56" i="22"/>
  <c r="E56" i="22"/>
  <c r="I56" i="22"/>
  <c r="E53" i="22"/>
  <c r="G53" i="22"/>
  <c r="D45" i="20"/>
  <c r="D42" i="20"/>
  <c r="D43" i="20" s="1"/>
  <c r="E11" i="20"/>
  <c r="E22" i="20"/>
  <c r="E28" i="20"/>
  <c r="E41" i="20"/>
  <c r="AB39" i="24" l="1"/>
  <c r="AE13" i="24"/>
  <c r="AF13" i="24" s="1"/>
  <c r="AB52" i="24"/>
  <c r="AB51" i="24"/>
  <c r="AB49" i="24"/>
  <c r="AC13" i="24"/>
  <c r="AD13" i="24" s="1"/>
  <c r="AB13" i="24"/>
  <c r="W25" i="24"/>
  <c r="W30" i="24" s="1"/>
  <c r="AG18" i="24"/>
  <c r="AH18" i="24" s="1"/>
  <c r="AB58" i="24"/>
  <c r="AD29" i="23"/>
  <c r="R26" i="23"/>
  <c r="K39" i="13"/>
  <c r="K43" i="13" s="1"/>
  <c r="K11" i="13"/>
  <c r="M11" i="13"/>
  <c r="Q11" i="13"/>
  <c r="O11" i="13"/>
  <c r="M39" i="13"/>
  <c r="M43" i="13" s="1"/>
  <c r="E34" i="13"/>
  <c r="S34" i="13"/>
  <c r="S43" i="13" s="1"/>
  <c r="K34" i="13"/>
  <c r="O10" i="13"/>
  <c r="S10" i="13"/>
  <c r="K12" i="13"/>
  <c r="K15" i="13" s="1"/>
  <c r="S12" i="13"/>
  <c r="AA12" i="13" s="1"/>
  <c r="AB12" i="13" s="1"/>
  <c r="AA19" i="13"/>
  <c r="S26" i="13"/>
  <c r="O29" i="13"/>
  <c r="G39" i="13"/>
  <c r="O39" i="13"/>
  <c r="O43" i="13" s="1"/>
  <c r="E39" i="13"/>
  <c r="E43" i="13" s="1"/>
  <c r="Q39" i="13"/>
  <c r="Q43" i="13" s="1"/>
  <c r="AG28" i="24"/>
  <c r="AD38" i="22"/>
  <c r="AC35" i="22"/>
  <c r="AD35" i="22" s="1"/>
  <c r="AC40" i="22"/>
  <c r="AD40" i="22" s="1"/>
  <c r="Y35" i="22"/>
  <c r="Z35" i="22" s="1"/>
  <c r="I61" i="22"/>
  <c r="J61" i="22" s="1"/>
  <c r="AA37" i="22"/>
  <c r="AB37" i="22" s="1"/>
  <c r="AA35" i="22"/>
  <c r="AB35" i="22" s="1"/>
  <c r="Y38" i="22"/>
  <c r="Z38" i="22" s="1"/>
  <c r="Y36" i="22"/>
  <c r="Z36" i="22" s="1"/>
  <c r="Y41" i="22"/>
  <c r="Z41" i="22" s="1"/>
  <c r="W40" i="22"/>
  <c r="X40" i="22" s="1"/>
  <c r="Y40" i="22"/>
  <c r="Z40" i="22" s="1"/>
  <c r="W35" i="22"/>
  <c r="X35" i="22" s="1"/>
  <c r="AA41" i="22"/>
  <c r="AB41" i="22" s="1"/>
  <c r="W36" i="22"/>
  <c r="X36" i="22" s="1"/>
  <c r="AA38" i="22"/>
  <c r="AB38" i="22" s="1"/>
  <c r="AA36" i="22"/>
  <c r="AB36" i="22" s="1"/>
  <c r="W38" i="22"/>
  <c r="X38" i="22" s="1"/>
  <c r="Y37" i="22"/>
  <c r="Z37" i="22" s="1"/>
  <c r="AB37" i="24"/>
  <c r="AB36" i="24"/>
  <c r="W42" i="24"/>
  <c r="W15" i="24"/>
  <c r="AG13" i="24"/>
  <c r="AH13" i="24" s="1"/>
  <c r="R60" i="24"/>
  <c r="AD60" i="24"/>
  <c r="AB40" i="24"/>
  <c r="AE15" i="23"/>
  <c r="AF15" i="23" s="1"/>
  <c r="AH10" i="23"/>
  <c r="AG15" i="23"/>
  <c r="AG26" i="23"/>
  <c r="AD19" i="23"/>
  <c r="AC26" i="23"/>
  <c r="AC31" i="23" s="1"/>
  <c r="AD31" i="23" s="1"/>
  <c r="AE26" i="23"/>
  <c r="AF24" i="23"/>
  <c r="AD10" i="23"/>
  <c r="AC15" i="23"/>
  <c r="AD15" i="23" s="1"/>
  <c r="M34" i="13"/>
  <c r="O34" i="13"/>
  <c r="E29" i="13"/>
  <c r="Q34" i="13"/>
  <c r="I34" i="13"/>
  <c r="I43" i="13" s="1"/>
  <c r="Q29" i="13"/>
  <c r="I31" i="23"/>
  <c r="J31" i="23" s="1"/>
  <c r="S11" i="22"/>
  <c r="M11" i="22"/>
  <c r="K11" i="22"/>
  <c r="H11" i="22"/>
  <c r="J11" i="22"/>
  <c r="Q11" i="22"/>
  <c r="O11" i="22"/>
  <c r="G34" i="13"/>
  <c r="Q10" i="13"/>
  <c r="I38" i="24"/>
  <c r="E38" i="24"/>
  <c r="Q38" i="24"/>
  <c r="Q42" i="24" s="1"/>
  <c r="G38" i="24"/>
  <c r="M38" i="24"/>
  <c r="M42" i="24" s="1"/>
  <c r="K38" i="24"/>
  <c r="K42" i="24" s="1"/>
  <c r="O38" i="24"/>
  <c r="O42" i="24" s="1"/>
  <c r="O34" i="22"/>
  <c r="AC34" i="22" s="1"/>
  <c r="AD34" i="22" s="1"/>
  <c r="M34" i="22"/>
  <c r="I34" i="22"/>
  <c r="K34" i="22"/>
  <c r="E34" i="22"/>
  <c r="G34" i="22"/>
  <c r="Q34" i="22"/>
  <c r="D43" i="22"/>
  <c r="T43" i="22" s="1"/>
  <c r="G29" i="13"/>
  <c r="G31" i="13" s="1"/>
  <c r="H31" i="13" s="1"/>
  <c r="M10" i="13"/>
  <c r="U11" i="24"/>
  <c r="E11" i="24"/>
  <c r="K11" i="24"/>
  <c r="M11" i="24"/>
  <c r="G11" i="24"/>
  <c r="I11" i="24"/>
  <c r="Q11" i="24"/>
  <c r="O11" i="24"/>
  <c r="S19" i="22"/>
  <c r="S26" i="22" s="1"/>
  <c r="J19" i="22"/>
  <c r="Q19" i="22"/>
  <c r="Q26" i="22" s="1"/>
  <c r="D26" i="22"/>
  <c r="F26" i="22" s="1"/>
  <c r="O19" i="22"/>
  <c r="M19" i="22"/>
  <c r="K19" i="22"/>
  <c r="W41" i="22"/>
  <c r="X41" i="22" s="1"/>
  <c r="M12" i="13"/>
  <c r="I33" i="24"/>
  <c r="E33" i="24"/>
  <c r="Q33" i="24"/>
  <c r="O33" i="24"/>
  <c r="D42" i="24"/>
  <c r="G33" i="24"/>
  <c r="M33" i="24"/>
  <c r="K33" i="24"/>
  <c r="S18" i="24"/>
  <c r="S25" i="24" s="1"/>
  <c r="U18" i="24"/>
  <c r="U25" i="24" s="1"/>
  <c r="G18" i="24"/>
  <c r="G25" i="24" s="1"/>
  <c r="E18" i="24"/>
  <c r="O18" i="24"/>
  <c r="O25" i="24" s="1"/>
  <c r="M18" i="24"/>
  <c r="I18" i="24"/>
  <c r="I25" i="24" s="1"/>
  <c r="Q18" i="24"/>
  <c r="Q25" i="24" s="1"/>
  <c r="D25" i="24"/>
  <c r="K18" i="24"/>
  <c r="U31" i="23"/>
  <c r="V31" i="23" s="1"/>
  <c r="O12" i="13"/>
  <c r="S29" i="22"/>
  <c r="G29" i="22"/>
  <c r="G31" i="22" s="1"/>
  <c r="D31" i="22"/>
  <c r="K29" i="22"/>
  <c r="I29" i="22"/>
  <c r="I31" i="22" s="1"/>
  <c r="O29" i="22"/>
  <c r="M29" i="22"/>
  <c r="Q29" i="22"/>
  <c r="E29" i="22"/>
  <c r="Q12" i="13"/>
  <c r="U28" i="24"/>
  <c r="Q28" i="24"/>
  <c r="G28" i="24"/>
  <c r="G30" i="24" s="1"/>
  <c r="E28" i="24"/>
  <c r="O28" i="24"/>
  <c r="I28" i="24"/>
  <c r="I30" i="24" s="1"/>
  <c r="M28" i="24"/>
  <c r="K28" i="24"/>
  <c r="AE28" i="24" s="1"/>
  <c r="D30" i="24"/>
  <c r="U10" i="24"/>
  <c r="Q10" i="24"/>
  <c r="O10" i="24"/>
  <c r="E10" i="24"/>
  <c r="K10" i="24"/>
  <c r="M10" i="24"/>
  <c r="I10" i="24"/>
  <c r="D15" i="24"/>
  <c r="G10" i="24"/>
  <c r="J10" i="22"/>
  <c r="S10" i="22"/>
  <c r="K10" i="22"/>
  <c r="H10" i="22"/>
  <c r="Q10" i="22"/>
  <c r="O10" i="22"/>
  <c r="D15" i="22"/>
  <c r="M10" i="22"/>
  <c r="D43" i="13"/>
  <c r="J43" i="13" s="1"/>
  <c r="P43" i="13"/>
  <c r="M19" i="13"/>
  <c r="M26" i="13" s="1"/>
  <c r="K19" i="13"/>
  <c r="K26" i="13" s="1"/>
  <c r="Q19" i="13"/>
  <c r="Q26" i="13" s="1"/>
  <c r="O19" i="13"/>
  <c r="O26" i="13" s="1"/>
  <c r="I39" i="22"/>
  <c r="G39" i="22"/>
  <c r="Q39" i="22"/>
  <c r="E39" i="22"/>
  <c r="O39" i="22"/>
  <c r="AC39" i="22" s="1"/>
  <c r="AD39" i="22" s="1"/>
  <c r="M39" i="22"/>
  <c r="AA39" i="22" s="1"/>
  <c r="AB39" i="22" s="1"/>
  <c r="K39" i="22"/>
  <c r="K29" i="13"/>
  <c r="M29" i="13"/>
  <c r="U12" i="24"/>
  <c r="E12" i="24"/>
  <c r="Q12" i="24"/>
  <c r="M12" i="24"/>
  <c r="I12" i="24"/>
  <c r="K12" i="24"/>
  <c r="G12" i="24"/>
  <c r="O12" i="24"/>
  <c r="I29" i="13"/>
  <c r="I31" i="13" s="1"/>
  <c r="J31" i="13" s="1"/>
  <c r="S12" i="22"/>
  <c r="H12" i="22"/>
  <c r="Q12" i="22"/>
  <c r="O12" i="22"/>
  <c r="M12" i="22"/>
  <c r="K12" i="22"/>
  <c r="J12" i="22"/>
  <c r="W54" i="22"/>
  <c r="X54" i="22" s="1"/>
  <c r="F26" i="23"/>
  <c r="E31" i="23"/>
  <c r="F31" i="23" s="1"/>
  <c r="G31" i="23"/>
  <c r="H31" i="23" s="1"/>
  <c r="H26" i="23"/>
  <c r="AA26" i="23"/>
  <c r="AB19" i="23"/>
  <c r="AB10" i="23"/>
  <c r="AA15" i="23"/>
  <c r="AA43" i="23"/>
  <c r="AB34" i="23"/>
  <c r="AB31" i="23"/>
  <c r="AA32" i="23"/>
  <c r="AB32" i="23" s="1"/>
  <c r="M60" i="24"/>
  <c r="N60" i="24" s="1"/>
  <c r="K60" i="24"/>
  <c r="AD23" i="24"/>
  <c r="O60" i="24"/>
  <c r="P60" i="24" s="1"/>
  <c r="AB50" i="24"/>
  <c r="AB57" i="24"/>
  <c r="AB54" i="24"/>
  <c r="AB55" i="24"/>
  <c r="AB53" i="24"/>
  <c r="I60" i="24"/>
  <c r="J60" i="24" s="1"/>
  <c r="G60" i="24"/>
  <c r="H60" i="24" s="1"/>
  <c r="E61" i="22"/>
  <c r="F61" i="22" s="1"/>
  <c r="E60" i="24"/>
  <c r="F60" i="24" s="1"/>
  <c r="AB48" i="24"/>
  <c r="W52" i="22"/>
  <c r="X52" i="22" s="1"/>
  <c r="G61" i="22"/>
  <c r="H61" i="22" s="1"/>
  <c r="W50" i="22"/>
  <c r="X50" i="22" s="1"/>
  <c r="X49" i="22"/>
  <c r="W57" i="22"/>
  <c r="X57" i="22" s="1"/>
  <c r="W55" i="22"/>
  <c r="X55" i="22" s="1"/>
  <c r="W53" i="22"/>
  <c r="X53" i="22" s="1"/>
  <c r="W51" i="22"/>
  <c r="X51" i="22" s="1"/>
  <c r="W56" i="22"/>
  <c r="X56" i="22" s="1"/>
  <c r="W58" i="22"/>
  <c r="X58" i="22" s="1"/>
  <c r="E45" i="20"/>
  <c r="E42" i="20"/>
  <c r="X25" i="24" l="1"/>
  <c r="X30" i="24"/>
  <c r="AE30" i="24"/>
  <c r="AF30" i="24" s="1"/>
  <c r="AF28" i="24"/>
  <c r="P42" i="24"/>
  <c r="Q30" i="24"/>
  <c r="R30" i="24" s="1"/>
  <c r="AG10" i="24"/>
  <c r="AH10" i="24" s="1"/>
  <c r="AB11" i="24"/>
  <c r="AC28" i="24"/>
  <c r="AF26" i="23"/>
  <c r="AE31" i="23"/>
  <c r="AF31" i="23" s="1"/>
  <c r="AH26" i="23"/>
  <c r="AG31" i="23"/>
  <c r="AH31" i="23" s="1"/>
  <c r="F43" i="13"/>
  <c r="Q31" i="13"/>
  <c r="R31" i="13" s="1"/>
  <c r="X39" i="13"/>
  <c r="O15" i="13"/>
  <c r="M15" i="13"/>
  <c r="Y29" i="13"/>
  <c r="Y31" i="13" s="1"/>
  <c r="Z31" i="13" s="1"/>
  <c r="AA10" i="13"/>
  <c r="S15" i="13"/>
  <c r="O31" i="13"/>
  <c r="P31" i="13" s="1"/>
  <c r="Z29" i="13"/>
  <c r="S31" i="13"/>
  <c r="T31" i="13" s="1"/>
  <c r="M31" i="13"/>
  <c r="N31" i="13" s="1"/>
  <c r="E31" i="13"/>
  <c r="F31" i="13" s="1"/>
  <c r="T43" i="13"/>
  <c r="AB19" i="13"/>
  <c r="AA26" i="13"/>
  <c r="K31" i="13"/>
  <c r="L31" i="13" s="1"/>
  <c r="AB10" i="13"/>
  <c r="AA15" i="13"/>
  <c r="X34" i="13"/>
  <c r="W31" i="13"/>
  <c r="X31" i="13" s="1"/>
  <c r="AA29" i="13"/>
  <c r="AH28" i="24"/>
  <c r="AG30" i="24"/>
  <c r="AH30" i="24" s="1"/>
  <c r="AC43" i="22"/>
  <c r="AD43" i="22" s="1"/>
  <c r="O26" i="22"/>
  <c r="J31" i="22"/>
  <c r="Q43" i="22"/>
  <c r="R43" i="22" s="1"/>
  <c r="K43" i="22"/>
  <c r="L43" i="22" s="1"/>
  <c r="I43" i="22"/>
  <c r="X11" i="22"/>
  <c r="Y11" i="22"/>
  <c r="AA12" i="22"/>
  <c r="AB12" i="22" s="1"/>
  <c r="M43" i="22"/>
  <c r="N43" i="22" s="1"/>
  <c r="AA34" i="22"/>
  <c r="AA11" i="22"/>
  <c r="AB11" i="22" s="1"/>
  <c r="X12" i="22"/>
  <c r="Y12" i="22"/>
  <c r="Z12" i="22" s="1"/>
  <c r="M15" i="22"/>
  <c r="N15" i="22" s="1"/>
  <c r="AA10" i="22"/>
  <c r="G43" i="22"/>
  <c r="H43" i="22" s="1"/>
  <c r="Y19" i="22"/>
  <c r="M26" i="22"/>
  <c r="N26" i="22" s="1"/>
  <c r="AA19" i="22"/>
  <c r="Y34" i="22"/>
  <c r="Y29" i="22"/>
  <c r="AA29" i="22"/>
  <c r="Y10" i="22"/>
  <c r="Z10" i="22" s="1"/>
  <c r="W39" i="22"/>
  <c r="X39" i="22" s="1"/>
  <c r="Y39" i="22"/>
  <c r="Z39" i="22" s="1"/>
  <c r="S15" i="22"/>
  <c r="T15" i="22" s="1"/>
  <c r="N42" i="24"/>
  <c r="L42" i="24"/>
  <c r="AG11" i="24"/>
  <c r="AH11" i="24" s="1"/>
  <c r="H30" i="24"/>
  <c r="R42" i="24"/>
  <c r="AE12" i="24"/>
  <c r="AF12" i="24" s="1"/>
  <c r="X15" i="24"/>
  <c r="P25" i="24"/>
  <c r="X42" i="24"/>
  <c r="AG12" i="24"/>
  <c r="AH12" i="24" s="1"/>
  <c r="H25" i="24"/>
  <c r="O15" i="24"/>
  <c r="P15" i="24" s="1"/>
  <c r="K15" i="24"/>
  <c r="L15" i="24" s="1"/>
  <c r="AE10" i="24"/>
  <c r="AC18" i="24"/>
  <c r="AC10" i="24"/>
  <c r="AC12" i="24"/>
  <c r="K25" i="24"/>
  <c r="L25" i="24" s="1"/>
  <c r="AE18" i="24"/>
  <c r="AE11" i="24"/>
  <c r="AF11" i="24" s="1"/>
  <c r="AC11" i="24"/>
  <c r="AD11" i="24" s="1"/>
  <c r="AG46" i="23"/>
  <c r="AH15" i="23"/>
  <c r="AC46" i="23"/>
  <c r="AD46" i="23" s="1"/>
  <c r="AD26" i="23"/>
  <c r="Q15" i="13"/>
  <c r="G43" i="13"/>
  <c r="H43" i="13" s="1"/>
  <c r="R43" i="13"/>
  <c r="K26" i="22"/>
  <c r="E25" i="24"/>
  <c r="F25" i="24" s="1"/>
  <c r="AB12" i="24"/>
  <c r="AD12" i="24"/>
  <c r="E15" i="24"/>
  <c r="F15" i="24" s="1"/>
  <c r="V25" i="24"/>
  <c r="U30" i="24"/>
  <c r="V30" i="24" s="1"/>
  <c r="Q15" i="24"/>
  <c r="R15" i="24" s="1"/>
  <c r="R26" i="22"/>
  <c r="Q31" i="22"/>
  <c r="R31" i="22" s="1"/>
  <c r="D46" i="22"/>
  <c r="F15" i="22"/>
  <c r="J15" i="22"/>
  <c r="I15" i="24"/>
  <c r="J15" i="24" s="1"/>
  <c r="M25" i="24"/>
  <c r="E31" i="22"/>
  <c r="F31" i="22" s="1"/>
  <c r="P26" i="22"/>
  <c r="O31" i="22"/>
  <c r="P31" i="22" s="1"/>
  <c r="J26" i="22"/>
  <c r="H26" i="22"/>
  <c r="N43" i="13"/>
  <c r="O15" i="22"/>
  <c r="P15" i="22" s="1"/>
  <c r="J43" i="22"/>
  <c r="Q15" i="22"/>
  <c r="R15" i="22" s="1"/>
  <c r="H31" i="22"/>
  <c r="G42" i="24"/>
  <c r="H42" i="24" s="1"/>
  <c r="O43" i="22"/>
  <c r="P43" i="22" s="1"/>
  <c r="M15" i="24"/>
  <c r="N15" i="24" s="1"/>
  <c r="T25" i="24"/>
  <c r="S30" i="24"/>
  <c r="T30" i="24" s="1"/>
  <c r="E43" i="22"/>
  <c r="F43" i="22" s="1"/>
  <c r="W34" i="22"/>
  <c r="U15" i="24"/>
  <c r="V15" i="24" s="1"/>
  <c r="T26" i="22"/>
  <c r="S31" i="22"/>
  <c r="T31" i="22" s="1"/>
  <c r="K15" i="22"/>
  <c r="L15" i="22" s="1"/>
  <c r="J30" i="24"/>
  <c r="T42" i="24"/>
  <c r="V42" i="24"/>
  <c r="G15" i="24"/>
  <c r="H15" i="24" s="1"/>
  <c r="R25" i="24"/>
  <c r="I42" i="24"/>
  <c r="J42" i="24" s="1"/>
  <c r="E30" i="24"/>
  <c r="F30" i="24" s="1"/>
  <c r="L43" i="13"/>
  <c r="E42" i="24"/>
  <c r="F42" i="24" s="1"/>
  <c r="O30" i="24"/>
  <c r="P30" i="24" s="1"/>
  <c r="T15" i="24"/>
  <c r="D45" i="24"/>
  <c r="J25" i="24"/>
  <c r="AB38" i="24"/>
  <c r="L60" i="24"/>
  <c r="AB43" i="23"/>
  <c r="AA44" i="23"/>
  <c r="AB44" i="23" s="1"/>
  <c r="AB15" i="23"/>
  <c r="AA46" i="23"/>
  <c r="AA16" i="23"/>
  <c r="AB16" i="23" s="1"/>
  <c r="AB26" i="23"/>
  <c r="AA27" i="23"/>
  <c r="AB27" i="23" s="1"/>
  <c r="AA60" i="24"/>
  <c r="AE60" i="24" s="1"/>
  <c r="AG60" i="24" s="1"/>
  <c r="AH60" i="24" s="1"/>
  <c r="W61" i="22"/>
  <c r="X61" i="22" s="1"/>
  <c r="E43" i="20"/>
  <c r="F3" i="20" s="1"/>
  <c r="F80" i="12"/>
  <c r="M80" i="12" s="1"/>
  <c r="O80" i="12" s="1"/>
  <c r="K79" i="12"/>
  <c r="J79" i="12"/>
  <c r="K78" i="12"/>
  <c r="J78" i="12"/>
  <c r="M77" i="12" s="1"/>
  <c r="K77" i="12"/>
  <c r="J77" i="12"/>
  <c r="F77" i="12"/>
  <c r="O77" i="12" s="1"/>
  <c r="F75" i="12"/>
  <c r="M75" i="12" s="1"/>
  <c r="O75" i="12" s="1"/>
  <c r="K74" i="12"/>
  <c r="J74" i="12"/>
  <c r="K69" i="12"/>
  <c r="J69" i="12"/>
  <c r="N82" i="12"/>
  <c r="K73" i="12"/>
  <c r="J73" i="12"/>
  <c r="K72" i="12"/>
  <c r="J72" i="12"/>
  <c r="F72" i="12"/>
  <c r="F70" i="12"/>
  <c r="M70" i="12" s="1"/>
  <c r="O70" i="12" s="1"/>
  <c r="K68" i="12"/>
  <c r="J68" i="12"/>
  <c r="K67" i="12"/>
  <c r="J67" i="12"/>
  <c r="F67" i="12"/>
  <c r="F66" i="12"/>
  <c r="M66" i="12" s="1"/>
  <c r="O66" i="12" s="1"/>
  <c r="K65" i="12"/>
  <c r="J65" i="12"/>
  <c r="K64" i="12"/>
  <c r="J64" i="12"/>
  <c r="K63" i="12"/>
  <c r="J63" i="12"/>
  <c r="K62" i="12"/>
  <c r="J62" i="12"/>
  <c r="F62" i="12"/>
  <c r="K55" i="12"/>
  <c r="J55" i="12"/>
  <c r="N46" i="12"/>
  <c r="N57" i="12"/>
  <c r="K54" i="12"/>
  <c r="J54" i="12"/>
  <c r="K53" i="12"/>
  <c r="J53" i="12"/>
  <c r="K52" i="12"/>
  <c r="J52" i="12"/>
  <c r="K51" i="12"/>
  <c r="J51" i="12"/>
  <c r="F51" i="12"/>
  <c r="AC30" i="24" l="1"/>
  <c r="AD30" i="24" s="1"/>
  <c r="AD28" i="24"/>
  <c r="K30" i="24"/>
  <c r="L30" i="24" s="1"/>
  <c r="N25" i="31"/>
  <c r="AH46" i="23"/>
  <c r="AE46" i="23"/>
  <c r="K25" i="30" s="1"/>
  <c r="N25" i="30" s="1"/>
  <c r="AA31" i="13"/>
  <c r="AB31" i="13" s="1"/>
  <c r="AB29" i="13"/>
  <c r="AA46" i="13"/>
  <c r="W43" i="13"/>
  <c r="W44" i="13" s="1"/>
  <c r="X44" i="13" s="1"/>
  <c r="AC15" i="22"/>
  <c r="AD15" i="22" s="1"/>
  <c r="AB34" i="22"/>
  <c r="AA43" i="22"/>
  <c r="AB43" i="22" s="1"/>
  <c r="M31" i="22"/>
  <c r="N31" i="22" s="1"/>
  <c r="Z19" i="22"/>
  <c r="Y26" i="22"/>
  <c r="Z26" i="22" s="1"/>
  <c r="Y15" i="22"/>
  <c r="Z11" i="22"/>
  <c r="Z34" i="22"/>
  <c r="Y43" i="22"/>
  <c r="Z43" i="22" s="1"/>
  <c r="AB10" i="22"/>
  <c r="AA15" i="22"/>
  <c r="AA31" i="22"/>
  <c r="AB31" i="22" s="1"/>
  <c r="AB29" i="22"/>
  <c r="Y31" i="22"/>
  <c r="Z31" i="22" s="1"/>
  <c r="Z29" i="22"/>
  <c r="AB19" i="22"/>
  <c r="AA26" i="22"/>
  <c r="AB26" i="22" s="1"/>
  <c r="AG25" i="24"/>
  <c r="AH25" i="24" s="1"/>
  <c r="AG15" i="24"/>
  <c r="AH15" i="24" s="1"/>
  <c r="K22" i="30"/>
  <c r="AF60" i="24"/>
  <c r="N25" i="24"/>
  <c r="M30" i="24"/>
  <c r="N30" i="24" s="1"/>
  <c r="AA30" i="24"/>
  <c r="AB28" i="24"/>
  <c r="W43" i="22"/>
  <c r="X34" i="22"/>
  <c r="W31" i="22"/>
  <c r="X29" i="22"/>
  <c r="AF10" i="24"/>
  <c r="AE15" i="24"/>
  <c r="AF18" i="24"/>
  <c r="AE25" i="24"/>
  <c r="AF25" i="24" s="1"/>
  <c r="AA15" i="24"/>
  <c r="AB10" i="24"/>
  <c r="AD10" i="24"/>
  <c r="AC15" i="24"/>
  <c r="AD15" i="24" s="1"/>
  <c r="W32" i="13"/>
  <c r="X32" i="13" s="1"/>
  <c r="AD18" i="24"/>
  <c r="AC25" i="24"/>
  <c r="AB33" i="24"/>
  <c r="AA42" i="24"/>
  <c r="AA25" i="24"/>
  <c r="AB18" i="24"/>
  <c r="L26" i="22"/>
  <c r="K31" i="22"/>
  <c r="L31" i="22" s="1"/>
  <c r="W26" i="22"/>
  <c r="X19" i="22"/>
  <c r="AB46" i="23"/>
  <c r="E15" i="27"/>
  <c r="E19" i="27"/>
  <c r="AB60" i="24"/>
  <c r="AA61" i="24"/>
  <c r="AB61" i="24" s="1"/>
  <c r="AA47" i="23"/>
  <c r="AB47" i="23" s="1"/>
  <c r="W62" i="22"/>
  <c r="X62" i="22" s="1"/>
  <c r="F82" i="12"/>
  <c r="M67" i="12"/>
  <c r="M51" i="12"/>
  <c r="M72" i="12"/>
  <c r="O72" i="12" s="1"/>
  <c r="O67" i="12"/>
  <c r="M62" i="12"/>
  <c r="F57" i="12"/>
  <c r="X43" i="13" l="1"/>
  <c r="L25" i="30"/>
  <c r="M25" i="30"/>
  <c r="M23" i="30" s="1"/>
  <c r="AF46" i="23"/>
  <c r="K25" i="31"/>
  <c r="L25" i="31" s="1"/>
  <c r="P25" i="31"/>
  <c r="P23" i="31" s="1"/>
  <c r="O25" i="31"/>
  <c r="N13" i="31"/>
  <c r="M25" i="31"/>
  <c r="M23" i="31" s="1"/>
  <c r="V25" i="31"/>
  <c r="V23" i="31" s="1"/>
  <c r="AC46" i="22"/>
  <c r="AD46" i="22" s="1"/>
  <c r="Z15" i="22"/>
  <c r="Y46" i="22"/>
  <c r="Z46" i="22" s="1"/>
  <c r="AB15" i="22"/>
  <c r="AA46" i="22"/>
  <c r="AB46" i="22" s="1"/>
  <c r="AG45" i="24"/>
  <c r="L22" i="31"/>
  <c r="M22" i="31"/>
  <c r="L22" i="30"/>
  <c r="N22" i="30"/>
  <c r="M22" i="30"/>
  <c r="P25" i="30"/>
  <c r="P23" i="30" s="1"/>
  <c r="O25" i="30"/>
  <c r="AF15" i="24"/>
  <c r="AE45" i="24"/>
  <c r="AD25" i="24"/>
  <c r="AC45" i="24"/>
  <c r="AD45" i="24" s="1"/>
  <c r="AA16" i="24"/>
  <c r="AB16" i="24" s="1"/>
  <c r="AB15" i="24"/>
  <c r="AA45" i="24"/>
  <c r="X26" i="22"/>
  <c r="W27" i="22"/>
  <c r="X27" i="22" s="1"/>
  <c r="X31" i="22"/>
  <c r="W32" i="22"/>
  <c r="X32" i="22" s="1"/>
  <c r="AB25" i="24"/>
  <c r="AA26" i="24"/>
  <c r="AB26" i="24" s="1"/>
  <c r="AB42" i="24"/>
  <c r="AA43" i="24"/>
  <c r="AB43" i="24" s="1"/>
  <c r="W44" i="22"/>
  <c r="X44" i="22" s="1"/>
  <c r="X43" i="22"/>
  <c r="AB30" i="24"/>
  <c r="AA31" i="24"/>
  <c r="AB31" i="24" s="1"/>
  <c r="H15" i="27"/>
  <c r="J15" i="27" s="1"/>
  <c r="F15" i="27"/>
  <c r="G15" i="27"/>
  <c r="G19" i="27"/>
  <c r="F19" i="27"/>
  <c r="H19" i="27"/>
  <c r="J19" i="27" s="1"/>
  <c r="M82" i="12"/>
  <c r="O62" i="12"/>
  <c r="O82" i="12" s="1"/>
  <c r="M57" i="12"/>
  <c r="O51" i="12"/>
  <c r="O57" i="12" s="1"/>
  <c r="P13" i="31" l="1"/>
  <c r="P12" i="31" s="1"/>
  <c r="O13" i="31"/>
  <c r="AH45" i="24"/>
  <c r="N17" i="31"/>
  <c r="AF45" i="24"/>
  <c r="K17" i="30"/>
  <c r="K17" i="31"/>
  <c r="P22" i="30"/>
  <c r="O22" i="30"/>
  <c r="V22" i="31"/>
  <c r="U22" i="31"/>
  <c r="U25" i="31"/>
  <c r="E17" i="27"/>
  <c r="AB45" i="24"/>
  <c r="AA46" i="24"/>
  <c r="AB46" i="24" s="1"/>
  <c r="F28" i="12"/>
  <c r="E21" i="12"/>
  <c r="F37" i="12"/>
  <c r="V13" i="31" l="1"/>
  <c r="V12" i="31" s="1"/>
  <c r="U13" i="31"/>
  <c r="P17" i="31"/>
  <c r="P16" i="31" s="1"/>
  <c r="P38" i="31" s="1"/>
  <c r="O17" i="31"/>
  <c r="L17" i="31"/>
  <c r="M17" i="31"/>
  <c r="M16" i="31" s="1"/>
  <c r="M38" i="31" s="1"/>
  <c r="N17" i="30"/>
  <c r="M17" i="30"/>
  <c r="M16" i="30" s="1"/>
  <c r="L17" i="30"/>
  <c r="H17" i="27"/>
  <c r="J17" i="27" s="1"/>
  <c r="F17" i="27"/>
  <c r="G17" i="27"/>
  <c r="K43" i="12"/>
  <c r="J43" i="12"/>
  <c r="K42" i="12"/>
  <c r="J42" i="12"/>
  <c r="J41" i="12"/>
  <c r="K41" i="12"/>
  <c r="K40" i="12"/>
  <c r="K39" i="12"/>
  <c r="K32" i="12"/>
  <c r="K33" i="12"/>
  <c r="K34" i="12"/>
  <c r="K35" i="12"/>
  <c r="K31" i="12"/>
  <c r="K22" i="12"/>
  <c r="K23" i="12"/>
  <c r="K24" i="12"/>
  <c r="K25" i="12"/>
  <c r="K26" i="12"/>
  <c r="K27" i="12"/>
  <c r="K21" i="12"/>
  <c r="F39" i="12"/>
  <c r="J40" i="12"/>
  <c r="J39" i="12"/>
  <c r="J35" i="12"/>
  <c r="J34" i="12"/>
  <c r="J33" i="12"/>
  <c r="J32" i="12"/>
  <c r="F30" i="12"/>
  <c r="J31" i="12"/>
  <c r="F31" i="12"/>
  <c r="J26" i="12"/>
  <c r="J22" i="12"/>
  <c r="J23" i="12"/>
  <c r="J24" i="12"/>
  <c r="J25" i="12"/>
  <c r="J27" i="12"/>
  <c r="J21" i="12"/>
  <c r="F21" i="12"/>
  <c r="O15" i="12"/>
  <c r="K11" i="12"/>
  <c r="F9" i="12"/>
  <c r="F10" i="12"/>
  <c r="F12" i="12"/>
  <c r="N12" i="12" s="1"/>
  <c r="F7" i="12"/>
  <c r="N7" i="12" s="1"/>
  <c r="F8" i="12"/>
  <c r="D13" i="12"/>
  <c r="D11" i="12" s="1"/>
  <c r="F11" i="12" s="1"/>
  <c r="D6" i="12"/>
  <c r="F6" i="12" s="1"/>
  <c r="G13" i="12"/>
  <c r="J13" i="12" s="1"/>
  <c r="J6" i="12"/>
  <c r="J11" i="12"/>
  <c r="J9" i="12"/>
  <c r="K6" i="12"/>
  <c r="P40" i="31" l="1"/>
  <c r="P41" i="31"/>
  <c r="P43" i="31" s="1"/>
  <c r="P39" i="31"/>
  <c r="P17" i="30"/>
  <c r="P16" i="30" s="1"/>
  <c r="P38" i="30" s="1"/>
  <c r="O17" i="30"/>
  <c r="M41" i="31"/>
  <c r="M43" i="31" s="1"/>
  <c r="M39" i="31"/>
  <c r="M40" i="31"/>
  <c r="U17" i="31"/>
  <c r="V17" i="31"/>
  <c r="V16" i="31" s="1"/>
  <c r="V38" i="31" s="1"/>
  <c r="N10" i="12"/>
  <c r="N16" i="12" s="1"/>
  <c r="K44" i="12"/>
  <c r="K36" i="12"/>
  <c r="M8" i="12"/>
  <c r="O8" i="12" s="1"/>
  <c r="O7" i="12"/>
  <c r="O12" i="12"/>
  <c r="G19" i="13"/>
  <c r="G10" i="13"/>
  <c r="E10" i="13"/>
  <c r="I10" i="13"/>
  <c r="G11" i="13"/>
  <c r="I11" i="13"/>
  <c r="M30" i="12"/>
  <c r="O30" i="12" s="1"/>
  <c r="G12" i="13"/>
  <c r="I12" i="13"/>
  <c r="M37" i="12"/>
  <c r="O37" i="12" s="1"/>
  <c r="M39" i="12"/>
  <c r="O39" i="12" s="1"/>
  <c r="M31" i="12"/>
  <c r="O31" i="12" s="1"/>
  <c r="F46" i="12"/>
  <c r="M21" i="12"/>
  <c r="K15" i="12"/>
  <c r="F13" i="12"/>
  <c r="M6" i="12"/>
  <c r="O6" i="12" s="1"/>
  <c r="M11" i="12"/>
  <c r="O11" i="12" s="1"/>
  <c r="M9" i="12"/>
  <c r="O9" i="12" s="1"/>
  <c r="Y12" i="13" l="1"/>
  <c r="Z12" i="13" s="1"/>
  <c r="Y10" i="13"/>
  <c r="Y11" i="13"/>
  <c r="Z11" i="13" s="1"/>
  <c r="P42" i="31"/>
  <c r="P44" i="31" s="1"/>
  <c r="V41" i="31"/>
  <c r="V43" i="31" s="1"/>
  <c r="V40" i="31"/>
  <c r="V39" i="31"/>
  <c r="M42" i="31"/>
  <c r="P41" i="30"/>
  <c r="P43" i="30" s="1"/>
  <c r="P40" i="30"/>
  <c r="P39" i="30"/>
  <c r="W12" i="13"/>
  <c r="X12" i="13" s="1"/>
  <c r="W11" i="13"/>
  <c r="X11" i="13" s="1"/>
  <c r="E15" i="13"/>
  <c r="W10" i="13"/>
  <c r="X10" i="13" s="1"/>
  <c r="E23" i="13"/>
  <c r="I23" i="13"/>
  <c r="G23" i="13"/>
  <c r="E24" i="13"/>
  <c r="I24" i="13"/>
  <c r="G24" i="13"/>
  <c r="E22" i="13"/>
  <c r="I22" i="13"/>
  <c r="G22" i="13"/>
  <c r="E21" i="13"/>
  <c r="I21" i="13"/>
  <c r="G21" i="13"/>
  <c r="O10" i="12"/>
  <c r="I19" i="13"/>
  <c r="D26" i="13"/>
  <c r="E19" i="13"/>
  <c r="Y19" i="13" s="1"/>
  <c r="F16" i="12"/>
  <c r="F85" i="12" s="1"/>
  <c r="D15" i="13"/>
  <c r="M46" i="12"/>
  <c r="O21" i="12"/>
  <c r="O46" i="12" s="1"/>
  <c r="M13" i="12"/>
  <c r="P45" i="31" l="1"/>
  <c r="Y21" i="13"/>
  <c r="Z21" i="13" s="1"/>
  <c r="T15" i="13"/>
  <c r="AB15" i="13"/>
  <c r="Y23" i="13"/>
  <c r="Z23" i="13" s="1"/>
  <c r="Y22" i="13"/>
  <c r="Z22" i="13" s="1"/>
  <c r="Z10" i="13"/>
  <c r="Z19" i="13"/>
  <c r="T26" i="13"/>
  <c r="AB26" i="13"/>
  <c r="Y24" i="13"/>
  <c r="Z24" i="13" s="1"/>
  <c r="P46" i="31"/>
  <c r="P47" i="31"/>
  <c r="P42" i="30"/>
  <c r="P45" i="30" s="1"/>
  <c r="V42" i="31"/>
  <c r="M45" i="31"/>
  <c r="M44" i="31"/>
  <c r="W19" i="13"/>
  <c r="W21" i="13"/>
  <c r="X21" i="13" s="1"/>
  <c r="W22" i="13"/>
  <c r="X22" i="13" s="1"/>
  <c r="W24" i="13"/>
  <c r="X24" i="13" s="1"/>
  <c r="W23" i="13"/>
  <c r="X23" i="13" s="1"/>
  <c r="R15" i="13"/>
  <c r="L15" i="13"/>
  <c r="N15" i="13"/>
  <c r="P15" i="13"/>
  <c r="R26" i="13"/>
  <c r="L26" i="13"/>
  <c r="N26" i="13"/>
  <c r="P26" i="13"/>
  <c r="F15" i="13"/>
  <c r="D46" i="13"/>
  <c r="AB46" i="13" s="1"/>
  <c r="G26" i="13"/>
  <c r="H26" i="13" s="1"/>
  <c r="I26" i="13"/>
  <c r="J26" i="13" s="1"/>
  <c r="E26" i="13"/>
  <c r="F26" i="13" s="1"/>
  <c r="G13" i="13"/>
  <c r="I13" i="13"/>
  <c r="O13" i="12"/>
  <c r="M16" i="12"/>
  <c r="Y26" i="13" l="1"/>
  <c r="Z26" i="13" s="1"/>
  <c r="Y13" i="13"/>
  <c r="V44" i="31"/>
  <c r="P48" i="31"/>
  <c r="P44" i="30"/>
  <c r="P46" i="30" s="1"/>
  <c r="V45" i="31"/>
  <c r="V46" i="31"/>
  <c r="V47" i="31"/>
  <c r="M46" i="31"/>
  <c r="M47" i="31"/>
  <c r="G15" i="13"/>
  <c r="H15" i="13" s="1"/>
  <c r="W13" i="13"/>
  <c r="X13" i="13" s="1"/>
  <c r="O16" i="12"/>
  <c r="O85" i="12" s="1"/>
  <c r="I15" i="13"/>
  <c r="J15" i="13" s="1"/>
  <c r="W26" i="13"/>
  <c r="X19" i="13"/>
  <c r="Z13" i="13" l="1"/>
  <c r="Y15" i="13"/>
  <c r="P47" i="30"/>
  <c r="P48" i="30" s="1"/>
  <c r="M48" i="31"/>
  <c r="V48" i="31"/>
  <c r="W27" i="13"/>
  <c r="X27" i="13" s="1"/>
  <c r="W15" i="13"/>
  <c r="W46" i="13" s="1"/>
  <c r="E11" i="27" s="1"/>
  <c r="Y46" i="13" l="1"/>
  <c r="Z46" i="13" s="1"/>
  <c r="Z15" i="13"/>
  <c r="H11" i="27"/>
  <c r="J11" i="27" s="1"/>
  <c r="G11" i="27"/>
  <c r="F11" i="27"/>
  <c r="X46" i="13"/>
  <c r="W47" i="13"/>
  <c r="X47" i="13" s="1"/>
  <c r="X15" i="13"/>
  <c r="W16" i="13"/>
  <c r="X16" i="13" s="1"/>
  <c r="X26" i="13"/>
  <c r="G15" i="22" l="1"/>
  <c r="H15" i="22" s="1"/>
  <c r="W15" i="22" l="1"/>
  <c r="X10" i="22"/>
  <c r="W46" i="22" l="1"/>
  <c r="E13" i="27" s="1"/>
  <c r="W16" i="22"/>
  <c r="X16" i="22" s="1"/>
  <c r="X15" i="22"/>
  <c r="H13" i="27" l="1"/>
  <c r="J13" i="27" s="1"/>
  <c r="J25" i="27" s="1"/>
  <c r="E25" i="27" s="1"/>
  <c r="G13" i="27"/>
  <c r="F13" i="27"/>
  <c r="W47" i="22"/>
  <c r="X47" i="22" s="1"/>
  <c r="X46" i="22"/>
  <c r="H25" i="27" l="1"/>
  <c r="G25" i="27"/>
  <c r="F25" i="27"/>
  <c r="M38" i="30"/>
  <c r="M39" i="30" l="1"/>
  <c r="M41" i="30"/>
  <c r="M43" i="30" s="1"/>
  <c r="M40" i="30"/>
  <c r="M42" i="30" l="1"/>
  <c r="M44" i="30" s="1"/>
  <c r="M45" i="30" l="1"/>
  <c r="M47" i="30"/>
  <c r="M46" i="30"/>
  <c r="M48" i="30" l="1"/>
</calcChain>
</file>

<file path=xl/sharedStrings.xml><?xml version="1.0" encoding="utf-8"?>
<sst xmlns="http://schemas.openxmlformats.org/spreadsheetml/2006/main" count="1006" uniqueCount="219">
  <si>
    <t>CANTIDAD</t>
  </si>
  <si>
    <t>5.1</t>
  </si>
  <si>
    <t>M2</t>
  </si>
  <si>
    <t>4.3</t>
  </si>
  <si>
    <t>ML</t>
  </si>
  <si>
    <t>4.2</t>
  </si>
  <si>
    <t>4.1</t>
  </si>
  <si>
    <t>3.6</t>
  </si>
  <si>
    <t>3.5</t>
  </si>
  <si>
    <t>3.4</t>
  </si>
  <si>
    <t>3.3</t>
  </si>
  <si>
    <t>3.2</t>
  </si>
  <si>
    <t>3.1</t>
  </si>
  <si>
    <t>2.3</t>
  </si>
  <si>
    <t>2.2</t>
  </si>
  <si>
    <t>2.1</t>
  </si>
  <si>
    <t>1.4</t>
  </si>
  <si>
    <t>1.3</t>
  </si>
  <si>
    <t>1.2</t>
  </si>
  <si>
    <t>1.1</t>
  </si>
  <si>
    <t>4.4</t>
  </si>
  <si>
    <t>5.2</t>
  </si>
  <si>
    <t>5.3</t>
  </si>
  <si>
    <t>5.4</t>
  </si>
  <si>
    <t>6.1</t>
  </si>
  <si>
    <t>6.2</t>
  </si>
  <si>
    <t>DIMENSIONES</t>
  </si>
  <si>
    <t>DESCUENTOS</t>
  </si>
  <si>
    <t>DESCRIPCIÓN</t>
  </si>
  <si>
    <t>ALTO</t>
  </si>
  <si>
    <t>ANCHO</t>
  </si>
  <si>
    <t>TOTAL
(M2)</t>
  </si>
  <si>
    <t>CARTERAS
(ML)</t>
  </si>
  <si>
    <t>DILATACIÓN
(ML)</t>
  </si>
  <si>
    <t>ÁREA TOTAL
(BLANCA)</t>
  </si>
  <si>
    <t>ÁREA TOTAL</t>
  </si>
  <si>
    <t>TOTAL M2 DE FACHADA SIN DESCUENTOS</t>
  </si>
  <si>
    <t>TOTAL M2 DE FACHADA CON DESCUENTOS</t>
  </si>
  <si>
    <t>EDIFICIO EL MIRADOR</t>
  </si>
  <si>
    <t>TORRE</t>
  </si>
  <si>
    <t>ÁREA TOTAL
(NEGRA)</t>
  </si>
  <si>
    <t>Culata alta sin ventanas (Blanca)</t>
  </si>
  <si>
    <t>Culata baja sin ventanas (Blanca)</t>
  </si>
  <si>
    <t>Culata Franja negra</t>
  </si>
  <si>
    <t>Muro con ventana (Blanca)</t>
  </si>
  <si>
    <t>Franja negra en fachada</t>
  </si>
  <si>
    <t>Antepechos negros</t>
  </si>
  <si>
    <t>SEMANA 01</t>
  </si>
  <si>
    <t>SEMANA 02</t>
  </si>
  <si>
    <t>FACHADA</t>
  </si>
  <si>
    <t>SECCIÓN</t>
  </si>
  <si>
    <t>Total Ejecutado</t>
  </si>
  <si>
    <t>%</t>
  </si>
  <si>
    <t>TOTAL M2 DE FACHADA</t>
  </si>
  <si>
    <t>FACHADA ESTE</t>
  </si>
  <si>
    <t>NORTE</t>
  </si>
  <si>
    <t>Muro con balcones y volumenes</t>
  </si>
  <si>
    <t>Muro sin ventanas</t>
  </si>
  <si>
    <t>Fachada General</t>
  </si>
  <si>
    <t>ESTE</t>
  </si>
  <si>
    <t>SEMANA 03</t>
  </si>
  <si>
    <t>OCT 16 - 17</t>
  </si>
  <si>
    <t>OCT 20 - 24</t>
  </si>
  <si>
    <t>OCT 27 - 31</t>
  </si>
  <si>
    <t>EDIFICIO EL MIRADOR - LAVADO DE FACHADA</t>
  </si>
  <si>
    <t>FACHADA NORTE</t>
  </si>
  <si>
    <t>Muro culata parqueadero</t>
  </si>
  <si>
    <t>FACHADA OESTE</t>
  </si>
  <si>
    <t>TOTAL M2 DE FACHADA GENERAL SIN DESCUENTOS</t>
  </si>
  <si>
    <t>General</t>
  </si>
  <si>
    <t>Volumes en fachada</t>
  </si>
  <si>
    <t>EDIFICIO PANORAMIKA</t>
  </si>
  <si>
    <t>SUR</t>
  </si>
  <si>
    <t>FACHADA SUR</t>
  </si>
  <si>
    <t>Zonas interiores</t>
  </si>
  <si>
    <t>Punto fijo</t>
  </si>
  <si>
    <t xml:space="preserve">Pasillos </t>
  </si>
  <si>
    <t>Cielo rasos</t>
  </si>
  <si>
    <t>TOTAL M2 INTERIORES</t>
  </si>
  <si>
    <t>Muro con ventanas y balcones</t>
  </si>
  <si>
    <t>Muro culata sin ventanas</t>
  </si>
  <si>
    <t>Muros sin ventana</t>
  </si>
  <si>
    <t>Muro sin ventana</t>
  </si>
  <si>
    <t>FACHADASUR</t>
  </si>
  <si>
    <t>OESTE</t>
  </si>
  <si>
    <t>Volumenes en fachada</t>
  </si>
  <si>
    <t>Muro con ventana</t>
  </si>
  <si>
    <t xml:space="preserve">Muro con ventana </t>
  </si>
  <si>
    <t xml:space="preserve">Culata baja sin ventanas </t>
  </si>
  <si>
    <t xml:space="preserve">Culata alta sin ventanas </t>
  </si>
  <si>
    <t>Capitulo</t>
  </si>
  <si>
    <t>Unidad</t>
  </si>
  <si>
    <t>Cantidad</t>
  </si>
  <si>
    <t>Vr Unitario</t>
  </si>
  <si>
    <t>% ejecucion</t>
  </si>
  <si>
    <t>Señalizacion y Seguridad</t>
  </si>
  <si>
    <t>Lavado General de Areas a Intervenir</t>
  </si>
  <si>
    <t>Sellamiento de elementos varios en balcones</t>
  </si>
  <si>
    <t>A</t>
  </si>
  <si>
    <t>I</t>
  </si>
  <si>
    <t>U</t>
  </si>
  <si>
    <t>IVA/U</t>
  </si>
  <si>
    <t>CON DESCUENTOS</t>
  </si>
  <si>
    <t>S1</t>
  </si>
  <si>
    <t>S2</t>
  </si>
  <si>
    <t>TOTAL M2 DE FACHADAS GENERAL</t>
  </si>
  <si>
    <t>TOTAL M2 DE EJECUTADOS</t>
  </si>
  <si>
    <t>Piso Completo</t>
  </si>
  <si>
    <t>PASILLOS</t>
  </si>
  <si>
    <t>NOV 03 - 08</t>
  </si>
  <si>
    <t>NOV 10 - 15</t>
  </si>
  <si>
    <t>NOV 17 - 22</t>
  </si>
  <si>
    <t>NOV 24 - 29</t>
  </si>
  <si>
    <t>SEMANA 04</t>
  </si>
  <si>
    <t>SEMANA 05</t>
  </si>
  <si>
    <t>SEMANA 06</t>
  </si>
  <si>
    <t>SEMANA 07</t>
  </si>
  <si>
    <t>EDIFICIO EL MIRADOR - RESANE DE GRANIPLAST</t>
  </si>
  <si>
    <t>EDIFICIO EL MIRADOR - APLICACIÓN DE SELLOS</t>
  </si>
  <si>
    <t>Total Ejecutado
Acta 01</t>
  </si>
  <si>
    <t>Total Ejecutado
Acta 02</t>
  </si>
  <si>
    <t>DIC 01 - 06</t>
  </si>
  <si>
    <t>Semana 08</t>
  </si>
  <si>
    <t>Estado de obra - Actividades ejecutadas</t>
  </si>
  <si>
    <t>Edificio El Mirador</t>
  </si>
  <si>
    <t>Descripción</t>
  </si>
  <si>
    <t>UM</t>
  </si>
  <si>
    <t>Cantidas 
Ejecutada</t>
  </si>
  <si>
    <t>Cantidad Restante</t>
  </si>
  <si>
    <t>Porcentaje 
restante</t>
  </si>
  <si>
    <t>Lavado de superficie de fachada</t>
  </si>
  <si>
    <t>Resane de superficie y aplicación de graniplast en superficie de fachada</t>
  </si>
  <si>
    <t>Aplicación de sello en ventanas y balcones</t>
  </si>
  <si>
    <t>Aplicación de pintura en superficie de fachada</t>
  </si>
  <si>
    <t>Und</t>
  </si>
  <si>
    <t>Aplicación de pintura en pasillos</t>
  </si>
  <si>
    <t>CÑ</t>
  </si>
  <si>
    <t>Instalación de cortagoteras</t>
  </si>
  <si>
    <t>UND</t>
  </si>
  <si>
    <t>Instalación de tejas UPVC</t>
  </si>
  <si>
    <t>Estado General de la Obra</t>
  </si>
  <si>
    <t>GLB</t>
  </si>
  <si>
    <t xml:space="preserve">Plantilla </t>
  </si>
  <si>
    <t>Semana #</t>
  </si>
  <si>
    <t>DIC 09 - 13</t>
  </si>
  <si>
    <t>Semana 09</t>
  </si>
  <si>
    <t>CUADRO DE CONTROL GENERAL DE AVANCES DE LA OBRA</t>
  </si>
  <si>
    <t>INTERVENTOR : Ing. Luis Fernando Márquez Jaramillo MP 63202-21775</t>
  </si>
  <si>
    <t>Rep. Legal: Sr Luis Jaime Manjarres Gongora-Administrador RL</t>
  </si>
  <si>
    <t>CONTRATISTA: FRESHHOUSE SAS</t>
  </si>
  <si>
    <t>Ubicación Edificio: Cra 19 # 26 N 69-Armenia</t>
  </si>
  <si>
    <t>Fecha: nov 14 de 2025</t>
  </si>
  <si>
    <t>Acta 01- Periodo del</t>
  </si>
  <si>
    <t>ACTA DE AVANCE DE OBRA # 01-Periodo del 6 de octubre al 6 de noviembre de 2025</t>
  </si>
  <si>
    <t>octubre 6 al 6 DE NOVIEMBRE DE 2025</t>
  </si>
  <si>
    <t>Item</t>
  </si>
  <si>
    <t>Descripcion</t>
  </si>
  <si>
    <t>Valor Total</t>
  </si>
  <si>
    <t>% avance</t>
  </si>
  <si>
    <t>PRELIMINARES</t>
  </si>
  <si>
    <t>Campamento</t>
  </si>
  <si>
    <t>Gl</t>
  </si>
  <si>
    <t>Asesoria Técnica Externa</t>
  </si>
  <si>
    <t>Recurso de respaldo por omision de diagnostico previo</t>
  </si>
  <si>
    <t>PREPARACION DE SUPERFICIES</t>
  </si>
  <si>
    <t>Suministro y Restitucion de Graniplast (25%)</t>
  </si>
  <si>
    <t>Suministro y Restitucion de Mortero de fachada (10% 2,2)</t>
  </si>
  <si>
    <t>PINTURA</t>
  </si>
  <si>
    <t>Suministro y Aplicación de Pintura para exteriores, tipo KORAZA de Pintuco, IMPERMEABILIZANTE, en fachadas de concreto con revestimiento de graniplast</t>
  </si>
  <si>
    <t>Suministro y Aplicación de Pintura para exteriores, tipo KORAZA de Pintuco, IMPERMEABILIZANTE, sobre paredes de Concreto Limpio en fachadas</t>
  </si>
  <si>
    <t>Suministro y Aplicación de Pintura gris basalto sobre alfajias de muros en los accesos del edificio y garajes</t>
  </si>
  <si>
    <t>Suministro y Aplicación de Pintura, del tipo Pintulux tres en uno de pintuco, en puertas y ventanas de fachada</t>
  </si>
  <si>
    <t>Suministro y aplicación de pintura, del tipo pintulux 3 en 1 de pintuco, en barandas de parqueaderos</t>
  </si>
  <si>
    <t>Suministro y Aplicación de Pintura en interiores- Paredes y cielo raso de pasillos y porteria</t>
  </si>
  <si>
    <t>REPARACIONES y PROTECCIONES ESPECIALES</t>
  </si>
  <si>
    <t>Suministro e instalacion de cortagoteras en fachadas y balcones</t>
  </si>
  <si>
    <t>Retiro y Restitucion de sellos en elementos vidriados de las areas comunes y fachadas del edificio (60%)</t>
  </si>
  <si>
    <t>Suministro e Instalacion de Alfajias en lamina en el perimetro y muros medianeros de las cubiertas del edificio</t>
  </si>
  <si>
    <t>4.5</t>
  </si>
  <si>
    <t>Conformacion de escurrideros en antepechos de balcones y en otros elementos de la fachada</t>
  </si>
  <si>
    <t>4.6</t>
  </si>
  <si>
    <t>Impermeabilizacion de muros internos en las cubiertas del edificio</t>
  </si>
  <si>
    <t>TRATAMIENTO DE CUBIERTAS EN GENERAL</t>
  </si>
  <si>
    <t>Retiro de cubiertas antiguas y Suministro e Instalacion de Cubiertas Nuevas en Fibrocemento</t>
  </si>
  <si>
    <t>Suministro e instalacion de teja translucida en vacio del edificio</t>
  </si>
  <si>
    <t>Impermeabilizacion de la placa del cuarto de maquinas</t>
  </si>
  <si>
    <t>Impermeabilizacion y tratamiento general a la viga canal de cubierta</t>
  </si>
  <si>
    <t>ASEO DE OBRA Y RETIRO DE ESCOMBROS</t>
  </si>
  <si>
    <t>Aseo general durante y al final de la obra</t>
  </si>
  <si>
    <t>Retiro de Escombros y disposicion final</t>
  </si>
  <si>
    <t>Aprobado por Interventoria: Ing. Luis Fernando Márquez Jaramillo</t>
  </si>
  <si>
    <t>costo directo</t>
  </si>
  <si>
    <t>Subtotal antes de IVA</t>
  </si>
  <si>
    <t>total costo</t>
  </si>
  <si>
    <t>retefuente</t>
  </si>
  <si>
    <t>amortizac anticipo</t>
  </si>
  <si>
    <t>retegarantia</t>
  </si>
  <si>
    <t>Valor Contrato</t>
  </si>
  <si>
    <t>Total Desembolso</t>
  </si>
  <si>
    <t>Valor Anticipo</t>
  </si>
  <si>
    <t>Vr Amortizacion Anticipo esta acta</t>
  </si>
  <si>
    <t>Saldo por Amortizar</t>
  </si>
  <si>
    <t>Vr Esta Acta</t>
  </si>
  <si>
    <t>Acta 02- Periodo del</t>
  </si>
  <si>
    <t>noviembre 6 al 15 DE DICIEMBRE DE 2025</t>
  </si>
  <si>
    <t>Acumulado de actas</t>
  </si>
  <si>
    <t>octubre 6 al 15 DE DICIEMBRE DE 2025</t>
  </si>
  <si>
    <t>DIC 01 - ENE 20</t>
  </si>
  <si>
    <t>SEMANA 08 - 12</t>
  </si>
  <si>
    <t>Semana 10 - 12</t>
  </si>
  <si>
    <t>DIC 15 - ENE 20</t>
  </si>
  <si>
    <t>Total Ejecutado
Acta 03</t>
  </si>
  <si>
    <t>Acta 03- Periodo del</t>
  </si>
  <si>
    <t>diciembre 16 al 20 DE ENERO DE 2026</t>
  </si>
  <si>
    <t>ENE 20 - MAR 11</t>
  </si>
  <si>
    <t>ENE 20 -MAR 11</t>
  </si>
  <si>
    <t>Acta 04- Periodo del</t>
  </si>
  <si>
    <t>ENERO 20 AL 11 MARZO 2026</t>
  </si>
  <si>
    <t>octubre 6 al 20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</si>
</sst>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-F800]dddd\,\ mmmm\ dd\,\ yyyy"/>
    <numFmt numFmtId="166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name val="Arial Narrow"/>
      <family val="2"/>
    </font>
    <font>
      <sz val="8"/>
      <name val="Calibri"/>
      <family val="2"/>
      <scheme val="minor"/>
    </font>
    <font>
      <b/>
      <sz val="11"/>
      <color rgb="FF0070C0"/>
      <name val="Arial Narrow"/>
      <family val="2"/>
    </font>
    <font>
      <b/>
      <sz val="20"/>
      <color theme="0"/>
      <name val="Arial Narrow"/>
      <family val="2"/>
    </font>
    <font>
      <sz val="11"/>
      <color rgb="FFC00000"/>
      <name val="Arial Narrow"/>
      <family val="2"/>
    </font>
    <font>
      <b/>
      <sz val="11"/>
      <color rgb="FFC00000"/>
      <name val="Arial Narrow"/>
      <family val="2"/>
    </font>
    <font>
      <sz val="11"/>
      <color rgb="FF0070C0"/>
      <name val="Arial Narrow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sz val="16"/>
      <color theme="1"/>
      <name val="Arial Narrow"/>
      <family val="2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b/>
      <sz val="14"/>
      <color rgb="FF0070C0"/>
      <name val="Arial Narrow"/>
      <family val="2"/>
    </font>
    <font>
      <b/>
      <sz val="14"/>
      <color rgb="FFFF7B89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000000"/>
      <name val="Calibri Light"/>
      <family val="2"/>
    </font>
    <font>
      <sz val="22"/>
      <color theme="1"/>
      <name val="Arial Narrow"/>
      <family val="2"/>
    </font>
    <font>
      <b/>
      <sz val="10"/>
      <color rgb="FF000000"/>
      <name val="Arial Narrow"/>
      <family val="2"/>
    </font>
    <font>
      <b/>
      <sz val="22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447684"/>
        <bgColor indexed="64"/>
      </patternFill>
    </fill>
    <fill>
      <patternFill patternType="solid">
        <fgColor rgb="FFFCC7AA"/>
        <bgColor indexed="64"/>
      </patternFill>
    </fill>
    <fill>
      <patternFill patternType="solid">
        <fgColor rgb="FFC7DD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C9BAC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EEEBEE"/>
        <bgColor indexed="64"/>
      </patternFill>
    </fill>
    <fill>
      <patternFill patternType="solid">
        <fgColor rgb="FFD6E6EA"/>
        <bgColor indexed="64"/>
      </patternFill>
    </fill>
    <fill>
      <patternFill patternType="solid">
        <fgColor rgb="FFFFB9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2" fontId="2" fillId="8" borderId="0" xfId="0" applyNumberFormat="1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2" fontId="2" fillId="5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2" fontId="12" fillId="7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9" fontId="2" fillId="0" borderId="0" xfId="1" applyFont="1" applyAlignment="1">
      <alignment horizontal="center" vertical="center"/>
    </xf>
    <xf numFmtId="2" fontId="2" fillId="10" borderId="0" xfId="0" applyNumberFormat="1" applyFont="1" applyFill="1" applyAlignment="1">
      <alignment horizontal="center" vertical="center"/>
    </xf>
    <xf numFmtId="9" fontId="2" fillId="10" borderId="0" xfId="1" applyFont="1" applyFill="1" applyAlignment="1">
      <alignment horizontal="center" vertical="center"/>
    </xf>
    <xf numFmtId="10" fontId="3" fillId="7" borderId="0" xfId="1" applyNumberFormat="1" applyFont="1" applyFill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1" applyNumberFormat="1" applyFont="1" applyAlignment="1">
      <alignment horizontal="center" vertical="center"/>
    </xf>
    <xf numFmtId="2" fontId="3" fillId="11" borderId="0" xfId="0" applyNumberFormat="1" applyFont="1" applyFill="1" applyAlignment="1">
      <alignment horizontal="center" vertical="center"/>
    </xf>
    <xf numFmtId="10" fontId="3" fillId="11" borderId="0" xfId="0" applyNumberFormat="1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44" fontId="2" fillId="0" borderId="0" xfId="2" applyFont="1" applyAlignment="1">
      <alignment vertical="center"/>
    </xf>
    <xf numFmtId="44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2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6" fontId="2" fillId="0" borderId="0" xfId="1" applyNumberFormat="1" applyFont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2" fontId="2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4" fontId="2" fillId="0" borderId="1" xfId="2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2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vertical="center"/>
    </xf>
    <xf numFmtId="10" fontId="4" fillId="8" borderId="0" xfId="1" applyNumberFormat="1" applyFont="1" applyFill="1" applyAlignment="1">
      <alignment horizontal="center" vertical="center"/>
    </xf>
    <xf numFmtId="2" fontId="13" fillId="5" borderId="0" xfId="0" applyNumberFormat="1" applyFont="1" applyFill="1" applyAlignment="1">
      <alignment horizontal="center" vertical="center"/>
    </xf>
    <xf numFmtId="0" fontId="2" fillId="0" borderId="0" xfId="0" applyFont="1"/>
    <xf numFmtId="0" fontId="4" fillId="6" borderId="0" xfId="0" applyFont="1" applyFill="1" applyAlignment="1">
      <alignment horizontal="center" vertical="center"/>
    </xf>
    <xf numFmtId="2" fontId="2" fillId="9" borderId="0" xfId="0" applyNumberFormat="1" applyFont="1" applyFill="1" applyAlignment="1">
      <alignment horizontal="center" vertical="center"/>
    </xf>
    <xf numFmtId="9" fontId="2" fillId="9" borderId="0" xfId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9" fontId="15" fillId="0" borderId="0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2" applyNumberFormat="1" applyFont="1" applyFill="1" applyBorder="1" applyAlignment="1">
      <alignment horizontal="center" vertical="center"/>
    </xf>
    <xf numFmtId="2" fontId="23" fillId="0" borderId="0" xfId="2" applyNumberFormat="1" applyFont="1" applyFill="1" applyBorder="1" applyAlignment="1">
      <alignment horizontal="center" vertical="center"/>
    </xf>
    <xf numFmtId="1" fontId="15" fillId="0" borderId="0" xfId="2" applyNumberFormat="1" applyFont="1" applyFill="1" applyBorder="1" applyAlignment="1">
      <alignment horizontal="center" vertical="center"/>
    </xf>
    <xf numFmtId="9" fontId="24" fillId="0" borderId="0" xfId="1" applyFont="1" applyFill="1" applyBorder="1" applyAlignment="1">
      <alignment horizontal="center" vertical="center"/>
    </xf>
    <xf numFmtId="9" fontId="25" fillId="0" borderId="0" xfId="1" applyFont="1" applyFill="1" applyBorder="1" applyAlignment="1">
      <alignment horizontal="center" vertical="center"/>
    </xf>
    <xf numFmtId="9" fontId="16" fillId="0" borderId="0" xfId="1" applyFont="1" applyBorder="1" applyAlignment="1">
      <alignment horizontal="center" vertical="center"/>
    </xf>
    <xf numFmtId="1" fontId="23" fillId="0" borderId="0" xfId="2" applyNumberFormat="1" applyFont="1" applyFill="1" applyBorder="1" applyAlignment="1">
      <alignment horizontal="center" vertical="center"/>
    </xf>
    <xf numFmtId="9" fontId="16" fillId="0" borderId="0" xfId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164" fontId="15" fillId="0" borderId="0" xfId="2" applyNumberFormat="1" applyFont="1" applyFill="1" applyBorder="1" applyAlignment="1">
      <alignment horizontal="center" vertical="center"/>
    </xf>
    <xf numFmtId="166" fontId="16" fillId="0" borderId="0" xfId="1" applyNumberFormat="1" applyFont="1" applyFill="1" applyBorder="1" applyAlignment="1">
      <alignment horizontal="center" vertical="center"/>
    </xf>
    <xf numFmtId="1" fontId="16" fillId="0" borderId="0" xfId="2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 wrapText="1"/>
    </xf>
    <xf numFmtId="0" fontId="25" fillId="4" borderId="0" xfId="2" applyNumberFormat="1" applyFont="1" applyFill="1" applyBorder="1" applyAlignment="1">
      <alignment horizontal="center" vertical="center"/>
    </xf>
    <xf numFmtId="1" fontId="23" fillId="4" borderId="0" xfId="2" applyNumberFormat="1" applyFont="1" applyFill="1" applyBorder="1" applyAlignment="1">
      <alignment horizontal="center" vertical="center"/>
    </xf>
    <xf numFmtId="2" fontId="25" fillId="4" borderId="0" xfId="2" applyNumberFormat="1" applyFont="1" applyFill="1" applyBorder="1" applyAlignment="1">
      <alignment horizontal="center" vertical="center"/>
    </xf>
    <xf numFmtId="1" fontId="25" fillId="4" borderId="0" xfId="2" applyNumberFormat="1" applyFont="1" applyFill="1" applyBorder="1" applyAlignment="1">
      <alignment horizontal="center" vertical="center"/>
    </xf>
    <xf numFmtId="9" fontId="24" fillId="4" borderId="0" xfId="1" applyFont="1" applyFill="1" applyBorder="1" applyAlignment="1">
      <alignment horizontal="center" vertical="center"/>
    </xf>
    <xf numFmtId="1" fontId="25" fillId="0" borderId="0" xfId="2" applyNumberFormat="1" applyFont="1" applyFill="1" applyBorder="1" applyAlignment="1">
      <alignment horizontal="center" vertical="center"/>
    </xf>
    <xf numFmtId="1" fontId="16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 wrapText="1"/>
    </xf>
    <xf numFmtId="0" fontId="15" fillId="9" borderId="0" xfId="2" applyNumberFormat="1" applyFont="1" applyFill="1" applyBorder="1" applyAlignment="1">
      <alignment horizontal="center" vertical="center"/>
    </xf>
    <xf numFmtId="1" fontId="15" fillId="9" borderId="0" xfId="2" applyNumberFormat="1" applyFont="1" applyFill="1" applyBorder="1" applyAlignment="1">
      <alignment horizontal="center" vertical="center"/>
    </xf>
    <xf numFmtId="1" fontId="16" fillId="9" borderId="0" xfId="2" applyNumberFormat="1" applyFont="1" applyFill="1" applyBorder="1" applyAlignment="1">
      <alignment horizontal="center" vertical="center"/>
    </xf>
    <xf numFmtId="10" fontId="25" fillId="0" borderId="0" xfId="1" applyNumberFormat="1" applyFont="1" applyFill="1" applyBorder="1" applyAlignment="1">
      <alignment horizontal="center" vertical="center"/>
    </xf>
    <xf numFmtId="10" fontId="25" fillId="4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1" applyNumberFormat="1" applyFont="1" applyBorder="1" applyAlignment="1">
      <alignment horizontal="center" vertical="center"/>
    </xf>
    <xf numFmtId="9" fontId="14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0" fontId="15" fillId="9" borderId="0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6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44" fontId="0" fillId="0" borderId="1" xfId="2" applyFont="1" applyFill="1" applyBorder="1" applyAlignment="1">
      <alignment horizontal="center" vertical="center"/>
    </xf>
    <xf numFmtId="44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3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44" fontId="0" fillId="0" borderId="1" xfId="0" applyNumberFormat="1" applyBorder="1" applyAlignment="1">
      <alignment horizontal="center" vertical="center"/>
    </xf>
    <xf numFmtId="43" fontId="0" fillId="0" borderId="1" xfId="3" applyFont="1" applyFill="1" applyBorder="1" applyAlignment="1">
      <alignment vertical="center"/>
    </xf>
    <xf numFmtId="9" fontId="0" fillId="0" borderId="1" xfId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44" fontId="1" fillId="0" borderId="1" xfId="2" applyFont="1" applyFill="1" applyBorder="1" applyAlignment="1">
      <alignment vertical="center"/>
    </xf>
    <xf numFmtId="43" fontId="0" fillId="0" borderId="1" xfId="3" applyFont="1" applyFill="1" applyBorder="1" applyAlignment="1">
      <alignment horizontal="left" vertical="center" wrapText="1"/>
    </xf>
    <xf numFmtId="44" fontId="26" fillId="0" borderId="1" xfId="0" applyNumberFormat="1" applyFont="1" applyBorder="1" applyAlignment="1">
      <alignment vertical="center"/>
    </xf>
    <xf numFmtId="44" fontId="26" fillId="12" borderId="1" xfId="0" applyNumberFormat="1" applyFont="1" applyFill="1" applyBorder="1" applyAlignment="1">
      <alignment vertical="center"/>
    </xf>
    <xf numFmtId="9" fontId="26" fillId="0" borderId="1" xfId="0" applyNumberFormat="1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9" fontId="26" fillId="12" borderId="1" xfId="0" applyNumberFormat="1" applyFont="1" applyFill="1" applyBorder="1" applyAlignment="1">
      <alignment horizontal="center" vertical="center"/>
    </xf>
    <xf numFmtId="44" fontId="0" fillId="12" borderId="1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/>
    <xf numFmtId="44" fontId="26" fillId="0" borderId="0" xfId="0" applyNumberFormat="1" applyFont="1" applyAlignment="1">
      <alignment vertical="center"/>
    </xf>
    <xf numFmtId="0" fontId="0" fillId="0" borderId="1" xfId="0" applyBorder="1"/>
    <xf numFmtId="44" fontId="26" fillId="0" borderId="1" xfId="2" applyFont="1" applyFill="1" applyBorder="1"/>
    <xf numFmtId="9" fontId="26" fillId="0" borderId="1" xfId="1" applyFont="1" applyFill="1" applyBorder="1" applyAlignment="1">
      <alignment horizontal="center"/>
    </xf>
    <xf numFmtId="44" fontId="26" fillId="0" borderId="1" xfId="0" applyNumberFormat="1" applyFont="1" applyBorder="1"/>
    <xf numFmtId="9" fontId="26" fillId="0" borderId="1" xfId="1" applyFont="1" applyFill="1" applyBorder="1"/>
    <xf numFmtId="0" fontId="3" fillId="12" borderId="1" xfId="0" applyFont="1" applyFill="1" applyBorder="1" applyAlignment="1">
      <alignment horizontal="center" vertical="center" wrapText="1"/>
    </xf>
    <xf numFmtId="44" fontId="2" fillId="0" borderId="1" xfId="2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2" fillId="0" borderId="1" xfId="3" applyFont="1" applyFill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3" fontId="2" fillId="0" borderId="1" xfId="3" applyFont="1" applyFill="1" applyBorder="1" applyAlignment="1">
      <alignment vertical="center"/>
    </xf>
    <xf numFmtId="9" fontId="2" fillId="0" borderId="1" xfId="1" applyFont="1" applyFill="1" applyBorder="1" applyAlignment="1">
      <alignment vertical="center"/>
    </xf>
    <xf numFmtId="43" fontId="2" fillId="0" borderId="1" xfId="3" applyFont="1" applyFill="1" applyBorder="1" applyAlignment="1">
      <alignment horizontal="left" vertical="center" wrapText="1"/>
    </xf>
    <xf numFmtId="44" fontId="3" fillId="0" borderId="1" xfId="0" applyNumberFormat="1" applyFont="1" applyBorder="1" applyAlignment="1">
      <alignment vertical="center"/>
    </xf>
    <xf numFmtId="44" fontId="3" fillId="12" borderId="1" xfId="0" applyNumberFormat="1" applyFont="1" applyFill="1" applyBorder="1" applyAlignment="1">
      <alignment vertical="center"/>
    </xf>
    <xf numFmtId="44" fontId="3" fillId="7" borderId="1" xfId="0" applyNumberFormat="1" applyFont="1" applyFill="1" applyBorder="1" applyAlignment="1">
      <alignment vertical="center"/>
    </xf>
    <xf numFmtId="44" fontId="3" fillId="5" borderId="1" xfId="0" applyNumberFormat="1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9" fontId="3" fillId="12" borderId="1" xfId="0" applyNumberFormat="1" applyFont="1" applyFill="1" applyBorder="1" applyAlignment="1">
      <alignment horizontal="center" vertical="center"/>
    </xf>
    <xf numFmtId="44" fontId="2" fillId="12" borderId="1" xfId="2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44" fontId="2" fillId="7" borderId="1" xfId="2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44" fontId="2" fillId="5" borderId="1" xfId="2" applyFont="1" applyFill="1" applyBorder="1" applyAlignment="1">
      <alignment vertical="center"/>
    </xf>
    <xf numFmtId="0" fontId="31" fillId="0" borderId="0" xfId="0" applyFont="1"/>
    <xf numFmtId="44" fontId="3" fillId="0" borderId="0" xfId="0" applyNumberFormat="1" applyFont="1" applyAlignment="1">
      <alignment vertical="center"/>
    </xf>
    <xf numFmtId="0" fontId="2" fillId="0" borderId="1" xfId="0" applyFont="1" applyBorder="1"/>
    <xf numFmtId="44" fontId="3" fillId="0" borderId="1" xfId="2" applyFont="1" applyFill="1" applyBorder="1"/>
    <xf numFmtId="9" fontId="3" fillId="0" borderId="1" xfId="1" applyFont="1" applyFill="1" applyBorder="1" applyAlignment="1">
      <alignment horizontal="center"/>
    </xf>
    <xf numFmtId="44" fontId="3" fillId="0" borderId="1" xfId="0" applyNumberFormat="1" applyFont="1" applyBorder="1"/>
    <xf numFmtId="9" fontId="3" fillId="0" borderId="1" xfId="1" applyFont="1" applyFill="1" applyBorder="1"/>
    <xf numFmtId="43" fontId="0" fillId="0" borderId="0" xfId="0" applyNumberFormat="1"/>
    <xf numFmtId="2" fontId="2" fillId="0" borderId="1" xfId="0" applyNumberFormat="1" applyFont="1" applyBorder="1" applyAlignment="1">
      <alignment vertical="center"/>
    </xf>
    <xf numFmtId="9" fontId="16" fillId="0" borderId="0" xfId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center" vertical="center"/>
    </xf>
    <xf numFmtId="44" fontId="2" fillId="4" borderId="1" xfId="2" applyFont="1" applyFill="1" applyBorder="1" applyAlignment="1">
      <alignment vertical="center"/>
    </xf>
    <xf numFmtId="44" fontId="2" fillId="0" borderId="0" xfId="0" applyNumberFormat="1" applyFont="1"/>
    <xf numFmtId="9" fontId="2" fillId="0" borderId="0" xfId="1" applyFont="1"/>
    <xf numFmtId="44" fontId="3" fillId="5" borderId="0" xfId="0" applyNumberFormat="1" applyFont="1" applyFill="1" applyAlignment="1">
      <alignment vertical="center"/>
    </xf>
    <xf numFmtId="166" fontId="3" fillId="0" borderId="0" xfId="1" applyNumberFormat="1" applyFont="1"/>
    <xf numFmtId="166" fontId="2" fillId="0" borderId="0" xfId="1" applyNumberFormat="1" applyFont="1"/>
    <xf numFmtId="44" fontId="9" fillId="0" borderId="0" xfId="2" applyFont="1"/>
    <xf numFmtId="166" fontId="9" fillId="0" borderId="0" xfId="1" applyNumberFormat="1" applyFont="1"/>
    <xf numFmtId="166" fontId="10" fillId="0" borderId="0" xfId="1" applyNumberFormat="1" applyFont="1"/>
    <xf numFmtId="10" fontId="10" fillId="0" borderId="0" xfId="1" applyNumberFormat="1" applyFont="1"/>
    <xf numFmtId="44" fontId="9" fillId="0" borderId="0" xfId="1" applyNumberFormat="1" applyFont="1"/>
    <xf numFmtId="166" fontId="10" fillId="0" borderId="0" xfId="0" applyNumberFormat="1" applyFont="1"/>
    <xf numFmtId="44" fontId="10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5" fontId="15" fillId="0" borderId="0" xfId="1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7" fontId="4" fillId="6" borderId="0" xfId="0" applyNumberFormat="1" applyFont="1" applyFill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/>
    </xf>
    <xf numFmtId="44" fontId="3" fillId="13" borderId="1" xfId="0" applyNumberFormat="1" applyFont="1" applyFill="1" applyBorder="1" applyAlignment="1">
      <alignment horizontal="center" vertical="center"/>
    </xf>
    <xf numFmtId="43" fontId="2" fillId="13" borderId="1" xfId="3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44" fontId="2" fillId="13" borderId="1" xfId="2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vertical="center"/>
    </xf>
    <xf numFmtId="44" fontId="3" fillId="13" borderId="1" xfId="0" applyNumberFormat="1" applyFont="1" applyFill="1" applyBorder="1" applyAlignment="1">
      <alignment vertical="center"/>
    </xf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7DDE3"/>
      <color rgb="FFF2F2F2"/>
      <color rgb="FFA7C9D2"/>
      <color rgb="FF447684"/>
      <color rgb="FFFF7B89"/>
      <color rgb="FF5C9BAC"/>
      <color rgb="FFFCC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2</xdr:col>
      <xdr:colOff>1790700</xdr:colOff>
      <xdr:row>43</xdr:row>
      <xdr:rowOff>3472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28A07-4367-407A-A307-331974713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27820"/>
          <a:ext cx="2720340" cy="1100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2</xdr:col>
      <xdr:colOff>1790700</xdr:colOff>
      <xdr:row>43</xdr:row>
      <xdr:rowOff>49192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5F1322-D532-4022-8393-5CBB3B61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27820"/>
          <a:ext cx="2720340" cy="11007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2</xdr:col>
      <xdr:colOff>1790700</xdr:colOff>
      <xdr:row>43</xdr:row>
      <xdr:rowOff>49192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98DE3A-DDD3-42BC-AA89-BC9B108CC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50680"/>
          <a:ext cx="2720340" cy="1100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1628775</xdr:colOff>
      <xdr:row>1</xdr:row>
      <xdr:rowOff>38100</xdr:rowOff>
    </xdr:from>
    <xdr:to>
      <xdr:col>7</xdr:col>
      <xdr:colOff>3439498</xdr:colOff>
      <xdr:row>4</xdr:row>
      <xdr:rowOff>72300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7CD3C-6E36-41BB-BA0C-F7D92CE9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9261" y="266700"/>
          <a:ext cx="1810723" cy="72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654422</xdr:colOff>
      <xdr:row>0</xdr:row>
      <xdr:rowOff>0</xdr:rowOff>
    </xdr:from>
    <xdr:to>
      <xdr:col>11</xdr:col>
      <xdr:colOff>708062</xdr:colOff>
      <xdr:row>4</xdr:row>
      <xdr:rowOff>2824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4C197-0762-44E0-9FCC-FF9B4F516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93" y="0"/>
          <a:ext cx="1810722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932330</xdr:colOff>
      <xdr:row>49</xdr:row>
      <xdr:rowOff>134470</xdr:rowOff>
    </xdr:from>
    <xdr:to>
      <xdr:col>13</xdr:col>
      <xdr:colOff>572558</xdr:colOff>
      <xdr:row>74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6B0980-1890-42E8-AEAA-D1B110A1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7216" y="12576841"/>
          <a:ext cx="11091999" cy="4905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131908</xdr:colOff>
      <xdr:row>0</xdr:row>
      <xdr:rowOff>97971</xdr:rowOff>
    </xdr:from>
    <xdr:to>
      <xdr:col>5</xdr:col>
      <xdr:colOff>185548</xdr:colOff>
      <xdr:row>4</xdr:row>
      <xdr:rowOff>100795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FFC318-419D-4E13-AA81-130C2A608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137" y="97971"/>
          <a:ext cx="1817125" cy="699510"/>
        </a:xfrm>
        <a:prstGeom prst="rect">
          <a:avLst/>
        </a:prstGeom>
      </xdr:spPr>
    </xdr:pic>
    <xdr:clientData/>
  </xdr:twoCellAnchor>
  <xdr:twoCellAnchor editAs="oneCell">
    <xdr:from>
      <xdr:col>2</xdr:col>
      <xdr:colOff>932330</xdr:colOff>
      <xdr:row>48</xdr:row>
      <xdr:rowOff>134470</xdr:rowOff>
    </xdr:from>
    <xdr:to>
      <xdr:col>9</xdr:col>
      <xdr:colOff>797859</xdr:colOff>
      <xdr:row>65</xdr:row>
      <xdr:rowOff>9354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6A300C-D967-447E-B9A0-5AE36B94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950" y="16121230"/>
          <a:ext cx="7759849" cy="34639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654422</xdr:colOff>
      <xdr:row>0</xdr:row>
      <xdr:rowOff>0</xdr:rowOff>
    </xdr:from>
    <xdr:to>
      <xdr:col>11</xdr:col>
      <xdr:colOff>708062</xdr:colOff>
      <xdr:row>4</xdr:row>
      <xdr:rowOff>2824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4FB694-59D6-4972-8A19-8681695A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0362" y="0"/>
          <a:ext cx="1806240" cy="703864"/>
        </a:xfrm>
        <a:prstGeom prst="rect">
          <a:avLst/>
        </a:prstGeom>
      </xdr:spPr>
    </xdr:pic>
    <xdr:clientData/>
  </xdr:twoCellAnchor>
  <xdr:twoCellAnchor editAs="oneCell">
    <xdr:from>
      <xdr:col>2</xdr:col>
      <xdr:colOff>932330</xdr:colOff>
      <xdr:row>63</xdr:row>
      <xdr:rowOff>134470</xdr:rowOff>
    </xdr:from>
    <xdr:to>
      <xdr:col>9</xdr:col>
      <xdr:colOff>797859</xdr:colOff>
      <xdr:row>80</xdr:row>
      <xdr:rowOff>9355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8D6FE5-926E-4E8B-912C-E3FFF6ACC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950" y="16121230"/>
          <a:ext cx="7759849" cy="34639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371394</xdr:colOff>
      <xdr:row>0</xdr:row>
      <xdr:rowOff>43543</xdr:rowOff>
    </xdr:from>
    <xdr:to>
      <xdr:col>2</xdr:col>
      <xdr:colOff>653633</xdr:colOff>
      <xdr:row>4</xdr:row>
      <xdr:rowOff>46367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E7E7B4-AAA9-4C36-8262-925C2DAC2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394" y="43543"/>
          <a:ext cx="1817125" cy="699510"/>
        </a:xfrm>
        <a:prstGeom prst="rect">
          <a:avLst/>
        </a:prstGeom>
      </xdr:spPr>
    </xdr:pic>
    <xdr:clientData/>
  </xdr:twoCellAnchor>
  <xdr:twoCellAnchor editAs="oneCell">
    <xdr:from>
      <xdr:col>2</xdr:col>
      <xdr:colOff>932330</xdr:colOff>
      <xdr:row>62</xdr:row>
      <xdr:rowOff>134470</xdr:rowOff>
    </xdr:from>
    <xdr:to>
      <xdr:col>9</xdr:col>
      <xdr:colOff>797859</xdr:colOff>
      <xdr:row>79</xdr:row>
      <xdr:rowOff>9355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C13B3-4B93-4086-A7C9-78330714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950" y="16121230"/>
          <a:ext cx="7759849" cy="34639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67f28b1e0184dba/Desktop/PROYECTOS%20EN%20EJECUCION/ING%20CONDOMINIOS/Edificio%20El%20Mirador/INFORME%20FINAL/CUADRO%20DE%20&#193;REAS%20MIRADOR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RE 1"/>
      <sheetName val="COMPARATIVO OFERTAS"/>
      <sheetName val="recorr y pint interior"/>
      <sheetName val="recorr sin pint interior"/>
      <sheetName val="cuadro para los proponentes"/>
    </sheetNames>
    <sheetDataSet>
      <sheetData sheetId="0" refreshError="1">
        <row r="28">
          <cell r="K28">
            <v>66.600000000000009</v>
          </cell>
        </row>
        <row r="29">
          <cell r="I29">
            <v>2416.9</v>
          </cell>
        </row>
        <row r="41">
          <cell r="C41">
            <v>4333.55</v>
          </cell>
          <cell r="G41">
            <v>3313.95</v>
          </cell>
        </row>
        <row r="50">
          <cell r="L50">
            <v>1179.8900000000001</v>
          </cell>
        </row>
        <row r="51">
          <cell r="C51">
            <v>46.8</v>
          </cell>
          <cell r="D51"/>
          <cell r="E51"/>
        </row>
        <row r="53">
          <cell r="K53">
            <v>20.872499999999999</v>
          </cell>
        </row>
        <row r="55">
          <cell r="C55">
            <v>43.8</v>
          </cell>
          <cell r="D55"/>
          <cell r="E55"/>
          <cell r="K55">
            <v>32.257499999999993</v>
          </cell>
        </row>
        <row r="56">
          <cell r="F56">
            <v>169.52300000000002</v>
          </cell>
        </row>
        <row r="70">
          <cell r="L70">
            <v>314.67</v>
          </cell>
        </row>
        <row r="71">
          <cell r="G71">
            <v>12.25</v>
          </cell>
        </row>
        <row r="72">
          <cell r="G72">
            <v>382.96</v>
          </cell>
        </row>
        <row r="75">
          <cell r="G75">
            <v>53.65</v>
          </cell>
        </row>
        <row r="83">
          <cell r="L83">
            <v>346.79</v>
          </cell>
          <cell r="M83">
            <v>112.0185</v>
          </cell>
        </row>
        <row r="86">
          <cell r="K86">
            <v>395</v>
          </cell>
        </row>
        <row r="87">
          <cell r="K87">
            <v>122</v>
          </cell>
        </row>
        <row r="88">
          <cell r="K88">
            <v>35</v>
          </cell>
        </row>
        <row r="89">
          <cell r="K89">
            <v>29.6</v>
          </cell>
        </row>
        <row r="90">
          <cell r="K90">
            <v>11.8</v>
          </cell>
        </row>
        <row r="91">
          <cell r="K91">
            <v>85.3</v>
          </cell>
        </row>
        <row r="92">
          <cell r="K92">
            <v>97.600000000000009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D1C3-0721-4286-9FAA-8D77C0FB3942}">
  <dimension ref="A1:L53"/>
  <sheetViews>
    <sheetView workbookViewId="0">
      <selection activeCell="L14" sqref="L14"/>
    </sheetView>
  </sheetViews>
  <sheetFormatPr baseColWidth="10" defaultRowHeight="15" x14ac:dyDescent="0.2"/>
  <cols>
    <col min="1" max="1" width="8.5" bestFit="1" customWidth="1"/>
    <col min="2" max="2" width="5.1640625" bestFit="1" customWidth="1"/>
    <col min="3" max="3" width="58.1640625" bestFit="1" customWidth="1"/>
    <col min="4" max="4" width="7.33203125" bestFit="1" customWidth="1"/>
    <col min="5" max="6" width="18.33203125" customWidth="1"/>
    <col min="7" max="7" width="19.83203125" customWidth="1"/>
    <col min="8" max="8" width="17.33203125" bestFit="1" customWidth="1"/>
    <col min="9" max="9" width="9.1640625" bestFit="1" customWidth="1"/>
    <col min="10" max="10" width="15.5" bestFit="1" customWidth="1"/>
  </cols>
  <sheetData>
    <row r="1" spans="1:12" ht="29" x14ac:dyDescent="0.2">
      <c r="A1" s="228" t="s">
        <v>38</v>
      </c>
      <c r="B1" s="228"/>
      <c r="C1" s="228"/>
      <c r="D1" s="228"/>
      <c r="E1" s="228"/>
      <c r="F1" s="228"/>
      <c r="G1" s="228"/>
      <c r="H1" s="138"/>
      <c r="I1" s="138"/>
      <c r="J1" s="138"/>
    </row>
    <row r="2" spans="1:12" ht="21" x14ac:dyDescent="0.2">
      <c r="A2" s="229" t="s">
        <v>146</v>
      </c>
      <c r="B2" s="229"/>
      <c r="C2" s="229"/>
      <c r="D2" s="229"/>
      <c r="E2" s="229"/>
      <c r="F2" s="229"/>
      <c r="G2" s="229"/>
      <c r="H2" s="138"/>
      <c r="I2" s="138"/>
      <c r="J2" s="138"/>
    </row>
    <row r="3" spans="1:12" x14ac:dyDescent="0.2">
      <c r="A3" s="230" t="s">
        <v>147</v>
      </c>
      <c r="B3" s="230"/>
      <c r="C3" s="230"/>
      <c r="D3" s="230"/>
      <c r="E3" s="231" t="s">
        <v>148</v>
      </c>
      <c r="F3" s="231"/>
      <c r="G3" s="231"/>
      <c r="H3" s="138"/>
      <c r="I3" s="138"/>
      <c r="J3" s="138"/>
    </row>
    <row r="4" spans="1:12" ht="16" x14ac:dyDescent="0.2">
      <c r="A4" s="232" t="s">
        <v>149</v>
      </c>
      <c r="B4" s="232"/>
      <c r="C4" s="232"/>
      <c r="D4" s="232"/>
      <c r="E4" s="233" t="s">
        <v>150</v>
      </c>
      <c r="F4" s="233"/>
      <c r="G4" s="139" t="s">
        <v>151</v>
      </c>
      <c r="H4" s="234" t="s">
        <v>152</v>
      </c>
      <c r="I4" s="234"/>
      <c r="J4" s="234"/>
    </row>
    <row r="5" spans="1:12" x14ac:dyDescent="0.2">
      <c r="A5" s="230" t="s">
        <v>153</v>
      </c>
      <c r="B5" s="230"/>
      <c r="C5" s="230"/>
      <c r="D5" s="230"/>
      <c r="E5" s="230"/>
      <c r="F5" s="230"/>
      <c r="G5" s="230"/>
      <c r="H5" s="234" t="s">
        <v>154</v>
      </c>
      <c r="I5" s="234"/>
      <c r="J5" s="234"/>
    </row>
    <row r="6" spans="1:12" x14ac:dyDescent="0.2">
      <c r="A6" s="140" t="s">
        <v>90</v>
      </c>
      <c r="B6" s="140" t="s">
        <v>155</v>
      </c>
      <c r="C6" s="140" t="s">
        <v>156</v>
      </c>
      <c r="D6" s="140" t="s">
        <v>91</v>
      </c>
      <c r="E6" s="140" t="s">
        <v>92</v>
      </c>
      <c r="F6" s="140" t="s">
        <v>93</v>
      </c>
      <c r="G6" s="140" t="s">
        <v>157</v>
      </c>
      <c r="H6" s="141" t="s">
        <v>92</v>
      </c>
      <c r="I6" s="141" t="s">
        <v>158</v>
      </c>
      <c r="J6" s="141" t="s">
        <v>157</v>
      </c>
    </row>
    <row r="7" spans="1:12" x14ac:dyDescent="0.2">
      <c r="A7" s="141">
        <v>1</v>
      </c>
      <c r="B7" s="141"/>
      <c r="C7" s="142" t="s">
        <v>159</v>
      </c>
      <c r="D7" s="140"/>
      <c r="E7" s="140"/>
      <c r="F7" s="143"/>
      <c r="G7" s="144">
        <f>+G8+G9+G10+G11</f>
        <v>6300000</v>
      </c>
      <c r="H7" s="138"/>
      <c r="I7" s="138"/>
      <c r="J7" s="144">
        <f>+J8+J9+J10+J11</f>
        <v>75000</v>
      </c>
    </row>
    <row r="8" spans="1:12" x14ac:dyDescent="0.2">
      <c r="A8" s="140"/>
      <c r="B8" s="140" t="s">
        <v>19</v>
      </c>
      <c r="C8" s="145" t="s">
        <v>160</v>
      </c>
      <c r="D8" s="140" t="s">
        <v>161</v>
      </c>
      <c r="E8" s="146">
        <v>1</v>
      </c>
      <c r="F8" s="147">
        <v>700000</v>
      </c>
      <c r="G8" s="148">
        <f t="shared" ref="G8:G10" si="0">+E8*F8</f>
        <v>700000</v>
      </c>
      <c r="H8" s="149">
        <v>0</v>
      </c>
      <c r="I8" s="150">
        <f>+H8/$E$8</f>
        <v>0</v>
      </c>
      <c r="J8" s="147">
        <f>+$F$8*H8</f>
        <v>0</v>
      </c>
    </row>
    <row r="9" spans="1:12" x14ac:dyDescent="0.2">
      <c r="A9" s="140"/>
      <c r="B9" s="140" t="s">
        <v>18</v>
      </c>
      <c r="C9" s="145" t="s">
        <v>95</v>
      </c>
      <c r="D9" s="140" t="s">
        <v>161</v>
      </c>
      <c r="E9" s="146">
        <v>1</v>
      </c>
      <c r="F9" s="147">
        <v>300000</v>
      </c>
      <c r="G9" s="148">
        <f t="shared" si="0"/>
        <v>300000</v>
      </c>
      <c r="H9" s="149">
        <v>0.25</v>
      </c>
      <c r="I9" s="150">
        <f>+H9/$E$9</f>
        <v>0.25</v>
      </c>
      <c r="J9" s="147">
        <f>+$F$9*H9</f>
        <v>75000</v>
      </c>
    </row>
    <row r="10" spans="1:12" x14ac:dyDescent="0.2">
      <c r="A10" s="140"/>
      <c r="B10" s="140" t="s">
        <v>17</v>
      </c>
      <c r="C10" s="145" t="s">
        <v>162</v>
      </c>
      <c r="D10" s="140" t="s">
        <v>161</v>
      </c>
      <c r="E10" s="146">
        <v>1</v>
      </c>
      <c r="F10" s="147">
        <v>300000</v>
      </c>
      <c r="G10" s="148">
        <f t="shared" si="0"/>
        <v>300000</v>
      </c>
      <c r="H10" s="149">
        <v>0</v>
      </c>
      <c r="I10" s="150">
        <f>+H10/$E$10</f>
        <v>0</v>
      </c>
      <c r="J10" s="147">
        <f>+$F$10*H10</f>
        <v>0</v>
      </c>
    </row>
    <row r="11" spans="1:12" x14ac:dyDescent="0.2">
      <c r="A11" s="140"/>
      <c r="B11" s="140" t="s">
        <v>16</v>
      </c>
      <c r="C11" s="145" t="s">
        <v>163</v>
      </c>
      <c r="D11" s="140" t="s">
        <v>161</v>
      </c>
      <c r="E11" s="146">
        <v>1</v>
      </c>
      <c r="F11" s="147">
        <v>5000000</v>
      </c>
      <c r="G11" s="148">
        <f>+E11*F11</f>
        <v>5000000</v>
      </c>
      <c r="H11" s="149">
        <v>0</v>
      </c>
      <c r="I11" s="150">
        <f>+H11/$E$11</f>
        <v>0</v>
      </c>
      <c r="J11" s="147">
        <f>+$F$11*H11</f>
        <v>0</v>
      </c>
    </row>
    <row r="12" spans="1:12" x14ac:dyDescent="0.2">
      <c r="A12" s="141">
        <v>2</v>
      </c>
      <c r="B12" s="141"/>
      <c r="C12" s="151" t="s">
        <v>164</v>
      </c>
      <c r="D12" s="151"/>
      <c r="E12" s="151"/>
      <c r="F12" s="151"/>
      <c r="G12" s="144">
        <f>+G13+G14+G15</f>
        <v>53145175.620000005</v>
      </c>
      <c r="H12" s="149"/>
      <c r="I12" s="138"/>
      <c r="J12" s="144">
        <f>+J13+J14+J15</f>
        <v>12732524.800000001</v>
      </c>
    </row>
    <row r="13" spans="1:12" x14ac:dyDescent="0.2">
      <c r="A13" s="140"/>
      <c r="B13" s="140" t="s">
        <v>15</v>
      </c>
      <c r="C13" s="145" t="s">
        <v>96</v>
      </c>
      <c r="D13" s="140" t="s">
        <v>2</v>
      </c>
      <c r="E13" s="146">
        <f>+'[1]TORRE 1'!C41+'[1]TORRE 1'!L70+'[1]TORRE 1'!M83+'[1]TORRE 1'!K92+'[1]TORRE 1'!K91+'[1]TORRE 1'!K90+'[1]TORRE 1'!K89+'[1]TORRE 1'!K88</f>
        <v>5019.5385000000015</v>
      </c>
      <c r="F13" s="147">
        <v>3120</v>
      </c>
      <c r="G13" s="148">
        <f>+E13*F13</f>
        <v>15660960.120000005</v>
      </c>
      <c r="H13" s="149">
        <v>1970.04</v>
      </c>
      <c r="I13" s="150">
        <f>+H13/$E$13</f>
        <v>0.39247432806820776</v>
      </c>
      <c r="J13" s="147">
        <f>+$F$13*H13</f>
        <v>6146524.7999999998</v>
      </c>
    </row>
    <row r="14" spans="1:12" x14ac:dyDescent="0.2">
      <c r="A14" s="140"/>
      <c r="B14" s="140" t="s">
        <v>14</v>
      </c>
      <c r="C14" s="145" t="s">
        <v>165</v>
      </c>
      <c r="D14" s="140" t="s">
        <v>2</v>
      </c>
      <c r="E14" s="146">
        <f>+E17*0.25</f>
        <v>949.53575000000001</v>
      </c>
      <c r="F14" s="147">
        <v>34000</v>
      </c>
      <c r="G14" s="148">
        <f>+E14*F14</f>
        <v>32284215.5</v>
      </c>
      <c r="H14" s="149">
        <v>105</v>
      </c>
      <c r="I14" s="150">
        <f>+H14/$E$14</f>
        <v>0.11058035466279179</v>
      </c>
      <c r="J14" s="147">
        <f>+$F$14*H14</f>
        <v>3570000</v>
      </c>
      <c r="L14" s="199"/>
    </row>
    <row r="15" spans="1:12" x14ac:dyDescent="0.2">
      <c r="A15" s="140"/>
      <c r="B15" s="140" t="s">
        <v>13</v>
      </c>
      <c r="C15" s="145" t="s">
        <v>166</v>
      </c>
      <c r="D15" s="140" t="s">
        <v>2</v>
      </c>
      <c r="E15" s="146">
        <v>100</v>
      </c>
      <c r="F15" s="147">
        <v>52000</v>
      </c>
      <c r="G15" s="148">
        <f>+E15*F15</f>
        <v>5200000</v>
      </c>
      <c r="H15" s="149">
        <v>58</v>
      </c>
      <c r="I15" s="150">
        <f>+H15/$E$15</f>
        <v>0.57999999999999996</v>
      </c>
      <c r="J15" s="147">
        <f>+$F$15*H15</f>
        <v>3016000</v>
      </c>
    </row>
    <row r="16" spans="1:12" x14ac:dyDescent="0.2">
      <c r="A16" s="141">
        <v>3</v>
      </c>
      <c r="B16" s="140"/>
      <c r="C16" s="151" t="s">
        <v>167</v>
      </c>
      <c r="D16" s="151"/>
      <c r="E16" s="151"/>
      <c r="F16" s="151"/>
      <c r="G16" s="144">
        <f>+G17+G18+G19+G20+G21+G22</f>
        <v>90759900.537349313</v>
      </c>
      <c r="H16" s="149"/>
      <c r="I16" s="138"/>
      <c r="J16" s="144">
        <f>+J17+J18+J19+J20+J21+J22</f>
        <v>14663300</v>
      </c>
    </row>
    <row r="17" spans="1:10" ht="48" x14ac:dyDescent="0.2">
      <c r="A17" s="140"/>
      <c r="B17" s="140" t="s">
        <v>12</v>
      </c>
      <c r="C17" s="152" t="s">
        <v>168</v>
      </c>
      <c r="D17" s="140" t="s">
        <v>2</v>
      </c>
      <c r="E17" s="146">
        <f>+'[1]TORRE 1'!G41+'[1]TORRE 1'!F56+'[1]TORRE 1'!L70</f>
        <v>3798.143</v>
      </c>
      <c r="F17" s="147">
        <v>17500</v>
      </c>
      <c r="G17" s="148">
        <f t="shared" ref="G17:G29" si="1">+E17*F17</f>
        <v>66467502.5</v>
      </c>
      <c r="H17" s="149">
        <v>433.64</v>
      </c>
      <c r="I17" s="150">
        <f>+H17/$E$17</f>
        <v>0.11417158332374532</v>
      </c>
      <c r="J17" s="147">
        <f>+$F$17*H17</f>
        <v>7588700</v>
      </c>
    </row>
    <row r="18" spans="1:10" ht="48" x14ac:dyDescent="0.2">
      <c r="A18" s="140"/>
      <c r="B18" s="140" t="s">
        <v>11</v>
      </c>
      <c r="C18" s="152" t="s">
        <v>169</v>
      </c>
      <c r="D18" s="140" t="s">
        <v>2</v>
      </c>
      <c r="E18" s="146">
        <f>+'[1]TORRE 1'!G72</f>
        <v>382.96</v>
      </c>
      <c r="F18" s="153">
        <v>19400.284722554105</v>
      </c>
      <c r="G18" s="148">
        <f t="shared" si="1"/>
        <v>7429533.0373493191</v>
      </c>
      <c r="H18" s="149">
        <v>0</v>
      </c>
      <c r="I18" s="150">
        <f>+H18/$E$18</f>
        <v>0</v>
      </c>
      <c r="J18" s="147">
        <f>+$F$18*H18</f>
        <v>0</v>
      </c>
    </row>
    <row r="19" spans="1:10" ht="32" x14ac:dyDescent="0.2">
      <c r="A19" s="140"/>
      <c r="B19" s="140" t="s">
        <v>10</v>
      </c>
      <c r="C19" s="152" t="s">
        <v>170</v>
      </c>
      <c r="D19" s="140" t="s">
        <v>4</v>
      </c>
      <c r="E19" s="146">
        <f>+'[1]TORRE 1'!G75</f>
        <v>53.65</v>
      </c>
      <c r="F19" s="147">
        <v>8100</v>
      </c>
      <c r="G19" s="148">
        <f t="shared" si="1"/>
        <v>434565</v>
      </c>
      <c r="H19" s="149">
        <v>0</v>
      </c>
      <c r="I19" s="150">
        <f>+H19/$E$19</f>
        <v>0</v>
      </c>
      <c r="J19" s="147">
        <f>+$F$19*H19</f>
        <v>0</v>
      </c>
    </row>
    <row r="20" spans="1:10" ht="32" x14ac:dyDescent="0.2">
      <c r="A20" s="140"/>
      <c r="B20" s="140" t="s">
        <v>9</v>
      </c>
      <c r="C20" s="152" t="s">
        <v>171</v>
      </c>
      <c r="D20" s="140" t="s">
        <v>2</v>
      </c>
      <c r="E20" s="149">
        <f>2.2*2+('[1]TORRE 1'!K28)</f>
        <v>71.000000000000014</v>
      </c>
      <c r="F20" s="147">
        <v>24300</v>
      </c>
      <c r="G20" s="148">
        <f t="shared" si="1"/>
        <v>1725300.0000000002</v>
      </c>
      <c r="H20" s="149">
        <v>0</v>
      </c>
      <c r="I20" s="150">
        <f>+H20/$E$20</f>
        <v>0</v>
      </c>
      <c r="J20" s="147">
        <f>+$F$20*H20</f>
        <v>0</v>
      </c>
    </row>
    <row r="21" spans="1:10" ht="32" x14ac:dyDescent="0.2">
      <c r="A21" s="140"/>
      <c r="B21" s="140" t="s">
        <v>8</v>
      </c>
      <c r="C21" s="152" t="s">
        <v>172</v>
      </c>
      <c r="D21" s="140" t="s">
        <v>4</v>
      </c>
      <c r="E21" s="149">
        <f>+(5.5+2.6)*3</f>
        <v>24.299999999999997</v>
      </c>
      <c r="F21" s="147">
        <v>22400</v>
      </c>
      <c r="G21" s="148">
        <f t="shared" si="1"/>
        <v>544319.99999999988</v>
      </c>
      <c r="H21" s="149">
        <v>0</v>
      </c>
      <c r="I21" s="150">
        <f>+H21/$E$21</f>
        <v>0</v>
      </c>
      <c r="J21" s="147">
        <f>+$F$21*H21</f>
        <v>0</v>
      </c>
    </row>
    <row r="22" spans="1:10" ht="32" x14ac:dyDescent="0.2">
      <c r="A22" s="140"/>
      <c r="B22" s="140" t="s">
        <v>7</v>
      </c>
      <c r="C22" s="152" t="s">
        <v>173</v>
      </c>
      <c r="D22" s="140" t="s">
        <v>2</v>
      </c>
      <c r="E22" s="146">
        <f>+'[1]TORRE 1'!L50</f>
        <v>1179.8900000000001</v>
      </c>
      <c r="F22" s="147">
        <v>12000</v>
      </c>
      <c r="G22" s="148">
        <f t="shared" si="1"/>
        <v>14158680.000000002</v>
      </c>
      <c r="H22" s="149">
        <v>589.54999999999995</v>
      </c>
      <c r="I22" s="150">
        <f>+H22/$E$22</f>
        <v>0.49966522302926536</v>
      </c>
      <c r="J22" s="147">
        <f>+$F$22*H22</f>
        <v>7074599.9999999991</v>
      </c>
    </row>
    <row r="23" spans="1:10" x14ac:dyDescent="0.2">
      <c r="A23" s="140">
        <v>4</v>
      </c>
      <c r="B23" s="140"/>
      <c r="C23" s="151" t="s">
        <v>174</v>
      </c>
      <c r="D23" s="151"/>
      <c r="E23" s="151"/>
      <c r="F23" s="151"/>
      <c r="G23" s="144">
        <f>+G24+G25+G26+G27+G28+G29</f>
        <v>38695429.640000001</v>
      </c>
      <c r="H23" s="149"/>
      <c r="I23" s="138"/>
      <c r="J23" s="144">
        <f>+J24+J25+J26+J27+J28+J29</f>
        <v>635804</v>
      </c>
    </row>
    <row r="24" spans="1:10" x14ac:dyDescent="0.2">
      <c r="A24" s="140"/>
      <c r="B24" s="140" t="s">
        <v>6</v>
      </c>
      <c r="C24" s="145" t="s">
        <v>175</v>
      </c>
      <c r="D24" s="140" t="s">
        <v>4</v>
      </c>
      <c r="E24" s="146">
        <f>+'[1]TORRE 1'!L83</f>
        <v>346.79</v>
      </c>
      <c r="F24" s="147">
        <v>37000</v>
      </c>
      <c r="G24" s="148">
        <f t="shared" si="1"/>
        <v>12831230</v>
      </c>
      <c r="H24" s="149">
        <v>0</v>
      </c>
      <c r="I24" s="150">
        <f>+H24/$E$24</f>
        <v>0</v>
      </c>
      <c r="J24" s="147">
        <f>+$F$24*H24</f>
        <v>0</v>
      </c>
    </row>
    <row r="25" spans="1:10" ht="32" x14ac:dyDescent="0.2">
      <c r="A25" s="140"/>
      <c r="B25" s="140" t="s">
        <v>5</v>
      </c>
      <c r="C25" s="152" t="s">
        <v>176</v>
      </c>
      <c r="D25" s="140" t="s">
        <v>4</v>
      </c>
      <c r="E25" s="146">
        <f>+'[1]TORRE 1'!I29*0.6</f>
        <v>1450.14</v>
      </c>
      <c r="F25" s="147">
        <v>5200</v>
      </c>
      <c r="G25" s="148">
        <f t="shared" si="1"/>
        <v>7540728.0000000009</v>
      </c>
      <c r="H25" s="149">
        <v>122.27</v>
      </c>
      <c r="I25" s="150">
        <f>+H25/$E$25</f>
        <v>8.4315997076144358E-2</v>
      </c>
      <c r="J25" s="147">
        <f>+$F$25*H25</f>
        <v>635804</v>
      </c>
    </row>
    <row r="26" spans="1:10" ht="16" x14ac:dyDescent="0.2">
      <c r="A26" s="140"/>
      <c r="B26" s="140" t="s">
        <v>3</v>
      </c>
      <c r="C26" s="152" t="s">
        <v>97</v>
      </c>
      <c r="D26" s="140" t="s">
        <v>4</v>
      </c>
      <c r="E26" s="146">
        <f>+'[1]TORRE 1'!L83</f>
        <v>346.79</v>
      </c>
      <c r="F26" s="147">
        <v>5200</v>
      </c>
      <c r="G26" s="148">
        <f t="shared" si="1"/>
        <v>1803308</v>
      </c>
      <c r="H26" s="149">
        <v>0</v>
      </c>
      <c r="I26" s="150">
        <f>+H26/$E$26</f>
        <v>0</v>
      </c>
      <c r="J26" s="147">
        <f>+$F$26*H26</f>
        <v>0</v>
      </c>
    </row>
    <row r="27" spans="1:10" ht="32" x14ac:dyDescent="0.2">
      <c r="A27" s="140"/>
      <c r="B27" s="140" t="s">
        <v>20</v>
      </c>
      <c r="C27" s="152" t="s">
        <v>177</v>
      </c>
      <c r="D27" s="140" t="s">
        <v>4</v>
      </c>
      <c r="E27" s="146">
        <f>+'[1]TORRE 1'!K87</f>
        <v>122</v>
      </c>
      <c r="F27" s="147">
        <v>63000</v>
      </c>
      <c r="G27" s="148">
        <f t="shared" si="1"/>
        <v>7686000</v>
      </c>
      <c r="H27" s="149">
        <v>0</v>
      </c>
      <c r="I27" s="150">
        <f>+H27/$E$27</f>
        <v>0</v>
      </c>
      <c r="J27" s="147">
        <f>+$F$27*H27</f>
        <v>0</v>
      </c>
    </row>
    <row r="28" spans="1:10" ht="32" x14ac:dyDescent="0.2">
      <c r="A28" s="140"/>
      <c r="B28" s="140" t="s">
        <v>178</v>
      </c>
      <c r="C28" s="152" t="s">
        <v>179</v>
      </c>
      <c r="D28" s="140" t="s">
        <v>2</v>
      </c>
      <c r="E28" s="146">
        <f>+('[1]TORRE 1'!M83+'[1]TORRE 1'!K53+'[1]TORRE 1'!K55+'[1]TORRE 1'!C55:E55+'[1]TORRE 1'!C51:E51)*0.2+'[1]TORRE 1'!G71</f>
        <v>45.279699999999998</v>
      </c>
      <c r="F28" s="147">
        <v>41200</v>
      </c>
      <c r="G28" s="148">
        <f t="shared" si="1"/>
        <v>1865523.64</v>
      </c>
      <c r="H28" s="149">
        <v>0</v>
      </c>
      <c r="I28" s="150">
        <f>+H28/$E$28</f>
        <v>0</v>
      </c>
      <c r="J28" s="147">
        <f>+$F$28*H28</f>
        <v>0</v>
      </c>
    </row>
    <row r="29" spans="1:10" ht="16" x14ac:dyDescent="0.2">
      <c r="A29" s="140"/>
      <c r="B29" s="140" t="s">
        <v>180</v>
      </c>
      <c r="C29" s="154" t="s">
        <v>181</v>
      </c>
      <c r="D29" s="140" t="s">
        <v>2</v>
      </c>
      <c r="E29" s="146">
        <f>+'[1]TORRE 1'!K92</f>
        <v>97.600000000000009</v>
      </c>
      <c r="F29" s="147">
        <v>71400</v>
      </c>
      <c r="G29" s="148">
        <f t="shared" si="1"/>
        <v>6968640.0000000009</v>
      </c>
      <c r="H29" s="149">
        <v>0</v>
      </c>
      <c r="I29" s="150">
        <f>+H29/$E$29</f>
        <v>0</v>
      </c>
      <c r="J29" s="147">
        <f>+$F$29*H29</f>
        <v>0</v>
      </c>
    </row>
    <row r="30" spans="1:10" x14ac:dyDescent="0.2">
      <c r="A30" s="140">
        <v>5</v>
      </c>
      <c r="B30" s="140"/>
      <c r="C30" s="151" t="s">
        <v>182</v>
      </c>
      <c r="D30" s="151"/>
      <c r="E30" s="151"/>
      <c r="F30" s="151"/>
      <c r="G30" s="155">
        <f>+G31+G32+G33+G34</f>
        <v>29601800</v>
      </c>
      <c r="H30" s="149"/>
      <c r="I30" s="138"/>
      <c r="J30" s="155">
        <f>+J31+J32+J33+J34</f>
        <v>0</v>
      </c>
    </row>
    <row r="31" spans="1:10" ht="32" x14ac:dyDescent="0.2">
      <c r="A31" s="140"/>
      <c r="B31" s="140" t="s">
        <v>1</v>
      </c>
      <c r="C31" s="152" t="s">
        <v>183</v>
      </c>
      <c r="D31" s="140" t="s">
        <v>2</v>
      </c>
      <c r="E31" s="140">
        <f>+'[1]TORRE 1'!K86</f>
        <v>395</v>
      </c>
      <c r="F31" s="147">
        <v>65000</v>
      </c>
      <c r="G31" s="148">
        <f>+E31*F31</f>
        <v>25675000</v>
      </c>
      <c r="H31" s="149">
        <v>0</v>
      </c>
      <c r="I31" s="150">
        <f>+H31/$E$31</f>
        <v>0</v>
      </c>
      <c r="J31" s="147">
        <f>+$F$31*H31</f>
        <v>0</v>
      </c>
    </row>
    <row r="32" spans="1:10" ht="16" x14ac:dyDescent="0.2">
      <c r="A32" s="138"/>
      <c r="B32" s="140" t="s">
        <v>21</v>
      </c>
      <c r="C32" s="152" t="s">
        <v>184</v>
      </c>
      <c r="D32" s="140" t="s">
        <v>2</v>
      </c>
      <c r="E32" s="140">
        <v>29.6</v>
      </c>
      <c r="F32" s="147">
        <v>71000</v>
      </c>
      <c r="G32" s="148">
        <f t="shared" ref="G32:G37" si="2">+E32*F32</f>
        <v>2101600</v>
      </c>
      <c r="H32" s="149">
        <v>0</v>
      </c>
      <c r="I32" s="150">
        <f>+H32/$E$32</f>
        <v>0</v>
      </c>
      <c r="J32" s="147">
        <f>+$F$32*H32</f>
        <v>0</v>
      </c>
    </row>
    <row r="33" spans="1:10" ht="16" x14ac:dyDescent="0.2">
      <c r="A33" s="140"/>
      <c r="B33" s="140" t="s">
        <v>22</v>
      </c>
      <c r="C33" s="152" t="s">
        <v>185</v>
      </c>
      <c r="D33" s="140" t="s">
        <v>2</v>
      </c>
      <c r="E33" s="140">
        <v>35</v>
      </c>
      <c r="F33" s="147">
        <v>39000</v>
      </c>
      <c r="G33" s="148">
        <f>+E33*F33</f>
        <v>1365000</v>
      </c>
      <c r="H33" s="149">
        <v>0</v>
      </c>
      <c r="I33" s="150">
        <f>+H33/$E$33</f>
        <v>0</v>
      </c>
      <c r="J33" s="147">
        <f>+$F$33*H33</f>
        <v>0</v>
      </c>
    </row>
    <row r="34" spans="1:10" ht="16" x14ac:dyDescent="0.2">
      <c r="A34" s="138"/>
      <c r="B34" s="140" t="s">
        <v>23</v>
      </c>
      <c r="C34" s="152" t="s">
        <v>186</v>
      </c>
      <c r="D34" s="140" t="s">
        <v>2</v>
      </c>
      <c r="E34" s="140">
        <v>11.8</v>
      </c>
      <c r="F34" s="147">
        <v>39000</v>
      </c>
      <c r="G34" s="148">
        <f t="shared" si="2"/>
        <v>460200</v>
      </c>
      <c r="H34" s="149">
        <v>0</v>
      </c>
      <c r="I34" s="150">
        <f>+H34/$E$34</f>
        <v>0</v>
      </c>
      <c r="J34" s="147">
        <f>+$F$34*H34</f>
        <v>0</v>
      </c>
    </row>
    <row r="35" spans="1:10" x14ac:dyDescent="0.2">
      <c r="A35" s="140">
        <v>6</v>
      </c>
      <c r="B35" s="140"/>
      <c r="C35" s="151" t="s">
        <v>187</v>
      </c>
      <c r="D35" s="140"/>
      <c r="E35" s="140"/>
      <c r="F35" s="143"/>
      <c r="G35" s="155">
        <f>+G36+G37</f>
        <v>1800000</v>
      </c>
      <c r="H35" s="149"/>
      <c r="I35" s="138"/>
      <c r="J35" s="155">
        <f>+J36+J37</f>
        <v>0</v>
      </c>
    </row>
    <row r="36" spans="1:10" ht="16" x14ac:dyDescent="0.2">
      <c r="A36" s="138"/>
      <c r="B36" s="140" t="s">
        <v>24</v>
      </c>
      <c r="C36" s="152" t="s">
        <v>188</v>
      </c>
      <c r="D36" s="140" t="s">
        <v>161</v>
      </c>
      <c r="E36" s="140">
        <v>1</v>
      </c>
      <c r="F36" s="147">
        <v>500000</v>
      </c>
      <c r="G36" s="148">
        <f t="shared" si="2"/>
        <v>500000</v>
      </c>
      <c r="H36" s="149">
        <v>0</v>
      </c>
      <c r="I36" s="150">
        <f>+H36/$E$36</f>
        <v>0</v>
      </c>
      <c r="J36" s="147">
        <f>+$F$36*H36</f>
        <v>0</v>
      </c>
    </row>
    <row r="37" spans="1:10" ht="16" x14ac:dyDescent="0.2">
      <c r="A37" s="138"/>
      <c r="B37" s="140" t="s">
        <v>25</v>
      </c>
      <c r="C37" s="152" t="s">
        <v>189</v>
      </c>
      <c r="D37" s="140" t="s">
        <v>161</v>
      </c>
      <c r="E37" s="140">
        <v>1</v>
      </c>
      <c r="F37" s="147">
        <v>1300000</v>
      </c>
      <c r="G37" s="148">
        <f t="shared" si="2"/>
        <v>1300000</v>
      </c>
      <c r="H37" s="149">
        <v>0</v>
      </c>
      <c r="I37" s="150">
        <f>+H37/$E$37</f>
        <v>0</v>
      </c>
      <c r="J37" s="147">
        <f>+$F$37*H37</f>
        <v>0</v>
      </c>
    </row>
    <row r="38" spans="1:10" x14ac:dyDescent="0.2">
      <c r="A38" s="235" t="s">
        <v>190</v>
      </c>
      <c r="B38" s="235"/>
      <c r="C38" s="235"/>
      <c r="D38" s="235"/>
      <c r="E38" s="230" t="s">
        <v>191</v>
      </c>
      <c r="F38" s="230"/>
      <c r="G38" s="155">
        <f>+G7+G12+G16+G23+G30+G35</f>
        <v>220302305.79734933</v>
      </c>
      <c r="H38" s="234" t="s">
        <v>191</v>
      </c>
      <c r="I38" s="234"/>
      <c r="J38" s="156">
        <f>+J7+J12+J16+J23+J30+J35</f>
        <v>28106628.800000001</v>
      </c>
    </row>
    <row r="39" spans="1:10" x14ac:dyDescent="0.2">
      <c r="A39" s="235"/>
      <c r="B39" s="235"/>
      <c r="C39" s="235"/>
      <c r="D39" s="235"/>
      <c r="E39" s="141" t="s">
        <v>98</v>
      </c>
      <c r="F39" s="157">
        <v>0.08</v>
      </c>
      <c r="G39" s="155">
        <f>+$G$38*F39</f>
        <v>17624184.463787947</v>
      </c>
      <c r="H39" s="158" t="s">
        <v>98</v>
      </c>
      <c r="I39" s="159">
        <v>0.08</v>
      </c>
      <c r="J39" s="160">
        <f>+J38*I39</f>
        <v>2248530.304</v>
      </c>
    </row>
    <row r="40" spans="1:10" x14ac:dyDescent="0.2">
      <c r="A40" s="235"/>
      <c r="B40" s="235"/>
      <c r="C40" s="235"/>
      <c r="D40" s="235"/>
      <c r="E40" s="141" t="s">
        <v>99</v>
      </c>
      <c r="F40" s="157">
        <v>0.03</v>
      </c>
      <c r="G40" s="155">
        <f t="shared" ref="G40:G41" si="3">+$G$38*F40</f>
        <v>6609069.1739204796</v>
      </c>
      <c r="H40" s="158" t="s">
        <v>99</v>
      </c>
      <c r="I40" s="159">
        <v>0.03</v>
      </c>
      <c r="J40" s="160">
        <f>+J38*I40</f>
        <v>843198.86399999994</v>
      </c>
    </row>
    <row r="41" spans="1:10" x14ac:dyDescent="0.2">
      <c r="A41" s="235"/>
      <c r="B41" s="235"/>
      <c r="C41" s="235"/>
      <c r="D41" s="235"/>
      <c r="E41" s="141" t="s">
        <v>100</v>
      </c>
      <c r="F41" s="157">
        <v>0.05</v>
      </c>
      <c r="G41" s="155">
        <f t="shared" si="3"/>
        <v>11015115.289867468</v>
      </c>
      <c r="H41" s="158" t="s">
        <v>100</v>
      </c>
      <c r="I41" s="159">
        <v>0.05</v>
      </c>
      <c r="J41" s="160">
        <f>+J38*I41</f>
        <v>1405331.4400000002</v>
      </c>
    </row>
    <row r="42" spans="1:10" x14ac:dyDescent="0.2">
      <c r="A42" s="235"/>
      <c r="B42" s="235"/>
      <c r="C42" s="235"/>
      <c r="D42" s="235"/>
      <c r="E42" s="230" t="s">
        <v>192</v>
      </c>
      <c r="F42" s="230"/>
      <c r="G42" s="155">
        <f>+G38+G39+G40+G41</f>
        <v>255550674.72492522</v>
      </c>
      <c r="H42" s="234" t="s">
        <v>192</v>
      </c>
      <c r="I42" s="234"/>
      <c r="J42" s="156">
        <f>+J38+J39+J40+J41</f>
        <v>32603689.408000004</v>
      </c>
    </row>
    <row r="43" spans="1:10" x14ac:dyDescent="0.2">
      <c r="A43" s="235"/>
      <c r="B43" s="235"/>
      <c r="C43" s="235"/>
      <c r="D43" s="235"/>
      <c r="E43" s="141" t="s">
        <v>101</v>
      </c>
      <c r="F43" s="157">
        <v>0.19</v>
      </c>
      <c r="G43" s="155">
        <f>+G41*F43</f>
        <v>2092871.905074819</v>
      </c>
      <c r="H43" s="158" t="s">
        <v>101</v>
      </c>
      <c r="I43" s="159">
        <v>0.19</v>
      </c>
      <c r="J43" s="160">
        <f>+J41*I43</f>
        <v>267012.97360000003</v>
      </c>
    </row>
    <row r="44" spans="1:10" x14ac:dyDescent="0.2">
      <c r="A44" s="235"/>
      <c r="B44" s="235"/>
      <c r="C44" s="235"/>
      <c r="D44" s="235"/>
      <c r="E44" s="230" t="s">
        <v>193</v>
      </c>
      <c r="F44" s="230"/>
      <c r="G44" s="155">
        <f>+G42+G43</f>
        <v>257643546.63000003</v>
      </c>
      <c r="H44" s="234" t="s">
        <v>193</v>
      </c>
      <c r="I44" s="234"/>
      <c r="J44" s="156">
        <f>+J42+J43</f>
        <v>32870702.381600004</v>
      </c>
    </row>
    <row r="45" spans="1:10" x14ac:dyDescent="0.2">
      <c r="A45" s="161"/>
      <c r="B45" s="161"/>
      <c r="C45" s="161"/>
      <c r="D45" s="161"/>
      <c r="E45" s="162"/>
      <c r="F45" s="162"/>
      <c r="G45" s="163"/>
      <c r="H45" s="158" t="s">
        <v>194</v>
      </c>
      <c r="I45" s="159">
        <v>-0.02</v>
      </c>
      <c r="J45" s="160">
        <f>+J42*I45</f>
        <v>-652073.78816000011</v>
      </c>
    </row>
    <row r="46" spans="1:10" x14ac:dyDescent="0.2">
      <c r="A46" s="161"/>
      <c r="B46" s="161"/>
      <c r="C46" s="161"/>
      <c r="D46" s="161"/>
      <c r="E46" s="162"/>
      <c r="F46" s="162"/>
      <c r="G46" s="164"/>
      <c r="H46" s="158" t="s">
        <v>195</v>
      </c>
      <c r="I46" s="159">
        <v>-0.2</v>
      </c>
      <c r="J46" s="160">
        <f>+J44*I46</f>
        <v>-6574140.4763200013</v>
      </c>
    </row>
    <row r="47" spans="1:10" x14ac:dyDescent="0.2">
      <c r="A47" s="161"/>
      <c r="B47" s="161"/>
      <c r="C47" s="161"/>
      <c r="D47" s="161"/>
      <c r="E47" s="162"/>
      <c r="F47" s="161"/>
      <c r="G47" s="161"/>
      <c r="H47" s="158" t="s">
        <v>196</v>
      </c>
      <c r="I47" s="159">
        <v>-0.1</v>
      </c>
      <c r="J47" s="160">
        <f>+J44*I47</f>
        <v>-3287070.2381600006</v>
      </c>
    </row>
    <row r="48" spans="1:10" x14ac:dyDescent="0.2">
      <c r="A48" s="161"/>
      <c r="B48" s="161"/>
      <c r="C48" s="141" t="s">
        <v>197</v>
      </c>
      <c r="D48" s="138"/>
      <c r="E48" s="155">
        <f>+G44</f>
        <v>257643546.63000003</v>
      </c>
      <c r="G48" s="161"/>
      <c r="H48" s="234" t="s">
        <v>198</v>
      </c>
      <c r="I48" s="234"/>
      <c r="J48" s="156">
        <f>SUM(J44:J47)</f>
        <v>22357417.878960002</v>
      </c>
    </row>
    <row r="49" spans="3:5" x14ac:dyDescent="0.2">
      <c r="C49" s="141" t="s">
        <v>199</v>
      </c>
      <c r="D49" s="165"/>
      <c r="E49" s="166">
        <f>+E48*20%</f>
        <v>51528709.326000005</v>
      </c>
    </row>
    <row r="50" spans="3:5" x14ac:dyDescent="0.2">
      <c r="C50" s="141" t="s">
        <v>200</v>
      </c>
      <c r="D50" s="167">
        <v>0.13</v>
      </c>
      <c r="E50" s="168">
        <f>+J46</f>
        <v>-6574140.4763200013</v>
      </c>
    </row>
    <row r="51" spans="3:5" x14ac:dyDescent="0.2">
      <c r="C51" s="141" t="s">
        <v>201</v>
      </c>
      <c r="D51" s="165"/>
      <c r="E51" s="144">
        <f>+E49+E50</f>
        <v>44954568.849680007</v>
      </c>
    </row>
    <row r="52" spans="3:5" x14ac:dyDescent="0.2">
      <c r="C52" s="141" t="s">
        <v>202</v>
      </c>
      <c r="D52" s="165"/>
      <c r="E52" s="168">
        <f>+J44</f>
        <v>32870702.381600004</v>
      </c>
    </row>
    <row r="53" spans="3:5" x14ac:dyDescent="0.2">
      <c r="C53" s="141" t="s">
        <v>94</v>
      </c>
      <c r="D53" s="165"/>
      <c r="E53" s="169">
        <f>+E52/E48</f>
        <v>0.12758209088312766</v>
      </c>
    </row>
  </sheetData>
  <mergeCells count="17">
    <mergeCell ref="H48:I48"/>
    <mergeCell ref="H4:J4"/>
    <mergeCell ref="A5:G5"/>
    <mergeCell ref="H5:J5"/>
    <mergeCell ref="A38:D44"/>
    <mergeCell ref="E38:F38"/>
    <mergeCell ref="H38:I38"/>
    <mergeCell ref="E42:F42"/>
    <mergeCell ref="H42:I42"/>
    <mergeCell ref="E44:F44"/>
    <mergeCell ref="H44:I44"/>
    <mergeCell ref="A1:G1"/>
    <mergeCell ref="A2:G2"/>
    <mergeCell ref="A3:D3"/>
    <mergeCell ref="E3:G3"/>
    <mergeCell ref="A4:D4"/>
    <mergeCell ref="E4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7C28-458B-480F-8423-849850F5D5ED}">
  <dimension ref="A1:P53"/>
  <sheetViews>
    <sheetView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N51" sqref="N51"/>
    </sheetView>
  </sheetViews>
  <sheetFormatPr baseColWidth="10" defaultColWidth="11.5" defaultRowHeight="14" x14ac:dyDescent="0.15"/>
  <cols>
    <col min="1" max="1" width="8.5" style="81" bestFit="1" customWidth="1"/>
    <col min="2" max="2" width="5.1640625" style="81" bestFit="1" customWidth="1"/>
    <col min="3" max="3" width="58.1640625" style="81" bestFit="1" customWidth="1"/>
    <col min="4" max="4" width="7.33203125" style="81" bestFit="1" customWidth="1"/>
    <col min="5" max="6" width="18.33203125" style="81" customWidth="1"/>
    <col min="7" max="7" width="19.83203125" style="81" customWidth="1"/>
    <col min="8" max="8" width="17.33203125" style="81" bestFit="1" customWidth="1"/>
    <col min="9" max="9" width="9.1640625" style="81" bestFit="1" customWidth="1"/>
    <col min="10" max="10" width="15.5" style="81" bestFit="1" customWidth="1"/>
    <col min="11" max="11" width="17.33203125" style="81" bestFit="1" customWidth="1"/>
    <col min="12" max="12" width="9.1640625" style="81" bestFit="1" customWidth="1"/>
    <col min="13" max="13" width="15.5" style="81" bestFit="1" customWidth="1"/>
    <col min="14" max="14" width="17.33203125" style="81" bestFit="1" customWidth="1"/>
    <col min="15" max="15" width="9.1640625" style="81" bestFit="1" customWidth="1"/>
    <col min="16" max="16" width="15.5" style="81" bestFit="1" customWidth="1"/>
    <col min="17" max="16384" width="11.5" style="81"/>
  </cols>
  <sheetData>
    <row r="1" spans="1:16" ht="28" x14ac:dyDescent="0.15">
      <c r="A1" s="236" t="s">
        <v>38</v>
      </c>
      <c r="B1" s="236"/>
      <c r="C1" s="236"/>
      <c r="D1" s="236"/>
      <c r="E1" s="236"/>
      <c r="F1" s="236"/>
      <c r="G1" s="236"/>
      <c r="H1" s="71"/>
      <c r="I1" s="71"/>
      <c r="J1" s="71"/>
      <c r="K1" s="71"/>
      <c r="L1" s="71"/>
      <c r="M1" s="71"/>
      <c r="N1" s="71"/>
      <c r="O1" s="71"/>
      <c r="P1" s="71"/>
    </row>
    <row r="2" spans="1:16" ht="20" x14ac:dyDescent="0.15">
      <c r="A2" s="224" t="s">
        <v>146</v>
      </c>
      <c r="B2" s="224"/>
      <c r="C2" s="224"/>
      <c r="D2" s="224"/>
      <c r="E2" s="224"/>
      <c r="F2" s="224"/>
      <c r="G2" s="224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15">
      <c r="A3" s="222" t="s">
        <v>147</v>
      </c>
      <c r="B3" s="222"/>
      <c r="C3" s="222"/>
      <c r="D3" s="222"/>
      <c r="E3" s="225" t="s">
        <v>148</v>
      </c>
      <c r="F3" s="225"/>
      <c r="G3" s="225"/>
      <c r="H3" s="71"/>
      <c r="I3" s="71"/>
      <c r="J3" s="71"/>
      <c r="K3" s="71"/>
      <c r="L3" s="71"/>
      <c r="M3" s="71"/>
      <c r="N3" s="71"/>
      <c r="O3" s="71"/>
      <c r="P3" s="71"/>
    </row>
    <row r="4" spans="1:16" ht="27" customHeight="1" x14ac:dyDescent="0.15">
      <c r="A4" s="226" t="s">
        <v>149</v>
      </c>
      <c r="B4" s="226"/>
      <c r="C4" s="226"/>
      <c r="D4" s="226"/>
      <c r="E4" s="227" t="s">
        <v>150</v>
      </c>
      <c r="F4" s="227"/>
      <c r="G4" s="170" t="s">
        <v>151</v>
      </c>
      <c r="H4" s="237" t="s">
        <v>152</v>
      </c>
      <c r="I4" s="237"/>
      <c r="J4" s="237"/>
      <c r="K4" s="219" t="s">
        <v>203</v>
      </c>
      <c r="L4" s="219"/>
      <c r="M4" s="219"/>
      <c r="N4" s="220" t="s">
        <v>205</v>
      </c>
      <c r="O4" s="220"/>
      <c r="P4" s="220"/>
    </row>
    <row r="5" spans="1:16" ht="25.75" customHeight="1" x14ac:dyDescent="0.15">
      <c r="A5" s="222" t="s">
        <v>153</v>
      </c>
      <c r="B5" s="222"/>
      <c r="C5" s="222"/>
      <c r="D5" s="222"/>
      <c r="E5" s="222"/>
      <c r="F5" s="222"/>
      <c r="G5" s="222"/>
      <c r="H5" s="237" t="s">
        <v>154</v>
      </c>
      <c r="I5" s="237"/>
      <c r="J5" s="237"/>
      <c r="K5" s="219" t="s">
        <v>204</v>
      </c>
      <c r="L5" s="219"/>
      <c r="M5" s="219"/>
      <c r="N5" s="220" t="s">
        <v>206</v>
      </c>
      <c r="O5" s="220"/>
      <c r="P5" s="220"/>
    </row>
    <row r="6" spans="1:16" x14ac:dyDescent="0.15">
      <c r="A6" s="70" t="s">
        <v>90</v>
      </c>
      <c r="B6" s="70" t="s">
        <v>155</v>
      </c>
      <c r="C6" s="70" t="s">
        <v>156</v>
      </c>
      <c r="D6" s="70" t="s">
        <v>91</v>
      </c>
      <c r="E6" s="70" t="s">
        <v>92</v>
      </c>
      <c r="F6" s="70" t="s">
        <v>93</v>
      </c>
      <c r="G6" s="70" t="s">
        <v>157</v>
      </c>
      <c r="H6" s="135" t="s">
        <v>92</v>
      </c>
      <c r="I6" s="135" t="s">
        <v>158</v>
      </c>
      <c r="J6" s="135" t="s">
        <v>157</v>
      </c>
      <c r="K6" s="135" t="s">
        <v>92</v>
      </c>
      <c r="L6" s="135" t="s">
        <v>158</v>
      </c>
      <c r="M6" s="135" t="s">
        <v>157</v>
      </c>
      <c r="N6" s="135" t="s">
        <v>92</v>
      </c>
      <c r="O6" s="135" t="s">
        <v>158</v>
      </c>
      <c r="P6" s="135" t="s">
        <v>157</v>
      </c>
    </row>
    <row r="7" spans="1:16" x14ac:dyDescent="0.15">
      <c r="A7" s="135">
        <v>1</v>
      </c>
      <c r="B7" s="135"/>
      <c r="C7" s="136" t="s">
        <v>159</v>
      </c>
      <c r="D7" s="70"/>
      <c r="E7" s="70"/>
      <c r="F7" s="171"/>
      <c r="G7" s="172">
        <f>+G8+G9+G10+G11</f>
        <v>6300000</v>
      </c>
      <c r="H7" s="71"/>
      <c r="I7" s="71"/>
      <c r="J7" s="172">
        <f>+J8+J9+J10+J11</f>
        <v>75000</v>
      </c>
      <c r="K7" s="71"/>
      <c r="L7" s="71"/>
      <c r="M7" s="172">
        <f>+M8+M9+M10+M11</f>
        <v>75000</v>
      </c>
      <c r="N7" s="71">
        <f>H7+K7</f>
        <v>0</v>
      </c>
      <c r="O7" s="71"/>
      <c r="P7" s="172">
        <f>+P8+P9+P10+P11</f>
        <v>150000</v>
      </c>
    </row>
    <row r="8" spans="1:16" x14ac:dyDescent="0.15">
      <c r="A8" s="70"/>
      <c r="B8" s="70" t="s">
        <v>19</v>
      </c>
      <c r="C8" s="173" t="s">
        <v>160</v>
      </c>
      <c r="D8" s="70" t="s">
        <v>161</v>
      </c>
      <c r="E8" s="174">
        <v>1</v>
      </c>
      <c r="F8" s="72">
        <v>700000</v>
      </c>
      <c r="G8" s="175">
        <f t="shared" ref="G8:G10" si="0">+E8*F8</f>
        <v>700000</v>
      </c>
      <c r="H8" s="176">
        <v>0</v>
      </c>
      <c r="I8" s="177">
        <f>+H8/$E$8</f>
        <v>0</v>
      </c>
      <c r="J8" s="72">
        <f>+$F$8*H8</f>
        <v>0</v>
      </c>
      <c r="K8" s="176">
        <v>0</v>
      </c>
      <c r="L8" s="177">
        <f>+K8/$E$8</f>
        <v>0</v>
      </c>
      <c r="M8" s="72">
        <f>+$F$8*K8</f>
        <v>0</v>
      </c>
      <c r="N8" s="71">
        <f t="shared" ref="N8:N37" si="1">H8+K8</f>
        <v>0</v>
      </c>
      <c r="O8" s="177">
        <f>+N8/$E$8</f>
        <v>0</v>
      </c>
      <c r="P8" s="72">
        <f>+$F$8*N8</f>
        <v>0</v>
      </c>
    </row>
    <row r="9" spans="1:16" x14ac:dyDescent="0.15">
      <c r="A9" s="70"/>
      <c r="B9" s="70" t="s">
        <v>18</v>
      </c>
      <c r="C9" s="173" t="s">
        <v>95</v>
      </c>
      <c r="D9" s="70" t="s">
        <v>161</v>
      </c>
      <c r="E9" s="174">
        <v>1</v>
      </c>
      <c r="F9" s="72">
        <v>300000</v>
      </c>
      <c r="G9" s="175">
        <f t="shared" si="0"/>
        <v>300000</v>
      </c>
      <c r="H9" s="176">
        <v>0.25</v>
      </c>
      <c r="I9" s="177">
        <f>+H9/$E$9</f>
        <v>0.25</v>
      </c>
      <c r="J9" s="72">
        <f>+$F$9*H9</f>
        <v>75000</v>
      </c>
      <c r="K9" s="176">
        <v>0.25</v>
      </c>
      <c r="L9" s="177">
        <f>+K9/$E$9</f>
        <v>0.25</v>
      </c>
      <c r="M9" s="72">
        <f>+$F$9*K9</f>
        <v>75000</v>
      </c>
      <c r="N9" s="71">
        <f t="shared" si="1"/>
        <v>0.5</v>
      </c>
      <c r="O9" s="177">
        <f>+N9/$E$9</f>
        <v>0.5</v>
      </c>
      <c r="P9" s="72">
        <f>+$F$9*N9</f>
        <v>150000</v>
      </c>
    </row>
    <row r="10" spans="1:16" x14ac:dyDescent="0.15">
      <c r="A10" s="70"/>
      <c r="B10" s="70" t="s">
        <v>17</v>
      </c>
      <c r="C10" s="173" t="s">
        <v>162</v>
      </c>
      <c r="D10" s="70" t="s">
        <v>161</v>
      </c>
      <c r="E10" s="174">
        <v>1</v>
      </c>
      <c r="F10" s="72">
        <v>300000</v>
      </c>
      <c r="G10" s="175">
        <f t="shared" si="0"/>
        <v>300000</v>
      </c>
      <c r="H10" s="176">
        <v>0</v>
      </c>
      <c r="I10" s="177">
        <f>+H10/$E$10</f>
        <v>0</v>
      </c>
      <c r="J10" s="72">
        <f>+$F$10*H10</f>
        <v>0</v>
      </c>
      <c r="K10" s="176">
        <v>0</v>
      </c>
      <c r="L10" s="177">
        <f>+K10/$E$10</f>
        <v>0</v>
      </c>
      <c r="M10" s="72">
        <f>+$F$10*K10</f>
        <v>0</v>
      </c>
      <c r="N10" s="71">
        <f t="shared" si="1"/>
        <v>0</v>
      </c>
      <c r="O10" s="177">
        <f>+N10/$E$10</f>
        <v>0</v>
      </c>
      <c r="P10" s="72">
        <f>+$F$10*N10</f>
        <v>0</v>
      </c>
    </row>
    <row r="11" spans="1:16" x14ac:dyDescent="0.15">
      <c r="A11" s="70"/>
      <c r="B11" s="70" t="s">
        <v>16</v>
      </c>
      <c r="C11" s="173" t="s">
        <v>163</v>
      </c>
      <c r="D11" s="70" t="s">
        <v>161</v>
      </c>
      <c r="E11" s="174">
        <v>1</v>
      </c>
      <c r="F11" s="72">
        <v>5000000</v>
      </c>
      <c r="G11" s="175">
        <f>+E11*F11</f>
        <v>5000000</v>
      </c>
      <c r="H11" s="176">
        <v>0</v>
      </c>
      <c r="I11" s="177">
        <f>+H11/$E$11</f>
        <v>0</v>
      </c>
      <c r="J11" s="72">
        <f>+$F$11*H11</f>
        <v>0</v>
      </c>
      <c r="K11" s="176">
        <v>0</v>
      </c>
      <c r="L11" s="177">
        <f>+K11/$E$11</f>
        <v>0</v>
      </c>
      <c r="M11" s="72">
        <f>+$F$11*K11</f>
        <v>0</v>
      </c>
      <c r="N11" s="71">
        <f t="shared" si="1"/>
        <v>0</v>
      </c>
      <c r="O11" s="177">
        <f>+N11/$E$11</f>
        <v>0</v>
      </c>
      <c r="P11" s="72">
        <f>+$F$11*N11</f>
        <v>0</v>
      </c>
    </row>
    <row r="12" spans="1:16" x14ac:dyDescent="0.15">
      <c r="A12" s="135">
        <v>2</v>
      </c>
      <c r="B12" s="135"/>
      <c r="C12" s="69" t="s">
        <v>164</v>
      </c>
      <c r="D12" s="69"/>
      <c r="E12" s="69"/>
      <c r="F12" s="69"/>
      <c r="G12" s="172">
        <f>+G13+G14+G15</f>
        <v>53145175.620000005</v>
      </c>
      <c r="H12" s="176"/>
      <c r="I12" s="71"/>
      <c r="J12" s="172">
        <f>+J13+J14+J15</f>
        <v>12732524.800000001</v>
      </c>
      <c r="K12" s="176"/>
      <c r="L12" s="71"/>
      <c r="M12" s="172">
        <f>+M13+M14+M15</f>
        <v>3204000</v>
      </c>
      <c r="N12" s="71">
        <f t="shared" si="1"/>
        <v>0</v>
      </c>
      <c r="O12" s="71"/>
      <c r="P12" s="172">
        <f>+P13+P14+P15</f>
        <v>15936524.800000001</v>
      </c>
    </row>
    <row r="13" spans="1:16" x14ac:dyDescent="0.15">
      <c r="A13" s="70"/>
      <c r="B13" s="70" t="s">
        <v>15</v>
      </c>
      <c r="C13" s="173" t="s">
        <v>96</v>
      </c>
      <c r="D13" s="70" t="s">
        <v>2</v>
      </c>
      <c r="E13" s="174">
        <f>+'[1]TORRE 1'!C41+'[1]TORRE 1'!L70+'[1]TORRE 1'!M83+'[1]TORRE 1'!K92+'[1]TORRE 1'!K91+'[1]TORRE 1'!K90+'[1]TORRE 1'!K89+'[1]TORRE 1'!K88</f>
        <v>5019.5385000000015</v>
      </c>
      <c r="F13" s="72">
        <v>3120</v>
      </c>
      <c r="G13" s="175">
        <f>+E13*F13</f>
        <v>15660960.120000005</v>
      </c>
      <c r="H13" s="176">
        <v>1970.04</v>
      </c>
      <c r="I13" s="177">
        <f>+H13/$E$13</f>
        <v>0.39247432806820776</v>
      </c>
      <c r="J13" s="72">
        <f>+$F$13*H13</f>
        <v>6146524.7999999998</v>
      </c>
      <c r="K13" s="176">
        <v>0</v>
      </c>
      <c r="L13" s="177">
        <f>+K13/$E$13</f>
        <v>0</v>
      </c>
      <c r="M13" s="72">
        <f>+$F$13*K13</f>
        <v>0</v>
      </c>
      <c r="N13" s="71">
        <f t="shared" si="1"/>
        <v>1970.04</v>
      </c>
      <c r="O13" s="177">
        <f>+N13/$E$13</f>
        <v>0.39247432806820776</v>
      </c>
      <c r="P13" s="72">
        <f>+$F$13*N13</f>
        <v>6146524.7999999998</v>
      </c>
    </row>
    <row r="14" spans="1:16" x14ac:dyDescent="0.15">
      <c r="A14" s="70"/>
      <c r="B14" s="70" t="s">
        <v>14</v>
      </c>
      <c r="C14" s="173" t="s">
        <v>165</v>
      </c>
      <c r="D14" s="70" t="s">
        <v>2</v>
      </c>
      <c r="E14" s="174">
        <f>+E17*0.25</f>
        <v>949.53575000000001</v>
      </c>
      <c r="F14" s="72">
        <v>34000</v>
      </c>
      <c r="G14" s="175">
        <f>+E14*F14</f>
        <v>32284215.5</v>
      </c>
      <c r="H14" s="176">
        <v>105</v>
      </c>
      <c r="I14" s="177">
        <f>+H14/$E$14</f>
        <v>0.11058035466279179</v>
      </c>
      <c r="J14" s="72">
        <f>+$F$14*H14</f>
        <v>3570000</v>
      </c>
      <c r="K14" s="176">
        <v>56</v>
      </c>
      <c r="L14" s="177">
        <f>+K14/$E$14</f>
        <v>5.8976189153488956E-2</v>
      </c>
      <c r="M14" s="72">
        <f>+$F$14*K14</f>
        <v>1904000</v>
      </c>
      <c r="N14" s="71">
        <f t="shared" si="1"/>
        <v>161</v>
      </c>
      <c r="O14" s="177">
        <f>+N14/$E$14</f>
        <v>0.16955654381628074</v>
      </c>
      <c r="P14" s="72">
        <f>+$F$14*N14</f>
        <v>5474000</v>
      </c>
    </row>
    <row r="15" spans="1:16" x14ac:dyDescent="0.15">
      <c r="A15" s="70"/>
      <c r="B15" s="70" t="s">
        <v>13</v>
      </c>
      <c r="C15" s="173" t="s">
        <v>166</v>
      </c>
      <c r="D15" s="70" t="s">
        <v>2</v>
      </c>
      <c r="E15" s="174">
        <v>100</v>
      </c>
      <c r="F15" s="72">
        <v>52000</v>
      </c>
      <c r="G15" s="175">
        <f>+E15*F15</f>
        <v>5200000</v>
      </c>
      <c r="H15" s="176">
        <v>58</v>
      </c>
      <c r="I15" s="177">
        <f>+H15/$E$15</f>
        <v>0.57999999999999996</v>
      </c>
      <c r="J15" s="72">
        <f>+$F$15*H15</f>
        <v>3016000</v>
      </c>
      <c r="K15" s="176">
        <v>25</v>
      </c>
      <c r="L15" s="177">
        <f>+K15/$E$15</f>
        <v>0.25</v>
      </c>
      <c r="M15" s="72">
        <f>+$F$15*K15</f>
        <v>1300000</v>
      </c>
      <c r="N15" s="71">
        <f t="shared" si="1"/>
        <v>83</v>
      </c>
      <c r="O15" s="177">
        <f>+N15/$E$15</f>
        <v>0.83</v>
      </c>
      <c r="P15" s="72">
        <f>+$F$15*N15</f>
        <v>4316000</v>
      </c>
    </row>
    <row r="16" spans="1:16" x14ac:dyDescent="0.15">
      <c r="A16" s="135">
        <v>3</v>
      </c>
      <c r="B16" s="70"/>
      <c r="C16" s="69" t="s">
        <v>167</v>
      </c>
      <c r="D16" s="69"/>
      <c r="E16" s="69"/>
      <c r="F16" s="69"/>
      <c r="G16" s="172">
        <f>+G17+G18+G19+G20+G21+G22</f>
        <v>90759900.537349313</v>
      </c>
      <c r="H16" s="176"/>
      <c r="I16" s="71"/>
      <c r="J16" s="172">
        <f>+J17+J18+J19+J20+J21+J22</f>
        <v>14663300</v>
      </c>
      <c r="K16" s="176"/>
      <c r="L16" s="71"/>
      <c r="M16" s="172">
        <f>+M17+M18+M19+M20+M21+M22</f>
        <v>27863746.839250006</v>
      </c>
      <c r="N16" s="71">
        <f t="shared" si="1"/>
        <v>0</v>
      </c>
      <c r="O16" s="71"/>
      <c r="P16" s="172">
        <f>+P17+P18+P19+P20+P21+P22</f>
        <v>42527046.839249998</v>
      </c>
    </row>
    <row r="17" spans="1:16" ht="47.5" customHeight="1" x14ac:dyDescent="0.15">
      <c r="A17" s="70"/>
      <c r="B17" s="70" t="s">
        <v>12</v>
      </c>
      <c r="C17" s="73" t="s">
        <v>168</v>
      </c>
      <c r="D17" s="70" t="s">
        <v>2</v>
      </c>
      <c r="E17" s="174">
        <f>+'[1]TORRE 1'!G41+'[1]TORRE 1'!F56+'[1]TORRE 1'!L70</f>
        <v>3798.143</v>
      </c>
      <c r="F17" s="72">
        <v>17500</v>
      </c>
      <c r="G17" s="175">
        <f t="shared" ref="G17:G29" si="2">+E17*F17</f>
        <v>66467502.5</v>
      </c>
      <c r="H17" s="176">
        <v>433.64</v>
      </c>
      <c r="I17" s="177">
        <f>+H17/$E$17</f>
        <v>0.11417158332374532</v>
      </c>
      <c r="J17" s="72">
        <f>+$F$17*H17</f>
        <v>7588700</v>
      </c>
      <c r="K17" s="176">
        <f>Pintura!AE45</f>
        <v>1187.9581051</v>
      </c>
      <c r="L17" s="177">
        <f>+K17/$E$17</f>
        <v>0.31277340139641924</v>
      </c>
      <c r="M17" s="72">
        <f>+$F$17*K17</f>
        <v>20789266.839250002</v>
      </c>
      <c r="N17" s="200">
        <f t="shared" si="1"/>
        <v>1621.5981050999999</v>
      </c>
      <c r="O17" s="177">
        <f>+N17/$E$17</f>
        <v>0.42694498472016451</v>
      </c>
      <c r="P17" s="72">
        <f>+$F$17*N17</f>
        <v>28377966.839249998</v>
      </c>
    </row>
    <row r="18" spans="1:16" ht="41.5" customHeight="1" x14ac:dyDescent="0.15">
      <c r="A18" s="70"/>
      <c r="B18" s="70" t="s">
        <v>11</v>
      </c>
      <c r="C18" s="73" t="s">
        <v>169</v>
      </c>
      <c r="D18" s="70" t="s">
        <v>2</v>
      </c>
      <c r="E18" s="174">
        <f>+'[1]TORRE 1'!G72</f>
        <v>382.96</v>
      </c>
      <c r="F18" s="72">
        <v>19400.284722554105</v>
      </c>
      <c r="G18" s="175">
        <f t="shared" si="2"/>
        <v>7429533.0373493191</v>
      </c>
      <c r="H18" s="176">
        <v>0</v>
      </c>
      <c r="I18" s="177">
        <f>+H18/$E$18</f>
        <v>0</v>
      </c>
      <c r="J18" s="72">
        <f>+$F$18*H18</f>
        <v>0</v>
      </c>
      <c r="K18" s="176">
        <v>0</v>
      </c>
      <c r="L18" s="177">
        <f>+K18/$E$18</f>
        <v>0</v>
      </c>
      <c r="M18" s="72">
        <f>+$F$18*K18</f>
        <v>0</v>
      </c>
      <c r="N18" s="71">
        <f t="shared" si="1"/>
        <v>0</v>
      </c>
      <c r="O18" s="177">
        <f>+N18/$E$18</f>
        <v>0</v>
      </c>
      <c r="P18" s="72">
        <f>+$F$18*N18</f>
        <v>0</v>
      </c>
    </row>
    <row r="19" spans="1:16" ht="30" x14ac:dyDescent="0.15">
      <c r="A19" s="70"/>
      <c r="B19" s="70" t="s">
        <v>10</v>
      </c>
      <c r="C19" s="73" t="s">
        <v>170</v>
      </c>
      <c r="D19" s="70" t="s">
        <v>4</v>
      </c>
      <c r="E19" s="174">
        <f>+'[1]TORRE 1'!G75</f>
        <v>53.65</v>
      </c>
      <c r="F19" s="72">
        <v>8100</v>
      </c>
      <c r="G19" s="175">
        <f t="shared" si="2"/>
        <v>434565</v>
      </c>
      <c r="H19" s="176">
        <v>0</v>
      </c>
      <c r="I19" s="177">
        <f>+H19/$E$19</f>
        <v>0</v>
      </c>
      <c r="J19" s="72">
        <f>+$F$19*H19</f>
        <v>0</v>
      </c>
      <c r="K19" s="176">
        <v>0</v>
      </c>
      <c r="L19" s="177">
        <f>+K19/$E$19</f>
        <v>0</v>
      </c>
      <c r="M19" s="72">
        <f>+$F$19*K19</f>
        <v>0</v>
      </c>
      <c r="N19" s="71">
        <f t="shared" si="1"/>
        <v>0</v>
      </c>
      <c r="O19" s="177">
        <f>+N19/$E$19</f>
        <v>0</v>
      </c>
      <c r="P19" s="72">
        <f>+$F$19*N19</f>
        <v>0</v>
      </c>
    </row>
    <row r="20" spans="1:16" ht="30" x14ac:dyDescent="0.15">
      <c r="A20" s="70"/>
      <c r="B20" s="70" t="s">
        <v>9</v>
      </c>
      <c r="C20" s="73" t="s">
        <v>171</v>
      </c>
      <c r="D20" s="70" t="s">
        <v>2</v>
      </c>
      <c r="E20" s="176">
        <f>2.2*2+('[1]TORRE 1'!K28)</f>
        <v>71.000000000000014</v>
      </c>
      <c r="F20" s="72">
        <v>24300</v>
      </c>
      <c r="G20" s="175">
        <f t="shared" si="2"/>
        <v>1725300.0000000002</v>
      </c>
      <c r="H20" s="176">
        <v>0</v>
      </c>
      <c r="I20" s="177">
        <f>+H20/$E$20</f>
        <v>0</v>
      </c>
      <c r="J20" s="72">
        <f>+$F$20*H20</f>
        <v>0</v>
      </c>
      <c r="K20" s="176">
        <v>0</v>
      </c>
      <c r="L20" s="177">
        <f>+K20/$E$20</f>
        <v>0</v>
      </c>
      <c r="M20" s="72">
        <f>+$F$20*K20</f>
        <v>0</v>
      </c>
      <c r="N20" s="71">
        <f t="shared" si="1"/>
        <v>0</v>
      </c>
      <c r="O20" s="177">
        <f>+N20/$E$20</f>
        <v>0</v>
      </c>
      <c r="P20" s="72">
        <f>+$F$20*N20</f>
        <v>0</v>
      </c>
    </row>
    <row r="21" spans="1:16" ht="30" x14ac:dyDescent="0.15">
      <c r="A21" s="70"/>
      <c r="B21" s="70" t="s">
        <v>8</v>
      </c>
      <c r="C21" s="73" t="s">
        <v>172</v>
      </c>
      <c r="D21" s="70" t="s">
        <v>4</v>
      </c>
      <c r="E21" s="176">
        <f>+(5.5+2.6)*3</f>
        <v>24.299999999999997</v>
      </c>
      <c r="F21" s="72">
        <v>22400</v>
      </c>
      <c r="G21" s="175">
        <f t="shared" si="2"/>
        <v>544319.99999999988</v>
      </c>
      <c r="H21" s="176">
        <v>0</v>
      </c>
      <c r="I21" s="177">
        <f>+H21/$E$21</f>
        <v>0</v>
      </c>
      <c r="J21" s="72">
        <f>+$F$21*H21</f>
        <v>0</v>
      </c>
      <c r="K21" s="176">
        <v>0</v>
      </c>
      <c r="L21" s="177">
        <f>+K21/$E$21</f>
        <v>0</v>
      </c>
      <c r="M21" s="72">
        <f>+$F$21*K21</f>
        <v>0</v>
      </c>
      <c r="N21" s="71">
        <f t="shared" si="1"/>
        <v>0</v>
      </c>
      <c r="O21" s="177">
        <f>+N21/$E$21</f>
        <v>0</v>
      </c>
      <c r="P21" s="72">
        <f>+$F$21*N21</f>
        <v>0</v>
      </c>
    </row>
    <row r="22" spans="1:16" ht="30" x14ac:dyDescent="0.15">
      <c r="A22" s="70"/>
      <c r="B22" s="70" t="s">
        <v>7</v>
      </c>
      <c r="C22" s="73" t="s">
        <v>173</v>
      </c>
      <c r="D22" s="70" t="s">
        <v>2</v>
      </c>
      <c r="E22" s="174">
        <f>+'[1]TORRE 1'!L50</f>
        <v>1179.8900000000001</v>
      </c>
      <c r="F22" s="72">
        <v>12000</v>
      </c>
      <c r="G22" s="175">
        <f t="shared" si="2"/>
        <v>14158680.000000002</v>
      </c>
      <c r="H22" s="176">
        <v>589.54999999999995</v>
      </c>
      <c r="I22" s="177">
        <f>+H22/$E$22</f>
        <v>0.49966522302926536</v>
      </c>
      <c r="J22" s="72">
        <f>+$F$22*H22</f>
        <v>7074599.9999999991</v>
      </c>
      <c r="K22" s="176">
        <f>Pintura!AE60</f>
        <v>589.54000000000042</v>
      </c>
      <c r="L22" s="177">
        <f>+K22/$E$22</f>
        <v>0.49965674766291807</v>
      </c>
      <c r="M22" s="72">
        <f>+$F$22*K22</f>
        <v>7074480.0000000047</v>
      </c>
      <c r="N22" s="71">
        <f t="shared" si="1"/>
        <v>1179.0900000000004</v>
      </c>
      <c r="O22" s="177">
        <f>+N22/$E$22</f>
        <v>0.99932197069218343</v>
      </c>
      <c r="P22" s="72">
        <f>+$F$22*N22</f>
        <v>14149080.000000004</v>
      </c>
    </row>
    <row r="23" spans="1:16" x14ac:dyDescent="0.15">
      <c r="A23" s="70">
        <v>4</v>
      </c>
      <c r="B23" s="70"/>
      <c r="C23" s="69" t="s">
        <v>174</v>
      </c>
      <c r="D23" s="69"/>
      <c r="E23" s="69"/>
      <c r="F23" s="69"/>
      <c r="G23" s="172">
        <f>+G24+G25+G26+G27+G28+G29</f>
        <v>38695429.640000001</v>
      </c>
      <c r="H23" s="176"/>
      <c r="I23" s="71"/>
      <c r="J23" s="172">
        <f>+J24+J25+J26+J27+J28+J29</f>
        <v>635804</v>
      </c>
      <c r="K23" s="176"/>
      <c r="L23" s="71"/>
      <c r="M23" s="172">
        <f>+M24+M25+M26+M27+M28+M29</f>
        <v>4407492.4000000004</v>
      </c>
      <c r="N23" s="71">
        <f t="shared" si="1"/>
        <v>0</v>
      </c>
      <c r="O23" s="71"/>
      <c r="P23" s="172">
        <f>+P24+P25+P26+P27+P28+P29</f>
        <v>5043296.4000000004</v>
      </c>
    </row>
    <row r="24" spans="1:16" x14ac:dyDescent="0.15">
      <c r="A24" s="70"/>
      <c r="B24" s="70" t="s">
        <v>6</v>
      </c>
      <c r="C24" s="173" t="s">
        <v>175</v>
      </c>
      <c r="D24" s="70" t="s">
        <v>4</v>
      </c>
      <c r="E24" s="174">
        <f>+'[1]TORRE 1'!L83</f>
        <v>346.79</v>
      </c>
      <c r="F24" s="72">
        <v>37000</v>
      </c>
      <c r="G24" s="175">
        <f t="shared" si="2"/>
        <v>12831230</v>
      </c>
      <c r="H24" s="176">
        <v>0</v>
      </c>
      <c r="I24" s="177">
        <f>+H24/$E$24</f>
        <v>0</v>
      </c>
      <c r="J24" s="72">
        <f>+$F$24*H24</f>
        <v>0</v>
      </c>
      <c r="K24" s="176">
        <v>85</v>
      </c>
      <c r="L24" s="177">
        <f>+K24/$E$24</f>
        <v>0.24510510683699066</v>
      </c>
      <c r="M24" s="72">
        <f>+$F$24*K24</f>
        <v>3145000</v>
      </c>
      <c r="N24" s="71">
        <f t="shared" si="1"/>
        <v>85</v>
      </c>
      <c r="O24" s="177">
        <f>+N24/$E$24</f>
        <v>0.24510510683699066</v>
      </c>
      <c r="P24" s="72">
        <f>+$F$24*N24</f>
        <v>3145000</v>
      </c>
    </row>
    <row r="25" spans="1:16" ht="30" x14ac:dyDescent="0.15">
      <c r="A25" s="70"/>
      <c r="B25" s="70" t="s">
        <v>5</v>
      </c>
      <c r="C25" s="73" t="s">
        <v>176</v>
      </c>
      <c r="D25" s="70" t="s">
        <v>4</v>
      </c>
      <c r="E25" s="174">
        <f>+'[1]TORRE 1'!I29*0.6</f>
        <v>1450.14</v>
      </c>
      <c r="F25" s="72">
        <v>5200</v>
      </c>
      <c r="G25" s="175">
        <f t="shared" si="2"/>
        <v>7540728.0000000009</v>
      </c>
      <c r="H25" s="176">
        <v>122.27</v>
      </c>
      <c r="I25" s="177">
        <f>+H25/$E$25</f>
        <v>8.4315997076144358E-2</v>
      </c>
      <c r="J25" s="72">
        <f>+$F$25*H25</f>
        <v>635804</v>
      </c>
      <c r="K25" s="176">
        <f>Sellos!AE46</f>
        <v>242.78700000000001</v>
      </c>
      <c r="L25" s="177">
        <f>+K25/$E$25</f>
        <v>0.16742314535148331</v>
      </c>
      <c r="M25" s="72">
        <f>+$F$25*K25</f>
        <v>1262492.4000000001</v>
      </c>
      <c r="N25" s="71">
        <f t="shared" si="1"/>
        <v>365.05700000000002</v>
      </c>
      <c r="O25" s="177">
        <f>+N25/$E$25</f>
        <v>0.25173914242762768</v>
      </c>
      <c r="P25" s="72">
        <f>+$F$25*N25</f>
        <v>1898296.4000000001</v>
      </c>
    </row>
    <row r="26" spans="1:16" ht="15" x14ac:dyDescent="0.15">
      <c r="A26" s="70"/>
      <c r="B26" s="70" t="s">
        <v>3</v>
      </c>
      <c r="C26" s="73" t="s">
        <v>97</v>
      </c>
      <c r="D26" s="70" t="s">
        <v>4</v>
      </c>
      <c r="E26" s="174">
        <f>+'[1]TORRE 1'!L83</f>
        <v>346.79</v>
      </c>
      <c r="F26" s="72">
        <v>5200</v>
      </c>
      <c r="G26" s="175">
        <f t="shared" si="2"/>
        <v>1803308</v>
      </c>
      <c r="H26" s="176">
        <v>0</v>
      </c>
      <c r="I26" s="177">
        <f>+H26/$E$26</f>
        <v>0</v>
      </c>
      <c r="J26" s="72">
        <f>+$F$26*H26</f>
        <v>0</v>
      </c>
      <c r="K26" s="176">
        <v>0</v>
      </c>
      <c r="L26" s="177">
        <f>+K26/$E$26</f>
        <v>0</v>
      </c>
      <c r="M26" s="72">
        <f>+$F$26*K26</f>
        <v>0</v>
      </c>
      <c r="N26" s="71">
        <f t="shared" si="1"/>
        <v>0</v>
      </c>
      <c r="O26" s="177">
        <f>+N26/$E$26</f>
        <v>0</v>
      </c>
      <c r="P26" s="72">
        <f>+$F$26*N26</f>
        <v>0</v>
      </c>
    </row>
    <row r="27" spans="1:16" ht="30" x14ac:dyDescent="0.15">
      <c r="A27" s="70"/>
      <c r="B27" s="70" t="s">
        <v>20</v>
      </c>
      <c r="C27" s="73" t="s">
        <v>177</v>
      </c>
      <c r="D27" s="70" t="s">
        <v>4</v>
      </c>
      <c r="E27" s="174">
        <f>+'[1]TORRE 1'!K87</f>
        <v>122</v>
      </c>
      <c r="F27" s="72">
        <v>63000</v>
      </c>
      <c r="G27" s="175">
        <f t="shared" si="2"/>
        <v>7686000</v>
      </c>
      <c r="H27" s="176">
        <v>0</v>
      </c>
      <c r="I27" s="177">
        <f>+H27/$E$27</f>
        <v>0</v>
      </c>
      <c r="J27" s="72">
        <f>+$F$27*H27</f>
        <v>0</v>
      </c>
      <c r="K27" s="176">
        <v>0</v>
      </c>
      <c r="L27" s="177">
        <f>+K27/$E$27</f>
        <v>0</v>
      </c>
      <c r="M27" s="72">
        <f>+$F$27*K27</f>
        <v>0</v>
      </c>
      <c r="N27" s="71">
        <f t="shared" si="1"/>
        <v>0</v>
      </c>
      <c r="O27" s="177">
        <f>+N27/$E$27</f>
        <v>0</v>
      </c>
      <c r="P27" s="72">
        <f>+$F$27*N27</f>
        <v>0</v>
      </c>
    </row>
    <row r="28" spans="1:16" ht="30" x14ac:dyDescent="0.15">
      <c r="A28" s="70"/>
      <c r="B28" s="70" t="s">
        <v>178</v>
      </c>
      <c r="C28" s="73" t="s">
        <v>179</v>
      </c>
      <c r="D28" s="70" t="s">
        <v>2</v>
      </c>
      <c r="E28" s="174">
        <f>+('[1]TORRE 1'!M83+'[1]TORRE 1'!K53+'[1]TORRE 1'!K55+'[1]TORRE 1'!C55:E55+'[1]TORRE 1'!C51:E51)*0.2+'[1]TORRE 1'!G71</f>
        <v>45.279699999999998</v>
      </c>
      <c r="F28" s="72">
        <v>41200</v>
      </c>
      <c r="G28" s="175">
        <f t="shared" si="2"/>
        <v>1865523.64</v>
      </c>
      <c r="H28" s="176">
        <v>0</v>
      </c>
      <c r="I28" s="177">
        <f>+H28/$E$28</f>
        <v>0</v>
      </c>
      <c r="J28" s="72">
        <f>+$F$28*H28</f>
        <v>0</v>
      </c>
      <c r="K28" s="176">
        <v>0</v>
      </c>
      <c r="L28" s="177">
        <f>+K28/$E$28</f>
        <v>0</v>
      </c>
      <c r="M28" s="72">
        <f>+$F$28*K28</f>
        <v>0</v>
      </c>
      <c r="N28" s="71">
        <f t="shared" si="1"/>
        <v>0</v>
      </c>
      <c r="O28" s="177">
        <f>+N28/$E$28</f>
        <v>0</v>
      </c>
      <c r="P28" s="72">
        <f>+$F$28*N28</f>
        <v>0</v>
      </c>
    </row>
    <row r="29" spans="1:16" ht="15" x14ac:dyDescent="0.15">
      <c r="A29" s="70"/>
      <c r="B29" s="70" t="s">
        <v>180</v>
      </c>
      <c r="C29" s="178" t="s">
        <v>181</v>
      </c>
      <c r="D29" s="70" t="s">
        <v>2</v>
      </c>
      <c r="E29" s="174">
        <f>+'[1]TORRE 1'!K92</f>
        <v>97.600000000000009</v>
      </c>
      <c r="F29" s="72">
        <v>71400</v>
      </c>
      <c r="G29" s="175">
        <f t="shared" si="2"/>
        <v>6968640.0000000009</v>
      </c>
      <c r="H29" s="176">
        <v>0</v>
      </c>
      <c r="I29" s="177">
        <f>+H29/$E$29</f>
        <v>0</v>
      </c>
      <c r="J29" s="72">
        <f>+$F$29*H29</f>
        <v>0</v>
      </c>
      <c r="K29" s="176">
        <v>0</v>
      </c>
      <c r="L29" s="177">
        <f>+K29/$E$29</f>
        <v>0</v>
      </c>
      <c r="M29" s="72">
        <f>+$F$29*K29</f>
        <v>0</v>
      </c>
      <c r="N29" s="71">
        <f t="shared" si="1"/>
        <v>0</v>
      </c>
      <c r="O29" s="177">
        <f>+N29/$E$29</f>
        <v>0</v>
      </c>
      <c r="P29" s="72">
        <f>+$F$29*N29</f>
        <v>0</v>
      </c>
    </row>
    <row r="30" spans="1:16" x14ac:dyDescent="0.15">
      <c r="A30" s="70">
        <v>5</v>
      </c>
      <c r="B30" s="70"/>
      <c r="C30" s="69" t="s">
        <v>182</v>
      </c>
      <c r="D30" s="69"/>
      <c r="E30" s="69"/>
      <c r="F30" s="69"/>
      <c r="G30" s="179">
        <f>+G31+G32+G33+G34</f>
        <v>29601800</v>
      </c>
      <c r="H30" s="176"/>
      <c r="I30" s="71"/>
      <c r="J30" s="179">
        <f>+J31+J32+J33+J34</f>
        <v>0</v>
      </c>
      <c r="K30" s="176"/>
      <c r="L30" s="71"/>
      <c r="M30" s="179">
        <f>+M31+M32+M33+M34</f>
        <v>0</v>
      </c>
      <c r="N30" s="176"/>
      <c r="O30" s="71"/>
      <c r="P30" s="172">
        <f>+P31+P32+P33+P34+P35+P36</f>
        <v>0</v>
      </c>
    </row>
    <row r="31" spans="1:16" ht="30" x14ac:dyDescent="0.15">
      <c r="A31" s="70"/>
      <c r="B31" s="70" t="s">
        <v>1</v>
      </c>
      <c r="C31" s="73" t="s">
        <v>183</v>
      </c>
      <c r="D31" s="70" t="s">
        <v>2</v>
      </c>
      <c r="E31" s="70">
        <f>+'[1]TORRE 1'!K86</f>
        <v>395</v>
      </c>
      <c r="F31" s="72">
        <v>65000</v>
      </c>
      <c r="G31" s="175">
        <f>+E31*F31</f>
        <v>25675000</v>
      </c>
      <c r="H31" s="176">
        <v>0</v>
      </c>
      <c r="I31" s="177">
        <f>+H31/$E$31</f>
        <v>0</v>
      </c>
      <c r="J31" s="72">
        <f>+$F$31*H31</f>
        <v>0</v>
      </c>
      <c r="K31" s="176">
        <v>0</v>
      </c>
      <c r="L31" s="177">
        <f>+K31/$E$31</f>
        <v>0</v>
      </c>
      <c r="M31" s="72">
        <f>+$F$31*K31</f>
        <v>0</v>
      </c>
      <c r="N31" s="71">
        <f t="shared" si="1"/>
        <v>0</v>
      </c>
      <c r="O31" s="177">
        <f>+N31/$E$31</f>
        <v>0</v>
      </c>
      <c r="P31" s="72">
        <f>+$F$31*N31</f>
        <v>0</v>
      </c>
    </row>
    <row r="32" spans="1:16" ht="15" x14ac:dyDescent="0.15">
      <c r="A32" s="71"/>
      <c r="B32" s="70" t="s">
        <v>21</v>
      </c>
      <c r="C32" s="73" t="s">
        <v>184</v>
      </c>
      <c r="D32" s="70" t="s">
        <v>2</v>
      </c>
      <c r="E32" s="70">
        <v>29.6</v>
      </c>
      <c r="F32" s="72">
        <v>71000</v>
      </c>
      <c r="G32" s="175">
        <f t="shared" ref="G32:G37" si="3">+E32*F32</f>
        <v>2101600</v>
      </c>
      <c r="H32" s="176">
        <v>0</v>
      </c>
      <c r="I32" s="177">
        <f>+H32/$E$32</f>
        <v>0</v>
      </c>
      <c r="J32" s="72">
        <f>+$F$32*H32</f>
        <v>0</v>
      </c>
      <c r="K32" s="176">
        <v>0</v>
      </c>
      <c r="L32" s="177">
        <f>+K32/$E$32</f>
        <v>0</v>
      </c>
      <c r="M32" s="72">
        <f>+$F$32*K32</f>
        <v>0</v>
      </c>
      <c r="N32" s="71">
        <f t="shared" si="1"/>
        <v>0</v>
      </c>
      <c r="O32" s="177">
        <f>+N32/$E$32</f>
        <v>0</v>
      </c>
      <c r="P32" s="72">
        <f>+$F$32*N32</f>
        <v>0</v>
      </c>
    </row>
    <row r="33" spans="1:16" ht="15" x14ac:dyDescent="0.15">
      <c r="A33" s="70"/>
      <c r="B33" s="70" t="s">
        <v>22</v>
      </c>
      <c r="C33" s="73" t="s">
        <v>185</v>
      </c>
      <c r="D33" s="70" t="s">
        <v>2</v>
      </c>
      <c r="E33" s="70">
        <v>35</v>
      </c>
      <c r="F33" s="72">
        <v>39000</v>
      </c>
      <c r="G33" s="175">
        <f>+E33*F33</f>
        <v>1365000</v>
      </c>
      <c r="H33" s="176">
        <v>0</v>
      </c>
      <c r="I33" s="177">
        <f>+H33/$E$33</f>
        <v>0</v>
      </c>
      <c r="J33" s="72">
        <f>+$F$33*H33</f>
        <v>0</v>
      </c>
      <c r="K33" s="176">
        <v>0</v>
      </c>
      <c r="L33" s="177">
        <f>+K33/$E$33</f>
        <v>0</v>
      </c>
      <c r="M33" s="72">
        <f>+$F$33*K33</f>
        <v>0</v>
      </c>
      <c r="N33" s="71">
        <f t="shared" si="1"/>
        <v>0</v>
      </c>
      <c r="O33" s="177">
        <f>+N33/$E$33</f>
        <v>0</v>
      </c>
      <c r="P33" s="72">
        <f>+$F$33*N33</f>
        <v>0</v>
      </c>
    </row>
    <row r="34" spans="1:16" ht="15" x14ac:dyDescent="0.15">
      <c r="A34" s="71"/>
      <c r="B34" s="70" t="s">
        <v>23</v>
      </c>
      <c r="C34" s="73" t="s">
        <v>186</v>
      </c>
      <c r="D34" s="70" t="s">
        <v>2</v>
      </c>
      <c r="E34" s="70">
        <v>11.8</v>
      </c>
      <c r="F34" s="72">
        <v>39000</v>
      </c>
      <c r="G34" s="175">
        <f t="shared" si="3"/>
        <v>460200</v>
      </c>
      <c r="H34" s="176">
        <v>0</v>
      </c>
      <c r="I34" s="177">
        <f>+H34/$E$34</f>
        <v>0</v>
      </c>
      <c r="J34" s="72">
        <f>+$F$34*H34</f>
        <v>0</v>
      </c>
      <c r="K34" s="176">
        <v>0</v>
      </c>
      <c r="L34" s="177">
        <f>+K34/$E$34</f>
        <v>0</v>
      </c>
      <c r="M34" s="72">
        <f>+$F$34*K34</f>
        <v>0</v>
      </c>
      <c r="N34" s="71">
        <f t="shared" si="1"/>
        <v>0</v>
      </c>
      <c r="O34" s="177">
        <f>+N34/$E$34</f>
        <v>0</v>
      </c>
      <c r="P34" s="72">
        <f>+$F$34*N34</f>
        <v>0</v>
      </c>
    </row>
    <row r="35" spans="1:16" x14ac:dyDescent="0.15">
      <c r="A35" s="70">
        <v>6</v>
      </c>
      <c r="B35" s="70"/>
      <c r="C35" s="69" t="s">
        <v>187</v>
      </c>
      <c r="D35" s="70"/>
      <c r="E35" s="70"/>
      <c r="F35" s="171"/>
      <c r="G35" s="179">
        <f>+G36+G37</f>
        <v>1800000</v>
      </c>
      <c r="H35" s="176"/>
      <c r="I35" s="71"/>
      <c r="J35" s="179">
        <f>+J36+J37</f>
        <v>0</v>
      </c>
      <c r="K35" s="176"/>
      <c r="L35" s="71"/>
      <c r="M35" s="179">
        <f>+M36+M37</f>
        <v>0</v>
      </c>
      <c r="N35" s="71">
        <f t="shared" si="1"/>
        <v>0</v>
      </c>
      <c r="O35" s="71"/>
      <c r="P35" s="179">
        <f>+P36+P37</f>
        <v>0</v>
      </c>
    </row>
    <row r="36" spans="1:16" ht="15" x14ac:dyDescent="0.15">
      <c r="A36" s="71"/>
      <c r="B36" s="70" t="s">
        <v>24</v>
      </c>
      <c r="C36" s="73" t="s">
        <v>188</v>
      </c>
      <c r="D36" s="70" t="s">
        <v>161</v>
      </c>
      <c r="E36" s="70">
        <v>1</v>
      </c>
      <c r="F36" s="72">
        <v>500000</v>
      </c>
      <c r="G36" s="175">
        <f t="shared" si="3"/>
        <v>500000</v>
      </c>
      <c r="H36" s="176">
        <v>0</v>
      </c>
      <c r="I36" s="177">
        <f>+H36/$E$36</f>
        <v>0</v>
      </c>
      <c r="J36" s="72">
        <f>+$F$36*H36</f>
        <v>0</v>
      </c>
      <c r="K36" s="176">
        <v>0</v>
      </c>
      <c r="L36" s="177">
        <f>+K36/$E$36</f>
        <v>0</v>
      </c>
      <c r="M36" s="72">
        <f>+$F$36*K36</f>
        <v>0</v>
      </c>
      <c r="N36" s="71">
        <f t="shared" si="1"/>
        <v>0</v>
      </c>
      <c r="O36" s="177">
        <f>+N36/$E$36</f>
        <v>0</v>
      </c>
      <c r="P36" s="72">
        <f>+$F$36*N36</f>
        <v>0</v>
      </c>
    </row>
    <row r="37" spans="1:16" ht="15" x14ac:dyDescent="0.15">
      <c r="A37" s="71"/>
      <c r="B37" s="70" t="s">
        <v>25</v>
      </c>
      <c r="C37" s="73" t="s">
        <v>189</v>
      </c>
      <c r="D37" s="70" t="s">
        <v>161</v>
      </c>
      <c r="E37" s="70">
        <v>1</v>
      </c>
      <c r="F37" s="72">
        <v>1300000</v>
      </c>
      <c r="G37" s="175">
        <f t="shared" si="3"/>
        <v>1300000</v>
      </c>
      <c r="H37" s="176">
        <v>0</v>
      </c>
      <c r="I37" s="177">
        <f>+H37/$E$37</f>
        <v>0</v>
      </c>
      <c r="J37" s="72">
        <f>+$F$37*H37</f>
        <v>0</v>
      </c>
      <c r="K37" s="176">
        <v>0</v>
      </c>
      <c r="L37" s="177">
        <f>+K37/$E$37</f>
        <v>0</v>
      </c>
      <c r="M37" s="72">
        <f>+$F$37*K37</f>
        <v>0</v>
      </c>
      <c r="N37" s="71">
        <f t="shared" si="1"/>
        <v>0</v>
      </c>
      <c r="O37" s="177">
        <f>+N37/$E$37</f>
        <v>0</v>
      </c>
      <c r="P37" s="72">
        <f>+$F$37*N37</f>
        <v>0</v>
      </c>
    </row>
    <row r="38" spans="1:16" x14ac:dyDescent="0.15">
      <c r="A38" s="221" t="s">
        <v>190</v>
      </c>
      <c r="B38" s="221"/>
      <c r="C38" s="221"/>
      <c r="D38" s="221"/>
      <c r="E38" s="222" t="s">
        <v>191</v>
      </c>
      <c r="F38" s="222"/>
      <c r="G38" s="179">
        <f>+G7+G12+G16+G23+G30+G35</f>
        <v>220302305.79734933</v>
      </c>
      <c r="H38" s="237" t="s">
        <v>191</v>
      </c>
      <c r="I38" s="237"/>
      <c r="J38" s="180">
        <f>+J7+J12+J16+J23+J30+J35</f>
        <v>28106628.800000001</v>
      </c>
      <c r="K38" s="219" t="s">
        <v>191</v>
      </c>
      <c r="L38" s="219"/>
      <c r="M38" s="181">
        <f>+M7+M12+M16+M23+M30+M35</f>
        <v>35550239.239250004</v>
      </c>
      <c r="N38" s="220" t="s">
        <v>191</v>
      </c>
      <c r="O38" s="220"/>
      <c r="P38" s="182">
        <f>+P7+P12+P16+P23+P30+P35</f>
        <v>63656868.039249994</v>
      </c>
    </row>
    <row r="39" spans="1:16" x14ac:dyDescent="0.15">
      <c r="A39" s="221"/>
      <c r="B39" s="221"/>
      <c r="C39" s="221"/>
      <c r="D39" s="221"/>
      <c r="E39" s="135" t="s">
        <v>98</v>
      </c>
      <c r="F39" s="74">
        <v>0.08</v>
      </c>
      <c r="G39" s="179">
        <f>+$G$38*F39</f>
        <v>17624184.463787947</v>
      </c>
      <c r="H39" s="183" t="s">
        <v>98</v>
      </c>
      <c r="I39" s="184">
        <v>0.08</v>
      </c>
      <c r="J39" s="185">
        <f>+J38*I39</f>
        <v>2248530.304</v>
      </c>
      <c r="K39" s="186" t="s">
        <v>98</v>
      </c>
      <c r="L39" s="187">
        <v>0.08</v>
      </c>
      <c r="M39" s="188">
        <f>+M38*L39</f>
        <v>2844019.1391400006</v>
      </c>
      <c r="N39" s="189" t="s">
        <v>98</v>
      </c>
      <c r="O39" s="190">
        <v>0.08</v>
      </c>
      <c r="P39" s="191">
        <f>+P38*O39</f>
        <v>5092549.4431399992</v>
      </c>
    </row>
    <row r="40" spans="1:16" x14ac:dyDescent="0.15">
      <c r="A40" s="221"/>
      <c r="B40" s="221"/>
      <c r="C40" s="221"/>
      <c r="D40" s="221"/>
      <c r="E40" s="135" t="s">
        <v>99</v>
      </c>
      <c r="F40" s="74">
        <v>0.03</v>
      </c>
      <c r="G40" s="179">
        <f t="shared" ref="G40:G41" si="4">+$G$38*F40</f>
        <v>6609069.1739204796</v>
      </c>
      <c r="H40" s="183" t="s">
        <v>99</v>
      </c>
      <c r="I40" s="184">
        <v>0.03</v>
      </c>
      <c r="J40" s="185">
        <f>+J38*I40</f>
        <v>843198.86399999994</v>
      </c>
      <c r="K40" s="186" t="s">
        <v>99</v>
      </c>
      <c r="L40" s="187">
        <v>0.03</v>
      </c>
      <c r="M40" s="188">
        <f>+M38*L40</f>
        <v>1066507.1771775</v>
      </c>
      <c r="N40" s="189" t="s">
        <v>99</v>
      </c>
      <c r="O40" s="190">
        <v>0.03</v>
      </c>
      <c r="P40" s="191">
        <f>+P38*O40</f>
        <v>1909706.0411774998</v>
      </c>
    </row>
    <row r="41" spans="1:16" x14ac:dyDescent="0.15">
      <c r="A41" s="221"/>
      <c r="B41" s="221"/>
      <c r="C41" s="221"/>
      <c r="D41" s="221"/>
      <c r="E41" s="135" t="s">
        <v>100</v>
      </c>
      <c r="F41" s="74">
        <v>0.05</v>
      </c>
      <c r="G41" s="179">
        <f t="shared" si="4"/>
        <v>11015115.289867468</v>
      </c>
      <c r="H41" s="183" t="s">
        <v>100</v>
      </c>
      <c r="I41" s="184">
        <v>0.05</v>
      </c>
      <c r="J41" s="185">
        <f>+J38*I41</f>
        <v>1405331.4400000002</v>
      </c>
      <c r="K41" s="186" t="s">
        <v>100</v>
      </c>
      <c r="L41" s="187">
        <v>0.05</v>
      </c>
      <c r="M41" s="188">
        <f>+M38*L41</f>
        <v>1777511.9619625004</v>
      </c>
      <c r="N41" s="189" t="s">
        <v>100</v>
      </c>
      <c r="O41" s="190">
        <v>0.05</v>
      </c>
      <c r="P41" s="191">
        <f>+P38*O41</f>
        <v>3182843.4019625001</v>
      </c>
    </row>
    <row r="42" spans="1:16" x14ac:dyDescent="0.15">
      <c r="A42" s="221"/>
      <c r="B42" s="221"/>
      <c r="C42" s="221"/>
      <c r="D42" s="221"/>
      <c r="E42" s="222" t="s">
        <v>192</v>
      </c>
      <c r="F42" s="222"/>
      <c r="G42" s="179">
        <f>+G38+G39+G40+G41</f>
        <v>255550674.72492522</v>
      </c>
      <c r="H42" s="237" t="s">
        <v>192</v>
      </c>
      <c r="I42" s="237"/>
      <c r="J42" s="180">
        <f>+J38+J39+J40+J41</f>
        <v>32603689.408000004</v>
      </c>
      <c r="K42" s="219" t="s">
        <v>192</v>
      </c>
      <c r="L42" s="219"/>
      <c r="M42" s="181">
        <f>+M38+M39+M40+M41</f>
        <v>41238277.517530002</v>
      </c>
      <c r="N42" s="220" t="s">
        <v>192</v>
      </c>
      <c r="O42" s="220"/>
      <c r="P42" s="182">
        <f>+P38+P39+P40+P41</f>
        <v>73841966.925529987</v>
      </c>
    </row>
    <row r="43" spans="1:16" x14ac:dyDescent="0.15">
      <c r="A43" s="221"/>
      <c r="B43" s="221"/>
      <c r="C43" s="221"/>
      <c r="D43" s="221"/>
      <c r="E43" s="135" t="s">
        <v>101</v>
      </c>
      <c r="F43" s="74">
        <v>0.19</v>
      </c>
      <c r="G43" s="179">
        <f>+G41*F43</f>
        <v>2092871.905074819</v>
      </c>
      <c r="H43" s="183" t="s">
        <v>101</v>
      </c>
      <c r="I43" s="184">
        <v>0.19</v>
      </c>
      <c r="J43" s="185">
        <f>+J41*I43</f>
        <v>267012.97360000003</v>
      </c>
      <c r="K43" s="186" t="s">
        <v>101</v>
      </c>
      <c r="L43" s="187">
        <v>0.19</v>
      </c>
      <c r="M43" s="188">
        <f>+M41*L43</f>
        <v>337727.27277287509</v>
      </c>
      <c r="N43" s="189" t="s">
        <v>101</v>
      </c>
      <c r="O43" s="190">
        <v>0.19</v>
      </c>
      <c r="P43" s="191">
        <f>+P41*O43</f>
        <v>604740.24637287506</v>
      </c>
    </row>
    <row r="44" spans="1:16" x14ac:dyDescent="0.15">
      <c r="A44" s="221"/>
      <c r="B44" s="221"/>
      <c r="C44" s="221"/>
      <c r="D44" s="221"/>
      <c r="E44" s="222" t="s">
        <v>193</v>
      </c>
      <c r="F44" s="222"/>
      <c r="G44" s="179">
        <f>+G42+G43</f>
        <v>257643546.63000003</v>
      </c>
      <c r="H44" s="237" t="s">
        <v>193</v>
      </c>
      <c r="I44" s="237"/>
      <c r="J44" s="180">
        <f>+J42+J43</f>
        <v>32870702.381600004</v>
      </c>
      <c r="K44" s="219" t="s">
        <v>193</v>
      </c>
      <c r="L44" s="219"/>
      <c r="M44" s="181">
        <f>+M42+M43</f>
        <v>41576004.79030288</v>
      </c>
      <c r="N44" s="220" t="s">
        <v>193</v>
      </c>
      <c r="O44" s="220"/>
      <c r="P44" s="182">
        <f>+P42+P43</f>
        <v>74446707.171902865</v>
      </c>
    </row>
    <row r="45" spans="1:16" x14ac:dyDescent="0.15">
      <c r="A45" s="1"/>
      <c r="B45" s="1"/>
      <c r="C45" s="1"/>
      <c r="D45" s="1"/>
      <c r="E45" s="14"/>
      <c r="F45" s="14"/>
      <c r="G45" s="192"/>
      <c r="H45" s="183" t="s">
        <v>194</v>
      </c>
      <c r="I45" s="184">
        <v>-0.02</v>
      </c>
      <c r="J45" s="185">
        <f>+J42*I45</f>
        <v>-652073.78816000011</v>
      </c>
      <c r="K45" s="186" t="s">
        <v>194</v>
      </c>
      <c r="L45" s="187">
        <v>-0.02</v>
      </c>
      <c r="M45" s="188">
        <f>+M42*L45</f>
        <v>-824765.55035060004</v>
      </c>
      <c r="N45" s="189" t="s">
        <v>194</v>
      </c>
      <c r="O45" s="190">
        <v>-0.02</v>
      </c>
      <c r="P45" s="191">
        <f>+P42*O45</f>
        <v>-1476839.3385105997</v>
      </c>
    </row>
    <row r="46" spans="1:16" x14ac:dyDescent="0.15">
      <c r="A46" s="1"/>
      <c r="B46" s="1"/>
      <c r="C46" s="1"/>
      <c r="D46" s="1"/>
      <c r="E46" s="14"/>
      <c r="F46" s="14"/>
      <c r="G46" s="193"/>
      <c r="H46" s="183" t="s">
        <v>195</v>
      </c>
      <c r="I46" s="184">
        <v>-0.2</v>
      </c>
      <c r="J46" s="185">
        <f>+J44*I46</f>
        <v>-6574140.4763200013</v>
      </c>
      <c r="K46" s="186" t="s">
        <v>195</v>
      </c>
      <c r="L46" s="187">
        <v>-0.2</v>
      </c>
      <c r="M46" s="188">
        <f>+M44*L46</f>
        <v>-8315200.9580605766</v>
      </c>
      <c r="N46" s="189" t="s">
        <v>195</v>
      </c>
      <c r="O46" s="190">
        <v>-0.2</v>
      </c>
      <c r="P46" s="191">
        <f>+P44*O46</f>
        <v>-14889341.434380574</v>
      </c>
    </row>
    <row r="47" spans="1:16" x14ac:dyDescent="0.15">
      <c r="A47" s="1"/>
      <c r="B47" s="1"/>
      <c r="C47" s="1"/>
      <c r="D47" s="1"/>
      <c r="E47" s="14"/>
      <c r="F47" s="1"/>
      <c r="G47" s="1"/>
      <c r="H47" s="183" t="s">
        <v>196</v>
      </c>
      <c r="I47" s="184">
        <v>-0.1</v>
      </c>
      <c r="J47" s="185">
        <f>+J44*I47</f>
        <v>-3287070.2381600006</v>
      </c>
      <c r="K47" s="186" t="s">
        <v>196</v>
      </c>
      <c r="L47" s="187">
        <v>-0.1</v>
      </c>
      <c r="M47" s="188">
        <f>+M44*L47</f>
        <v>-4157600.4790302883</v>
      </c>
      <c r="N47" s="189" t="s">
        <v>196</v>
      </c>
      <c r="O47" s="190">
        <v>-0.1</v>
      </c>
      <c r="P47" s="191">
        <f>+P44*O47</f>
        <v>-7444670.7171902871</v>
      </c>
    </row>
    <row r="48" spans="1:16" x14ac:dyDescent="0.15">
      <c r="A48" s="1"/>
      <c r="B48" s="1"/>
      <c r="C48" s="135" t="s">
        <v>197</v>
      </c>
      <c r="D48" s="71"/>
      <c r="E48" s="179">
        <f>+G44</f>
        <v>257643546.63000003</v>
      </c>
      <c r="G48" s="1"/>
      <c r="H48" s="237" t="s">
        <v>198</v>
      </c>
      <c r="I48" s="237"/>
      <c r="J48" s="180">
        <f>SUM(J44:J47)</f>
        <v>22357417.878960002</v>
      </c>
      <c r="K48" s="219" t="s">
        <v>198</v>
      </c>
      <c r="L48" s="219"/>
      <c r="M48" s="181">
        <f>SUM(M44:M47)</f>
        <v>28278437.802861415</v>
      </c>
      <c r="N48" s="220" t="s">
        <v>198</v>
      </c>
      <c r="O48" s="220"/>
      <c r="P48" s="182">
        <f>SUM(P44:P47)</f>
        <v>50635855.681821398</v>
      </c>
    </row>
    <row r="49" spans="3:5" x14ac:dyDescent="0.15">
      <c r="C49" s="135" t="s">
        <v>199</v>
      </c>
      <c r="D49" s="194"/>
      <c r="E49" s="195">
        <f>+E48*20%</f>
        <v>51528709.326000005</v>
      </c>
    </row>
    <row r="50" spans="3:5" x14ac:dyDescent="0.15">
      <c r="C50" s="135" t="s">
        <v>200</v>
      </c>
      <c r="D50" s="196">
        <v>0.13</v>
      </c>
      <c r="E50" s="197">
        <f>+J46</f>
        <v>-6574140.4763200013</v>
      </c>
    </row>
    <row r="51" spans="3:5" x14ac:dyDescent="0.15">
      <c r="C51" s="135" t="s">
        <v>201</v>
      </c>
      <c r="D51" s="194"/>
      <c r="E51" s="172">
        <f>+E49+E50</f>
        <v>44954568.849680007</v>
      </c>
    </row>
    <row r="52" spans="3:5" x14ac:dyDescent="0.15">
      <c r="C52" s="135" t="s">
        <v>202</v>
      </c>
      <c r="D52" s="194"/>
      <c r="E52" s="197">
        <f>+J44</f>
        <v>32870702.381600004</v>
      </c>
    </row>
    <row r="53" spans="3:5" x14ac:dyDescent="0.15">
      <c r="C53" s="135" t="s">
        <v>94</v>
      </c>
      <c r="D53" s="194"/>
      <c r="E53" s="198">
        <f>+E52/E48</f>
        <v>0.12758209088312766</v>
      </c>
    </row>
  </sheetData>
  <mergeCells count="29">
    <mergeCell ref="N48:O48"/>
    <mergeCell ref="H48:I48"/>
    <mergeCell ref="K4:M4"/>
    <mergeCell ref="K5:M5"/>
    <mergeCell ref="K38:L38"/>
    <mergeCell ref="K42:L42"/>
    <mergeCell ref="K44:L44"/>
    <mergeCell ref="K48:L48"/>
    <mergeCell ref="H4:J4"/>
    <mergeCell ref="N4:P4"/>
    <mergeCell ref="N5:P5"/>
    <mergeCell ref="N38:O38"/>
    <mergeCell ref="N42:O42"/>
    <mergeCell ref="N44:O44"/>
    <mergeCell ref="A5:G5"/>
    <mergeCell ref="H5:J5"/>
    <mergeCell ref="A38:D44"/>
    <mergeCell ref="E38:F38"/>
    <mergeCell ref="H38:I38"/>
    <mergeCell ref="E42:F42"/>
    <mergeCell ref="H42:I42"/>
    <mergeCell ref="E44:F44"/>
    <mergeCell ref="H44:I44"/>
    <mergeCell ref="A1:G1"/>
    <mergeCell ref="A2:G2"/>
    <mergeCell ref="A3:D3"/>
    <mergeCell ref="E3:G3"/>
    <mergeCell ref="A4:D4"/>
    <mergeCell ref="E4:F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0579-61B0-4D86-A5BE-7122FAC8B743}">
  <dimension ref="A1:W58"/>
  <sheetViews>
    <sheetView tabSelected="1" zoomScale="87" zoomScaleNormal="7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L71" sqref="L71"/>
    </sheetView>
  </sheetViews>
  <sheetFormatPr baseColWidth="10" defaultColWidth="11.5" defaultRowHeight="14" x14ac:dyDescent="0.15"/>
  <cols>
    <col min="1" max="1" width="8.5" style="81" bestFit="1" customWidth="1"/>
    <col min="2" max="2" width="5.1640625" style="81" bestFit="1" customWidth="1"/>
    <col min="3" max="3" width="58.1640625" style="81" bestFit="1" customWidth="1"/>
    <col min="4" max="4" width="7.33203125" style="81" bestFit="1" customWidth="1"/>
    <col min="5" max="6" width="18.33203125" style="81" customWidth="1"/>
    <col min="7" max="7" width="19.83203125" style="81" customWidth="1"/>
    <col min="8" max="8" width="17.33203125" style="81" bestFit="1" customWidth="1"/>
    <col min="9" max="9" width="9.1640625" style="81" bestFit="1" customWidth="1"/>
    <col min="10" max="10" width="15.5" style="81" bestFit="1" customWidth="1"/>
    <col min="11" max="11" width="17.33203125" style="81" bestFit="1" customWidth="1"/>
    <col min="12" max="12" width="9.1640625" style="81" bestFit="1" customWidth="1"/>
    <col min="13" max="13" width="15.5" style="81" bestFit="1" customWidth="1"/>
    <col min="14" max="14" width="17.33203125" style="81" bestFit="1" customWidth="1"/>
    <col min="15" max="15" width="9.1640625" style="81" bestFit="1" customWidth="1"/>
    <col min="16" max="16" width="15.5" style="81" bestFit="1" customWidth="1"/>
    <col min="17" max="19" width="15.5" style="81" customWidth="1"/>
    <col min="20" max="20" width="17.33203125" style="81" bestFit="1" customWidth="1"/>
    <col min="21" max="21" width="9.1640625" style="81" bestFit="1" customWidth="1"/>
    <col min="22" max="22" width="15.5" style="81" bestFit="1" customWidth="1"/>
    <col min="23" max="16384" width="11.5" style="81"/>
  </cols>
  <sheetData>
    <row r="1" spans="1:22" ht="28" x14ac:dyDescent="0.15">
      <c r="A1" s="223" t="s">
        <v>38</v>
      </c>
      <c r="B1" s="223"/>
      <c r="C1" s="223"/>
      <c r="D1" s="223"/>
      <c r="E1" s="223"/>
      <c r="F1" s="223"/>
      <c r="G1" s="223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20" x14ac:dyDescent="0.15">
      <c r="A2" s="224" t="s">
        <v>146</v>
      </c>
      <c r="B2" s="224"/>
      <c r="C2" s="224"/>
      <c r="D2" s="224"/>
      <c r="E2" s="224"/>
      <c r="F2" s="224"/>
      <c r="G2" s="224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2" x14ac:dyDescent="0.15">
      <c r="A3" s="222" t="s">
        <v>147</v>
      </c>
      <c r="B3" s="222"/>
      <c r="C3" s="222"/>
      <c r="D3" s="222"/>
      <c r="E3" s="225" t="s">
        <v>148</v>
      </c>
      <c r="F3" s="225"/>
      <c r="G3" s="225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spans="1:22" ht="27" customHeight="1" x14ac:dyDescent="0.15">
      <c r="A4" s="226" t="s">
        <v>149</v>
      </c>
      <c r="B4" s="226"/>
      <c r="C4" s="226"/>
      <c r="D4" s="226"/>
      <c r="E4" s="227" t="s">
        <v>150</v>
      </c>
      <c r="F4" s="227"/>
      <c r="G4" s="170" t="s">
        <v>151</v>
      </c>
      <c r="H4" s="218" t="s">
        <v>152</v>
      </c>
      <c r="I4" s="218"/>
      <c r="J4" s="218"/>
      <c r="K4" s="219" t="s">
        <v>203</v>
      </c>
      <c r="L4" s="219"/>
      <c r="M4" s="219"/>
      <c r="N4" s="218" t="s">
        <v>212</v>
      </c>
      <c r="O4" s="218"/>
      <c r="P4" s="218"/>
      <c r="Q4" s="218" t="s">
        <v>216</v>
      </c>
      <c r="R4" s="218"/>
      <c r="S4" s="218"/>
      <c r="T4" s="220" t="s">
        <v>205</v>
      </c>
      <c r="U4" s="220"/>
      <c r="V4" s="220"/>
    </row>
    <row r="5" spans="1:22" ht="25.75" customHeight="1" x14ac:dyDescent="0.15">
      <c r="A5" s="222" t="s">
        <v>153</v>
      </c>
      <c r="B5" s="222"/>
      <c r="C5" s="222"/>
      <c r="D5" s="222"/>
      <c r="E5" s="222"/>
      <c r="F5" s="222"/>
      <c r="G5" s="222"/>
      <c r="H5" s="218" t="s">
        <v>154</v>
      </c>
      <c r="I5" s="218"/>
      <c r="J5" s="218"/>
      <c r="K5" s="219" t="s">
        <v>204</v>
      </c>
      <c r="L5" s="219"/>
      <c r="M5" s="219"/>
      <c r="N5" s="218" t="s">
        <v>213</v>
      </c>
      <c r="O5" s="218"/>
      <c r="P5" s="218"/>
      <c r="Q5" s="218" t="s">
        <v>217</v>
      </c>
      <c r="R5" s="218"/>
      <c r="S5" s="218"/>
      <c r="T5" s="220" t="s">
        <v>218</v>
      </c>
      <c r="U5" s="220"/>
      <c r="V5" s="220"/>
    </row>
    <row r="6" spans="1:22" x14ac:dyDescent="0.15">
      <c r="A6" s="70" t="s">
        <v>90</v>
      </c>
      <c r="B6" s="70" t="s">
        <v>155</v>
      </c>
      <c r="C6" s="70" t="s">
        <v>156</v>
      </c>
      <c r="D6" s="70" t="s">
        <v>91</v>
      </c>
      <c r="E6" s="70" t="s">
        <v>92</v>
      </c>
      <c r="F6" s="70" t="s">
        <v>93</v>
      </c>
      <c r="G6" s="70" t="s">
        <v>157</v>
      </c>
      <c r="H6" s="135" t="s">
        <v>92</v>
      </c>
      <c r="I6" s="135" t="s">
        <v>158</v>
      </c>
      <c r="J6" s="135" t="s">
        <v>157</v>
      </c>
      <c r="K6" s="135" t="s">
        <v>92</v>
      </c>
      <c r="L6" s="135" t="s">
        <v>158</v>
      </c>
      <c r="M6" s="135" t="s">
        <v>157</v>
      </c>
      <c r="N6" s="135" t="s">
        <v>92</v>
      </c>
      <c r="O6" s="135" t="s">
        <v>158</v>
      </c>
      <c r="P6" s="135" t="s">
        <v>157</v>
      </c>
      <c r="Q6" s="135" t="s">
        <v>92</v>
      </c>
      <c r="R6" s="135" t="s">
        <v>158</v>
      </c>
      <c r="S6" s="135" t="s">
        <v>157</v>
      </c>
      <c r="T6" s="135" t="s">
        <v>92</v>
      </c>
      <c r="U6" s="135" t="s">
        <v>158</v>
      </c>
      <c r="V6" s="135" t="s">
        <v>157</v>
      </c>
    </row>
    <row r="7" spans="1:22" x14ac:dyDescent="0.15">
      <c r="A7" s="248">
        <v>1</v>
      </c>
      <c r="B7" s="248"/>
      <c r="C7" s="253" t="s">
        <v>159</v>
      </c>
      <c r="D7" s="254"/>
      <c r="E7" s="254"/>
      <c r="F7" s="255"/>
      <c r="G7" s="250">
        <f>+G8+G9+G10+G11</f>
        <v>6300000</v>
      </c>
      <c r="H7" s="252"/>
      <c r="I7" s="252"/>
      <c r="J7" s="250">
        <f>+J8+J9+J10+J11</f>
        <v>75000</v>
      </c>
      <c r="K7" s="252"/>
      <c r="L7" s="252"/>
      <c r="M7" s="250">
        <f>+M8+M9+M10+M11</f>
        <v>75000</v>
      </c>
      <c r="N7" s="252"/>
      <c r="O7" s="252"/>
      <c r="P7" s="250">
        <f>+P8+P9+P10+P11</f>
        <v>75000</v>
      </c>
      <c r="Q7" s="252"/>
      <c r="R7" s="252"/>
      <c r="S7" s="250">
        <f>+S8+S9+S10+S11</f>
        <v>75000</v>
      </c>
      <c r="T7" s="252"/>
      <c r="U7" s="252"/>
      <c r="V7" s="250">
        <f>+V8+V9+V10+V11</f>
        <v>300000</v>
      </c>
    </row>
    <row r="8" spans="1:22" x14ac:dyDescent="0.15">
      <c r="A8" s="70"/>
      <c r="B8" s="70" t="s">
        <v>19</v>
      </c>
      <c r="C8" s="173" t="s">
        <v>160</v>
      </c>
      <c r="D8" s="70" t="s">
        <v>161</v>
      </c>
      <c r="E8" s="174">
        <v>1</v>
      </c>
      <c r="F8" s="72">
        <v>700000</v>
      </c>
      <c r="G8" s="175">
        <f t="shared" ref="G8:G10" si="0">+E8*F8</f>
        <v>700000</v>
      </c>
      <c r="H8" s="176">
        <v>0</v>
      </c>
      <c r="I8" s="177">
        <f>+H8/$E$8</f>
        <v>0</v>
      </c>
      <c r="J8" s="72">
        <f>+$F$8*H8</f>
        <v>0</v>
      </c>
      <c r="K8" s="176">
        <v>0</v>
      </c>
      <c r="L8" s="177">
        <f>+K8/$E$8</f>
        <v>0</v>
      </c>
      <c r="M8" s="72">
        <f>+$F$8*K8</f>
        <v>0</v>
      </c>
      <c r="N8" s="176">
        <v>0</v>
      </c>
      <c r="O8" s="177">
        <f>+N8/$E$8</f>
        <v>0</v>
      </c>
      <c r="P8" s="72">
        <f>+$F$8*N8</f>
        <v>0</v>
      </c>
      <c r="Q8" s="176">
        <v>0</v>
      </c>
      <c r="R8" s="177">
        <f>+Q8/$E$8</f>
        <v>0</v>
      </c>
      <c r="S8" s="72">
        <f>+$F$8*Q8</f>
        <v>0</v>
      </c>
      <c r="T8" s="247">
        <f>H8+K8+N8+Q8</f>
        <v>0</v>
      </c>
      <c r="U8" s="177">
        <f>+T8/$E$8</f>
        <v>0</v>
      </c>
      <c r="V8" s="72">
        <f>+$F$8*T8</f>
        <v>0</v>
      </c>
    </row>
    <row r="9" spans="1:22" x14ac:dyDescent="0.15">
      <c r="A9" s="70"/>
      <c r="B9" s="70" t="s">
        <v>18</v>
      </c>
      <c r="C9" s="173" t="s">
        <v>95</v>
      </c>
      <c r="D9" s="70" t="s">
        <v>161</v>
      </c>
      <c r="E9" s="174">
        <v>1</v>
      </c>
      <c r="F9" s="72">
        <v>300000</v>
      </c>
      <c r="G9" s="175">
        <f t="shared" si="0"/>
        <v>300000</v>
      </c>
      <c r="H9" s="176">
        <v>0.25</v>
      </c>
      <c r="I9" s="177">
        <f>+H9/$E$9</f>
        <v>0.25</v>
      </c>
      <c r="J9" s="72">
        <f>+$F$9*H9</f>
        <v>75000</v>
      </c>
      <c r="K9" s="176">
        <v>0.25</v>
      </c>
      <c r="L9" s="177">
        <f>+K9/$E$9</f>
        <v>0.25</v>
      </c>
      <c r="M9" s="72">
        <f>+$F$9*K9</f>
        <v>75000</v>
      </c>
      <c r="N9" s="176">
        <v>0.25</v>
      </c>
      <c r="O9" s="177">
        <f>+N9/$E$9</f>
        <v>0.25</v>
      </c>
      <c r="P9" s="72">
        <f>+$F$9*N9</f>
        <v>75000</v>
      </c>
      <c r="Q9" s="176">
        <v>0.25</v>
      </c>
      <c r="R9" s="177">
        <f>+Q9/$E$9</f>
        <v>0.25</v>
      </c>
      <c r="S9" s="72">
        <f>+$F$9*Q9</f>
        <v>75000</v>
      </c>
      <c r="T9" s="247">
        <f t="shared" ref="T9:T37" si="1">H9+K9+N9+Q9</f>
        <v>1</v>
      </c>
      <c r="U9" s="177">
        <f>+T9/$E$9</f>
        <v>1</v>
      </c>
      <c r="V9" s="72">
        <f>+$F$9*T9</f>
        <v>300000</v>
      </c>
    </row>
    <row r="10" spans="1:22" x14ac:dyDescent="0.15">
      <c r="A10" s="70"/>
      <c r="B10" s="70" t="s">
        <v>17</v>
      </c>
      <c r="C10" s="173" t="s">
        <v>162</v>
      </c>
      <c r="D10" s="70" t="s">
        <v>161</v>
      </c>
      <c r="E10" s="174">
        <v>1</v>
      </c>
      <c r="F10" s="72">
        <v>300000</v>
      </c>
      <c r="G10" s="175">
        <f t="shared" si="0"/>
        <v>300000</v>
      </c>
      <c r="H10" s="176">
        <v>0</v>
      </c>
      <c r="I10" s="177">
        <f>+H10/$E$10</f>
        <v>0</v>
      </c>
      <c r="J10" s="72">
        <f>+$F$10*H10</f>
        <v>0</v>
      </c>
      <c r="K10" s="176">
        <v>0</v>
      </c>
      <c r="L10" s="177">
        <f>+K10/$E$10</f>
        <v>0</v>
      </c>
      <c r="M10" s="72">
        <f>+$F$10*K10</f>
        <v>0</v>
      </c>
      <c r="N10" s="176">
        <v>0</v>
      </c>
      <c r="O10" s="177">
        <f>+N10/$E$10</f>
        <v>0</v>
      </c>
      <c r="P10" s="72">
        <f>+$F$10*N10</f>
        <v>0</v>
      </c>
      <c r="Q10" s="176">
        <v>0</v>
      </c>
      <c r="R10" s="177">
        <f>+Q10/$E$10</f>
        <v>0</v>
      </c>
      <c r="S10" s="72">
        <f>+$F$10*Q10</f>
        <v>0</v>
      </c>
      <c r="T10" s="247">
        <f t="shared" si="1"/>
        <v>0</v>
      </c>
      <c r="U10" s="177">
        <f>+T10/$E$10</f>
        <v>0</v>
      </c>
      <c r="V10" s="72">
        <f>+$F$10*T10</f>
        <v>0</v>
      </c>
    </row>
    <row r="11" spans="1:22" x14ac:dyDescent="0.15">
      <c r="A11" s="70"/>
      <c r="B11" s="70" t="s">
        <v>16</v>
      </c>
      <c r="C11" s="173" t="s">
        <v>163</v>
      </c>
      <c r="D11" s="70" t="s">
        <v>161</v>
      </c>
      <c r="E11" s="174">
        <v>1</v>
      </c>
      <c r="F11" s="72">
        <v>5000000</v>
      </c>
      <c r="G11" s="175">
        <f>+E11*F11</f>
        <v>5000000</v>
      </c>
      <c r="H11" s="176">
        <v>0</v>
      </c>
      <c r="I11" s="177">
        <f>+H11/$E$11</f>
        <v>0</v>
      </c>
      <c r="J11" s="72">
        <f>+$F$11*H11</f>
        <v>0</v>
      </c>
      <c r="K11" s="176">
        <v>0</v>
      </c>
      <c r="L11" s="177">
        <f>+K11/$E$11</f>
        <v>0</v>
      </c>
      <c r="M11" s="72">
        <f>+$F$11*K11</f>
        <v>0</v>
      </c>
      <c r="N11" s="176">
        <v>0</v>
      </c>
      <c r="O11" s="177">
        <f>+N11/$E$11</f>
        <v>0</v>
      </c>
      <c r="P11" s="72">
        <f>+$F$11*N11</f>
        <v>0</v>
      </c>
      <c r="Q11" s="176">
        <v>0</v>
      </c>
      <c r="R11" s="177">
        <f>+Q11/$E$11</f>
        <v>0</v>
      </c>
      <c r="S11" s="72">
        <f>+$F$11*Q11</f>
        <v>0</v>
      </c>
      <c r="T11" s="247">
        <f t="shared" si="1"/>
        <v>0</v>
      </c>
      <c r="U11" s="177">
        <f>+T11/$E$11</f>
        <v>0</v>
      </c>
      <c r="V11" s="72">
        <f>+$F$11*T11</f>
        <v>0</v>
      </c>
    </row>
    <row r="12" spans="1:22" x14ac:dyDescent="0.15">
      <c r="A12" s="248">
        <v>2</v>
      </c>
      <c r="B12" s="248"/>
      <c r="C12" s="249" t="s">
        <v>164</v>
      </c>
      <c r="D12" s="249"/>
      <c r="E12" s="249"/>
      <c r="F12" s="249"/>
      <c r="G12" s="250">
        <f>+G13+G14+G15</f>
        <v>53145175.620000005</v>
      </c>
      <c r="H12" s="251"/>
      <c r="I12" s="252"/>
      <c r="J12" s="250">
        <f>+J13+J14+J15</f>
        <v>12732524.800000001</v>
      </c>
      <c r="K12" s="251"/>
      <c r="L12" s="252"/>
      <c r="M12" s="250">
        <f>+M13+M14+M15</f>
        <v>3204000</v>
      </c>
      <c r="N12" s="251"/>
      <c r="O12" s="252"/>
      <c r="P12" s="250">
        <f>+P13+P14+P15</f>
        <v>4743337.3763750009</v>
      </c>
      <c r="Q12" s="251"/>
      <c r="R12" s="252"/>
      <c r="S12" s="250">
        <f>+S13+S14+S15</f>
        <v>4485420.6943650013</v>
      </c>
      <c r="T12" s="252"/>
      <c r="U12" s="252"/>
      <c r="V12" s="250">
        <f>+V13+V14+V15</f>
        <v>25165282.870740004</v>
      </c>
    </row>
    <row r="13" spans="1:22" x14ac:dyDescent="0.15">
      <c r="A13" s="70"/>
      <c r="B13" s="70" t="s">
        <v>15</v>
      </c>
      <c r="C13" s="173" t="s">
        <v>96</v>
      </c>
      <c r="D13" s="70" t="s">
        <v>2</v>
      </c>
      <c r="E13" s="174">
        <f>+'[1]TORRE 1'!C41+'[1]TORRE 1'!L70+'[1]TORRE 1'!M83+'[1]TORRE 1'!K92+'[1]TORRE 1'!K91+'[1]TORRE 1'!K90+'[1]TORRE 1'!K89+'[1]TORRE 1'!K88</f>
        <v>5019.5385000000015</v>
      </c>
      <c r="F13" s="72">
        <v>3120</v>
      </c>
      <c r="G13" s="175">
        <f>+E13*F13</f>
        <v>15660960.120000005</v>
      </c>
      <c r="H13" s="176">
        <v>1970.04</v>
      </c>
      <c r="I13" s="177">
        <f>+H13/$E$13</f>
        <v>0.39247432806820776</v>
      </c>
      <c r="J13" s="72">
        <f>+$F$13*H13</f>
        <v>6146524.7999999998</v>
      </c>
      <c r="K13" s="176">
        <v>0</v>
      </c>
      <c r="L13" s="177">
        <f>+K13/$E$13</f>
        <v>0</v>
      </c>
      <c r="M13" s="72">
        <f>+$F$13*K13</f>
        <v>0</v>
      </c>
      <c r="N13" s="176">
        <f>Lavado!AA46</f>
        <v>389.72377031250005</v>
      </c>
      <c r="O13" s="177">
        <f>+N13/$E$13</f>
        <v>7.7641354939801718E-2</v>
      </c>
      <c r="P13" s="72">
        <f>+$F$13*N13</f>
        <v>1215938.1633750002</v>
      </c>
      <c r="Q13" s="176">
        <f>Lavado!W46-'Acta Av Obra 03 - ene 21 2026'!N13-'Acta Av Obra 03 - ene 21 2026'!H13</f>
        <v>1437.6348379375004</v>
      </c>
      <c r="R13" s="177">
        <f>+Q13/$E$13</f>
        <v>0.28640777193710137</v>
      </c>
      <c r="S13" s="72">
        <f>+$F$13*Q13</f>
        <v>4485420.6943650013</v>
      </c>
      <c r="T13" s="247">
        <f t="shared" si="1"/>
        <v>3797.3986082500005</v>
      </c>
      <c r="U13" s="177">
        <f>+T13/$E$13</f>
        <v>0.75652345494511086</v>
      </c>
      <c r="V13" s="72">
        <f>+$F$13*T13</f>
        <v>11847883.657740002</v>
      </c>
    </row>
    <row r="14" spans="1:22" x14ac:dyDescent="0.15">
      <c r="A14" s="70"/>
      <c r="B14" s="70" t="s">
        <v>14</v>
      </c>
      <c r="C14" s="173" t="s">
        <v>165</v>
      </c>
      <c r="D14" s="70" t="s">
        <v>2</v>
      </c>
      <c r="E14" s="174">
        <f>+E17*0.25</f>
        <v>949.53575000000001</v>
      </c>
      <c r="F14" s="72">
        <v>34000</v>
      </c>
      <c r="G14" s="175">
        <f>+E14*F14</f>
        <v>32284215.5</v>
      </c>
      <c r="H14" s="176">
        <v>105</v>
      </c>
      <c r="I14" s="177">
        <f>+H14/$E$14</f>
        <v>0.11058035466279179</v>
      </c>
      <c r="J14" s="72">
        <f>+$F$14*H14</f>
        <v>3570000</v>
      </c>
      <c r="K14" s="176">
        <v>56</v>
      </c>
      <c r="L14" s="177">
        <f>+K14/$E$14</f>
        <v>5.8976189153488956E-2</v>
      </c>
      <c r="M14" s="72">
        <f>+$F$14*K14</f>
        <v>1904000</v>
      </c>
      <c r="N14" s="176">
        <f>Graniplast!AC46</f>
        <v>85.394094500000008</v>
      </c>
      <c r="O14" s="177">
        <f>+N14/$E$14</f>
        <v>8.9932469103980561E-2</v>
      </c>
      <c r="P14" s="72">
        <f>+$F$14*N14</f>
        <v>2903399.2130000005</v>
      </c>
      <c r="Q14" s="176">
        <f>Graniplast!AF46</f>
        <v>0</v>
      </c>
      <c r="R14" s="177">
        <f>+Q14/$E$14</f>
        <v>0</v>
      </c>
      <c r="S14" s="72">
        <f>+$F$14*Q14</f>
        <v>0</v>
      </c>
      <c r="T14" s="247">
        <f t="shared" si="1"/>
        <v>246.39409449999999</v>
      </c>
      <c r="U14" s="177">
        <f>+T14/$E$14</f>
        <v>0.25948901292026127</v>
      </c>
      <c r="V14" s="72">
        <f>+$F$14*T14</f>
        <v>8377399.2129999995</v>
      </c>
    </row>
    <row r="15" spans="1:22" x14ac:dyDescent="0.15">
      <c r="A15" s="70"/>
      <c r="B15" s="70" t="s">
        <v>13</v>
      </c>
      <c r="C15" s="173" t="s">
        <v>166</v>
      </c>
      <c r="D15" s="70" t="s">
        <v>2</v>
      </c>
      <c r="E15" s="174">
        <v>100</v>
      </c>
      <c r="F15" s="72">
        <v>52000</v>
      </c>
      <c r="G15" s="175">
        <f>+E15*F15</f>
        <v>5200000</v>
      </c>
      <c r="H15" s="176">
        <v>58</v>
      </c>
      <c r="I15" s="177">
        <f>+H15/$E$15</f>
        <v>0.57999999999999996</v>
      </c>
      <c r="J15" s="72">
        <f>+$F$15*H15</f>
        <v>3016000</v>
      </c>
      <c r="K15" s="176">
        <v>25</v>
      </c>
      <c r="L15" s="177">
        <f>+K15/$E$15</f>
        <v>0.25</v>
      </c>
      <c r="M15" s="72">
        <f>+$F$15*K15</f>
        <v>1300000</v>
      </c>
      <c r="N15" s="176">
        <v>12</v>
      </c>
      <c r="O15" s="177">
        <f>+N15/$E$15</f>
        <v>0.12</v>
      </c>
      <c r="P15" s="72">
        <f>+$F$15*N15</f>
        <v>624000</v>
      </c>
      <c r="Q15" s="176"/>
      <c r="R15" s="177">
        <f>+Q15/$E$15</f>
        <v>0</v>
      </c>
      <c r="S15" s="72">
        <f>+$F$15*Q15</f>
        <v>0</v>
      </c>
      <c r="T15" s="247">
        <f t="shared" si="1"/>
        <v>95</v>
      </c>
      <c r="U15" s="177">
        <f>+T15/$E$15</f>
        <v>0.95</v>
      </c>
      <c r="V15" s="72">
        <f>+$F$15*T15</f>
        <v>4940000</v>
      </c>
    </row>
    <row r="16" spans="1:22" x14ac:dyDescent="0.15">
      <c r="A16" s="248">
        <v>3</v>
      </c>
      <c r="B16" s="254"/>
      <c r="C16" s="249" t="s">
        <v>167</v>
      </c>
      <c r="D16" s="249"/>
      <c r="E16" s="249"/>
      <c r="F16" s="249"/>
      <c r="G16" s="250">
        <f>+G17+G18+G19+G20+G21+G22</f>
        <v>90759900.537349313</v>
      </c>
      <c r="H16" s="251"/>
      <c r="I16" s="252"/>
      <c r="J16" s="250">
        <f>+J17+J18+J19+J20+J21+J22</f>
        <v>14663300</v>
      </c>
      <c r="K16" s="251"/>
      <c r="L16" s="252"/>
      <c r="M16" s="250">
        <f>+M17+M18+M19+M20+M21+M22</f>
        <v>27863746.839250006</v>
      </c>
      <c r="N16" s="251"/>
      <c r="O16" s="252"/>
      <c r="P16" s="250">
        <f>+P17+P18+P19+P20+P21+P22</f>
        <v>9438746.3880937509</v>
      </c>
      <c r="Q16" s="251"/>
      <c r="R16" s="252"/>
      <c r="S16" s="250">
        <f>+S17+S18+S19+S20+S21+S22</f>
        <v>28637762.417031262</v>
      </c>
      <c r="T16" s="256"/>
      <c r="U16" s="252"/>
      <c r="V16" s="250">
        <f>+V17+V18+V19+V20+V21+V22</f>
        <v>80603555.644375011</v>
      </c>
    </row>
    <row r="17" spans="1:22" ht="47.5" customHeight="1" x14ac:dyDescent="0.15">
      <c r="A17" s="70"/>
      <c r="B17" s="70" t="s">
        <v>12</v>
      </c>
      <c r="C17" s="73" t="s">
        <v>168</v>
      </c>
      <c r="D17" s="70" t="s">
        <v>2</v>
      </c>
      <c r="E17" s="174">
        <f>+'[1]TORRE 1'!G41+'[1]TORRE 1'!F56+'[1]TORRE 1'!L70</f>
        <v>3798.143</v>
      </c>
      <c r="F17" s="72">
        <v>17500</v>
      </c>
      <c r="G17" s="175">
        <f t="shared" ref="G17:G29" si="2">+E17*F17</f>
        <v>66467502.5</v>
      </c>
      <c r="H17" s="176">
        <v>433.64</v>
      </c>
      <c r="I17" s="177">
        <f>+H17/$E$17</f>
        <v>0.11417158332374532</v>
      </c>
      <c r="J17" s="72">
        <f>+$F$17*H17</f>
        <v>7588700</v>
      </c>
      <c r="K17" s="176">
        <f>Pintura!AE45</f>
        <v>1187.9581051</v>
      </c>
      <c r="L17" s="177">
        <f>+K17/$E$17</f>
        <v>0.31277340139641924</v>
      </c>
      <c r="M17" s="72">
        <f>+$F$17*K17</f>
        <v>20789266.839250002</v>
      </c>
      <c r="N17" s="176">
        <f>Pintura!AG45</f>
        <v>539.35693646250002</v>
      </c>
      <c r="O17" s="177">
        <f>+N17/$E$17</f>
        <v>0.14200543172347646</v>
      </c>
      <c r="P17" s="72">
        <f>+$F$17*N17</f>
        <v>9438746.3880937509</v>
      </c>
      <c r="Q17" s="176">
        <f>Pintura!AA42+Pintura!AA30+Pintura!AA25+Pintura!AA15-N17-K17-H17</f>
        <v>1636.4435666875006</v>
      </c>
      <c r="R17" s="177">
        <f>+Q17/$E$17</f>
        <v>0.43085359521416139</v>
      </c>
      <c r="S17" s="72">
        <f>+$F$17*Q17</f>
        <v>28637762.417031262</v>
      </c>
      <c r="T17" s="247">
        <f t="shared" si="1"/>
        <v>3797.3986082500005</v>
      </c>
      <c r="U17" s="177">
        <f>+T17/$E$17</f>
        <v>0.99980401165780242</v>
      </c>
      <c r="V17" s="72">
        <f>+$F$17*T17</f>
        <v>66454475.644375011</v>
      </c>
    </row>
    <row r="18" spans="1:22" ht="41.5" customHeight="1" x14ac:dyDescent="0.15">
      <c r="A18" s="70"/>
      <c r="B18" s="70" t="s">
        <v>11</v>
      </c>
      <c r="C18" s="73" t="s">
        <v>169</v>
      </c>
      <c r="D18" s="70" t="s">
        <v>2</v>
      </c>
      <c r="E18" s="174">
        <f>+'[1]TORRE 1'!G72</f>
        <v>382.96</v>
      </c>
      <c r="F18" s="72">
        <v>19400.284722554105</v>
      </c>
      <c r="G18" s="175">
        <f t="shared" si="2"/>
        <v>7429533.0373493191</v>
      </c>
      <c r="H18" s="176">
        <v>0</v>
      </c>
      <c r="I18" s="177">
        <f>+H18/$E$18</f>
        <v>0</v>
      </c>
      <c r="J18" s="72">
        <f>+$F$18*H18</f>
        <v>0</v>
      </c>
      <c r="K18" s="176">
        <v>0</v>
      </c>
      <c r="L18" s="177">
        <f>+K18/$E$18</f>
        <v>0</v>
      </c>
      <c r="M18" s="72">
        <f>+$F$18*K18</f>
        <v>0</v>
      </c>
      <c r="N18" s="176">
        <v>0</v>
      </c>
      <c r="O18" s="177">
        <f>+N18/$E$18</f>
        <v>0</v>
      </c>
      <c r="P18" s="72">
        <f>+$F$18*N18</f>
        <v>0</v>
      </c>
      <c r="Q18" s="176">
        <v>0</v>
      </c>
      <c r="R18" s="177">
        <f>+Q18/$E$18</f>
        <v>0</v>
      </c>
      <c r="S18" s="72">
        <f>+$F$18*Q18</f>
        <v>0</v>
      </c>
      <c r="T18" s="247">
        <f t="shared" si="1"/>
        <v>0</v>
      </c>
      <c r="U18" s="177">
        <f>+T18/$E$18</f>
        <v>0</v>
      </c>
      <c r="V18" s="72">
        <f>+$F$18*T18</f>
        <v>0</v>
      </c>
    </row>
    <row r="19" spans="1:22" ht="30" x14ac:dyDescent="0.15">
      <c r="A19" s="70"/>
      <c r="B19" s="70" t="s">
        <v>10</v>
      </c>
      <c r="C19" s="73" t="s">
        <v>170</v>
      </c>
      <c r="D19" s="70" t="s">
        <v>4</v>
      </c>
      <c r="E19" s="174">
        <f>+'[1]TORRE 1'!G75</f>
        <v>53.65</v>
      </c>
      <c r="F19" s="72">
        <v>8100</v>
      </c>
      <c r="G19" s="175">
        <f t="shared" si="2"/>
        <v>434565</v>
      </c>
      <c r="H19" s="176">
        <v>0</v>
      </c>
      <c r="I19" s="177">
        <f>+H19/$E$19</f>
        <v>0</v>
      </c>
      <c r="J19" s="72">
        <f>+$F$19*H19</f>
        <v>0</v>
      </c>
      <c r="K19" s="176">
        <v>0</v>
      </c>
      <c r="L19" s="177">
        <f>+K19/$E$19</f>
        <v>0</v>
      </c>
      <c r="M19" s="72">
        <f>+$F$19*K19</f>
        <v>0</v>
      </c>
      <c r="N19" s="176">
        <v>0</v>
      </c>
      <c r="O19" s="177">
        <f>+N19/$E$19</f>
        <v>0</v>
      </c>
      <c r="P19" s="72">
        <f>+$F$19*N19</f>
        <v>0</v>
      </c>
      <c r="Q19" s="176">
        <v>0</v>
      </c>
      <c r="R19" s="177">
        <f>+Q19/$E$19</f>
        <v>0</v>
      </c>
      <c r="S19" s="72">
        <f>+$F$19*Q19</f>
        <v>0</v>
      </c>
      <c r="T19" s="247">
        <f t="shared" si="1"/>
        <v>0</v>
      </c>
      <c r="U19" s="177">
        <f>+T19/$E$19</f>
        <v>0</v>
      </c>
      <c r="V19" s="72">
        <f>+$F$19*T19</f>
        <v>0</v>
      </c>
    </row>
    <row r="20" spans="1:22" ht="30" x14ac:dyDescent="0.15">
      <c r="A20" s="70"/>
      <c r="B20" s="70" t="s">
        <v>9</v>
      </c>
      <c r="C20" s="73" t="s">
        <v>171</v>
      </c>
      <c r="D20" s="70" t="s">
        <v>2</v>
      </c>
      <c r="E20" s="176">
        <f>2.2*2+('[1]TORRE 1'!K28)</f>
        <v>71.000000000000014</v>
      </c>
      <c r="F20" s="72">
        <v>24300</v>
      </c>
      <c r="G20" s="175">
        <f t="shared" si="2"/>
        <v>1725300.0000000002</v>
      </c>
      <c r="H20" s="176">
        <v>0</v>
      </c>
      <c r="I20" s="177">
        <f>+H20/$E$20</f>
        <v>0</v>
      </c>
      <c r="J20" s="72">
        <f>+$F$20*H20</f>
        <v>0</v>
      </c>
      <c r="K20" s="176">
        <v>0</v>
      </c>
      <c r="L20" s="177">
        <f>+K20/$E$20</f>
        <v>0</v>
      </c>
      <c r="M20" s="72">
        <f>+$F$20*K20</f>
        <v>0</v>
      </c>
      <c r="N20" s="176">
        <v>0</v>
      </c>
      <c r="O20" s="177">
        <f>+N20/$E$20</f>
        <v>0</v>
      </c>
      <c r="P20" s="72">
        <f>+$F$20*N20</f>
        <v>0</v>
      </c>
      <c r="Q20" s="176">
        <v>0</v>
      </c>
      <c r="R20" s="177">
        <f>+Q20/$E$20</f>
        <v>0</v>
      </c>
      <c r="S20" s="72">
        <f>+$F$20*Q20</f>
        <v>0</v>
      </c>
      <c r="T20" s="247">
        <f t="shared" si="1"/>
        <v>0</v>
      </c>
      <c r="U20" s="177">
        <f>+T20/$E$20</f>
        <v>0</v>
      </c>
      <c r="V20" s="72">
        <f>+$F$20*T20</f>
        <v>0</v>
      </c>
    </row>
    <row r="21" spans="1:22" ht="30" x14ac:dyDescent="0.15">
      <c r="A21" s="70"/>
      <c r="B21" s="70" t="s">
        <v>8</v>
      </c>
      <c r="C21" s="73" t="s">
        <v>172</v>
      </c>
      <c r="D21" s="70" t="s">
        <v>4</v>
      </c>
      <c r="E21" s="176">
        <f>+(5.5+2.6)*3</f>
        <v>24.299999999999997</v>
      </c>
      <c r="F21" s="72">
        <v>22400</v>
      </c>
      <c r="G21" s="175">
        <f t="shared" si="2"/>
        <v>544319.99999999988</v>
      </c>
      <c r="H21" s="176">
        <v>0</v>
      </c>
      <c r="I21" s="177">
        <f>+H21/$E$21</f>
        <v>0</v>
      </c>
      <c r="J21" s="72">
        <f>+$F$21*H21</f>
        <v>0</v>
      </c>
      <c r="K21" s="176">
        <v>0</v>
      </c>
      <c r="L21" s="177">
        <f>+K21/$E$21</f>
        <v>0</v>
      </c>
      <c r="M21" s="72">
        <f>+$F$21*K21</f>
        <v>0</v>
      </c>
      <c r="N21" s="176">
        <v>0</v>
      </c>
      <c r="O21" s="177">
        <f>+N21/$E$21</f>
        <v>0</v>
      </c>
      <c r="P21" s="72">
        <f>+$F$21*N21</f>
        <v>0</v>
      </c>
      <c r="Q21" s="176">
        <v>0</v>
      </c>
      <c r="R21" s="177">
        <f>+Q21/$E$21</f>
        <v>0</v>
      </c>
      <c r="S21" s="72">
        <f>+$F$21*Q21</f>
        <v>0</v>
      </c>
      <c r="T21" s="247">
        <f t="shared" si="1"/>
        <v>0</v>
      </c>
      <c r="U21" s="177">
        <f>+T21/$E$21</f>
        <v>0</v>
      </c>
      <c r="V21" s="72">
        <f>+$F$21*T21</f>
        <v>0</v>
      </c>
    </row>
    <row r="22" spans="1:22" ht="30" x14ac:dyDescent="0.15">
      <c r="A22" s="70"/>
      <c r="B22" s="70" t="s">
        <v>7</v>
      </c>
      <c r="C22" s="73" t="s">
        <v>173</v>
      </c>
      <c r="D22" s="70" t="s">
        <v>2</v>
      </c>
      <c r="E22" s="174">
        <f>+'[1]TORRE 1'!L50</f>
        <v>1179.8900000000001</v>
      </c>
      <c r="F22" s="72">
        <v>12000</v>
      </c>
      <c r="G22" s="175">
        <f t="shared" si="2"/>
        <v>14158680.000000002</v>
      </c>
      <c r="H22" s="176">
        <v>589.54999999999995</v>
      </c>
      <c r="I22" s="177">
        <f>+H22/$E$22</f>
        <v>0.49966522302926536</v>
      </c>
      <c r="J22" s="72">
        <f>+$F$22*H22</f>
        <v>7074599.9999999991</v>
      </c>
      <c r="K22" s="176">
        <f>Pintura!AE60</f>
        <v>589.54000000000042</v>
      </c>
      <c r="L22" s="177">
        <f>+K22/$E$22</f>
        <v>0.49965674766291807</v>
      </c>
      <c r="M22" s="72">
        <f>+$F$22*K22</f>
        <v>7074480.0000000047</v>
      </c>
      <c r="N22" s="176">
        <v>0</v>
      </c>
      <c r="O22" s="177">
        <f>+N22/$E$22</f>
        <v>0</v>
      </c>
      <c r="P22" s="72">
        <f>+$F$22*N22</f>
        <v>0</v>
      </c>
      <c r="Q22" s="176">
        <f>Pintura!AA60-'Acta Av Obra 03 - ene 21 2026'!H22-'Acta Av Obra 03 - ene 21 2026'!K22</f>
        <v>0</v>
      </c>
      <c r="R22" s="177">
        <f>+Q22/$E$22</f>
        <v>0</v>
      </c>
      <c r="S22" s="72">
        <f>+$F$22*Q22</f>
        <v>0</v>
      </c>
      <c r="T22" s="247">
        <f t="shared" si="1"/>
        <v>1179.0900000000004</v>
      </c>
      <c r="U22" s="177">
        <f>+T22/$E$22</f>
        <v>0.99932197069218343</v>
      </c>
      <c r="V22" s="72">
        <f>+$F$22*T22</f>
        <v>14149080.000000004</v>
      </c>
    </row>
    <row r="23" spans="1:22" x14ac:dyDescent="0.15">
      <c r="A23" s="254">
        <v>4</v>
      </c>
      <c r="B23" s="254"/>
      <c r="C23" s="249" t="s">
        <v>174</v>
      </c>
      <c r="D23" s="249"/>
      <c r="E23" s="249"/>
      <c r="F23" s="249"/>
      <c r="G23" s="250">
        <f>+G24+G25+G26+G27+G28+G29</f>
        <v>38695429.640000001</v>
      </c>
      <c r="H23" s="251"/>
      <c r="I23" s="252"/>
      <c r="J23" s="250">
        <f>+J24+J25+J26+J27+J28+J29</f>
        <v>635804</v>
      </c>
      <c r="K23" s="251"/>
      <c r="L23" s="252"/>
      <c r="M23" s="250">
        <f>+M24+M25+M26+M27+M28+M29</f>
        <v>4407492.4000000004</v>
      </c>
      <c r="N23" s="251"/>
      <c r="O23" s="252"/>
      <c r="P23" s="250">
        <f>+P24+P25+P26+P27+P28+P29</f>
        <v>4026577</v>
      </c>
      <c r="Q23" s="251"/>
      <c r="R23" s="252"/>
      <c r="S23" s="250">
        <f>+S24+S25+S26+S27+S28+S29</f>
        <v>3893866.5999999992</v>
      </c>
      <c r="T23" s="252"/>
      <c r="U23" s="252"/>
      <c r="V23" s="250">
        <f>+V24+V25+V26+V27+V28+V29</f>
        <v>12963740</v>
      </c>
    </row>
    <row r="24" spans="1:22" x14ac:dyDescent="0.15">
      <c r="A24" s="70"/>
      <c r="B24" s="70" t="s">
        <v>6</v>
      </c>
      <c r="C24" s="173" t="s">
        <v>175</v>
      </c>
      <c r="D24" s="70" t="s">
        <v>4</v>
      </c>
      <c r="E24" s="174">
        <f>+'[1]TORRE 1'!L83</f>
        <v>346.79</v>
      </c>
      <c r="F24" s="72">
        <v>37000</v>
      </c>
      <c r="G24" s="175">
        <f t="shared" si="2"/>
        <v>12831230</v>
      </c>
      <c r="H24" s="176">
        <v>0</v>
      </c>
      <c r="I24" s="177">
        <f>+H24/$E$24</f>
        <v>0</v>
      </c>
      <c r="J24" s="72">
        <f>+$F$24*H24</f>
        <v>0</v>
      </c>
      <c r="K24" s="176">
        <v>85</v>
      </c>
      <c r="L24" s="177">
        <f>+K24/$E$24</f>
        <v>0.24510510683699066</v>
      </c>
      <c r="M24" s="72">
        <f>+$F$24*K24</f>
        <v>3145000</v>
      </c>
      <c r="N24" s="176">
        <v>58</v>
      </c>
      <c r="O24" s="177">
        <f>+N24/$E$24</f>
        <v>0.16724819054759363</v>
      </c>
      <c r="P24" s="72">
        <f>+$F$24*N24</f>
        <v>2146000</v>
      </c>
      <c r="Q24" s="176"/>
      <c r="R24" s="177">
        <f>+Q24/$E$24</f>
        <v>0</v>
      </c>
      <c r="S24" s="72">
        <f>+$F$24*Q24</f>
        <v>0</v>
      </c>
      <c r="T24" s="247">
        <f t="shared" si="1"/>
        <v>143</v>
      </c>
      <c r="U24" s="177">
        <f>+T24/$E$24</f>
        <v>0.41235329738458432</v>
      </c>
      <c r="V24" s="72">
        <f>+$F$24*T24</f>
        <v>5291000</v>
      </c>
    </row>
    <row r="25" spans="1:22" ht="30" x14ac:dyDescent="0.15">
      <c r="A25" s="70"/>
      <c r="B25" s="70" t="s">
        <v>5</v>
      </c>
      <c r="C25" s="73" t="s">
        <v>176</v>
      </c>
      <c r="D25" s="70" t="s">
        <v>4</v>
      </c>
      <c r="E25" s="174">
        <f>+'[1]TORRE 1'!I29*0.6</f>
        <v>1450.14</v>
      </c>
      <c r="F25" s="72">
        <v>5200</v>
      </c>
      <c r="G25" s="175">
        <f t="shared" si="2"/>
        <v>7540728.0000000009</v>
      </c>
      <c r="H25" s="176">
        <v>122.27</v>
      </c>
      <c r="I25" s="177">
        <f>+H25/$E$25</f>
        <v>8.4315997076144358E-2</v>
      </c>
      <c r="J25" s="72">
        <f>+$F$25*H25</f>
        <v>635804</v>
      </c>
      <c r="K25" s="176">
        <f>Sellos!AE46</f>
        <v>242.78700000000001</v>
      </c>
      <c r="L25" s="177">
        <f>+K25/$E$25</f>
        <v>0.16742314535148331</v>
      </c>
      <c r="M25" s="72">
        <f>+$F$25*K25</f>
        <v>1262492.4000000001</v>
      </c>
      <c r="N25" s="176">
        <f>Sellos!AG46</f>
        <v>163.57249999999999</v>
      </c>
      <c r="O25" s="177">
        <f>+N25/$E$25</f>
        <v>0.11279772987435695</v>
      </c>
      <c r="P25" s="72">
        <f>+$F$25*N25</f>
        <v>850577</v>
      </c>
      <c r="Q25" s="176">
        <f>Sellos!AA46-'Acta Av Obra 03 - ene 21 2026'!N25-'Acta Av Obra 03 - ene 21 2026'!K25-'Acta Av Obra 03 - ene 21 2026'!H25</f>
        <v>748.82049999999981</v>
      </c>
      <c r="R25" s="177">
        <f>+Q25/$E$25</f>
        <v>0.5163780738411462</v>
      </c>
      <c r="S25" s="72">
        <f>+$F$25*Q25</f>
        <v>3893866.5999999992</v>
      </c>
      <c r="T25" s="247">
        <f t="shared" si="1"/>
        <v>1277.4499999999998</v>
      </c>
      <c r="U25" s="177">
        <f>+T25/$E$25</f>
        <v>0.88091494614313082</v>
      </c>
      <c r="V25" s="72">
        <f>+$F$25*T25</f>
        <v>6642739.9999999991</v>
      </c>
    </row>
    <row r="26" spans="1:22" ht="15" x14ac:dyDescent="0.15">
      <c r="A26" s="70"/>
      <c r="B26" s="70" t="s">
        <v>3</v>
      </c>
      <c r="C26" s="73" t="s">
        <v>97</v>
      </c>
      <c r="D26" s="70" t="s">
        <v>4</v>
      </c>
      <c r="E26" s="174">
        <f>+'[1]TORRE 1'!L83</f>
        <v>346.79</v>
      </c>
      <c r="F26" s="72">
        <v>5200</v>
      </c>
      <c r="G26" s="175">
        <f t="shared" si="2"/>
        <v>1803308</v>
      </c>
      <c r="H26" s="176">
        <v>0</v>
      </c>
      <c r="I26" s="177">
        <f>+H26/$E$26</f>
        <v>0</v>
      </c>
      <c r="J26" s="72">
        <f>+$F$26*H26</f>
        <v>0</v>
      </c>
      <c r="K26" s="176">
        <v>0</v>
      </c>
      <c r="L26" s="177">
        <f>+K26/$E$26</f>
        <v>0</v>
      </c>
      <c r="M26" s="72">
        <f>+$F$26*K26</f>
        <v>0</v>
      </c>
      <c r="N26" s="176">
        <v>0</v>
      </c>
      <c r="O26" s="177">
        <f>+N26/$E$26</f>
        <v>0</v>
      </c>
      <c r="P26" s="72">
        <f>+$F$26*N26</f>
        <v>0</v>
      </c>
      <c r="Q26" s="176">
        <v>0</v>
      </c>
      <c r="R26" s="177">
        <f>+Q26/$E$26</f>
        <v>0</v>
      </c>
      <c r="S26" s="72">
        <f>+$F$26*Q26</f>
        <v>0</v>
      </c>
      <c r="T26" s="247">
        <f t="shared" si="1"/>
        <v>0</v>
      </c>
      <c r="U26" s="177">
        <f>+T26/$E$26</f>
        <v>0</v>
      </c>
      <c r="V26" s="72">
        <f>+$F$26*T26</f>
        <v>0</v>
      </c>
    </row>
    <row r="27" spans="1:22" ht="30" x14ac:dyDescent="0.15">
      <c r="A27" s="70"/>
      <c r="B27" s="70" t="s">
        <v>20</v>
      </c>
      <c r="C27" s="73" t="s">
        <v>177</v>
      </c>
      <c r="D27" s="70" t="s">
        <v>4</v>
      </c>
      <c r="E27" s="174">
        <f>+'[1]TORRE 1'!K87</f>
        <v>122</v>
      </c>
      <c r="F27" s="72">
        <v>63000</v>
      </c>
      <c r="G27" s="175">
        <f t="shared" si="2"/>
        <v>7686000</v>
      </c>
      <c r="H27" s="176">
        <v>0</v>
      </c>
      <c r="I27" s="177">
        <f>+H27/$E$27</f>
        <v>0</v>
      </c>
      <c r="J27" s="72">
        <f>+$F$27*H27</f>
        <v>0</v>
      </c>
      <c r="K27" s="176">
        <v>0</v>
      </c>
      <c r="L27" s="177">
        <f>+K27/$E$27</f>
        <v>0</v>
      </c>
      <c r="M27" s="72">
        <f>+$F$27*K27</f>
        <v>0</v>
      </c>
      <c r="N27" s="176">
        <v>0</v>
      </c>
      <c r="O27" s="177">
        <f>+N27/$E$27</f>
        <v>0</v>
      </c>
      <c r="P27" s="72">
        <f>+$F$27*N27</f>
        <v>0</v>
      </c>
      <c r="Q27" s="176">
        <v>0</v>
      </c>
      <c r="R27" s="177">
        <f>+Q27/$E$27</f>
        <v>0</v>
      </c>
      <c r="S27" s="72">
        <f>+$F$27*Q27</f>
        <v>0</v>
      </c>
      <c r="T27" s="247">
        <f t="shared" si="1"/>
        <v>0</v>
      </c>
      <c r="U27" s="177">
        <f>+T27/$E$27</f>
        <v>0</v>
      </c>
      <c r="V27" s="72">
        <f>+$F$27*T27</f>
        <v>0</v>
      </c>
    </row>
    <row r="28" spans="1:22" ht="30" x14ac:dyDescent="0.15">
      <c r="A28" s="70"/>
      <c r="B28" s="70" t="s">
        <v>178</v>
      </c>
      <c r="C28" s="73" t="s">
        <v>179</v>
      </c>
      <c r="D28" s="70" t="s">
        <v>2</v>
      </c>
      <c r="E28" s="174">
        <f>+('[1]TORRE 1'!M83+'[1]TORRE 1'!K53+'[1]TORRE 1'!K55+'[1]TORRE 1'!C55:E55+'[1]TORRE 1'!C51:E51)*0.2+'[1]TORRE 1'!G71</f>
        <v>45.279699999999998</v>
      </c>
      <c r="F28" s="72">
        <v>41200</v>
      </c>
      <c r="G28" s="175">
        <f t="shared" si="2"/>
        <v>1865523.64</v>
      </c>
      <c r="H28" s="176">
        <v>0</v>
      </c>
      <c r="I28" s="177">
        <f>+H28/$E$28</f>
        <v>0</v>
      </c>
      <c r="J28" s="72">
        <f>+$F$28*H28</f>
        <v>0</v>
      </c>
      <c r="K28" s="176">
        <v>0</v>
      </c>
      <c r="L28" s="177">
        <f>+K28/$E$28</f>
        <v>0</v>
      </c>
      <c r="M28" s="72">
        <f>+$F$28*K28</f>
        <v>0</v>
      </c>
      <c r="N28" s="176">
        <v>25</v>
      </c>
      <c r="O28" s="177">
        <f>+N28/$E$28</f>
        <v>0.55212379940679823</v>
      </c>
      <c r="P28" s="72">
        <f>+$F$28*N28</f>
        <v>1030000</v>
      </c>
      <c r="Q28" s="176"/>
      <c r="R28" s="177">
        <f>+Q28/$E$28</f>
        <v>0</v>
      </c>
      <c r="S28" s="72">
        <f>+$F$28*Q28</f>
        <v>0</v>
      </c>
      <c r="T28" s="247">
        <f t="shared" si="1"/>
        <v>25</v>
      </c>
      <c r="U28" s="177">
        <f>+T28/$E$28</f>
        <v>0.55212379940679823</v>
      </c>
      <c r="V28" s="72">
        <f>+$F$28*T28</f>
        <v>1030000</v>
      </c>
    </row>
    <row r="29" spans="1:22" ht="15" x14ac:dyDescent="0.15">
      <c r="A29" s="70"/>
      <c r="B29" s="70" t="s">
        <v>180</v>
      </c>
      <c r="C29" s="178" t="s">
        <v>181</v>
      </c>
      <c r="D29" s="70" t="s">
        <v>2</v>
      </c>
      <c r="E29" s="174">
        <f>+'[1]TORRE 1'!K92</f>
        <v>97.600000000000009</v>
      </c>
      <c r="F29" s="72">
        <v>71400</v>
      </c>
      <c r="G29" s="175">
        <f t="shared" si="2"/>
        <v>6968640.0000000009</v>
      </c>
      <c r="H29" s="176">
        <v>0</v>
      </c>
      <c r="I29" s="177">
        <f>+H29/$E$29</f>
        <v>0</v>
      </c>
      <c r="J29" s="72">
        <f>+$F$29*H29</f>
        <v>0</v>
      </c>
      <c r="K29" s="176">
        <v>0</v>
      </c>
      <c r="L29" s="177">
        <f>+K29/$E$29</f>
        <v>0</v>
      </c>
      <c r="M29" s="72">
        <f>+$F$29*K29</f>
        <v>0</v>
      </c>
      <c r="N29" s="176">
        <v>0</v>
      </c>
      <c r="O29" s="177">
        <f>+N29/$E$29</f>
        <v>0</v>
      </c>
      <c r="P29" s="72">
        <f>+$F$29*N29</f>
        <v>0</v>
      </c>
      <c r="Q29" s="176">
        <v>0</v>
      </c>
      <c r="R29" s="177">
        <f>+Q29/$E$29</f>
        <v>0</v>
      </c>
      <c r="S29" s="72">
        <f>+$F$29*Q29</f>
        <v>0</v>
      </c>
      <c r="T29" s="247">
        <f t="shared" si="1"/>
        <v>0</v>
      </c>
      <c r="U29" s="177">
        <f>+T29/$E$29</f>
        <v>0</v>
      </c>
      <c r="V29" s="72">
        <f>+$F$29*T29</f>
        <v>0</v>
      </c>
    </row>
    <row r="30" spans="1:22" x14ac:dyDescent="0.15">
      <c r="A30" s="254">
        <v>5</v>
      </c>
      <c r="B30" s="254"/>
      <c r="C30" s="249" t="s">
        <v>182</v>
      </c>
      <c r="D30" s="249"/>
      <c r="E30" s="249"/>
      <c r="F30" s="249"/>
      <c r="G30" s="257">
        <f>+G31+G32+G33+G34</f>
        <v>29601800</v>
      </c>
      <c r="H30" s="251"/>
      <c r="I30" s="252"/>
      <c r="J30" s="257">
        <f>+J31+J32+J33+J34</f>
        <v>0</v>
      </c>
      <c r="K30" s="251"/>
      <c r="L30" s="252"/>
      <c r="M30" s="257">
        <f>+M31+M32+M33+M34</f>
        <v>0</v>
      </c>
      <c r="N30" s="251"/>
      <c r="O30" s="252"/>
      <c r="P30" s="257">
        <f>+P31+P32+P33+P34</f>
        <v>0</v>
      </c>
      <c r="Q30" s="251"/>
      <c r="R30" s="252"/>
      <c r="S30" s="257">
        <f>+S31+S32+S33+S34</f>
        <v>0</v>
      </c>
      <c r="T30" s="252"/>
      <c r="U30" s="252"/>
      <c r="V30" s="250">
        <f>+V31+V32+V33+V34+V35+V36</f>
        <v>1150000</v>
      </c>
    </row>
    <row r="31" spans="1:22" ht="30" x14ac:dyDescent="0.15">
      <c r="A31" s="70"/>
      <c r="B31" s="70" t="s">
        <v>1</v>
      </c>
      <c r="C31" s="73" t="s">
        <v>183</v>
      </c>
      <c r="D31" s="70" t="s">
        <v>2</v>
      </c>
      <c r="E31" s="70">
        <f>+'[1]TORRE 1'!K86</f>
        <v>395</v>
      </c>
      <c r="F31" s="72">
        <v>65000</v>
      </c>
      <c r="G31" s="175">
        <f>+E31*F31</f>
        <v>25675000</v>
      </c>
      <c r="H31" s="176">
        <v>0</v>
      </c>
      <c r="I31" s="177">
        <f>+H31/$E$31</f>
        <v>0</v>
      </c>
      <c r="J31" s="72">
        <f>+$F$31*H31</f>
        <v>0</v>
      </c>
      <c r="K31" s="176">
        <v>0</v>
      </c>
      <c r="L31" s="177">
        <f>+K31/$E$31</f>
        <v>0</v>
      </c>
      <c r="M31" s="72">
        <f>+$F$31*K31</f>
        <v>0</v>
      </c>
      <c r="N31" s="176">
        <v>0</v>
      </c>
      <c r="O31" s="177">
        <f>+N31/$E$31</f>
        <v>0</v>
      </c>
      <c r="P31" s="72">
        <f>+$F$31*N31</f>
        <v>0</v>
      </c>
      <c r="Q31" s="176">
        <v>0</v>
      </c>
      <c r="R31" s="177">
        <f>+Q31/$E$31</f>
        <v>0</v>
      </c>
      <c r="S31" s="72">
        <f>+$F$31*Q31</f>
        <v>0</v>
      </c>
      <c r="T31" s="247">
        <f t="shared" si="1"/>
        <v>0</v>
      </c>
      <c r="U31" s="177">
        <f>+T31/$E$31</f>
        <v>0</v>
      </c>
      <c r="V31" s="72">
        <f>+$F$31*T31</f>
        <v>0</v>
      </c>
    </row>
    <row r="32" spans="1:22" ht="15" x14ac:dyDescent="0.15">
      <c r="A32" s="71"/>
      <c r="B32" s="70" t="s">
        <v>21</v>
      </c>
      <c r="C32" s="73" t="s">
        <v>184</v>
      </c>
      <c r="D32" s="70" t="s">
        <v>2</v>
      </c>
      <c r="E32" s="70">
        <v>29.6</v>
      </c>
      <c r="F32" s="72">
        <v>71000</v>
      </c>
      <c r="G32" s="175">
        <f t="shared" ref="G32:G37" si="3">+E32*F32</f>
        <v>2101600</v>
      </c>
      <c r="H32" s="176">
        <v>0</v>
      </c>
      <c r="I32" s="177">
        <f>+H32/$E$32</f>
        <v>0</v>
      </c>
      <c r="J32" s="72">
        <f>+$F$32*H32</f>
        <v>0</v>
      </c>
      <c r="K32" s="176">
        <v>0</v>
      </c>
      <c r="L32" s="177">
        <f>+K32/$E$32</f>
        <v>0</v>
      </c>
      <c r="M32" s="72">
        <f>+$F$32*K32</f>
        <v>0</v>
      </c>
      <c r="N32" s="176">
        <v>0</v>
      </c>
      <c r="O32" s="177">
        <f>+N32/$E$32</f>
        <v>0</v>
      </c>
      <c r="P32" s="72">
        <f>+$F$32*N32</f>
        <v>0</v>
      </c>
      <c r="Q32" s="176">
        <v>0</v>
      </c>
      <c r="R32" s="177">
        <f>+Q32/$E$32</f>
        <v>0</v>
      </c>
      <c r="S32" s="72">
        <f>+$F$32*Q32</f>
        <v>0</v>
      </c>
      <c r="T32" s="247">
        <f t="shared" si="1"/>
        <v>0</v>
      </c>
      <c r="U32" s="177">
        <f>+T32/$E$32</f>
        <v>0</v>
      </c>
      <c r="V32" s="72">
        <f>+$F$32*T32</f>
        <v>0</v>
      </c>
    </row>
    <row r="33" spans="1:23" ht="15" x14ac:dyDescent="0.15">
      <c r="A33" s="70"/>
      <c r="B33" s="70" t="s">
        <v>22</v>
      </c>
      <c r="C33" s="73" t="s">
        <v>185</v>
      </c>
      <c r="D33" s="70" t="s">
        <v>2</v>
      </c>
      <c r="E33" s="70">
        <v>35</v>
      </c>
      <c r="F33" s="72">
        <v>39000</v>
      </c>
      <c r="G33" s="175">
        <f>+E33*F33</f>
        <v>1365000</v>
      </c>
      <c r="H33" s="176">
        <v>0</v>
      </c>
      <c r="I33" s="177">
        <f>+H33/$E$33</f>
        <v>0</v>
      </c>
      <c r="J33" s="72">
        <f>+$F$33*H33</f>
        <v>0</v>
      </c>
      <c r="K33" s="176">
        <v>0</v>
      </c>
      <c r="L33" s="177">
        <f>+K33/$E$33</f>
        <v>0</v>
      </c>
      <c r="M33" s="72">
        <f>+$F$33*K33</f>
        <v>0</v>
      </c>
      <c r="N33" s="176">
        <v>0</v>
      </c>
      <c r="O33" s="177">
        <f>+N33/$E$33</f>
        <v>0</v>
      </c>
      <c r="P33" s="72">
        <f>+$F$33*N33</f>
        <v>0</v>
      </c>
      <c r="Q33" s="176">
        <v>0</v>
      </c>
      <c r="R33" s="177">
        <f>+Q33/$E$33</f>
        <v>0</v>
      </c>
      <c r="S33" s="72">
        <f>+$F$33*Q33</f>
        <v>0</v>
      </c>
      <c r="T33" s="247">
        <f t="shared" si="1"/>
        <v>0</v>
      </c>
      <c r="U33" s="177">
        <f>+T33/$E$33</f>
        <v>0</v>
      </c>
      <c r="V33" s="72">
        <f>+$F$33*T33</f>
        <v>0</v>
      </c>
    </row>
    <row r="34" spans="1:23" ht="15" x14ac:dyDescent="0.15">
      <c r="A34" s="71"/>
      <c r="B34" s="70" t="s">
        <v>23</v>
      </c>
      <c r="C34" s="73" t="s">
        <v>186</v>
      </c>
      <c r="D34" s="70" t="s">
        <v>2</v>
      </c>
      <c r="E34" s="70">
        <v>11.8</v>
      </c>
      <c r="F34" s="72">
        <v>39000</v>
      </c>
      <c r="G34" s="175">
        <f t="shared" si="3"/>
        <v>460200</v>
      </c>
      <c r="H34" s="176">
        <v>0</v>
      </c>
      <c r="I34" s="177">
        <f>+H34/$E$34</f>
        <v>0</v>
      </c>
      <c r="J34" s="72">
        <f>+$F$34*H34</f>
        <v>0</v>
      </c>
      <c r="K34" s="176">
        <v>0</v>
      </c>
      <c r="L34" s="177">
        <f>+K34/$E$34</f>
        <v>0</v>
      </c>
      <c r="M34" s="72">
        <f>+$F$34*K34</f>
        <v>0</v>
      </c>
      <c r="N34" s="176">
        <v>0</v>
      </c>
      <c r="O34" s="177">
        <f>+N34/$E$34</f>
        <v>0</v>
      </c>
      <c r="P34" s="72">
        <f>+$F$34*N34</f>
        <v>0</v>
      </c>
      <c r="Q34" s="176">
        <v>0</v>
      </c>
      <c r="R34" s="177">
        <f>+Q34/$E$34</f>
        <v>0</v>
      </c>
      <c r="S34" s="72">
        <f>+$F$34*Q34</f>
        <v>0</v>
      </c>
      <c r="T34" s="247">
        <f t="shared" si="1"/>
        <v>0</v>
      </c>
      <c r="U34" s="177">
        <f>+T34/$E$34</f>
        <v>0</v>
      </c>
      <c r="V34" s="72">
        <f>+$F$34*T34</f>
        <v>0</v>
      </c>
    </row>
    <row r="35" spans="1:23" x14ac:dyDescent="0.15">
      <c r="A35" s="254">
        <v>6</v>
      </c>
      <c r="B35" s="254"/>
      <c r="C35" s="249" t="s">
        <v>187</v>
      </c>
      <c r="D35" s="254"/>
      <c r="E35" s="254"/>
      <c r="F35" s="255"/>
      <c r="G35" s="257">
        <f>+G36+G37</f>
        <v>1800000</v>
      </c>
      <c r="H35" s="251"/>
      <c r="I35" s="252"/>
      <c r="J35" s="257">
        <f>+J36+J37</f>
        <v>0</v>
      </c>
      <c r="K35" s="251"/>
      <c r="L35" s="252"/>
      <c r="M35" s="257">
        <f>+M36+M37</f>
        <v>0</v>
      </c>
      <c r="N35" s="251"/>
      <c r="O35" s="252"/>
      <c r="P35" s="257">
        <f>+P36+P37</f>
        <v>0</v>
      </c>
      <c r="Q35" s="251"/>
      <c r="R35" s="252"/>
      <c r="S35" s="257">
        <f>+S36+S37</f>
        <v>900000</v>
      </c>
      <c r="T35" s="252"/>
      <c r="U35" s="252"/>
      <c r="V35" s="257">
        <f>+V36+V37</f>
        <v>900000</v>
      </c>
    </row>
    <row r="36" spans="1:23" ht="15" x14ac:dyDescent="0.15">
      <c r="A36" s="71"/>
      <c r="B36" s="70" t="s">
        <v>24</v>
      </c>
      <c r="C36" s="73" t="s">
        <v>188</v>
      </c>
      <c r="D36" s="70" t="s">
        <v>161</v>
      </c>
      <c r="E36" s="70">
        <v>1</v>
      </c>
      <c r="F36" s="72">
        <v>500000</v>
      </c>
      <c r="G36" s="175">
        <f t="shared" si="3"/>
        <v>500000</v>
      </c>
      <c r="H36" s="176">
        <v>0</v>
      </c>
      <c r="I36" s="177">
        <f>+H36/$E$36</f>
        <v>0</v>
      </c>
      <c r="J36" s="72">
        <f>+$F$36*H36</f>
        <v>0</v>
      </c>
      <c r="K36" s="176">
        <v>0</v>
      </c>
      <c r="L36" s="177">
        <f>+K36/$E$36</f>
        <v>0</v>
      </c>
      <c r="M36" s="72">
        <f>+$F$36*K36</f>
        <v>0</v>
      </c>
      <c r="N36" s="176">
        <v>0</v>
      </c>
      <c r="O36" s="177">
        <f>+N36/$E$36</f>
        <v>0</v>
      </c>
      <c r="P36" s="72">
        <f>+$F$36*N36</f>
        <v>0</v>
      </c>
      <c r="Q36" s="176">
        <v>0.5</v>
      </c>
      <c r="R36" s="177">
        <f>+Q36/$E$36</f>
        <v>0.5</v>
      </c>
      <c r="S36" s="72">
        <f>+$F$36*Q36</f>
        <v>250000</v>
      </c>
      <c r="T36" s="247">
        <f t="shared" si="1"/>
        <v>0.5</v>
      </c>
      <c r="U36" s="177">
        <f>+T36/$E$36</f>
        <v>0.5</v>
      </c>
      <c r="V36" s="72">
        <f>+$F$36*T36</f>
        <v>250000</v>
      </c>
    </row>
    <row r="37" spans="1:23" ht="15" x14ac:dyDescent="0.15">
      <c r="A37" s="71"/>
      <c r="B37" s="70" t="s">
        <v>25</v>
      </c>
      <c r="C37" s="73" t="s">
        <v>189</v>
      </c>
      <c r="D37" s="70" t="s">
        <v>161</v>
      </c>
      <c r="E37" s="70">
        <v>1</v>
      </c>
      <c r="F37" s="72">
        <v>1300000</v>
      </c>
      <c r="G37" s="175">
        <f t="shared" si="3"/>
        <v>1300000</v>
      </c>
      <c r="H37" s="176">
        <v>0</v>
      </c>
      <c r="I37" s="177">
        <f>+H37/$E$37</f>
        <v>0</v>
      </c>
      <c r="J37" s="72">
        <f>+$F$37*H37</f>
        <v>0</v>
      </c>
      <c r="K37" s="176">
        <v>0</v>
      </c>
      <c r="L37" s="177">
        <f>+K37/$E$37</f>
        <v>0</v>
      </c>
      <c r="M37" s="72">
        <f>+$F$37*K37</f>
        <v>0</v>
      </c>
      <c r="N37" s="176">
        <v>0</v>
      </c>
      <c r="O37" s="177">
        <f>+N37/$E$37</f>
        <v>0</v>
      </c>
      <c r="P37" s="72">
        <f>+$F$37*N37</f>
        <v>0</v>
      </c>
      <c r="Q37" s="176">
        <v>0.5</v>
      </c>
      <c r="R37" s="177">
        <f>+Q37/$E$37</f>
        <v>0.5</v>
      </c>
      <c r="S37" s="72">
        <f>+$F$37*Q37</f>
        <v>650000</v>
      </c>
      <c r="T37" s="247">
        <f t="shared" si="1"/>
        <v>0.5</v>
      </c>
      <c r="U37" s="177">
        <f>+T37/$E$37</f>
        <v>0.5</v>
      </c>
      <c r="V37" s="72">
        <f>+$F$37*T37</f>
        <v>650000</v>
      </c>
    </row>
    <row r="38" spans="1:23" x14ac:dyDescent="0.15">
      <c r="A38" s="221" t="s">
        <v>190</v>
      </c>
      <c r="B38" s="221"/>
      <c r="C38" s="221"/>
      <c r="D38" s="221"/>
      <c r="E38" s="222" t="s">
        <v>191</v>
      </c>
      <c r="F38" s="222"/>
      <c r="G38" s="179">
        <f>+G7+G12+G16+G23+G30+G35</f>
        <v>220302305.79734933</v>
      </c>
      <c r="H38" s="218" t="s">
        <v>191</v>
      </c>
      <c r="I38" s="218"/>
      <c r="J38" s="203">
        <f>+J7+J12+J16+J23+J30+J35</f>
        <v>28106628.800000001</v>
      </c>
      <c r="K38" s="219" t="s">
        <v>191</v>
      </c>
      <c r="L38" s="219"/>
      <c r="M38" s="181">
        <f>+M7+M12+M16+M23+M30+M35</f>
        <v>35550239.239250004</v>
      </c>
      <c r="N38" s="218" t="s">
        <v>191</v>
      </c>
      <c r="O38" s="218"/>
      <c r="P38" s="203">
        <f>+P7+P12+P16+P23+P30+P35</f>
        <v>18283660.764468752</v>
      </c>
      <c r="Q38" s="218" t="s">
        <v>191</v>
      </c>
      <c r="R38" s="218"/>
      <c r="S38" s="203">
        <f>+S7+S12+S16+S23+S30+S35</f>
        <v>37992049.711396262</v>
      </c>
      <c r="T38" s="220" t="s">
        <v>191</v>
      </c>
      <c r="U38" s="220"/>
      <c r="V38" s="182">
        <f>+V7+V12+V16+V23+V30+V35</f>
        <v>121082578.51511502</v>
      </c>
    </row>
    <row r="39" spans="1:23" x14ac:dyDescent="0.15">
      <c r="A39" s="221"/>
      <c r="B39" s="221"/>
      <c r="C39" s="221"/>
      <c r="D39" s="221"/>
      <c r="E39" s="135" t="s">
        <v>98</v>
      </c>
      <c r="F39" s="74">
        <v>0.08</v>
      </c>
      <c r="G39" s="179">
        <f>+$G$38*F39</f>
        <v>17624184.463787947</v>
      </c>
      <c r="H39" s="202" t="s">
        <v>98</v>
      </c>
      <c r="I39" s="204">
        <v>0.08</v>
      </c>
      <c r="J39" s="205">
        <f>+J38*I39</f>
        <v>2248530.304</v>
      </c>
      <c r="K39" s="186" t="s">
        <v>98</v>
      </c>
      <c r="L39" s="187">
        <v>0.08</v>
      </c>
      <c r="M39" s="188">
        <f>+M38*L39</f>
        <v>2844019.1391400006</v>
      </c>
      <c r="N39" s="202" t="s">
        <v>98</v>
      </c>
      <c r="O39" s="204">
        <v>0.08</v>
      </c>
      <c r="P39" s="205">
        <f>+P38*O39</f>
        <v>1462692.8611575002</v>
      </c>
      <c r="Q39" s="202" t="s">
        <v>98</v>
      </c>
      <c r="R39" s="204">
        <v>0.08</v>
      </c>
      <c r="S39" s="205">
        <f>+S38*R39</f>
        <v>3039363.9769117008</v>
      </c>
      <c r="T39" s="189" t="s">
        <v>98</v>
      </c>
      <c r="U39" s="190">
        <v>0.08</v>
      </c>
      <c r="V39" s="191">
        <f>+V38*U39</f>
        <v>9686606.2812092025</v>
      </c>
    </row>
    <row r="40" spans="1:23" x14ac:dyDescent="0.15">
      <c r="A40" s="221"/>
      <c r="B40" s="221"/>
      <c r="C40" s="221"/>
      <c r="D40" s="221"/>
      <c r="E40" s="135" t="s">
        <v>99</v>
      </c>
      <c r="F40" s="74">
        <v>0.03</v>
      </c>
      <c r="G40" s="179">
        <f t="shared" ref="G40:G41" si="4">+$G$38*F40</f>
        <v>6609069.1739204796</v>
      </c>
      <c r="H40" s="202" t="s">
        <v>99</v>
      </c>
      <c r="I40" s="204">
        <v>0.03</v>
      </c>
      <c r="J40" s="205">
        <f>+J38*I40</f>
        <v>843198.86399999994</v>
      </c>
      <c r="K40" s="186" t="s">
        <v>99</v>
      </c>
      <c r="L40" s="187">
        <v>0.03</v>
      </c>
      <c r="M40" s="188">
        <f>+M38*L40</f>
        <v>1066507.1771775</v>
      </c>
      <c r="N40" s="202" t="s">
        <v>99</v>
      </c>
      <c r="O40" s="204">
        <v>0.03</v>
      </c>
      <c r="P40" s="205">
        <f>+P38*O40</f>
        <v>548509.82293406257</v>
      </c>
      <c r="Q40" s="202" t="s">
        <v>99</v>
      </c>
      <c r="R40" s="204">
        <v>0.03</v>
      </c>
      <c r="S40" s="205">
        <f>+S38*R40</f>
        <v>1139761.4913418877</v>
      </c>
      <c r="T40" s="189" t="s">
        <v>99</v>
      </c>
      <c r="U40" s="190">
        <v>0.03</v>
      </c>
      <c r="V40" s="191">
        <f>+V38*U40</f>
        <v>3632477.3554534507</v>
      </c>
    </row>
    <row r="41" spans="1:23" x14ac:dyDescent="0.15">
      <c r="A41" s="221"/>
      <c r="B41" s="221"/>
      <c r="C41" s="221"/>
      <c r="D41" s="221"/>
      <c r="E41" s="135" t="s">
        <v>100</v>
      </c>
      <c r="F41" s="74">
        <v>0.05</v>
      </c>
      <c r="G41" s="179">
        <f t="shared" si="4"/>
        <v>11015115.289867468</v>
      </c>
      <c r="H41" s="202" t="s">
        <v>100</v>
      </c>
      <c r="I41" s="204">
        <v>0.05</v>
      </c>
      <c r="J41" s="205">
        <f>+J38*I41</f>
        <v>1405331.4400000002</v>
      </c>
      <c r="K41" s="186" t="s">
        <v>100</v>
      </c>
      <c r="L41" s="187">
        <v>0.05</v>
      </c>
      <c r="M41" s="188">
        <f>+M38*L41</f>
        <v>1777511.9619625004</v>
      </c>
      <c r="N41" s="202" t="s">
        <v>100</v>
      </c>
      <c r="O41" s="204">
        <v>0.05</v>
      </c>
      <c r="P41" s="205">
        <f>+P38*O41</f>
        <v>914183.03822343762</v>
      </c>
      <c r="Q41" s="202" t="s">
        <v>100</v>
      </c>
      <c r="R41" s="204">
        <v>0.05</v>
      </c>
      <c r="S41" s="205">
        <f>+S38*R41</f>
        <v>1899602.4855698133</v>
      </c>
      <c r="T41" s="189" t="s">
        <v>100</v>
      </c>
      <c r="U41" s="190">
        <v>0.05</v>
      </c>
      <c r="V41" s="191">
        <f>+V38*U41</f>
        <v>6054128.9257557513</v>
      </c>
    </row>
    <row r="42" spans="1:23" x14ac:dyDescent="0.15">
      <c r="A42" s="221"/>
      <c r="B42" s="221"/>
      <c r="C42" s="221"/>
      <c r="D42" s="221"/>
      <c r="E42" s="222" t="s">
        <v>192</v>
      </c>
      <c r="F42" s="222"/>
      <c r="G42" s="179">
        <f>+G38+G39+G40+G41</f>
        <v>255550674.72492522</v>
      </c>
      <c r="H42" s="218" t="s">
        <v>192</v>
      </c>
      <c r="I42" s="218"/>
      <c r="J42" s="203">
        <f>+J38+J39+J40+J41</f>
        <v>32603689.408000004</v>
      </c>
      <c r="K42" s="219" t="s">
        <v>192</v>
      </c>
      <c r="L42" s="219"/>
      <c r="M42" s="181">
        <f>+M38+M39+M40+M41</f>
        <v>41238277.517530002</v>
      </c>
      <c r="N42" s="218" t="s">
        <v>192</v>
      </c>
      <c r="O42" s="218"/>
      <c r="P42" s="203">
        <f>+P38+P39+P40+P41</f>
        <v>21209046.48678375</v>
      </c>
      <c r="Q42" s="218" t="s">
        <v>192</v>
      </c>
      <c r="R42" s="218"/>
      <c r="S42" s="203">
        <f>+S38+S39+S40+S41</f>
        <v>44070777.665219665</v>
      </c>
      <c r="T42" s="220" t="s">
        <v>192</v>
      </c>
      <c r="U42" s="220"/>
      <c r="V42" s="182">
        <f>+V38+V39+V40+V41</f>
        <v>140455791.07753342</v>
      </c>
    </row>
    <row r="43" spans="1:23" x14ac:dyDescent="0.15">
      <c r="A43" s="221"/>
      <c r="B43" s="221"/>
      <c r="C43" s="221"/>
      <c r="D43" s="221"/>
      <c r="E43" s="135" t="s">
        <v>101</v>
      </c>
      <c r="F43" s="74">
        <v>0.19</v>
      </c>
      <c r="G43" s="179">
        <f>+G41*F43</f>
        <v>2092871.905074819</v>
      </c>
      <c r="H43" s="202" t="s">
        <v>101</v>
      </c>
      <c r="I43" s="204">
        <v>0.19</v>
      </c>
      <c r="J43" s="205">
        <f>+J41*I43</f>
        <v>267012.97360000003</v>
      </c>
      <c r="K43" s="186" t="s">
        <v>101</v>
      </c>
      <c r="L43" s="187">
        <v>0.19</v>
      </c>
      <c r="M43" s="188">
        <f>+M41*L43</f>
        <v>337727.27277287509</v>
      </c>
      <c r="N43" s="202" t="s">
        <v>101</v>
      </c>
      <c r="O43" s="204">
        <v>0.19</v>
      </c>
      <c r="P43" s="205">
        <f>+P41*O43</f>
        <v>173694.77726245314</v>
      </c>
      <c r="Q43" s="202" t="s">
        <v>101</v>
      </c>
      <c r="R43" s="204">
        <v>0.19</v>
      </c>
      <c r="S43" s="205">
        <f>+S41*R43</f>
        <v>360924.47225826455</v>
      </c>
      <c r="T43" s="189" t="s">
        <v>101</v>
      </c>
      <c r="U43" s="190">
        <v>0.19</v>
      </c>
      <c r="V43" s="191">
        <f>+V41*U43</f>
        <v>1150284.4958935927</v>
      </c>
    </row>
    <row r="44" spans="1:23" x14ac:dyDescent="0.15">
      <c r="A44" s="221"/>
      <c r="B44" s="221"/>
      <c r="C44" s="221"/>
      <c r="D44" s="221"/>
      <c r="E44" s="222" t="s">
        <v>193</v>
      </c>
      <c r="F44" s="222"/>
      <c r="G44" s="179">
        <f>+G42+G43</f>
        <v>257643546.63000003</v>
      </c>
      <c r="H44" s="218" t="s">
        <v>193</v>
      </c>
      <c r="I44" s="218"/>
      <c r="J44" s="203">
        <f>+J42+J43</f>
        <v>32870702.381600004</v>
      </c>
      <c r="K44" s="219" t="s">
        <v>193</v>
      </c>
      <c r="L44" s="219"/>
      <c r="M44" s="181">
        <f>+M42+M43</f>
        <v>41576004.79030288</v>
      </c>
      <c r="N44" s="218" t="s">
        <v>193</v>
      </c>
      <c r="O44" s="218"/>
      <c r="P44" s="203">
        <f>+P42+P43</f>
        <v>21382741.264046203</v>
      </c>
      <c r="Q44" s="218" t="s">
        <v>193</v>
      </c>
      <c r="R44" s="218"/>
      <c r="S44" s="203">
        <f>+S42+S43</f>
        <v>44431702.137477927</v>
      </c>
      <c r="T44" s="220" t="s">
        <v>193</v>
      </c>
      <c r="U44" s="220"/>
      <c r="V44" s="182">
        <f>+V42+V43</f>
        <v>141606075.57342702</v>
      </c>
      <c r="W44" s="207"/>
    </row>
    <row r="45" spans="1:23" x14ac:dyDescent="0.15">
      <c r="A45" s="1"/>
      <c r="B45" s="1"/>
      <c r="C45" s="1"/>
      <c r="D45" s="1"/>
      <c r="E45" s="14"/>
      <c r="F45" s="14"/>
      <c r="G45" s="192"/>
      <c r="H45" s="202" t="s">
        <v>194</v>
      </c>
      <c r="I45" s="204">
        <v>-0.02</v>
      </c>
      <c r="J45" s="205">
        <f>+J42*I45</f>
        <v>-652073.78816000011</v>
      </c>
      <c r="K45" s="186" t="s">
        <v>194</v>
      </c>
      <c r="L45" s="187">
        <v>-0.02</v>
      </c>
      <c r="M45" s="188">
        <f>+M42*L45</f>
        <v>-824765.55035060004</v>
      </c>
      <c r="N45" s="202" t="s">
        <v>194</v>
      </c>
      <c r="O45" s="204">
        <v>-0.02</v>
      </c>
      <c r="P45" s="205">
        <f>+P42*O45</f>
        <v>-424180.92973567499</v>
      </c>
      <c r="Q45" s="202" t="s">
        <v>194</v>
      </c>
      <c r="R45" s="204">
        <v>-0.02</v>
      </c>
      <c r="S45" s="205">
        <f>+S42*R45</f>
        <v>-881415.55330439331</v>
      </c>
      <c r="T45" s="189" t="s">
        <v>194</v>
      </c>
      <c r="U45" s="190">
        <v>-0.02</v>
      </c>
      <c r="V45" s="191">
        <f>+V42*U45</f>
        <v>-2809115.8215506687</v>
      </c>
    </row>
    <row r="46" spans="1:23" x14ac:dyDescent="0.15">
      <c r="A46" s="1"/>
      <c r="B46" s="1"/>
      <c r="C46" s="1"/>
      <c r="D46" s="1"/>
      <c r="E46" s="14"/>
      <c r="F46" s="14"/>
      <c r="G46" s="193"/>
      <c r="H46" s="202" t="s">
        <v>195</v>
      </c>
      <c r="I46" s="204">
        <v>-0.2</v>
      </c>
      <c r="J46" s="205">
        <f>+J44*I46</f>
        <v>-6574140.4763200013</v>
      </c>
      <c r="K46" s="186" t="s">
        <v>195</v>
      </c>
      <c r="L46" s="187">
        <v>-0.2</v>
      </c>
      <c r="M46" s="188">
        <f>+M44*L46</f>
        <v>-8315200.9580605766</v>
      </c>
      <c r="N46" s="202" t="s">
        <v>195</v>
      </c>
      <c r="O46" s="204">
        <v>-0.2</v>
      </c>
      <c r="P46" s="205">
        <f>+P44*O46</f>
        <v>-4276548.2528092405</v>
      </c>
      <c r="Q46" s="202" t="s">
        <v>195</v>
      </c>
      <c r="R46" s="204">
        <v>-0.2</v>
      </c>
      <c r="S46" s="205">
        <f>+S44*R46</f>
        <v>-8886340.4274955858</v>
      </c>
      <c r="T46" s="189" t="s">
        <v>195</v>
      </c>
      <c r="U46" s="190">
        <v>-0.2</v>
      </c>
      <c r="V46" s="191">
        <f>+V44*U46</f>
        <v>-28321215.114685405</v>
      </c>
    </row>
    <row r="47" spans="1:23" x14ac:dyDescent="0.15">
      <c r="A47" s="1"/>
      <c r="B47" s="1"/>
      <c r="C47" s="1"/>
      <c r="D47" s="1"/>
      <c r="E47" s="14"/>
      <c r="F47" s="1"/>
      <c r="G47" s="1"/>
      <c r="H47" s="202" t="s">
        <v>196</v>
      </c>
      <c r="I47" s="204">
        <v>-0.1</v>
      </c>
      <c r="J47" s="205">
        <f>+J44*I47</f>
        <v>-3287070.2381600006</v>
      </c>
      <c r="K47" s="186" t="s">
        <v>196</v>
      </c>
      <c r="L47" s="187">
        <v>-0.1</v>
      </c>
      <c r="M47" s="188">
        <f>+M44*L47</f>
        <v>-4157600.4790302883</v>
      </c>
      <c r="N47" s="202" t="s">
        <v>196</v>
      </c>
      <c r="O47" s="204">
        <v>-0.1</v>
      </c>
      <c r="P47" s="205">
        <f>+P44*O47</f>
        <v>-2138274.1264046202</v>
      </c>
      <c r="Q47" s="202" t="s">
        <v>196</v>
      </c>
      <c r="R47" s="204">
        <v>-0.1</v>
      </c>
      <c r="S47" s="205">
        <f>+S44*R47</f>
        <v>-4443170.2137477929</v>
      </c>
      <c r="T47" s="189" t="s">
        <v>196</v>
      </c>
      <c r="U47" s="190">
        <v>-0.1</v>
      </c>
      <c r="V47" s="191">
        <f>+V44*U47</f>
        <v>-14160607.557342703</v>
      </c>
    </row>
    <row r="48" spans="1:23" x14ac:dyDescent="0.15">
      <c r="A48" s="1"/>
      <c r="B48" s="1"/>
      <c r="C48" s="135" t="s">
        <v>197</v>
      </c>
      <c r="D48" s="71"/>
      <c r="E48" s="179">
        <f>+G44</f>
        <v>257643546.63000003</v>
      </c>
      <c r="G48" s="1"/>
      <c r="H48" s="218" t="s">
        <v>198</v>
      </c>
      <c r="I48" s="218"/>
      <c r="J48" s="203">
        <f>SUM(J44:J47)</f>
        <v>22357417.878960002</v>
      </c>
      <c r="K48" s="219" t="s">
        <v>198</v>
      </c>
      <c r="L48" s="219"/>
      <c r="M48" s="181">
        <f>SUM(M44:M47)</f>
        <v>28278437.802861415</v>
      </c>
      <c r="N48" s="218" t="s">
        <v>198</v>
      </c>
      <c r="O48" s="218"/>
      <c r="P48" s="203">
        <f>SUM(P44:P47)</f>
        <v>14543737.955096666</v>
      </c>
      <c r="Q48" s="218" t="s">
        <v>198</v>
      </c>
      <c r="R48" s="218"/>
      <c r="S48" s="203">
        <f>SUM(S44:S47)</f>
        <v>30220775.942930155</v>
      </c>
      <c r="T48" s="220" t="s">
        <v>198</v>
      </c>
      <c r="U48" s="220"/>
      <c r="V48" s="182">
        <f>SUM(V44:V47)</f>
        <v>96315137.079848245</v>
      </c>
    </row>
    <row r="49" spans="3:23" x14ac:dyDescent="0.15">
      <c r="C49" s="135" t="s">
        <v>199</v>
      </c>
      <c r="D49" s="194"/>
      <c r="E49" s="195">
        <f>+E48*20%</f>
        <v>51528709.326000005</v>
      </c>
      <c r="V49" s="208"/>
    </row>
    <row r="50" spans="3:23" x14ac:dyDescent="0.15">
      <c r="C50" s="135" t="s">
        <v>200</v>
      </c>
      <c r="D50" s="196">
        <v>0.13</v>
      </c>
      <c r="E50" s="197">
        <f>+J46</f>
        <v>-6574140.4763200013</v>
      </c>
      <c r="P50" s="206"/>
      <c r="Q50" s="206"/>
      <c r="R50" s="206"/>
      <c r="S50" s="206"/>
      <c r="U50" s="214"/>
      <c r="V50" s="215"/>
      <c r="W50" s="212"/>
    </row>
    <row r="51" spans="3:23" x14ac:dyDescent="0.15">
      <c r="C51" s="135" t="s">
        <v>201</v>
      </c>
      <c r="D51" s="194"/>
      <c r="E51" s="172">
        <f>+E49+E50</f>
        <v>44954568.849680007</v>
      </c>
      <c r="V51" s="211"/>
      <c r="W51" s="212"/>
    </row>
    <row r="52" spans="3:23" x14ac:dyDescent="0.15">
      <c r="C52" s="135" t="s">
        <v>202</v>
      </c>
      <c r="D52" s="194"/>
      <c r="E52" s="197">
        <f>+J44</f>
        <v>32870702.381600004</v>
      </c>
      <c r="V52" s="217"/>
      <c r="W52" s="216"/>
    </row>
    <row r="53" spans="3:23" x14ac:dyDescent="0.15">
      <c r="C53" s="135" t="s">
        <v>94</v>
      </c>
      <c r="D53" s="194"/>
      <c r="E53" s="198">
        <f>+E52/E48</f>
        <v>0.12758209088312766</v>
      </c>
      <c r="V53" s="206"/>
    </row>
    <row r="54" spans="3:23" x14ac:dyDescent="0.15">
      <c r="V54" s="206"/>
    </row>
    <row r="56" spans="3:23" x14ac:dyDescent="0.15">
      <c r="V56" s="209"/>
    </row>
    <row r="57" spans="3:23" x14ac:dyDescent="0.15">
      <c r="V57" s="210"/>
    </row>
    <row r="58" spans="3:23" x14ac:dyDescent="0.15">
      <c r="V58" s="213"/>
    </row>
  </sheetData>
  <mergeCells count="41">
    <mergeCell ref="Q44:R44"/>
    <mergeCell ref="Q48:R48"/>
    <mergeCell ref="A1:G1"/>
    <mergeCell ref="A2:G2"/>
    <mergeCell ref="A3:D3"/>
    <mergeCell ref="E3:G3"/>
    <mergeCell ref="A4:D4"/>
    <mergeCell ref="E4:F4"/>
    <mergeCell ref="H4:J4"/>
    <mergeCell ref="K4:M4"/>
    <mergeCell ref="T4:V4"/>
    <mergeCell ref="A5:G5"/>
    <mergeCell ref="H5:J5"/>
    <mergeCell ref="K5:M5"/>
    <mergeCell ref="T5:V5"/>
    <mergeCell ref="N4:P4"/>
    <mergeCell ref="N5:P5"/>
    <mergeCell ref="Q4:S4"/>
    <mergeCell ref="Q5:S5"/>
    <mergeCell ref="T44:U44"/>
    <mergeCell ref="H48:I48"/>
    <mergeCell ref="K48:L48"/>
    <mergeCell ref="T48:U48"/>
    <mergeCell ref="A38:D44"/>
    <mergeCell ref="E38:F38"/>
    <mergeCell ref="H38:I38"/>
    <mergeCell ref="K38:L38"/>
    <mergeCell ref="T38:U38"/>
    <mergeCell ref="E42:F42"/>
    <mergeCell ref="H42:I42"/>
    <mergeCell ref="K42:L42"/>
    <mergeCell ref="T42:U42"/>
    <mergeCell ref="E44:F44"/>
    <mergeCell ref="Q38:R38"/>
    <mergeCell ref="Q42:R42"/>
    <mergeCell ref="N38:O38"/>
    <mergeCell ref="N42:O42"/>
    <mergeCell ref="N44:O44"/>
    <mergeCell ref="N48:O48"/>
    <mergeCell ref="H44:I44"/>
    <mergeCell ref="K44:L4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1DDD-C3F6-46FC-BD39-C391D3B4966E}">
  <sheetPr>
    <tabColor rgb="FFFF7B89"/>
  </sheetPr>
  <dimension ref="A6:P34"/>
  <sheetViews>
    <sheetView view="pageBreakPreview" zoomScale="70" zoomScaleNormal="90" zoomScaleSheetLayoutView="70" workbookViewId="0">
      <pane xSplit="8" ySplit="9" topLeftCell="I16" activePane="bottomRight" state="frozen"/>
      <selection pane="topRight" activeCell="J1" sqref="J1"/>
      <selection pane="bottomLeft" activeCell="A5" sqref="A5"/>
      <selection pane="bottomRight" activeCell="K24" sqref="K24"/>
    </sheetView>
  </sheetViews>
  <sheetFormatPr baseColWidth="10" defaultColWidth="11.5" defaultRowHeight="18" x14ac:dyDescent="0.2"/>
  <cols>
    <col min="1" max="1" width="11.83203125" style="89" customWidth="1"/>
    <col min="2" max="2" width="37.83203125" style="86" customWidth="1"/>
    <col min="3" max="3" width="11.5" style="86"/>
    <col min="4" max="7" width="14.83203125" style="86" customWidth="1"/>
    <col min="8" max="8" width="53" style="86" customWidth="1"/>
    <col min="9" max="9" width="13.1640625" style="88" customWidth="1"/>
    <col min="10" max="10" width="15.33203125" style="88" bestFit="1" customWidth="1"/>
    <col min="11" max="16384" width="11.5" style="89"/>
  </cols>
  <sheetData>
    <row r="6" spans="1:10" ht="20" x14ac:dyDescent="0.2">
      <c r="A6" s="85" t="s">
        <v>123</v>
      </c>
      <c r="B6" s="132"/>
      <c r="C6" s="132"/>
      <c r="D6" s="132" t="s">
        <v>143</v>
      </c>
      <c r="E6" s="133">
        <v>12</v>
      </c>
      <c r="F6" s="238">
        <v>46042</v>
      </c>
      <c r="G6" s="238"/>
      <c r="H6" s="238"/>
    </row>
    <row r="7" spans="1:10" ht="20" x14ac:dyDescent="0.2">
      <c r="A7" s="90" t="s">
        <v>124</v>
      </c>
      <c r="B7" s="132"/>
      <c r="C7" s="132"/>
      <c r="D7" s="132"/>
      <c r="E7" s="134"/>
      <c r="F7" s="87"/>
      <c r="G7" s="91"/>
      <c r="H7" s="92"/>
    </row>
    <row r="8" spans="1:10" x14ac:dyDescent="0.2">
      <c r="D8" s="93"/>
      <c r="E8" s="93"/>
      <c r="F8" s="94"/>
      <c r="G8" s="94"/>
      <c r="H8" s="94"/>
      <c r="I8" s="95"/>
    </row>
    <row r="9" spans="1:10" ht="48" customHeight="1" x14ac:dyDescent="0.2">
      <c r="A9" s="96"/>
      <c r="B9" s="97" t="s">
        <v>125</v>
      </c>
      <c r="C9" s="98" t="s">
        <v>126</v>
      </c>
      <c r="D9" s="97" t="s">
        <v>92</v>
      </c>
      <c r="E9" s="97" t="s">
        <v>127</v>
      </c>
      <c r="F9" s="97" t="s">
        <v>128</v>
      </c>
      <c r="G9" s="97" t="s">
        <v>129</v>
      </c>
      <c r="H9" s="99" t="s">
        <v>52</v>
      </c>
    </row>
    <row r="10" spans="1:10" ht="5" customHeight="1" x14ac:dyDescent="0.2">
      <c r="A10" s="100"/>
      <c r="B10" s="101"/>
      <c r="C10" s="102"/>
      <c r="D10" s="101"/>
      <c r="E10" s="101"/>
      <c r="F10" s="101"/>
      <c r="G10" s="101"/>
      <c r="H10" s="103"/>
    </row>
    <row r="11" spans="1:10" ht="50" customHeight="1" x14ac:dyDescent="0.2">
      <c r="A11" s="104"/>
      <c r="B11" s="105" t="s">
        <v>130</v>
      </c>
      <c r="C11" s="106" t="s">
        <v>2</v>
      </c>
      <c r="D11" s="107">
        <f>5019.54*0.76</f>
        <v>3814.8503999999998</v>
      </c>
      <c r="E11" s="108">
        <f>Lavado!W46</f>
        <v>3797.3986082500005</v>
      </c>
      <c r="F11" s="108">
        <f>D11-E11</f>
        <v>17.451791749999302</v>
      </c>
      <c r="G11" s="109">
        <f>1-(E11/D11)</f>
        <v>4.5746988531972788E-3</v>
      </c>
      <c r="H11" s="130">
        <f>E11/D11</f>
        <v>0.99542530114680272</v>
      </c>
      <c r="I11" s="111">
        <v>0.15</v>
      </c>
      <c r="J11" s="111">
        <f>H11*I11</f>
        <v>0.1493137951720204</v>
      </c>
    </row>
    <row r="12" spans="1:10" ht="5" customHeight="1" x14ac:dyDescent="0.2">
      <c r="A12" s="104"/>
      <c r="B12" s="105"/>
      <c r="C12" s="106"/>
      <c r="D12" s="112"/>
      <c r="E12" s="108"/>
      <c r="F12" s="108"/>
      <c r="G12" s="109"/>
      <c r="H12" s="130"/>
      <c r="I12" s="111"/>
      <c r="J12" s="111"/>
    </row>
    <row r="13" spans="1:10" ht="50" customHeight="1" x14ac:dyDescent="0.2">
      <c r="A13" s="104"/>
      <c r="B13" s="105" t="s">
        <v>131</v>
      </c>
      <c r="C13" s="106" t="s">
        <v>2</v>
      </c>
      <c r="D13" s="107">
        <f>3798*0.125</f>
        <v>474.75</v>
      </c>
      <c r="E13" s="108">
        <f>Graniplast!W46</f>
        <v>246.39968895000001</v>
      </c>
      <c r="F13" s="108">
        <f t="shared" ref="F13:F21" si="0">D13-E13</f>
        <v>228.35031104999999</v>
      </c>
      <c r="G13" s="109">
        <f t="shared" ref="G13:G21" si="1">1-(E13/D13)</f>
        <v>0.48099064992101104</v>
      </c>
      <c r="H13" s="130">
        <f t="shared" ref="H13:H27" si="2">E13/D13</f>
        <v>0.51900935007898896</v>
      </c>
      <c r="I13" s="111">
        <v>0.15</v>
      </c>
      <c r="J13" s="111">
        <f>H13*I13</f>
        <v>7.7851402511848342E-2</v>
      </c>
    </row>
    <row r="14" spans="1:10" ht="5" customHeight="1" x14ac:dyDescent="0.2">
      <c r="A14" s="104"/>
      <c r="B14" s="105"/>
      <c r="C14" s="106"/>
      <c r="D14" s="112"/>
      <c r="E14" s="108"/>
      <c r="F14" s="108"/>
      <c r="G14" s="109"/>
      <c r="H14" s="130"/>
      <c r="I14" s="111"/>
      <c r="J14" s="111"/>
    </row>
    <row r="15" spans="1:10" ht="50" customHeight="1" x14ac:dyDescent="0.2">
      <c r="A15" s="104"/>
      <c r="B15" s="105" t="s">
        <v>132</v>
      </c>
      <c r="C15" s="106" t="s">
        <v>2</v>
      </c>
      <c r="D15" s="112">
        <f>1450.14*0.7</f>
        <v>1015.098</v>
      </c>
      <c r="E15" s="108">
        <f>Sellos!AA46</f>
        <v>1277.4499999999998</v>
      </c>
      <c r="F15" s="108">
        <f t="shared" si="0"/>
        <v>-262.35199999999986</v>
      </c>
      <c r="G15" s="109">
        <f t="shared" si="1"/>
        <v>-0.25844992306161552</v>
      </c>
      <c r="H15" s="130">
        <f t="shared" si="2"/>
        <v>1.2584499230616155</v>
      </c>
      <c r="I15" s="113">
        <v>0.2</v>
      </c>
      <c r="J15" s="111">
        <f>H15*I15</f>
        <v>0.25168998461232311</v>
      </c>
    </row>
    <row r="16" spans="1:10" ht="5" customHeight="1" x14ac:dyDescent="0.2">
      <c r="A16" s="104"/>
      <c r="B16" s="105"/>
      <c r="C16" s="106"/>
      <c r="D16" s="112"/>
      <c r="E16" s="108"/>
      <c r="F16" s="108"/>
      <c r="G16" s="109"/>
      <c r="H16" s="130"/>
      <c r="I16" s="113"/>
      <c r="J16" s="111"/>
    </row>
    <row r="17" spans="1:16" ht="50" customHeight="1" x14ac:dyDescent="0.2">
      <c r="A17" s="104"/>
      <c r="B17" s="105" t="s">
        <v>133</v>
      </c>
      <c r="C17" s="106" t="s">
        <v>134</v>
      </c>
      <c r="D17" s="107">
        <v>4234.7499999999991</v>
      </c>
      <c r="E17" s="108">
        <f>Pintura!AA45</f>
        <v>3797.3986082500005</v>
      </c>
      <c r="F17" s="108">
        <f t="shared" si="0"/>
        <v>437.35139174999858</v>
      </c>
      <c r="G17" s="109">
        <f t="shared" si="1"/>
        <v>0.10327679125095901</v>
      </c>
      <c r="H17" s="130">
        <f t="shared" si="2"/>
        <v>0.89672320874904099</v>
      </c>
      <c r="I17" s="113">
        <v>0.25</v>
      </c>
      <c r="J17" s="111">
        <f>H17*I17</f>
        <v>0.22418080218726025</v>
      </c>
    </row>
    <row r="18" spans="1:16" ht="5" customHeight="1" x14ac:dyDescent="0.2">
      <c r="A18" s="104"/>
      <c r="B18" s="105"/>
      <c r="C18" s="106"/>
      <c r="D18" s="112"/>
      <c r="E18" s="108"/>
      <c r="F18" s="108"/>
      <c r="G18" s="109"/>
      <c r="H18" s="130"/>
      <c r="I18" s="113"/>
      <c r="J18" s="111"/>
    </row>
    <row r="19" spans="1:16" ht="50" customHeight="1" x14ac:dyDescent="0.2">
      <c r="A19" s="104"/>
      <c r="B19" s="105" t="s">
        <v>135</v>
      </c>
      <c r="C19" s="106" t="s">
        <v>136</v>
      </c>
      <c r="D19" s="112">
        <v>1179.8900000000001</v>
      </c>
      <c r="E19" s="108">
        <f>Pintura!AA60</f>
        <v>1179.0900000000004</v>
      </c>
      <c r="F19" s="108">
        <f t="shared" si="0"/>
        <v>0.79999999999972715</v>
      </c>
      <c r="G19" s="109">
        <f t="shared" si="1"/>
        <v>6.7802930781657444E-4</v>
      </c>
      <c r="H19" s="130">
        <f t="shared" si="2"/>
        <v>0.99932197069218343</v>
      </c>
      <c r="I19" s="113">
        <v>0.1</v>
      </c>
      <c r="J19" s="111">
        <f>H19*I19</f>
        <v>9.9932197069218354E-2</v>
      </c>
      <c r="L19" s="201"/>
      <c r="M19" s="201"/>
      <c r="N19" s="201"/>
      <c r="O19" s="201"/>
      <c r="P19" s="201"/>
    </row>
    <row r="20" spans="1:16" ht="5" customHeight="1" x14ac:dyDescent="0.2">
      <c r="A20" s="104"/>
      <c r="B20" s="105"/>
      <c r="C20" s="106"/>
      <c r="D20" s="112"/>
      <c r="E20" s="108"/>
      <c r="F20" s="108"/>
      <c r="G20" s="109"/>
      <c r="H20" s="130"/>
      <c r="I20" s="113"/>
      <c r="J20" s="111"/>
    </row>
    <row r="21" spans="1:16" ht="50" customHeight="1" x14ac:dyDescent="0.2">
      <c r="A21" s="104"/>
      <c r="B21" s="105" t="s">
        <v>137</v>
      </c>
      <c r="C21" s="114" t="s">
        <v>138</v>
      </c>
      <c r="D21" s="112">
        <v>346.79</v>
      </c>
      <c r="E21" s="115">
        <v>143.91999999999999</v>
      </c>
      <c r="F21" s="108">
        <f t="shared" si="0"/>
        <v>202.87000000000003</v>
      </c>
      <c r="G21" s="109">
        <f t="shared" si="1"/>
        <v>0.58499380028259185</v>
      </c>
      <c r="H21" s="130">
        <f t="shared" si="2"/>
        <v>0.41500619971740815</v>
      </c>
      <c r="I21" s="116">
        <v>7.4999999999999997E-2</v>
      </c>
      <c r="J21" s="111">
        <f>H21*I21</f>
        <v>3.1125464978805611E-2</v>
      </c>
    </row>
    <row r="22" spans="1:16" ht="5" customHeight="1" x14ac:dyDescent="0.2">
      <c r="A22" s="104"/>
      <c r="B22" s="105"/>
      <c r="C22" s="106"/>
      <c r="D22" s="112"/>
      <c r="E22" s="108"/>
      <c r="F22" s="108"/>
      <c r="G22" s="109"/>
      <c r="H22" s="130"/>
      <c r="I22" s="116"/>
      <c r="J22" s="111"/>
    </row>
    <row r="23" spans="1:16" ht="50" customHeight="1" x14ac:dyDescent="0.2">
      <c r="A23" s="104"/>
      <c r="B23" s="105" t="s">
        <v>139</v>
      </c>
      <c r="C23" s="114" t="s">
        <v>138</v>
      </c>
      <c r="D23" s="112">
        <v>395</v>
      </c>
      <c r="E23" s="108">
        <v>0</v>
      </c>
      <c r="F23" s="108">
        <f t="shared" ref="F23" si="3">D23-E23</f>
        <v>395</v>
      </c>
      <c r="G23" s="109">
        <f t="shared" ref="G23" si="4">1-(E23/D23)</f>
        <v>1</v>
      </c>
      <c r="H23" s="130">
        <f t="shared" si="2"/>
        <v>0</v>
      </c>
      <c r="I23" s="116">
        <v>7.4999999999999997E-2</v>
      </c>
      <c r="J23" s="111">
        <f>H23*I23</f>
        <v>0</v>
      </c>
    </row>
    <row r="24" spans="1:16" ht="50" customHeight="1" x14ac:dyDescent="0.2">
      <c r="A24" s="104"/>
      <c r="B24" s="105"/>
      <c r="C24" s="114"/>
      <c r="D24" s="112"/>
      <c r="E24" s="108"/>
      <c r="F24" s="108"/>
      <c r="G24" s="110"/>
      <c r="H24" s="130"/>
      <c r="I24" s="117"/>
    </row>
    <row r="25" spans="1:16" ht="50" customHeight="1" x14ac:dyDescent="0.2">
      <c r="A25" s="104"/>
      <c r="B25" s="118" t="s">
        <v>140</v>
      </c>
      <c r="C25" s="119" t="s">
        <v>141</v>
      </c>
      <c r="D25" s="120">
        <v>1</v>
      </c>
      <c r="E25" s="121">
        <f>J25</f>
        <v>0.834093646531476</v>
      </c>
      <c r="F25" s="122">
        <f t="shared" ref="F25" si="5">D25-E25</f>
        <v>0.165906353468524</v>
      </c>
      <c r="G25" s="123">
        <f t="shared" ref="G25" si="6">1-(E25/D25)</f>
        <v>0.165906353468524</v>
      </c>
      <c r="H25" s="131">
        <f t="shared" si="2"/>
        <v>0.834093646531476</v>
      </c>
      <c r="I25" s="113">
        <f>SUM(I11:I24)</f>
        <v>0.99999999999999989</v>
      </c>
      <c r="J25" s="113">
        <f>SUM(J11:J24)</f>
        <v>0.834093646531476</v>
      </c>
    </row>
    <row r="26" spans="1:16" ht="50" customHeight="1" x14ac:dyDescent="0.2">
      <c r="A26" s="104"/>
      <c r="B26" s="105"/>
      <c r="C26" s="114"/>
      <c r="D26" s="108"/>
      <c r="E26" s="108"/>
      <c r="F26" s="108"/>
      <c r="G26" s="110"/>
      <c r="H26" s="110"/>
      <c r="I26" s="117"/>
    </row>
    <row r="27" spans="1:16" ht="50" customHeight="1" x14ac:dyDescent="0.2">
      <c r="A27" s="104"/>
      <c r="B27" s="105" t="s">
        <v>142</v>
      </c>
      <c r="C27" s="114" t="s">
        <v>138</v>
      </c>
      <c r="D27" s="108">
        <v>1</v>
      </c>
      <c r="E27" s="108">
        <v>1</v>
      </c>
      <c r="F27" s="108">
        <f>D27-E27</f>
        <v>0</v>
      </c>
      <c r="G27" s="124">
        <v>1</v>
      </c>
      <c r="H27" s="110">
        <f t="shared" si="2"/>
        <v>1</v>
      </c>
      <c r="I27" s="89"/>
      <c r="J27" s="89"/>
    </row>
    <row r="28" spans="1:16" ht="25" customHeight="1" x14ac:dyDescent="0.2"/>
    <row r="29" spans="1:16" ht="25" customHeight="1" x14ac:dyDescent="0.2">
      <c r="A29" s="125"/>
      <c r="B29" s="126"/>
      <c r="C29" s="127"/>
      <c r="D29" s="128"/>
      <c r="E29" s="128"/>
      <c r="F29" s="128"/>
      <c r="G29" s="128"/>
      <c r="H29" s="137"/>
      <c r="I29" s="129"/>
    </row>
    <row r="30" spans="1:16" ht="20" customHeight="1" x14ac:dyDescent="0.2"/>
    <row r="31" spans="1:16" ht="20" customHeight="1" x14ac:dyDescent="0.2">
      <c r="A31" s="104"/>
      <c r="B31" s="105"/>
      <c r="C31" s="106"/>
      <c r="D31" s="108"/>
      <c r="E31" s="108"/>
      <c r="F31" s="108"/>
      <c r="G31" s="124"/>
      <c r="H31" s="110"/>
    </row>
    <row r="32" spans="1:16" ht="20" customHeight="1" x14ac:dyDescent="0.2">
      <c r="A32" s="104"/>
      <c r="B32" s="105"/>
      <c r="C32" s="106"/>
      <c r="D32" s="108"/>
      <c r="E32" s="108"/>
      <c r="F32" s="108"/>
      <c r="G32" s="124"/>
      <c r="H32" s="110"/>
    </row>
    <row r="33" spans="1:8" ht="20" customHeight="1" x14ac:dyDescent="0.2">
      <c r="A33" s="95"/>
      <c r="B33" s="105"/>
      <c r="C33" s="106"/>
      <c r="D33" s="108"/>
      <c r="E33" s="108"/>
      <c r="F33" s="108"/>
      <c r="G33" s="124"/>
      <c r="H33" s="110"/>
    </row>
    <row r="34" spans="1:8" x14ac:dyDescent="0.2">
      <c r="A34" s="95"/>
      <c r="B34" s="105"/>
      <c r="C34" s="114"/>
      <c r="D34" s="108"/>
      <c r="E34" s="108"/>
      <c r="F34" s="108"/>
      <c r="G34" s="124"/>
      <c r="H34" s="110"/>
    </row>
  </sheetData>
  <mergeCells count="1">
    <mergeCell ref="F6:H6"/>
  </mergeCells>
  <conditionalFormatting sqref="H25:H27 H11:H23">
    <cfRule type="top10" dxfId="1" priority="3" percent="1" bottom="1" rank="20"/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{DAB82EC2-8FF6-4A65-8E20-C8F8E6CC84C8}</x14:id>
        </ext>
      </extLst>
    </cfRule>
  </conditionalFormatting>
  <conditionalFormatting sqref="H31:H34">
    <cfRule type="top10" dxfId="0" priority="5" percent="1" bottom="1" rank="20"/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{9AEB73CD-B07B-4C3A-A814-BDD08FCF59DF}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scale="70" orientation="landscape" r:id="rId1"/>
  <headerFooter>
    <oddHeader>&amp;R&amp;G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B82EC2-8FF6-4A65-8E20-C8F8E6CC84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H25:H27 H11:H23</xm:sqref>
        </x14:conditionalFormatting>
        <x14:conditionalFormatting xmlns:xm="http://schemas.microsoft.com/office/excel/2006/main">
          <x14:cfRule type="dataBar" id="{9AEB73CD-B07B-4C3A-A814-BDD08FCF5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H31:H34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C474-257C-4EA5-9BDF-8EA4B254A586}">
  <sheetPr>
    <tabColor rgb="FF447684"/>
  </sheetPr>
  <dimension ref="A2:Q92"/>
  <sheetViews>
    <sheetView topLeftCell="A67" zoomScale="80" zoomScaleNormal="80" workbookViewId="0">
      <selection activeCell="O88" sqref="O88"/>
    </sheetView>
  </sheetViews>
  <sheetFormatPr baseColWidth="10" defaultColWidth="11.5" defaultRowHeight="14" x14ac:dyDescent="0.2"/>
  <cols>
    <col min="1" max="2" width="11.5" style="2"/>
    <col min="3" max="3" width="38.5" style="1" customWidth="1"/>
    <col min="4" max="10" width="12.83203125" style="2" customWidth="1"/>
    <col min="11" max="15" width="15.83203125" style="2" customWidth="1"/>
    <col min="16" max="17" width="12.83203125" style="1" customWidth="1"/>
    <col min="18" max="16384" width="11.5" style="1"/>
  </cols>
  <sheetData>
    <row r="2" spans="1:16" ht="25" customHeight="1" x14ac:dyDescent="0.2">
      <c r="A2" s="239" t="s">
        <v>38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12"/>
      <c r="O2" s="12"/>
    </row>
    <row r="3" spans="1:16" ht="20" customHeight="1" x14ac:dyDescent="0.2">
      <c r="A3" s="9"/>
      <c r="B3" s="9"/>
      <c r="C3" s="3"/>
      <c r="D3" s="240" t="s">
        <v>26</v>
      </c>
      <c r="E3" s="240"/>
      <c r="F3" s="240"/>
      <c r="G3" s="241" t="s">
        <v>27</v>
      </c>
      <c r="H3" s="241"/>
      <c r="I3" s="241"/>
      <c r="J3" s="241"/>
      <c r="K3" s="9"/>
      <c r="L3" s="9"/>
      <c r="M3" s="9"/>
      <c r="N3" s="9"/>
      <c r="O3" s="9"/>
    </row>
    <row r="4" spans="1:16" ht="35" customHeight="1" x14ac:dyDescent="0.2">
      <c r="A4" s="9" t="s">
        <v>39</v>
      </c>
      <c r="B4" s="9" t="s">
        <v>50</v>
      </c>
      <c r="C4" s="9" t="s">
        <v>28</v>
      </c>
      <c r="D4" s="9" t="s">
        <v>29</v>
      </c>
      <c r="E4" s="9" t="s">
        <v>30</v>
      </c>
      <c r="F4" s="13" t="s">
        <v>31</v>
      </c>
      <c r="G4" s="23" t="s">
        <v>29</v>
      </c>
      <c r="H4" s="23" t="s">
        <v>30</v>
      </c>
      <c r="I4" s="23" t="s">
        <v>0</v>
      </c>
      <c r="J4" s="24" t="s">
        <v>31</v>
      </c>
      <c r="K4" s="13" t="s">
        <v>32</v>
      </c>
      <c r="L4" s="13" t="s">
        <v>33</v>
      </c>
      <c r="M4" s="13" t="s">
        <v>34</v>
      </c>
      <c r="N4" s="13" t="s">
        <v>40</v>
      </c>
      <c r="O4" s="13" t="s">
        <v>35</v>
      </c>
      <c r="P4" s="7"/>
    </row>
    <row r="5" spans="1:16" ht="20" customHeight="1" x14ac:dyDescent="0.2">
      <c r="A5" s="9"/>
      <c r="B5" s="34"/>
      <c r="C5" s="35" t="s">
        <v>54</v>
      </c>
      <c r="D5" s="34"/>
      <c r="E5" s="34"/>
      <c r="F5" s="36"/>
      <c r="G5" s="36"/>
      <c r="H5" s="34"/>
      <c r="I5" s="34"/>
      <c r="J5" s="33"/>
      <c r="K5" s="33"/>
      <c r="L5" s="33"/>
      <c r="M5" s="36"/>
      <c r="N5" s="36"/>
      <c r="O5" s="36"/>
      <c r="P5" s="7"/>
    </row>
    <row r="6" spans="1:16" ht="20" customHeight="1" x14ac:dyDescent="0.2">
      <c r="A6" s="14"/>
      <c r="B6" s="2">
        <v>1</v>
      </c>
      <c r="C6" s="1" t="s">
        <v>44</v>
      </c>
      <c r="D6" s="2">
        <f>(2.6*5)+1</f>
        <v>14</v>
      </c>
      <c r="E6" s="2">
        <v>6.98</v>
      </c>
      <c r="F6" s="4">
        <f t="shared" ref="F6:F8" si="0">D6*E6</f>
        <v>97.72</v>
      </c>
      <c r="G6" s="15">
        <v>2.2000000000000002</v>
      </c>
      <c r="H6" s="15">
        <v>2</v>
      </c>
      <c r="I6" s="15">
        <v>4</v>
      </c>
      <c r="J6" s="16">
        <f>(G6*H6)*I6</f>
        <v>17.600000000000001</v>
      </c>
      <c r="K6" s="17">
        <f>((G6+H6)*2)*I6</f>
        <v>33.6</v>
      </c>
      <c r="L6" s="17"/>
      <c r="M6" s="4">
        <f t="shared" ref="M6" si="1">F6-J6</f>
        <v>80.12</v>
      </c>
      <c r="N6" s="4"/>
      <c r="O6" s="8">
        <f t="shared" ref="O6:O13" si="2">M6+N6</f>
        <v>80.12</v>
      </c>
      <c r="P6" s="7"/>
    </row>
    <row r="7" spans="1:16" ht="20" customHeight="1" x14ac:dyDescent="0.2">
      <c r="A7" s="14"/>
      <c r="C7" s="1" t="s">
        <v>45</v>
      </c>
      <c r="D7" s="2">
        <v>1</v>
      </c>
      <c r="E7" s="2">
        <v>6.98</v>
      </c>
      <c r="F7" s="4">
        <f t="shared" si="0"/>
        <v>6.98</v>
      </c>
      <c r="G7" s="1"/>
      <c r="H7" s="1"/>
      <c r="I7" s="1"/>
      <c r="J7" s="1"/>
      <c r="K7" s="17"/>
      <c r="L7" s="17"/>
      <c r="N7" s="4">
        <f>F7-J7</f>
        <v>6.98</v>
      </c>
      <c r="O7" s="8">
        <f t="shared" si="2"/>
        <v>6.98</v>
      </c>
      <c r="P7" s="7"/>
    </row>
    <row r="8" spans="1:16" ht="20" customHeight="1" x14ac:dyDescent="0.2">
      <c r="A8" s="14"/>
      <c r="C8" s="1" t="s">
        <v>46</v>
      </c>
      <c r="D8" s="2">
        <v>1</v>
      </c>
      <c r="E8" s="2">
        <v>2.2000000000000002</v>
      </c>
      <c r="F8" s="4">
        <f t="shared" si="0"/>
        <v>2.2000000000000002</v>
      </c>
      <c r="G8" s="15"/>
      <c r="H8" s="18"/>
      <c r="I8" s="15"/>
      <c r="J8" s="16"/>
      <c r="K8" s="17"/>
      <c r="L8" s="17"/>
      <c r="M8" s="4">
        <f t="shared" ref="M8" si="3">F8-J8</f>
        <v>2.2000000000000002</v>
      </c>
      <c r="N8" s="4"/>
      <c r="O8" s="8">
        <f t="shared" si="2"/>
        <v>2.2000000000000002</v>
      </c>
      <c r="P8" s="7"/>
    </row>
    <row r="9" spans="1:16" ht="20" customHeight="1" x14ac:dyDescent="0.2">
      <c r="B9" s="2">
        <v>2</v>
      </c>
      <c r="C9" s="1" t="s">
        <v>42</v>
      </c>
      <c r="D9" s="2">
        <v>11</v>
      </c>
      <c r="E9" s="2">
        <v>3.2</v>
      </c>
      <c r="F9" s="4">
        <f>D9*E9</f>
        <v>35.200000000000003</v>
      </c>
      <c r="G9" s="15">
        <v>3.2</v>
      </c>
      <c r="H9" s="15">
        <v>1.5</v>
      </c>
      <c r="I9" s="15">
        <v>1</v>
      </c>
      <c r="J9" s="16">
        <f>(G9*H9)*I9</f>
        <v>4.8000000000000007</v>
      </c>
      <c r="K9" s="17"/>
      <c r="L9" s="17"/>
      <c r="M9" s="4">
        <f t="shared" ref="M9" si="4">F9-J9</f>
        <v>30.400000000000002</v>
      </c>
      <c r="N9" s="4"/>
      <c r="O9" s="8">
        <f t="shared" si="2"/>
        <v>30.400000000000002</v>
      </c>
      <c r="P9" s="7"/>
    </row>
    <row r="10" spans="1:16" ht="20" customHeight="1" x14ac:dyDescent="0.2">
      <c r="C10" s="1" t="s">
        <v>43</v>
      </c>
      <c r="D10" s="2">
        <v>1</v>
      </c>
      <c r="E10" s="2">
        <v>5.15</v>
      </c>
      <c r="F10" s="4">
        <f>D10*E10</f>
        <v>5.15</v>
      </c>
      <c r="G10" s="15"/>
      <c r="H10" s="15"/>
      <c r="I10" s="15"/>
      <c r="J10" s="16"/>
      <c r="K10" s="17"/>
      <c r="L10" s="17"/>
      <c r="N10" s="4">
        <f>F10-J10</f>
        <v>5.15</v>
      </c>
      <c r="O10" s="8">
        <f t="shared" si="2"/>
        <v>5.15</v>
      </c>
      <c r="P10" s="7"/>
    </row>
    <row r="11" spans="1:16" ht="20" customHeight="1" x14ac:dyDescent="0.2">
      <c r="B11" s="2">
        <v>3</v>
      </c>
      <c r="C11" s="1" t="s">
        <v>44</v>
      </c>
      <c r="D11" s="2">
        <f>D13</f>
        <v>16.600000000000001</v>
      </c>
      <c r="E11" s="2">
        <v>3.35</v>
      </c>
      <c r="F11" s="4">
        <f>D11*E11</f>
        <v>55.610000000000007</v>
      </c>
      <c r="G11" s="15">
        <v>1.8</v>
      </c>
      <c r="H11" s="15">
        <v>1.8</v>
      </c>
      <c r="I11" s="15">
        <v>5</v>
      </c>
      <c r="J11" s="16">
        <f>(G11*H11)*I11</f>
        <v>16.200000000000003</v>
      </c>
      <c r="K11" s="17">
        <f>((G11+H11)*2)*I11</f>
        <v>36</v>
      </c>
      <c r="L11" s="17"/>
      <c r="M11" s="4">
        <f t="shared" ref="M11" si="5">F11-J11</f>
        <v>39.410000000000004</v>
      </c>
      <c r="N11" s="4"/>
      <c r="O11" s="8">
        <f t="shared" si="2"/>
        <v>39.410000000000004</v>
      </c>
      <c r="P11" s="7"/>
    </row>
    <row r="12" spans="1:16" ht="20" customHeight="1" x14ac:dyDescent="0.2">
      <c r="C12" s="1" t="s">
        <v>45</v>
      </c>
      <c r="D12" s="2">
        <v>11</v>
      </c>
      <c r="E12" s="2">
        <v>0.8</v>
      </c>
      <c r="F12" s="4">
        <f>D12*E12</f>
        <v>8.8000000000000007</v>
      </c>
      <c r="G12" s="15"/>
      <c r="H12" s="15"/>
      <c r="I12" s="15"/>
      <c r="J12" s="16"/>
      <c r="K12" s="17"/>
      <c r="L12" s="17"/>
      <c r="N12" s="4">
        <f>F12-J12</f>
        <v>8.8000000000000007</v>
      </c>
      <c r="O12" s="8">
        <f t="shared" si="2"/>
        <v>8.8000000000000007</v>
      </c>
      <c r="P12" s="7"/>
    </row>
    <row r="13" spans="1:16" ht="20" customHeight="1" x14ac:dyDescent="0.2">
      <c r="A13" s="2">
        <v>1</v>
      </c>
      <c r="B13" s="2">
        <v>4</v>
      </c>
      <c r="C13" s="1" t="s">
        <v>41</v>
      </c>
      <c r="D13" s="2">
        <f>(2.6*6)+1</f>
        <v>16.600000000000001</v>
      </c>
      <c r="E13" s="2">
        <v>11.03</v>
      </c>
      <c r="F13" s="4">
        <f>D13*E13</f>
        <v>183.09800000000001</v>
      </c>
      <c r="G13" s="15">
        <f>(4*2.7)</f>
        <v>10.8</v>
      </c>
      <c r="H13" s="15">
        <v>7</v>
      </c>
      <c r="I13" s="15">
        <v>1</v>
      </c>
      <c r="J13" s="16">
        <f>(G13*H13)*I13</f>
        <v>75.600000000000009</v>
      </c>
      <c r="K13" s="17"/>
      <c r="L13" s="17"/>
      <c r="M13" s="4">
        <f>F13-J13</f>
        <v>107.498</v>
      </c>
      <c r="N13" s="4"/>
      <c r="O13" s="8">
        <f t="shared" si="2"/>
        <v>107.498</v>
      </c>
      <c r="P13" s="7"/>
    </row>
    <row r="14" spans="1:16" ht="20" customHeight="1" x14ac:dyDescent="0.2">
      <c r="F14" s="4"/>
      <c r="G14" s="15"/>
      <c r="H14" s="15"/>
      <c r="I14" s="15"/>
      <c r="J14" s="18"/>
      <c r="K14" s="17"/>
      <c r="L14" s="17"/>
      <c r="M14" s="4"/>
      <c r="N14" s="4"/>
      <c r="O14" s="8"/>
      <c r="P14" s="7"/>
    </row>
    <row r="15" spans="1:16" ht="20" customHeight="1" x14ac:dyDescent="0.2">
      <c r="F15" s="4"/>
      <c r="G15" s="15"/>
      <c r="H15" s="15"/>
      <c r="I15" s="15"/>
      <c r="J15" s="16"/>
      <c r="K15" s="11">
        <f>SUM(K6:K14)</f>
        <v>69.599999999999994</v>
      </c>
      <c r="L15" s="17"/>
      <c r="M15" s="4"/>
      <c r="N15" s="4"/>
      <c r="O15" s="8">
        <f>M15+N15</f>
        <v>0</v>
      </c>
      <c r="P15" s="7"/>
    </row>
    <row r="16" spans="1:16" ht="20" customHeight="1" x14ac:dyDescent="0.2">
      <c r="C16" s="3" t="s">
        <v>36</v>
      </c>
      <c r="D16" s="9"/>
      <c r="E16" s="9"/>
      <c r="F16" s="19">
        <f>SUM(F6:F15)</f>
        <v>394.75800000000004</v>
      </c>
      <c r="H16" s="6"/>
      <c r="I16" s="20" t="s">
        <v>37</v>
      </c>
      <c r="J16" s="21"/>
      <c r="K16" s="9"/>
      <c r="L16" s="9"/>
      <c r="M16" s="25">
        <f>SUM(M6:M15)</f>
        <v>259.62800000000004</v>
      </c>
      <c r="N16" s="25">
        <f>SUM(N6:N15)</f>
        <v>20.93</v>
      </c>
      <c r="O16" s="19">
        <f>SUM(O6:O15)</f>
        <v>280.55800000000005</v>
      </c>
      <c r="P16" s="7"/>
    </row>
    <row r="17" spans="2:17" ht="20" customHeight="1" x14ac:dyDescent="0.2">
      <c r="C17" s="2"/>
      <c r="K17" s="14"/>
      <c r="M17" s="14"/>
      <c r="N17" s="14"/>
      <c r="O17" s="14"/>
      <c r="P17" s="7"/>
    </row>
    <row r="18" spans="2:17" ht="20" customHeight="1" x14ac:dyDescent="0.2">
      <c r="G18" s="4"/>
      <c r="K18" s="8"/>
      <c r="M18" s="22"/>
      <c r="N18" s="22"/>
      <c r="O18" s="8"/>
      <c r="P18" s="7"/>
    </row>
    <row r="19" spans="2:17" ht="20" customHeight="1" x14ac:dyDescent="0.2">
      <c r="B19" s="26"/>
      <c r="C19" s="27" t="s">
        <v>54</v>
      </c>
      <c r="D19" s="26"/>
      <c r="E19" s="26"/>
      <c r="F19" s="28"/>
      <c r="G19" s="28"/>
      <c r="H19" s="26"/>
      <c r="I19" s="26"/>
      <c r="J19" s="29"/>
      <c r="K19" s="29"/>
      <c r="L19" s="29"/>
      <c r="M19" s="28"/>
      <c r="N19" s="28"/>
      <c r="O19" s="28"/>
      <c r="P19" s="7"/>
      <c r="Q19" s="2"/>
    </row>
    <row r="20" spans="2:17" ht="20" customHeight="1" x14ac:dyDescent="0.2">
      <c r="C20" s="30" t="s">
        <v>58</v>
      </c>
      <c r="D20" s="10"/>
      <c r="E20" s="10"/>
      <c r="F20" s="31">
        <v>1398</v>
      </c>
      <c r="G20" s="31"/>
      <c r="H20" s="10"/>
      <c r="I20" s="10"/>
      <c r="J20" s="32"/>
      <c r="K20" s="32"/>
      <c r="L20" s="32"/>
      <c r="M20" s="31"/>
      <c r="N20" s="31"/>
      <c r="O20" s="31"/>
    </row>
    <row r="21" spans="2:17" ht="20" customHeight="1" x14ac:dyDescent="0.2">
      <c r="B21" s="2">
        <v>5</v>
      </c>
      <c r="C21" s="1" t="s">
        <v>56</v>
      </c>
      <c r="D21" s="2">
        <v>25.2</v>
      </c>
      <c r="E21" s="2">
        <f>3.06+3.09+0.15+3+1+3.5+0.85+3+1+3.5+0.5</f>
        <v>22.65</v>
      </c>
      <c r="F21" s="4">
        <f>D21*E21</f>
        <v>570.78</v>
      </c>
      <c r="G21" s="15">
        <v>2.1</v>
      </c>
      <c r="H21" s="15">
        <v>6.15</v>
      </c>
      <c r="I21" s="15">
        <v>2</v>
      </c>
      <c r="J21" s="16">
        <f>(G21*H21)*I21</f>
        <v>25.830000000000002</v>
      </c>
      <c r="K21" s="17">
        <f>((G21*2+H21))*I21</f>
        <v>20.700000000000003</v>
      </c>
      <c r="L21" s="17"/>
      <c r="M21" s="4">
        <f>F21-SUM(J21:J27)</f>
        <v>350.22499999999997</v>
      </c>
      <c r="N21" s="4"/>
      <c r="O21" s="8">
        <f>M21+N21</f>
        <v>350.22499999999997</v>
      </c>
    </row>
    <row r="22" spans="2:17" ht="20" customHeight="1" x14ac:dyDescent="0.2">
      <c r="G22" s="15">
        <v>2.1</v>
      </c>
      <c r="H22" s="15">
        <v>3</v>
      </c>
      <c r="I22" s="15">
        <v>4</v>
      </c>
      <c r="J22" s="16">
        <f t="shared" ref="J22:J27" si="6">(G22*H22)*I22</f>
        <v>25.200000000000003</v>
      </c>
      <c r="K22" s="17">
        <f t="shared" ref="K22:K27" si="7">((G22*2+H22))*I22</f>
        <v>28.8</v>
      </c>
      <c r="L22" s="17"/>
      <c r="M22" s="4"/>
      <c r="N22" s="4"/>
      <c r="O22" s="8"/>
    </row>
    <row r="23" spans="2:17" ht="18" customHeight="1" x14ac:dyDescent="0.2">
      <c r="G23" s="15">
        <v>1.65</v>
      </c>
      <c r="H23" s="15">
        <v>2.4500000000000002</v>
      </c>
      <c r="I23" s="15">
        <v>5</v>
      </c>
      <c r="J23" s="16">
        <f t="shared" si="6"/>
        <v>20.212500000000002</v>
      </c>
      <c r="K23" s="17">
        <f t="shared" si="7"/>
        <v>28.75</v>
      </c>
      <c r="L23" s="17"/>
      <c r="M23" s="4"/>
      <c r="N23" s="4"/>
      <c r="O23" s="8"/>
    </row>
    <row r="24" spans="2:17" ht="18" customHeight="1" x14ac:dyDescent="0.2">
      <c r="G24" s="15">
        <v>1.65</v>
      </c>
      <c r="H24" s="15">
        <v>2</v>
      </c>
      <c r="I24" s="15">
        <v>4</v>
      </c>
      <c r="J24" s="16">
        <f t="shared" si="6"/>
        <v>13.2</v>
      </c>
      <c r="K24" s="17">
        <f t="shared" si="7"/>
        <v>21.2</v>
      </c>
      <c r="L24" s="17"/>
      <c r="M24" s="4"/>
      <c r="N24" s="4"/>
      <c r="O24" s="8"/>
    </row>
    <row r="25" spans="2:17" ht="18" customHeight="1" x14ac:dyDescent="0.2">
      <c r="G25" s="15">
        <v>1.65</v>
      </c>
      <c r="H25" s="15">
        <v>3.5</v>
      </c>
      <c r="I25" s="15">
        <v>3</v>
      </c>
      <c r="J25" s="16">
        <f t="shared" si="6"/>
        <v>17.324999999999999</v>
      </c>
      <c r="K25" s="17">
        <f t="shared" si="7"/>
        <v>20.399999999999999</v>
      </c>
      <c r="L25" s="17"/>
      <c r="M25" s="4"/>
      <c r="N25" s="4"/>
      <c r="O25" s="8"/>
    </row>
    <row r="26" spans="2:17" ht="18" customHeight="1" x14ac:dyDescent="0.2">
      <c r="G26" s="15">
        <v>1.65</v>
      </c>
      <c r="H26" s="15">
        <v>1.55</v>
      </c>
      <c r="I26" s="15">
        <v>5</v>
      </c>
      <c r="J26" s="16">
        <f t="shared" si="6"/>
        <v>12.787500000000001</v>
      </c>
      <c r="K26" s="17">
        <f t="shared" si="7"/>
        <v>24.25</v>
      </c>
      <c r="L26" s="17"/>
      <c r="M26" s="4"/>
      <c r="N26" s="4"/>
      <c r="O26" s="8"/>
    </row>
    <row r="27" spans="2:17" ht="18" customHeight="1" x14ac:dyDescent="0.2">
      <c r="G27" s="15">
        <v>2</v>
      </c>
      <c r="H27" s="15">
        <v>2.65</v>
      </c>
      <c r="I27" s="15">
        <v>20</v>
      </c>
      <c r="J27" s="16">
        <f t="shared" si="6"/>
        <v>106</v>
      </c>
      <c r="K27" s="17">
        <f t="shared" si="7"/>
        <v>133</v>
      </c>
      <c r="L27" s="17"/>
      <c r="M27" s="4"/>
      <c r="N27" s="4"/>
      <c r="O27" s="8"/>
    </row>
    <row r="28" spans="2:17" ht="18" customHeight="1" x14ac:dyDescent="0.2">
      <c r="C28" s="1" t="s">
        <v>66</v>
      </c>
      <c r="D28" s="2">
        <v>9.4</v>
      </c>
      <c r="E28" s="2">
        <v>40</v>
      </c>
      <c r="F28" s="4">
        <f>D28*E28</f>
        <v>376</v>
      </c>
      <c r="G28" s="15"/>
      <c r="H28" s="15"/>
      <c r="I28" s="15"/>
      <c r="J28" s="16"/>
      <c r="K28" s="17"/>
      <c r="L28" s="17"/>
      <c r="M28" s="4">
        <f>F28</f>
        <v>376</v>
      </c>
      <c r="N28" s="4"/>
      <c r="O28" s="8">
        <f>M28+N28</f>
        <v>376</v>
      </c>
    </row>
    <row r="29" spans="2:17" ht="18" customHeight="1" x14ac:dyDescent="0.2">
      <c r="G29" s="15"/>
      <c r="H29" s="15"/>
      <c r="I29" s="15"/>
      <c r="J29" s="16"/>
      <c r="K29" s="11"/>
      <c r="L29" s="17"/>
      <c r="M29" s="4"/>
      <c r="N29" s="4"/>
      <c r="O29" s="8"/>
    </row>
    <row r="30" spans="2:17" ht="18" customHeight="1" x14ac:dyDescent="0.2">
      <c r="B30" s="2">
        <v>6</v>
      </c>
      <c r="C30" s="1" t="s">
        <v>57</v>
      </c>
      <c r="D30" s="2">
        <v>21.5</v>
      </c>
      <c r="E30" s="2">
        <v>1.2</v>
      </c>
      <c r="F30" s="4">
        <f>D30*E30</f>
        <v>25.8</v>
      </c>
      <c r="G30" s="15"/>
      <c r="H30" s="15"/>
      <c r="I30" s="15"/>
      <c r="J30" s="16"/>
      <c r="K30" s="17"/>
      <c r="L30" s="17"/>
      <c r="M30" s="4">
        <f>F30</f>
        <v>25.8</v>
      </c>
      <c r="N30" s="4"/>
      <c r="O30" s="8">
        <f>M30+N30</f>
        <v>25.8</v>
      </c>
    </row>
    <row r="31" spans="2:17" ht="18" customHeight="1" x14ac:dyDescent="0.2">
      <c r="B31" s="2">
        <v>7</v>
      </c>
      <c r="C31" s="1" t="s">
        <v>56</v>
      </c>
      <c r="D31" s="2">
        <v>25.2</v>
      </c>
      <c r="E31" s="2">
        <v>7.5</v>
      </c>
      <c r="F31" s="4">
        <f>D31*E31</f>
        <v>189</v>
      </c>
      <c r="G31" s="15">
        <v>2.1</v>
      </c>
      <c r="H31" s="15">
        <v>2.4</v>
      </c>
      <c r="I31" s="15">
        <v>2</v>
      </c>
      <c r="J31" s="16">
        <f>(G31*H31)*I31</f>
        <v>10.08</v>
      </c>
      <c r="K31" s="17">
        <f>((G31*2+H31))*I31</f>
        <v>13.2</v>
      </c>
      <c r="L31" s="17"/>
      <c r="M31" s="4">
        <f>F31-SUM(J31:J35)</f>
        <v>117.72999999999999</v>
      </c>
      <c r="N31" s="4"/>
      <c r="O31" s="8">
        <f>M31+N31</f>
        <v>117.72999999999999</v>
      </c>
    </row>
    <row r="32" spans="2:17" ht="18" customHeight="1" x14ac:dyDescent="0.2">
      <c r="F32" s="4"/>
      <c r="G32" s="15">
        <v>1.65</v>
      </c>
      <c r="H32" s="15">
        <v>2.4500000000000002</v>
      </c>
      <c r="I32" s="15">
        <v>2</v>
      </c>
      <c r="J32" s="16">
        <f t="shared" ref="J32:J35" si="8">(G32*H32)*I32</f>
        <v>8.0850000000000009</v>
      </c>
      <c r="K32" s="17">
        <f t="shared" ref="K32:K35" si="9">((G32*2+H32))*I32</f>
        <v>11.5</v>
      </c>
      <c r="L32" s="17"/>
      <c r="M32" s="4"/>
      <c r="N32" s="4"/>
      <c r="O32" s="8"/>
    </row>
    <row r="33" spans="2:15" ht="18" customHeight="1" x14ac:dyDescent="0.2">
      <c r="F33" s="4"/>
      <c r="G33" s="15">
        <v>1.65</v>
      </c>
      <c r="H33" s="15">
        <v>3.5</v>
      </c>
      <c r="I33" s="15">
        <v>1</v>
      </c>
      <c r="J33" s="16">
        <f t="shared" si="8"/>
        <v>5.7749999999999995</v>
      </c>
      <c r="K33" s="17">
        <f t="shared" si="9"/>
        <v>6.8</v>
      </c>
      <c r="L33" s="17"/>
      <c r="M33" s="4"/>
      <c r="N33" s="4"/>
      <c r="O33" s="8"/>
    </row>
    <row r="34" spans="2:15" ht="18" customHeight="1" x14ac:dyDescent="0.2">
      <c r="F34" s="4"/>
      <c r="G34" s="15">
        <v>1.65</v>
      </c>
      <c r="H34" s="15">
        <v>1.55</v>
      </c>
      <c r="I34" s="15">
        <v>4</v>
      </c>
      <c r="J34" s="16">
        <f t="shared" si="8"/>
        <v>10.23</v>
      </c>
      <c r="K34" s="17">
        <f t="shared" si="9"/>
        <v>19.399999999999999</v>
      </c>
      <c r="L34" s="17"/>
      <c r="M34" s="4"/>
      <c r="N34" s="4"/>
      <c r="O34" s="8"/>
    </row>
    <row r="35" spans="2:15" ht="18" customHeight="1" x14ac:dyDescent="0.2">
      <c r="F35" s="4"/>
      <c r="G35" s="15">
        <v>2</v>
      </c>
      <c r="H35" s="15">
        <v>2.65</v>
      </c>
      <c r="I35" s="15">
        <v>7</v>
      </c>
      <c r="J35" s="16">
        <f t="shared" si="8"/>
        <v>37.1</v>
      </c>
      <c r="K35" s="17">
        <f t="shared" si="9"/>
        <v>46.550000000000004</v>
      </c>
      <c r="L35" s="17"/>
      <c r="M35" s="4"/>
      <c r="N35" s="4"/>
      <c r="O35" s="8"/>
    </row>
    <row r="36" spans="2:15" ht="18" customHeight="1" x14ac:dyDescent="0.2">
      <c r="F36" s="4"/>
      <c r="G36" s="15"/>
      <c r="H36" s="15"/>
      <c r="I36" s="15"/>
      <c r="J36" s="16"/>
      <c r="K36" s="11">
        <f>SUM(K31:K35)</f>
        <v>97.45</v>
      </c>
      <c r="L36" s="17"/>
      <c r="M36" s="4"/>
      <c r="N36" s="4"/>
      <c r="O36" s="8"/>
    </row>
    <row r="37" spans="2:15" ht="18" customHeight="1" x14ac:dyDescent="0.2">
      <c r="B37" s="2">
        <v>8</v>
      </c>
      <c r="C37" s="1" t="s">
        <v>57</v>
      </c>
      <c r="D37" s="2">
        <v>21.5</v>
      </c>
      <c r="E37" s="2">
        <v>1.2</v>
      </c>
      <c r="F37" s="4">
        <f>D37*E37</f>
        <v>25.8</v>
      </c>
      <c r="G37" s="15"/>
      <c r="H37" s="15"/>
      <c r="I37" s="15"/>
      <c r="J37" s="16"/>
      <c r="K37" s="17"/>
      <c r="L37" s="17"/>
      <c r="M37" s="4">
        <f>F37</f>
        <v>25.8</v>
      </c>
      <c r="N37" s="4"/>
      <c r="O37" s="8">
        <f>M37+N37</f>
        <v>25.8</v>
      </c>
    </row>
    <row r="38" spans="2:15" ht="18" customHeight="1" x14ac:dyDescent="0.2">
      <c r="G38" s="15"/>
      <c r="H38" s="15"/>
    </row>
    <row r="39" spans="2:15" ht="18" customHeight="1" x14ac:dyDescent="0.2">
      <c r="B39" s="2">
        <v>9</v>
      </c>
      <c r="C39" s="1" t="s">
        <v>56</v>
      </c>
      <c r="D39" s="2">
        <v>25</v>
      </c>
      <c r="E39" s="2">
        <v>8.4499999999999993</v>
      </c>
      <c r="F39" s="4">
        <f>D39*E39</f>
        <v>211.24999999999997</v>
      </c>
      <c r="G39" s="15">
        <v>1.65</v>
      </c>
      <c r="H39" s="15">
        <v>3</v>
      </c>
      <c r="I39" s="15">
        <v>4</v>
      </c>
      <c r="J39" s="16">
        <f>(G39*H39)*I39</f>
        <v>19.799999999999997</v>
      </c>
      <c r="K39" s="17">
        <f t="shared" ref="K39:K40" si="10">((G39*2+H39))*I39</f>
        <v>25.2</v>
      </c>
      <c r="M39" s="4">
        <f>F39-SUM(J39:J43)</f>
        <v>142.39249999999998</v>
      </c>
      <c r="N39" s="4"/>
      <c r="O39" s="8">
        <f>M39+N39</f>
        <v>142.39249999999998</v>
      </c>
    </row>
    <row r="40" spans="2:15" ht="18" customHeight="1" x14ac:dyDescent="0.2">
      <c r="G40" s="15">
        <v>1.65</v>
      </c>
      <c r="H40" s="15">
        <v>3.35</v>
      </c>
      <c r="I40" s="15">
        <v>5</v>
      </c>
      <c r="J40" s="16">
        <f t="shared" ref="J40" si="11">(G40*H40)*I40</f>
        <v>27.637499999999999</v>
      </c>
      <c r="K40" s="17">
        <f t="shared" si="10"/>
        <v>33.25</v>
      </c>
    </row>
    <row r="41" spans="2:15" ht="18" customHeight="1" x14ac:dyDescent="0.2">
      <c r="G41" s="15">
        <v>1.65</v>
      </c>
      <c r="H41" s="15">
        <v>2.1</v>
      </c>
      <c r="I41" s="15">
        <v>4</v>
      </c>
      <c r="J41" s="16">
        <f t="shared" ref="J41" si="12">(G41*H41)*I41</f>
        <v>13.86</v>
      </c>
      <c r="K41" s="17">
        <f t="shared" ref="K41" si="13">((G41*2+H41))*I41</f>
        <v>21.6</v>
      </c>
    </row>
    <row r="42" spans="2:15" ht="18" customHeight="1" x14ac:dyDescent="0.2">
      <c r="G42" s="15">
        <v>1.35</v>
      </c>
      <c r="H42" s="15">
        <v>4.2</v>
      </c>
      <c r="I42" s="15">
        <v>1</v>
      </c>
      <c r="J42" s="16">
        <f t="shared" ref="J42:J43" si="14">(G42*H42)*I42</f>
        <v>5.6700000000000008</v>
      </c>
      <c r="K42" s="17">
        <f t="shared" ref="K42:K43" si="15">((G42*2+H42))*I42</f>
        <v>6.9</v>
      </c>
    </row>
    <row r="43" spans="2:15" ht="18" customHeight="1" x14ac:dyDescent="0.2">
      <c r="G43" s="15">
        <v>1.35</v>
      </c>
      <c r="H43" s="15">
        <v>1.4</v>
      </c>
      <c r="I43" s="15">
        <v>1</v>
      </c>
      <c r="J43" s="16">
        <f t="shared" si="14"/>
        <v>1.89</v>
      </c>
      <c r="K43" s="17">
        <f t="shared" si="15"/>
        <v>4.0999999999999996</v>
      </c>
    </row>
    <row r="44" spans="2:15" ht="18" customHeight="1" x14ac:dyDescent="0.2">
      <c r="G44" s="15"/>
      <c r="H44" s="15"/>
      <c r="I44" s="15"/>
      <c r="J44" s="16"/>
      <c r="K44" s="11">
        <f>SUM(K39:K43)</f>
        <v>91.050000000000011</v>
      </c>
    </row>
    <row r="45" spans="2:15" ht="18" customHeight="1" x14ac:dyDescent="0.2">
      <c r="G45" s="15"/>
      <c r="H45" s="15"/>
      <c r="K45" s="4"/>
    </row>
    <row r="46" spans="2:15" ht="18" customHeight="1" x14ac:dyDescent="0.2">
      <c r="C46" s="3" t="s">
        <v>36</v>
      </c>
      <c r="D46" s="9"/>
      <c r="E46" s="9"/>
      <c r="F46" s="19">
        <f>SUM(F21:F45)</f>
        <v>1398.6299999999999</v>
      </c>
      <c r="H46" s="6"/>
      <c r="I46" s="20" t="s">
        <v>37</v>
      </c>
      <c r="J46" s="21"/>
      <c r="K46" s="9"/>
      <c r="L46" s="9"/>
      <c r="M46" s="25">
        <f>SUM(M21:M45)</f>
        <v>1037.9474999999998</v>
      </c>
      <c r="N46" s="25">
        <f>SUM(N21:N45)</f>
        <v>0</v>
      </c>
      <c r="O46" s="19">
        <f>SUM(O21:O45)</f>
        <v>1037.9474999999998</v>
      </c>
    </row>
    <row r="47" spans="2:15" ht="18" customHeight="1" x14ac:dyDescent="0.2">
      <c r="C47" s="2"/>
      <c r="K47" s="14"/>
      <c r="M47" s="14"/>
      <c r="N47" s="14"/>
      <c r="O47" s="14"/>
    </row>
    <row r="48" spans="2:15" ht="18" customHeight="1" x14ac:dyDescent="0.2">
      <c r="C48" s="2"/>
      <c r="K48" s="14"/>
      <c r="M48" s="14"/>
      <c r="N48" s="14"/>
      <c r="O48" s="14"/>
    </row>
    <row r="49" spans="2:17" ht="20" customHeight="1" x14ac:dyDescent="0.2">
      <c r="B49" s="53"/>
      <c r="C49" s="55" t="s">
        <v>83</v>
      </c>
      <c r="D49" s="53"/>
      <c r="E49" s="53"/>
      <c r="F49" s="54"/>
      <c r="G49" s="54"/>
      <c r="H49" s="53"/>
      <c r="I49" s="53"/>
      <c r="J49" s="44"/>
      <c r="K49" s="44"/>
      <c r="L49" s="44"/>
      <c r="M49" s="54"/>
      <c r="N49" s="54"/>
      <c r="O49" s="54"/>
      <c r="P49" s="7"/>
      <c r="Q49" s="2"/>
    </row>
    <row r="50" spans="2:17" ht="20" customHeight="1" x14ac:dyDescent="0.2">
      <c r="C50" s="30" t="s">
        <v>58</v>
      </c>
      <c r="D50" s="10"/>
      <c r="E50" s="10"/>
      <c r="F50" s="31">
        <v>545.6</v>
      </c>
      <c r="G50" s="31"/>
      <c r="H50" s="10"/>
      <c r="I50" s="10"/>
      <c r="J50" s="32"/>
      <c r="K50" s="32"/>
      <c r="L50" s="32"/>
      <c r="M50" s="31"/>
      <c r="N50" s="31"/>
      <c r="O50" s="31"/>
    </row>
    <row r="51" spans="2:17" ht="20" customHeight="1" x14ac:dyDescent="0.2">
      <c r="B51" s="2">
        <v>10</v>
      </c>
      <c r="C51" s="1" t="s">
        <v>56</v>
      </c>
      <c r="D51" s="2">
        <v>30.75</v>
      </c>
      <c r="E51" s="2">
        <v>17.75</v>
      </c>
      <c r="F51" s="4">
        <f>D51*E51</f>
        <v>545.8125</v>
      </c>
      <c r="G51" s="15">
        <v>2.1</v>
      </c>
      <c r="H51" s="15">
        <v>3</v>
      </c>
      <c r="I51" s="15">
        <v>14</v>
      </c>
      <c r="J51" s="16">
        <f>(G51*H51)*I51</f>
        <v>88.200000000000017</v>
      </c>
      <c r="K51" s="17">
        <f>((G51*2+H51))*I51</f>
        <v>100.8</v>
      </c>
      <c r="L51" s="17"/>
      <c r="M51" s="4">
        <f>F51-SUM(J51:J55)</f>
        <v>417.23249999999996</v>
      </c>
      <c r="N51" s="4"/>
      <c r="O51" s="8">
        <f>M51+N51</f>
        <v>417.23249999999996</v>
      </c>
    </row>
    <row r="52" spans="2:17" ht="20" customHeight="1" x14ac:dyDescent="0.2">
      <c r="G52" s="15">
        <v>1.5</v>
      </c>
      <c r="H52" s="15">
        <v>0.8</v>
      </c>
      <c r="I52" s="15">
        <v>14</v>
      </c>
      <c r="J52" s="16">
        <f t="shared" ref="J52:J53" si="16">(G52*H52)*I52</f>
        <v>16.800000000000004</v>
      </c>
      <c r="K52" s="17">
        <f t="shared" ref="K52:K53" si="17">((G52*2+H52))*I52</f>
        <v>53.199999999999996</v>
      </c>
      <c r="L52" s="17"/>
      <c r="M52" s="4"/>
      <c r="N52" s="4"/>
      <c r="O52" s="8"/>
    </row>
    <row r="53" spans="2:17" ht="18" customHeight="1" x14ac:dyDescent="0.2">
      <c r="G53" s="15">
        <v>2.5</v>
      </c>
      <c r="H53" s="15">
        <v>0.35</v>
      </c>
      <c r="I53" s="15">
        <v>14</v>
      </c>
      <c r="J53" s="16">
        <f t="shared" si="16"/>
        <v>12.25</v>
      </c>
      <c r="K53" s="17">
        <f t="shared" si="17"/>
        <v>74.899999999999991</v>
      </c>
      <c r="L53" s="17"/>
      <c r="M53" s="4"/>
      <c r="N53" s="4"/>
      <c r="O53" s="8"/>
    </row>
    <row r="54" spans="2:17" ht="18" customHeight="1" x14ac:dyDescent="0.2">
      <c r="G54" s="15">
        <v>2.2000000000000002</v>
      </c>
      <c r="H54" s="15">
        <v>0.75</v>
      </c>
      <c r="I54" s="15">
        <v>3</v>
      </c>
      <c r="J54" s="16">
        <f t="shared" ref="J54" si="18">(G54*H54)*I54</f>
        <v>4.95</v>
      </c>
      <c r="K54" s="17">
        <f t="shared" ref="K54" si="19">((G54*2+H54))*I54</f>
        <v>15.450000000000001</v>
      </c>
      <c r="L54" s="17"/>
      <c r="M54" s="4"/>
      <c r="N54" s="4"/>
      <c r="O54" s="8"/>
    </row>
    <row r="55" spans="2:17" ht="18" customHeight="1" x14ac:dyDescent="0.2">
      <c r="G55" s="15">
        <v>2.2000000000000002</v>
      </c>
      <c r="H55" s="15">
        <v>2.9</v>
      </c>
      <c r="I55" s="15">
        <v>1</v>
      </c>
      <c r="J55" s="16">
        <f t="shared" ref="J55" si="20">(G55*H55)*I55</f>
        <v>6.38</v>
      </c>
      <c r="K55" s="17">
        <f t="shared" ref="K55" si="21">((G55*2+H55))*I55</f>
        <v>7.3000000000000007</v>
      </c>
      <c r="L55" s="17"/>
      <c r="M55" s="4"/>
      <c r="N55" s="4"/>
      <c r="O55" s="8"/>
    </row>
    <row r="56" spans="2:17" ht="18" customHeight="1" x14ac:dyDescent="0.2">
      <c r="G56" s="15"/>
      <c r="H56" s="15"/>
      <c r="K56" s="4"/>
    </row>
    <row r="57" spans="2:17" ht="18" customHeight="1" x14ac:dyDescent="0.2">
      <c r="C57" s="3" t="s">
        <v>36</v>
      </c>
      <c r="D57" s="9"/>
      <c r="E57" s="9"/>
      <c r="F57" s="19">
        <f>SUM(F51:F56)</f>
        <v>545.8125</v>
      </c>
      <c r="H57" s="6"/>
      <c r="I57" s="20" t="s">
        <v>37</v>
      </c>
      <c r="J57" s="21"/>
      <c r="K57" s="9"/>
      <c r="L57" s="9"/>
      <c r="M57" s="25">
        <f>SUM(M51:M56)</f>
        <v>417.23249999999996</v>
      </c>
      <c r="N57" s="25">
        <f>SUM(N51:N56)</f>
        <v>0</v>
      </c>
      <c r="O57" s="19">
        <f>SUM(O51:O56)</f>
        <v>417.23249999999996</v>
      </c>
    </row>
    <row r="58" spans="2:17" ht="18" customHeight="1" x14ac:dyDescent="0.2">
      <c r="G58" s="4"/>
      <c r="K58" s="8"/>
      <c r="M58" s="22"/>
      <c r="N58" s="22"/>
      <c r="O58" s="8"/>
    </row>
    <row r="59" spans="2:17" ht="18" customHeight="1" x14ac:dyDescent="0.2">
      <c r="G59" s="4"/>
      <c r="K59" s="8"/>
      <c r="M59" s="22"/>
      <c r="N59" s="22"/>
      <c r="O59" s="8"/>
    </row>
    <row r="60" spans="2:17" ht="20" customHeight="1" x14ac:dyDescent="0.2">
      <c r="B60" s="26"/>
      <c r="C60" s="27" t="s">
        <v>67</v>
      </c>
      <c r="D60" s="26"/>
      <c r="E60" s="26"/>
      <c r="F60" s="28"/>
      <c r="G60" s="28"/>
      <c r="H60" s="26"/>
      <c r="I60" s="26"/>
      <c r="J60" s="29"/>
      <c r="K60" s="29"/>
      <c r="L60" s="29"/>
      <c r="M60" s="28"/>
      <c r="N60" s="28"/>
      <c r="O60" s="28"/>
      <c r="P60" s="7"/>
      <c r="Q60" s="2"/>
    </row>
    <row r="61" spans="2:17" ht="20" customHeight="1" x14ac:dyDescent="0.2">
      <c r="C61" s="30" t="s">
        <v>58</v>
      </c>
      <c r="D61" s="10"/>
      <c r="E61" s="10"/>
      <c r="F61" s="31">
        <v>1118</v>
      </c>
      <c r="G61" s="31"/>
      <c r="H61" s="10"/>
      <c r="I61" s="10"/>
      <c r="J61" s="32"/>
      <c r="K61" s="32"/>
      <c r="L61" s="32"/>
      <c r="M61" s="31"/>
      <c r="N61" s="31"/>
      <c r="O61" s="31"/>
    </row>
    <row r="62" spans="2:17" ht="20" customHeight="1" x14ac:dyDescent="0.2">
      <c r="B62" s="2">
        <v>11</v>
      </c>
      <c r="C62" s="1" t="s">
        <v>56</v>
      </c>
      <c r="D62" s="2">
        <v>27.2</v>
      </c>
      <c r="E62" s="2">
        <v>8.5</v>
      </c>
      <c r="F62" s="4">
        <f>D62*E62</f>
        <v>231.2</v>
      </c>
      <c r="G62" s="15">
        <v>1.65</v>
      </c>
      <c r="H62" s="15">
        <v>3.4</v>
      </c>
      <c r="I62" s="15">
        <v>6</v>
      </c>
      <c r="J62" s="16">
        <f>(G62*H62)*I62</f>
        <v>33.659999999999997</v>
      </c>
      <c r="K62" s="17">
        <f>((G62*2+H62))*I62</f>
        <v>40.199999999999996</v>
      </c>
      <c r="L62" s="17"/>
      <c r="M62" s="4">
        <f>F62-SUM(J62:J65)</f>
        <v>140.61500000000001</v>
      </c>
      <c r="N62" s="4"/>
      <c r="O62" s="8">
        <f>M62+N62</f>
        <v>140.61500000000001</v>
      </c>
    </row>
    <row r="63" spans="2:17" ht="20" customHeight="1" x14ac:dyDescent="0.2">
      <c r="G63" s="15">
        <v>1.65</v>
      </c>
      <c r="H63" s="15">
        <v>3</v>
      </c>
      <c r="I63" s="15">
        <v>4</v>
      </c>
      <c r="J63" s="16">
        <f t="shared" ref="J63:J65" si="22">(G63*H63)*I63</f>
        <v>19.799999999999997</v>
      </c>
      <c r="K63" s="17">
        <f t="shared" ref="K63:K65" si="23">((G63*2+H63))*I63</f>
        <v>25.2</v>
      </c>
      <c r="L63" s="17"/>
      <c r="M63" s="4"/>
      <c r="N63" s="4"/>
      <c r="O63" s="8"/>
    </row>
    <row r="64" spans="2:17" ht="18" customHeight="1" x14ac:dyDescent="0.2">
      <c r="G64" s="15">
        <v>1.65</v>
      </c>
      <c r="H64" s="15">
        <v>2.1</v>
      </c>
      <c r="I64" s="15">
        <v>5</v>
      </c>
      <c r="J64" s="16">
        <f t="shared" si="22"/>
        <v>17.324999999999999</v>
      </c>
      <c r="K64" s="17">
        <f t="shared" si="23"/>
        <v>27</v>
      </c>
      <c r="L64" s="17"/>
      <c r="M64" s="4"/>
      <c r="N64" s="4"/>
      <c r="O64" s="8"/>
    </row>
    <row r="65" spans="2:15" ht="18" customHeight="1" x14ac:dyDescent="0.2">
      <c r="G65" s="15">
        <v>1.65</v>
      </c>
      <c r="H65" s="15">
        <v>2</v>
      </c>
      <c r="I65" s="15">
        <v>6</v>
      </c>
      <c r="J65" s="16">
        <f t="shared" si="22"/>
        <v>19.799999999999997</v>
      </c>
      <c r="K65" s="17">
        <f t="shared" si="23"/>
        <v>31.799999999999997</v>
      </c>
      <c r="L65" s="17"/>
      <c r="M65" s="4"/>
      <c r="N65" s="4"/>
      <c r="O65" s="8"/>
    </row>
    <row r="66" spans="2:15" ht="18" customHeight="1" x14ac:dyDescent="0.2">
      <c r="B66" s="2">
        <v>12</v>
      </c>
      <c r="C66" s="1" t="s">
        <v>57</v>
      </c>
      <c r="D66" s="2">
        <v>24</v>
      </c>
      <c r="E66" s="2">
        <v>2.15</v>
      </c>
      <c r="F66" s="4">
        <f>D66*E66</f>
        <v>51.599999999999994</v>
      </c>
      <c r="G66" s="15"/>
      <c r="H66" s="15"/>
      <c r="I66" s="15"/>
      <c r="J66" s="16"/>
      <c r="K66" s="17"/>
      <c r="L66" s="17"/>
      <c r="M66" s="4">
        <f>F66</f>
        <v>51.599999999999994</v>
      </c>
      <c r="N66" s="4"/>
      <c r="O66" s="8">
        <f>M66+N66</f>
        <v>51.599999999999994</v>
      </c>
    </row>
    <row r="67" spans="2:15" ht="18" customHeight="1" x14ac:dyDescent="0.2">
      <c r="B67" s="2">
        <v>13</v>
      </c>
      <c r="C67" s="1" t="s">
        <v>56</v>
      </c>
      <c r="D67" s="2">
        <v>27.2</v>
      </c>
      <c r="E67" s="2">
        <v>17.5</v>
      </c>
      <c r="F67" s="4">
        <f>D67*E67</f>
        <v>476</v>
      </c>
      <c r="G67" s="15">
        <v>1.5</v>
      </c>
      <c r="H67" s="15">
        <v>2</v>
      </c>
      <c r="I67" s="15">
        <v>20</v>
      </c>
      <c r="J67" s="16">
        <f>(G67*H67)*I67</f>
        <v>60</v>
      </c>
      <c r="K67" s="17">
        <f>((G67*2+H67))*I67</f>
        <v>100</v>
      </c>
      <c r="L67" s="17"/>
      <c r="M67" s="4">
        <f>F67-SUM(J67:J69)</f>
        <v>354</v>
      </c>
      <c r="N67" s="4"/>
      <c r="O67" s="8">
        <f>M67+N67</f>
        <v>354</v>
      </c>
    </row>
    <row r="68" spans="2:15" ht="18" customHeight="1" x14ac:dyDescent="0.2">
      <c r="F68" s="4"/>
      <c r="G68" s="15">
        <v>2</v>
      </c>
      <c r="H68" s="15">
        <v>2.5</v>
      </c>
      <c r="I68" s="15">
        <v>4</v>
      </c>
      <c r="J68" s="16">
        <f t="shared" ref="J68" si="24">(G68*H68)*I68</f>
        <v>20</v>
      </c>
      <c r="K68" s="17">
        <f t="shared" ref="K68" si="25">((G68*2+H68))*I68</f>
        <v>26</v>
      </c>
      <c r="L68" s="17"/>
      <c r="M68" s="4"/>
      <c r="N68" s="4"/>
      <c r="O68" s="8"/>
    </row>
    <row r="69" spans="2:15" ht="18" customHeight="1" x14ac:dyDescent="0.2">
      <c r="F69" s="4"/>
      <c r="G69" s="15">
        <v>2.1</v>
      </c>
      <c r="H69" s="15">
        <v>2.5</v>
      </c>
      <c r="I69" s="15">
        <v>8</v>
      </c>
      <c r="J69" s="16">
        <f t="shared" ref="J69" si="26">(G69*H69)*I69</f>
        <v>42</v>
      </c>
      <c r="K69" s="17">
        <f t="shared" ref="K69" si="27">((G69*2+H69))*I69</f>
        <v>53.6</v>
      </c>
      <c r="L69" s="17"/>
      <c r="M69" s="4"/>
      <c r="N69" s="4"/>
      <c r="O69" s="8"/>
    </row>
    <row r="70" spans="2:15" ht="18" customHeight="1" x14ac:dyDescent="0.2">
      <c r="B70" s="2">
        <v>14</v>
      </c>
      <c r="C70" s="1" t="s">
        <v>57</v>
      </c>
      <c r="D70" s="2">
        <v>21.5</v>
      </c>
      <c r="E70" s="2">
        <v>1.5</v>
      </c>
      <c r="F70" s="4">
        <f>D70*E70</f>
        <v>32.25</v>
      </c>
      <c r="G70" s="15"/>
      <c r="H70" s="15"/>
      <c r="I70" s="15"/>
      <c r="J70" s="16"/>
      <c r="K70" s="17"/>
      <c r="L70" s="17"/>
      <c r="M70" s="4">
        <f>F70</f>
        <v>32.25</v>
      </c>
      <c r="N70" s="4"/>
      <c r="O70" s="8">
        <f>M70+N70</f>
        <v>32.25</v>
      </c>
    </row>
    <row r="71" spans="2:15" ht="18" customHeight="1" x14ac:dyDescent="0.2">
      <c r="G71" s="15"/>
      <c r="H71" s="15"/>
    </row>
    <row r="72" spans="2:15" ht="18" customHeight="1" x14ac:dyDescent="0.2">
      <c r="B72" s="2">
        <v>15</v>
      </c>
      <c r="C72" s="1" t="s">
        <v>56</v>
      </c>
      <c r="D72" s="2">
        <v>27.2</v>
      </c>
      <c r="E72" s="2">
        <v>6.52</v>
      </c>
      <c r="F72" s="4">
        <f>D72*E72</f>
        <v>177.34399999999999</v>
      </c>
      <c r="G72" s="15">
        <v>1.65</v>
      </c>
      <c r="H72" s="15">
        <v>3</v>
      </c>
      <c r="I72" s="15">
        <v>2</v>
      </c>
      <c r="J72" s="16">
        <f>(G72*H72)*I72</f>
        <v>9.8999999999999986</v>
      </c>
      <c r="K72" s="17">
        <f t="shared" ref="K72:K74" si="28">((G72*2+H72))*I72</f>
        <v>12.6</v>
      </c>
      <c r="M72" s="4">
        <f>F72-SUM(J72:J75)</f>
        <v>111.794</v>
      </c>
      <c r="N72" s="4"/>
      <c r="O72" s="8">
        <f>M72+N72</f>
        <v>111.794</v>
      </c>
    </row>
    <row r="73" spans="2:15" ht="18" customHeight="1" x14ac:dyDescent="0.2">
      <c r="G73" s="15">
        <v>1.65</v>
      </c>
      <c r="H73" s="15">
        <v>2.1</v>
      </c>
      <c r="I73" s="15">
        <v>10</v>
      </c>
      <c r="J73" s="16">
        <f t="shared" ref="J73:J74" si="29">(G73*H73)*I73</f>
        <v>34.65</v>
      </c>
      <c r="K73" s="17">
        <f t="shared" si="28"/>
        <v>54</v>
      </c>
    </row>
    <row r="74" spans="2:15" ht="18" customHeight="1" x14ac:dyDescent="0.2">
      <c r="G74" s="15">
        <v>2.1</v>
      </c>
      <c r="H74" s="15">
        <v>2.5</v>
      </c>
      <c r="I74" s="15">
        <v>4</v>
      </c>
      <c r="J74" s="16">
        <f t="shared" si="29"/>
        <v>21</v>
      </c>
      <c r="K74" s="17">
        <f t="shared" si="28"/>
        <v>26.8</v>
      </c>
    </row>
    <row r="75" spans="2:15" ht="18" customHeight="1" x14ac:dyDescent="0.2">
      <c r="B75" s="2">
        <v>16</v>
      </c>
      <c r="C75" s="1" t="s">
        <v>57</v>
      </c>
      <c r="D75" s="2">
        <v>21.5</v>
      </c>
      <c r="E75" s="2">
        <v>0.7</v>
      </c>
      <c r="F75" s="4">
        <f>D75*E75</f>
        <v>15.049999999999999</v>
      </c>
      <c r="G75" s="15"/>
      <c r="H75" s="15"/>
      <c r="I75" s="15"/>
      <c r="J75" s="16"/>
      <c r="K75" s="17"/>
      <c r="L75" s="17"/>
      <c r="M75" s="4">
        <f>F75</f>
        <v>15.049999999999999</v>
      </c>
      <c r="N75" s="4"/>
      <c r="O75" s="8">
        <f>M75+N75</f>
        <v>15.049999999999999</v>
      </c>
    </row>
    <row r="76" spans="2:15" ht="18" customHeight="1" x14ac:dyDescent="0.2">
      <c r="F76" s="4"/>
      <c r="G76" s="15"/>
      <c r="H76" s="15"/>
      <c r="I76" s="15"/>
      <c r="J76" s="16"/>
      <c r="K76" s="17"/>
      <c r="L76" s="17"/>
      <c r="M76" s="4"/>
      <c r="N76" s="4"/>
      <c r="O76" s="8"/>
    </row>
    <row r="77" spans="2:15" ht="18" customHeight="1" x14ac:dyDescent="0.2">
      <c r="B77" s="2">
        <v>15</v>
      </c>
      <c r="C77" s="1" t="s">
        <v>56</v>
      </c>
      <c r="D77" s="2">
        <v>27.2</v>
      </c>
      <c r="E77" s="2">
        <v>3.5</v>
      </c>
      <c r="F77" s="4">
        <f>D77*E77</f>
        <v>95.2</v>
      </c>
      <c r="G77" s="15">
        <v>1.65</v>
      </c>
      <c r="H77" s="15">
        <v>3</v>
      </c>
      <c r="I77" s="15">
        <v>2</v>
      </c>
      <c r="J77" s="16">
        <f>(G77*H77)*I77</f>
        <v>9.8999999999999986</v>
      </c>
      <c r="K77" s="17">
        <f t="shared" ref="K77:K79" si="30">((G77*2+H77))*I77</f>
        <v>12.6</v>
      </c>
      <c r="M77" s="4">
        <f>F77-SUM(J77:J79)</f>
        <v>29.650000000000006</v>
      </c>
      <c r="N77" s="4"/>
      <c r="O77" s="8">
        <f>M77+N77</f>
        <v>29.650000000000006</v>
      </c>
    </row>
    <row r="78" spans="2:15" ht="18" customHeight="1" x14ac:dyDescent="0.2">
      <c r="G78" s="15">
        <v>1.65</v>
      </c>
      <c r="H78" s="15">
        <v>2.1</v>
      </c>
      <c r="I78" s="15">
        <v>10</v>
      </c>
      <c r="J78" s="16">
        <f t="shared" ref="J78:J79" si="31">(G78*H78)*I78</f>
        <v>34.65</v>
      </c>
      <c r="K78" s="17">
        <f t="shared" si="30"/>
        <v>54</v>
      </c>
    </row>
    <row r="79" spans="2:15" ht="18" customHeight="1" x14ac:dyDescent="0.2">
      <c r="G79" s="15">
        <v>2.1</v>
      </c>
      <c r="H79" s="15">
        <v>2.5</v>
      </c>
      <c r="I79" s="15">
        <v>4</v>
      </c>
      <c r="J79" s="16">
        <f t="shared" si="31"/>
        <v>21</v>
      </c>
      <c r="K79" s="17">
        <f t="shared" si="30"/>
        <v>26.8</v>
      </c>
    </row>
    <row r="80" spans="2:15" ht="18" customHeight="1" x14ac:dyDescent="0.2">
      <c r="B80" s="2" t="s">
        <v>69</v>
      </c>
      <c r="C80" s="1" t="s">
        <v>70</v>
      </c>
      <c r="D80" s="2">
        <v>3.55</v>
      </c>
      <c r="E80" s="2">
        <v>11</v>
      </c>
      <c r="F80" s="4">
        <f>D80*E80</f>
        <v>39.049999999999997</v>
      </c>
      <c r="G80" s="15"/>
      <c r="H80" s="15"/>
      <c r="I80" s="15"/>
      <c r="J80" s="16"/>
      <c r="K80" s="17"/>
      <c r="L80" s="17"/>
      <c r="M80" s="4">
        <f>F80</f>
        <v>39.049999999999997</v>
      </c>
      <c r="N80" s="4"/>
      <c r="O80" s="8">
        <f>M80+N80</f>
        <v>39.049999999999997</v>
      </c>
    </row>
    <row r="81" spans="3:15" ht="18" customHeight="1" x14ac:dyDescent="0.2">
      <c r="G81" s="15"/>
      <c r="H81" s="15"/>
      <c r="I81" s="15"/>
      <c r="J81" s="16"/>
      <c r="K81" s="17"/>
    </row>
    <row r="82" spans="3:15" ht="18" customHeight="1" x14ac:dyDescent="0.2">
      <c r="C82" s="3" t="s">
        <v>36</v>
      </c>
      <c r="D82" s="9"/>
      <c r="E82" s="9"/>
      <c r="F82" s="19">
        <f>SUM(F62:F80)</f>
        <v>1117.694</v>
      </c>
      <c r="H82" s="6"/>
      <c r="I82" s="20" t="s">
        <v>37</v>
      </c>
      <c r="J82" s="21"/>
      <c r="K82" s="9"/>
      <c r="L82" s="9"/>
      <c r="M82" s="25">
        <f>SUM(M62:M79)</f>
        <v>734.95899999999995</v>
      </c>
      <c r="N82" s="25">
        <f>SUM(N62:N79)</f>
        <v>0</v>
      </c>
      <c r="O82" s="19">
        <f>SUM(O62:O79)</f>
        <v>734.95899999999995</v>
      </c>
    </row>
    <row r="83" spans="3:15" ht="18" customHeight="1" x14ac:dyDescent="0.2"/>
    <row r="84" spans="3:15" ht="18" customHeight="1" x14ac:dyDescent="0.2"/>
    <row r="85" spans="3:15" ht="27.5" customHeight="1" x14ac:dyDescent="0.2">
      <c r="C85" s="27" t="s">
        <v>68</v>
      </c>
      <c r="D85" s="56"/>
      <c r="E85" s="56"/>
      <c r="F85" s="57">
        <f>F16+F46+F57+F82</f>
        <v>3456.8944999999999</v>
      </c>
      <c r="G85" s="10"/>
      <c r="H85" s="60"/>
      <c r="I85" s="58" t="s">
        <v>37</v>
      </c>
      <c r="J85" s="59"/>
      <c r="K85" s="56"/>
      <c r="L85" s="56"/>
      <c r="M85" s="29"/>
      <c r="N85" s="29"/>
      <c r="O85" s="57">
        <f>O16+O46+O57+O82</f>
        <v>2470.6969999999997</v>
      </c>
    </row>
    <row r="86" spans="3:15" ht="18" customHeight="1" x14ac:dyDescent="0.2"/>
    <row r="87" spans="3:15" ht="18" customHeight="1" x14ac:dyDescent="0.2">
      <c r="F87" s="2">
        <v>3798</v>
      </c>
      <c r="O87" s="2">
        <f>O85/F85</f>
        <v>0.71471576584127738</v>
      </c>
    </row>
    <row r="88" spans="3:15" ht="18" customHeight="1" x14ac:dyDescent="0.2"/>
    <row r="89" spans="3:15" ht="18" customHeight="1" x14ac:dyDescent="0.2"/>
    <row r="90" spans="3:15" ht="18" customHeight="1" x14ac:dyDescent="0.2"/>
    <row r="91" spans="3:15" ht="18" customHeight="1" x14ac:dyDescent="0.2"/>
    <row r="92" spans="3:15" ht="18" customHeight="1" x14ac:dyDescent="0.2"/>
  </sheetData>
  <mergeCells count="3">
    <mergeCell ref="A2:M2"/>
    <mergeCell ref="D3:F3"/>
    <mergeCell ref="G3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3B6C-CB4A-40A5-8FCB-45046BFC9A38}">
  <sheetPr>
    <tabColor rgb="FF447684"/>
  </sheetPr>
  <dimension ref="A1:L124"/>
  <sheetViews>
    <sheetView topLeftCell="A22" zoomScale="90" zoomScaleNormal="90" workbookViewId="0">
      <selection activeCell="G32" sqref="G32"/>
    </sheetView>
  </sheetViews>
  <sheetFormatPr baseColWidth="10" defaultColWidth="11.5" defaultRowHeight="14" x14ac:dyDescent="0.2"/>
  <cols>
    <col min="1" max="2" width="14.83203125" style="2" customWidth="1"/>
    <col min="3" max="3" width="40.83203125" style="1" customWidth="1"/>
    <col min="4" max="4" width="15.83203125" style="2" customWidth="1"/>
    <col min="5" max="5" width="12.83203125" style="1" customWidth="1"/>
    <col min="6" max="6" width="11.5" style="1"/>
    <col min="7" max="7" width="17.6640625" style="1" customWidth="1"/>
    <col min="8" max="8" width="11.5" style="1"/>
    <col min="9" max="9" width="18.6640625" style="1" customWidth="1"/>
    <col min="10" max="16384" width="11.5" style="1"/>
  </cols>
  <sheetData>
    <row r="1" spans="1:7" x14ac:dyDescent="0.2">
      <c r="A1" s="242">
        <v>45969</v>
      </c>
      <c r="B1" s="242"/>
    </row>
    <row r="2" spans="1:7" ht="25" customHeight="1" x14ac:dyDescent="0.2">
      <c r="A2" s="239" t="s">
        <v>71</v>
      </c>
      <c r="B2" s="239"/>
      <c r="C2" s="239"/>
      <c r="D2" s="12"/>
      <c r="E2" s="12"/>
      <c r="F2" s="61">
        <v>1.0985</v>
      </c>
      <c r="G2" s="61">
        <v>1.1000000000000001</v>
      </c>
    </row>
    <row r="3" spans="1:7" ht="20" customHeight="1" x14ac:dyDescent="0.2">
      <c r="A3" s="9"/>
      <c r="B3" s="9"/>
      <c r="C3" s="3"/>
      <c r="D3" s="9"/>
      <c r="E3" s="9"/>
      <c r="F3" s="7">
        <f>E43</f>
        <v>0.60139174999949319</v>
      </c>
      <c r="G3" s="7">
        <f>F43</f>
        <v>0</v>
      </c>
    </row>
    <row r="4" spans="1:7" ht="35" customHeight="1" x14ac:dyDescent="0.2">
      <c r="A4" s="9" t="s">
        <v>49</v>
      </c>
      <c r="B4" s="9" t="s">
        <v>50</v>
      </c>
      <c r="C4" s="9" t="s">
        <v>28</v>
      </c>
      <c r="D4" s="13" t="s">
        <v>35</v>
      </c>
      <c r="E4" s="13" t="s">
        <v>102</v>
      </c>
      <c r="F4" s="7"/>
    </row>
    <row r="5" spans="1:7" ht="18" customHeight="1" x14ac:dyDescent="0.2">
      <c r="A5" s="9"/>
      <c r="B5" s="62"/>
      <c r="C5" s="63" t="s">
        <v>65</v>
      </c>
      <c r="D5" s="64"/>
      <c r="E5" s="64"/>
      <c r="F5" s="7"/>
    </row>
    <row r="6" spans="1:7" ht="20" customHeight="1" x14ac:dyDescent="0.2">
      <c r="A6" s="14" t="s">
        <v>72</v>
      </c>
      <c r="B6" s="14">
        <v>1</v>
      </c>
      <c r="C6" s="1" t="s">
        <v>79</v>
      </c>
      <c r="D6" s="4">
        <f>SUM(CO!F6:F8)</f>
        <v>106.9</v>
      </c>
      <c r="E6" s="4">
        <f>D6*$F$2</f>
        <v>117.42965000000001</v>
      </c>
    </row>
    <row r="7" spans="1:7" ht="20" customHeight="1" x14ac:dyDescent="0.2">
      <c r="B7" s="14">
        <v>2</v>
      </c>
      <c r="C7" s="1" t="s">
        <v>79</v>
      </c>
      <c r="D7" s="4">
        <f>SUM(CO!F9:F10)</f>
        <v>40.35</v>
      </c>
      <c r="E7" s="4">
        <f>D7*$F$2</f>
        <v>44.324475</v>
      </c>
    </row>
    <row r="8" spans="1:7" ht="20" customHeight="1" x14ac:dyDescent="0.2">
      <c r="B8" s="14">
        <v>3</v>
      </c>
      <c r="C8" s="1" t="s">
        <v>57</v>
      </c>
      <c r="D8" s="4">
        <f>SUM(CO!F11:F12)</f>
        <v>64.410000000000011</v>
      </c>
      <c r="E8" s="4">
        <f>D8*$F$2</f>
        <v>70.754385000000013</v>
      </c>
    </row>
    <row r="9" spans="1:7" ht="20" customHeight="1" x14ac:dyDescent="0.2">
      <c r="B9" s="14">
        <v>4</v>
      </c>
      <c r="C9" s="1" t="s">
        <v>80</v>
      </c>
      <c r="D9" s="4">
        <f>CO!F13</f>
        <v>183.09800000000001</v>
      </c>
      <c r="E9" s="4">
        <f>D9*$F$2</f>
        <v>201.13315300000002</v>
      </c>
    </row>
    <row r="10" spans="1:7" ht="20" customHeight="1" x14ac:dyDescent="0.2">
      <c r="A10" s="14"/>
      <c r="B10" s="65"/>
      <c r="D10" s="4"/>
      <c r="E10" s="4"/>
    </row>
    <row r="11" spans="1:7" ht="20" customHeight="1" x14ac:dyDescent="0.2">
      <c r="A11" s="14"/>
      <c r="C11" s="66" t="s">
        <v>36</v>
      </c>
      <c r="D11" s="19">
        <f>SUM(D6:D10)</f>
        <v>394.75800000000004</v>
      </c>
      <c r="E11" s="19">
        <f>SUM(E6:E10)</f>
        <v>433.64166300000005</v>
      </c>
    </row>
    <row r="12" spans="1:7" ht="20" customHeight="1" x14ac:dyDescent="0.2">
      <c r="A12" s="14"/>
      <c r="C12" s="2"/>
      <c r="E12" s="2"/>
    </row>
    <row r="13" spans="1:7" ht="20" customHeight="1" x14ac:dyDescent="0.2">
      <c r="A13" s="14"/>
      <c r="D13" s="4"/>
      <c r="E13" s="2"/>
    </row>
    <row r="14" spans="1:7" ht="20" customHeight="1" x14ac:dyDescent="0.2">
      <c r="A14" s="14" t="s">
        <v>59</v>
      </c>
      <c r="B14" s="26"/>
      <c r="C14" s="27" t="s">
        <v>54</v>
      </c>
      <c r="D14" s="28"/>
      <c r="E14" s="28"/>
    </row>
    <row r="15" spans="1:7" ht="20" customHeight="1" x14ac:dyDescent="0.2">
      <c r="A15" s="14"/>
      <c r="B15" s="14">
        <v>5</v>
      </c>
      <c r="C15" s="1" t="s">
        <v>56</v>
      </c>
      <c r="D15" s="4">
        <f>CO!F21</f>
        <v>570.78</v>
      </c>
      <c r="E15" s="4">
        <f t="shared" ref="E15:E20" si="0">D15*$F$2</f>
        <v>627.00183000000004</v>
      </c>
    </row>
    <row r="16" spans="1:7" ht="20" customHeight="1" x14ac:dyDescent="0.2">
      <c r="A16" s="14"/>
      <c r="B16" s="14"/>
      <c r="C16" s="1" t="s">
        <v>66</v>
      </c>
      <c r="D16" s="4">
        <f>CO!F28</f>
        <v>376</v>
      </c>
      <c r="E16" s="4">
        <f t="shared" si="0"/>
        <v>413.036</v>
      </c>
    </row>
    <row r="17" spans="1:5" ht="20" customHeight="1" x14ac:dyDescent="0.2">
      <c r="A17" s="14"/>
      <c r="B17" s="14">
        <v>6</v>
      </c>
      <c r="C17" s="1" t="s">
        <v>81</v>
      </c>
      <c r="D17" s="4">
        <f>CO!F30</f>
        <v>25.8</v>
      </c>
      <c r="E17" s="4">
        <f t="shared" si="0"/>
        <v>28.3413</v>
      </c>
    </row>
    <row r="18" spans="1:5" ht="20" customHeight="1" x14ac:dyDescent="0.2">
      <c r="A18" s="14"/>
      <c r="B18" s="14">
        <v>7</v>
      </c>
      <c r="C18" s="1" t="s">
        <v>56</v>
      </c>
      <c r="D18" s="4">
        <f>CO!F31</f>
        <v>189</v>
      </c>
      <c r="E18" s="4">
        <f t="shared" si="0"/>
        <v>207.6165</v>
      </c>
    </row>
    <row r="19" spans="1:5" ht="20" customHeight="1" x14ac:dyDescent="0.2">
      <c r="A19" s="14"/>
      <c r="B19" s="14">
        <v>8</v>
      </c>
      <c r="C19" s="1" t="s">
        <v>82</v>
      </c>
      <c r="D19" s="4">
        <f>CO!F37</f>
        <v>25.8</v>
      </c>
      <c r="E19" s="4">
        <f t="shared" si="0"/>
        <v>28.3413</v>
      </c>
    </row>
    <row r="20" spans="1:5" ht="20" customHeight="1" x14ac:dyDescent="0.2">
      <c r="A20" s="14"/>
      <c r="B20" s="14">
        <v>9</v>
      </c>
      <c r="C20" s="1" t="s">
        <v>56</v>
      </c>
      <c r="D20" s="4">
        <f>CO!F39</f>
        <v>211.24999999999997</v>
      </c>
      <c r="E20" s="4">
        <f t="shared" si="0"/>
        <v>232.05812499999996</v>
      </c>
    </row>
    <row r="21" spans="1:5" ht="20" customHeight="1" x14ac:dyDescent="0.2">
      <c r="A21" s="14"/>
      <c r="B21" s="14"/>
      <c r="D21" s="4"/>
      <c r="E21" s="4"/>
    </row>
    <row r="22" spans="1:5" ht="20" customHeight="1" x14ac:dyDescent="0.2">
      <c r="C22" s="27" t="s">
        <v>36</v>
      </c>
      <c r="D22" s="57">
        <f>SUM(D15:D20)</f>
        <v>1398.6299999999999</v>
      </c>
      <c r="E22" s="57">
        <f>SUM(E15:E20)</f>
        <v>1536.3950550000002</v>
      </c>
    </row>
    <row r="23" spans="1:5" ht="20" customHeight="1" x14ac:dyDescent="0.2">
      <c r="A23" s="14"/>
      <c r="C23" s="2"/>
      <c r="E23" s="4"/>
    </row>
    <row r="24" spans="1:5" ht="20" customHeight="1" x14ac:dyDescent="0.2">
      <c r="C24" s="2"/>
      <c r="E24" s="4"/>
    </row>
    <row r="25" spans="1:5" ht="20" customHeight="1" x14ac:dyDescent="0.2">
      <c r="A25" s="2" t="s">
        <v>72</v>
      </c>
      <c r="B25" s="62"/>
      <c r="C25" s="63" t="s">
        <v>73</v>
      </c>
      <c r="D25" s="64"/>
      <c r="E25" s="64"/>
    </row>
    <row r="26" spans="1:5" ht="20" customHeight="1" x14ac:dyDescent="0.2">
      <c r="B26" s="14">
        <v>10</v>
      </c>
      <c r="C26" s="1" t="s">
        <v>56</v>
      </c>
      <c r="D26" s="4">
        <f>CO!F51</f>
        <v>545.8125</v>
      </c>
      <c r="E26" s="4">
        <f>D26*$F$2</f>
        <v>599.57503125000005</v>
      </c>
    </row>
    <row r="27" spans="1:5" ht="20" customHeight="1" x14ac:dyDescent="0.2">
      <c r="B27" s="14"/>
      <c r="D27" s="4"/>
      <c r="E27" s="4"/>
    </row>
    <row r="28" spans="1:5" ht="20" customHeight="1" x14ac:dyDescent="0.2">
      <c r="C28" s="3" t="s">
        <v>36</v>
      </c>
      <c r="D28" s="19">
        <f>SUM(D26:D26)</f>
        <v>545.8125</v>
      </c>
      <c r="E28" s="19">
        <f>SUM(E26:E26)</f>
        <v>599.57503125000005</v>
      </c>
    </row>
    <row r="29" spans="1:5" ht="20" customHeight="1" x14ac:dyDescent="0.2">
      <c r="C29" s="2"/>
      <c r="E29" s="4"/>
    </row>
    <row r="30" spans="1:5" ht="20" customHeight="1" x14ac:dyDescent="0.2">
      <c r="D30" s="8"/>
      <c r="E30" s="4"/>
    </row>
    <row r="31" spans="1:5" ht="20" customHeight="1" x14ac:dyDescent="0.2">
      <c r="A31" s="2" t="s">
        <v>84</v>
      </c>
      <c r="B31" s="26"/>
      <c r="C31" s="27" t="s">
        <v>67</v>
      </c>
      <c r="D31" s="28"/>
      <c r="E31" s="28"/>
    </row>
    <row r="32" spans="1:5" ht="20" customHeight="1" x14ac:dyDescent="0.2">
      <c r="B32" s="14">
        <v>11</v>
      </c>
      <c r="C32" s="1" t="s">
        <v>56</v>
      </c>
      <c r="D32" s="4">
        <f>CO!F62</f>
        <v>231.2</v>
      </c>
      <c r="E32" s="4">
        <f t="shared" ref="E32:E39" si="1">D32*$F$2</f>
        <v>253.97319999999999</v>
      </c>
    </row>
    <row r="33" spans="1:6" ht="20" customHeight="1" x14ac:dyDescent="0.2">
      <c r="A33" s="14"/>
      <c r="B33" s="14">
        <v>12</v>
      </c>
      <c r="C33" s="1" t="s">
        <v>57</v>
      </c>
      <c r="D33" s="4">
        <f>CO!F66</f>
        <v>51.599999999999994</v>
      </c>
      <c r="E33" s="4">
        <f t="shared" si="1"/>
        <v>56.682599999999994</v>
      </c>
    </row>
    <row r="34" spans="1:6" ht="20" customHeight="1" x14ac:dyDescent="0.2">
      <c r="B34" s="14">
        <v>13</v>
      </c>
      <c r="C34" s="1" t="s">
        <v>56</v>
      </c>
      <c r="D34" s="4">
        <f>CO!F67</f>
        <v>476</v>
      </c>
      <c r="E34" s="4">
        <f t="shared" si="1"/>
        <v>522.88599999999997</v>
      </c>
    </row>
    <row r="35" spans="1:6" ht="20" customHeight="1" x14ac:dyDescent="0.2">
      <c r="B35" s="14">
        <v>14</v>
      </c>
      <c r="C35" s="1" t="s">
        <v>57</v>
      </c>
      <c r="D35" s="4">
        <f>CO!F70</f>
        <v>32.25</v>
      </c>
      <c r="E35" s="4">
        <f t="shared" si="1"/>
        <v>35.426625000000001</v>
      </c>
    </row>
    <row r="36" spans="1:6" ht="20" customHeight="1" x14ac:dyDescent="0.2">
      <c r="B36" s="14">
        <v>15</v>
      </c>
      <c r="C36" s="1" t="s">
        <v>56</v>
      </c>
      <c r="D36" s="4">
        <f>CO!F72</f>
        <v>177.34399999999999</v>
      </c>
      <c r="E36" s="4">
        <f t="shared" si="1"/>
        <v>194.81238400000001</v>
      </c>
    </row>
    <row r="37" spans="1:6" ht="20" customHeight="1" x14ac:dyDescent="0.2">
      <c r="B37" s="14">
        <v>16</v>
      </c>
      <c r="C37" s="1" t="s">
        <v>57</v>
      </c>
      <c r="D37" s="4">
        <f>CO!F75</f>
        <v>15.049999999999999</v>
      </c>
      <c r="E37" s="4">
        <f t="shared" si="1"/>
        <v>16.532425</v>
      </c>
    </row>
    <row r="38" spans="1:6" ht="20" customHeight="1" x14ac:dyDescent="0.2">
      <c r="B38" s="14">
        <v>17</v>
      </c>
      <c r="C38" s="1" t="s">
        <v>56</v>
      </c>
      <c r="D38" s="4">
        <f>CO!F77</f>
        <v>95.2</v>
      </c>
      <c r="E38" s="4">
        <f t="shared" si="1"/>
        <v>104.5772</v>
      </c>
    </row>
    <row r="39" spans="1:6" ht="20" customHeight="1" x14ac:dyDescent="0.2">
      <c r="B39" s="14" t="s">
        <v>69</v>
      </c>
      <c r="C39" s="1" t="s">
        <v>85</v>
      </c>
      <c r="D39" s="4">
        <f>CO!F80</f>
        <v>39.049999999999997</v>
      </c>
      <c r="E39" s="4">
        <f t="shared" si="1"/>
        <v>42.896425000000001</v>
      </c>
    </row>
    <row r="40" spans="1:6" ht="20" customHeight="1" x14ac:dyDescent="0.2">
      <c r="B40" s="14"/>
      <c r="D40" s="4"/>
      <c r="E40" s="4"/>
    </row>
    <row r="41" spans="1:6" ht="20" customHeight="1" x14ac:dyDescent="0.2">
      <c r="C41" s="27" t="s">
        <v>36</v>
      </c>
      <c r="D41" s="57">
        <f>SUM(D32:D40)</f>
        <v>1117.694</v>
      </c>
      <c r="E41" s="57">
        <f>SUM(E32:E40)</f>
        <v>1227.786859</v>
      </c>
    </row>
    <row r="42" spans="1:6" ht="20" customHeight="1" x14ac:dyDescent="0.2">
      <c r="A42" s="14" t="s">
        <v>72</v>
      </c>
      <c r="D42" s="4">
        <f>D11+D22+D28+D41</f>
        <v>3456.8944999999999</v>
      </c>
      <c r="E42" s="4">
        <f>E11+E22+E28+E41</f>
        <v>3797.3986082500005</v>
      </c>
    </row>
    <row r="43" spans="1:6" ht="20" customHeight="1" x14ac:dyDescent="0.2">
      <c r="D43" s="4">
        <f>3770-D42</f>
        <v>313.10550000000012</v>
      </c>
      <c r="E43" s="4">
        <f>3798-E42</f>
        <v>0.60139174999949319</v>
      </c>
    </row>
    <row r="44" spans="1:6" ht="20" customHeight="1" x14ac:dyDescent="0.2">
      <c r="D44" s="4"/>
      <c r="E44" s="4"/>
    </row>
    <row r="45" spans="1:6" ht="20" customHeight="1" x14ac:dyDescent="0.2">
      <c r="B45" s="67"/>
      <c r="C45" s="68"/>
      <c r="D45" s="19">
        <f>D11+D22+D28+D41</f>
        <v>3456.8944999999999</v>
      </c>
      <c r="E45" s="19">
        <f>E11+E22+E28+E41</f>
        <v>3797.3986082500005</v>
      </c>
      <c r="F45" s="1">
        <v>3798</v>
      </c>
    </row>
    <row r="46" spans="1:6" ht="20" customHeight="1" x14ac:dyDescent="0.2">
      <c r="D46" s="4"/>
      <c r="E46" s="4"/>
    </row>
    <row r="47" spans="1:6" ht="20" customHeight="1" x14ac:dyDescent="0.2">
      <c r="D47" s="4"/>
      <c r="E47" s="4"/>
    </row>
    <row r="48" spans="1:6" ht="20" customHeight="1" x14ac:dyDescent="0.2">
      <c r="A48" s="14" t="s">
        <v>74</v>
      </c>
      <c r="B48" s="2">
        <v>9</v>
      </c>
      <c r="C48" s="1" t="s">
        <v>75</v>
      </c>
      <c r="D48" s="4">
        <v>21.44</v>
      </c>
      <c r="E48" s="76"/>
      <c r="F48" s="75"/>
    </row>
    <row r="49" spans="2:8" ht="20" customHeight="1" x14ac:dyDescent="0.2">
      <c r="C49" s="1" t="s">
        <v>76</v>
      </c>
      <c r="D49" s="4">
        <v>58.95</v>
      </c>
      <c r="E49" s="76"/>
      <c r="H49" s="75"/>
    </row>
    <row r="50" spans="2:8" ht="20" customHeight="1" x14ac:dyDescent="0.2">
      <c r="C50" s="1" t="s">
        <v>77</v>
      </c>
      <c r="D50" s="4">
        <v>26.8</v>
      </c>
      <c r="E50" s="76"/>
    </row>
    <row r="51" spans="2:8" ht="20" customHeight="1" x14ac:dyDescent="0.2">
      <c r="B51" s="2">
        <v>8</v>
      </c>
      <c r="C51" s="1" t="s">
        <v>75</v>
      </c>
      <c r="D51" s="4">
        <f>$D$48</f>
        <v>21.44</v>
      </c>
      <c r="E51" s="76"/>
    </row>
    <row r="52" spans="2:8" ht="20" customHeight="1" x14ac:dyDescent="0.2">
      <c r="C52" s="1" t="s">
        <v>76</v>
      </c>
      <c r="D52" s="4">
        <f>$D$49</f>
        <v>58.95</v>
      </c>
      <c r="E52" s="2"/>
    </row>
    <row r="53" spans="2:8" ht="20" customHeight="1" x14ac:dyDescent="0.2">
      <c r="C53" s="1" t="s">
        <v>77</v>
      </c>
      <c r="D53" s="4">
        <f>$D$50</f>
        <v>26.8</v>
      </c>
      <c r="E53" s="2"/>
    </row>
    <row r="54" spans="2:8" ht="20" customHeight="1" x14ac:dyDescent="0.2">
      <c r="B54" s="2">
        <v>7</v>
      </c>
      <c r="C54" s="1" t="s">
        <v>75</v>
      </c>
      <c r="D54" s="4">
        <f>$D$48</f>
        <v>21.44</v>
      </c>
      <c r="E54" s="2"/>
    </row>
    <row r="55" spans="2:8" ht="20" customHeight="1" x14ac:dyDescent="0.2">
      <c r="C55" s="1" t="s">
        <v>76</v>
      </c>
      <c r="D55" s="4">
        <f>$D$49</f>
        <v>58.95</v>
      </c>
      <c r="E55" s="2"/>
    </row>
    <row r="56" spans="2:8" ht="20" customHeight="1" x14ac:dyDescent="0.2">
      <c r="C56" s="1" t="s">
        <v>77</v>
      </c>
      <c r="D56" s="4">
        <f>$D$50</f>
        <v>26.8</v>
      </c>
      <c r="E56" s="2"/>
    </row>
    <row r="57" spans="2:8" ht="20" customHeight="1" x14ac:dyDescent="0.2">
      <c r="B57" s="2">
        <v>6</v>
      </c>
      <c r="C57" s="1" t="s">
        <v>75</v>
      </c>
      <c r="D57" s="4">
        <f>$D$48</f>
        <v>21.44</v>
      </c>
      <c r="E57" s="2"/>
    </row>
    <row r="58" spans="2:8" ht="20" customHeight="1" x14ac:dyDescent="0.2">
      <c r="C58" s="1" t="s">
        <v>76</v>
      </c>
      <c r="D58" s="4">
        <f>$D$49</f>
        <v>58.95</v>
      </c>
      <c r="E58" s="2"/>
    </row>
    <row r="59" spans="2:8" ht="20" customHeight="1" x14ac:dyDescent="0.2">
      <c r="C59" s="1" t="s">
        <v>77</v>
      </c>
      <c r="D59" s="4">
        <f>$D$50</f>
        <v>26.8</v>
      </c>
      <c r="E59" s="2"/>
    </row>
    <row r="60" spans="2:8" ht="20" customHeight="1" x14ac:dyDescent="0.2">
      <c r="B60" s="2">
        <v>5</v>
      </c>
      <c r="C60" s="1" t="s">
        <v>75</v>
      </c>
      <c r="D60" s="4">
        <f>$D$48</f>
        <v>21.44</v>
      </c>
      <c r="E60" s="2"/>
    </row>
    <row r="61" spans="2:8" ht="20" customHeight="1" x14ac:dyDescent="0.2">
      <c r="C61" s="1" t="s">
        <v>76</v>
      </c>
      <c r="D61" s="4">
        <f>$D$49</f>
        <v>58.95</v>
      </c>
      <c r="E61" s="2"/>
    </row>
    <row r="62" spans="2:8" ht="20" customHeight="1" x14ac:dyDescent="0.2">
      <c r="C62" s="1" t="s">
        <v>77</v>
      </c>
      <c r="D62" s="4">
        <f>$D$50</f>
        <v>26.8</v>
      </c>
      <c r="E62" s="2"/>
    </row>
    <row r="63" spans="2:8" ht="20" customHeight="1" x14ac:dyDescent="0.2">
      <c r="B63" s="2">
        <v>4</v>
      </c>
      <c r="C63" s="1" t="s">
        <v>75</v>
      </c>
      <c r="D63" s="4">
        <f>$D$48</f>
        <v>21.44</v>
      </c>
      <c r="E63" s="2"/>
    </row>
    <row r="64" spans="2:8" ht="20" customHeight="1" x14ac:dyDescent="0.2">
      <c r="C64" s="1" t="s">
        <v>76</v>
      </c>
      <c r="D64" s="4">
        <f>$D$49</f>
        <v>58.95</v>
      </c>
      <c r="E64" s="2"/>
    </row>
    <row r="65" spans="2:5" ht="20" customHeight="1" x14ac:dyDescent="0.2">
      <c r="C65" s="1" t="s">
        <v>77</v>
      </c>
      <c r="D65" s="4">
        <f>$D$50</f>
        <v>26.8</v>
      </c>
      <c r="E65" s="2"/>
    </row>
    <row r="66" spans="2:5" ht="20" customHeight="1" x14ac:dyDescent="0.2">
      <c r="B66" s="2">
        <v>3</v>
      </c>
      <c r="C66" s="1" t="s">
        <v>75</v>
      </c>
      <c r="D66" s="4">
        <f>$D$48</f>
        <v>21.44</v>
      </c>
      <c r="E66" s="2"/>
    </row>
    <row r="67" spans="2:5" ht="20" customHeight="1" x14ac:dyDescent="0.2">
      <c r="C67" s="1" t="s">
        <v>76</v>
      </c>
      <c r="D67" s="4">
        <f>$D$49</f>
        <v>58.95</v>
      </c>
      <c r="E67" s="2"/>
    </row>
    <row r="68" spans="2:5" ht="20" customHeight="1" x14ac:dyDescent="0.2">
      <c r="C68" s="1" t="s">
        <v>77</v>
      </c>
      <c r="D68" s="4">
        <f>$D$50</f>
        <v>26.8</v>
      </c>
      <c r="E68" s="2"/>
    </row>
    <row r="69" spans="2:5" ht="20" customHeight="1" x14ac:dyDescent="0.2">
      <c r="B69" s="2">
        <v>2</v>
      </c>
      <c r="C69" s="1" t="s">
        <v>75</v>
      </c>
      <c r="D69" s="4">
        <f>$D$48</f>
        <v>21.44</v>
      </c>
      <c r="E69" s="2"/>
    </row>
    <row r="70" spans="2:5" ht="20" customHeight="1" x14ac:dyDescent="0.2">
      <c r="C70" s="1" t="s">
        <v>76</v>
      </c>
      <c r="D70" s="4">
        <f>$D$49</f>
        <v>58.95</v>
      </c>
      <c r="E70" s="2"/>
    </row>
    <row r="71" spans="2:5" ht="20" customHeight="1" x14ac:dyDescent="0.2">
      <c r="C71" s="1" t="s">
        <v>77</v>
      </c>
      <c r="D71" s="4">
        <f>$D$50</f>
        <v>26.8</v>
      </c>
      <c r="E71" s="2"/>
    </row>
    <row r="72" spans="2:5" ht="18" customHeight="1" x14ac:dyDescent="0.2">
      <c r="B72" s="2">
        <v>1</v>
      </c>
      <c r="C72" s="1" t="s">
        <v>75</v>
      </c>
      <c r="D72" s="4">
        <f>$D$48</f>
        <v>21.44</v>
      </c>
      <c r="E72" s="2"/>
    </row>
    <row r="73" spans="2:5" ht="18" customHeight="1" x14ac:dyDescent="0.2">
      <c r="C73" s="1" t="s">
        <v>76</v>
      </c>
      <c r="D73" s="4">
        <f>$D$49</f>
        <v>58.95</v>
      </c>
      <c r="E73" s="2"/>
    </row>
    <row r="74" spans="2:5" ht="18" customHeight="1" x14ac:dyDescent="0.2">
      <c r="C74" s="1" t="s">
        <v>77</v>
      </c>
      <c r="D74" s="4">
        <f>$D$50</f>
        <v>26.8</v>
      </c>
      <c r="E74" s="2"/>
    </row>
    <row r="75" spans="2:5" ht="18" customHeight="1" x14ac:dyDescent="0.2">
      <c r="B75" s="2" t="s">
        <v>103</v>
      </c>
      <c r="C75" s="1" t="s">
        <v>75</v>
      </c>
      <c r="D75" s="4">
        <f>$D$48</f>
        <v>21.44</v>
      </c>
      <c r="E75" s="2"/>
    </row>
    <row r="76" spans="2:5" ht="18" customHeight="1" x14ac:dyDescent="0.2">
      <c r="C76" s="1" t="s">
        <v>76</v>
      </c>
      <c r="D76" s="4">
        <f>$D$49</f>
        <v>58.95</v>
      </c>
      <c r="E76" s="2"/>
    </row>
    <row r="77" spans="2:5" ht="18" customHeight="1" x14ac:dyDescent="0.2">
      <c r="C77" s="1" t="s">
        <v>77</v>
      </c>
      <c r="D77" s="4">
        <f>$D$50</f>
        <v>26.8</v>
      </c>
      <c r="E77" s="2"/>
    </row>
    <row r="78" spans="2:5" ht="18" customHeight="1" x14ac:dyDescent="0.2">
      <c r="B78" s="2" t="s">
        <v>104</v>
      </c>
      <c r="C78" s="1" t="s">
        <v>75</v>
      </c>
      <c r="D78" s="4">
        <f>$D$48</f>
        <v>21.44</v>
      </c>
      <c r="E78" s="2"/>
    </row>
    <row r="79" spans="2:5" ht="18" customHeight="1" x14ac:dyDescent="0.2">
      <c r="C79" s="1" t="s">
        <v>76</v>
      </c>
      <c r="D79" s="4">
        <f>$D$49</f>
        <v>58.95</v>
      </c>
      <c r="E79" s="2"/>
    </row>
    <row r="80" spans="2:5" ht="18" customHeight="1" x14ac:dyDescent="0.2">
      <c r="C80" s="1" t="s">
        <v>77</v>
      </c>
      <c r="D80" s="4">
        <f>$D$50</f>
        <v>26.8</v>
      </c>
      <c r="E80" s="2"/>
    </row>
    <row r="81" spans="3:5" ht="18" customHeight="1" x14ac:dyDescent="0.2">
      <c r="E81" s="2"/>
    </row>
    <row r="82" spans="3:5" ht="18" customHeight="1" x14ac:dyDescent="0.2">
      <c r="C82" s="27" t="s">
        <v>78</v>
      </c>
      <c r="D82" s="57">
        <f>SUM(D48:D80)</f>
        <v>1179.0900000000001</v>
      </c>
      <c r="E82" s="2"/>
    </row>
    <row r="83" spans="3:5" ht="18" customHeight="1" x14ac:dyDescent="0.2">
      <c r="E83" s="2"/>
    </row>
    <row r="84" spans="3:5" ht="18" customHeight="1" x14ac:dyDescent="0.2">
      <c r="E84" s="2"/>
    </row>
    <row r="85" spans="3:5" ht="18" customHeight="1" x14ac:dyDescent="0.2">
      <c r="E85" s="2"/>
    </row>
    <row r="86" spans="3:5" ht="18" customHeight="1" x14ac:dyDescent="0.2"/>
    <row r="87" spans="3:5" ht="18" customHeight="1" x14ac:dyDescent="0.2">
      <c r="E87" s="2"/>
    </row>
    <row r="88" spans="3:5" ht="18" customHeight="1" x14ac:dyDescent="0.2">
      <c r="E88" s="2"/>
    </row>
    <row r="89" spans="3:5" ht="18" customHeight="1" x14ac:dyDescent="0.2">
      <c r="E89" s="2"/>
    </row>
    <row r="90" spans="3:5" ht="18" customHeight="1" x14ac:dyDescent="0.2">
      <c r="E90" s="2"/>
    </row>
    <row r="91" spans="3:5" ht="18" customHeight="1" x14ac:dyDescent="0.2">
      <c r="E91" s="2"/>
    </row>
    <row r="92" spans="3:5" ht="18" customHeight="1" x14ac:dyDescent="0.2">
      <c r="E92" s="2"/>
    </row>
    <row r="93" spans="3:5" ht="18" customHeight="1" x14ac:dyDescent="0.2">
      <c r="E93" s="2"/>
    </row>
    <row r="94" spans="3:5" ht="18" customHeight="1" x14ac:dyDescent="0.2">
      <c r="E94" s="2"/>
    </row>
    <row r="95" spans="3:5" ht="18" customHeight="1" x14ac:dyDescent="0.2">
      <c r="E95" s="2"/>
    </row>
    <row r="96" spans="3:5" ht="18" customHeight="1" x14ac:dyDescent="0.2">
      <c r="E96" s="2"/>
    </row>
    <row r="97" spans="3:12" ht="18" customHeight="1" x14ac:dyDescent="0.2">
      <c r="E97" s="2"/>
    </row>
    <row r="98" spans="3:12" ht="18" customHeight="1" x14ac:dyDescent="0.2">
      <c r="E98" s="2"/>
    </row>
    <row r="99" spans="3:12" ht="18" customHeight="1" x14ac:dyDescent="0.2">
      <c r="E99" s="2"/>
    </row>
    <row r="100" spans="3:12" ht="18" customHeight="1" x14ac:dyDescent="0.2">
      <c r="E100" s="2"/>
    </row>
    <row r="101" spans="3:12" ht="18" customHeight="1" x14ac:dyDescent="0.2">
      <c r="E101" s="2"/>
    </row>
    <row r="102" spans="3:12" ht="18" customHeight="1" x14ac:dyDescent="0.2"/>
    <row r="103" spans="3:12" ht="18" customHeight="1" x14ac:dyDescent="0.2"/>
    <row r="104" spans="3:12" ht="18" customHeight="1" x14ac:dyDescent="0.2"/>
    <row r="105" spans="3:12" ht="18" customHeight="1" x14ac:dyDescent="0.2"/>
    <row r="106" spans="3:12" ht="18" customHeight="1" x14ac:dyDescent="0.2"/>
    <row r="107" spans="3:12" ht="20" customHeight="1" x14ac:dyDescent="0.2"/>
    <row r="108" spans="3:12" s="2" customFormat="1" ht="20" customHeight="1" x14ac:dyDescent="0.2">
      <c r="C108" s="1"/>
      <c r="E108" s="1"/>
      <c r="F108" s="1"/>
      <c r="G108" s="1"/>
      <c r="H108" s="1"/>
      <c r="I108" s="1"/>
      <c r="J108" s="1"/>
      <c r="K108" s="1"/>
      <c r="L108" s="1"/>
    </row>
    <row r="109" spans="3:12" ht="20" customHeight="1" x14ac:dyDescent="0.2"/>
    <row r="110" spans="3:12" ht="20" customHeight="1" x14ac:dyDescent="0.2"/>
    <row r="111" spans="3:12" s="2" customFormat="1" ht="20" customHeight="1" x14ac:dyDescent="0.2">
      <c r="C111" s="1"/>
      <c r="E111" s="1"/>
      <c r="F111" s="1"/>
      <c r="G111" s="1"/>
      <c r="H111" s="1"/>
      <c r="I111" s="1"/>
      <c r="J111" s="1"/>
      <c r="K111" s="1"/>
      <c r="L111" s="1"/>
    </row>
    <row r="112" spans="3:12" s="2" customFormat="1" ht="20" customHeight="1" x14ac:dyDescent="0.2">
      <c r="C112" s="1"/>
      <c r="E112" s="1"/>
      <c r="F112" s="1"/>
      <c r="G112" s="1"/>
      <c r="H112" s="1"/>
      <c r="I112" s="1"/>
      <c r="J112" s="1"/>
      <c r="K112" s="1"/>
      <c r="L112" s="1"/>
    </row>
    <row r="113" spans="3:12" s="2" customFormat="1" ht="20" customHeight="1" x14ac:dyDescent="0.2">
      <c r="C113" s="1"/>
      <c r="E113" s="1"/>
      <c r="F113" s="1"/>
      <c r="G113" s="1"/>
      <c r="H113" s="1"/>
      <c r="I113" s="1"/>
      <c r="J113" s="1"/>
      <c r="K113" s="1"/>
      <c r="L113" s="1"/>
    </row>
    <row r="114" spans="3:12" s="2" customFormat="1" ht="20" customHeight="1" x14ac:dyDescent="0.2">
      <c r="C114" s="1"/>
      <c r="E114" s="1"/>
      <c r="F114" s="1"/>
      <c r="G114" s="1"/>
      <c r="H114" s="1"/>
      <c r="I114" s="1"/>
      <c r="J114" s="1"/>
      <c r="K114" s="1"/>
      <c r="L114" s="1"/>
    </row>
    <row r="115" spans="3:12" s="2" customFormat="1" ht="20" customHeight="1" x14ac:dyDescent="0.2">
      <c r="C115" s="1"/>
      <c r="E115" s="1"/>
      <c r="F115" s="1"/>
      <c r="G115" s="1"/>
      <c r="H115" s="1"/>
      <c r="I115" s="1"/>
      <c r="J115" s="1"/>
      <c r="K115" s="1"/>
      <c r="L115" s="1"/>
    </row>
    <row r="116" spans="3:12" s="2" customFormat="1" ht="20" customHeight="1" x14ac:dyDescent="0.2">
      <c r="C116" s="1"/>
      <c r="E116" s="1"/>
      <c r="F116" s="1"/>
      <c r="G116" s="1"/>
      <c r="H116" s="1"/>
      <c r="I116" s="1"/>
      <c r="J116" s="1"/>
      <c r="K116" s="1"/>
      <c r="L116" s="1"/>
    </row>
    <row r="117" spans="3:12" ht="20" customHeight="1" x14ac:dyDescent="0.2"/>
    <row r="118" spans="3:12" ht="20" customHeight="1" x14ac:dyDescent="0.2"/>
    <row r="119" spans="3:12" ht="20" customHeight="1" x14ac:dyDescent="0.2"/>
    <row r="120" spans="3:12" ht="20" customHeight="1" x14ac:dyDescent="0.2"/>
    <row r="121" spans="3:12" ht="20" customHeight="1" x14ac:dyDescent="0.2"/>
    <row r="122" spans="3:12" ht="20" customHeight="1" x14ac:dyDescent="0.2"/>
    <row r="123" spans="3:12" ht="20" customHeight="1" x14ac:dyDescent="0.2"/>
    <row r="124" spans="3:12" ht="20" customHeight="1" x14ac:dyDescent="0.2"/>
  </sheetData>
  <mergeCells count="2">
    <mergeCell ref="A1:B1"/>
    <mergeCell ref="A2:C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9FFC-983F-4E3A-91D3-4ACA19EED3B2}">
  <sheetPr>
    <tabColor rgb="FFA7C9D2"/>
  </sheetPr>
  <dimension ref="A6:AB57"/>
  <sheetViews>
    <sheetView view="pageBreakPreview" topLeftCell="A4" zoomScale="111" zoomScaleNormal="80" zoomScaleSheetLayoutView="70" workbookViewId="0">
      <pane xSplit="4" ySplit="6" topLeftCell="E10" activePane="bottomRight" state="frozen"/>
      <selection activeCell="A4" sqref="A4"/>
      <selection pane="topRight" activeCell="E4" sqref="E4"/>
      <selection pane="bottomLeft" activeCell="A10" sqref="A10"/>
      <selection pane="bottomRight" activeCell="W42" sqref="W42"/>
    </sheetView>
  </sheetViews>
  <sheetFormatPr baseColWidth="10" defaultColWidth="11.5" defaultRowHeight="14" x14ac:dyDescent="0.2"/>
  <cols>
    <col min="1" max="1" width="11.5" style="2"/>
    <col min="2" max="2" width="10.83203125" style="2" customWidth="1"/>
    <col min="3" max="3" width="38.5" style="1" customWidth="1"/>
    <col min="4" max="6" width="12.83203125" style="2" customWidth="1"/>
    <col min="7" max="24" width="12.83203125" style="1" customWidth="1"/>
    <col min="25" max="16384" width="11.5" style="1"/>
  </cols>
  <sheetData>
    <row r="6" spans="1:28" ht="41.5" customHeight="1" x14ac:dyDescent="0.2">
      <c r="A6" s="239" t="s">
        <v>64</v>
      </c>
      <c r="B6" s="239"/>
      <c r="C6" s="239"/>
      <c r="D6" s="239"/>
      <c r="E6" s="239"/>
      <c r="F6" s="239"/>
      <c r="G6" s="239"/>
      <c r="H6" s="239"/>
      <c r="I6" s="23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20" customHeight="1" x14ac:dyDescent="0.2">
      <c r="A7" s="9"/>
      <c r="B7" s="9"/>
      <c r="C7" s="3"/>
      <c r="D7" s="9"/>
      <c r="E7" s="243" t="s">
        <v>61</v>
      </c>
      <c r="F7" s="243"/>
      <c r="G7" s="243" t="s">
        <v>62</v>
      </c>
      <c r="H7" s="243"/>
      <c r="I7" s="243" t="s">
        <v>63</v>
      </c>
      <c r="J7" s="243"/>
      <c r="K7" s="243" t="s">
        <v>109</v>
      </c>
      <c r="L7" s="243"/>
      <c r="M7" s="243" t="s">
        <v>110</v>
      </c>
      <c r="N7" s="243"/>
      <c r="O7" s="243" t="s">
        <v>111</v>
      </c>
      <c r="P7" s="243"/>
      <c r="Q7" s="243" t="s">
        <v>112</v>
      </c>
      <c r="R7" s="243"/>
      <c r="S7" s="243" t="s">
        <v>207</v>
      </c>
      <c r="T7" s="243"/>
      <c r="U7" s="243" t="s">
        <v>214</v>
      </c>
      <c r="V7" s="243"/>
      <c r="W7" s="9"/>
      <c r="X7" s="9"/>
      <c r="Y7" s="82"/>
      <c r="Z7" s="82"/>
      <c r="AA7" s="82"/>
      <c r="AB7" s="82"/>
    </row>
    <row r="8" spans="1:28" ht="42" customHeight="1" x14ac:dyDescent="0.2">
      <c r="A8" s="9" t="s">
        <v>49</v>
      </c>
      <c r="B8" s="9" t="s">
        <v>50</v>
      </c>
      <c r="C8" s="9" t="s">
        <v>28</v>
      </c>
      <c r="D8" s="9" t="s">
        <v>2</v>
      </c>
      <c r="E8" s="244" t="s">
        <v>47</v>
      </c>
      <c r="F8" s="244"/>
      <c r="G8" s="244" t="s">
        <v>48</v>
      </c>
      <c r="H8" s="244"/>
      <c r="I8" s="244" t="s">
        <v>60</v>
      </c>
      <c r="J8" s="244"/>
      <c r="K8" s="244" t="s">
        <v>113</v>
      </c>
      <c r="L8" s="244"/>
      <c r="M8" s="244" t="s">
        <v>114</v>
      </c>
      <c r="N8" s="244"/>
      <c r="O8" s="244" t="s">
        <v>115</v>
      </c>
      <c r="P8" s="244"/>
      <c r="Q8" s="244" t="s">
        <v>116</v>
      </c>
      <c r="R8" s="244"/>
      <c r="S8" s="244" t="s">
        <v>208</v>
      </c>
      <c r="T8" s="244"/>
      <c r="U8" s="244" t="s">
        <v>208</v>
      </c>
      <c r="V8" s="244"/>
      <c r="W8" s="245" t="s">
        <v>51</v>
      </c>
      <c r="X8" s="245"/>
      <c r="Y8" s="245" t="s">
        <v>119</v>
      </c>
      <c r="Z8" s="245"/>
      <c r="AA8" s="245" t="s">
        <v>211</v>
      </c>
      <c r="AB8" s="245"/>
    </row>
    <row r="9" spans="1:28" ht="20" customHeight="1" x14ac:dyDescent="0.2">
      <c r="A9" s="37"/>
      <c r="B9" s="37"/>
      <c r="C9" s="37"/>
      <c r="D9" s="37"/>
      <c r="E9" s="38" t="s">
        <v>2</v>
      </c>
      <c r="F9" s="38" t="s">
        <v>52</v>
      </c>
      <c r="G9" s="38" t="s">
        <v>2</v>
      </c>
      <c r="H9" s="38" t="s">
        <v>52</v>
      </c>
      <c r="I9" s="38" t="s">
        <v>2</v>
      </c>
      <c r="J9" s="38" t="s">
        <v>52</v>
      </c>
      <c r="K9" s="38" t="s">
        <v>2</v>
      </c>
      <c r="L9" s="38" t="s">
        <v>52</v>
      </c>
      <c r="M9" s="38" t="s">
        <v>2</v>
      </c>
      <c r="N9" s="38" t="s">
        <v>52</v>
      </c>
      <c r="O9" s="38" t="s">
        <v>2</v>
      </c>
      <c r="P9" s="38" t="s">
        <v>52</v>
      </c>
      <c r="Q9" s="38" t="s">
        <v>2</v>
      </c>
      <c r="R9" s="38" t="s">
        <v>52</v>
      </c>
      <c r="S9" s="38" t="s">
        <v>2</v>
      </c>
      <c r="T9" s="38" t="s">
        <v>52</v>
      </c>
      <c r="U9" s="38" t="s">
        <v>2</v>
      </c>
      <c r="V9" s="38" t="s">
        <v>52</v>
      </c>
      <c r="W9" s="39" t="s">
        <v>2</v>
      </c>
      <c r="X9" s="39" t="s">
        <v>52</v>
      </c>
      <c r="Y9" s="38" t="s">
        <v>2</v>
      </c>
      <c r="Z9" s="38" t="s">
        <v>52</v>
      </c>
      <c r="AA9" s="38" t="s">
        <v>2</v>
      </c>
      <c r="AB9" s="38" t="s">
        <v>52</v>
      </c>
    </row>
    <row r="10" spans="1:28" ht="20" customHeight="1" x14ac:dyDescent="0.2">
      <c r="A10" s="14" t="s">
        <v>55</v>
      </c>
      <c r="B10" s="2">
        <v>1</v>
      </c>
      <c r="C10" s="1" t="s">
        <v>86</v>
      </c>
      <c r="D10" s="4">
        <f>'CO SIF'!E6</f>
        <v>117.42965000000001</v>
      </c>
      <c r="E10" s="4">
        <f>D10*F10</f>
        <v>58.714825000000005</v>
      </c>
      <c r="F10" s="40">
        <v>0.5</v>
      </c>
      <c r="G10" s="4">
        <f>D10*H10</f>
        <v>58.714825000000005</v>
      </c>
      <c r="H10" s="40">
        <v>0.5</v>
      </c>
      <c r="I10" s="4">
        <f>D10*J10</f>
        <v>0</v>
      </c>
      <c r="J10" s="40">
        <v>0</v>
      </c>
      <c r="K10" s="4">
        <f>D10*L10</f>
        <v>0</v>
      </c>
      <c r="L10" s="40">
        <v>0</v>
      </c>
      <c r="M10" s="4">
        <f>D10*N10</f>
        <v>0</v>
      </c>
      <c r="N10" s="40">
        <v>0</v>
      </c>
      <c r="O10" s="4">
        <f>D10*P10</f>
        <v>0</v>
      </c>
      <c r="P10" s="40">
        <v>0</v>
      </c>
      <c r="Q10" s="4">
        <f>D10*R10</f>
        <v>0</v>
      </c>
      <c r="R10" s="40">
        <v>0</v>
      </c>
      <c r="S10" s="4">
        <f>D10*T10</f>
        <v>0</v>
      </c>
      <c r="T10" s="40">
        <v>0</v>
      </c>
      <c r="U10" s="4">
        <f>F10*V10</f>
        <v>0</v>
      </c>
      <c r="V10" s="40">
        <v>0</v>
      </c>
      <c r="W10" s="41">
        <f>E10+G10+I10+K10+M10+O10+Q10</f>
        <v>117.42965000000001</v>
      </c>
      <c r="X10" s="42">
        <f>W10/D10</f>
        <v>1</v>
      </c>
      <c r="Y10" s="83">
        <f>E10+G10+I10+K10+M10+O10+Q10</f>
        <v>117.42965000000001</v>
      </c>
      <c r="Z10" s="84">
        <f>Y10/D10</f>
        <v>1</v>
      </c>
      <c r="AA10" s="83">
        <f>S10</f>
        <v>0</v>
      </c>
      <c r="AB10" s="84">
        <f>AA10/D10</f>
        <v>0</v>
      </c>
    </row>
    <row r="11" spans="1:28" ht="20" customHeight="1" x14ac:dyDescent="0.2">
      <c r="A11" s="14"/>
      <c r="B11" s="2">
        <v>4</v>
      </c>
      <c r="C11" s="1" t="s">
        <v>87</v>
      </c>
      <c r="D11" s="4">
        <f>'CO SIF'!E7</f>
        <v>44.324475</v>
      </c>
      <c r="E11" s="2">
        <v>0</v>
      </c>
      <c r="F11" s="40">
        <v>0</v>
      </c>
      <c r="G11" s="4">
        <f>D11*H11</f>
        <v>44.324475</v>
      </c>
      <c r="H11" s="40">
        <v>1</v>
      </c>
      <c r="I11" s="4">
        <f>D11*J11</f>
        <v>0</v>
      </c>
      <c r="J11" s="40">
        <v>0</v>
      </c>
      <c r="K11" s="4">
        <f>D11*L11</f>
        <v>0</v>
      </c>
      <c r="L11" s="40">
        <v>0</v>
      </c>
      <c r="M11" s="4">
        <f>D11*N11</f>
        <v>0</v>
      </c>
      <c r="N11" s="40">
        <v>0</v>
      </c>
      <c r="O11" s="4">
        <f>D11*P11</f>
        <v>0</v>
      </c>
      <c r="P11" s="40">
        <v>0</v>
      </c>
      <c r="Q11" s="4">
        <f>D11*R11</f>
        <v>0</v>
      </c>
      <c r="R11" s="40">
        <v>0</v>
      </c>
      <c r="S11" s="4">
        <f>D11*T11</f>
        <v>0</v>
      </c>
      <c r="T11" s="40">
        <v>0</v>
      </c>
      <c r="U11" s="4">
        <f>F11*V11</f>
        <v>0</v>
      </c>
      <c r="V11" s="40">
        <v>0</v>
      </c>
      <c r="W11" s="41">
        <f>E11+G11+I11+K11+M11+O11+Q11</f>
        <v>44.324475</v>
      </c>
      <c r="X11" s="42">
        <f>W11/D11</f>
        <v>1</v>
      </c>
      <c r="Y11" s="83">
        <f>E11+G11+I11+K11+M11+O11+Q11</f>
        <v>44.324475</v>
      </c>
      <c r="Z11" s="84">
        <f>Y11/D11</f>
        <v>1</v>
      </c>
      <c r="AA11" s="83">
        <f t="shared" ref="AA11:AA13" si="0">S11</f>
        <v>0</v>
      </c>
      <c r="AB11" s="84">
        <f>AA11/D11</f>
        <v>0</v>
      </c>
    </row>
    <row r="12" spans="1:28" ht="20" customHeight="1" x14ac:dyDescent="0.2">
      <c r="B12" s="2">
        <v>3</v>
      </c>
      <c r="C12" s="1" t="s">
        <v>88</v>
      </c>
      <c r="D12" s="4">
        <f>'CO SIF'!E8</f>
        <v>70.754385000000013</v>
      </c>
      <c r="E12" s="2">
        <v>0</v>
      </c>
      <c r="F12" s="40">
        <v>0</v>
      </c>
      <c r="G12" s="4">
        <f t="shared" ref="G12:G13" si="1">D12*H12</f>
        <v>70.754385000000013</v>
      </c>
      <c r="H12" s="40">
        <v>1</v>
      </c>
      <c r="I12" s="4">
        <f t="shared" ref="I12:I13" si="2">D12*J12</f>
        <v>0</v>
      </c>
      <c r="J12" s="40">
        <v>0</v>
      </c>
      <c r="K12" s="4">
        <f>D12*L12</f>
        <v>0</v>
      </c>
      <c r="L12" s="40">
        <v>0</v>
      </c>
      <c r="M12" s="4">
        <f>D12*N12</f>
        <v>0</v>
      </c>
      <c r="N12" s="40">
        <v>0</v>
      </c>
      <c r="O12" s="4">
        <f>D12*P12</f>
        <v>0</v>
      </c>
      <c r="P12" s="40">
        <v>0</v>
      </c>
      <c r="Q12" s="4">
        <f>D12*R12</f>
        <v>0</v>
      </c>
      <c r="R12" s="40">
        <v>0</v>
      </c>
      <c r="S12" s="4">
        <f>D12*T12</f>
        <v>0</v>
      </c>
      <c r="T12" s="40">
        <v>0</v>
      </c>
      <c r="U12" s="4">
        <f>F12*V12</f>
        <v>0</v>
      </c>
      <c r="V12" s="40">
        <v>0</v>
      </c>
      <c r="W12" s="41">
        <f>E12+G12+I12+K12+M12+O12+Q12</f>
        <v>70.754385000000013</v>
      </c>
      <c r="X12" s="42">
        <f>W12/D12</f>
        <v>1</v>
      </c>
      <c r="Y12" s="83">
        <f>E12+G12+I12+K12+M12+O12+Q12</f>
        <v>70.754385000000013</v>
      </c>
      <c r="Z12" s="84">
        <f>Y12/D12</f>
        <v>1</v>
      </c>
      <c r="AA12" s="83">
        <f t="shared" si="0"/>
        <v>0</v>
      </c>
      <c r="AB12" s="84">
        <f>AA12/D12</f>
        <v>0</v>
      </c>
    </row>
    <row r="13" spans="1:28" ht="20" customHeight="1" x14ac:dyDescent="0.2">
      <c r="B13" s="2">
        <v>4</v>
      </c>
      <c r="C13" s="1" t="s">
        <v>89</v>
      </c>
      <c r="D13" s="4">
        <f>'CO SIF'!E9</f>
        <v>201.13315300000002</v>
      </c>
      <c r="E13" s="2">
        <v>0</v>
      </c>
      <c r="F13" s="40">
        <v>0</v>
      </c>
      <c r="G13" s="4">
        <f t="shared" si="1"/>
        <v>0</v>
      </c>
      <c r="H13" s="40">
        <v>0</v>
      </c>
      <c r="I13" s="4">
        <f t="shared" si="2"/>
        <v>201.13315300000002</v>
      </c>
      <c r="J13" s="40">
        <v>1</v>
      </c>
      <c r="K13" s="4">
        <f>D13*L13</f>
        <v>0</v>
      </c>
      <c r="L13" s="40">
        <v>0</v>
      </c>
      <c r="M13" s="4">
        <f>D13*N13</f>
        <v>0</v>
      </c>
      <c r="N13" s="40">
        <v>0</v>
      </c>
      <c r="O13" s="4">
        <f>D13*P13</f>
        <v>0</v>
      </c>
      <c r="P13" s="40">
        <v>0</v>
      </c>
      <c r="Q13" s="4">
        <f>D13*R13</f>
        <v>0</v>
      </c>
      <c r="R13" s="40">
        <v>0</v>
      </c>
      <c r="S13" s="4">
        <f>D13*T13</f>
        <v>0</v>
      </c>
      <c r="T13" s="40">
        <v>0</v>
      </c>
      <c r="U13" s="4">
        <f>F13*V13</f>
        <v>0</v>
      </c>
      <c r="V13" s="40">
        <v>0</v>
      </c>
      <c r="W13" s="41">
        <f>E13+G13+I13+K13+M13+O13+Q13</f>
        <v>201.13315300000002</v>
      </c>
      <c r="X13" s="42">
        <f>W13/D13</f>
        <v>1</v>
      </c>
      <c r="Y13" s="83">
        <f>E13+G13+I13+K13+M13+O13+Q13</f>
        <v>201.13315300000002</v>
      </c>
      <c r="Z13" s="84">
        <f>Y13/D13</f>
        <v>1</v>
      </c>
      <c r="AA13" s="83">
        <f t="shared" si="0"/>
        <v>0</v>
      </c>
      <c r="AB13" s="84">
        <f>AA13/D13</f>
        <v>0</v>
      </c>
    </row>
    <row r="14" spans="1:28" ht="20" customHeight="1" x14ac:dyDescent="0.2">
      <c r="B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1"/>
      <c r="X14" s="41"/>
    </row>
    <row r="15" spans="1:28" ht="20" customHeight="1" x14ac:dyDescent="0.2">
      <c r="C15" s="3" t="s">
        <v>53</v>
      </c>
      <c r="D15" s="19">
        <f>SUM(D10:D14)</f>
        <v>433.64166300000005</v>
      </c>
      <c r="E15" s="33">
        <f>SUM(E10:E14)</f>
        <v>58.714825000000005</v>
      </c>
      <c r="F15" s="43">
        <f>E15/D15</f>
        <v>0.13539940925833041</v>
      </c>
      <c r="G15" s="44">
        <f>SUM(G10:G13)</f>
        <v>173.79368500000001</v>
      </c>
      <c r="H15" s="43">
        <f>G15/D15</f>
        <v>0.40077718500955012</v>
      </c>
      <c r="I15" s="44">
        <f>SUM(I10:I13)</f>
        <v>201.13315300000002</v>
      </c>
      <c r="J15" s="43">
        <f>I15/D15</f>
        <v>0.46382340573211944</v>
      </c>
      <c r="K15" s="44">
        <f>SUM(K6:K13)</f>
        <v>0</v>
      </c>
      <c r="L15" s="43">
        <f>K15/D15</f>
        <v>0</v>
      </c>
      <c r="M15" s="44">
        <f>SUM(M6:M13)</f>
        <v>0</v>
      </c>
      <c r="N15" s="43">
        <f>M15/D15</f>
        <v>0</v>
      </c>
      <c r="O15" s="44">
        <f>SUM(O6:O13)</f>
        <v>0</v>
      </c>
      <c r="P15" s="43">
        <f>O15/D15</f>
        <v>0</v>
      </c>
      <c r="Q15" s="44">
        <f>SUM(Q6:Q13)</f>
        <v>0</v>
      </c>
      <c r="R15" s="43">
        <f>Q15/D15</f>
        <v>0</v>
      </c>
      <c r="S15" s="44">
        <f>SUM(S6:S13)</f>
        <v>0</v>
      </c>
      <c r="T15" s="43">
        <f>S15/D15</f>
        <v>0</v>
      </c>
      <c r="U15" s="44">
        <f>SUM(U6:U13)</f>
        <v>0</v>
      </c>
      <c r="V15" s="43">
        <f>U15/F15</f>
        <v>0</v>
      </c>
      <c r="W15" s="19">
        <f>SUM(W10:W13)</f>
        <v>433.64166300000005</v>
      </c>
      <c r="X15" s="45">
        <f>W15/D15</f>
        <v>1</v>
      </c>
      <c r="Y15" s="19">
        <f>SUM(Y10:Y13)</f>
        <v>433.64166300000005</v>
      </c>
      <c r="Z15" s="45">
        <f>Y15/D15</f>
        <v>1</v>
      </c>
      <c r="AA15" s="19">
        <f>SUM(AA10:AA13)</f>
        <v>0</v>
      </c>
      <c r="AB15" s="45">
        <f>AA15/D15</f>
        <v>0</v>
      </c>
    </row>
    <row r="16" spans="1:28" ht="20" customHeight="1" x14ac:dyDescent="0.2">
      <c r="C16" s="46"/>
      <c r="D16" s="47"/>
      <c r="W16" s="48">
        <f>D15-W15</f>
        <v>0</v>
      </c>
      <c r="X16" s="49">
        <f>W16/D15</f>
        <v>0</v>
      </c>
    </row>
    <row r="17" spans="1:28" ht="20" customHeight="1" x14ac:dyDescent="0.2">
      <c r="C17" s="46"/>
      <c r="D17" s="50"/>
      <c r="E17" s="8"/>
      <c r="F17" s="8"/>
      <c r="G17" s="5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2"/>
    </row>
    <row r="18" spans="1:28" ht="20" customHeight="1" x14ac:dyDescent="0.2">
      <c r="C18" s="46"/>
      <c r="D18" s="50"/>
      <c r="E18" s="8"/>
      <c r="F18" s="8"/>
      <c r="G18" s="5"/>
      <c r="H18" s="2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2"/>
    </row>
    <row r="19" spans="1:28" ht="20" customHeight="1" x14ac:dyDescent="0.2">
      <c r="A19" s="14" t="s">
        <v>59</v>
      </c>
      <c r="B19" s="2">
        <v>5</v>
      </c>
      <c r="C19" s="1" t="s">
        <v>56</v>
      </c>
      <c r="D19" s="4">
        <f>'CO SIF'!E15</f>
        <v>627.00183000000004</v>
      </c>
      <c r="E19" s="4">
        <f t="shared" ref="E19:E24" si="3">D19*F19</f>
        <v>0</v>
      </c>
      <c r="F19" s="40">
        <v>0</v>
      </c>
      <c r="G19" s="4">
        <f>D19*H19</f>
        <v>627.00183000000004</v>
      </c>
      <c r="H19" s="40">
        <v>1</v>
      </c>
      <c r="I19" s="4">
        <f>J19*D19</f>
        <v>0</v>
      </c>
      <c r="J19" s="40">
        <v>0</v>
      </c>
      <c r="K19" s="4">
        <f t="shared" ref="K19:K24" si="4">D19*L19</f>
        <v>0</v>
      </c>
      <c r="L19" s="40">
        <v>0</v>
      </c>
      <c r="M19" s="4">
        <f t="shared" ref="M19:M24" si="5">D19*N19</f>
        <v>0</v>
      </c>
      <c r="N19" s="40">
        <v>0</v>
      </c>
      <c r="O19" s="4">
        <f t="shared" ref="O19:O24" si="6">D19*P19</f>
        <v>0</v>
      </c>
      <c r="P19" s="40">
        <v>0</v>
      </c>
      <c r="Q19" s="4">
        <f t="shared" ref="Q19:Q24" si="7">D19*R19</f>
        <v>0</v>
      </c>
      <c r="R19" s="40">
        <v>0</v>
      </c>
      <c r="S19" s="4">
        <f>D19*T19</f>
        <v>0</v>
      </c>
      <c r="T19" s="40">
        <v>0</v>
      </c>
      <c r="U19" s="4">
        <f>F19*V19</f>
        <v>0</v>
      </c>
      <c r="V19" s="40">
        <v>0</v>
      </c>
      <c r="W19" s="41">
        <f>E19+G19+I19+K19+M19+O19+Q19</f>
        <v>627.00183000000004</v>
      </c>
      <c r="X19" s="42">
        <f>W19/D19</f>
        <v>1</v>
      </c>
      <c r="Y19" s="83">
        <f>E19+G19+I19+K19+M19+O19+Q19</f>
        <v>627.00183000000004</v>
      </c>
      <c r="Z19" s="84">
        <f>Y19/D19</f>
        <v>1</v>
      </c>
      <c r="AA19" s="83">
        <f t="shared" ref="AA19:AA23" si="8">S19</f>
        <v>0</v>
      </c>
      <c r="AB19" s="84">
        <f>AA19/D19</f>
        <v>0</v>
      </c>
    </row>
    <row r="20" spans="1:28" ht="20" customHeight="1" x14ac:dyDescent="0.2">
      <c r="A20" s="14"/>
      <c r="C20" s="1" t="s">
        <v>66</v>
      </c>
      <c r="D20" s="4">
        <f>'CO SIF'!E16</f>
        <v>413.036</v>
      </c>
      <c r="E20" s="4">
        <f t="shared" ref="E20" si="9">D20*F20</f>
        <v>0</v>
      </c>
      <c r="F20" s="40">
        <v>0</v>
      </c>
      <c r="G20" s="4">
        <f>D20*H20</f>
        <v>206.518</v>
      </c>
      <c r="H20" s="40">
        <v>0.5</v>
      </c>
      <c r="I20" s="4">
        <f>J20*D20</f>
        <v>206.518</v>
      </c>
      <c r="J20" s="40">
        <v>0.5</v>
      </c>
      <c r="K20" s="4">
        <f t="shared" si="4"/>
        <v>0</v>
      </c>
      <c r="L20" s="40">
        <v>0</v>
      </c>
      <c r="M20" s="4">
        <f t="shared" si="5"/>
        <v>0</v>
      </c>
      <c r="N20" s="40">
        <v>0</v>
      </c>
      <c r="O20" s="4">
        <f t="shared" si="6"/>
        <v>0</v>
      </c>
      <c r="P20" s="40">
        <v>0</v>
      </c>
      <c r="Q20" s="4">
        <f t="shared" si="7"/>
        <v>0</v>
      </c>
      <c r="R20" s="40">
        <v>0</v>
      </c>
      <c r="S20" s="4">
        <f>D20*T20</f>
        <v>0</v>
      </c>
      <c r="T20" s="40">
        <v>0</v>
      </c>
      <c r="U20" s="4">
        <f>F20*V20</f>
        <v>0</v>
      </c>
      <c r="V20" s="40">
        <v>0</v>
      </c>
      <c r="W20" s="41">
        <f>E20+G20+I20+K20+M20+O20+Q20</f>
        <v>413.036</v>
      </c>
      <c r="X20" s="42">
        <f>W20/D20</f>
        <v>1</v>
      </c>
      <c r="Y20" s="83">
        <f>E20+G20+I20+K20+M20+O20+Q20</f>
        <v>413.036</v>
      </c>
      <c r="Z20" s="84">
        <f>Y20/D20</f>
        <v>1</v>
      </c>
      <c r="AA20" s="83">
        <f t="shared" si="8"/>
        <v>0</v>
      </c>
      <c r="AB20" s="84">
        <f>AA20/D20</f>
        <v>0</v>
      </c>
    </row>
    <row r="21" spans="1:28" ht="20" customHeight="1" x14ac:dyDescent="0.2">
      <c r="B21" s="2">
        <v>6</v>
      </c>
      <c r="C21" s="1" t="s">
        <v>57</v>
      </c>
      <c r="D21" s="4">
        <f>'CO SIF'!E17</f>
        <v>28.3413</v>
      </c>
      <c r="E21" s="4">
        <f t="shared" si="3"/>
        <v>0</v>
      </c>
      <c r="F21" s="40">
        <v>0</v>
      </c>
      <c r="G21" s="4">
        <f t="shared" ref="G21:G24" si="10">D21*H21</f>
        <v>0</v>
      </c>
      <c r="H21" s="40">
        <v>0</v>
      </c>
      <c r="I21" s="4">
        <f t="shared" ref="I21:I24" si="11">J21*D21</f>
        <v>28.3413</v>
      </c>
      <c r="J21" s="40">
        <v>1</v>
      </c>
      <c r="K21" s="4">
        <f t="shared" si="4"/>
        <v>0</v>
      </c>
      <c r="L21" s="40">
        <v>0</v>
      </c>
      <c r="M21" s="4">
        <f t="shared" si="5"/>
        <v>0</v>
      </c>
      <c r="N21" s="40">
        <v>0</v>
      </c>
      <c r="O21" s="4">
        <f t="shared" si="6"/>
        <v>0</v>
      </c>
      <c r="P21" s="40">
        <v>0</v>
      </c>
      <c r="Q21" s="4">
        <f t="shared" si="7"/>
        <v>0</v>
      </c>
      <c r="R21" s="40">
        <v>0</v>
      </c>
      <c r="S21" s="4">
        <f>D21*T21</f>
        <v>0</v>
      </c>
      <c r="T21" s="40">
        <v>0</v>
      </c>
      <c r="U21" s="4">
        <f>F21*V21</f>
        <v>0</v>
      </c>
      <c r="V21" s="40">
        <v>0</v>
      </c>
      <c r="W21" s="41">
        <f>E21+G21+I21+K21+M21+O21+Q21</f>
        <v>28.3413</v>
      </c>
      <c r="X21" s="42">
        <f>W21/D21</f>
        <v>1</v>
      </c>
      <c r="Y21" s="83">
        <f>E21+G21+I21+K21+M21+O21+Q21</f>
        <v>28.3413</v>
      </c>
      <c r="Z21" s="84">
        <f>Y21/D21</f>
        <v>1</v>
      </c>
      <c r="AA21" s="83">
        <f t="shared" si="8"/>
        <v>0</v>
      </c>
      <c r="AB21" s="84">
        <f>AA21/D21</f>
        <v>0</v>
      </c>
    </row>
    <row r="22" spans="1:28" ht="20" customHeight="1" x14ac:dyDescent="0.2">
      <c r="B22" s="2">
        <v>7</v>
      </c>
      <c r="C22" s="1" t="s">
        <v>56</v>
      </c>
      <c r="D22" s="4">
        <f>'CO SIF'!E18</f>
        <v>207.6165</v>
      </c>
      <c r="E22" s="4">
        <f t="shared" si="3"/>
        <v>0</v>
      </c>
      <c r="F22" s="40">
        <v>0</v>
      </c>
      <c r="G22" s="4">
        <f t="shared" si="10"/>
        <v>0</v>
      </c>
      <c r="H22" s="40">
        <v>0</v>
      </c>
      <c r="I22" s="4">
        <f t="shared" si="11"/>
        <v>207.6165</v>
      </c>
      <c r="J22" s="40">
        <v>1</v>
      </c>
      <c r="K22" s="4">
        <f t="shared" si="4"/>
        <v>0</v>
      </c>
      <c r="L22" s="40">
        <v>0</v>
      </c>
      <c r="M22" s="4">
        <f t="shared" si="5"/>
        <v>0</v>
      </c>
      <c r="N22" s="40">
        <v>0</v>
      </c>
      <c r="O22" s="4">
        <f t="shared" si="6"/>
        <v>0</v>
      </c>
      <c r="P22" s="40">
        <v>0</v>
      </c>
      <c r="Q22" s="4">
        <f t="shared" si="7"/>
        <v>0</v>
      </c>
      <c r="R22" s="40">
        <v>0</v>
      </c>
      <c r="S22" s="4">
        <f>D22*T22</f>
        <v>0</v>
      </c>
      <c r="T22" s="40">
        <v>0</v>
      </c>
      <c r="U22" s="4">
        <f>F22*V22</f>
        <v>0</v>
      </c>
      <c r="V22" s="40">
        <v>0</v>
      </c>
      <c r="W22" s="41">
        <f>E22+G22+I22+K22+M22+O22+Q22</f>
        <v>207.6165</v>
      </c>
      <c r="X22" s="42">
        <f>W22/D22</f>
        <v>1</v>
      </c>
      <c r="Y22" s="83">
        <f>E22+G22+I22+K22+M22+O22+Q22</f>
        <v>207.6165</v>
      </c>
      <c r="Z22" s="84">
        <f>Y22/D22</f>
        <v>1</v>
      </c>
      <c r="AA22" s="83">
        <f t="shared" si="8"/>
        <v>0</v>
      </c>
      <c r="AB22" s="84">
        <f>AA22/D22</f>
        <v>0</v>
      </c>
    </row>
    <row r="23" spans="1:28" ht="20" customHeight="1" x14ac:dyDescent="0.2">
      <c r="A23" s="14"/>
      <c r="B23" s="2">
        <v>8</v>
      </c>
      <c r="C23" s="1" t="s">
        <v>57</v>
      </c>
      <c r="D23" s="4">
        <f>'CO SIF'!E19</f>
        <v>28.3413</v>
      </c>
      <c r="E23" s="4">
        <f t="shared" si="3"/>
        <v>0</v>
      </c>
      <c r="F23" s="40">
        <v>0</v>
      </c>
      <c r="G23" s="4">
        <f t="shared" si="10"/>
        <v>0</v>
      </c>
      <c r="H23" s="40">
        <v>0</v>
      </c>
      <c r="I23" s="4">
        <f t="shared" si="11"/>
        <v>28.3413</v>
      </c>
      <c r="J23" s="40">
        <v>1</v>
      </c>
      <c r="K23" s="4">
        <f t="shared" si="4"/>
        <v>0</v>
      </c>
      <c r="L23" s="40">
        <v>0</v>
      </c>
      <c r="M23" s="4">
        <f t="shared" si="5"/>
        <v>0</v>
      </c>
      <c r="N23" s="40">
        <v>0</v>
      </c>
      <c r="O23" s="4">
        <f t="shared" si="6"/>
        <v>0</v>
      </c>
      <c r="P23" s="40">
        <v>0</v>
      </c>
      <c r="Q23" s="4">
        <f t="shared" si="7"/>
        <v>0</v>
      </c>
      <c r="R23" s="40">
        <v>0</v>
      </c>
      <c r="S23" s="4">
        <f>D23*T23</f>
        <v>0</v>
      </c>
      <c r="T23" s="40">
        <v>0</v>
      </c>
      <c r="U23" s="4">
        <f>F23*V23</f>
        <v>0</v>
      </c>
      <c r="V23" s="40">
        <v>0</v>
      </c>
      <c r="W23" s="41">
        <f>E23+G23+I23+K23+M23+O23+Q23</f>
        <v>28.3413</v>
      </c>
      <c r="X23" s="42">
        <f>W23/D23</f>
        <v>1</v>
      </c>
      <c r="Y23" s="83">
        <f>E23+G23+I23+K23+M23+O23+Q23</f>
        <v>28.3413</v>
      </c>
      <c r="Z23" s="84">
        <f>Y23/D23</f>
        <v>1</v>
      </c>
      <c r="AA23" s="83">
        <f t="shared" si="8"/>
        <v>0</v>
      </c>
      <c r="AB23" s="84">
        <f>AA23/D23</f>
        <v>0</v>
      </c>
    </row>
    <row r="24" spans="1:28" ht="20" customHeight="1" x14ac:dyDescent="0.2">
      <c r="B24" s="2">
        <v>9</v>
      </c>
      <c r="C24" s="1" t="s">
        <v>56</v>
      </c>
      <c r="D24" s="4">
        <f>'CO SIF'!E20</f>
        <v>232.05812499999996</v>
      </c>
      <c r="E24" s="4">
        <f t="shared" si="3"/>
        <v>0</v>
      </c>
      <c r="F24" s="40">
        <v>0</v>
      </c>
      <c r="G24" s="4">
        <f t="shared" si="10"/>
        <v>0</v>
      </c>
      <c r="H24" s="40">
        <v>0</v>
      </c>
      <c r="I24" s="4">
        <f t="shared" si="11"/>
        <v>232.05812499999996</v>
      </c>
      <c r="J24" s="40">
        <v>1</v>
      </c>
      <c r="K24" s="4">
        <f t="shared" si="4"/>
        <v>0</v>
      </c>
      <c r="L24" s="40">
        <v>0</v>
      </c>
      <c r="M24" s="4">
        <f t="shared" si="5"/>
        <v>0</v>
      </c>
      <c r="N24" s="40">
        <v>0</v>
      </c>
      <c r="O24" s="4">
        <f t="shared" si="6"/>
        <v>0</v>
      </c>
      <c r="P24" s="40">
        <v>0</v>
      </c>
      <c r="Q24" s="4">
        <f t="shared" si="7"/>
        <v>0</v>
      </c>
      <c r="R24" s="40">
        <v>0</v>
      </c>
      <c r="S24" s="4">
        <f>D24*T24</f>
        <v>0</v>
      </c>
      <c r="T24" s="40">
        <v>0</v>
      </c>
      <c r="U24" s="4">
        <f>F24*V24</f>
        <v>0</v>
      </c>
      <c r="V24" s="40">
        <v>0</v>
      </c>
      <c r="W24" s="41">
        <f>E24+G24+I24+K24+M24+O24+Q24</f>
        <v>232.05812499999996</v>
      </c>
      <c r="X24" s="42">
        <f>W24/D24</f>
        <v>1</v>
      </c>
      <c r="Y24" s="83">
        <f>E24+G24+I24+K24+M24+O24+Q24</f>
        <v>232.05812499999996</v>
      </c>
      <c r="Z24" s="84">
        <f>Y24/D24</f>
        <v>1</v>
      </c>
      <c r="AA24" s="83">
        <f t="shared" ref="AA24" si="12">S24</f>
        <v>0</v>
      </c>
      <c r="AB24" s="84">
        <f>AA24/D24</f>
        <v>0</v>
      </c>
    </row>
    <row r="25" spans="1:28" ht="20" customHeight="1" x14ac:dyDescent="0.2">
      <c r="B25" s="14"/>
      <c r="D25" s="4"/>
      <c r="E25" s="4"/>
      <c r="F25" s="40"/>
      <c r="G25" s="4"/>
      <c r="H25" s="40"/>
      <c r="I25" s="4"/>
      <c r="J25" s="40"/>
      <c r="K25" s="40"/>
      <c r="L25" s="40"/>
      <c r="M25" s="40"/>
      <c r="N25" s="40"/>
      <c r="O25" s="40"/>
      <c r="P25" s="40"/>
      <c r="Q25" s="40"/>
      <c r="R25" s="40"/>
      <c r="S25" s="4"/>
      <c r="T25" s="4"/>
      <c r="U25" s="4"/>
      <c r="V25" s="4"/>
      <c r="W25" s="41"/>
      <c r="X25" s="42"/>
    </row>
    <row r="26" spans="1:28" ht="20" customHeight="1" x14ac:dyDescent="0.2">
      <c r="C26" s="3" t="s">
        <v>53</v>
      </c>
      <c r="D26" s="19">
        <f>SUM(D19:D25)</f>
        <v>1536.3950550000002</v>
      </c>
      <c r="E26" s="44">
        <f>SUM(E19:E25)</f>
        <v>0</v>
      </c>
      <c r="F26" s="43">
        <f>E26/D26</f>
        <v>0</v>
      </c>
      <c r="G26" s="44">
        <f>SUM(G19:G25)</f>
        <v>833.51983000000007</v>
      </c>
      <c r="H26" s="43">
        <f>G26/D26</f>
        <v>0.54251660553541681</v>
      </c>
      <c r="I26" s="44">
        <f>SUM(I19:I25)</f>
        <v>702.875225</v>
      </c>
      <c r="J26" s="43">
        <f>I26/D26</f>
        <v>0.45748339446458314</v>
      </c>
      <c r="K26" s="44">
        <f>SUM(K17:K24)</f>
        <v>0</v>
      </c>
      <c r="L26" s="43">
        <f>K26/D26</f>
        <v>0</v>
      </c>
      <c r="M26" s="44">
        <f>SUM(M17:M24)</f>
        <v>0</v>
      </c>
      <c r="N26" s="43">
        <f>M26/D26</f>
        <v>0</v>
      </c>
      <c r="O26" s="44">
        <f>SUM(O17:O24)</f>
        <v>0</v>
      </c>
      <c r="P26" s="43">
        <f>O26/D26</f>
        <v>0</v>
      </c>
      <c r="Q26" s="44">
        <f>SUM(Q17:Q24)</f>
        <v>0</v>
      </c>
      <c r="R26" s="43">
        <f>Q26/D26</f>
        <v>0</v>
      </c>
      <c r="S26" s="44">
        <f>SUM(S17:S24)</f>
        <v>0</v>
      </c>
      <c r="T26" s="43">
        <f>S26/D26</f>
        <v>0</v>
      </c>
      <c r="U26" s="44">
        <f>SUM(U17:U24)</f>
        <v>0</v>
      </c>
      <c r="V26" s="43">
        <f>U26/D26</f>
        <v>0</v>
      </c>
      <c r="W26" s="19">
        <f>SUM(W19:W24)</f>
        <v>1536.3950550000002</v>
      </c>
      <c r="X26" s="45">
        <f>W26/D26</f>
        <v>1</v>
      </c>
      <c r="Y26" s="19">
        <f>SUM(Y19:Y24)</f>
        <v>1536.3950550000002</v>
      </c>
      <c r="Z26" s="45">
        <f>Y26/D26</f>
        <v>1</v>
      </c>
      <c r="AA26" s="19">
        <f>SUM(AA19:AA24)</f>
        <v>0</v>
      </c>
      <c r="AB26" s="45">
        <f>AA26/D26</f>
        <v>0</v>
      </c>
    </row>
    <row r="27" spans="1:28" ht="20" customHeight="1" x14ac:dyDescent="0.2">
      <c r="C27" s="51"/>
      <c r="D27" s="52"/>
      <c r="E27" s="4"/>
      <c r="F27" s="4"/>
      <c r="G27" s="4"/>
      <c r="I27" s="4"/>
      <c r="W27" s="48">
        <f>D26-W26</f>
        <v>0</v>
      </c>
      <c r="X27" s="49">
        <f>W27/D26</f>
        <v>0</v>
      </c>
    </row>
    <row r="28" spans="1:28" ht="20" customHeight="1" x14ac:dyDescent="0.2"/>
    <row r="29" spans="1:28" ht="20" customHeight="1" x14ac:dyDescent="0.2">
      <c r="A29" s="14" t="s">
        <v>72</v>
      </c>
      <c r="B29" s="2">
        <v>10</v>
      </c>
      <c r="C29" s="1" t="s">
        <v>56</v>
      </c>
      <c r="D29" s="4">
        <f>'CO SIF'!E26</f>
        <v>599.57503125000005</v>
      </c>
      <c r="E29" s="4">
        <f>D29*F29</f>
        <v>0</v>
      </c>
      <c r="F29" s="40">
        <v>0</v>
      </c>
      <c r="G29" s="4">
        <f>D29*H29</f>
        <v>0</v>
      </c>
      <c r="H29" s="40">
        <v>0</v>
      </c>
      <c r="I29" s="4">
        <f>D29*J29</f>
        <v>0</v>
      </c>
      <c r="J29" s="40">
        <v>0</v>
      </c>
      <c r="K29" s="4">
        <f>D29*L29</f>
        <v>0</v>
      </c>
      <c r="L29" s="40">
        <v>0</v>
      </c>
      <c r="M29" s="4">
        <f>D29*N29</f>
        <v>0</v>
      </c>
      <c r="N29" s="40">
        <v>0</v>
      </c>
      <c r="O29" s="4">
        <f>D29*P29</f>
        <v>0</v>
      </c>
      <c r="P29" s="40">
        <v>0</v>
      </c>
      <c r="Q29" s="4">
        <f>D29*R29</f>
        <v>0</v>
      </c>
      <c r="R29" s="40">
        <v>0</v>
      </c>
      <c r="S29" s="4">
        <f>D29*T29</f>
        <v>389.72377031250005</v>
      </c>
      <c r="T29" s="40">
        <v>0.65</v>
      </c>
      <c r="U29" s="4">
        <f>D29*V29</f>
        <v>209.8512609375</v>
      </c>
      <c r="V29" s="40">
        <v>0.35</v>
      </c>
      <c r="W29" s="41">
        <f>E29+G29+I29+K29+M29+O29+Q29+S29+U29</f>
        <v>599.57503125000005</v>
      </c>
      <c r="X29" s="42">
        <f>W29/D29</f>
        <v>1</v>
      </c>
      <c r="Y29" s="83">
        <f>E29+G29+I29+K29+M29+O29+Q29</f>
        <v>0</v>
      </c>
      <c r="Z29" s="84">
        <f>Y29/D29</f>
        <v>0</v>
      </c>
      <c r="AA29" s="83">
        <f t="shared" ref="AA29" si="13">S29</f>
        <v>389.72377031250005</v>
      </c>
      <c r="AB29" s="84">
        <f>AA29/D29</f>
        <v>0.65</v>
      </c>
    </row>
    <row r="30" spans="1:28" ht="20" customHeight="1" x14ac:dyDescent="0.2">
      <c r="B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1"/>
      <c r="X30" s="41"/>
    </row>
    <row r="31" spans="1:28" ht="20" customHeight="1" x14ac:dyDescent="0.2">
      <c r="C31" s="3" t="s">
        <v>53</v>
      </c>
      <c r="D31" s="19">
        <f>SUM(D29:D30)</f>
        <v>599.57503125000005</v>
      </c>
      <c r="E31" s="33">
        <f>SUM(E29:E30)</f>
        <v>0</v>
      </c>
      <c r="F31" s="43">
        <f>E31/D31</f>
        <v>0</v>
      </c>
      <c r="G31" s="44">
        <f>SUM(G29:G29)</f>
        <v>0</v>
      </c>
      <c r="H31" s="43">
        <f>G31/D31</f>
        <v>0</v>
      </c>
      <c r="I31" s="44">
        <f>SUM(I29:I29)</f>
        <v>0</v>
      </c>
      <c r="J31" s="43">
        <f>I31/D31</f>
        <v>0</v>
      </c>
      <c r="K31" s="44">
        <f>SUM(K22:K29)</f>
        <v>0</v>
      </c>
      <c r="L31" s="43">
        <f>K31/D31</f>
        <v>0</v>
      </c>
      <c r="M31" s="44">
        <f>SUM(M22:M29)</f>
        <v>0</v>
      </c>
      <c r="N31" s="43">
        <f>M31/D31</f>
        <v>0</v>
      </c>
      <c r="O31" s="44">
        <f>SUM(O22:O29)</f>
        <v>0</v>
      </c>
      <c r="P31" s="43">
        <f>O31/D31</f>
        <v>0</v>
      </c>
      <c r="Q31" s="44">
        <f>SUM(Q22:Q29)</f>
        <v>0</v>
      </c>
      <c r="R31" s="43">
        <f>Q31/D31</f>
        <v>0</v>
      </c>
      <c r="S31" s="44">
        <f>SUM(S22:S29)</f>
        <v>389.72377031250005</v>
      </c>
      <c r="T31" s="43">
        <f>S31/D31</f>
        <v>0.65</v>
      </c>
      <c r="U31" s="44">
        <f>SUM(U22:U29)</f>
        <v>209.8512609375</v>
      </c>
      <c r="V31" s="43">
        <f>U31/D31</f>
        <v>0.35</v>
      </c>
      <c r="W31" s="19">
        <f>SUM(W29:W29)</f>
        <v>599.57503125000005</v>
      </c>
      <c r="X31" s="45">
        <f>W31/D31</f>
        <v>1</v>
      </c>
      <c r="Y31" s="19">
        <f>SUM(Y29)</f>
        <v>0</v>
      </c>
      <c r="Z31" s="45">
        <f>Y31/D31</f>
        <v>0</v>
      </c>
      <c r="AA31" s="19">
        <f>SUM(AA29)</f>
        <v>389.72377031250005</v>
      </c>
      <c r="AB31" s="45">
        <f>AA31/D31</f>
        <v>0.65</v>
      </c>
    </row>
    <row r="32" spans="1:28" ht="20" customHeight="1" x14ac:dyDescent="0.2">
      <c r="C32" s="46"/>
      <c r="D32" s="47"/>
      <c r="W32" s="48">
        <f>D31-W31</f>
        <v>0</v>
      </c>
      <c r="X32" s="49">
        <f>W32/D31</f>
        <v>0</v>
      </c>
    </row>
    <row r="33" spans="1:28" ht="20" customHeight="1" x14ac:dyDescent="0.2"/>
    <row r="34" spans="1:28" ht="20" customHeight="1" x14ac:dyDescent="0.2">
      <c r="A34" s="14" t="s">
        <v>84</v>
      </c>
      <c r="B34" s="2">
        <v>11</v>
      </c>
      <c r="C34" s="1" t="s">
        <v>56</v>
      </c>
      <c r="D34" s="4">
        <f>'CO SIF'!E32</f>
        <v>253.97319999999999</v>
      </c>
      <c r="E34" s="4">
        <f t="shared" ref="E34:E39" si="14">D34*F34</f>
        <v>0</v>
      </c>
      <c r="F34" s="40">
        <v>0</v>
      </c>
      <c r="G34" s="4">
        <f>D34*H34</f>
        <v>0</v>
      </c>
      <c r="H34" s="40">
        <v>0</v>
      </c>
      <c r="I34" s="4">
        <f>J34*D34</f>
        <v>0</v>
      </c>
      <c r="J34" s="40">
        <v>0</v>
      </c>
      <c r="K34" s="4">
        <f t="shared" ref="K34:K41" si="15">D34*L34</f>
        <v>0</v>
      </c>
      <c r="L34" s="40">
        <v>0</v>
      </c>
      <c r="M34" s="4">
        <f t="shared" ref="M34:M41" si="16">D34*N34</f>
        <v>0</v>
      </c>
      <c r="N34" s="40">
        <v>0</v>
      </c>
      <c r="O34" s="4">
        <f t="shared" ref="O34:O41" si="17">D34*P34</f>
        <v>0</v>
      </c>
      <c r="P34" s="40">
        <v>0</v>
      </c>
      <c r="Q34" s="4">
        <f t="shared" ref="Q34:Q41" si="18">D34*R34</f>
        <v>0</v>
      </c>
      <c r="R34" s="40">
        <v>0</v>
      </c>
      <c r="S34" s="4">
        <f>D34*T34</f>
        <v>0</v>
      </c>
      <c r="T34" s="40">
        <v>0</v>
      </c>
      <c r="U34" s="4">
        <f>D34*V34</f>
        <v>253.97319999999999</v>
      </c>
      <c r="V34" s="40">
        <v>1</v>
      </c>
      <c r="W34" s="41">
        <f>E34+G34+I34+K34+M34+O34+Q34+S34+U34</f>
        <v>253.97319999999999</v>
      </c>
      <c r="X34" s="42">
        <f>W34/D34</f>
        <v>1</v>
      </c>
    </row>
    <row r="35" spans="1:28" ht="20" customHeight="1" x14ac:dyDescent="0.2">
      <c r="A35" s="14"/>
      <c r="B35" s="2">
        <v>12</v>
      </c>
      <c r="C35" s="1" t="s">
        <v>57</v>
      </c>
      <c r="D35" s="4">
        <f>'CO SIF'!E33</f>
        <v>56.682599999999994</v>
      </c>
      <c r="E35" s="4">
        <f t="shared" si="14"/>
        <v>0</v>
      </c>
      <c r="F35" s="40">
        <v>0</v>
      </c>
      <c r="G35" s="4">
        <f>D35*H35</f>
        <v>0</v>
      </c>
      <c r="H35" s="40">
        <v>0</v>
      </c>
      <c r="I35" s="4">
        <f>J35*D35</f>
        <v>0</v>
      </c>
      <c r="J35" s="40">
        <v>0</v>
      </c>
      <c r="K35" s="4">
        <f t="shared" si="15"/>
        <v>0</v>
      </c>
      <c r="L35" s="40">
        <v>0</v>
      </c>
      <c r="M35" s="4">
        <f t="shared" si="16"/>
        <v>0</v>
      </c>
      <c r="N35" s="40">
        <v>0</v>
      </c>
      <c r="O35" s="4">
        <f t="shared" si="17"/>
        <v>0</v>
      </c>
      <c r="P35" s="40">
        <v>0</v>
      </c>
      <c r="Q35" s="4">
        <f t="shared" si="18"/>
        <v>0</v>
      </c>
      <c r="R35" s="40">
        <v>0</v>
      </c>
      <c r="S35" s="4">
        <f>D35*T35</f>
        <v>0</v>
      </c>
      <c r="T35" s="40">
        <v>0</v>
      </c>
      <c r="U35" s="4">
        <f t="shared" ref="U35:U41" si="19">D35*V35</f>
        <v>56.682599999999994</v>
      </c>
      <c r="V35" s="40">
        <v>1</v>
      </c>
      <c r="W35" s="41">
        <f>E35+G35+I35+K35+M35+O35+Q35+S35+U35</f>
        <v>56.682599999999994</v>
      </c>
      <c r="X35" s="42">
        <f>W35/D35</f>
        <v>1</v>
      </c>
    </row>
    <row r="36" spans="1:28" ht="20" customHeight="1" x14ac:dyDescent="0.2">
      <c r="B36" s="2">
        <v>13</v>
      </c>
      <c r="C36" s="1" t="s">
        <v>56</v>
      </c>
      <c r="D36" s="4">
        <f>'CO SIF'!E34</f>
        <v>522.88599999999997</v>
      </c>
      <c r="E36" s="4">
        <f t="shared" si="14"/>
        <v>0</v>
      </c>
      <c r="F36" s="40">
        <v>0</v>
      </c>
      <c r="G36" s="4">
        <f t="shared" ref="G36:G39" si="20">D36*H36</f>
        <v>0</v>
      </c>
      <c r="H36" s="40">
        <v>0</v>
      </c>
      <c r="I36" s="4">
        <f t="shared" ref="I36:I39" si="21">J36*D36</f>
        <v>0</v>
      </c>
      <c r="J36" s="40">
        <v>0</v>
      </c>
      <c r="K36" s="4">
        <f t="shared" si="15"/>
        <v>0</v>
      </c>
      <c r="L36" s="40">
        <v>0</v>
      </c>
      <c r="M36" s="4">
        <f t="shared" si="16"/>
        <v>0</v>
      </c>
      <c r="N36" s="40">
        <v>0</v>
      </c>
      <c r="O36" s="4">
        <f t="shared" si="17"/>
        <v>0</v>
      </c>
      <c r="P36" s="40">
        <v>0</v>
      </c>
      <c r="Q36" s="4">
        <f t="shared" si="18"/>
        <v>0</v>
      </c>
      <c r="R36" s="40">
        <v>0</v>
      </c>
      <c r="S36" s="4">
        <f>D36*T36</f>
        <v>0</v>
      </c>
      <c r="T36" s="40">
        <v>0</v>
      </c>
      <c r="U36" s="4">
        <f t="shared" si="19"/>
        <v>522.88599999999997</v>
      </c>
      <c r="V36" s="40">
        <v>1</v>
      </c>
      <c r="W36" s="41">
        <f>E36+G36+I36+K36+M36+O36+Q36+S36+U36</f>
        <v>522.88599999999997</v>
      </c>
      <c r="X36" s="42">
        <f>W36/D36</f>
        <v>1</v>
      </c>
    </row>
    <row r="37" spans="1:28" ht="20" customHeight="1" x14ac:dyDescent="0.2">
      <c r="B37" s="2">
        <v>14</v>
      </c>
      <c r="C37" s="1" t="s">
        <v>57</v>
      </c>
      <c r="D37" s="4">
        <f>'CO SIF'!E35</f>
        <v>35.426625000000001</v>
      </c>
      <c r="E37" s="4">
        <f t="shared" si="14"/>
        <v>0</v>
      </c>
      <c r="F37" s="40">
        <v>0</v>
      </c>
      <c r="G37" s="4">
        <f t="shared" si="20"/>
        <v>0</v>
      </c>
      <c r="H37" s="40">
        <v>0</v>
      </c>
      <c r="I37" s="4">
        <f t="shared" si="21"/>
        <v>0</v>
      </c>
      <c r="J37" s="40">
        <v>0</v>
      </c>
      <c r="K37" s="4">
        <f t="shared" si="15"/>
        <v>0</v>
      </c>
      <c r="L37" s="40">
        <v>0</v>
      </c>
      <c r="M37" s="4">
        <f t="shared" si="16"/>
        <v>0</v>
      </c>
      <c r="N37" s="40">
        <v>0</v>
      </c>
      <c r="O37" s="4">
        <f t="shared" si="17"/>
        <v>0</v>
      </c>
      <c r="P37" s="40">
        <v>0</v>
      </c>
      <c r="Q37" s="4">
        <f t="shared" si="18"/>
        <v>0</v>
      </c>
      <c r="R37" s="40">
        <v>0</v>
      </c>
      <c r="S37" s="4">
        <f>D37*T37</f>
        <v>0</v>
      </c>
      <c r="T37" s="40">
        <v>0</v>
      </c>
      <c r="U37" s="4">
        <f t="shared" si="19"/>
        <v>35.426625000000001</v>
      </c>
      <c r="V37" s="40">
        <v>1</v>
      </c>
      <c r="W37" s="41">
        <f>E37+G37+I37+K37+M37+O37+Q37+S37+U37</f>
        <v>35.426625000000001</v>
      </c>
      <c r="X37" s="42">
        <f>W37/D37</f>
        <v>1</v>
      </c>
    </row>
    <row r="38" spans="1:28" ht="20" customHeight="1" x14ac:dyDescent="0.2">
      <c r="A38" s="14"/>
      <c r="B38" s="2">
        <v>15</v>
      </c>
      <c r="C38" s="1" t="s">
        <v>56</v>
      </c>
      <c r="D38" s="4">
        <f>'CO SIF'!E36</f>
        <v>194.81238400000001</v>
      </c>
      <c r="E38" s="4">
        <f t="shared" si="14"/>
        <v>0</v>
      </c>
      <c r="F38" s="40">
        <v>0</v>
      </c>
      <c r="G38" s="4">
        <f t="shared" si="20"/>
        <v>0</v>
      </c>
      <c r="H38" s="40">
        <v>0</v>
      </c>
      <c r="I38" s="4">
        <f t="shared" si="21"/>
        <v>0</v>
      </c>
      <c r="J38" s="40">
        <v>0</v>
      </c>
      <c r="K38" s="4">
        <f t="shared" si="15"/>
        <v>0</v>
      </c>
      <c r="L38" s="40">
        <v>0</v>
      </c>
      <c r="M38" s="4">
        <f t="shared" si="16"/>
        <v>0</v>
      </c>
      <c r="N38" s="40">
        <v>0</v>
      </c>
      <c r="O38" s="4">
        <f t="shared" si="17"/>
        <v>0</v>
      </c>
      <c r="P38" s="40">
        <v>0</v>
      </c>
      <c r="Q38" s="4">
        <f t="shared" si="18"/>
        <v>0</v>
      </c>
      <c r="R38" s="40">
        <v>0</v>
      </c>
      <c r="S38" s="4">
        <f>D38*T38</f>
        <v>0</v>
      </c>
      <c r="T38" s="40">
        <v>0</v>
      </c>
      <c r="U38" s="4">
        <f t="shared" si="19"/>
        <v>194.81238400000001</v>
      </c>
      <c r="V38" s="40">
        <v>1</v>
      </c>
      <c r="W38" s="41">
        <f>E38+G38+I38+K38+M38+O38+Q38+S38+U38</f>
        <v>194.81238400000001</v>
      </c>
      <c r="X38" s="42">
        <f>W38/D38</f>
        <v>1</v>
      </c>
    </row>
    <row r="39" spans="1:28" ht="20" customHeight="1" x14ac:dyDescent="0.2">
      <c r="B39" s="2">
        <v>16</v>
      </c>
      <c r="C39" s="1" t="s">
        <v>57</v>
      </c>
      <c r="D39" s="4">
        <f>'CO SIF'!E37</f>
        <v>16.532425</v>
      </c>
      <c r="E39" s="4">
        <f t="shared" si="14"/>
        <v>0</v>
      </c>
      <c r="F39" s="40">
        <v>0</v>
      </c>
      <c r="G39" s="4">
        <f t="shared" si="20"/>
        <v>0</v>
      </c>
      <c r="H39" s="40">
        <v>0</v>
      </c>
      <c r="I39" s="4">
        <f t="shared" si="21"/>
        <v>0</v>
      </c>
      <c r="J39" s="40">
        <v>0</v>
      </c>
      <c r="K39" s="4">
        <f t="shared" si="15"/>
        <v>0</v>
      </c>
      <c r="L39" s="40">
        <v>0</v>
      </c>
      <c r="M39" s="4">
        <f t="shared" si="16"/>
        <v>0</v>
      </c>
      <c r="N39" s="40">
        <v>0</v>
      </c>
      <c r="O39" s="4">
        <f t="shared" si="17"/>
        <v>0</v>
      </c>
      <c r="P39" s="40">
        <v>0</v>
      </c>
      <c r="Q39" s="4">
        <f t="shared" si="18"/>
        <v>0</v>
      </c>
      <c r="R39" s="40">
        <v>0</v>
      </c>
      <c r="S39" s="4">
        <f>D39*T39</f>
        <v>0</v>
      </c>
      <c r="T39" s="40">
        <v>0</v>
      </c>
      <c r="U39" s="4">
        <f t="shared" si="19"/>
        <v>16.532425</v>
      </c>
      <c r="V39" s="40">
        <v>1</v>
      </c>
      <c r="W39" s="41">
        <f>E39+G39+I39+K39+M39+O39+Q39+S39+U39</f>
        <v>16.532425</v>
      </c>
      <c r="X39" s="42">
        <f>W39/D39</f>
        <v>1</v>
      </c>
    </row>
    <row r="40" spans="1:28" ht="20" customHeight="1" x14ac:dyDescent="0.2">
      <c r="B40" s="2">
        <v>17</v>
      </c>
      <c r="C40" s="1" t="s">
        <v>56</v>
      </c>
      <c r="D40" s="4">
        <f>'CO SIF'!E38</f>
        <v>104.5772</v>
      </c>
      <c r="E40" s="4">
        <f t="shared" ref="E40:E41" si="22">D40*F40</f>
        <v>0</v>
      </c>
      <c r="F40" s="40">
        <v>0</v>
      </c>
      <c r="G40" s="4">
        <f t="shared" ref="G40:G41" si="23">D40*H40</f>
        <v>0</v>
      </c>
      <c r="H40" s="40">
        <v>0</v>
      </c>
      <c r="I40" s="4">
        <f t="shared" ref="I40:I41" si="24">J40*D40</f>
        <v>0</v>
      </c>
      <c r="J40" s="40">
        <v>0</v>
      </c>
      <c r="K40" s="4">
        <f t="shared" si="15"/>
        <v>0</v>
      </c>
      <c r="L40" s="40">
        <v>0</v>
      </c>
      <c r="M40" s="4">
        <f t="shared" si="16"/>
        <v>0</v>
      </c>
      <c r="N40" s="40">
        <v>0</v>
      </c>
      <c r="O40" s="4">
        <f t="shared" si="17"/>
        <v>0</v>
      </c>
      <c r="P40" s="40">
        <v>0</v>
      </c>
      <c r="Q40" s="4">
        <f t="shared" si="18"/>
        <v>0</v>
      </c>
      <c r="R40" s="40">
        <v>0</v>
      </c>
      <c r="S40" s="4">
        <f>D40*T40</f>
        <v>0</v>
      </c>
      <c r="T40" s="40">
        <v>0</v>
      </c>
      <c r="U40" s="4">
        <f t="shared" si="19"/>
        <v>104.5772</v>
      </c>
      <c r="V40" s="40">
        <v>1</v>
      </c>
      <c r="W40" s="41">
        <f>E40+G40+I40+K40+M40+O40+Q40+S40+U40</f>
        <v>104.5772</v>
      </c>
      <c r="X40" s="42">
        <f>W40/D40</f>
        <v>1</v>
      </c>
    </row>
    <row r="41" spans="1:28" ht="20" customHeight="1" x14ac:dyDescent="0.2">
      <c r="C41" s="1" t="s">
        <v>85</v>
      </c>
      <c r="D41" s="4">
        <f>'CO SIF'!E39</f>
        <v>42.896425000000001</v>
      </c>
      <c r="E41" s="4">
        <f t="shared" si="22"/>
        <v>0</v>
      </c>
      <c r="F41" s="40">
        <v>0</v>
      </c>
      <c r="G41" s="4">
        <f t="shared" si="23"/>
        <v>0</v>
      </c>
      <c r="H41" s="40">
        <v>0</v>
      </c>
      <c r="I41" s="4">
        <f t="shared" si="24"/>
        <v>0</v>
      </c>
      <c r="J41" s="40">
        <v>0</v>
      </c>
      <c r="K41" s="4">
        <f t="shared" si="15"/>
        <v>0</v>
      </c>
      <c r="L41" s="40">
        <v>0</v>
      </c>
      <c r="M41" s="4">
        <f t="shared" si="16"/>
        <v>0</v>
      </c>
      <c r="N41" s="40">
        <v>0</v>
      </c>
      <c r="O41" s="4">
        <f t="shared" si="17"/>
        <v>0</v>
      </c>
      <c r="P41" s="40">
        <v>0</v>
      </c>
      <c r="Q41" s="4">
        <f t="shared" si="18"/>
        <v>0</v>
      </c>
      <c r="R41" s="40">
        <v>0</v>
      </c>
      <c r="S41" s="4">
        <f>D41*T41</f>
        <v>0</v>
      </c>
      <c r="T41" s="40">
        <v>0</v>
      </c>
      <c r="U41" s="4">
        <f t="shared" si="19"/>
        <v>42.896425000000001</v>
      </c>
      <c r="V41" s="40">
        <v>1</v>
      </c>
      <c r="W41" s="41">
        <f>E41+G41+I41+K41+M41+O41+Q41+S41+U41</f>
        <v>42.896425000000001</v>
      </c>
      <c r="X41" s="42">
        <f>W41/D41</f>
        <v>1</v>
      </c>
    </row>
    <row r="42" spans="1:28" ht="20" customHeight="1" x14ac:dyDescent="0.2">
      <c r="D42" s="4"/>
      <c r="E42" s="4"/>
      <c r="F42" s="40"/>
      <c r="G42" s="4"/>
      <c r="H42" s="40"/>
      <c r="I42" s="4"/>
      <c r="J42" s="40"/>
      <c r="K42" s="40"/>
      <c r="L42" s="40"/>
      <c r="M42" s="40"/>
      <c r="N42" s="40"/>
      <c r="O42" s="40"/>
      <c r="P42" s="40"/>
      <c r="Q42" s="40"/>
      <c r="R42" s="40"/>
      <c r="S42" s="4"/>
      <c r="T42" s="4"/>
      <c r="U42" s="4"/>
      <c r="V42" s="4"/>
      <c r="W42" s="41"/>
      <c r="X42" s="42"/>
    </row>
    <row r="43" spans="1:28" ht="20" customHeight="1" x14ac:dyDescent="0.2">
      <c r="C43" s="3" t="s">
        <v>53</v>
      </c>
      <c r="D43" s="19">
        <f>SUM(D34:D42)</f>
        <v>1227.786859</v>
      </c>
      <c r="E43" s="44">
        <f>SUM(E34:E42)</f>
        <v>0</v>
      </c>
      <c r="F43" s="43">
        <f>E43/D43</f>
        <v>0</v>
      </c>
      <c r="G43" s="44">
        <f>SUM(G34:G42)</f>
        <v>0</v>
      </c>
      <c r="H43" s="43">
        <f>G43/D43</f>
        <v>0</v>
      </c>
      <c r="I43" s="44">
        <f>SUM(I34:I42)</f>
        <v>0</v>
      </c>
      <c r="J43" s="43">
        <f>I43/D43</f>
        <v>0</v>
      </c>
      <c r="K43" s="44">
        <f>SUM(K35:K42)</f>
        <v>0</v>
      </c>
      <c r="L43" s="43">
        <f>K43/D43</f>
        <v>0</v>
      </c>
      <c r="M43" s="44">
        <f>SUM(M35:M42)</f>
        <v>0</v>
      </c>
      <c r="N43" s="43">
        <f>M43/D43</f>
        <v>0</v>
      </c>
      <c r="O43" s="44">
        <f>SUM(O35:O42)</f>
        <v>0</v>
      </c>
      <c r="P43" s="43">
        <f>O43/D43</f>
        <v>0</v>
      </c>
      <c r="Q43" s="44">
        <f>SUM(Q35:Q42)</f>
        <v>0</v>
      </c>
      <c r="R43" s="43">
        <f>Q43/D43</f>
        <v>0</v>
      </c>
      <c r="S43" s="44">
        <f>SUM(S34:S41)</f>
        <v>0</v>
      </c>
      <c r="T43" s="43">
        <f>S43/D43</f>
        <v>0</v>
      </c>
      <c r="U43" s="44">
        <f>SUM(U34:U41)</f>
        <v>1227.786859</v>
      </c>
      <c r="V43" s="43">
        <f>U43/D43</f>
        <v>1</v>
      </c>
      <c r="W43" s="19">
        <f>SUM(W34:W41)</f>
        <v>1227.786859</v>
      </c>
      <c r="X43" s="45">
        <f>W43/D43</f>
        <v>1</v>
      </c>
    </row>
    <row r="44" spans="1:28" ht="20" customHeight="1" x14ac:dyDescent="0.2">
      <c r="C44" s="51"/>
      <c r="D44" s="52"/>
      <c r="E44" s="4"/>
      <c r="F44" s="4"/>
      <c r="G44" s="4"/>
      <c r="I44" s="4"/>
      <c r="W44" s="48">
        <f>D43-W43</f>
        <v>0</v>
      </c>
      <c r="X44" s="49">
        <f>W44/D43</f>
        <v>0</v>
      </c>
    </row>
    <row r="45" spans="1:28" ht="20" customHeight="1" x14ac:dyDescent="0.2">
      <c r="C45" s="51"/>
      <c r="D45" s="52"/>
      <c r="E45" s="4"/>
      <c r="F45" s="4"/>
      <c r="G45" s="4"/>
      <c r="I45" s="4"/>
    </row>
    <row r="46" spans="1:28" ht="20" customHeight="1" x14ac:dyDescent="0.2">
      <c r="C46" s="27" t="s">
        <v>105</v>
      </c>
      <c r="D46" s="57">
        <f>D15+D26+D31+D43</f>
        <v>3797.3986082500005</v>
      </c>
      <c r="E46" s="80"/>
      <c r="F46" s="80"/>
      <c r="G46" s="80"/>
      <c r="H46" s="27" t="s">
        <v>106</v>
      </c>
      <c r="I46" s="77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57">
        <f>W15+W26+W31+W43</f>
        <v>3797.3986082500005</v>
      </c>
      <c r="X46" s="79">
        <f>W46/D46</f>
        <v>1</v>
      </c>
      <c r="Y46" s="57">
        <f>Y15+Y26+Y31+Y43</f>
        <v>1970.0367180000003</v>
      </c>
      <c r="Z46" s="79">
        <f>Y46/D46</f>
        <v>0.51878586401754523</v>
      </c>
      <c r="AA46" s="57">
        <f>AA15+AA26+AA31+AA43</f>
        <v>389.72377031250005</v>
      </c>
      <c r="AB46" s="79">
        <f>AA46/D46</f>
        <v>0.10262914445320793</v>
      </c>
    </row>
    <row r="47" spans="1:28" ht="20" customHeight="1" x14ac:dyDescent="0.2">
      <c r="C47" s="51"/>
      <c r="D47" s="52"/>
      <c r="E47" s="4"/>
      <c r="F47" s="4"/>
      <c r="G47" s="4"/>
      <c r="I47" s="4"/>
      <c r="W47" s="48">
        <f>D46-W46</f>
        <v>0</v>
      </c>
      <c r="X47" s="49">
        <f>W47/D46</f>
        <v>0</v>
      </c>
    </row>
    <row r="48" spans="1:28" ht="19.75" customHeight="1" x14ac:dyDescent="0.2">
      <c r="C48" s="51"/>
      <c r="D48" s="52"/>
      <c r="E48" s="4"/>
      <c r="F48" s="4"/>
      <c r="G48" s="4"/>
      <c r="I48" s="4"/>
    </row>
    <row r="49" spans="3:9" ht="20" customHeight="1" x14ac:dyDescent="0.2">
      <c r="C49" s="51"/>
      <c r="D49" s="52"/>
      <c r="E49" s="4"/>
      <c r="F49" s="4"/>
      <c r="G49" s="4"/>
      <c r="I49" s="4"/>
    </row>
    <row r="50" spans="3:9" ht="20" customHeight="1" x14ac:dyDescent="0.2"/>
    <row r="51" spans="3:9" ht="20" customHeight="1" x14ac:dyDescent="0.2"/>
    <row r="52" spans="3:9" ht="20" customHeight="1" x14ac:dyDescent="0.2"/>
    <row r="53" spans="3:9" ht="20" customHeight="1" x14ac:dyDescent="0.2"/>
    <row r="54" spans="3:9" ht="20" customHeight="1" x14ac:dyDescent="0.2"/>
    <row r="55" spans="3:9" ht="20" customHeight="1" x14ac:dyDescent="0.2"/>
    <row r="56" spans="3:9" ht="20" customHeight="1" x14ac:dyDescent="0.2"/>
    <row r="57" spans="3:9" ht="20" customHeight="1" x14ac:dyDescent="0.2"/>
  </sheetData>
  <mergeCells count="22">
    <mergeCell ref="U7:V7"/>
    <mergeCell ref="U8:V8"/>
    <mergeCell ref="K7:L7"/>
    <mergeCell ref="M7:N7"/>
    <mergeCell ref="O7:P7"/>
    <mergeCell ref="Q7:R7"/>
    <mergeCell ref="K8:L8"/>
    <mergeCell ref="M8:N8"/>
    <mergeCell ref="O8:P8"/>
    <mergeCell ref="Q8:R8"/>
    <mergeCell ref="E8:F8"/>
    <mergeCell ref="G8:H8"/>
    <mergeCell ref="I8:J8"/>
    <mergeCell ref="A6:I6"/>
    <mergeCell ref="E7:F7"/>
    <mergeCell ref="G7:H7"/>
    <mergeCell ref="I7:J7"/>
    <mergeCell ref="S7:T7"/>
    <mergeCell ref="S8:T8"/>
    <mergeCell ref="Y8:Z8"/>
    <mergeCell ref="AA8:AB8"/>
    <mergeCell ref="W8:X8"/>
  </mergeCells>
  <phoneticPr fontId="6" type="noConversion"/>
  <pageMargins left="0.7" right="0.7" top="0.75" bottom="0.75" header="0.3" footer="0.3"/>
  <pageSetup scale="3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259F-E771-4C99-A0F4-CBF91C67AACA}">
  <sheetPr>
    <tabColor rgb="FFA7C9D2"/>
  </sheetPr>
  <dimension ref="A6:AH56"/>
  <sheetViews>
    <sheetView zoomScaleNormal="70" zoomScaleSheetLayoutView="70" workbookViewId="0">
      <pane xSplit="4" ySplit="9" topLeftCell="G10" activePane="bottomRight" state="frozen"/>
      <selection pane="topRight" activeCell="E1" sqref="E1"/>
      <selection pane="bottomLeft" activeCell="A10" sqref="A10"/>
      <selection pane="bottomRight" activeCell="Z42" sqref="Z42"/>
    </sheetView>
  </sheetViews>
  <sheetFormatPr baseColWidth="10" defaultColWidth="11.5" defaultRowHeight="14" x14ac:dyDescent="0.2"/>
  <cols>
    <col min="1" max="1" width="11.5" style="2"/>
    <col min="2" max="2" width="10.83203125" style="2" customWidth="1"/>
    <col min="3" max="3" width="38.5" style="1" customWidth="1"/>
    <col min="4" max="6" width="12.83203125" style="2" customWidth="1"/>
    <col min="7" max="28" width="12.83203125" style="1" customWidth="1"/>
    <col min="29" max="16384" width="11.5" style="1"/>
  </cols>
  <sheetData>
    <row r="6" spans="1:34" ht="41.5" customHeight="1" x14ac:dyDescent="0.2">
      <c r="A6" s="239" t="s">
        <v>118</v>
      </c>
      <c r="B6" s="239"/>
      <c r="C6" s="239"/>
      <c r="D6" s="239"/>
      <c r="E6" s="239"/>
      <c r="F6" s="239"/>
      <c r="G6" s="239"/>
      <c r="H6" s="239"/>
      <c r="I6" s="23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ht="20" customHeight="1" x14ac:dyDescent="0.2">
      <c r="A7" s="9"/>
      <c r="B7" s="9"/>
      <c r="C7" s="3"/>
      <c r="D7" s="9"/>
      <c r="E7" s="243" t="s">
        <v>61</v>
      </c>
      <c r="F7" s="243"/>
      <c r="G7" s="243" t="s">
        <v>62</v>
      </c>
      <c r="H7" s="243"/>
      <c r="I7" s="243" t="s">
        <v>63</v>
      </c>
      <c r="J7" s="243"/>
      <c r="K7" s="243" t="s">
        <v>109</v>
      </c>
      <c r="L7" s="243"/>
      <c r="M7" s="243" t="s">
        <v>110</v>
      </c>
      <c r="N7" s="243"/>
      <c r="O7" s="243" t="s">
        <v>111</v>
      </c>
      <c r="P7" s="243"/>
      <c r="Q7" s="243" t="s">
        <v>112</v>
      </c>
      <c r="R7" s="243"/>
      <c r="S7" s="246" t="s">
        <v>121</v>
      </c>
      <c r="T7" s="243"/>
      <c r="U7" s="246" t="s">
        <v>144</v>
      </c>
      <c r="V7" s="243"/>
      <c r="W7" s="246" t="s">
        <v>210</v>
      </c>
      <c r="X7" s="243"/>
      <c r="Y7" s="246" t="s">
        <v>215</v>
      </c>
      <c r="Z7" s="243"/>
      <c r="AA7" s="9"/>
      <c r="AB7" s="9"/>
      <c r="AC7" s="82"/>
      <c r="AD7" s="82"/>
      <c r="AE7" s="82"/>
      <c r="AF7" s="82"/>
      <c r="AG7" s="82"/>
      <c r="AH7" s="82"/>
    </row>
    <row r="8" spans="1:34" ht="25" customHeight="1" x14ac:dyDescent="0.2">
      <c r="A8" s="9" t="s">
        <v>49</v>
      </c>
      <c r="B8" s="9" t="s">
        <v>50</v>
      </c>
      <c r="C8" s="9" t="s">
        <v>28</v>
      </c>
      <c r="D8" s="9" t="s">
        <v>2</v>
      </c>
      <c r="E8" s="244" t="s">
        <v>47</v>
      </c>
      <c r="F8" s="244"/>
      <c r="G8" s="244" t="s">
        <v>48</v>
      </c>
      <c r="H8" s="244"/>
      <c r="I8" s="244" t="s">
        <v>60</v>
      </c>
      <c r="J8" s="244"/>
      <c r="K8" s="244" t="s">
        <v>113</v>
      </c>
      <c r="L8" s="244"/>
      <c r="M8" s="244" t="s">
        <v>114</v>
      </c>
      <c r="N8" s="244"/>
      <c r="O8" s="244" t="s">
        <v>115</v>
      </c>
      <c r="P8" s="244"/>
      <c r="Q8" s="244" t="s">
        <v>116</v>
      </c>
      <c r="R8" s="244"/>
      <c r="S8" s="244" t="s">
        <v>122</v>
      </c>
      <c r="T8" s="244"/>
      <c r="U8" s="244" t="s">
        <v>145</v>
      </c>
      <c r="V8" s="244"/>
      <c r="W8" s="244" t="s">
        <v>209</v>
      </c>
      <c r="X8" s="244"/>
      <c r="Y8" s="244"/>
      <c r="Z8" s="244"/>
      <c r="AA8" s="245" t="s">
        <v>51</v>
      </c>
      <c r="AB8" s="245"/>
      <c r="AC8" s="245" t="s">
        <v>119</v>
      </c>
      <c r="AD8" s="245"/>
      <c r="AE8" s="245" t="s">
        <v>120</v>
      </c>
      <c r="AF8" s="245"/>
      <c r="AG8" s="245" t="s">
        <v>211</v>
      </c>
      <c r="AH8" s="245"/>
    </row>
    <row r="9" spans="1:34" ht="20" customHeight="1" x14ac:dyDescent="0.2">
      <c r="A9" s="37"/>
      <c r="B9" s="37"/>
      <c r="C9" s="37"/>
      <c r="D9" s="37"/>
      <c r="E9" s="38" t="s">
        <v>2</v>
      </c>
      <c r="F9" s="38" t="s">
        <v>52</v>
      </c>
      <c r="G9" s="38" t="s">
        <v>2</v>
      </c>
      <c r="H9" s="38" t="s">
        <v>52</v>
      </c>
      <c r="I9" s="38" t="s">
        <v>2</v>
      </c>
      <c r="J9" s="38" t="s">
        <v>52</v>
      </c>
      <c r="K9" s="38" t="s">
        <v>2</v>
      </c>
      <c r="L9" s="38" t="s">
        <v>52</v>
      </c>
      <c r="M9" s="38" t="s">
        <v>2</v>
      </c>
      <c r="N9" s="38" t="s">
        <v>52</v>
      </c>
      <c r="O9" s="38" t="s">
        <v>2</v>
      </c>
      <c r="P9" s="38" t="s">
        <v>52</v>
      </c>
      <c r="Q9" s="38" t="s">
        <v>2</v>
      </c>
      <c r="R9" s="38" t="s">
        <v>52</v>
      </c>
      <c r="S9" s="38" t="s">
        <v>2</v>
      </c>
      <c r="T9" s="38" t="s">
        <v>52</v>
      </c>
      <c r="U9" s="38" t="s">
        <v>2</v>
      </c>
      <c r="V9" s="38" t="s">
        <v>52</v>
      </c>
      <c r="W9" s="38" t="s">
        <v>2</v>
      </c>
      <c r="X9" s="38" t="s">
        <v>52</v>
      </c>
      <c r="Y9" s="38" t="s">
        <v>2</v>
      </c>
      <c r="Z9" s="38" t="s">
        <v>52</v>
      </c>
      <c r="AA9" s="39" t="s">
        <v>2</v>
      </c>
      <c r="AB9" s="39" t="s">
        <v>52</v>
      </c>
      <c r="AC9" s="38" t="s">
        <v>2</v>
      </c>
      <c r="AD9" s="38" t="s">
        <v>52</v>
      </c>
      <c r="AE9" s="38" t="s">
        <v>2</v>
      </c>
      <c r="AF9" s="38" t="s">
        <v>52</v>
      </c>
      <c r="AG9" s="38" t="s">
        <v>2</v>
      </c>
      <c r="AH9" s="38" t="s">
        <v>52</v>
      </c>
    </row>
    <row r="10" spans="1:34" ht="20" customHeight="1" x14ac:dyDescent="0.2">
      <c r="A10" s="14" t="s">
        <v>55</v>
      </c>
      <c r="B10" s="2">
        <v>1</v>
      </c>
      <c r="C10" s="1" t="s">
        <v>86</v>
      </c>
      <c r="D10" s="4">
        <f>CO!K6</f>
        <v>33.6</v>
      </c>
      <c r="E10" s="4">
        <f>D10*F10</f>
        <v>0</v>
      </c>
      <c r="F10" s="40">
        <v>0</v>
      </c>
      <c r="G10" s="4">
        <f>D10*H10</f>
        <v>33.6</v>
      </c>
      <c r="H10" s="40">
        <v>1</v>
      </c>
      <c r="I10" s="4">
        <f>D10*J10</f>
        <v>0</v>
      </c>
      <c r="J10" s="40">
        <v>0</v>
      </c>
      <c r="K10" s="4">
        <f>F10*L10</f>
        <v>0</v>
      </c>
      <c r="L10" s="40">
        <v>0</v>
      </c>
      <c r="M10" s="4">
        <f>H10*N10</f>
        <v>0</v>
      </c>
      <c r="N10" s="40">
        <v>0</v>
      </c>
      <c r="O10" s="4">
        <f>J10*P10</f>
        <v>0</v>
      </c>
      <c r="P10" s="40">
        <v>0</v>
      </c>
      <c r="Q10" s="4">
        <f>L10*R10</f>
        <v>0</v>
      </c>
      <c r="R10" s="40">
        <v>0</v>
      </c>
      <c r="S10" s="4">
        <f>N10*T10</f>
        <v>0</v>
      </c>
      <c r="T10" s="40">
        <v>0</v>
      </c>
      <c r="U10" s="4">
        <f t="shared" ref="U10:U12" si="0">D10*V10</f>
        <v>0</v>
      </c>
      <c r="V10" s="40">
        <v>0</v>
      </c>
      <c r="W10" s="4">
        <f>F10*D10</f>
        <v>0</v>
      </c>
      <c r="X10" s="40">
        <v>0</v>
      </c>
      <c r="Y10" s="4">
        <f>Z10*D10</f>
        <v>0</v>
      </c>
      <c r="Z10" s="40">
        <v>0</v>
      </c>
      <c r="AA10" s="41">
        <f>E10+G10+I10+K10+M10+O10+Q10+S10+U10+W10+Y10</f>
        <v>33.6</v>
      </c>
      <c r="AB10" s="42">
        <f>AA10/D10</f>
        <v>1</v>
      </c>
      <c r="AC10" s="83">
        <f>E10+G10+I10</f>
        <v>33.6</v>
      </c>
      <c r="AD10" s="84">
        <f>AC10/D10</f>
        <v>1</v>
      </c>
      <c r="AE10" s="83">
        <f>K10+M10+O10+Q10+S10+U10</f>
        <v>0</v>
      </c>
      <c r="AF10" s="84">
        <f>AE10/D10</f>
        <v>0</v>
      </c>
      <c r="AG10" s="83">
        <f>M10+O10+Q10+S10+U10+W10</f>
        <v>0</v>
      </c>
      <c r="AH10" s="84" t="e">
        <f>AG10/F10</f>
        <v>#DIV/0!</v>
      </c>
    </row>
    <row r="11" spans="1:34" ht="20" customHeight="1" x14ac:dyDescent="0.2">
      <c r="A11" s="14"/>
      <c r="B11" s="2">
        <v>4</v>
      </c>
      <c r="C11" s="1" t="s">
        <v>87</v>
      </c>
      <c r="D11" s="4">
        <f>CO!K11</f>
        <v>36</v>
      </c>
      <c r="E11" s="2">
        <v>0</v>
      </c>
      <c r="F11" s="40">
        <v>0</v>
      </c>
      <c r="G11" s="4">
        <f>D11*H11</f>
        <v>0</v>
      </c>
      <c r="H11" s="40">
        <v>0</v>
      </c>
      <c r="I11" s="4">
        <f>D11*J11</f>
        <v>0</v>
      </c>
      <c r="J11" s="40">
        <v>0</v>
      </c>
      <c r="K11" s="4">
        <f>F11*L11</f>
        <v>0</v>
      </c>
      <c r="L11" s="40">
        <v>0</v>
      </c>
      <c r="M11" s="4">
        <f>H11*N11</f>
        <v>0</v>
      </c>
      <c r="N11" s="40">
        <v>0</v>
      </c>
      <c r="O11" s="4">
        <f>J11*P11</f>
        <v>0</v>
      </c>
      <c r="P11" s="40">
        <v>0</v>
      </c>
      <c r="Q11" s="4">
        <f>L11*R11</f>
        <v>0</v>
      </c>
      <c r="R11" s="40">
        <v>0</v>
      </c>
      <c r="S11" s="4">
        <f>N11*T11</f>
        <v>0</v>
      </c>
      <c r="T11" s="40">
        <v>0</v>
      </c>
      <c r="U11" s="4">
        <f t="shared" si="0"/>
        <v>0</v>
      </c>
      <c r="V11" s="40">
        <v>0</v>
      </c>
      <c r="W11" s="4">
        <f t="shared" ref="W11:W13" si="1">F11*D11</f>
        <v>0</v>
      </c>
      <c r="X11" s="40">
        <v>0</v>
      </c>
      <c r="Y11" s="4">
        <f t="shared" ref="Y11:Y13" si="2">Z11*D11</f>
        <v>36</v>
      </c>
      <c r="Z11" s="40">
        <v>1</v>
      </c>
      <c r="AA11" s="41">
        <f>E11+G11+I11+K11+M11+O11+Q11+S11+U11+W11+Y11</f>
        <v>36</v>
      </c>
      <c r="AB11" s="42">
        <f>AA11/D11</f>
        <v>1</v>
      </c>
      <c r="AC11" s="83">
        <f t="shared" ref="AC11:AC13" si="3">E11+G11+I11</f>
        <v>0</v>
      </c>
      <c r="AD11" s="84">
        <f t="shared" ref="AD11" si="4">AC11/D11</f>
        <v>0</v>
      </c>
      <c r="AE11" s="83">
        <f t="shared" ref="AE11:AE13" si="5">K11+M11+O11+Q11+S11+U11</f>
        <v>0</v>
      </c>
      <c r="AF11" s="84">
        <f t="shared" ref="AF11" si="6">AE11/D11</f>
        <v>0</v>
      </c>
      <c r="AG11" s="83">
        <f t="shared" ref="AG11:AG13" si="7">M11+O11+Q11+S11+U11+W11</f>
        <v>0</v>
      </c>
      <c r="AH11" s="84" t="e">
        <f t="shared" ref="AH11" si="8">AG11/F11</f>
        <v>#DIV/0!</v>
      </c>
    </row>
    <row r="12" spans="1:34" ht="20" customHeight="1" x14ac:dyDescent="0.2">
      <c r="B12" s="2">
        <v>3</v>
      </c>
      <c r="C12" s="1" t="s">
        <v>88</v>
      </c>
      <c r="D12" s="4">
        <v>0</v>
      </c>
      <c r="E12" s="2">
        <v>0</v>
      </c>
      <c r="F12" s="40">
        <v>0</v>
      </c>
      <c r="G12" s="4">
        <f t="shared" ref="G12:G13" si="9">D12*H12</f>
        <v>0</v>
      </c>
      <c r="H12" s="40">
        <v>0</v>
      </c>
      <c r="I12" s="4">
        <f t="shared" ref="I12:I13" si="10">D12*J12</f>
        <v>0</v>
      </c>
      <c r="J12" s="40">
        <v>0</v>
      </c>
      <c r="K12" s="4">
        <f t="shared" ref="K12:K13" si="11">F12*L12</f>
        <v>0</v>
      </c>
      <c r="L12" s="40">
        <v>0</v>
      </c>
      <c r="M12" s="4">
        <f t="shared" ref="M12:M13" si="12">H12*N12</f>
        <v>0</v>
      </c>
      <c r="N12" s="40">
        <v>0</v>
      </c>
      <c r="O12" s="4">
        <f t="shared" ref="O12:O13" si="13">J12*P12</f>
        <v>0</v>
      </c>
      <c r="P12" s="40">
        <v>0</v>
      </c>
      <c r="Q12" s="4">
        <f t="shared" ref="Q12:Q13" si="14">L12*R12</f>
        <v>0</v>
      </c>
      <c r="R12" s="40">
        <v>0</v>
      </c>
      <c r="S12" s="4">
        <f t="shared" ref="S12:S13" si="15">N12*T12</f>
        <v>0</v>
      </c>
      <c r="T12" s="40">
        <v>0</v>
      </c>
      <c r="U12" s="4">
        <f t="shared" si="0"/>
        <v>0</v>
      </c>
      <c r="V12" s="40">
        <v>0</v>
      </c>
      <c r="W12" s="4">
        <f t="shared" si="1"/>
        <v>0</v>
      </c>
      <c r="X12" s="40">
        <v>0</v>
      </c>
      <c r="Y12" s="4">
        <f>Z12*D12</f>
        <v>0</v>
      </c>
      <c r="Z12" s="40">
        <v>1</v>
      </c>
      <c r="AA12" s="41">
        <f>E12+G12+I12+K12+M12+O12+Q12+S12+U12+W12+Y12</f>
        <v>0</v>
      </c>
      <c r="AB12" s="42">
        <v>0</v>
      </c>
      <c r="AC12" s="83">
        <f t="shared" si="3"/>
        <v>0</v>
      </c>
      <c r="AD12" s="84">
        <v>0</v>
      </c>
      <c r="AE12" s="83">
        <f t="shared" si="5"/>
        <v>0</v>
      </c>
      <c r="AF12" s="84">
        <v>0</v>
      </c>
      <c r="AG12" s="83">
        <f t="shared" si="7"/>
        <v>0</v>
      </c>
      <c r="AH12" s="84">
        <v>0</v>
      </c>
    </row>
    <row r="13" spans="1:34" ht="20" customHeight="1" x14ac:dyDescent="0.2">
      <c r="B13" s="2">
        <v>4</v>
      </c>
      <c r="C13" s="1" t="s">
        <v>89</v>
      </c>
      <c r="D13" s="4">
        <v>0</v>
      </c>
      <c r="E13" s="2">
        <v>0</v>
      </c>
      <c r="F13" s="40">
        <v>0</v>
      </c>
      <c r="G13" s="4">
        <f t="shared" si="9"/>
        <v>0</v>
      </c>
      <c r="H13" s="40">
        <v>0</v>
      </c>
      <c r="I13" s="4">
        <f t="shared" si="10"/>
        <v>0</v>
      </c>
      <c r="J13" s="40">
        <v>0</v>
      </c>
      <c r="K13" s="4">
        <f t="shared" si="11"/>
        <v>0</v>
      </c>
      <c r="L13" s="40">
        <v>0</v>
      </c>
      <c r="M13" s="4">
        <f t="shared" si="12"/>
        <v>0</v>
      </c>
      <c r="N13" s="40">
        <v>0</v>
      </c>
      <c r="O13" s="4">
        <f t="shared" si="13"/>
        <v>0</v>
      </c>
      <c r="P13" s="40">
        <v>0</v>
      </c>
      <c r="Q13" s="4">
        <f t="shared" si="14"/>
        <v>0</v>
      </c>
      <c r="R13" s="40">
        <v>0</v>
      </c>
      <c r="S13" s="4">
        <f t="shared" si="15"/>
        <v>0</v>
      </c>
      <c r="T13" s="40">
        <v>0</v>
      </c>
      <c r="U13" s="4">
        <f>D13*V13</f>
        <v>0</v>
      </c>
      <c r="V13" s="40">
        <v>0</v>
      </c>
      <c r="W13" s="4">
        <f t="shared" si="1"/>
        <v>0</v>
      </c>
      <c r="X13" s="40">
        <v>0</v>
      </c>
      <c r="Y13" s="4">
        <f t="shared" si="2"/>
        <v>0</v>
      </c>
      <c r="Z13" s="40">
        <v>1</v>
      </c>
      <c r="AA13" s="41">
        <f>E13+G13+I13+K13+M13+O13+Q13+S13+U13+W13+Y13</f>
        <v>0</v>
      </c>
      <c r="AB13" s="42">
        <v>0</v>
      </c>
      <c r="AC13" s="83">
        <f t="shared" si="3"/>
        <v>0</v>
      </c>
      <c r="AD13" s="84">
        <v>0</v>
      </c>
      <c r="AE13" s="83">
        <f t="shared" si="5"/>
        <v>0</v>
      </c>
      <c r="AF13" s="84">
        <v>0</v>
      </c>
      <c r="AG13" s="83">
        <f t="shared" si="7"/>
        <v>0</v>
      </c>
      <c r="AH13" s="84">
        <v>0</v>
      </c>
    </row>
    <row r="14" spans="1:34" ht="20" customHeight="1" x14ac:dyDescent="0.2">
      <c r="B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1"/>
      <c r="AB14" s="41"/>
    </row>
    <row r="15" spans="1:34" ht="20" customHeight="1" x14ac:dyDescent="0.2">
      <c r="C15" s="3" t="s">
        <v>53</v>
      </c>
      <c r="D15" s="19">
        <f>SUM(D10:D14)</f>
        <v>69.599999999999994</v>
      </c>
      <c r="E15" s="33">
        <f>SUM(E10:E14)</f>
        <v>0</v>
      </c>
      <c r="F15" s="43">
        <f>E15/D15</f>
        <v>0</v>
      </c>
      <c r="G15" s="44">
        <f>SUM(G10:G13)</f>
        <v>33.6</v>
      </c>
      <c r="H15" s="43">
        <f>G15/D15</f>
        <v>0.48275862068965525</v>
      </c>
      <c r="I15" s="44">
        <f>SUM(I10:I13)</f>
        <v>0</v>
      </c>
      <c r="J15" s="43">
        <f>I15/D15</f>
        <v>0</v>
      </c>
      <c r="K15" s="44">
        <f>SUM(K6:K13)</f>
        <v>0</v>
      </c>
      <c r="L15" s="43">
        <f>K15/D15</f>
        <v>0</v>
      </c>
      <c r="M15" s="44">
        <f>SUM(M6:M13)</f>
        <v>0</v>
      </c>
      <c r="N15" s="43">
        <f>M15/D15</f>
        <v>0</v>
      </c>
      <c r="O15" s="44">
        <f>SUM(O6:O13)</f>
        <v>0</v>
      </c>
      <c r="P15" s="43">
        <f>O15/D15</f>
        <v>0</v>
      </c>
      <c r="Q15" s="44">
        <f>SUM(Q6:Q13)</f>
        <v>0</v>
      </c>
      <c r="R15" s="43">
        <f>Q15/D15</f>
        <v>0</v>
      </c>
      <c r="S15" s="44">
        <f>SUM(S6:S13)</f>
        <v>0</v>
      </c>
      <c r="T15" s="43">
        <f>S15/D15</f>
        <v>0</v>
      </c>
      <c r="U15" s="44">
        <f>SUM(U6:U13)</f>
        <v>0</v>
      </c>
      <c r="V15" s="43">
        <f>U15/D15</f>
        <v>0</v>
      </c>
      <c r="W15" s="44">
        <f>SUM(W6:W13)</f>
        <v>0</v>
      </c>
      <c r="X15" s="43">
        <f>W15/D15</f>
        <v>0</v>
      </c>
      <c r="Y15" s="44">
        <f>SUM(Y6:Y13)</f>
        <v>36</v>
      </c>
      <c r="Z15" s="43">
        <f>Y15/D15</f>
        <v>0.51724137931034486</v>
      </c>
      <c r="AA15" s="19">
        <f>SUM(AA10:AA13)</f>
        <v>69.599999999999994</v>
      </c>
      <c r="AB15" s="45">
        <f>AA15/D15</f>
        <v>1</v>
      </c>
      <c r="AC15" s="19">
        <f>SUM(AC10:AC13)</f>
        <v>33.6</v>
      </c>
      <c r="AD15" s="45">
        <f>AC15/D15</f>
        <v>0.48275862068965525</v>
      </c>
      <c r="AE15" s="19">
        <f>SUM(AE10:AE13)</f>
        <v>0</v>
      </c>
      <c r="AF15" s="45">
        <f>AE15/D15</f>
        <v>0</v>
      </c>
      <c r="AG15" s="19">
        <f>SUM(AG10:AG13)</f>
        <v>0</v>
      </c>
      <c r="AH15" s="45" t="e">
        <f>AG15/F15</f>
        <v>#DIV/0!</v>
      </c>
    </row>
    <row r="16" spans="1:34" ht="20" customHeight="1" x14ac:dyDescent="0.2">
      <c r="C16" s="46"/>
      <c r="D16" s="47"/>
      <c r="AA16" s="48">
        <f>D15-AA15</f>
        <v>0</v>
      </c>
      <c r="AB16" s="49">
        <f>AA16/D15</f>
        <v>0</v>
      </c>
    </row>
    <row r="17" spans="1:34" ht="20" customHeight="1" x14ac:dyDescent="0.2">
      <c r="C17" s="46"/>
      <c r="D17" s="50"/>
      <c r="E17" s="8"/>
      <c r="F17" s="8"/>
      <c r="G17" s="5"/>
      <c r="H17" s="2"/>
      <c r="I17" s="5"/>
      <c r="J17" s="2"/>
      <c r="K17" s="5"/>
      <c r="L17" s="2"/>
      <c r="M17" s="5"/>
      <c r="N17" s="2"/>
      <c r="O17" s="5"/>
      <c r="P17" s="2"/>
      <c r="Q17" s="5"/>
      <c r="R17" s="2"/>
      <c r="S17" s="5"/>
      <c r="T17" s="2"/>
      <c r="U17" s="5"/>
      <c r="V17" s="2"/>
      <c r="W17" s="5"/>
      <c r="X17" s="2"/>
      <c r="Y17" s="5"/>
      <c r="Z17" s="2"/>
      <c r="AB17" s="2"/>
    </row>
    <row r="18" spans="1:34" ht="20" customHeight="1" x14ac:dyDescent="0.2">
      <c r="C18" s="46"/>
      <c r="D18" s="50"/>
      <c r="E18" s="8"/>
      <c r="F18" s="8"/>
      <c r="G18" s="5"/>
      <c r="H18" s="2"/>
      <c r="I18" s="5"/>
      <c r="J18" s="2"/>
      <c r="K18" s="5"/>
      <c r="L18" s="2"/>
      <c r="M18" s="5"/>
      <c r="N18" s="2"/>
      <c r="O18" s="5"/>
      <c r="P18" s="2"/>
      <c r="Q18" s="5"/>
      <c r="R18" s="2"/>
      <c r="S18" s="5"/>
      <c r="T18" s="2"/>
      <c r="U18" s="5"/>
      <c r="V18" s="2"/>
      <c r="W18" s="5"/>
      <c r="X18" s="2"/>
      <c r="Y18" s="5"/>
      <c r="Z18" s="2"/>
      <c r="AB18" s="2"/>
    </row>
    <row r="19" spans="1:34" ht="20" customHeight="1" x14ac:dyDescent="0.2">
      <c r="A19" s="14" t="s">
        <v>59</v>
      </c>
      <c r="B19" s="2">
        <v>5</v>
      </c>
      <c r="C19" s="1" t="s">
        <v>56</v>
      </c>
      <c r="D19" s="4">
        <f>SUM(CO!K21:K27)</f>
        <v>277.10000000000002</v>
      </c>
      <c r="E19" s="4">
        <f t="shared" ref="E19:E24" si="16">D19*F19</f>
        <v>0</v>
      </c>
      <c r="F19" s="40">
        <v>0</v>
      </c>
      <c r="G19" s="4">
        <f>D19*H19</f>
        <v>0</v>
      </c>
      <c r="H19" s="40">
        <v>0</v>
      </c>
      <c r="I19" s="4">
        <f>J19*D19</f>
        <v>88.672000000000011</v>
      </c>
      <c r="J19" s="40">
        <v>0.32</v>
      </c>
      <c r="K19" s="4">
        <f>L19*F19</f>
        <v>0</v>
      </c>
      <c r="L19" s="40">
        <v>0</v>
      </c>
      <c r="M19" s="4">
        <f>N19*H19</f>
        <v>0</v>
      </c>
      <c r="N19" s="40">
        <v>0</v>
      </c>
      <c r="O19" s="4">
        <f>P19*D19</f>
        <v>41.565000000000005</v>
      </c>
      <c r="P19" s="40">
        <v>0.15</v>
      </c>
      <c r="Q19" s="4">
        <f>R19*D19</f>
        <v>0</v>
      </c>
      <c r="R19" s="40">
        <v>0</v>
      </c>
      <c r="S19" s="4">
        <f>T19*N19</f>
        <v>0</v>
      </c>
      <c r="T19" s="40">
        <v>0</v>
      </c>
      <c r="U19" s="4">
        <f t="shared" ref="U19:U23" si="17">D19*V19</f>
        <v>88.672000000000011</v>
      </c>
      <c r="V19" s="40">
        <v>0.32</v>
      </c>
      <c r="W19" s="4">
        <f t="shared" ref="W19:W23" si="18">F19*X19</f>
        <v>0</v>
      </c>
      <c r="X19" s="40">
        <v>0.32</v>
      </c>
      <c r="Y19" s="4">
        <f>Z19*D19</f>
        <v>58.191000000000003</v>
      </c>
      <c r="Z19" s="40">
        <v>0.21</v>
      </c>
      <c r="AA19" s="41">
        <f>E19+G19+I19+K19+M19+O19+Q19+S19+U19+W19+Y19</f>
        <v>277.10000000000002</v>
      </c>
      <c r="AB19" s="42">
        <f>AA19/D19</f>
        <v>1</v>
      </c>
      <c r="AC19" s="83">
        <f t="shared" ref="AC19:AC23" si="19">E19+G19+I19</f>
        <v>88.672000000000011</v>
      </c>
      <c r="AD19" s="84">
        <f t="shared" ref="AD19:AD22" si="20">AC19/D19</f>
        <v>0.32</v>
      </c>
      <c r="AE19" s="83">
        <f t="shared" ref="AE19:AE23" si="21">K19+M19+O19+Q19+S19+U19</f>
        <v>130.23700000000002</v>
      </c>
      <c r="AF19" s="84">
        <f t="shared" ref="AF19:AF22" si="22">AE19/D19</f>
        <v>0.47000000000000003</v>
      </c>
      <c r="AG19" s="83">
        <f>W19</f>
        <v>0</v>
      </c>
      <c r="AH19" s="84">
        <f>AG19/D19</f>
        <v>0</v>
      </c>
    </row>
    <row r="20" spans="1:34" ht="20" customHeight="1" x14ac:dyDescent="0.2">
      <c r="A20" s="14"/>
      <c r="C20" s="1" t="s">
        <v>66</v>
      </c>
      <c r="D20" s="4">
        <v>0</v>
      </c>
      <c r="E20" s="4">
        <f t="shared" si="16"/>
        <v>0</v>
      </c>
      <c r="F20" s="40">
        <v>0</v>
      </c>
      <c r="G20" s="4">
        <f>D20*H20</f>
        <v>0</v>
      </c>
      <c r="H20" s="40">
        <v>0</v>
      </c>
      <c r="I20" s="4">
        <f>J20*D20</f>
        <v>0</v>
      </c>
      <c r="J20" s="40">
        <v>0</v>
      </c>
      <c r="K20" s="4">
        <f>L20*F20</f>
        <v>0</v>
      </c>
      <c r="L20" s="40">
        <v>0</v>
      </c>
      <c r="M20" s="4">
        <f>N20*H20</f>
        <v>0</v>
      </c>
      <c r="N20" s="40">
        <v>0</v>
      </c>
      <c r="O20" s="4">
        <f>P20*J20</f>
        <v>0</v>
      </c>
      <c r="P20" s="40">
        <v>0</v>
      </c>
      <c r="Q20" s="4">
        <f t="shared" ref="Q20:Q24" si="23">R20*D20</f>
        <v>0</v>
      </c>
      <c r="R20" s="40">
        <v>0</v>
      </c>
      <c r="S20" s="4">
        <f>T20*N20</f>
        <v>0</v>
      </c>
      <c r="T20" s="40">
        <v>0</v>
      </c>
      <c r="U20" s="4">
        <f t="shared" si="17"/>
        <v>0</v>
      </c>
      <c r="V20" s="40">
        <v>0</v>
      </c>
      <c r="W20" s="4">
        <f t="shared" si="18"/>
        <v>0</v>
      </c>
      <c r="X20" s="40">
        <v>0</v>
      </c>
      <c r="Y20" s="4">
        <f t="shared" ref="Y20:Y24" si="24">Z20*D20</f>
        <v>0</v>
      </c>
      <c r="Z20" s="40">
        <v>1</v>
      </c>
      <c r="AA20" s="41">
        <f>E20+G20+I20+K20+M20+O20+Q20+S20+U20+W20+Y20</f>
        <v>0</v>
      </c>
      <c r="AB20" s="42">
        <v>0</v>
      </c>
      <c r="AC20" s="83">
        <f t="shared" si="19"/>
        <v>0</v>
      </c>
      <c r="AD20" s="84">
        <v>0</v>
      </c>
      <c r="AE20" s="83">
        <f t="shared" si="21"/>
        <v>0</v>
      </c>
      <c r="AF20" s="84">
        <v>0</v>
      </c>
      <c r="AG20" s="83">
        <f t="shared" ref="AG20:AG24" si="25">W20</f>
        <v>0</v>
      </c>
      <c r="AH20" s="84">
        <v>0</v>
      </c>
    </row>
    <row r="21" spans="1:34" ht="20" customHeight="1" x14ac:dyDescent="0.2">
      <c r="B21" s="2">
        <v>6</v>
      </c>
      <c r="C21" s="1" t="s">
        <v>57</v>
      </c>
      <c r="D21" s="4">
        <v>0</v>
      </c>
      <c r="E21" s="4">
        <f t="shared" si="16"/>
        <v>0</v>
      </c>
      <c r="F21" s="40">
        <v>0</v>
      </c>
      <c r="G21" s="4">
        <f t="shared" ref="G21:G24" si="26">D21*H21</f>
        <v>0</v>
      </c>
      <c r="H21" s="40">
        <v>0</v>
      </c>
      <c r="I21" s="4">
        <f t="shared" ref="I21:I24" si="27">J21*D21</f>
        <v>0</v>
      </c>
      <c r="J21" s="40">
        <v>0</v>
      </c>
      <c r="K21" s="4">
        <f t="shared" ref="K21:K24" si="28">L21*F21</f>
        <v>0</v>
      </c>
      <c r="L21" s="40">
        <v>0</v>
      </c>
      <c r="M21" s="4">
        <f t="shared" ref="M21:M24" si="29">N21*H21</f>
        <v>0</v>
      </c>
      <c r="N21" s="40">
        <v>0</v>
      </c>
      <c r="O21" s="4">
        <f t="shared" ref="O21:O24" si="30">P21*J21</f>
        <v>0</v>
      </c>
      <c r="P21" s="40">
        <v>0</v>
      </c>
      <c r="Q21" s="4">
        <f t="shared" si="23"/>
        <v>0</v>
      </c>
      <c r="R21" s="40">
        <v>0</v>
      </c>
      <c r="S21" s="4">
        <f t="shared" ref="S21:S24" si="31">T21*N21</f>
        <v>0</v>
      </c>
      <c r="T21" s="40">
        <v>0</v>
      </c>
      <c r="U21" s="4">
        <f t="shared" si="17"/>
        <v>0</v>
      </c>
      <c r="V21" s="40">
        <v>0</v>
      </c>
      <c r="W21" s="4">
        <f t="shared" si="18"/>
        <v>0</v>
      </c>
      <c r="X21" s="40">
        <v>0</v>
      </c>
      <c r="Y21" s="4">
        <f t="shared" si="24"/>
        <v>0</v>
      </c>
      <c r="Z21" s="40">
        <v>1</v>
      </c>
      <c r="AA21" s="41">
        <f>E21+G21+I21+K21+M21+O21+Q21+S21+U21+W21+Y21</f>
        <v>0</v>
      </c>
      <c r="AB21" s="42">
        <v>0</v>
      </c>
      <c r="AC21" s="83">
        <f t="shared" si="19"/>
        <v>0</v>
      </c>
      <c r="AD21" s="84">
        <v>0</v>
      </c>
      <c r="AE21" s="83">
        <f t="shared" si="21"/>
        <v>0</v>
      </c>
      <c r="AF21" s="84">
        <v>0</v>
      </c>
      <c r="AG21" s="83">
        <f t="shared" si="25"/>
        <v>0</v>
      </c>
      <c r="AH21" s="84">
        <v>0</v>
      </c>
    </row>
    <row r="22" spans="1:34" ht="20" customHeight="1" x14ac:dyDescent="0.2">
      <c r="B22" s="2">
        <v>7</v>
      </c>
      <c r="C22" s="1" t="s">
        <v>56</v>
      </c>
      <c r="D22" s="4">
        <f>SUM(CO!K31:K35)</f>
        <v>97.45</v>
      </c>
      <c r="E22" s="4">
        <f t="shared" si="16"/>
        <v>0</v>
      </c>
      <c r="F22" s="40">
        <v>0</v>
      </c>
      <c r="G22" s="4">
        <f t="shared" si="26"/>
        <v>0</v>
      </c>
      <c r="H22" s="40">
        <v>0</v>
      </c>
      <c r="I22" s="4">
        <f t="shared" si="27"/>
        <v>0</v>
      </c>
      <c r="J22" s="40">
        <v>0</v>
      </c>
      <c r="K22" s="4">
        <f t="shared" si="28"/>
        <v>0</v>
      </c>
      <c r="L22" s="40">
        <v>0</v>
      </c>
      <c r="M22" s="4">
        <f t="shared" si="29"/>
        <v>0</v>
      </c>
      <c r="N22" s="40">
        <v>0</v>
      </c>
      <c r="O22" s="4">
        <f t="shared" si="30"/>
        <v>0</v>
      </c>
      <c r="P22" s="40">
        <v>0</v>
      </c>
      <c r="Q22" s="4">
        <f t="shared" si="23"/>
        <v>43.852499999999999</v>
      </c>
      <c r="R22" s="40">
        <v>0.45</v>
      </c>
      <c r="S22" s="4">
        <f t="shared" si="31"/>
        <v>0</v>
      </c>
      <c r="T22" s="40">
        <v>0</v>
      </c>
      <c r="U22" s="4">
        <f t="shared" si="17"/>
        <v>43.852499999999999</v>
      </c>
      <c r="V22" s="40">
        <v>0.45</v>
      </c>
      <c r="W22" s="4">
        <f t="shared" si="18"/>
        <v>0</v>
      </c>
      <c r="X22" s="40">
        <v>0.45</v>
      </c>
      <c r="Y22" s="4">
        <f t="shared" si="24"/>
        <v>9.745000000000001</v>
      </c>
      <c r="Z22" s="40">
        <v>0.1</v>
      </c>
      <c r="AA22" s="41">
        <f>E22+G22+I22+K22+M22+O22+Q22+S22+U22+W22+Y22</f>
        <v>97.45</v>
      </c>
      <c r="AB22" s="42">
        <f>AA22/D22</f>
        <v>1</v>
      </c>
      <c r="AC22" s="83">
        <f t="shared" si="19"/>
        <v>0</v>
      </c>
      <c r="AD22" s="84">
        <f t="shared" si="20"/>
        <v>0</v>
      </c>
      <c r="AE22" s="83">
        <f t="shared" si="21"/>
        <v>87.704999999999998</v>
      </c>
      <c r="AF22" s="84">
        <f t="shared" si="22"/>
        <v>0.89999999999999991</v>
      </c>
      <c r="AG22" s="83">
        <f t="shared" si="25"/>
        <v>0</v>
      </c>
      <c r="AH22" s="84">
        <f t="shared" ref="AH22:AH24" si="32">AG22/D22</f>
        <v>0</v>
      </c>
    </row>
    <row r="23" spans="1:34" ht="20" customHeight="1" x14ac:dyDescent="0.2">
      <c r="A23" s="14"/>
      <c r="B23" s="2">
        <v>8</v>
      </c>
      <c r="C23" s="1" t="s">
        <v>57</v>
      </c>
      <c r="D23" s="4">
        <v>0</v>
      </c>
      <c r="E23" s="4">
        <f t="shared" si="16"/>
        <v>0</v>
      </c>
      <c r="F23" s="40">
        <v>0</v>
      </c>
      <c r="G23" s="4">
        <f t="shared" si="26"/>
        <v>0</v>
      </c>
      <c r="H23" s="40">
        <v>0</v>
      </c>
      <c r="I23" s="4">
        <f t="shared" si="27"/>
        <v>0</v>
      </c>
      <c r="J23" s="40">
        <v>0</v>
      </c>
      <c r="K23" s="4">
        <f t="shared" si="28"/>
        <v>0</v>
      </c>
      <c r="L23" s="40">
        <v>0</v>
      </c>
      <c r="M23" s="4">
        <f t="shared" si="29"/>
        <v>0</v>
      </c>
      <c r="N23" s="40">
        <v>0</v>
      </c>
      <c r="O23" s="4">
        <f t="shared" si="30"/>
        <v>0</v>
      </c>
      <c r="P23" s="40">
        <v>0</v>
      </c>
      <c r="Q23" s="4">
        <f t="shared" si="23"/>
        <v>0</v>
      </c>
      <c r="R23" s="40">
        <v>0</v>
      </c>
      <c r="S23" s="4">
        <f t="shared" si="31"/>
        <v>0</v>
      </c>
      <c r="T23" s="40">
        <v>0</v>
      </c>
      <c r="U23" s="4">
        <f t="shared" si="17"/>
        <v>0</v>
      </c>
      <c r="V23" s="40">
        <v>0</v>
      </c>
      <c r="W23" s="4">
        <f t="shared" si="18"/>
        <v>0</v>
      </c>
      <c r="X23" s="40">
        <v>0</v>
      </c>
      <c r="Y23" s="4">
        <f t="shared" si="24"/>
        <v>0</v>
      </c>
      <c r="Z23" s="40">
        <v>1</v>
      </c>
      <c r="AA23" s="41">
        <f>E23+G23+I23+K23+M23+O23+Q23+S23+U23+W23+Y23</f>
        <v>0</v>
      </c>
      <c r="AB23" s="42">
        <v>0</v>
      </c>
      <c r="AC23" s="83">
        <f t="shared" si="19"/>
        <v>0</v>
      </c>
      <c r="AD23" s="84">
        <v>0</v>
      </c>
      <c r="AE23" s="83">
        <f t="shared" si="21"/>
        <v>0</v>
      </c>
      <c r="AF23" s="84">
        <v>0</v>
      </c>
      <c r="AG23" s="83">
        <f t="shared" si="25"/>
        <v>0</v>
      </c>
      <c r="AH23" s="84">
        <v>0</v>
      </c>
    </row>
    <row r="24" spans="1:34" ht="20" customHeight="1" x14ac:dyDescent="0.2">
      <c r="B24" s="2">
        <v>9</v>
      </c>
      <c r="C24" s="1" t="s">
        <v>56</v>
      </c>
      <c r="D24" s="4">
        <f>SUM(CO!K39:K43)</f>
        <v>91.050000000000011</v>
      </c>
      <c r="E24" s="4">
        <f t="shared" si="16"/>
        <v>0</v>
      </c>
      <c r="F24" s="40">
        <v>0</v>
      </c>
      <c r="G24" s="4">
        <f t="shared" si="26"/>
        <v>0</v>
      </c>
      <c r="H24" s="40">
        <v>0</v>
      </c>
      <c r="I24" s="4">
        <f t="shared" si="27"/>
        <v>0</v>
      </c>
      <c r="J24" s="40">
        <v>0</v>
      </c>
      <c r="K24" s="4">
        <f t="shared" si="28"/>
        <v>0</v>
      </c>
      <c r="L24" s="40">
        <v>0</v>
      </c>
      <c r="M24" s="4">
        <f t="shared" si="29"/>
        <v>0</v>
      </c>
      <c r="N24" s="40">
        <v>0</v>
      </c>
      <c r="O24" s="4">
        <f t="shared" si="30"/>
        <v>0</v>
      </c>
      <c r="P24" s="40">
        <v>0</v>
      </c>
      <c r="Q24" s="4">
        <f t="shared" si="23"/>
        <v>33.688500000000005</v>
      </c>
      <c r="R24" s="40">
        <v>0.37</v>
      </c>
      <c r="S24" s="4">
        <f t="shared" si="31"/>
        <v>0</v>
      </c>
      <c r="T24" s="40">
        <v>0</v>
      </c>
      <c r="U24" s="4">
        <f>D24*V24</f>
        <v>0</v>
      </c>
      <c r="V24" s="40">
        <v>0</v>
      </c>
      <c r="W24" s="4">
        <f t="shared" ref="W24" si="33">F24*D24</f>
        <v>0</v>
      </c>
      <c r="X24" s="40">
        <v>0</v>
      </c>
      <c r="Y24" s="4">
        <f t="shared" si="24"/>
        <v>57.361500000000007</v>
      </c>
      <c r="Z24" s="40">
        <v>0.63</v>
      </c>
      <c r="AA24" s="41">
        <f>E24+G24+I24+K24+M24+O24+Q24+S24+U24+W24+Y24</f>
        <v>91.050000000000011</v>
      </c>
      <c r="AB24" s="42">
        <f>AA24/D24</f>
        <v>1</v>
      </c>
      <c r="AC24" s="83">
        <f t="shared" ref="AC24" si="34">E24+G24+I24</f>
        <v>0</v>
      </c>
      <c r="AD24" s="84">
        <f t="shared" ref="AD24" si="35">AC24/D24</f>
        <v>0</v>
      </c>
      <c r="AE24" s="83">
        <f t="shared" ref="AE24" si="36">K24+M24+O24+Q24+S24+U24</f>
        <v>33.688500000000005</v>
      </c>
      <c r="AF24" s="84">
        <f t="shared" ref="AF24" si="37">AE24/D24</f>
        <v>0.37</v>
      </c>
      <c r="AG24" s="83">
        <f t="shared" si="25"/>
        <v>0</v>
      </c>
      <c r="AH24" s="84">
        <f t="shared" si="32"/>
        <v>0</v>
      </c>
    </row>
    <row r="25" spans="1:34" ht="20" customHeight="1" x14ac:dyDescent="0.2">
      <c r="B25" s="14"/>
      <c r="D25" s="4"/>
      <c r="E25" s="4"/>
      <c r="F25" s="40"/>
      <c r="G25" s="4"/>
      <c r="H25" s="40"/>
      <c r="I25" s="4"/>
      <c r="J25" s="40"/>
      <c r="K25" s="4"/>
      <c r="L25" s="40"/>
      <c r="M25" s="4"/>
      <c r="N25" s="40"/>
      <c r="O25" s="4"/>
      <c r="P25" s="40"/>
      <c r="Q25" s="4"/>
      <c r="R25" s="40"/>
      <c r="S25" s="4"/>
      <c r="T25" s="40"/>
      <c r="U25" s="4"/>
      <c r="V25" s="4"/>
      <c r="W25" s="4"/>
      <c r="X25" s="4"/>
      <c r="Y25" s="4"/>
      <c r="Z25" s="4"/>
      <c r="AA25" s="41"/>
      <c r="AB25" s="42"/>
    </row>
    <row r="26" spans="1:34" ht="20" customHeight="1" x14ac:dyDescent="0.2">
      <c r="C26" s="3" t="s">
        <v>53</v>
      </c>
      <c r="D26" s="19">
        <f>SUM(D19:D25)</f>
        <v>465.6</v>
      </c>
      <c r="E26" s="33">
        <f>SUM(E21:E25)</f>
        <v>0</v>
      </c>
      <c r="F26" s="43">
        <f>E26/D26</f>
        <v>0</v>
      </c>
      <c r="G26" s="44">
        <f>SUM(G21:G24)</f>
        <v>0</v>
      </c>
      <c r="H26" s="43">
        <f>G26/D26</f>
        <v>0</v>
      </c>
      <c r="I26" s="44">
        <f>SUM(I21:I24)</f>
        <v>0</v>
      </c>
      <c r="J26" s="43">
        <f>I26/D26</f>
        <v>0</v>
      </c>
      <c r="K26" s="44">
        <f>SUM(K17:K24)</f>
        <v>0</v>
      </c>
      <c r="L26" s="43">
        <f>K26/D26</f>
        <v>0</v>
      </c>
      <c r="M26" s="44">
        <f>SUM(M17:M24)</f>
        <v>0</v>
      </c>
      <c r="N26" s="43">
        <f>M26/D26</f>
        <v>0</v>
      </c>
      <c r="O26" s="44">
        <f>SUM(O17:O24)</f>
        <v>41.565000000000005</v>
      </c>
      <c r="P26" s="43">
        <f>O26/D26</f>
        <v>8.9271907216494847E-2</v>
      </c>
      <c r="Q26" s="44">
        <f>SUM(Q17:Q24)</f>
        <v>77.540999999999997</v>
      </c>
      <c r="R26" s="43">
        <f>Q26/D26</f>
        <v>0.16653994845360823</v>
      </c>
      <c r="S26" s="44">
        <f>SUM(S17:S24)</f>
        <v>0</v>
      </c>
      <c r="T26" s="43">
        <f>S26/D26</f>
        <v>0</v>
      </c>
      <c r="U26" s="44">
        <f>SUM(U17:U24)</f>
        <v>132.52450000000002</v>
      </c>
      <c r="V26" s="43">
        <f>U26/D26</f>
        <v>0.28463165807560142</v>
      </c>
      <c r="W26" s="44">
        <f>SUM(W17:W24)</f>
        <v>0</v>
      </c>
      <c r="X26" s="43">
        <f>W26/D26</f>
        <v>0</v>
      </c>
      <c r="Y26" s="44">
        <f>SUM(Y17:Y24)</f>
        <v>125.29750000000001</v>
      </c>
      <c r="Z26" s="43">
        <f>Y26/D26</f>
        <v>0.26910975085910654</v>
      </c>
      <c r="AA26" s="19">
        <f>SUM(AA19:AA24)</f>
        <v>465.6</v>
      </c>
      <c r="AB26" s="45">
        <f>AA26/D26</f>
        <v>1</v>
      </c>
      <c r="AC26" s="19">
        <f>SUM(AC19:AC24)</f>
        <v>88.672000000000011</v>
      </c>
      <c r="AD26" s="45">
        <f>AC26/D26</f>
        <v>0.19044673539518903</v>
      </c>
      <c r="AE26" s="19">
        <f>SUM(AE21:AE24)</f>
        <v>121.3935</v>
      </c>
      <c r="AF26" s="45">
        <f>AE26/D26</f>
        <v>0.2607248711340206</v>
      </c>
      <c r="AG26" s="19">
        <f>SUM(AG21:AG24)</f>
        <v>0</v>
      </c>
      <c r="AH26" s="45">
        <f>AG26/D26</f>
        <v>0</v>
      </c>
    </row>
    <row r="27" spans="1:34" ht="20" customHeight="1" x14ac:dyDescent="0.2">
      <c r="C27" s="51"/>
      <c r="D27" s="52"/>
      <c r="E27" s="4"/>
      <c r="F27" s="4"/>
      <c r="G27" s="4"/>
      <c r="I27" s="4"/>
      <c r="K27" s="4"/>
      <c r="M27" s="4"/>
      <c r="O27" s="4"/>
      <c r="Q27" s="4"/>
      <c r="S27" s="4"/>
      <c r="U27" s="4"/>
      <c r="W27" s="4"/>
      <c r="Y27" s="4"/>
      <c r="AA27" s="48">
        <f>D26-AA26</f>
        <v>0</v>
      </c>
      <c r="AB27" s="49">
        <f>AA27/D26</f>
        <v>0</v>
      </c>
    </row>
    <row r="28" spans="1:34" ht="20" customHeight="1" x14ac:dyDescent="0.2"/>
    <row r="29" spans="1:34" ht="20" customHeight="1" x14ac:dyDescent="0.2">
      <c r="A29" s="14" t="s">
        <v>72</v>
      </c>
      <c r="B29" s="2">
        <v>10</v>
      </c>
      <c r="C29" s="1" t="s">
        <v>56</v>
      </c>
      <c r="D29" s="4">
        <f>SUM(CO!K51:K55)</f>
        <v>251.64999999999998</v>
      </c>
      <c r="E29" s="4">
        <f>D29*F29</f>
        <v>0</v>
      </c>
      <c r="F29" s="40">
        <v>0</v>
      </c>
      <c r="G29" s="4">
        <f>D29*H29</f>
        <v>0</v>
      </c>
      <c r="H29" s="40">
        <v>0</v>
      </c>
      <c r="I29" s="4">
        <f>D29*J29</f>
        <v>0</v>
      </c>
      <c r="J29" s="40">
        <v>0</v>
      </c>
      <c r="K29" s="4">
        <f>F29*L29</f>
        <v>0</v>
      </c>
      <c r="L29" s="40">
        <v>0</v>
      </c>
      <c r="M29" s="4">
        <f>H29*N29</f>
        <v>0</v>
      </c>
      <c r="N29" s="40">
        <v>0</v>
      </c>
      <c r="O29" s="4">
        <f>J29*P29</f>
        <v>0</v>
      </c>
      <c r="P29" s="40">
        <v>0</v>
      </c>
      <c r="Q29" s="4">
        <f>L29*R29</f>
        <v>0</v>
      </c>
      <c r="R29" s="40">
        <v>0</v>
      </c>
      <c r="S29" s="4">
        <f>N29*T29</f>
        <v>0</v>
      </c>
      <c r="T29" s="40">
        <v>0</v>
      </c>
      <c r="U29" s="4">
        <f>D29*V29</f>
        <v>0</v>
      </c>
      <c r="V29" s="40">
        <v>0</v>
      </c>
      <c r="W29" s="4">
        <f>X29*D29</f>
        <v>163.57249999999999</v>
      </c>
      <c r="X29" s="40">
        <v>0.65</v>
      </c>
      <c r="Y29" s="4">
        <f>Z29*D29</f>
        <v>88.077499999999986</v>
      </c>
      <c r="Z29" s="40">
        <v>0.35</v>
      </c>
      <c r="AA29" s="41">
        <f>E29+G29+I29+K29+M29+O29+Q29+S29+U29+W29+Y29</f>
        <v>251.64999999999998</v>
      </c>
      <c r="AB29" s="42">
        <f>AA29/D29</f>
        <v>1</v>
      </c>
      <c r="AC29" s="83">
        <f t="shared" ref="AC29" si="38">E29+G29+I29</f>
        <v>0</v>
      </c>
      <c r="AD29" s="84">
        <f t="shared" ref="AD29" si="39">AC29/D29</f>
        <v>0</v>
      </c>
      <c r="AE29" s="83">
        <f t="shared" ref="AE29" si="40">K29+M29+O29+Q29+S29+U29</f>
        <v>0</v>
      </c>
      <c r="AF29" s="84">
        <f t="shared" ref="AF29" si="41">AE29/D29</f>
        <v>0</v>
      </c>
      <c r="AG29" s="83">
        <f t="shared" ref="AG29" si="42">W29</f>
        <v>163.57249999999999</v>
      </c>
      <c r="AH29" s="84">
        <f t="shared" ref="AH29" si="43">AG29/D29</f>
        <v>0.65</v>
      </c>
    </row>
    <row r="30" spans="1:34" ht="20" customHeight="1" x14ac:dyDescent="0.2">
      <c r="B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1"/>
      <c r="AB30" s="41"/>
    </row>
    <row r="31" spans="1:34" ht="20" customHeight="1" x14ac:dyDescent="0.2">
      <c r="C31" s="3" t="s">
        <v>53</v>
      </c>
      <c r="D31" s="19">
        <f>SUM(D29:D30)</f>
        <v>251.64999999999998</v>
      </c>
      <c r="E31" s="33">
        <f>SUM(E26:E30)</f>
        <v>0</v>
      </c>
      <c r="F31" s="43">
        <f>E31/D31</f>
        <v>0</v>
      </c>
      <c r="G31" s="44">
        <f>SUM(G26:G29)</f>
        <v>0</v>
      </c>
      <c r="H31" s="43">
        <f>G31/D31</f>
        <v>0</v>
      </c>
      <c r="I31" s="44">
        <f>SUM(I26:I29)</f>
        <v>0</v>
      </c>
      <c r="J31" s="43">
        <f>I31/D31</f>
        <v>0</v>
      </c>
      <c r="K31" s="44">
        <f>SUM(K22:K29)</f>
        <v>0</v>
      </c>
      <c r="L31" s="43">
        <f>K31/D31</f>
        <v>0</v>
      </c>
      <c r="M31" s="44">
        <f>SUM(M22:M29)</f>
        <v>0</v>
      </c>
      <c r="N31" s="43">
        <f>M31/D31</f>
        <v>0</v>
      </c>
      <c r="O31" s="44">
        <f>SUM(O22:O29)</f>
        <v>41.565000000000005</v>
      </c>
      <c r="P31" s="43">
        <f>O31/D31</f>
        <v>0.16516987879992057</v>
      </c>
      <c r="Q31" s="44">
        <f>SUM(Q22:Q29)</f>
        <v>155.08199999999999</v>
      </c>
      <c r="R31" s="43">
        <f>Q31/D31</f>
        <v>0.61626067951519969</v>
      </c>
      <c r="S31" s="44">
        <f>SUM(S22:S29)</f>
        <v>0</v>
      </c>
      <c r="T31" s="43">
        <f>S31/D31</f>
        <v>0</v>
      </c>
      <c r="U31" s="44">
        <f>SUM(U22:U29)</f>
        <v>176.37700000000001</v>
      </c>
      <c r="V31" s="43">
        <f>U31/D31</f>
        <v>0.70088217762765759</v>
      </c>
      <c r="W31" s="44">
        <f>SUM(W22:W29)</f>
        <v>163.57249999999999</v>
      </c>
      <c r="X31" s="43">
        <f>W31/D31</f>
        <v>0.65</v>
      </c>
      <c r="Y31" s="44">
        <f>SUM(Y22:Y29)</f>
        <v>280.48149999999998</v>
      </c>
      <c r="Z31" s="43">
        <f>Y31/D31</f>
        <v>1.1145698390621896</v>
      </c>
      <c r="AA31" s="19">
        <f>SUM(AA29:AA29)</f>
        <v>251.64999999999998</v>
      </c>
      <c r="AB31" s="45">
        <f>AA31/D31</f>
        <v>1</v>
      </c>
      <c r="AC31" s="19">
        <f>SUM(AC24:AC29)</f>
        <v>88.672000000000011</v>
      </c>
      <c r="AD31" s="45">
        <f>AC31/D31</f>
        <v>0.35236240810649722</v>
      </c>
      <c r="AE31" s="19">
        <f>SUM(AE26:AE29)</f>
        <v>121.3935</v>
      </c>
      <c r="AF31" s="45">
        <f>AE31/D31</f>
        <v>0.48239022451818009</v>
      </c>
      <c r="AG31" s="19">
        <f>SUM(AG26:AG29)</f>
        <v>163.57249999999999</v>
      </c>
      <c r="AH31" s="45">
        <f>AG31/D31</f>
        <v>0.65</v>
      </c>
    </row>
    <row r="32" spans="1:34" ht="20" customHeight="1" x14ac:dyDescent="0.2">
      <c r="C32" s="46"/>
      <c r="D32" s="47"/>
      <c r="AA32" s="48">
        <f>D31-AA31</f>
        <v>0</v>
      </c>
      <c r="AB32" s="49">
        <f>AA32/D31</f>
        <v>0</v>
      </c>
    </row>
    <row r="33" spans="1:34" ht="20" customHeight="1" x14ac:dyDescent="0.2"/>
    <row r="34" spans="1:34" ht="20" customHeight="1" x14ac:dyDescent="0.2">
      <c r="A34" s="14" t="s">
        <v>84</v>
      </c>
      <c r="B34" s="2">
        <v>11</v>
      </c>
      <c r="C34" s="1" t="s">
        <v>56</v>
      </c>
      <c r="D34" s="4">
        <f>SUM(CO!K62:K65)</f>
        <v>124.19999999999999</v>
      </c>
      <c r="E34" s="4">
        <f t="shared" ref="E34:E41" si="44">D34*F34</f>
        <v>0</v>
      </c>
      <c r="F34" s="40">
        <v>0</v>
      </c>
      <c r="G34" s="4">
        <f>D34*H34</f>
        <v>0</v>
      </c>
      <c r="H34" s="40">
        <v>0</v>
      </c>
      <c r="I34" s="4">
        <f>J34*D34</f>
        <v>0</v>
      </c>
      <c r="J34" s="40">
        <v>0</v>
      </c>
      <c r="K34" s="4">
        <f>L34*F34</f>
        <v>0</v>
      </c>
      <c r="L34" s="40">
        <v>0</v>
      </c>
      <c r="M34" s="4">
        <f>N34*H34</f>
        <v>0</v>
      </c>
      <c r="N34" s="40">
        <v>0</v>
      </c>
      <c r="O34" s="4">
        <f>P34*J34</f>
        <v>0</v>
      </c>
      <c r="P34" s="40">
        <v>0</v>
      </c>
      <c r="Q34" s="4">
        <f>R34*L34</f>
        <v>0</v>
      </c>
      <c r="R34" s="40">
        <v>0</v>
      </c>
      <c r="S34" s="4">
        <f>T34*N34</f>
        <v>0</v>
      </c>
      <c r="T34" s="40">
        <v>0</v>
      </c>
      <c r="U34" s="4">
        <f>V34*P34</f>
        <v>0</v>
      </c>
      <c r="V34" s="40">
        <v>0</v>
      </c>
      <c r="W34" s="4">
        <f t="shared" ref="W34:W40" si="45">F34*D34</f>
        <v>0</v>
      </c>
      <c r="X34" s="40">
        <v>0</v>
      </c>
      <c r="Y34" s="4">
        <f>Z34*D34</f>
        <v>124.19999999999999</v>
      </c>
      <c r="Z34" s="40">
        <v>1</v>
      </c>
      <c r="AA34" s="41">
        <f>E34+G34+I34+K34+M34+O34+Q34+S34+U34+W34+Y34</f>
        <v>124.19999999999999</v>
      </c>
      <c r="AB34" s="42">
        <f>AA34/D34</f>
        <v>1</v>
      </c>
    </row>
    <row r="35" spans="1:34" ht="20" customHeight="1" x14ac:dyDescent="0.2">
      <c r="A35" s="14"/>
      <c r="B35" s="2">
        <v>12</v>
      </c>
      <c r="C35" s="1" t="s">
        <v>57</v>
      </c>
      <c r="D35" s="4">
        <v>0</v>
      </c>
      <c r="E35" s="4">
        <f t="shared" si="44"/>
        <v>0</v>
      </c>
      <c r="F35" s="40">
        <v>0</v>
      </c>
      <c r="G35" s="4">
        <f>D35*H35</f>
        <v>0</v>
      </c>
      <c r="H35" s="40">
        <v>0</v>
      </c>
      <c r="I35" s="4">
        <f>J35*D35</f>
        <v>0</v>
      </c>
      <c r="J35" s="40">
        <v>0</v>
      </c>
      <c r="K35" s="4">
        <f>L35*F35</f>
        <v>0</v>
      </c>
      <c r="L35" s="40">
        <v>0</v>
      </c>
      <c r="M35" s="4">
        <f>N35*H35</f>
        <v>0</v>
      </c>
      <c r="N35" s="40">
        <v>0</v>
      </c>
      <c r="O35" s="4">
        <f>P35*J35</f>
        <v>0</v>
      </c>
      <c r="P35" s="40">
        <v>0</v>
      </c>
      <c r="Q35" s="4">
        <f>R35*L35</f>
        <v>0</v>
      </c>
      <c r="R35" s="40">
        <v>0</v>
      </c>
      <c r="S35" s="4">
        <f>T35*N35</f>
        <v>0</v>
      </c>
      <c r="T35" s="40">
        <v>0</v>
      </c>
      <c r="U35" s="4">
        <f>V35*P35</f>
        <v>0</v>
      </c>
      <c r="V35" s="40">
        <v>0</v>
      </c>
      <c r="W35" s="4">
        <f t="shared" si="45"/>
        <v>0</v>
      </c>
      <c r="X35" s="40">
        <v>0</v>
      </c>
      <c r="Y35" s="4">
        <f t="shared" ref="Y35:Y41" si="46">Z35*D35</f>
        <v>0</v>
      </c>
      <c r="Z35" s="40">
        <v>1</v>
      </c>
      <c r="AA35" s="41">
        <f>E35+G35+I35+K35+M35+O35+Q35+S35+U35+W35+Y35</f>
        <v>0</v>
      </c>
      <c r="AB35" s="42">
        <v>0</v>
      </c>
    </row>
    <row r="36" spans="1:34" ht="20" customHeight="1" x14ac:dyDescent="0.2">
      <c r="B36" s="2">
        <v>13</v>
      </c>
      <c r="C36" s="1" t="s">
        <v>56</v>
      </c>
      <c r="D36" s="4">
        <f>SUM(CO!K67:K69)</f>
        <v>179.6</v>
      </c>
      <c r="E36" s="4">
        <f t="shared" si="44"/>
        <v>0</v>
      </c>
      <c r="F36" s="40">
        <v>0</v>
      </c>
      <c r="G36" s="4">
        <f t="shared" ref="G36:G41" si="47">D36*H36</f>
        <v>0</v>
      </c>
      <c r="H36" s="40">
        <v>0</v>
      </c>
      <c r="I36" s="4">
        <f t="shared" ref="I36:I41" si="48">J36*D36</f>
        <v>0</v>
      </c>
      <c r="J36" s="40">
        <v>0</v>
      </c>
      <c r="K36" s="4">
        <f t="shared" ref="K36:K41" si="49">L36*F36</f>
        <v>0</v>
      </c>
      <c r="L36" s="40">
        <v>0</v>
      </c>
      <c r="M36" s="4">
        <f t="shared" ref="M36:M41" si="50">N36*H36</f>
        <v>0</v>
      </c>
      <c r="N36" s="40">
        <v>0</v>
      </c>
      <c r="O36" s="4">
        <f t="shared" ref="O36:O41" si="51">P36*J36</f>
        <v>0</v>
      </c>
      <c r="P36" s="40">
        <v>0</v>
      </c>
      <c r="Q36" s="4">
        <f t="shared" ref="Q36:Q41" si="52">R36*L36</f>
        <v>0</v>
      </c>
      <c r="R36" s="40">
        <v>0</v>
      </c>
      <c r="S36" s="4">
        <f t="shared" ref="S36:S41" si="53">T36*N36</f>
        <v>0</v>
      </c>
      <c r="T36" s="40">
        <v>0</v>
      </c>
      <c r="U36" s="4">
        <f t="shared" ref="U36:U41" si="54">V36*P36</f>
        <v>0</v>
      </c>
      <c r="V36" s="40">
        <v>0</v>
      </c>
      <c r="W36" s="4">
        <f t="shared" si="45"/>
        <v>0</v>
      </c>
      <c r="X36" s="40">
        <v>0</v>
      </c>
      <c r="Y36" s="4">
        <f t="shared" si="46"/>
        <v>179.6</v>
      </c>
      <c r="Z36" s="40">
        <v>1</v>
      </c>
      <c r="AA36" s="41">
        <f>E36+G36+I36+K36+M36+O36+Q36+S36+U36+W36+Y36</f>
        <v>179.6</v>
      </c>
      <c r="AB36" s="42">
        <f>AA36/D36</f>
        <v>1</v>
      </c>
    </row>
    <row r="37" spans="1:34" ht="20" customHeight="1" x14ac:dyDescent="0.2">
      <c r="B37" s="2">
        <v>14</v>
      </c>
      <c r="C37" s="1" t="s">
        <v>57</v>
      </c>
      <c r="D37" s="4">
        <v>0</v>
      </c>
      <c r="E37" s="4">
        <f t="shared" si="44"/>
        <v>0</v>
      </c>
      <c r="F37" s="40">
        <v>0</v>
      </c>
      <c r="G37" s="4">
        <f t="shared" si="47"/>
        <v>0</v>
      </c>
      <c r="H37" s="40">
        <v>0</v>
      </c>
      <c r="I37" s="4">
        <f t="shared" si="48"/>
        <v>0</v>
      </c>
      <c r="J37" s="40">
        <v>0</v>
      </c>
      <c r="K37" s="4">
        <f t="shared" si="49"/>
        <v>0</v>
      </c>
      <c r="L37" s="40">
        <v>0</v>
      </c>
      <c r="M37" s="4">
        <f t="shared" si="50"/>
        <v>0</v>
      </c>
      <c r="N37" s="40">
        <v>0</v>
      </c>
      <c r="O37" s="4">
        <f t="shared" si="51"/>
        <v>0</v>
      </c>
      <c r="P37" s="40">
        <v>0</v>
      </c>
      <c r="Q37" s="4">
        <f t="shared" si="52"/>
        <v>0</v>
      </c>
      <c r="R37" s="40">
        <v>0</v>
      </c>
      <c r="S37" s="4">
        <f t="shared" si="53"/>
        <v>0</v>
      </c>
      <c r="T37" s="40">
        <v>0</v>
      </c>
      <c r="U37" s="4">
        <f t="shared" si="54"/>
        <v>0</v>
      </c>
      <c r="V37" s="40">
        <v>0</v>
      </c>
      <c r="W37" s="4">
        <f t="shared" si="45"/>
        <v>0</v>
      </c>
      <c r="X37" s="40">
        <v>0</v>
      </c>
      <c r="Y37" s="4">
        <f t="shared" si="46"/>
        <v>0</v>
      </c>
      <c r="Z37" s="40">
        <v>1</v>
      </c>
      <c r="AA37" s="41">
        <f>E37+G37+I37+K37+M37+O37+Q37+S37+U37+W37+Y37</f>
        <v>0</v>
      </c>
      <c r="AB37" s="42">
        <v>0</v>
      </c>
    </row>
    <row r="38" spans="1:34" ht="20" customHeight="1" x14ac:dyDescent="0.2">
      <c r="A38" s="14"/>
      <c r="B38" s="2">
        <v>15</v>
      </c>
      <c r="C38" s="1" t="s">
        <v>56</v>
      </c>
      <c r="D38" s="4">
        <f>SUM(CO!K72:K74)</f>
        <v>93.399999999999991</v>
      </c>
      <c r="E38" s="4">
        <f t="shared" si="44"/>
        <v>0</v>
      </c>
      <c r="F38" s="40">
        <v>0</v>
      </c>
      <c r="G38" s="4">
        <f t="shared" si="47"/>
        <v>0</v>
      </c>
      <c r="H38" s="40">
        <v>0</v>
      </c>
      <c r="I38" s="4">
        <f t="shared" si="48"/>
        <v>0</v>
      </c>
      <c r="J38" s="40">
        <v>0</v>
      </c>
      <c r="K38" s="4">
        <f t="shared" si="49"/>
        <v>0</v>
      </c>
      <c r="L38" s="40">
        <v>0</v>
      </c>
      <c r="M38" s="4">
        <f t="shared" si="50"/>
        <v>0</v>
      </c>
      <c r="N38" s="40">
        <v>0</v>
      </c>
      <c r="O38" s="4">
        <f t="shared" si="51"/>
        <v>0</v>
      </c>
      <c r="P38" s="40">
        <v>0</v>
      </c>
      <c r="Q38" s="4">
        <f t="shared" si="52"/>
        <v>0</v>
      </c>
      <c r="R38" s="40">
        <v>0</v>
      </c>
      <c r="S38" s="4">
        <f t="shared" si="53"/>
        <v>0</v>
      </c>
      <c r="T38" s="40">
        <v>0</v>
      </c>
      <c r="U38" s="4">
        <f t="shared" si="54"/>
        <v>0</v>
      </c>
      <c r="V38" s="40">
        <v>0</v>
      </c>
      <c r="W38" s="4">
        <f t="shared" si="45"/>
        <v>0</v>
      </c>
      <c r="X38" s="40">
        <v>0</v>
      </c>
      <c r="Y38" s="4">
        <f t="shared" si="46"/>
        <v>93.399999999999991</v>
      </c>
      <c r="Z38" s="40">
        <v>1</v>
      </c>
      <c r="AA38" s="41">
        <f>E38+G38+I38+K38+M38+O38+Q38+S38+U38+W38+Y38</f>
        <v>93.399999999999991</v>
      </c>
      <c r="AB38" s="42">
        <f>AA38/D38</f>
        <v>1</v>
      </c>
    </row>
    <row r="39" spans="1:34" ht="20" customHeight="1" x14ac:dyDescent="0.2">
      <c r="B39" s="2">
        <v>16</v>
      </c>
      <c r="C39" s="1" t="s">
        <v>57</v>
      </c>
      <c r="D39" s="4">
        <v>0</v>
      </c>
      <c r="E39" s="4">
        <f t="shared" si="44"/>
        <v>0</v>
      </c>
      <c r="F39" s="40">
        <v>0</v>
      </c>
      <c r="G39" s="4">
        <f t="shared" si="47"/>
        <v>0</v>
      </c>
      <c r="H39" s="40">
        <v>0</v>
      </c>
      <c r="I39" s="4">
        <f t="shared" si="48"/>
        <v>0</v>
      </c>
      <c r="J39" s="40">
        <v>0</v>
      </c>
      <c r="K39" s="4">
        <f t="shared" si="49"/>
        <v>0</v>
      </c>
      <c r="L39" s="40">
        <v>0</v>
      </c>
      <c r="M39" s="4">
        <f t="shared" si="50"/>
        <v>0</v>
      </c>
      <c r="N39" s="40">
        <v>0</v>
      </c>
      <c r="O39" s="4">
        <f t="shared" si="51"/>
        <v>0</v>
      </c>
      <c r="P39" s="40">
        <v>0</v>
      </c>
      <c r="Q39" s="4">
        <f t="shared" si="52"/>
        <v>0</v>
      </c>
      <c r="R39" s="40">
        <v>0</v>
      </c>
      <c r="S39" s="4">
        <f t="shared" si="53"/>
        <v>0</v>
      </c>
      <c r="T39" s="40">
        <v>0</v>
      </c>
      <c r="U39" s="4">
        <f t="shared" si="54"/>
        <v>0</v>
      </c>
      <c r="V39" s="40">
        <v>0</v>
      </c>
      <c r="W39" s="4">
        <f t="shared" si="45"/>
        <v>0</v>
      </c>
      <c r="X39" s="40">
        <v>0</v>
      </c>
      <c r="Y39" s="4">
        <f t="shared" si="46"/>
        <v>0</v>
      </c>
      <c r="Z39" s="40">
        <v>1</v>
      </c>
      <c r="AA39" s="41">
        <f>E39+G39+I39+K39+M39+O39+Q39+S39+U39+W39+Y39</f>
        <v>0</v>
      </c>
      <c r="AB39" s="42">
        <v>0</v>
      </c>
    </row>
    <row r="40" spans="1:34" ht="20" customHeight="1" x14ac:dyDescent="0.2">
      <c r="B40" s="2">
        <v>17</v>
      </c>
      <c r="C40" s="1" t="s">
        <v>56</v>
      </c>
      <c r="D40" s="4">
        <f>SUM(CO!K77:K79)</f>
        <v>93.399999999999991</v>
      </c>
      <c r="E40" s="4">
        <f t="shared" si="44"/>
        <v>0</v>
      </c>
      <c r="F40" s="40">
        <v>0</v>
      </c>
      <c r="G40" s="4">
        <f t="shared" si="47"/>
        <v>0</v>
      </c>
      <c r="H40" s="40">
        <v>0</v>
      </c>
      <c r="I40" s="4">
        <f t="shared" si="48"/>
        <v>0</v>
      </c>
      <c r="J40" s="40">
        <v>0</v>
      </c>
      <c r="K40" s="4">
        <f t="shared" si="49"/>
        <v>0</v>
      </c>
      <c r="L40" s="40">
        <v>0</v>
      </c>
      <c r="M40" s="4">
        <f t="shared" si="50"/>
        <v>0</v>
      </c>
      <c r="N40" s="40">
        <v>0</v>
      </c>
      <c r="O40" s="4">
        <f t="shared" si="51"/>
        <v>0</v>
      </c>
      <c r="P40" s="40">
        <v>0</v>
      </c>
      <c r="Q40" s="4">
        <f t="shared" si="52"/>
        <v>0</v>
      </c>
      <c r="R40" s="40">
        <v>0</v>
      </c>
      <c r="S40" s="4">
        <f t="shared" si="53"/>
        <v>0</v>
      </c>
      <c r="T40" s="40">
        <v>0</v>
      </c>
      <c r="U40" s="4">
        <f t="shared" si="54"/>
        <v>0</v>
      </c>
      <c r="V40" s="40">
        <v>0</v>
      </c>
      <c r="W40" s="4">
        <f t="shared" si="45"/>
        <v>0</v>
      </c>
      <c r="X40" s="40">
        <v>0</v>
      </c>
      <c r="Y40" s="4">
        <f t="shared" si="46"/>
        <v>93.399999999999991</v>
      </c>
      <c r="Z40" s="40">
        <v>1</v>
      </c>
      <c r="AA40" s="41">
        <f>E40+G40+I40+K40+M40+O40+Q40+S40+U40+W40+Y40</f>
        <v>93.399999999999991</v>
      </c>
      <c r="AB40" s="42">
        <f>AA40/D40</f>
        <v>1</v>
      </c>
    </row>
    <row r="41" spans="1:34" ht="20" customHeight="1" x14ac:dyDescent="0.2">
      <c r="C41" s="1" t="s">
        <v>85</v>
      </c>
      <c r="D41" s="4">
        <v>0</v>
      </c>
      <c r="E41" s="4">
        <f t="shared" si="44"/>
        <v>0</v>
      </c>
      <c r="F41" s="40">
        <v>0</v>
      </c>
      <c r="G41" s="4">
        <f t="shared" si="47"/>
        <v>0</v>
      </c>
      <c r="H41" s="40">
        <v>0</v>
      </c>
      <c r="I41" s="4">
        <f t="shared" si="48"/>
        <v>0</v>
      </c>
      <c r="J41" s="40">
        <v>0</v>
      </c>
      <c r="K41" s="4">
        <f t="shared" si="49"/>
        <v>0</v>
      </c>
      <c r="L41" s="40">
        <v>0</v>
      </c>
      <c r="M41" s="4">
        <f t="shared" si="50"/>
        <v>0</v>
      </c>
      <c r="N41" s="40">
        <v>0</v>
      </c>
      <c r="O41" s="4">
        <f t="shared" si="51"/>
        <v>0</v>
      </c>
      <c r="P41" s="40">
        <v>0</v>
      </c>
      <c r="Q41" s="4">
        <f t="shared" si="52"/>
        <v>0</v>
      </c>
      <c r="R41" s="40">
        <v>0</v>
      </c>
      <c r="S41" s="4">
        <f t="shared" si="53"/>
        <v>0</v>
      </c>
      <c r="T41" s="40">
        <v>0</v>
      </c>
      <c r="U41" s="4">
        <f t="shared" si="54"/>
        <v>0</v>
      </c>
      <c r="V41" s="40">
        <v>0</v>
      </c>
      <c r="W41" s="4">
        <f t="shared" ref="W41" si="55">F41*D41</f>
        <v>0</v>
      </c>
      <c r="X41" s="40">
        <v>0</v>
      </c>
      <c r="Y41" s="4">
        <f t="shared" si="46"/>
        <v>0</v>
      </c>
      <c r="Z41" s="40">
        <v>1</v>
      </c>
      <c r="AA41" s="41">
        <f>E41+G41+I41+K41+M41+O41+Q41+S41+U41+W41+Y41</f>
        <v>0</v>
      </c>
      <c r="AB41" s="42">
        <v>0</v>
      </c>
    </row>
    <row r="42" spans="1:34" ht="20" customHeight="1" x14ac:dyDescent="0.2">
      <c r="D42" s="4"/>
      <c r="E42" s="4"/>
      <c r="F42" s="40"/>
      <c r="G42" s="4"/>
      <c r="H42" s="40"/>
      <c r="I42" s="4"/>
      <c r="J42" s="40"/>
      <c r="K42" s="4"/>
      <c r="L42" s="40"/>
      <c r="M42" s="4"/>
      <c r="N42" s="40"/>
      <c r="O42" s="4"/>
      <c r="P42" s="40"/>
      <c r="Q42" s="4"/>
      <c r="R42" s="40"/>
      <c r="S42" s="4"/>
      <c r="T42" s="40"/>
      <c r="U42" s="4"/>
      <c r="V42" s="40"/>
      <c r="W42" s="4"/>
      <c r="X42" s="4"/>
      <c r="Y42" s="4"/>
      <c r="Z42" s="4"/>
      <c r="AA42" s="41"/>
      <c r="AB42" s="42"/>
    </row>
    <row r="43" spans="1:34" ht="20" customHeight="1" x14ac:dyDescent="0.2">
      <c r="C43" s="3" t="s">
        <v>53</v>
      </c>
      <c r="D43" s="19">
        <f>SUM(D34:D42)</f>
        <v>490.59999999999991</v>
      </c>
      <c r="E43" s="33">
        <f>SUM(E39:E42)</f>
        <v>0</v>
      </c>
      <c r="F43" s="43">
        <f>E43/D43</f>
        <v>0</v>
      </c>
      <c r="G43" s="44">
        <f>SUM(G39:G42)</f>
        <v>0</v>
      </c>
      <c r="H43" s="43">
        <f>G43/D43</f>
        <v>0</v>
      </c>
      <c r="I43" s="44">
        <f>SUM(I39:I42)</f>
        <v>0</v>
      </c>
      <c r="J43" s="43">
        <f>I43/D43</f>
        <v>0</v>
      </c>
      <c r="K43" s="44">
        <f>SUM(K35:K42)</f>
        <v>0</v>
      </c>
      <c r="L43" s="43">
        <f>K43/D43</f>
        <v>0</v>
      </c>
      <c r="M43" s="44">
        <f>SUM(M35:M42)</f>
        <v>0</v>
      </c>
      <c r="N43" s="43">
        <f>M43/D43</f>
        <v>0</v>
      </c>
      <c r="O43" s="44">
        <f>SUM(O35:O42)</f>
        <v>0</v>
      </c>
      <c r="P43" s="43">
        <f>O43/D43</f>
        <v>0</v>
      </c>
      <c r="Q43" s="44">
        <f>SUM(Q35:Q42)</f>
        <v>0</v>
      </c>
      <c r="R43" s="43">
        <f>Q43/D43</f>
        <v>0</v>
      </c>
      <c r="S43" s="44">
        <f>SUM(S35:S42)</f>
        <v>0</v>
      </c>
      <c r="T43" s="43">
        <f>S43/D43</f>
        <v>0</v>
      </c>
      <c r="U43" s="44">
        <f>SUM(U35:U42)</f>
        <v>0</v>
      </c>
      <c r="V43" s="43">
        <f>U43/D43</f>
        <v>0</v>
      </c>
      <c r="W43" s="44">
        <f>SUM(W34:W41)</f>
        <v>0</v>
      </c>
      <c r="X43" s="43">
        <f>W43/D43</f>
        <v>0</v>
      </c>
      <c r="Y43" s="44">
        <f>SUM(Y34:Y41)</f>
        <v>490.59999999999991</v>
      </c>
      <c r="Z43" s="43">
        <f>Y43/D43</f>
        <v>1</v>
      </c>
      <c r="AA43" s="19">
        <f>SUM(AA34:AA41)</f>
        <v>490.59999999999991</v>
      </c>
      <c r="AB43" s="45">
        <f>AA43/D43</f>
        <v>1</v>
      </c>
    </row>
    <row r="44" spans="1:34" ht="20" customHeight="1" x14ac:dyDescent="0.2">
      <c r="C44" s="51"/>
      <c r="D44" s="52"/>
      <c r="E44" s="4"/>
      <c r="F44" s="4"/>
      <c r="G44" s="4"/>
      <c r="I44" s="4"/>
      <c r="AA44" s="48">
        <f>D43-AA43</f>
        <v>0</v>
      </c>
      <c r="AB44" s="49">
        <f>AA44/D43</f>
        <v>0</v>
      </c>
    </row>
    <row r="45" spans="1:34" ht="20" customHeight="1" x14ac:dyDescent="0.2">
      <c r="C45" s="51"/>
      <c r="D45" s="52"/>
      <c r="E45" s="4"/>
      <c r="F45" s="4"/>
      <c r="G45" s="4"/>
      <c r="I45" s="4"/>
    </row>
    <row r="46" spans="1:34" ht="20" customHeight="1" x14ac:dyDescent="0.2">
      <c r="C46" s="27" t="s">
        <v>105</v>
      </c>
      <c r="D46" s="57">
        <f>D15+D26+D31+D43</f>
        <v>1277.4499999999998</v>
      </c>
      <c r="E46" s="80"/>
      <c r="F46" s="80"/>
      <c r="G46" s="80"/>
      <c r="H46" s="27" t="s">
        <v>106</v>
      </c>
      <c r="I46" s="77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57">
        <f>AA15+AA26+AA31+AA43</f>
        <v>1277.4499999999998</v>
      </c>
      <c r="AB46" s="79">
        <f>AA46/D46</f>
        <v>1</v>
      </c>
      <c r="AC46" s="57">
        <f>AC15+AC26+AC31+AC43</f>
        <v>210.94400000000002</v>
      </c>
      <c r="AD46" s="79">
        <f>AC46/D46</f>
        <v>0.16512896786566991</v>
      </c>
      <c r="AE46" s="57">
        <f>AE15+AE26+AE31+AE43</f>
        <v>242.78700000000001</v>
      </c>
      <c r="AF46" s="79">
        <f>AE46/D46</f>
        <v>0.1900559708794865</v>
      </c>
      <c r="AG46" s="57">
        <f>AG15+AG26+AG31+AG43</f>
        <v>163.57249999999999</v>
      </c>
      <c r="AH46" s="79">
        <f>AG46/D46</f>
        <v>0.12804610747974482</v>
      </c>
    </row>
    <row r="47" spans="1:34" ht="20" customHeight="1" x14ac:dyDescent="0.2">
      <c r="C47" s="51"/>
      <c r="D47" s="52"/>
      <c r="E47" s="4"/>
      <c r="F47" s="4"/>
      <c r="G47" s="4"/>
      <c r="I47" s="4"/>
      <c r="AA47" s="48">
        <f>D46-AA46</f>
        <v>0</v>
      </c>
      <c r="AB47" s="49">
        <f>AA47/D46</f>
        <v>0</v>
      </c>
    </row>
    <row r="48" spans="1:34" ht="20" customHeight="1" x14ac:dyDescent="0.2">
      <c r="C48" s="51"/>
      <c r="D48" s="52"/>
      <c r="E48" s="4"/>
      <c r="F48" s="4"/>
      <c r="G48" s="4"/>
      <c r="I48" s="4"/>
    </row>
    <row r="49" spans="3:30" s="2" customFormat="1" ht="20" customHeight="1" x14ac:dyDescent="0.2">
      <c r="C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3:30" s="2" customFormat="1" ht="20" customHeight="1" x14ac:dyDescent="0.2">
      <c r="C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3:30" s="2" customFormat="1" ht="20" customHeight="1" x14ac:dyDescent="0.2">
      <c r="C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3:30" s="2" customFormat="1" ht="20" customHeight="1" x14ac:dyDescent="0.2">
      <c r="C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3:30" s="2" customFormat="1" ht="20" customHeight="1" x14ac:dyDescent="0.2"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3:30" s="2" customFormat="1" ht="20" customHeight="1" x14ac:dyDescent="0.2">
      <c r="C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3:30" s="2" customFormat="1" ht="20" customHeight="1" x14ac:dyDescent="0.2">
      <c r="C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3:30" s="2" customFormat="1" ht="20" customHeight="1" x14ac:dyDescent="0.2">
      <c r="C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</sheetData>
  <mergeCells count="27">
    <mergeCell ref="K7:L7"/>
    <mergeCell ref="K8:L8"/>
    <mergeCell ref="M7:N7"/>
    <mergeCell ref="M8:N8"/>
    <mergeCell ref="O7:P7"/>
    <mergeCell ref="O8:P8"/>
    <mergeCell ref="A6:I6"/>
    <mergeCell ref="E7:F7"/>
    <mergeCell ref="G7:H7"/>
    <mergeCell ref="I7:J7"/>
    <mergeCell ref="E8:F8"/>
    <mergeCell ref="G8:H8"/>
    <mergeCell ref="I8:J8"/>
    <mergeCell ref="W7:X7"/>
    <mergeCell ref="W8:X8"/>
    <mergeCell ref="AG8:AH8"/>
    <mergeCell ref="Q7:R7"/>
    <mergeCell ref="Q8:R8"/>
    <mergeCell ref="U7:V7"/>
    <mergeCell ref="U8:V8"/>
    <mergeCell ref="S7:T7"/>
    <mergeCell ref="S8:T8"/>
    <mergeCell ref="AC8:AD8"/>
    <mergeCell ref="AE8:AF8"/>
    <mergeCell ref="AA8:AB8"/>
    <mergeCell ref="Y7:Z7"/>
    <mergeCell ref="Y8:Z8"/>
  </mergeCells>
  <phoneticPr fontId="6" type="noConversion"/>
  <pageMargins left="0.7" right="0.7" top="0.75" bottom="0.75" header="0.3" footer="0.3"/>
  <pageSetup scale="3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3DEB-193D-4457-BE26-038EC420FD31}">
  <sheetPr>
    <tabColor rgb="FFA7C9D2"/>
  </sheetPr>
  <dimension ref="A6:AD71"/>
  <sheetViews>
    <sheetView zoomScale="70" zoomScaleNormal="70" zoomScaleSheetLayoutView="7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W29" sqref="W29"/>
    </sheetView>
  </sheetViews>
  <sheetFormatPr baseColWidth="10" defaultColWidth="11.5" defaultRowHeight="14" x14ac:dyDescent="0.2"/>
  <cols>
    <col min="1" max="1" width="11.5" style="2"/>
    <col min="2" max="2" width="10.83203125" style="2" customWidth="1"/>
    <col min="3" max="3" width="38.5" style="1" customWidth="1"/>
    <col min="4" max="6" width="12.83203125" style="2" customWidth="1"/>
    <col min="7" max="24" width="12.83203125" style="1" customWidth="1"/>
    <col min="25" max="16384" width="11.5" style="1"/>
  </cols>
  <sheetData>
    <row r="6" spans="1:30" ht="41.5" customHeight="1" x14ac:dyDescent="0.2">
      <c r="A6" s="239" t="s">
        <v>117</v>
      </c>
      <c r="B6" s="239"/>
      <c r="C6" s="239"/>
      <c r="D6" s="239"/>
      <c r="E6" s="239"/>
      <c r="F6" s="239"/>
      <c r="G6" s="239"/>
      <c r="H6" s="239"/>
      <c r="I6" s="23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20" customHeight="1" x14ac:dyDescent="0.2">
      <c r="A7" s="9"/>
      <c r="B7" s="9"/>
      <c r="C7" s="3"/>
      <c r="D7" s="9"/>
      <c r="E7" s="243" t="s">
        <v>61</v>
      </c>
      <c r="F7" s="243"/>
      <c r="G7" s="243" t="s">
        <v>62</v>
      </c>
      <c r="H7" s="243"/>
      <c r="I7" s="243" t="s">
        <v>63</v>
      </c>
      <c r="J7" s="243"/>
      <c r="K7" s="243" t="s">
        <v>109</v>
      </c>
      <c r="L7" s="243"/>
      <c r="M7" s="243" t="s">
        <v>110</v>
      </c>
      <c r="N7" s="243"/>
      <c r="O7" s="243" t="s">
        <v>111</v>
      </c>
      <c r="P7" s="243"/>
      <c r="Q7" s="243" t="s">
        <v>112</v>
      </c>
      <c r="R7" s="243"/>
      <c r="S7" s="246" t="s">
        <v>144</v>
      </c>
      <c r="T7" s="243"/>
      <c r="U7" s="246" t="s">
        <v>210</v>
      </c>
      <c r="V7" s="243"/>
      <c r="W7" s="9"/>
      <c r="X7" s="9"/>
      <c r="Y7" s="82"/>
      <c r="Z7" s="82"/>
      <c r="AA7" s="82"/>
      <c r="AB7" s="82"/>
      <c r="AC7" s="82"/>
      <c r="AD7" s="82"/>
    </row>
    <row r="8" spans="1:30" ht="25" customHeight="1" x14ac:dyDescent="0.2">
      <c r="A8" s="9" t="s">
        <v>49</v>
      </c>
      <c r="B8" s="9" t="s">
        <v>50</v>
      </c>
      <c r="C8" s="9" t="s">
        <v>28</v>
      </c>
      <c r="D8" s="9" t="s">
        <v>2</v>
      </c>
      <c r="E8" s="244" t="s">
        <v>47</v>
      </c>
      <c r="F8" s="244"/>
      <c r="G8" s="244" t="s">
        <v>48</v>
      </c>
      <c r="H8" s="244"/>
      <c r="I8" s="244" t="s">
        <v>60</v>
      </c>
      <c r="J8" s="244"/>
      <c r="K8" s="244" t="s">
        <v>113</v>
      </c>
      <c r="L8" s="244"/>
      <c r="M8" s="244" t="s">
        <v>114</v>
      </c>
      <c r="N8" s="244"/>
      <c r="O8" s="244" t="s">
        <v>115</v>
      </c>
      <c r="P8" s="244"/>
      <c r="Q8" s="244" t="s">
        <v>116</v>
      </c>
      <c r="R8" s="244"/>
      <c r="S8" s="244" t="s">
        <v>145</v>
      </c>
      <c r="T8" s="244"/>
      <c r="U8" s="244" t="s">
        <v>209</v>
      </c>
      <c r="V8" s="244"/>
      <c r="W8" s="245" t="s">
        <v>51</v>
      </c>
      <c r="X8" s="245"/>
      <c r="Y8" s="245" t="s">
        <v>119</v>
      </c>
      <c r="Z8" s="245"/>
      <c r="AA8" s="245" t="s">
        <v>120</v>
      </c>
      <c r="AB8" s="245"/>
      <c r="AC8" s="245" t="s">
        <v>120</v>
      </c>
      <c r="AD8" s="245"/>
    </row>
    <row r="9" spans="1:30" ht="20" customHeight="1" x14ac:dyDescent="0.2">
      <c r="A9" s="37"/>
      <c r="B9" s="37"/>
      <c r="C9" s="37"/>
      <c r="D9" s="37"/>
      <c r="E9" s="38" t="s">
        <v>2</v>
      </c>
      <c r="F9" s="38" t="s">
        <v>52</v>
      </c>
      <c r="G9" s="38" t="s">
        <v>2</v>
      </c>
      <c r="H9" s="38" t="s">
        <v>52</v>
      </c>
      <c r="I9" s="38" t="s">
        <v>2</v>
      </c>
      <c r="J9" s="38" t="s">
        <v>52</v>
      </c>
      <c r="K9" s="38" t="s">
        <v>2</v>
      </c>
      <c r="L9" s="38" t="s">
        <v>52</v>
      </c>
      <c r="M9" s="38" t="s">
        <v>2</v>
      </c>
      <c r="N9" s="38" t="s">
        <v>52</v>
      </c>
      <c r="O9" s="38" t="s">
        <v>2</v>
      </c>
      <c r="P9" s="38" t="s">
        <v>52</v>
      </c>
      <c r="Q9" s="38" t="s">
        <v>2</v>
      </c>
      <c r="R9" s="38" t="s">
        <v>52</v>
      </c>
      <c r="S9" s="38" t="s">
        <v>2</v>
      </c>
      <c r="T9" s="38" t="s">
        <v>52</v>
      </c>
      <c r="U9" s="38" t="s">
        <v>2</v>
      </c>
      <c r="V9" s="38" t="s">
        <v>52</v>
      </c>
      <c r="W9" s="39" t="s">
        <v>2</v>
      </c>
      <c r="X9" s="39" t="s">
        <v>52</v>
      </c>
      <c r="Y9" s="38" t="s">
        <v>2</v>
      </c>
      <c r="Z9" s="38" t="s">
        <v>52</v>
      </c>
      <c r="AA9" s="38" t="s">
        <v>2</v>
      </c>
      <c r="AB9" s="38" t="s">
        <v>52</v>
      </c>
      <c r="AC9" s="38" t="s">
        <v>2</v>
      </c>
      <c r="AD9" s="38" t="s">
        <v>52</v>
      </c>
    </row>
    <row r="10" spans="1:30" ht="20" customHeight="1" x14ac:dyDescent="0.2">
      <c r="A10" s="14" t="s">
        <v>55</v>
      </c>
      <c r="B10" s="2">
        <v>1</v>
      </c>
      <c r="C10" s="1" t="s">
        <v>86</v>
      </c>
      <c r="D10" s="4">
        <f>'CO SIF'!E6</f>
        <v>117.42965000000001</v>
      </c>
      <c r="E10" s="4">
        <v>0</v>
      </c>
      <c r="F10" s="40">
        <v>0</v>
      </c>
      <c r="G10" s="4">
        <v>45</v>
      </c>
      <c r="H10" s="40">
        <f>G10/D10</f>
        <v>0.38320815909780875</v>
      </c>
      <c r="I10" s="4">
        <v>0</v>
      </c>
      <c r="J10" s="40">
        <f>I10/D10</f>
        <v>0</v>
      </c>
      <c r="K10" s="4">
        <f>D10*L10</f>
        <v>0</v>
      </c>
      <c r="L10" s="40">
        <v>0</v>
      </c>
      <c r="M10" s="4">
        <f>D10*N10</f>
        <v>0</v>
      </c>
      <c r="N10" s="40">
        <v>0</v>
      </c>
      <c r="O10" s="4">
        <f>D10*P10</f>
        <v>0</v>
      </c>
      <c r="P10" s="40">
        <v>0</v>
      </c>
      <c r="Q10" s="4">
        <f>D10*R10</f>
        <v>0</v>
      </c>
      <c r="R10" s="40">
        <v>0</v>
      </c>
      <c r="S10" s="4">
        <f t="shared" ref="S10:S12" si="0">D10*T10</f>
        <v>5.8714825000000008</v>
      </c>
      <c r="T10" s="40">
        <v>0.05</v>
      </c>
      <c r="U10" s="4">
        <f t="shared" ref="U10:U12" si="1">D10*V10</f>
        <v>3.5228895000000002</v>
      </c>
      <c r="V10" s="40">
        <v>0.03</v>
      </c>
      <c r="W10" s="41">
        <f>E10+G10+I10+K10+M10+O10+Q10+S10+U10</f>
        <v>54.394371999999997</v>
      </c>
      <c r="X10" s="42">
        <f>W10/D10</f>
        <v>0.46320815909780871</v>
      </c>
      <c r="Y10" s="83">
        <f>E10+G10+I10+K10</f>
        <v>45</v>
      </c>
      <c r="Z10" s="84">
        <f>Y10/D10</f>
        <v>0.38320815909780875</v>
      </c>
      <c r="AA10" s="83">
        <f>M10+O10+Q10+S10</f>
        <v>5.8714825000000008</v>
      </c>
      <c r="AB10" s="84">
        <f>AA10/D10</f>
        <v>0.05</v>
      </c>
      <c r="AC10" s="83">
        <f>U10</f>
        <v>3.5228895000000002</v>
      </c>
      <c r="AD10" s="84">
        <f>AC10/D10</f>
        <v>0.03</v>
      </c>
    </row>
    <row r="11" spans="1:30" ht="20" customHeight="1" x14ac:dyDescent="0.2">
      <c r="A11" s="14"/>
      <c r="B11" s="2">
        <v>2</v>
      </c>
      <c r="C11" s="1" t="s">
        <v>87</v>
      </c>
      <c r="D11" s="4">
        <f>'CO SIF'!E7</f>
        <v>44.324475</v>
      </c>
      <c r="E11" s="4">
        <v>0</v>
      </c>
      <c r="F11" s="40">
        <v>0</v>
      </c>
      <c r="G11" s="4">
        <v>25</v>
      </c>
      <c r="H11" s="40">
        <f t="shared" ref="H11:H13" si="2">G11/D11</f>
        <v>0.56402247291141072</v>
      </c>
      <c r="I11" s="4">
        <v>0</v>
      </c>
      <c r="J11" s="40">
        <f t="shared" ref="J11:J13" si="3">I11/D11</f>
        <v>0</v>
      </c>
      <c r="K11" s="4">
        <f>D11*L11</f>
        <v>0</v>
      </c>
      <c r="L11" s="40">
        <v>0</v>
      </c>
      <c r="M11" s="4">
        <f>D11*N11</f>
        <v>0</v>
      </c>
      <c r="N11" s="40">
        <v>0</v>
      </c>
      <c r="O11" s="4">
        <f>D11*P11</f>
        <v>0</v>
      </c>
      <c r="P11" s="40">
        <v>0</v>
      </c>
      <c r="Q11" s="4">
        <f>D11*R11</f>
        <v>0</v>
      </c>
      <c r="R11" s="40">
        <v>0</v>
      </c>
      <c r="S11" s="4">
        <f t="shared" si="0"/>
        <v>2.2162237500000002</v>
      </c>
      <c r="T11" s="40">
        <v>0.05</v>
      </c>
      <c r="U11" s="4">
        <f t="shared" si="1"/>
        <v>2.2162237500000002</v>
      </c>
      <c r="V11" s="40">
        <v>0.05</v>
      </c>
      <c r="W11" s="41">
        <f t="shared" ref="W11:W13" si="4">E11+G11+I11+K11+M11+O11+Q11+S11+U11</f>
        <v>29.432447500000002</v>
      </c>
      <c r="X11" s="42">
        <f>W11/D11</f>
        <v>0.6640224729114107</v>
      </c>
      <c r="Y11" s="83">
        <f>E11+G11+I11+K11</f>
        <v>25</v>
      </c>
      <c r="Z11" s="84">
        <f>Y11/D11</f>
        <v>0.56402247291141072</v>
      </c>
      <c r="AA11" s="83">
        <f>M11+O11+Q11+S11</f>
        <v>2.2162237500000002</v>
      </c>
      <c r="AB11" s="84">
        <f>AA11/D11</f>
        <v>0.05</v>
      </c>
      <c r="AC11" s="83">
        <f t="shared" ref="AC11:AC13" si="5">U11</f>
        <v>2.2162237500000002</v>
      </c>
      <c r="AD11" s="84">
        <f t="shared" ref="AD11:AD13" si="6">AC11/D11</f>
        <v>0.05</v>
      </c>
    </row>
    <row r="12" spans="1:30" ht="20" customHeight="1" x14ac:dyDescent="0.2">
      <c r="B12" s="2">
        <v>3</v>
      </c>
      <c r="C12" s="1" t="s">
        <v>88</v>
      </c>
      <c r="D12" s="4">
        <f>'CO SIF'!E8</f>
        <v>70.754385000000013</v>
      </c>
      <c r="E12" s="4">
        <v>0</v>
      </c>
      <c r="F12" s="40">
        <v>0</v>
      </c>
      <c r="G12" s="4">
        <v>0</v>
      </c>
      <c r="H12" s="40">
        <f t="shared" si="2"/>
        <v>0</v>
      </c>
      <c r="I12" s="4">
        <v>0</v>
      </c>
      <c r="J12" s="40">
        <f t="shared" si="3"/>
        <v>0</v>
      </c>
      <c r="K12" s="4">
        <f>D12*L12</f>
        <v>0</v>
      </c>
      <c r="L12" s="40">
        <v>0</v>
      </c>
      <c r="M12" s="4">
        <f>D12*N12</f>
        <v>0</v>
      </c>
      <c r="N12" s="40">
        <v>0</v>
      </c>
      <c r="O12" s="4">
        <f>D12*P12</f>
        <v>0</v>
      </c>
      <c r="P12" s="40">
        <v>0</v>
      </c>
      <c r="Q12" s="4">
        <f>D12*R12</f>
        <v>0</v>
      </c>
      <c r="R12" s="40">
        <v>0</v>
      </c>
      <c r="S12" s="4">
        <f t="shared" si="0"/>
        <v>0</v>
      </c>
      <c r="T12" s="40">
        <v>0</v>
      </c>
      <c r="U12" s="4">
        <f t="shared" si="1"/>
        <v>0</v>
      </c>
      <c r="V12" s="40">
        <v>0</v>
      </c>
      <c r="W12" s="41">
        <f t="shared" si="4"/>
        <v>0</v>
      </c>
      <c r="X12" s="42">
        <f>W12/D12</f>
        <v>0</v>
      </c>
      <c r="Y12" s="83">
        <f>E12+G12+I12+K12</f>
        <v>0</v>
      </c>
      <c r="Z12" s="84">
        <f>Y12/D12</f>
        <v>0</v>
      </c>
      <c r="AA12" s="83">
        <f>M12+O12+Q12+S12</f>
        <v>0</v>
      </c>
      <c r="AB12" s="84">
        <f>AA12/D12</f>
        <v>0</v>
      </c>
      <c r="AC12" s="83">
        <f t="shared" si="5"/>
        <v>0</v>
      </c>
      <c r="AD12" s="84">
        <f t="shared" si="6"/>
        <v>0</v>
      </c>
    </row>
    <row r="13" spans="1:30" ht="20" customHeight="1" x14ac:dyDescent="0.2">
      <c r="B13" s="2">
        <v>4</v>
      </c>
      <c r="C13" s="1" t="s">
        <v>89</v>
      </c>
      <c r="D13" s="4">
        <f>'CO SIF'!E9</f>
        <v>201.13315300000002</v>
      </c>
      <c r="E13" s="4">
        <v>0</v>
      </c>
      <c r="F13" s="40">
        <v>0</v>
      </c>
      <c r="G13" s="4">
        <v>0</v>
      </c>
      <c r="H13" s="40">
        <f t="shared" si="2"/>
        <v>0</v>
      </c>
      <c r="I13" s="4">
        <v>0</v>
      </c>
      <c r="J13" s="40">
        <f t="shared" si="3"/>
        <v>0</v>
      </c>
      <c r="K13" s="4">
        <f>D13*L13</f>
        <v>0</v>
      </c>
      <c r="L13" s="40">
        <v>0</v>
      </c>
      <c r="M13" s="4">
        <f>D13*N13</f>
        <v>0</v>
      </c>
      <c r="N13" s="40">
        <v>0</v>
      </c>
      <c r="O13" s="4">
        <f>D13*P13</f>
        <v>0</v>
      </c>
      <c r="P13" s="40">
        <v>0</v>
      </c>
      <c r="Q13" s="4">
        <f>D13*R13</f>
        <v>0</v>
      </c>
      <c r="R13" s="40">
        <v>0</v>
      </c>
      <c r="S13" s="4">
        <f>D13*T13</f>
        <v>0</v>
      </c>
      <c r="T13" s="40">
        <v>0</v>
      </c>
      <c r="U13" s="4">
        <f>D13*V13</f>
        <v>0</v>
      </c>
      <c r="V13" s="40">
        <v>0</v>
      </c>
      <c r="W13" s="41">
        <f t="shared" si="4"/>
        <v>0</v>
      </c>
      <c r="X13" s="42">
        <f>W13/D13</f>
        <v>0</v>
      </c>
      <c r="Y13" s="83">
        <f>E13+G13+I13+K13</f>
        <v>0</v>
      </c>
      <c r="Z13" s="84">
        <f>Y13/D13</f>
        <v>0</v>
      </c>
      <c r="AA13" s="83">
        <f>M13+O13+Q13+S13</f>
        <v>0</v>
      </c>
      <c r="AB13" s="84">
        <f>AA13/D13</f>
        <v>0</v>
      </c>
      <c r="AC13" s="83">
        <f t="shared" si="5"/>
        <v>0</v>
      </c>
      <c r="AD13" s="84">
        <f t="shared" si="6"/>
        <v>0</v>
      </c>
    </row>
    <row r="14" spans="1:30" ht="20" customHeight="1" x14ac:dyDescent="0.2">
      <c r="B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1"/>
      <c r="X14" s="41"/>
    </row>
    <row r="15" spans="1:30" ht="20" customHeight="1" x14ac:dyDescent="0.2">
      <c r="C15" s="3" t="s">
        <v>53</v>
      </c>
      <c r="D15" s="19">
        <f>SUM(D10:D14)</f>
        <v>433.64166300000005</v>
      </c>
      <c r="E15" s="33">
        <f>SUM(E10:E14)</f>
        <v>0</v>
      </c>
      <c r="F15" s="43">
        <f>E15/D15</f>
        <v>0</v>
      </c>
      <c r="G15" s="44">
        <f>SUM(G10:G13)</f>
        <v>70</v>
      </c>
      <c r="H15" s="43">
        <f>G15/D15</f>
        <v>0.16142360380164852</v>
      </c>
      <c r="I15" s="44">
        <f>SUM(I10:I13)</f>
        <v>0</v>
      </c>
      <c r="J15" s="43">
        <f>I15/D15</f>
        <v>0</v>
      </c>
      <c r="K15" s="44">
        <f>SUM(K6:K13)</f>
        <v>0</v>
      </c>
      <c r="L15" s="43">
        <f>K15/D15</f>
        <v>0</v>
      </c>
      <c r="M15" s="44">
        <f>SUM(M6:M13)</f>
        <v>0</v>
      </c>
      <c r="N15" s="43">
        <f>M15/D15</f>
        <v>0</v>
      </c>
      <c r="O15" s="44">
        <f>SUM(O6:O13)</f>
        <v>0</v>
      </c>
      <c r="P15" s="43">
        <f>O15/D15</f>
        <v>0</v>
      </c>
      <c r="Q15" s="44">
        <f>SUM(Q6:Q13)</f>
        <v>0</v>
      </c>
      <c r="R15" s="43">
        <f>Q15/D15</f>
        <v>0</v>
      </c>
      <c r="S15" s="44">
        <f>SUM(S6:S13)</f>
        <v>8.0877062500000001</v>
      </c>
      <c r="T15" s="43">
        <f>S15/D15</f>
        <v>1.8650666990915953E-2</v>
      </c>
      <c r="U15" s="44">
        <f>SUM(U10:U13)</f>
        <v>5.7391132500000008</v>
      </c>
      <c r="V15" s="43">
        <f>U15/D15</f>
        <v>1.3234690620582737E-2</v>
      </c>
      <c r="W15" s="19">
        <f>SUM(W10:W13)</f>
        <v>83.826819499999999</v>
      </c>
      <c r="X15" s="45">
        <f>W15/D15</f>
        <v>0.19330896141314721</v>
      </c>
      <c r="Y15" s="19">
        <f>SUM(Y10:Y13)</f>
        <v>70</v>
      </c>
      <c r="Z15" s="45">
        <f>Y15/D15</f>
        <v>0.16142360380164852</v>
      </c>
      <c r="AA15" s="19">
        <f>SUM(AA10:AA13)</f>
        <v>8.0877062500000001</v>
      </c>
      <c r="AB15" s="45">
        <f>AA15/D15</f>
        <v>1.8650666990915953E-2</v>
      </c>
      <c r="AC15" s="19">
        <f>SUM(AC10:AC13)</f>
        <v>5.7391132500000008</v>
      </c>
      <c r="AD15" s="45">
        <f>AC15/D15</f>
        <v>1.3234690620582737E-2</v>
      </c>
    </row>
    <row r="16" spans="1:30" ht="20" customHeight="1" x14ac:dyDescent="0.2">
      <c r="C16" s="46"/>
      <c r="D16" s="47"/>
      <c r="W16" s="48">
        <f>D15-W15</f>
        <v>349.81484350000005</v>
      </c>
      <c r="X16" s="49">
        <f>W16/D15</f>
        <v>0.80669103858685276</v>
      </c>
    </row>
    <row r="17" spans="1:30" ht="20" customHeight="1" x14ac:dyDescent="0.2">
      <c r="C17" s="46"/>
      <c r="D17" s="50"/>
      <c r="E17" s="8"/>
      <c r="F17" s="8"/>
      <c r="G17" s="5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2"/>
    </row>
    <row r="18" spans="1:30" ht="20" customHeight="1" x14ac:dyDescent="0.2">
      <c r="C18" s="46"/>
      <c r="D18" s="50"/>
      <c r="E18" s="8"/>
      <c r="F18" s="8"/>
      <c r="G18" s="5"/>
      <c r="H18" s="2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2"/>
    </row>
    <row r="19" spans="1:30" ht="20" customHeight="1" x14ac:dyDescent="0.2">
      <c r="A19" s="14" t="s">
        <v>59</v>
      </c>
      <c r="B19" s="2">
        <v>5</v>
      </c>
      <c r="C19" s="1" t="s">
        <v>56</v>
      </c>
      <c r="D19" s="4">
        <f>'CO SIF'!E15</f>
        <v>627.00183000000004</v>
      </c>
      <c r="E19" s="4">
        <v>0</v>
      </c>
      <c r="F19" s="40">
        <v>0</v>
      </c>
      <c r="G19" s="4">
        <v>0</v>
      </c>
      <c r="H19" s="40">
        <v>0</v>
      </c>
      <c r="I19" s="4">
        <v>35</v>
      </c>
      <c r="J19" s="40">
        <f>I19/D19</f>
        <v>5.5821208687700317E-2</v>
      </c>
      <c r="K19" s="4">
        <f t="shared" ref="K19:K24" si="7">D19*L19</f>
        <v>12.540036600000001</v>
      </c>
      <c r="L19" s="40">
        <v>0.02</v>
      </c>
      <c r="M19" s="4">
        <f t="shared" ref="M19:M24" si="8">D19*N19</f>
        <v>0</v>
      </c>
      <c r="N19" s="40">
        <v>0</v>
      </c>
      <c r="O19" s="4">
        <f t="shared" ref="O19:O24" si="9">D19*P19</f>
        <v>0</v>
      </c>
      <c r="P19" s="40">
        <v>0</v>
      </c>
      <c r="Q19" s="4">
        <f t="shared" ref="Q19:Q24" si="10">D19*R19</f>
        <v>0</v>
      </c>
      <c r="R19" s="40">
        <v>0</v>
      </c>
      <c r="S19" s="4">
        <f t="shared" ref="S19:S23" si="11">D19*T19</f>
        <v>12.540036600000001</v>
      </c>
      <c r="T19" s="40">
        <v>0.02</v>
      </c>
      <c r="U19" s="4">
        <f t="shared" ref="U19:U23" si="12">D19*V19</f>
        <v>31.350091500000005</v>
      </c>
      <c r="V19" s="40">
        <v>0.05</v>
      </c>
      <c r="W19" s="41">
        <f t="shared" ref="W19:W24" si="13">E19+G19+I19+K19+M19+O19+Q19+S19+U19</f>
        <v>91.430164700000006</v>
      </c>
      <c r="X19" s="42">
        <f t="shared" ref="X19:X24" si="14">W19/D19</f>
        <v>0.14582120868770032</v>
      </c>
      <c r="Y19" s="83">
        <f t="shared" ref="Y19:Y24" si="15">E19+G19+I19+K19</f>
        <v>47.540036600000001</v>
      </c>
      <c r="Z19" s="84">
        <f t="shared" ref="Z19:Z24" si="16">Y19/D19</f>
        <v>7.5821208687700314E-2</v>
      </c>
      <c r="AA19" s="83">
        <f t="shared" ref="AA19:AA24" si="17">M19+O19+Q19+S19</f>
        <v>12.540036600000001</v>
      </c>
      <c r="AB19" s="84">
        <f t="shared" ref="AB19:AB24" si="18">AA19/D19</f>
        <v>0.02</v>
      </c>
      <c r="AC19" s="83">
        <f t="shared" ref="AC19:AC23" si="19">U19</f>
        <v>31.350091500000005</v>
      </c>
      <c r="AD19" s="84">
        <f t="shared" ref="AD19:AD24" si="20">AC19/D19</f>
        <v>0.05</v>
      </c>
    </row>
    <row r="20" spans="1:30" ht="20" customHeight="1" x14ac:dyDescent="0.2">
      <c r="A20" s="14"/>
      <c r="C20" s="1" t="s">
        <v>66</v>
      </c>
      <c r="D20" s="4">
        <f>'CO SIF'!E16</f>
        <v>413.036</v>
      </c>
      <c r="E20" s="4">
        <v>0</v>
      </c>
      <c r="F20" s="40">
        <v>0</v>
      </c>
      <c r="G20" s="4">
        <v>0</v>
      </c>
      <c r="H20" s="40">
        <v>0</v>
      </c>
      <c r="I20" s="4">
        <v>0</v>
      </c>
      <c r="J20" s="40">
        <v>0</v>
      </c>
      <c r="K20" s="4">
        <f t="shared" si="7"/>
        <v>0</v>
      </c>
      <c r="L20" s="40">
        <v>0</v>
      </c>
      <c r="M20" s="4">
        <f t="shared" si="8"/>
        <v>0</v>
      </c>
      <c r="N20" s="40">
        <v>0</v>
      </c>
      <c r="O20" s="4">
        <f t="shared" si="9"/>
        <v>0</v>
      </c>
      <c r="P20" s="40">
        <v>0</v>
      </c>
      <c r="Q20" s="4">
        <f t="shared" si="10"/>
        <v>0</v>
      </c>
      <c r="R20" s="40">
        <v>0</v>
      </c>
      <c r="S20" s="4">
        <f t="shared" si="11"/>
        <v>0</v>
      </c>
      <c r="T20" s="40">
        <v>0</v>
      </c>
      <c r="U20" s="4">
        <f t="shared" si="12"/>
        <v>0</v>
      </c>
      <c r="V20" s="40">
        <v>0</v>
      </c>
      <c r="W20" s="41">
        <f t="shared" si="13"/>
        <v>0</v>
      </c>
      <c r="X20" s="42">
        <f t="shared" si="14"/>
        <v>0</v>
      </c>
      <c r="Y20" s="83">
        <f t="shared" si="15"/>
        <v>0</v>
      </c>
      <c r="Z20" s="84">
        <f t="shared" si="16"/>
        <v>0</v>
      </c>
      <c r="AA20" s="83">
        <f t="shared" si="17"/>
        <v>0</v>
      </c>
      <c r="AB20" s="84">
        <f t="shared" si="18"/>
        <v>0</v>
      </c>
      <c r="AC20" s="83">
        <f t="shared" si="19"/>
        <v>0</v>
      </c>
      <c r="AD20" s="84">
        <f t="shared" si="20"/>
        <v>0</v>
      </c>
    </row>
    <row r="21" spans="1:30" ht="20" customHeight="1" x14ac:dyDescent="0.2">
      <c r="B21" s="2">
        <v>6</v>
      </c>
      <c r="C21" s="1" t="s">
        <v>57</v>
      </c>
      <c r="D21" s="4">
        <f>'CO SIF'!E17</f>
        <v>28.3413</v>
      </c>
      <c r="E21" s="4">
        <v>0</v>
      </c>
      <c r="F21" s="40">
        <v>0</v>
      </c>
      <c r="G21" s="4">
        <v>0</v>
      </c>
      <c r="H21" s="40">
        <v>0</v>
      </c>
      <c r="I21" s="4">
        <v>0</v>
      </c>
      <c r="J21" s="40">
        <v>0</v>
      </c>
      <c r="K21" s="4">
        <f t="shared" si="7"/>
        <v>0</v>
      </c>
      <c r="L21" s="40">
        <v>0</v>
      </c>
      <c r="M21" s="4">
        <f t="shared" si="8"/>
        <v>0</v>
      </c>
      <c r="N21" s="40">
        <v>0</v>
      </c>
      <c r="O21" s="4">
        <f t="shared" si="9"/>
        <v>0</v>
      </c>
      <c r="P21" s="40">
        <v>0</v>
      </c>
      <c r="Q21" s="4">
        <f t="shared" si="10"/>
        <v>0</v>
      </c>
      <c r="R21" s="40">
        <v>0</v>
      </c>
      <c r="S21" s="4">
        <f t="shared" si="11"/>
        <v>0</v>
      </c>
      <c r="T21" s="40">
        <v>0</v>
      </c>
      <c r="U21" s="4">
        <f t="shared" si="12"/>
        <v>0.56682600000000005</v>
      </c>
      <c r="V21" s="40">
        <v>0.02</v>
      </c>
      <c r="W21" s="41">
        <f t="shared" si="13"/>
        <v>0.56682600000000005</v>
      </c>
      <c r="X21" s="42">
        <f t="shared" si="14"/>
        <v>0.02</v>
      </c>
      <c r="Y21" s="83">
        <f t="shared" si="15"/>
        <v>0</v>
      </c>
      <c r="Z21" s="84">
        <f t="shared" si="16"/>
        <v>0</v>
      </c>
      <c r="AA21" s="83">
        <f t="shared" si="17"/>
        <v>0</v>
      </c>
      <c r="AB21" s="84">
        <f t="shared" si="18"/>
        <v>0</v>
      </c>
      <c r="AC21" s="83">
        <f t="shared" si="19"/>
        <v>0.56682600000000005</v>
      </c>
      <c r="AD21" s="84">
        <f t="shared" si="20"/>
        <v>0.02</v>
      </c>
    </row>
    <row r="22" spans="1:30" ht="20" customHeight="1" x14ac:dyDescent="0.2">
      <c r="B22" s="2">
        <v>7</v>
      </c>
      <c r="C22" s="1" t="s">
        <v>56</v>
      </c>
      <c r="D22" s="4">
        <f>'CO SIF'!E18</f>
        <v>207.6165</v>
      </c>
      <c r="E22" s="4">
        <v>0</v>
      </c>
      <c r="F22" s="40">
        <v>0</v>
      </c>
      <c r="G22" s="4">
        <v>0</v>
      </c>
      <c r="H22" s="40">
        <v>0</v>
      </c>
      <c r="I22" s="4">
        <v>0</v>
      </c>
      <c r="J22" s="40">
        <v>0</v>
      </c>
      <c r="K22" s="4">
        <f t="shared" si="7"/>
        <v>22.837814999999999</v>
      </c>
      <c r="L22" s="40">
        <v>0.11</v>
      </c>
      <c r="M22" s="4">
        <f t="shared" si="8"/>
        <v>0</v>
      </c>
      <c r="N22" s="40">
        <v>0</v>
      </c>
      <c r="O22" s="4">
        <f t="shared" si="9"/>
        <v>0</v>
      </c>
      <c r="P22" s="40">
        <v>0</v>
      </c>
      <c r="Q22" s="4">
        <f t="shared" si="10"/>
        <v>0</v>
      </c>
      <c r="R22" s="40">
        <v>0</v>
      </c>
      <c r="S22" s="4">
        <f t="shared" si="11"/>
        <v>0</v>
      </c>
      <c r="T22" s="40">
        <v>0</v>
      </c>
      <c r="U22" s="4">
        <f t="shared" si="12"/>
        <v>5.1904125000000008</v>
      </c>
      <c r="V22" s="40">
        <v>2.5000000000000001E-2</v>
      </c>
      <c r="W22" s="41">
        <f t="shared" si="13"/>
        <v>28.0282275</v>
      </c>
      <c r="X22" s="42">
        <f t="shared" si="14"/>
        <v>0.13500000000000001</v>
      </c>
      <c r="Y22" s="83">
        <f t="shared" si="15"/>
        <v>22.837814999999999</v>
      </c>
      <c r="Z22" s="84">
        <f t="shared" si="16"/>
        <v>0.11</v>
      </c>
      <c r="AA22" s="83">
        <f t="shared" si="17"/>
        <v>0</v>
      </c>
      <c r="AB22" s="84">
        <f t="shared" si="18"/>
        <v>0</v>
      </c>
      <c r="AC22" s="83">
        <f t="shared" si="19"/>
        <v>5.1904125000000008</v>
      </c>
      <c r="AD22" s="84">
        <f t="shared" si="20"/>
        <v>2.5000000000000005E-2</v>
      </c>
    </row>
    <row r="23" spans="1:30" ht="20" customHeight="1" x14ac:dyDescent="0.2">
      <c r="A23" s="14"/>
      <c r="B23" s="2">
        <v>8</v>
      </c>
      <c r="C23" s="1" t="s">
        <v>57</v>
      </c>
      <c r="D23" s="4">
        <f>'CO SIF'!E19</f>
        <v>28.3413</v>
      </c>
      <c r="E23" s="4">
        <v>0</v>
      </c>
      <c r="F23" s="40">
        <v>0</v>
      </c>
      <c r="G23" s="4">
        <v>0</v>
      </c>
      <c r="H23" s="40">
        <v>0</v>
      </c>
      <c r="I23" s="4">
        <v>0</v>
      </c>
      <c r="J23" s="40">
        <v>0</v>
      </c>
      <c r="K23" s="4">
        <f t="shared" si="7"/>
        <v>0</v>
      </c>
      <c r="L23" s="40">
        <v>0</v>
      </c>
      <c r="M23" s="4">
        <f t="shared" si="8"/>
        <v>0</v>
      </c>
      <c r="N23" s="40">
        <v>0</v>
      </c>
      <c r="O23" s="4">
        <f t="shared" si="9"/>
        <v>0</v>
      </c>
      <c r="P23" s="40">
        <v>0</v>
      </c>
      <c r="Q23" s="4">
        <f t="shared" si="10"/>
        <v>0</v>
      </c>
      <c r="R23" s="40">
        <v>0</v>
      </c>
      <c r="S23" s="4">
        <f t="shared" si="11"/>
        <v>0</v>
      </c>
      <c r="T23" s="40">
        <v>0</v>
      </c>
      <c r="U23" s="4">
        <f t="shared" si="12"/>
        <v>0</v>
      </c>
      <c r="V23" s="40">
        <v>0</v>
      </c>
      <c r="W23" s="41">
        <f t="shared" si="13"/>
        <v>0</v>
      </c>
      <c r="X23" s="42">
        <f t="shared" si="14"/>
        <v>0</v>
      </c>
      <c r="Y23" s="83">
        <f t="shared" si="15"/>
        <v>0</v>
      </c>
      <c r="Z23" s="84">
        <f t="shared" si="16"/>
        <v>0</v>
      </c>
      <c r="AA23" s="83">
        <f t="shared" si="17"/>
        <v>0</v>
      </c>
      <c r="AB23" s="84">
        <f t="shared" si="18"/>
        <v>0</v>
      </c>
      <c r="AC23" s="83">
        <f t="shared" si="19"/>
        <v>0</v>
      </c>
      <c r="AD23" s="84">
        <f t="shared" si="20"/>
        <v>0</v>
      </c>
    </row>
    <row r="24" spans="1:30" ht="20" customHeight="1" x14ac:dyDescent="0.2">
      <c r="B24" s="2">
        <v>9</v>
      </c>
      <c r="C24" s="1" t="s">
        <v>56</v>
      </c>
      <c r="D24" s="4">
        <f>'CO SIF'!E20</f>
        <v>232.05812499999996</v>
      </c>
      <c r="E24" s="4">
        <v>0</v>
      </c>
      <c r="F24" s="40">
        <v>0</v>
      </c>
      <c r="G24" s="4">
        <v>0</v>
      </c>
      <c r="H24" s="40">
        <v>0</v>
      </c>
      <c r="I24" s="4">
        <v>0</v>
      </c>
      <c r="J24" s="40">
        <v>0</v>
      </c>
      <c r="K24" s="4">
        <f t="shared" si="7"/>
        <v>0</v>
      </c>
      <c r="L24" s="40">
        <v>0</v>
      </c>
      <c r="M24" s="4">
        <f t="shared" si="8"/>
        <v>0</v>
      </c>
      <c r="N24" s="40">
        <v>0</v>
      </c>
      <c r="O24" s="4">
        <f t="shared" si="9"/>
        <v>0</v>
      </c>
      <c r="P24" s="40">
        <v>0</v>
      </c>
      <c r="Q24" s="4">
        <f t="shared" si="10"/>
        <v>0</v>
      </c>
      <c r="R24" s="40">
        <v>0</v>
      </c>
      <c r="S24" s="4">
        <f>D24*T24</f>
        <v>0</v>
      </c>
      <c r="T24" s="40">
        <v>0</v>
      </c>
      <c r="U24" s="4">
        <f>D24*V24</f>
        <v>18.564649999999997</v>
      </c>
      <c r="V24" s="40">
        <v>0.08</v>
      </c>
      <c r="W24" s="41">
        <f t="shared" si="13"/>
        <v>18.564649999999997</v>
      </c>
      <c r="X24" s="42">
        <f t="shared" si="14"/>
        <v>0.08</v>
      </c>
      <c r="Y24" s="83">
        <f t="shared" si="15"/>
        <v>0</v>
      </c>
      <c r="Z24" s="84">
        <f t="shared" si="16"/>
        <v>0</v>
      </c>
      <c r="AA24" s="83">
        <f t="shared" si="17"/>
        <v>0</v>
      </c>
      <c r="AB24" s="84">
        <f t="shared" si="18"/>
        <v>0</v>
      </c>
      <c r="AC24" s="83">
        <f t="shared" ref="AC24" si="21">U24</f>
        <v>18.564649999999997</v>
      </c>
      <c r="AD24" s="84">
        <f t="shared" si="20"/>
        <v>0.08</v>
      </c>
    </row>
    <row r="25" spans="1:30" ht="20" customHeight="1" x14ac:dyDescent="0.2">
      <c r="B25" s="14"/>
      <c r="D25" s="4"/>
      <c r="E25" s="4"/>
      <c r="F25" s="40"/>
      <c r="G25" s="4"/>
      <c r="H25" s="40"/>
      <c r="I25" s="4"/>
      <c r="J25" s="40"/>
      <c r="K25" s="40"/>
      <c r="L25" s="40"/>
      <c r="M25" s="40"/>
      <c r="N25" s="40"/>
      <c r="O25" s="40"/>
      <c r="P25" s="40"/>
      <c r="Q25" s="40"/>
      <c r="R25" s="40"/>
      <c r="S25" s="4"/>
      <c r="T25" s="4"/>
      <c r="U25" s="4"/>
      <c r="V25" s="4"/>
      <c r="W25" s="41"/>
      <c r="X25" s="42"/>
    </row>
    <row r="26" spans="1:30" ht="20" customHeight="1" x14ac:dyDescent="0.2">
      <c r="C26" s="3" t="s">
        <v>53</v>
      </c>
      <c r="D26" s="19">
        <f>SUM(D19:D25)</f>
        <v>1536.3950550000002</v>
      </c>
      <c r="E26" s="44">
        <f>SUM(E19:E25)</f>
        <v>0</v>
      </c>
      <c r="F26" s="43">
        <f>E26/D26</f>
        <v>0</v>
      </c>
      <c r="G26" s="44">
        <f>SUM(G19:G25)</f>
        <v>0</v>
      </c>
      <c r="H26" s="43">
        <f>G26/D26</f>
        <v>0</v>
      </c>
      <c r="I26" s="44">
        <f>SUM(I19:I25)</f>
        <v>35</v>
      </c>
      <c r="J26" s="43">
        <f>I26/D26</f>
        <v>2.2780599225503233E-2</v>
      </c>
      <c r="K26" s="44">
        <f>SUM(K17:K24)</f>
        <v>35.3778516</v>
      </c>
      <c r="L26" s="43">
        <f>K26/D26</f>
        <v>2.302653310739795E-2</v>
      </c>
      <c r="M26" s="44">
        <f>SUM(M17:M24)</f>
        <v>0</v>
      </c>
      <c r="N26" s="43">
        <f>M26/D26</f>
        <v>0</v>
      </c>
      <c r="O26" s="44">
        <f>SUM(O17:O24)</f>
        <v>0</v>
      </c>
      <c r="P26" s="43">
        <f>O26/D26</f>
        <v>0</v>
      </c>
      <c r="Q26" s="44">
        <f>SUM(Q17:Q24)</f>
        <v>0</v>
      </c>
      <c r="R26" s="43">
        <f>Q26/D26</f>
        <v>0</v>
      </c>
      <c r="S26" s="44">
        <f>SUM(S17:S24)</f>
        <v>12.540036600000001</v>
      </c>
      <c r="T26" s="43">
        <f>S26/D26</f>
        <v>8.1619870873640629E-3</v>
      </c>
      <c r="U26" s="44">
        <f>SUM(U19:U24)</f>
        <v>55.671980000000005</v>
      </c>
      <c r="V26" s="43">
        <f>U26/D26</f>
        <v>3.6235458984863758E-2</v>
      </c>
      <c r="W26" s="19">
        <f>SUM(W19:W24)</f>
        <v>138.58986820000001</v>
      </c>
      <c r="X26" s="45">
        <f>W26/D26</f>
        <v>9.0204578405129007E-2</v>
      </c>
      <c r="Y26" s="19">
        <f>SUM(Y19:Y24)</f>
        <v>70.3778516</v>
      </c>
      <c r="Z26" s="45">
        <f>Y26/D26</f>
        <v>4.5807132332901186E-2</v>
      </c>
      <c r="AA26" s="19">
        <f>SUM(AA19:AA24)</f>
        <v>12.540036600000001</v>
      </c>
      <c r="AB26" s="45">
        <f>AA26/D26</f>
        <v>8.1619870873640629E-3</v>
      </c>
      <c r="AC26" s="19">
        <f>SUM(AC19:AC24)</f>
        <v>55.671980000000005</v>
      </c>
      <c r="AD26" s="45">
        <f>AC26/D26</f>
        <v>3.6235458984863758E-2</v>
      </c>
    </row>
    <row r="27" spans="1:30" ht="20" customHeight="1" x14ac:dyDescent="0.2">
      <c r="C27" s="51"/>
      <c r="D27" s="52"/>
      <c r="E27" s="4"/>
      <c r="F27" s="4"/>
      <c r="G27" s="4"/>
      <c r="I27" s="4"/>
      <c r="W27" s="48">
        <f>D26-W26</f>
        <v>1397.8051868000002</v>
      </c>
      <c r="X27" s="49">
        <f>W27/D26</f>
        <v>0.90979542159487103</v>
      </c>
    </row>
    <row r="28" spans="1:30" ht="20" customHeight="1" x14ac:dyDescent="0.2"/>
    <row r="29" spans="1:30" ht="20" customHeight="1" x14ac:dyDescent="0.2">
      <c r="A29" s="14" t="s">
        <v>72</v>
      </c>
      <c r="B29" s="2">
        <v>10</v>
      </c>
      <c r="C29" s="1" t="s">
        <v>56</v>
      </c>
      <c r="D29" s="4">
        <f>'CO SIF'!E26</f>
        <v>599.57503125000005</v>
      </c>
      <c r="E29" s="4">
        <f>D29*F29</f>
        <v>0</v>
      </c>
      <c r="F29" s="40">
        <v>0</v>
      </c>
      <c r="G29" s="4">
        <f>D29*H29</f>
        <v>0</v>
      </c>
      <c r="H29" s="40">
        <v>0</v>
      </c>
      <c r="I29" s="4">
        <f>D29*J29</f>
        <v>0</v>
      </c>
      <c r="J29" s="40">
        <v>0</v>
      </c>
      <c r="K29" s="4">
        <f>D29*L29</f>
        <v>0</v>
      </c>
      <c r="L29" s="40">
        <v>0</v>
      </c>
      <c r="M29" s="4">
        <f>D29*N29</f>
        <v>0</v>
      </c>
      <c r="N29" s="40">
        <v>0</v>
      </c>
      <c r="O29" s="4">
        <f>D29*P29</f>
        <v>0</v>
      </c>
      <c r="P29" s="40">
        <v>0</v>
      </c>
      <c r="Q29" s="4">
        <f>D29*R29</f>
        <v>0</v>
      </c>
      <c r="R29" s="40">
        <v>0</v>
      </c>
      <c r="S29" s="4">
        <f>D29*T29</f>
        <v>0</v>
      </c>
      <c r="T29" s="40">
        <v>0</v>
      </c>
      <c r="U29" s="4">
        <f>D29*V29</f>
        <v>23.983001250000001</v>
      </c>
      <c r="V29" s="40">
        <v>0.04</v>
      </c>
      <c r="W29" s="41">
        <f t="shared" ref="W29" si="22">E29+G29+I29+K29+M29+O29+Q29+S29+U29</f>
        <v>23.983001250000001</v>
      </c>
      <c r="X29" s="42">
        <f>W29/D29</f>
        <v>0.04</v>
      </c>
      <c r="Y29" s="83">
        <f>E29+G29+I29+K29</f>
        <v>0</v>
      </c>
      <c r="Z29" s="84">
        <f>Y29/D29</f>
        <v>0</v>
      </c>
      <c r="AA29" s="83">
        <f>M29+O29+Q29+S29</f>
        <v>0</v>
      </c>
      <c r="AB29" s="84">
        <f>AA29/D29</f>
        <v>0</v>
      </c>
      <c r="AC29" s="83">
        <f t="shared" ref="AC29" si="23">U29</f>
        <v>23.983001250000001</v>
      </c>
      <c r="AD29" s="84">
        <f t="shared" ref="AD29" si="24">AC29/D29</f>
        <v>0.04</v>
      </c>
    </row>
    <row r="30" spans="1:30" ht="20" customHeight="1" x14ac:dyDescent="0.2">
      <c r="B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1"/>
      <c r="X30" s="41"/>
    </row>
    <row r="31" spans="1:30" ht="20" customHeight="1" x14ac:dyDescent="0.2">
      <c r="C31" s="3" t="s">
        <v>53</v>
      </c>
      <c r="D31" s="19">
        <f>SUM(D29:D30)</f>
        <v>599.57503125000005</v>
      </c>
      <c r="E31" s="33">
        <f>SUM(E29:E30)</f>
        <v>0</v>
      </c>
      <c r="F31" s="43">
        <f>E31/D31</f>
        <v>0</v>
      </c>
      <c r="G31" s="44">
        <f>SUM(G29:G29)</f>
        <v>0</v>
      </c>
      <c r="H31" s="43">
        <f>G31/D31</f>
        <v>0</v>
      </c>
      <c r="I31" s="44">
        <f>SUM(I29:I29)</f>
        <v>0</v>
      </c>
      <c r="J31" s="43">
        <f>I31/D31</f>
        <v>0</v>
      </c>
      <c r="K31" s="44">
        <f>SUM(K22:K29)</f>
        <v>58.215666599999999</v>
      </c>
      <c r="L31" s="43">
        <f>K31/D31</f>
        <v>9.7094881484026091E-2</v>
      </c>
      <c r="M31" s="44">
        <f>SUM(M22:M29)</f>
        <v>0</v>
      </c>
      <c r="N31" s="43">
        <f>M31/D31</f>
        <v>0</v>
      </c>
      <c r="O31" s="44">
        <f>SUM(O22:O29)</f>
        <v>0</v>
      </c>
      <c r="P31" s="43">
        <f>O31/D31</f>
        <v>0</v>
      </c>
      <c r="Q31" s="44">
        <f>SUM(Q22:Q29)</f>
        <v>0</v>
      </c>
      <c r="R31" s="43">
        <f>Q31/D31</f>
        <v>0</v>
      </c>
      <c r="S31" s="44">
        <f>SUM(S22:S29)</f>
        <v>12.540036600000001</v>
      </c>
      <c r="T31" s="43">
        <f>S31/D31</f>
        <v>2.0914874613534865E-2</v>
      </c>
      <c r="U31" s="44">
        <f>SUM(U29)</f>
        <v>23.983001250000001</v>
      </c>
      <c r="V31" s="43">
        <f>U31/D31</f>
        <v>0.04</v>
      </c>
      <c r="W31" s="19">
        <f>SUM(W29:W29)</f>
        <v>23.983001250000001</v>
      </c>
      <c r="X31" s="45">
        <f>W31/D31</f>
        <v>0.04</v>
      </c>
      <c r="Y31" s="19">
        <f>SUM(Y29)</f>
        <v>0</v>
      </c>
      <c r="Z31" s="45">
        <f>Y31/D31</f>
        <v>0</v>
      </c>
      <c r="AA31" s="19">
        <f>SUM(AA29)</f>
        <v>0</v>
      </c>
      <c r="AB31" s="45">
        <f>AA31/D31</f>
        <v>0</v>
      </c>
      <c r="AC31" s="19">
        <f>SUM(AC29)</f>
        <v>23.983001250000001</v>
      </c>
      <c r="AD31" s="45">
        <f>AC31/D31</f>
        <v>0.04</v>
      </c>
    </row>
    <row r="32" spans="1:30" ht="20" customHeight="1" x14ac:dyDescent="0.2">
      <c r="C32" s="46"/>
      <c r="D32" s="47"/>
      <c r="W32" s="48">
        <f>D31-W31</f>
        <v>575.59203000000002</v>
      </c>
      <c r="X32" s="49">
        <f>W32/D31</f>
        <v>0.96</v>
      </c>
    </row>
    <row r="33" spans="1:30" ht="20" customHeight="1" x14ac:dyDescent="0.2"/>
    <row r="34" spans="1:30" ht="20" customHeight="1" x14ac:dyDescent="0.2">
      <c r="A34" s="14" t="s">
        <v>84</v>
      </c>
      <c r="B34" s="2">
        <v>11</v>
      </c>
      <c r="C34" s="1" t="s">
        <v>56</v>
      </c>
      <c r="D34" s="4">
        <f>'CO SIF'!E32</f>
        <v>253.97319999999999</v>
      </c>
      <c r="E34" s="4">
        <f t="shared" ref="E34:E41" si="25">D34*F34</f>
        <v>0</v>
      </c>
      <c r="F34" s="40">
        <v>0</v>
      </c>
      <c r="G34" s="4">
        <f>D34*H34</f>
        <v>0</v>
      </c>
      <c r="H34" s="40">
        <v>0</v>
      </c>
      <c r="I34" s="4">
        <f>J34*D34</f>
        <v>0</v>
      </c>
      <c r="J34" s="40">
        <v>0</v>
      </c>
      <c r="K34" s="4">
        <f t="shared" ref="K34:K41" si="26">D34*L34</f>
        <v>0</v>
      </c>
      <c r="L34" s="40">
        <v>0</v>
      </c>
      <c r="M34" s="4">
        <f t="shared" ref="M34:M41" si="27">D34*N34</f>
        <v>0</v>
      </c>
      <c r="N34" s="40">
        <v>0</v>
      </c>
      <c r="O34" s="4">
        <f t="shared" ref="O34:O41" si="28">D34*P34</f>
        <v>0</v>
      </c>
      <c r="P34" s="40">
        <v>0</v>
      </c>
      <c r="Q34" s="4">
        <f t="shared" ref="Q34:Q41" si="29">D34*R34</f>
        <v>0</v>
      </c>
      <c r="R34" s="40">
        <v>0</v>
      </c>
      <c r="S34" s="4">
        <f t="shared" ref="S34:S40" si="30">F34*T34</f>
        <v>0</v>
      </c>
      <c r="T34" s="40">
        <v>0</v>
      </c>
      <c r="U34" s="4">
        <f t="shared" ref="U34:U40" si="31">D34*V34</f>
        <v>0</v>
      </c>
      <c r="V34" s="40">
        <v>0</v>
      </c>
      <c r="W34" s="41">
        <f t="shared" ref="W34:W41" si="32">E34+G34+I34</f>
        <v>0</v>
      </c>
      <c r="X34" s="42">
        <f t="shared" ref="X34:X41" si="33">W34/D34</f>
        <v>0</v>
      </c>
      <c r="Y34" s="83">
        <f t="shared" ref="Y34:Y41" si="34">E34+G34+I34+K34</f>
        <v>0</v>
      </c>
      <c r="Z34" s="84">
        <f t="shared" ref="Z34:Z41" si="35">Y34/D34</f>
        <v>0</v>
      </c>
      <c r="AA34" s="83">
        <f t="shared" ref="AA34:AA41" si="36">M34+O34+Q34+S34</f>
        <v>0</v>
      </c>
      <c r="AB34" s="84">
        <f t="shared" ref="AB34:AB41" si="37">AA34/D34</f>
        <v>0</v>
      </c>
      <c r="AC34" s="83">
        <f t="shared" ref="AC34:AC40" si="38">O34+Q34+S34+U34</f>
        <v>0</v>
      </c>
      <c r="AD34" s="84">
        <f t="shared" ref="AD34:AD41" si="39">AC34/D34</f>
        <v>0</v>
      </c>
    </row>
    <row r="35" spans="1:30" ht="20" customHeight="1" x14ac:dyDescent="0.2">
      <c r="A35" s="14"/>
      <c r="B35" s="2">
        <v>12</v>
      </c>
      <c r="C35" s="1" t="s">
        <v>57</v>
      </c>
      <c r="D35" s="4">
        <f>'CO SIF'!E33</f>
        <v>56.682599999999994</v>
      </c>
      <c r="E35" s="4">
        <f t="shared" si="25"/>
        <v>0</v>
      </c>
      <c r="F35" s="40">
        <v>0</v>
      </c>
      <c r="G35" s="4">
        <f>D35*H35</f>
        <v>0</v>
      </c>
      <c r="H35" s="40">
        <v>0</v>
      </c>
      <c r="I35" s="4">
        <f>J35*D35</f>
        <v>0</v>
      </c>
      <c r="J35" s="40">
        <v>0</v>
      </c>
      <c r="K35" s="4">
        <f t="shared" si="26"/>
        <v>0</v>
      </c>
      <c r="L35" s="40">
        <v>0</v>
      </c>
      <c r="M35" s="4">
        <f t="shared" si="27"/>
        <v>0</v>
      </c>
      <c r="N35" s="40">
        <v>0</v>
      </c>
      <c r="O35" s="4">
        <f t="shared" si="28"/>
        <v>0</v>
      </c>
      <c r="P35" s="40">
        <v>0</v>
      </c>
      <c r="Q35" s="4">
        <f t="shared" si="29"/>
        <v>0</v>
      </c>
      <c r="R35" s="40">
        <v>0</v>
      </c>
      <c r="S35" s="4">
        <f t="shared" si="30"/>
        <v>0</v>
      </c>
      <c r="T35" s="40">
        <v>0</v>
      </c>
      <c r="U35" s="4">
        <f t="shared" si="31"/>
        <v>0</v>
      </c>
      <c r="V35" s="40">
        <v>0</v>
      </c>
      <c r="W35" s="41">
        <f t="shared" si="32"/>
        <v>0</v>
      </c>
      <c r="X35" s="42">
        <f t="shared" si="33"/>
        <v>0</v>
      </c>
      <c r="Y35" s="83">
        <f t="shared" si="34"/>
        <v>0</v>
      </c>
      <c r="Z35" s="84">
        <f t="shared" si="35"/>
        <v>0</v>
      </c>
      <c r="AA35" s="83">
        <f t="shared" si="36"/>
        <v>0</v>
      </c>
      <c r="AB35" s="84">
        <f t="shared" si="37"/>
        <v>0</v>
      </c>
      <c r="AC35" s="83">
        <f t="shared" si="38"/>
        <v>0</v>
      </c>
      <c r="AD35" s="84">
        <f t="shared" si="39"/>
        <v>0</v>
      </c>
    </row>
    <row r="36" spans="1:30" ht="20" customHeight="1" x14ac:dyDescent="0.2">
      <c r="B36" s="2">
        <v>13</v>
      </c>
      <c r="C36" s="1" t="s">
        <v>56</v>
      </c>
      <c r="D36" s="4">
        <f>'CO SIF'!E34</f>
        <v>522.88599999999997</v>
      </c>
      <c r="E36" s="4">
        <f t="shared" si="25"/>
        <v>0</v>
      </c>
      <c r="F36" s="40">
        <v>0</v>
      </c>
      <c r="G36" s="4">
        <f t="shared" ref="G36:G41" si="40">D36*H36</f>
        <v>0</v>
      </c>
      <c r="H36" s="40">
        <v>0</v>
      </c>
      <c r="I36" s="4">
        <f t="shared" ref="I36:I41" si="41">J36*D36</f>
        <v>0</v>
      </c>
      <c r="J36" s="40">
        <v>0</v>
      </c>
      <c r="K36" s="4">
        <f t="shared" si="26"/>
        <v>0</v>
      </c>
      <c r="L36" s="40">
        <v>0</v>
      </c>
      <c r="M36" s="4">
        <f t="shared" si="27"/>
        <v>0</v>
      </c>
      <c r="N36" s="40">
        <v>0</v>
      </c>
      <c r="O36" s="4">
        <f t="shared" si="28"/>
        <v>0</v>
      </c>
      <c r="P36" s="40">
        <v>0</v>
      </c>
      <c r="Q36" s="4">
        <f t="shared" si="29"/>
        <v>0</v>
      </c>
      <c r="R36" s="40">
        <v>0</v>
      </c>
      <c r="S36" s="4">
        <f t="shared" si="30"/>
        <v>0</v>
      </c>
      <c r="T36" s="40">
        <v>0</v>
      </c>
      <c r="U36" s="4">
        <f t="shared" si="31"/>
        <v>0</v>
      </c>
      <c r="V36" s="40">
        <v>0</v>
      </c>
      <c r="W36" s="41">
        <f t="shared" si="32"/>
        <v>0</v>
      </c>
      <c r="X36" s="42">
        <f t="shared" si="33"/>
        <v>0</v>
      </c>
      <c r="Y36" s="83">
        <f t="shared" si="34"/>
        <v>0</v>
      </c>
      <c r="Z36" s="84">
        <f t="shared" si="35"/>
        <v>0</v>
      </c>
      <c r="AA36" s="83">
        <f t="shared" si="36"/>
        <v>0</v>
      </c>
      <c r="AB36" s="84">
        <f t="shared" si="37"/>
        <v>0</v>
      </c>
      <c r="AC36" s="83">
        <f t="shared" si="38"/>
        <v>0</v>
      </c>
      <c r="AD36" s="84">
        <f t="shared" si="39"/>
        <v>0</v>
      </c>
    </row>
    <row r="37" spans="1:30" ht="20" customHeight="1" x14ac:dyDescent="0.2">
      <c r="B37" s="2">
        <v>14</v>
      </c>
      <c r="C37" s="1" t="s">
        <v>57</v>
      </c>
      <c r="D37" s="4">
        <f>'CO SIF'!E35</f>
        <v>35.426625000000001</v>
      </c>
      <c r="E37" s="4">
        <f t="shared" si="25"/>
        <v>0</v>
      </c>
      <c r="F37" s="40">
        <v>0</v>
      </c>
      <c r="G37" s="4">
        <f t="shared" si="40"/>
        <v>0</v>
      </c>
      <c r="H37" s="40">
        <v>0</v>
      </c>
      <c r="I37" s="4">
        <f t="shared" si="41"/>
        <v>0</v>
      </c>
      <c r="J37" s="40">
        <v>0</v>
      </c>
      <c r="K37" s="4">
        <f t="shared" si="26"/>
        <v>0</v>
      </c>
      <c r="L37" s="40">
        <v>0</v>
      </c>
      <c r="M37" s="4">
        <f t="shared" si="27"/>
        <v>0</v>
      </c>
      <c r="N37" s="40">
        <v>0</v>
      </c>
      <c r="O37" s="4">
        <f t="shared" si="28"/>
        <v>0</v>
      </c>
      <c r="P37" s="40">
        <v>0</v>
      </c>
      <c r="Q37" s="4">
        <f t="shared" si="29"/>
        <v>0</v>
      </c>
      <c r="R37" s="40">
        <v>0</v>
      </c>
      <c r="S37" s="4">
        <f t="shared" si="30"/>
        <v>0</v>
      </c>
      <c r="T37" s="40">
        <v>0</v>
      </c>
      <c r="U37" s="4">
        <f t="shared" si="31"/>
        <v>0</v>
      </c>
      <c r="V37" s="40">
        <v>0</v>
      </c>
      <c r="W37" s="41">
        <f t="shared" si="32"/>
        <v>0</v>
      </c>
      <c r="X37" s="42">
        <f t="shared" si="33"/>
        <v>0</v>
      </c>
      <c r="Y37" s="83">
        <f t="shared" si="34"/>
        <v>0</v>
      </c>
      <c r="Z37" s="84">
        <f t="shared" si="35"/>
        <v>0</v>
      </c>
      <c r="AA37" s="83">
        <f t="shared" si="36"/>
        <v>0</v>
      </c>
      <c r="AB37" s="84">
        <f t="shared" si="37"/>
        <v>0</v>
      </c>
      <c r="AC37" s="83">
        <f t="shared" si="38"/>
        <v>0</v>
      </c>
      <c r="AD37" s="84">
        <f t="shared" si="39"/>
        <v>0</v>
      </c>
    </row>
    <row r="38" spans="1:30" ht="20" customHeight="1" x14ac:dyDescent="0.2">
      <c r="A38" s="14"/>
      <c r="B38" s="2">
        <v>15</v>
      </c>
      <c r="C38" s="1" t="s">
        <v>56</v>
      </c>
      <c r="D38" s="4">
        <f>'CO SIF'!E36</f>
        <v>194.81238400000001</v>
      </c>
      <c r="E38" s="4">
        <f t="shared" si="25"/>
        <v>0</v>
      </c>
      <c r="F38" s="40">
        <v>0</v>
      </c>
      <c r="G38" s="4">
        <f t="shared" si="40"/>
        <v>0</v>
      </c>
      <c r="H38" s="40">
        <v>0</v>
      </c>
      <c r="I38" s="4">
        <f t="shared" si="41"/>
        <v>0</v>
      </c>
      <c r="J38" s="40">
        <v>0</v>
      </c>
      <c r="K38" s="4">
        <f t="shared" si="26"/>
        <v>0</v>
      </c>
      <c r="L38" s="40">
        <v>0</v>
      </c>
      <c r="M38" s="4">
        <f t="shared" si="27"/>
        <v>0</v>
      </c>
      <c r="N38" s="40">
        <v>0</v>
      </c>
      <c r="O38" s="4">
        <f t="shared" si="28"/>
        <v>0</v>
      </c>
      <c r="P38" s="40">
        <v>0</v>
      </c>
      <c r="Q38" s="4">
        <f t="shared" si="29"/>
        <v>0</v>
      </c>
      <c r="R38" s="40">
        <v>0</v>
      </c>
      <c r="S38" s="4">
        <f t="shared" si="30"/>
        <v>0</v>
      </c>
      <c r="T38" s="40">
        <v>0</v>
      </c>
      <c r="U38" s="4">
        <f t="shared" si="31"/>
        <v>0</v>
      </c>
      <c r="V38" s="40">
        <v>0</v>
      </c>
      <c r="W38" s="41">
        <f t="shared" si="32"/>
        <v>0</v>
      </c>
      <c r="X38" s="42">
        <f t="shared" si="33"/>
        <v>0</v>
      </c>
      <c r="Y38" s="83">
        <f t="shared" si="34"/>
        <v>0</v>
      </c>
      <c r="Z38" s="84">
        <f t="shared" si="35"/>
        <v>0</v>
      </c>
      <c r="AA38" s="83">
        <f t="shared" si="36"/>
        <v>0</v>
      </c>
      <c r="AB38" s="84">
        <f t="shared" si="37"/>
        <v>0</v>
      </c>
      <c r="AC38" s="83">
        <f t="shared" si="38"/>
        <v>0</v>
      </c>
      <c r="AD38" s="84">
        <f t="shared" si="39"/>
        <v>0</v>
      </c>
    </row>
    <row r="39" spans="1:30" ht="20" customHeight="1" x14ac:dyDescent="0.2">
      <c r="B39" s="2">
        <v>16</v>
      </c>
      <c r="C39" s="1" t="s">
        <v>57</v>
      </c>
      <c r="D39" s="4">
        <f>'CO SIF'!E37</f>
        <v>16.532425</v>
      </c>
      <c r="E39" s="4">
        <f t="shared" si="25"/>
        <v>0</v>
      </c>
      <c r="F39" s="40">
        <v>0</v>
      </c>
      <c r="G39" s="4">
        <f t="shared" si="40"/>
        <v>0</v>
      </c>
      <c r="H39" s="40">
        <v>0</v>
      </c>
      <c r="I39" s="4">
        <f t="shared" si="41"/>
        <v>0</v>
      </c>
      <c r="J39" s="40">
        <v>0</v>
      </c>
      <c r="K39" s="4">
        <f t="shared" si="26"/>
        <v>0</v>
      </c>
      <c r="L39" s="40">
        <v>0</v>
      </c>
      <c r="M39" s="4">
        <f t="shared" si="27"/>
        <v>0</v>
      </c>
      <c r="N39" s="40">
        <v>0</v>
      </c>
      <c r="O39" s="4">
        <f t="shared" si="28"/>
        <v>0</v>
      </c>
      <c r="P39" s="40">
        <v>0</v>
      </c>
      <c r="Q39" s="4">
        <f t="shared" si="29"/>
        <v>0</v>
      </c>
      <c r="R39" s="40">
        <v>0</v>
      </c>
      <c r="S39" s="4">
        <f t="shared" si="30"/>
        <v>0</v>
      </c>
      <c r="T39" s="40">
        <v>0</v>
      </c>
      <c r="U39" s="4">
        <f t="shared" si="31"/>
        <v>0</v>
      </c>
      <c r="V39" s="40">
        <v>0</v>
      </c>
      <c r="W39" s="41">
        <f t="shared" si="32"/>
        <v>0</v>
      </c>
      <c r="X39" s="42">
        <f t="shared" si="33"/>
        <v>0</v>
      </c>
      <c r="Y39" s="83">
        <f t="shared" si="34"/>
        <v>0</v>
      </c>
      <c r="Z39" s="84">
        <f t="shared" si="35"/>
        <v>0</v>
      </c>
      <c r="AA39" s="83">
        <f t="shared" si="36"/>
        <v>0</v>
      </c>
      <c r="AB39" s="84">
        <f t="shared" si="37"/>
        <v>0</v>
      </c>
      <c r="AC39" s="83">
        <f t="shared" si="38"/>
        <v>0</v>
      </c>
      <c r="AD39" s="84">
        <f t="shared" si="39"/>
        <v>0</v>
      </c>
    </row>
    <row r="40" spans="1:30" ht="20" customHeight="1" x14ac:dyDescent="0.2">
      <c r="B40" s="2">
        <v>17</v>
      </c>
      <c r="C40" s="1" t="s">
        <v>56</v>
      </c>
      <c r="D40" s="4">
        <f>'CO SIF'!E38</f>
        <v>104.5772</v>
      </c>
      <c r="E40" s="4">
        <f t="shared" si="25"/>
        <v>0</v>
      </c>
      <c r="F40" s="40">
        <v>0</v>
      </c>
      <c r="G40" s="4">
        <f t="shared" si="40"/>
        <v>0</v>
      </c>
      <c r="H40" s="40">
        <v>0</v>
      </c>
      <c r="I40" s="4">
        <f t="shared" si="41"/>
        <v>0</v>
      </c>
      <c r="J40" s="40">
        <v>0</v>
      </c>
      <c r="K40" s="4">
        <f t="shared" si="26"/>
        <v>0</v>
      </c>
      <c r="L40" s="40">
        <v>0</v>
      </c>
      <c r="M40" s="4">
        <f t="shared" si="27"/>
        <v>0</v>
      </c>
      <c r="N40" s="40">
        <v>0</v>
      </c>
      <c r="O40" s="4">
        <f t="shared" si="28"/>
        <v>0</v>
      </c>
      <c r="P40" s="40">
        <v>0</v>
      </c>
      <c r="Q40" s="4">
        <f t="shared" si="29"/>
        <v>0</v>
      </c>
      <c r="R40" s="40">
        <v>0</v>
      </c>
      <c r="S40" s="4">
        <f t="shared" si="30"/>
        <v>0</v>
      </c>
      <c r="T40" s="40">
        <v>0</v>
      </c>
      <c r="U40" s="4">
        <f t="shared" si="31"/>
        <v>0</v>
      </c>
      <c r="V40" s="40">
        <v>0</v>
      </c>
      <c r="W40" s="41">
        <f t="shared" si="32"/>
        <v>0</v>
      </c>
      <c r="X40" s="42">
        <f t="shared" si="33"/>
        <v>0</v>
      </c>
      <c r="Y40" s="83">
        <f t="shared" si="34"/>
        <v>0</v>
      </c>
      <c r="Z40" s="84">
        <f t="shared" si="35"/>
        <v>0</v>
      </c>
      <c r="AA40" s="83">
        <f t="shared" si="36"/>
        <v>0</v>
      </c>
      <c r="AB40" s="84">
        <f t="shared" si="37"/>
        <v>0</v>
      </c>
      <c r="AC40" s="83">
        <f t="shared" si="38"/>
        <v>0</v>
      </c>
      <c r="AD40" s="84">
        <f t="shared" si="39"/>
        <v>0</v>
      </c>
    </row>
    <row r="41" spans="1:30" ht="20" customHeight="1" x14ac:dyDescent="0.2">
      <c r="C41" s="1" t="s">
        <v>85</v>
      </c>
      <c r="D41" s="4">
        <f>'CO SIF'!E39</f>
        <v>42.896425000000001</v>
      </c>
      <c r="E41" s="4">
        <f t="shared" si="25"/>
        <v>0</v>
      </c>
      <c r="F41" s="40">
        <v>0</v>
      </c>
      <c r="G41" s="4">
        <f t="shared" si="40"/>
        <v>0</v>
      </c>
      <c r="H41" s="40">
        <v>0</v>
      </c>
      <c r="I41" s="4">
        <f t="shared" si="41"/>
        <v>0</v>
      </c>
      <c r="J41" s="40">
        <v>0</v>
      </c>
      <c r="K41" s="4">
        <f t="shared" si="26"/>
        <v>0</v>
      </c>
      <c r="L41" s="40">
        <v>0</v>
      </c>
      <c r="M41" s="4">
        <f t="shared" si="27"/>
        <v>0</v>
      </c>
      <c r="N41" s="40">
        <v>0</v>
      </c>
      <c r="O41" s="4">
        <f t="shared" si="28"/>
        <v>0</v>
      </c>
      <c r="P41" s="40">
        <v>0</v>
      </c>
      <c r="Q41" s="4">
        <f t="shared" si="29"/>
        <v>0</v>
      </c>
      <c r="R41" s="40">
        <v>0</v>
      </c>
      <c r="S41" s="4">
        <f>D41*T41</f>
        <v>0</v>
      </c>
      <c r="T41" s="40">
        <v>0</v>
      </c>
      <c r="U41" s="4">
        <f>D41*V41</f>
        <v>0</v>
      </c>
      <c r="V41" s="40">
        <v>0</v>
      </c>
      <c r="W41" s="41">
        <f t="shared" si="32"/>
        <v>0</v>
      </c>
      <c r="X41" s="42">
        <f t="shared" si="33"/>
        <v>0</v>
      </c>
      <c r="Y41" s="83">
        <f t="shared" si="34"/>
        <v>0</v>
      </c>
      <c r="Z41" s="84">
        <f t="shared" si="35"/>
        <v>0</v>
      </c>
      <c r="AA41" s="83">
        <f t="shared" si="36"/>
        <v>0</v>
      </c>
      <c r="AB41" s="84">
        <f t="shared" si="37"/>
        <v>0</v>
      </c>
      <c r="AC41" s="83">
        <f t="shared" ref="AC41" si="42">U41</f>
        <v>0</v>
      </c>
      <c r="AD41" s="84">
        <f t="shared" si="39"/>
        <v>0</v>
      </c>
    </row>
    <row r="42" spans="1:30" ht="20" customHeight="1" x14ac:dyDescent="0.2">
      <c r="D42" s="4"/>
      <c r="E42" s="4"/>
      <c r="F42" s="40"/>
      <c r="G42" s="4"/>
      <c r="H42" s="40"/>
      <c r="I42" s="4"/>
      <c r="J42" s="40"/>
      <c r="K42" s="40"/>
      <c r="L42" s="40"/>
      <c r="M42" s="40"/>
      <c r="N42" s="40"/>
      <c r="O42" s="40"/>
      <c r="P42" s="40"/>
      <c r="Q42" s="40"/>
      <c r="R42" s="40"/>
      <c r="S42" s="4"/>
      <c r="T42" s="4"/>
      <c r="U42" s="4"/>
      <c r="V42" s="4"/>
      <c r="W42" s="41"/>
      <c r="X42" s="42"/>
    </row>
    <row r="43" spans="1:30" ht="20" customHeight="1" x14ac:dyDescent="0.2">
      <c r="C43" s="3" t="s">
        <v>53</v>
      </c>
      <c r="D43" s="19">
        <f>SUM(D34:D42)</f>
        <v>1227.786859</v>
      </c>
      <c r="E43" s="44">
        <f>SUM(E34:E42)</f>
        <v>0</v>
      </c>
      <c r="F43" s="43">
        <f>E43/D43</f>
        <v>0</v>
      </c>
      <c r="G43" s="44">
        <f>SUM(G34:G42)</f>
        <v>0</v>
      </c>
      <c r="H43" s="43">
        <f>G43/D43</f>
        <v>0</v>
      </c>
      <c r="I43" s="44">
        <f>SUM(I34:I42)</f>
        <v>0</v>
      </c>
      <c r="J43" s="43">
        <f>I43/D43</f>
        <v>0</v>
      </c>
      <c r="K43" s="44">
        <f>SUM(K34:K41)</f>
        <v>0</v>
      </c>
      <c r="L43" s="43">
        <f>K43/D43</f>
        <v>0</v>
      </c>
      <c r="M43" s="44">
        <f>SUM(M34:M41)</f>
        <v>0</v>
      </c>
      <c r="N43" s="43">
        <f>M43/D43</f>
        <v>0</v>
      </c>
      <c r="O43" s="44">
        <f>SUM(O34:O41)</f>
        <v>0</v>
      </c>
      <c r="P43" s="43">
        <f>O43/D43</f>
        <v>0</v>
      </c>
      <c r="Q43" s="44">
        <f>SUM(Q34:Q41)</f>
        <v>0</v>
      </c>
      <c r="R43" s="43">
        <f>Q43/D43</f>
        <v>0</v>
      </c>
      <c r="S43" s="44">
        <f>SUM(S34:S41)</f>
        <v>0</v>
      </c>
      <c r="T43" s="43">
        <f>S43/D43</f>
        <v>0</v>
      </c>
      <c r="U43" s="44">
        <f>SUM(U34:U41)</f>
        <v>0</v>
      </c>
      <c r="V43" s="43">
        <f>U43/D43</f>
        <v>0</v>
      </c>
      <c r="W43" s="19">
        <f>SUM(W34:W41)</f>
        <v>0</v>
      </c>
      <c r="X43" s="45">
        <f>W43/D43</f>
        <v>0</v>
      </c>
      <c r="Y43" s="19">
        <f>SUM(Y34:Y41)</f>
        <v>0</v>
      </c>
      <c r="Z43" s="45">
        <f>Y43/D43</f>
        <v>0</v>
      </c>
      <c r="AA43" s="19">
        <f>SUM(AA34:AA41)</f>
        <v>0</v>
      </c>
      <c r="AB43" s="45">
        <f>AA43/D43</f>
        <v>0</v>
      </c>
      <c r="AC43" s="19">
        <f>SUM(AC38:AC41)</f>
        <v>0</v>
      </c>
      <c r="AD43" s="45">
        <f>AC43/D43</f>
        <v>0</v>
      </c>
    </row>
    <row r="44" spans="1:30" ht="20" customHeight="1" x14ac:dyDescent="0.2">
      <c r="C44" s="51"/>
      <c r="D44" s="52"/>
      <c r="E44" s="4"/>
      <c r="F44" s="4"/>
      <c r="G44" s="4"/>
      <c r="I44" s="4"/>
      <c r="W44" s="48">
        <f>D43-W43</f>
        <v>1227.786859</v>
      </c>
      <c r="X44" s="49">
        <f>W44/D43</f>
        <v>1</v>
      </c>
    </row>
    <row r="45" spans="1:30" ht="20" customHeight="1" x14ac:dyDescent="0.2">
      <c r="C45" s="51"/>
      <c r="D45" s="52"/>
      <c r="E45" s="4"/>
      <c r="F45" s="4"/>
      <c r="G45" s="4"/>
      <c r="I45" s="4"/>
    </row>
    <row r="46" spans="1:30" ht="20" customHeight="1" x14ac:dyDescent="0.2">
      <c r="C46" s="27" t="s">
        <v>105</v>
      </c>
      <c r="D46" s="57">
        <f>D15+D26+D31+D43</f>
        <v>3797.3986082500005</v>
      </c>
      <c r="E46" s="80"/>
      <c r="F46" s="80"/>
      <c r="G46" s="80"/>
      <c r="H46" s="27" t="s">
        <v>106</v>
      </c>
      <c r="I46" s="77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57">
        <f>W15+W26+W31+W43</f>
        <v>246.39968895000001</v>
      </c>
      <c r="X46" s="79">
        <f>W46/D46</f>
        <v>6.4886443159979781E-2</v>
      </c>
      <c r="Y46" s="57">
        <f>Y15+Y26+Y31+Y43</f>
        <v>140.37785159999999</v>
      </c>
      <c r="Z46" s="79">
        <f>Y46/D46</f>
        <v>3.6966846539371316E-2</v>
      </c>
      <c r="AA46" s="57">
        <f>AA15+AA26+AA31+AA43</f>
        <v>20.627742850000001</v>
      </c>
      <c r="AB46" s="79">
        <f>AA46/D46</f>
        <v>5.4320720519529875E-3</v>
      </c>
      <c r="AC46" s="57">
        <f>AC15+AC26+AC31+AC43</f>
        <v>85.394094500000008</v>
      </c>
      <c r="AD46" s="79">
        <f>AC46/D46</f>
        <v>2.2487524568655479E-2</v>
      </c>
    </row>
    <row r="47" spans="1:30" ht="20" customHeight="1" x14ac:dyDescent="0.2">
      <c r="C47" s="51"/>
      <c r="D47" s="52"/>
      <c r="E47" s="4"/>
      <c r="F47" s="4"/>
      <c r="G47" s="4"/>
      <c r="I47" s="4"/>
      <c r="W47" s="48">
        <f>D46-W46</f>
        <v>3550.9989193000006</v>
      </c>
      <c r="X47" s="49">
        <f>W47/D46</f>
        <v>0.93511355684002029</v>
      </c>
    </row>
    <row r="48" spans="1:30" ht="20" customHeight="1" x14ac:dyDescent="0.2">
      <c r="C48" s="51"/>
      <c r="D48" s="52"/>
      <c r="E48" s="4"/>
      <c r="F48" s="4"/>
      <c r="G48" s="4"/>
      <c r="I48" s="4"/>
    </row>
    <row r="49" spans="1:25" ht="20" customHeight="1" x14ac:dyDescent="0.2">
      <c r="A49" s="14" t="s">
        <v>108</v>
      </c>
      <c r="B49" s="14">
        <v>9</v>
      </c>
      <c r="C49" s="1" t="s">
        <v>107</v>
      </c>
      <c r="D49" s="4">
        <f>SUM('CO SIF'!D48:D50)</f>
        <v>107.19</v>
      </c>
      <c r="E49" s="4">
        <f t="shared" ref="E49:E59" si="43">D49*F49</f>
        <v>0</v>
      </c>
      <c r="F49" s="40">
        <v>0</v>
      </c>
      <c r="G49" s="4">
        <f>D49*H49</f>
        <v>0</v>
      </c>
      <c r="H49" s="40">
        <v>0</v>
      </c>
      <c r="I49" s="4">
        <f>J49*D49</f>
        <v>0</v>
      </c>
      <c r="J49" s="40">
        <v>0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1">
        <f t="shared" ref="W49:W59" si="44">E49+G49+I49</f>
        <v>0</v>
      </c>
      <c r="X49" s="42">
        <f t="shared" ref="X49:X59" si="45">W49/D49</f>
        <v>0</v>
      </c>
    </row>
    <row r="50" spans="1:25" ht="20" customHeight="1" x14ac:dyDescent="0.2">
      <c r="A50" s="14"/>
      <c r="B50" s="14">
        <v>8</v>
      </c>
      <c r="C50" s="1" t="s">
        <v>107</v>
      </c>
      <c r="D50" s="4">
        <f>$D$49</f>
        <v>107.19</v>
      </c>
      <c r="E50" s="4">
        <f t="shared" si="43"/>
        <v>0</v>
      </c>
      <c r="F50" s="40">
        <v>0</v>
      </c>
      <c r="G50" s="4">
        <f>D50*H50</f>
        <v>0</v>
      </c>
      <c r="H50" s="40">
        <v>0</v>
      </c>
      <c r="I50" s="4">
        <f t="shared" ref="I50:I53" si="46">J50*D50</f>
        <v>0</v>
      </c>
      <c r="J50" s="40">
        <v>0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1">
        <f t="shared" si="44"/>
        <v>0</v>
      </c>
      <c r="X50" s="42">
        <f t="shared" si="45"/>
        <v>0</v>
      </c>
    </row>
    <row r="51" spans="1:25" ht="20" customHeight="1" x14ac:dyDescent="0.2">
      <c r="B51" s="14">
        <v>7</v>
      </c>
      <c r="C51" s="1" t="s">
        <v>107</v>
      </c>
      <c r="D51" s="4">
        <f t="shared" ref="D51:D59" si="47">$D$49</f>
        <v>107.19</v>
      </c>
      <c r="E51" s="4">
        <f t="shared" si="43"/>
        <v>0</v>
      </c>
      <c r="F51" s="40">
        <v>0</v>
      </c>
      <c r="G51" s="4">
        <f t="shared" ref="G51:G59" si="48">D51*H51</f>
        <v>0</v>
      </c>
      <c r="H51" s="40">
        <v>0</v>
      </c>
      <c r="I51" s="4">
        <f t="shared" si="46"/>
        <v>0</v>
      </c>
      <c r="J51" s="40">
        <v>0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1">
        <f t="shared" si="44"/>
        <v>0</v>
      </c>
      <c r="X51" s="42">
        <f t="shared" si="45"/>
        <v>0</v>
      </c>
    </row>
    <row r="52" spans="1:25" ht="20" customHeight="1" x14ac:dyDescent="0.2">
      <c r="B52" s="14">
        <v>6</v>
      </c>
      <c r="C52" s="1" t="s">
        <v>107</v>
      </c>
      <c r="D52" s="4">
        <f t="shared" si="47"/>
        <v>107.19</v>
      </c>
      <c r="E52" s="4">
        <f t="shared" si="43"/>
        <v>0</v>
      </c>
      <c r="F52" s="40">
        <v>0</v>
      </c>
      <c r="G52" s="4">
        <f t="shared" si="48"/>
        <v>0</v>
      </c>
      <c r="H52" s="40">
        <v>0</v>
      </c>
      <c r="I52" s="4">
        <f t="shared" si="46"/>
        <v>0</v>
      </c>
      <c r="J52" s="40">
        <v>0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1">
        <f t="shared" si="44"/>
        <v>0</v>
      </c>
      <c r="X52" s="42">
        <f t="shared" si="45"/>
        <v>0</v>
      </c>
    </row>
    <row r="53" spans="1:25" ht="20" customHeight="1" x14ac:dyDescent="0.2">
      <c r="A53" s="14"/>
      <c r="B53" s="14">
        <v>5</v>
      </c>
      <c r="C53" s="1" t="s">
        <v>107</v>
      </c>
      <c r="D53" s="4">
        <f t="shared" si="47"/>
        <v>107.19</v>
      </c>
      <c r="E53" s="4">
        <f t="shared" si="43"/>
        <v>0</v>
      </c>
      <c r="F53" s="40">
        <v>0</v>
      </c>
      <c r="G53" s="4">
        <f t="shared" si="48"/>
        <v>0</v>
      </c>
      <c r="H53" s="40">
        <v>0</v>
      </c>
      <c r="I53" s="4">
        <f t="shared" si="46"/>
        <v>0</v>
      </c>
      <c r="J53" s="40">
        <v>0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1">
        <f t="shared" si="44"/>
        <v>0</v>
      </c>
      <c r="X53" s="42">
        <f t="shared" si="45"/>
        <v>0</v>
      </c>
    </row>
    <row r="54" spans="1:25" ht="20" customHeight="1" x14ac:dyDescent="0.2">
      <c r="B54" s="14">
        <v>4</v>
      </c>
      <c r="C54" s="1" t="s">
        <v>107</v>
      </c>
      <c r="D54" s="4">
        <f t="shared" si="47"/>
        <v>107.19</v>
      </c>
      <c r="E54" s="4">
        <f t="shared" si="43"/>
        <v>0</v>
      </c>
      <c r="F54" s="40">
        <v>0</v>
      </c>
      <c r="G54" s="4">
        <f t="shared" si="48"/>
        <v>0</v>
      </c>
      <c r="H54" s="40">
        <v>0</v>
      </c>
      <c r="I54" s="4">
        <f t="shared" ref="I54:I59" si="49">J54*D54</f>
        <v>0</v>
      </c>
      <c r="J54" s="40">
        <v>0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1">
        <f t="shared" si="44"/>
        <v>0</v>
      </c>
      <c r="X54" s="42">
        <f t="shared" si="45"/>
        <v>0</v>
      </c>
    </row>
    <row r="55" spans="1:25" ht="20" customHeight="1" x14ac:dyDescent="0.2">
      <c r="B55" s="14">
        <v>3</v>
      </c>
      <c r="C55" s="1" t="s">
        <v>107</v>
      </c>
      <c r="D55" s="4">
        <f t="shared" si="47"/>
        <v>107.19</v>
      </c>
      <c r="E55" s="4">
        <f t="shared" si="43"/>
        <v>0</v>
      </c>
      <c r="F55" s="40">
        <v>0</v>
      </c>
      <c r="G55" s="4">
        <f t="shared" si="48"/>
        <v>0</v>
      </c>
      <c r="H55" s="40">
        <v>0</v>
      </c>
      <c r="I55" s="4">
        <f t="shared" si="49"/>
        <v>0</v>
      </c>
      <c r="J55" s="40">
        <v>0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1">
        <f t="shared" si="44"/>
        <v>0</v>
      </c>
      <c r="X55" s="42">
        <f t="shared" si="45"/>
        <v>0</v>
      </c>
    </row>
    <row r="56" spans="1:25" ht="20" customHeight="1" x14ac:dyDescent="0.2">
      <c r="B56" s="14">
        <v>2</v>
      </c>
      <c r="C56" s="1" t="s">
        <v>107</v>
      </c>
      <c r="D56" s="4">
        <f t="shared" si="47"/>
        <v>107.19</v>
      </c>
      <c r="E56" s="4">
        <f t="shared" si="43"/>
        <v>0</v>
      </c>
      <c r="F56" s="40">
        <v>0</v>
      </c>
      <c r="G56" s="4">
        <f t="shared" si="48"/>
        <v>0</v>
      </c>
      <c r="H56" s="40">
        <v>0</v>
      </c>
      <c r="I56" s="4">
        <f t="shared" si="49"/>
        <v>0</v>
      </c>
      <c r="J56" s="40">
        <v>0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1">
        <f t="shared" si="44"/>
        <v>0</v>
      </c>
      <c r="X56" s="42">
        <f t="shared" si="45"/>
        <v>0</v>
      </c>
    </row>
    <row r="57" spans="1:25" ht="20" customHeight="1" x14ac:dyDescent="0.2">
      <c r="B57" s="14">
        <v>1</v>
      </c>
      <c r="C57" s="1" t="s">
        <v>107</v>
      </c>
      <c r="D57" s="4">
        <f t="shared" si="47"/>
        <v>107.19</v>
      </c>
      <c r="E57" s="4">
        <f t="shared" si="43"/>
        <v>0</v>
      </c>
      <c r="F57" s="40">
        <v>0</v>
      </c>
      <c r="G57" s="4">
        <f t="shared" si="48"/>
        <v>0</v>
      </c>
      <c r="H57" s="40">
        <v>0</v>
      </c>
      <c r="I57" s="4">
        <f t="shared" si="49"/>
        <v>0</v>
      </c>
      <c r="J57" s="40">
        <v>0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1">
        <f t="shared" si="44"/>
        <v>0</v>
      </c>
      <c r="X57" s="42">
        <f t="shared" si="45"/>
        <v>0</v>
      </c>
    </row>
    <row r="58" spans="1:25" ht="20" customHeight="1" x14ac:dyDescent="0.2">
      <c r="B58" s="14" t="s">
        <v>103</v>
      </c>
      <c r="C58" s="1" t="s">
        <v>107</v>
      </c>
      <c r="D58" s="4">
        <f t="shared" si="47"/>
        <v>107.19</v>
      </c>
      <c r="E58" s="4">
        <f t="shared" si="43"/>
        <v>0</v>
      </c>
      <c r="F58" s="40">
        <v>0</v>
      </c>
      <c r="G58" s="4">
        <f t="shared" si="48"/>
        <v>0</v>
      </c>
      <c r="H58" s="40">
        <v>0</v>
      </c>
      <c r="I58" s="4">
        <f t="shared" si="49"/>
        <v>0</v>
      </c>
      <c r="J58" s="40">
        <v>0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1">
        <f t="shared" si="44"/>
        <v>0</v>
      </c>
      <c r="X58" s="42">
        <f t="shared" si="45"/>
        <v>0</v>
      </c>
    </row>
    <row r="59" spans="1:25" ht="20" customHeight="1" x14ac:dyDescent="0.2">
      <c r="B59" s="14" t="s">
        <v>104</v>
      </c>
      <c r="C59" s="1" t="s">
        <v>107</v>
      </c>
      <c r="D59" s="4">
        <f t="shared" si="47"/>
        <v>107.19</v>
      </c>
      <c r="E59" s="4">
        <f t="shared" si="43"/>
        <v>0</v>
      </c>
      <c r="F59" s="40">
        <v>0</v>
      </c>
      <c r="G59" s="4">
        <f t="shared" si="48"/>
        <v>0</v>
      </c>
      <c r="H59" s="40">
        <v>0</v>
      </c>
      <c r="I59" s="4">
        <f t="shared" si="49"/>
        <v>0</v>
      </c>
      <c r="J59" s="40">
        <v>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1">
        <f t="shared" si="44"/>
        <v>0</v>
      </c>
      <c r="X59" s="42">
        <f t="shared" si="45"/>
        <v>0</v>
      </c>
    </row>
    <row r="60" spans="1:25" ht="20" customHeight="1" x14ac:dyDescent="0.2">
      <c r="B60" s="14"/>
      <c r="D60" s="4"/>
      <c r="E60" s="4"/>
      <c r="F60" s="40"/>
      <c r="G60" s="4"/>
      <c r="H60" s="40"/>
      <c r="I60" s="4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1"/>
      <c r="X60" s="42"/>
    </row>
    <row r="61" spans="1:25" ht="20" customHeight="1" x14ac:dyDescent="0.2">
      <c r="C61" s="3" t="s">
        <v>53</v>
      </c>
      <c r="D61" s="19">
        <f>SUM(D49:D58)</f>
        <v>1071.9000000000003</v>
      </c>
      <c r="E61" s="44">
        <f>SUM(E49:E58)</f>
        <v>0</v>
      </c>
      <c r="F61" s="43">
        <f>E61/D61</f>
        <v>0</v>
      </c>
      <c r="G61" s="44">
        <f>SUM(G49:G58)</f>
        <v>0</v>
      </c>
      <c r="H61" s="43">
        <f>G61/D61</f>
        <v>0</v>
      </c>
      <c r="I61" s="44">
        <f>SUM(I49:I58)</f>
        <v>0</v>
      </c>
      <c r="J61" s="43">
        <f>I61/D61</f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19">
        <f>SUM(W49:W56)</f>
        <v>0</v>
      </c>
      <c r="X61" s="45">
        <f>W61/D61</f>
        <v>0</v>
      </c>
    </row>
    <row r="62" spans="1:25" ht="20" customHeight="1" x14ac:dyDescent="0.2">
      <c r="C62" s="51"/>
      <c r="D62" s="52"/>
      <c r="E62" s="4"/>
      <c r="F62" s="4"/>
      <c r="G62" s="4"/>
      <c r="I62" s="4"/>
      <c r="W62" s="48">
        <f>D61-W61</f>
        <v>1071.9000000000003</v>
      </c>
      <c r="X62" s="49">
        <f>W62/D61</f>
        <v>1</v>
      </c>
      <c r="Y62" s="7"/>
    </row>
    <row r="63" spans="1:25" ht="20" customHeight="1" x14ac:dyDescent="0.2">
      <c r="C63" s="51"/>
      <c r="D63" s="52"/>
      <c r="E63" s="4"/>
      <c r="F63" s="4"/>
      <c r="G63" s="4"/>
      <c r="I63" s="4"/>
    </row>
    <row r="64" spans="1:25" ht="20" customHeight="1" x14ac:dyDescent="0.2"/>
    <row r="65" ht="20" customHeight="1" x14ac:dyDescent="0.2"/>
    <row r="66" ht="20" customHeight="1" x14ac:dyDescent="0.2"/>
    <row r="67" ht="20" customHeight="1" x14ac:dyDescent="0.2"/>
    <row r="68" ht="20" customHeight="1" x14ac:dyDescent="0.2"/>
    <row r="69" ht="20" customHeight="1" x14ac:dyDescent="0.2"/>
    <row r="70" ht="20" customHeight="1" x14ac:dyDescent="0.2"/>
    <row r="71" ht="20" customHeight="1" x14ac:dyDescent="0.2"/>
  </sheetData>
  <mergeCells count="23">
    <mergeCell ref="A6:I6"/>
    <mergeCell ref="E7:F7"/>
    <mergeCell ref="G7:H7"/>
    <mergeCell ref="I7:J7"/>
    <mergeCell ref="E8:F8"/>
    <mergeCell ref="G8:H8"/>
    <mergeCell ref="I8:J8"/>
    <mergeCell ref="AC8:AD8"/>
    <mergeCell ref="K7:L7"/>
    <mergeCell ref="M7:N7"/>
    <mergeCell ref="O7:P7"/>
    <mergeCell ref="Q7:R7"/>
    <mergeCell ref="K8:L8"/>
    <mergeCell ref="M8:N8"/>
    <mergeCell ref="O8:P8"/>
    <mergeCell ref="Q8:R8"/>
    <mergeCell ref="Y8:Z8"/>
    <mergeCell ref="AA8:AB8"/>
    <mergeCell ref="S7:T7"/>
    <mergeCell ref="S8:T8"/>
    <mergeCell ref="W8:X8"/>
    <mergeCell ref="U7:V7"/>
    <mergeCell ref="U8:V8"/>
  </mergeCells>
  <pageMargins left="0.7" right="0.7" top="0.75" bottom="0.75" header="0.3" footer="0.3"/>
  <pageSetup scale="3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5DF4-A496-4107-A635-8A3AE3775AF5}">
  <sheetPr>
    <tabColor rgb="FFA7C9D2"/>
  </sheetPr>
  <dimension ref="A6:AH70"/>
  <sheetViews>
    <sheetView zoomScale="94" zoomScaleNormal="70" zoomScaleSheetLayoutView="70" workbookViewId="0">
      <pane xSplit="4" ySplit="9" topLeftCell="E15" activePane="bottomRight" state="frozen"/>
      <selection pane="topRight" activeCell="E1" sqref="E1"/>
      <selection pane="bottomLeft" activeCell="A10" sqref="A10"/>
      <selection pane="bottomRight" activeCell="Z57" sqref="Z57"/>
    </sheetView>
  </sheetViews>
  <sheetFormatPr baseColWidth="10" defaultColWidth="11.5" defaultRowHeight="14" x14ac:dyDescent="0.2"/>
  <cols>
    <col min="1" max="1" width="11.5" style="2"/>
    <col min="2" max="2" width="10.83203125" style="2" customWidth="1"/>
    <col min="3" max="3" width="38.5" style="1" customWidth="1"/>
    <col min="4" max="6" width="12.83203125" style="2" customWidth="1"/>
    <col min="7" max="28" width="12.83203125" style="1" customWidth="1"/>
    <col min="29" max="29" width="11.5" style="1"/>
    <col min="30" max="30" width="11.5" style="1" customWidth="1"/>
    <col min="31" max="16384" width="11.5" style="1"/>
  </cols>
  <sheetData>
    <row r="6" spans="1:34" ht="41.5" customHeight="1" x14ac:dyDescent="0.2">
      <c r="A6" s="239" t="s">
        <v>64</v>
      </c>
      <c r="B6" s="239"/>
      <c r="C6" s="239"/>
      <c r="D6" s="239"/>
      <c r="E6" s="239"/>
      <c r="F6" s="239"/>
      <c r="G6" s="239"/>
      <c r="H6" s="239"/>
      <c r="I6" s="23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ht="20" customHeight="1" x14ac:dyDescent="0.2">
      <c r="A7" s="9"/>
      <c r="B7" s="9"/>
      <c r="C7" s="3"/>
      <c r="D7" s="9"/>
      <c r="E7" s="243" t="s">
        <v>61</v>
      </c>
      <c r="F7" s="243"/>
      <c r="G7" s="243" t="s">
        <v>62</v>
      </c>
      <c r="H7" s="243"/>
      <c r="I7" s="243" t="s">
        <v>63</v>
      </c>
      <c r="J7" s="243"/>
      <c r="K7" s="243" t="s">
        <v>109</v>
      </c>
      <c r="L7" s="243"/>
      <c r="M7" s="243" t="s">
        <v>110</v>
      </c>
      <c r="N7" s="243"/>
      <c r="O7" s="243" t="s">
        <v>111</v>
      </c>
      <c r="P7" s="243"/>
      <c r="Q7" s="243" t="s">
        <v>112</v>
      </c>
      <c r="R7" s="243"/>
      <c r="S7" s="246" t="s">
        <v>121</v>
      </c>
      <c r="T7" s="243"/>
      <c r="U7" s="246" t="s">
        <v>144</v>
      </c>
      <c r="V7" s="243"/>
      <c r="W7" s="246" t="s">
        <v>210</v>
      </c>
      <c r="X7" s="243"/>
      <c r="Y7" s="246" t="s">
        <v>214</v>
      </c>
      <c r="Z7" s="243"/>
      <c r="AA7" s="9"/>
      <c r="AB7" s="9"/>
      <c r="AC7" s="82"/>
      <c r="AD7" s="82"/>
      <c r="AE7" s="82"/>
      <c r="AF7" s="82"/>
      <c r="AG7" s="82"/>
      <c r="AH7" s="82"/>
    </row>
    <row r="8" spans="1:34" ht="39.5" customHeight="1" x14ac:dyDescent="0.2">
      <c r="A8" s="9" t="s">
        <v>49</v>
      </c>
      <c r="B8" s="9" t="s">
        <v>50</v>
      </c>
      <c r="C8" s="9" t="s">
        <v>28</v>
      </c>
      <c r="D8" s="9" t="s">
        <v>2</v>
      </c>
      <c r="E8" s="244" t="s">
        <v>47</v>
      </c>
      <c r="F8" s="244"/>
      <c r="G8" s="244" t="s">
        <v>48</v>
      </c>
      <c r="H8" s="244"/>
      <c r="I8" s="244" t="s">
        <v>60</v>
      </c>
      <c r="J8" s="244"/>
      <c r="K8" s="244" t="s">
        <v>113</v>
      </c>
      <c r="L8" s="244"/>
      <c r="M8" s="244" t="s">
        <v>114</v>
      </c>
      <c r="N8" s="244"/>
      <c r="O8" s="244" t="s">
        <v>115</v>
      </c>
      <c r="P8" s="244"/>
      <c r="Q8" s="244" t="s">
        <v>116</v>
      </c>
      <c r="R8" s="244"/>
      <c r="S8" s="244" t="s">
        <v>122</v>
      </c>
      <c r="T8" s="244"/>
      <c r="U8" s="244" t="s">
        <v>145</v>
      </c>
      <c r="V8" s="244"/>
      <c r="W8" s="244" t="s">
        <v>209</v>
      </c>
      <c r="X8" s="244"/>
      <c r="Y8" s="244"/>
      <c r="Z8" s="244"/>
      <c r="AA8" s="245" t="s">
        <v>51</v>
      </c>
      <c r="AB8" s="245"/>
      <c r="AC8" s="245" t="s">
        <v>119</v>
      </c>
      <c r="AD8" s="245"/>
      <c r="AE8" s="245" t="s">
        <v>120</v>
      </c>
      <c r="AF8" s="245"/>
      <c r="AG8" s="245" t="s">
        <v>211</v>
      </c>
      <c r="AH8" s="245"/>
    </row>
    <row r="9" spans="1:34" ht="20" customHeight="1" x14ac:dyDescent="0.2">
      <c r="A9" s="37"/>
      <c r="B9" s="37"/>
      <c r="C9" s="37"/>
      <c r="D9" s="37"/>
      <c r="E9" s="38" t="s">
        <v>2</v>
      </c>
      <c r="F9" s="38" t="s">
        <v>52</v>
      </c>
      <c r="G9" s="38" t="s">
        <v>2</v>
      </c>
      <c r="H9" s="38" t="s">
        <v>52</v>
      </c>
      <c r="I9" s="38" t="s">
        <v>2</v>
      </c>
      <c r="J9" s="38" t="s">
        <v>52</v>
      </c>
      <c r="K9" s="38" t="s">
        <v>2</v>
      </c>
      <c r="L9" s="38" t="s">
        <v>52</v>
      </c>
      <c r="M9" s="38" t="s">
        <v>2</v>
      </c>
      <c r="N9" s="38" t="s">
        <v>52</v>
      </c>
      <c r="O9" s="38" t="s">
        <v>2</v>
      </c>
      <c r="P9" s="38" t="s">
        <v>52</v>
      </c>
      <c r="Q9" s="38" t="s">
        <v>2</v>
      </c>
      <c r="R9" s="38" t="s">
        <v>52</v>
      </c>
      <c r="S9" s="38" t="s">
        <v>2</v>
      </c>
      <c r="T9" s="38" t="s">
        <v>52</v>
      </c>
      <c r="U9" s="38" t="s">
        <v>2</v>
      </c>
      <c r="V9" s="38" t="s">
        <v>52</v>
      </c>
      <c r="W9" s="38" t="s">
        <v>2</v>
      </c>
      <c r="X9" s="38" t="s">
        <v>52</v>
      </c>
      <c r="Y9" s="38" t="s">
        <v>2</v>
      </c>
      <c r="Z9" s="38" t="s">
        <v>52</v>
      </c>
      <c r="AA9" s="39" t="s">
        <v>2</v>
      </c>
      <c r="AB9" s="39" t="s">
        <v>52</v>
      </c>
      <c r="AC9" s="38" t="s">
        <v>2</v>
      </c>
      <c r="AD9" s="38" t="s">
        <v>52</v>
      </c>
      <c r="AE9" s="38" t="s">
        <v>2</v>
      </c>
      <c r="AF9" s="38" t="s">
        <v>52</v>
      </c>
      <c r="AG9" s="38" t="s">
        <v>2</v>
      </c>
      <c r="AH9" s="38" t="s">
        <v>52</v>
      </c>
    </row>
    <row r="10" spans="1:34" ht="20" customHeight="1" x14ac:dyDescent="0.2">
      <c r="A10" s="14" t="s">
        <v>55</v>
      </c>
      <c r="B10" s="2">
        <v>1</v>
      </c>
      <c r="C10" s="1" t="s">
        <v>86</v>
      </c>
      <c r="D10" s="4">
        <f>'CO SIF'!E6</f>
        <v>117.42965000000001</v>
      </c>
      <c r="E10" s="4">
        <f>D10*F10</f>
        <v>0</v>
      </c>
      <c r="F10" s="40">
        <v>0</v>
      </c>
      <c r="G10" s="4">
        <f>D10*H10</f>
        <v>58.714825000000005</v>
      </c>
      <c r="H10" s="40">
        <v>0.5</v>
      </c>
      <c r="I10" s="4">
        <f>D10*J10</f>
        <v>58.714825000000005</v>
      </c>
      <c r="J10" s="40">
        <v>0.5</v>
      </c>
      <c r="K10" s="4">
        <f>D10*L10</f>
        <v>0</v>
      </c>
      <c r="L10" s="40">
        <v>0</v>
      </c>
      <c r="M10" s="4">
        <f>D10*N10</f>
        <v>0</v>
      </c>
      <c r="N10" s="40">
        <v>0</v>
      </c>
      <c r="O10" s="4">
        <f>D10*P10</f>
        <v>0</v>
      </c>
      <c r="P10" s="40">
        <v>0</v>
      </c>
      <c r="Q10" s="4">
        <f>D10*R10</f>
        <v>0</v>
      </c>
      <c r="R10" s="40">
        <v>0</v>
      </c>
      <c r="S10" s="4">
        <f>F10*T10</f>
        <v>0</v>
      </c>
      <c r="T10" s="40">
        <v>0</v>
      </c>
      <c r="U10" s="4">
        <f t="shared" ref="U10:U12" si="0">D10*V10</f>
        <v>0</v>
      </c>
      <c r="V10" s="40">
        <v>0</v>
      </c>
      <c r="W10" s="4">
        <f>D10*X10</f>
        <v>0</v>
      </c>
      <c r="X10" s="40">
        <v>0</v>
      </c>
      <c r="Y10" s="4">
        <f>Z10*D10</f>
        <v>0</v>
      </c>
      <c r="Z10" s="40">
        <v>0</v>
      </c>
      <c r="AA10" s="41">
        <f>E10+G10+I10+K10+M10+O10+Q10+S10+U10+W10+Y10</f>
        <v>117.42965000000001</v>
      </c>
      <c r="AB10" s="42">
        <f>AA10/D10</f>
        <v>1</v>
      </c>
      <c r="AC10" s="83">
        <f>E10+G10+I10</f>
        <v>117.42965000000001</v>
      </c>
      <c r="AD10" s="84">
        <f>AC10/D10</f>
        <v>1</v>
      </c>
      <c r="AE10" s="83">
        <f>K10+M10+O10+Q10+S10</f>
        <v>0</v>
      </c>
      <c r="AF10" s="84">
        <f>AE10/D10</f>
        <v>0</v>
      </c>
      <c r="AG10" s="83">
        <f>M10+O10+Q10+S10+U10</f>
        <v>0</v>
      </c>
      <c r="AH10" s="84">
        <f>AG10/D10</f>
        <v>0</v>
      </c>
    </row>
    <row r="11" spans="1:34" ht="20" customHeight="1" x14ac:dyDescent="0.2">
      <c r="A11" s="14"/>
      <c r="B11" s="2">
        <v>4</v>
      </c>
      <c r="C11" s="1" t="s">
        <v>87</v>
      </c>
      <c r="D11" s="4">
        <f>'CO SIF'!E7</f>
        <v>44.324475</v>
      </c>
      <c r="E11" s="4">
        <f t="shared" ref="E11:E13" si="1">D11*F11</f>
        <v>0</v>
      </c>
      <c r="F11" s="40">
        <v>0</v>
      </c>
      <c r="G11" s="4">
        <f>D11*H11</f>
        <v>22.1622375</v>
      </c>
      <c r="H11" s="40">
        <v>0.5</v>
      </c>
      <c r="I11" s="4">
        <f>D11*J11</f>
        <v>22.1622375</v>
      </c>
      <c r="J11" s="40">
        <v>0.5</v>
      </c>
      <c r="K11" s="4">
        <f>D11*L11</f>
        <v>0</v>
      </c>
      <c r="L11" s="40">
        <v>0</v>
      </c>
      <c r="M11" s="4">
        <f>D11*N11</f>
        <v>0</v>
      </c>
      <c r="N11" s="40">
        <v>0</v>
      </c>
      <c r="O11" s="4">
        <f>D11*P11</f>
        <v>0</v>
      </c>
      <c r="P11" s="40">
        <v>0</v>
      </c>
      <c r="Q11" s="4">
        <f>D11*R11</f>
        <v>0</v>
      </c>
      <c r="R11" s="40">
        <v>0</v>
      </c>
      <c r="S11" s="4">
        <f>F11*T11</f>
        <v>0</v>
      </c>
      <c r="T11" s="40">
        <v>0</v>
      </c>
      <c r="U11" s="4">
        <f t="shared" si="0"/>
        <v>0</v>
      </c>
      <c r="V11" s="40">
        <v>0</v>
      </c>
      <c r="W11" s="4">
        <f t="shared" ref="W11:W13" si="2">D11*X11</f>
        <v>0</v>
      </c>
      <c r="X11" s="40">
        <v>0</v>
      </c>
      <c r="Y11" s="4">
        <f>Z11*D11</f>
        <v>0</v>
      </c>
      <c r="Z11" s="40">
        <v>0</v>
      </c>
      <c r="AA11" s="41">
        <f>E11+G11+I11+K11+M11+O11+Q11+S11+U11+W11+Y11</f>
        <v>44.324475</v>
      </c>
      <c r="AB11" s="42">
        <f>AA11/D11</f>
        <v>1</v>
      </c>
      <c r="AC11" s="83">
        <f t="shared" ref="AC11:AC13" si="3">E11+G11+I11</f>
        <v>44.324475</v>
      </c>
      <c r="AD11" s="84">
        <f t="shared" ref="AD11:AD13" si="4">AC11/D11</f>
        <v>1</v>
      </c>
      <c r="AE11" s="83">
        <f t="shared" ref="AE11:AE13" si="5">K11+M11+O11+Q11+S11</f>
        <v>0</v>
      </c>
      <c r="AF11" s="84">
        <f t="shared" ref="AF11:AF13" si="6">AE11/D11</f>
        <v>0</v>
      </c>
      <c r="AG11" s="83">
        <f t="shared" ref="AG11:AG13" si="7">M11+O11+Q11+S11+U11</f>
        <v>0</v>
      </c>
      <c r="AH11" s="84">
        <f t="shared" ref="AH11:AH13" si="8">AG11/D11</f>
        <v>0</v>
      </c>
    </row>
    <row r="12" spans="1:34" ht="20" customHeight="1" x14ac:dyDescent="0.2">
      <c r="B12" s="2">
        <v>3</v>
      </c>
      <c r="C12" s="1" t="s">
        <v>88</v>
      </c>
      <c r="D12" s="4">
        <f>'CO SIF'!E8</f>
        <v>70.754385000000013</v>
      </c>
      <c r="E12" s="4">
        <f t="shared" si="1"/>
        <v>0</v>
      </c>
      <c r="F12" s="40">
        <v>0</v>
      </c>
      <c r="G12" s="4">
        <f t="shared" ref="G12:G13" si="9">D12*H12</f>
        <v>0</v>
      </c>
      <c r="H12" s="40">
        <v>0</v>
      </c>
      <c r="I12" s="4">
        <f t="shared" ref="I12:I13" si="10">D12*J12</f>
        <v>70.754385000000013</v>
      </c>
      <c r="J12" s="40">
        <v>1</v>
      </c>
      <c r="K12" s="4">
        <f>D12*L12</f>
        <v>0</v>
      </c>
      <c r="L12" s="40">
        <v>0</v>
      </c>
      <c r="M12" s="4">
        <f>D12*N12</f>
        <v>0</v>
      </c>
      <c r="N12" s="40">
        <v>0</v>
      </c>
      <c r="O12" s="4">
        <f>D12*P12</f>
        <v>0</v>
      </c>
      <c r="P12" s="40">
        <v>0</v>
      </c>
      <c r="Q12" s="4">
        <f>D12*R12</f>
        <v>0</v>
      </c>
      <c r="R12" s="40">
        <v>0</v>
      </c>
      <c r="S12" s="4">
        <f>F12*T12</f>
        <v>0</v>
      </c>
      <c r="T12" s="40">
        <v>0</v>
      </c>
      <c r="U12" s="4">
        <f t="shared" si="0"/>
        <v>0</v>
      </c>
      <c r="V12" s="40">
        <v>0</v>
      </c>
      <c r="W12" s="4">
        <f t="shared" si="2"/>
        <v>0</v>
      </c>
      <c r="X12" s="40">
        <v>0</v>
      </c>
      <c r="Y12" s="4">
        <f>Z12*D12</f>
        <v>0</v>
      </c>
      <c r="Z12" s="40">
        <v>0</v>
      </c>
      <c r="AA12" s="41">
        <f>E12+G12+I12+K12+M12+O12+Q12+S12+U12+W12+Y12</f>
        <v>70.754385000000013</v>
      </c>
      <c r="AB12" s="42">
        <f t="shared" ref="AB12:AB13" si="11">AA12/D12</f>
        <v>1</v>
      </c>
      <c r="AC12" s="83">
        <f t="shared" si="3"/>
        <v>70.754385000000013</v>
      </c>
      <c r="AD12" s="84">
        <f t="shared" si="4"/>
        <v>1</v>
      </c>
      <c r="AE12" s="83">
        <f t="shared" si="5"/>
        <v>0</v>
      </c>
      <c r="AF12" s="84">
        <f t="shared" si="6"/>
        <v>0</v>
      </c>
      <c r="AG12" s="83">
        <f t="shared" si="7"/>
        <v>0</v>
      </c>
      <c r="AH12" s="84">
        <f t="shared" si="8"/>
        <v>0</v>
      </c>
    </row>
    <row r="13" spans="1:34" ht="20" customHeight="1" x14ac:dyDescent="0.2">
      <c r="B13" s="2">
        <v>4</v>
      </c>
      <c r="C13" s="1" t="s">
        <v>89</v>
      </c>
      <c r="D13" s="4">
        <f>'CO SIF'!E9</f>
        <v>201.13315300000002</v>
      </c>
      <c r="E13" s="4">
        <f t="shared" si="1"/>
        <v>0</v>
      </c>
      <c r="F13" s="40">
        <v>0</v>
      </c>
      <c r="G13" s="4">
        <f t="shared" si="9"/>
        <v>0</v>
      </c>
      <c r="H13" s="40">
        <v>0</v>
      </c>
      <c r="I13" s="4">
        <f t="shared" si="10"/>
        <v>201.13315300000002</v>
      </c>
      <c r="J13" s="40">
        <v>1</v>
      </c>
      <c r="K13" s="4">
        <f>D13*L13</f>
        <v>0</v>
      </c>
      <c r="L13" s="40">
        <v>0</v>
      </c>
      <c r="M13" s="4">
        <f>D13*N13</f>
        <v>0</v>
      </c>
      <c r="N13" s="40">
        <v>0</v>
      </c>
      <c r="O13" s="4">
        <f>D13*P13</f>
        <v>0</v>
      </c>
      <c r="P13" s="40">
        <v>0</v>
      </c>
      <c r="Q13" s="4">
        <f>D13*R13</f>
        <v>0</v>
      </c>
      <c r="R13" s="40">
        <v>0</v>
      </c>
      <c r="S13" s="4">
        <f>F13*T13</f>
        <v>0</v>
      </c>
      <c r="T13" s="40">
        <v>0</v>
      </c>
      <c r="U13" s="4">
        <f>D13*V13</f>
        <v>0</v>
      </c>
      <c r="V13" s="40">
        <v>0</v>
      </c>
      <c r="W13" s="4">
        <f t="shared" si="2"/>
        <v>0</v>
      </c>
      <c r="X13" s="40">
        <v>0</v>
      </c>
      <c r="Y13" s="4">
        <f>Z13*D13</f>
        <v>0</v>
      </c>
      <c r="Z13" s="40">
        <v>0</v>
      </c>
      <c r="AA13" s="41">
        <f>E13+G13+I13+K13+M13+O13+Q13+S13+U13+W13+Y13</f>
        <v>201.13315300000002</v>
      </c>
      <c r="AB13" s="42">
        <f t="shared" si="11"/>
        <v>1</v>
      </c>
      <c r="AC13" s="83">
        <f t="shared" si="3"/>
        <v>201.13315300000002</v>
      </c>
      <c r="AD13" s="84">
        <f t="shared" si="4"/>
        <v>1</v>
      </c>
      <c r="AE13" s="83">
        <f t="shared" si="5"/>
        <v>0</v>
      </c>
      <c r="AF13" s="84">
        <f t="shared" si="6"/>
        <v>0</v>
      </c>
      <c r="AG13" s="83">
        <f t="shared" si="7"/>
        <v>0</v>
      </c>
      <c r="AH13" s="84">
        <f t="shared" si="8"/>
        <v>0</v>
      </c>
    </row>
    <row r="14" spans="1:34" ht="20" customHeight="1" x14ac:dyDescent="0.2">
      <c r="B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1"/>
      <c r="AB14" s="41"/>
    </row>
    <row r="15" spans="1:34" ht="20" customHeight="1" x14ac:dyDescent="0.2">
      <c r="C15" s="3" t="s">
        <v>53</v>
      </c>
      <c r="D15" s="19">
        <f>SUM(D10:D14)</f>
        <v>433.64166300000005</v>
      </c>
      <c r="E15" s="33">
        <f>SUM(E10:E14)</f>
        <v>0</v>
      </c>
      <c r="F15" s="43">
        <f>E15/D15</f>
        <v>0</v>
      </c>
      <c r="G15" s="44">
        <f>SUM(G10:G13)</f>
        <v>80.877062500000008</v>
      </c>
      <c r="H15" s="43">
        <f>G15/D15</f>
        <v>0.18650666990915954</v>
      </c>
      <c r="I15" s="44">
        <f>SUM(I10:I13)</f>
        <v>352.76460050000003</v>
      </c>
      <c r="J15" s="43">
        <f>I15/D15</f>
        <v>0.81349333009084046</v>
      </c>
      <c r="K15" s="44">
        <f>SUM(K6:K13)</f>
        <v>0</v>
      </c>
      <c r="L15" s="43">
        <f>K15/D15</f>
        <v>0</v>
      </c>
      <c r="M15" s="44">
        <f>SUM(M6:M13)</f>
        <v>0</v>
      </c>
      <c r="N15" s="43">
        <f>M15/D15</f>
        <v>0</v>
      </c>
      <c r="O15" s="44">
        <f>SUM(O6:O13)</f>
        <v>0</v>
      </c>
      <c r="P15" s="43">
        <f>O15/D15</f>
        <v>0</v>
      </c>
      <c r="Q15" s="44">
        <f>SUM(Q6:Q13)</f>
        <v>0</v>
      </c>
      <c r="R15" s="43">
        <f>Q15/D15</f>
        <v>0</v>
      </c>
      <c r="S15" s="44">
        <f>SUM(S6:S13)</f>
        <v>0</v>
      </c>
      <c r="T15" s="43">
        <f>S15/D15</f>
        <v>0</v>
      </c>
      <c r="U15" s="44">
        <f>SUM(U6:U13)</f>
        <v>0</v>
      </c>
      <c r="V15" s="43">
        <f>U15/D15</f>
        <v>0</v>
      </c>
      <c r="W15" s="44">
        <f>SUM(W6:W13)</f>
        <v>0</v>
      </c>
      <c r="X15" s="43">
        <f>W15/D15</f>
        <v>0</v>
      </c>
      <c r="Y15" s="44">
        <f>SUM(Y6:Y13)</f>
        <v>0</v>
      </c>
      <c r="Z15" s="43">
        <f>Y15/D15</f>
        <v>0</v>
      </c>
      <c r="AA15" s="19">
        <f>SUM(AA10:AA13)</f>
        <v>433.64166300000005</v>
      </c>
      <c r="AB15" s="45">
        <f>AA15/D15</f>
        <v>1</v>
      </c>
      <c r="AC15" s="19">
        <f>SUM(AC10:AC13)</f>
        <v>433.64166300000005</v>
      </c>
      <c r="AD15" s="45">
        <f>AC15/D15</f>
        <v>1</v>
      </c>
      <c r="AE15" s="19">
        <f>SUM(AE10:AE13)</f>
        <v>0</v>
      </c>
      <c r="AF15" s="45">
        <f>AE15/D15</f>
        <v>0</v>
      </c>
      <c r="AG15" s="19">
        <f>SUM(AG10:AG13)</f>
        <v>0</v>
      </c>
      <c r="AH15" s="45">
        <f>AG15/D15</f>
        <v>0</v>
      </c>
    </row>
    <row r="16" spans="1:34" ht="20" customHeight="1" x14ac:dyDescent="0.2">
      <c r="C16" s="46"/>
      <c r="D16" s="47"/>
      <c r="AA16" s="48">
        <f>D15-AA15</f>
        <v>0</v>
      </c>
      <c r="AB16" s="49">
        <f>AA16/D15</f>
        <v>0</v>
      </c>
    </row>
    <row r="17" spans="1:34" ht="20" customHeight="1" x14ac:dyDescent="0.2">
      <c r="C17" s="46"/>
      <c r="D17" s="50"/>
      <c r="E17" s="8"/>
      <c r="F17" s="8"/>
      <c r="G17" s="5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B17" s="2"/>
    </row>
    <row r="18" spans="1:34" ht="20" customHeight="1" x14ac:dyDescent="0.2">
      <c r="A18" s="14" t="s">
        <v>59</v>
      </c>
      <c r="B18" s="2">
        <v>5</v>
      </c>
      <c r="C18" s="1" t="s">
        <v>56</v>
      </c>
      <c r="D18" s="4">
        <f>'CO SIF'!E15</f>
        <v>627.00183000000004</v>
      </c>
      <c r="E18" s="4">
        <f t="shared" ref="E18:E23" si="12">D18*F18</f>
        <v>0</v>
      </c>
      <c r="F18" s="40">
        <v>0</v>
      </c>
      <c r="G18" s="4">
        <f>D18*H18</f>
        <v>0</v>
      </c>
      <c r="H18" s="40">
        <v>0</v>
      </c>
      <c r="I18" s="4">
        <f>J18*D18</f>
        <v>0</v>
      </c>
      <c r="J18" s="40">
        <v>0</v>
      </c>
      <c r="K18" s="4">
        <f t="shared" ref="K18:K23" si="13">D18*L18</f>
        <v>156.75045750000001</v>
      </c>
      <c r="L18" s="40">
        <v>0.25</v>
      </c>
      <c r="M18" s="4">
        <f t="shared" ref="M18:M23" si="14">D18*N18</f>
        <v>188.100549</v>
      </c>
      <c r="N18" s="40">
        <v>0.3</v>
      </c>
      <c r="O18" s="4">
        <f t="shared" ref="O18:O23" si="15">D18*P18</f>
        <v>156.75045750000001</v>
      </c>
      <c r="P18" s="40">
        <v>0.25</v>
      </c>
      <c r="Q18" s="4">
        <f t="shared" ref="Q18:Q23" si="16">D18*R18</f>
        <v>106.59031110000001</v>
      </c>
      <c r="R18" s="40">
        <v>0.17</v>
      </c>
      <c r="S18" s="4">
        <f>D18*T18</f>
        <v>0</v>
      </c>
      <c r="T18" s="40">
        <v>0</v>
      </c>
      <c r="U18" s="4">
        <f t="shared" ref="U18:U22" si="17">D18*V18</f>
        <v>0</v>
      </c>
      <c r="V18" s="40">
        <v>0</v>
      </c>
      <c r="W18" s="4">
        <f t="shared" ref="W18:W22" si="18">D18*X18</f>
        <v>18.810054900000001</v>
      </c>
      <c r="X18" s="40">
        <v>0.03</v>
      </c>
      <c r="Y18" s="4">
        <f>Z18*D18</f>
        <v>0</v>
      </c>
      <c r="Z18" s="40">
        <v>0</v>
      </c>
      <c r="AA18" s="41">
        <f>E18+G18+I18+K18+M18+O18+Q18+S18+U18+W18+Y18</f>
        <v>627.00183000000004</v>
      </c>
      <c r="AB18" s="42">
        <f t="shared" ref="AB18:AB23" si="19">AA18/D18</f>
        <v>1</v>
      </c>
      <c r="AC18" s="83">
        <f>E18+G18+I18</f>
        <v>0</v>
      </c>
      <c r="AD18" s="84">
        <f t="shared" ref="AD18:AD22" si="20">AC18/D18</f>
        <v>0</v>
      </c>
      <c r="AE18" s="83">
        <f t="shared" ref="AE18:AE23" si="21">K18+M18+O18+Q18+S18</f>
        <v>608.19177510000009</v>
      </c>
      <c r="AF18" s="84">
        <f t="shared" ref="AF18:AF22" si="22">AE18/D18</f>
        <v>0.97000000000000008</v>
      </c>
      <c r="AG18" s="83">
        <f t="shared" ref="AG18:AG23" si="23">W18</f>
        <v>18.810054900000001</v>
      </c>
      <c r="AH18" s="84">
        <f>AG18/D18</f>
        <v>0.03</v>
      </c>
    </row>
    <row r="19" spans="1:34" ht="20" customHeight="1" x14ac:dyDescent="0.2">
      <c r="A19" s="14"/>
      <c r="C19" s="1" t="s">
        <v>66</v>
      </c>
      <c r="D19" s="4">
        <f>'CO SIF'!E16</f>
        <v>413.036</v>
      </c>
      <c r="E19" s="4">
        <f t="shared" si="12"/>
        <v>0</v>
      </c>
      <c r="F19" s="40">
        <v>0</v>
      </c>
      <c r="G19" s="4">
        <f>D19*H19</f>
        <v>0</v>
      </c>
      <c r="H19" s="40">
        <v>0</v>
      </c>
      <c r="I19" s="4">
        <f>J19*D19</f>
        <v>0</v>
      </c>
      <c r="J19" s="40">
        <v>0</v>
      </c>
      <c r="K19" s="4">
        <f t="shared" si="13"/>
        <v>41.303600000000003</v>
      </c>
      <c r="L19" s="40">
        <v>0.1</v>
      </c>
      <c r="M19" s="4">
        <f t="shared" si="14"/>
        <v>41.303600000000003</v>
      </c>
      <c r="N19" s="40">
        <v>0.1</v>
      </c>
      <c r="O19" s="4">
        <f t="shared" si="15"/>
        <v>41.303600000000003</v>
      </c>
      <c r="P19" s="40">
        <v>0.1</v>
      </c>
      <c r="Q19" s="4">
        <f t="shared" si="16"/>
        <v>41.303600000000003</v>
      </c>
      <c r="R19" s="40">
        <v>0.1</v>
      </c>
      <c r="S19" s="4">
        <f t="shared" ref="S19:S23" si="24">D19*T19</f>
        <v>0</v>
      </c>
      <c r="T19" s="40">
        <v>0</v>
      </c>
      <c r="U19" s="4">
        <f t="shared" si="17"/>
        <v>103.259</v>
      </c>
      <c r="V19" s="40">
        <v>0.25</v>
      </c>
      <c r="W19" s="4">
        <f t="shared" si="18"/>
        <v>144.5626</v>
      </c>
      <c r="X19" s="40">
        <v>0.35</v>
      </c>
      <c r="Y19" s="4">
        <f>Z19*D19</f>
        <v>0</v>
      </c>
      <c r="Z19" s="40">
        <v>0</v>
      </c>
      <c r="AA19" s="41">
        <f>E19+G19+I19+K19+M19+O19+Q19+S19+U19+W19+Y19</f>
        <v>413.03600000000006</v>
      </c>
      <c r="AB19" s="42">
        <f t="shared" si="19"/>
        <v>1.0000000000000002</v>
      </c>
      <c r="AC19" s="83">
        <f t="shared" ref="AC19:AC23" si="25">E19+G19+I19</f>
        <v>0</v>
      </c>
      <c r="AD19" s="84">
        <f t="shared" si="20"/>
        <v>0</v>
      </c>
      <c r="AE19" s="83">
        <f t="shared" si="21"/>
        <v>165.21440000000001</v>
      </c>
      <c r="AF19" s="84">
        <f t="shared" si="22"/>
        <v>0.4</v>
      </c>
      <c r="AG19" s="83">
        <f t="shared" si="23"/>
        <v>144.5626</v>
      </c>
      <c r="AH19" s="84">
        <f>AG19/D19</f>
        <v>0.35000000000000003</v>
      </c>
    </row>
    <row r="20" spans="1:34" ht="20" customHeight="1" x14ac:dyDescent="0.2">
      <c r="B20" s="2">
        <v>6</v>
      </c>
      <c r="C20" s="1" t="s">
        <v>57</v>
      </c>
      <c r="D20" s="4">
        <f>'CO SIF'!E17</f>
        <v>28.3413</v>
      </c>
      <c r="E20" s="4">
        <f t="shared" si="12"/>
        <v>0</v>
      </c>
      <c r="F20" s="40">
        <v>0</v>
      </c>
      <c r="G20" s="4">
        <f t="shared" ref="G20:G23" si="26">D20*H20</f>
        <v>0</v>
      </c>
      <c r="H20" s="40">
        <v>0</v>
      </c>
      <c r="I20" s="4">
        <f t="shared" ref="I20:I23" si="27">J20*D20</f>
        <v>0</v>
      </c>
      <c r="J20" s="40">
        <v>0</v>
      </c>
      <c r="K20" s="4">
        <f t="shared" si="13"/>
        <v>0</v>
      </c>
      <c r="L20" s="40">
        <v>0</v>
      </c>
      <c r="M20" s="4">
        <f t="shared" si="14"/>
        <v>0</v>
      </c>
      <c r="N20" s="40">
        <v>0</v>
      </c>
      <c r="O20" s="4">
        <f t="shared" si="15"/>
        <v>0</v>
      </c>
      <c r="P20" s="40">
        <v>0</v>
      </c>
      <c r="Q20" s="4">
        <f t="shared" si="16"/>
        <v>15.587715000000001</v>
      </c>
      <c r="R20" s="40">
        <v>0.55000000000000004</v>
      </c>
      <c r="S20" s="4">
        <f t="shared" si="24"/>
        <v>9.9194549999999992</v>
      </c>
      <c r="T20" s="40">
        <v>0.35</v>
      </c>
      <c r="U20" s="4">
        <f t="shared" si="17"/>
        <v>2.83413</v>
      </c>
      <c r="V20" s="40">
        <v>0.1</v>
      </c>
      <c r="W20" s="4">
        <f t="shared" si="18"/>
        <v>0</v>
      </c>
      <c r="X20" s="40">
        <v>0</v>
      </c>
      <c r="Y20" s="4">
        <f>Z20*D20</f>
        <v>0</v>
      </c>
      <c r="Z20" s="40">
        <v>0</v>
      </c>
      <c r="AA20" s="41">
        <f>E20+G20+I20+K20+M20+O20+Q20+S20+U20+W20+Y20</f>
        <v>28.341300000000004</v>
      </c>
      <c r="AB20" s="42">
        <f t="shared" si="19"/>
        <v>1.0000000000000002</v>
      </c>
      <c r="AC20" s="83">
        <f t="shared" si="25"/>
        <v>0</v>
      </c>
      <c r="AD20" s="84">
        <f t="shared" si="20"/>
        <v>0</v>
      </c>
      <c r="AE20" s="83">
        <f t="shared" si="21"/>
        <v>25.507170000000002</v>
      </c>
      <c r="AF20" s="84">
        <f t="shared" si="22"/>
        <v>0.9</v>
      </c>
      <c r="AG20" s="83">
        <f t="shared" si="23"/>
        <v>0</v>
      </c>
      <c r="AH20" s="84">
        <f t="shared" ref="AH20:AH23" si="28">AG20/D20</f>
        <v>0</v>
      </c>
    </row>
    <row r="21" spans="1:34" ht="20" customHeight="1" x14ac:dyDescent="0.2">
      <c r="B21" s="2">
        <v>7</v>
      </c>
      <c r="C21" s="1" t="s">
        <v>56</v>
      </c>
      <c r="D21" s="4">
        <f>'CO SIF'!E18</f>
        <v>207.6165</v>
      </c>
      <c r="E21" s="4">
        <f t="shared" si="12"/>
        <v>0</v>
      </c>
      <c r="F21" s="40">
        <v>0</v>
      </c>
      <c r="G21" s="4">
        <f t="shared" si="26"/>
        <v>0</v>
      </c>
      <c r="H21" s="40">
        <v>0</v>
      </c>
      <c r="I21" s="4">
        <f t="shared" si="27"/>
        <v>0</v>
      </c>
      <c r="J21" s="40">
        <v>0</v>
      </c>
      <c r="K21" s="4">
        <f t="shared" si="13"/>
        <v>0</v>
      </c>
      <c r="L21" s="40">
        <v>0</v>
      </c>
      <c r="M21" s="4">
        <f t="shared" si="14"/>
        <v>0</v>
      </c>
      <c r="N21" s="40">
        <v>0</v>
      </c>
      <c r="O21" s="4">
        <f t="shared" si="15"/>
        <v>62.284949999999995</v>
      </c>
      <c r="P21" s="40">
        <v>0.3</v>
      </c>
      <c r="Q21" s="4">
        <f t="shared" si="16"/>
        <v>93.427424999999999</v>
      </c>
      <c r="R21" s="40">
        <v>0.45</v>
      </c>
      <c r="S21" s="4">
        <f t="shared" si="24"/>
        <v>20.761650000000003</v>
      </c>
      <c r="T21" s="40">
        <v>0.1</v>
      </c>
      <c r="U21" s="4">
        <f t="shared" si="17"/>
        <v>20.761650000000003</v>
      </c>
      <c r="V21" s="40">
        <v>0.1</v>
      </c>
      <c r="W21" s="4">
        <f t="shared" si="18"/>
        <v>10.380825000000002</v>
      </c>
      <c r="X21" s="40">
        <v>0.05</v>
      </c>
      <c r="Y21" s="4">
        <f>Z21*D21</f>
        <v>0</v>
      </c>
      <c r="Z21" s="40">
        <v>0</v>
      </c>
      <c r="AA21" s="41">
        <f>E21+G21+I21+K21+M21+O21+Q21+S21+U21+W21+Y21</f>
        <v>207.61650000000003</v>
      </c>
      <c r="AB21" s="42">
        <f t="shared" si="19"/>
        <v>1.0000000000000002</v>
      </c>
      <c r="AC21" s="83">
        <f t="shared" si="25"/>
        <v>0</v>
      </c>
      <c r="AD21" s="84">
        <f t="shared" si="20"/>
        <v>0</v>
      </c>
      <c r="AE21" s="83">
        <f t="shared" si="21"/>
        <v>176.47402500000001</v>
      </c>
      <c r="AF21" s="84">
        <f t="shared" si="22"/>
        <v>0.85000000000000009</v>
      </c>
      <c r="AG21" s="83">
        <f t="shared" si="23"/>
        <v>10.380825000000002</v>
      </c>
      <c r="AH21" s="84">
        <f t="shared" si="28"/>
        <v>5.000000000000001E-2</v>
      </c>
    </row>
    <row r="22" spans="1:34" ht="20" customHeight="1" x14ac:dyDescent="0.2">
      <c r="A22" s="14"/>
      <c r="B22" s="2">
        <v>8</v>
      </c>
      <c r="C22" s="1" t="s">
        <v>57</v>
      </c>
      <c r="D22" s="4">
        <f>'CO SIF'!E19</f>
        <v>28.3413</v>
      </c>
      <c r="E22" s="4">
        <f t="shared" si="12"/>
        <v>0</v>
      </c>
      <c r="F22" s="40">
        <v>0</v>
      </c>
      <c r="G22" s="4">
        <f t="shared" si="26"/>
        <v>0</v>
      </c>
      <c r="H22" s="40">
        <v>0</v>
      </c>
      <c r="I22" s="4">
        <f t="shared" si="27"/>
        <v>0</v>
      </c>
      <c r="J22" s="40">
        <v>0</v>
      </c>
      <c r="K22" s="4">
        <f t="shared" si="13"/>
        <v>0</v>
      </c>
      <c r="L22" s="40">
        <v>0</v>
      </c>
      <c r="M22" s="4">
        <f t="shared" si="14"/>
        <v>0</v>
      </c>
      <c r="N22" s="40">
        <v>0</v>
      </c>
      <c r="O22" s="4">
        <f t="shared" si="15"/>
        <v>1.417065</v>
      </c>
      <c r="P22" s="40">
        <v>0.05</v>
      </c>
      <c r="Q22" s="4">
        <f t="shared" si="16"/>
        <v>14.17065</v>
      </c>
      <c r="R22" s="40">
        <v>0.5</v>
      </c>
      <c r="S22" s="4">
        <f t="shared" si="24"/>
        <v>11.33652</v>
      </c>
      <c r="T22" s="40">
        <v>0.4</v>
      </c>
      <c r="U22" s="4">
        <f t="shared" si="17"/>
        <v>0</v>
      </c>
      <c r="V22" s="40">
        <v>0</v>
      </c>
      <c r="W22" s="4">
        <f t="shared" si="18"/>
        <v>1.417065</v>
      </c>
      <c r="X22" s="40">
        <v>0.05</v>
      </c>
      <c r="Y22" s="4">
        <f>Z22*D22</f>
        <v>0</v>
      </c>
      <c r="Z22" s="40">
        <v>0</v>
      </c>
      <c r="AA22" s="41">
        <f>E22+G22+I22+K22+M22+O22+Q22+S22+U22+W22+Y22</f>
        <v>28.3413</v>
      </c>
      <c r="AB22" s="42">
        <f t="shared" si="19"/>
        <v>1</v>
      </c>
      <c r="AC22" s="83">
        <f t="shared" si="25"/>
        <v>0</v>
      </c>
      <c r="AD22" s="84">
        <f t="shared" si="20"/>
        <v>0</v>
      </c>
      <c r="AE22" s="83">
        <f t="shared" si="21"/>
        <v>26.924234999999999</v>
      </c>
      <c r="AF22" s="84">
        <f t="shared" si="22"/>
        <v>0.95</v>
      </c>
      <c r="AG22" s="83">
        <f t="shared" si="23"/>
        <v>1.417065</v>
      </c>
      <c r="AH22" s="84">
        <f t="shared" si="28"/>
        <v>0.05</v>
      </c>
    </row>
    <row r="23" spans="1:34" ht="20" customHeight="1" x14ac:dyDescent="0.2">
      <c r="B23" s="2">
        <v>9</v>
      </c>
      <c r="C23" s="1" t="s">
        <v>56</v>
      </c>
      <c r="D23" s="4">
        <f>'CO SIF'!E20</f>
        <v>232.05812499999996</v>
      </c>
      <c r="E23" s="4">
        <f t="shared" si="12"/>
        <v>0</v>
      </c>
      <c r="F23" s="40">
        <v>0</v>
      </c>
      <c r="G23" s="4">
        <f t="shared" si="26"/>
        <v>0</v>
      </c>
      <c r="H23" s="40">
        <v>0</v>
      </c>
      <c r="I23" s="4">
        <f t="shared" si="27"/>
        <v>0</v>
      </c>
      <c r="J23" s="40">
        <v>0</v>
      </c>
      <c r="K23" s="4">
        <f t="shared" si="13"/>
        <v>0</v>
      </c>
      <c r="L23" s="40">
        <v>0</v>
      </c>
      <c r="M23" s="4">
        <f t="shared" si="14"/>
        <v>0</v>
      </c>
      <c r="N23" s="40">
        <v>0</v>
      </c>
      <c r="O23" s="4">
        <f t="shared" si="15"/>
        <v>0</v>
      </c>
      <c r="P23" s="40">
        <v>0</v>
      </c>
      <c r="Q23" s="4">
        <f t="shared" si="16"/>
        <v>92.823249999999987</v>
      </c>
      <c r="R23" s="40">
        <v>0.4</v>
      </c>
      <c r="S23" s="4">
        <f t="shared" si="24"/>
        <v>92.823249999999987</v>
      </c>
      <c r="T23" s="40">
        <v>0.4</v>
      </c>
      <c r="U23" s="4">
        <f>D23*V23</f>
        <v>0</v>
      </c>
      <c r="V23" s="40">
        <v>0</v>
      </c>
      <c r="W23" s="4">
        <f t="shared" ref="W23" si="29">D23*X23</f>
        <v>46.411624999999994</v>
      </c>
      <c r="X23" s="40">
        <v>0.2</v>
      </c>
      <c r="Y23" s="4">
        <f>Z23*D23</f>
        <v>0</v>
      </c>
      <c r="Z23" s="40">
        <v>0</v>
      </c>
      <c r="AA23" s="41">
        <f>E23+G23+I23+K23+M23+O23+Q23+S23+U23+W23+Y23</f>
        <v>232.05812499999996</v>
      </c>
      <c r="AB23" s="42">
        <f t="shared" si="19"/>
        <v>1</v>
      </c>
      <c r="AC23" s="83">
        <f t="shared" si="25"/>
        <v>0</v>
      </c>
      <c r="AD23" s="84">
        <f>AC23/D23</f>
        <v>0</v>
      </c>
      <c r="AE23" s="83">
        <f t="shared" si="21"/>
        <v>185.64649999999997</v>
      </c>
      <c r="AF23" s="84">
        <f>AE23/D23</f>
        <v>0.8</v>
      </c>
      <c r="AG23" s="83">
        <f t="shared" si="23"/>
        <v>46.411624999999994</v>
      </c>
      <c r="AH23" s="84">
        <f t="shared" si="28"/>
        <v>0.2</v>
      </c>
    </row>
    <row r="24" spans="1:34" ht="20" customHeight="1" x14ac:dyDescent="0.2">
      <c r="B24" s="14"/>
      <c r="D24" s="4"/>
      <c r="E24" s="4"/>
      <c r="F24" s="40"/>
      <c r="G24" s="4"/>
      <c r="H24" s="40"/>
      <c r="I24" s="4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"/>
      <c r="V24" s="4"/>
      <c r="W24" s="4"/>
      <c r="X24" s="4"/>
      <c r="Y24" s="4"/>
      <c r="Z24" s="4"/>
      <c r="AA24" s="41"/>
      <c r="AB24" s="42"/>
    </row>
    <row r="25" spans="1:34" ht="20" customHeight="1" x14ac:dyDescent="0.2">
      <c r="C25" s="3" t="s">
        <v>53</v>
      </c>
      <c r="D25" s="19">
        <f>SUM(D18:D24)</f>
        <v>1536.3950550000002</v>
      </c>
      <c r="E25" s="44">
        <f>SUM(E18:E24)</f>
        <v>0</v>
      </c>
      <c r="F25" s="43">
        <f>E25/D25</f>
        <v>0</v>
      </c>
      <c r="G25" s="44">
        <f>SUM(G18:G24)</f>
        <v>0</v>
      </c>
      <c r="H25" s="43">
        <f>G25/D25</f>
        <v>0</v>
      </c>
      <c r="I25" s="44">
        <f>SUM(I18:I24)</f>
        <v>0</v>
      </c>
      <c r="J25" s="43">
        <f>I25/D25</f>
        <v>0</v>
      </c>
      <c r="K25" s="44">
        <f>SUM(K17:K23)</f>
        <v>198.0540575</v>
      </c>
      <c r="L25" s="43">
        <f>K25/D25</f>
        <v>0.12890828882549349</v>
      </c>
      <c r="M25" s="44">
        <f>SUM(M17:M23)</f>
        <v>229.40414900000002</v>
      </c>
      <c r="N25" s="43">
        <f>M25/D25</f>
        <v>0.14931325654390368</v>
      </c>
      <c r="O25" s="44">
        <f>SUM(O17:O23)</f>
        <v>261.75607249999996</v>
      </c>
      <c r="P25" s="43">
        <f>O25/D25</f>
        <v>0.17037029092755049</v>
      </c>
      <c r="Q25" s="44">
        <f>SUM(Q17:Q23)</f>
        <v>363.90295110000005</v>
      </c>
      <c r="R25" s="43">
        <f>Q25/D25</f>
        <v>0.23685506531391434</v>
      </c>
      <c r="S25" s="44">
        <f>SUM(S17:S23)</f>
        <v>134.84087499999998</v>
      </c>
      <c r="T25" s="43">
        <f>S25/D25</f>
        <v>8.7764455216890788E-2</v>
      </c>
      <c r="U25" s="44">
        <f>SUM(U16:U23)</f>
        <v>126.85478000000001</v>
      </c>
      <c r="V25" s="43">
        <f>U25/D25</f>
        <v>8.2566511514839513E-2</v>
      </c>
      <c r="W25" s="44">
        <f>SUM(W16:W23)</f>
        <v>221.5821699</v>
      </c>
      <c r="X25" s="43">
        <f>W25/D25</f>
        <v>0.14422213165740758</v>
      </c>
      <c r="Y25" s="44">
        <f>SUM(Y16:Y23)</f>
        <v>0</v>
      </c>
      <c r="Z25" s="43">
        <f>Y25/D25</f>
        <v>0</v>
      </c>
      <c r="AA25" s="19">
        <f>SUM(AA18:AA23)</f>
        <v>1536.3950550000004</v>
      </c>
      <c r="AB25" s="45">
        <f>AA25/D25</f>
        <v>1.0000000000000002</v>
      </c>
      <c r="AC25" s="19">
        <f>SUM(AC18:AC23)</f>
        <v>0</v>
      </c>
      <c r="AD25" s="45">
        <f>AC25/D25</f>
        <v>0</v>
      </c>
      <c r="AE25" s="19">
        <f>SUM(AE18:AE23)</f>
        <v>1187.9581051</v>
      </c>
      <c r="AF25" s="45">
        <f>AE25/D25</f>
        <v>0.77321135682775277</v>
      </c>
      <c r="AG25" s="19">
        <f>SUM(AG18:AG23)</f>
        <v>221.5821699</v>
      </c>
      <c r="AH25" s="45">
        <f>AG25/D25</f>
        <v>0.14422213165740758</v>
      </c>
    </row>
    <row r="26" spans="1:34" ht="20" customHeight="1" x14ac:dyDescent="0.2">
      <c r="C26" s="51"/>
      <c r="D26" s="52"/>
      <c r="E26" s="4"/>
      <c r="F26" s="4"/>
      <c r="G26" s="4"/>
      <c r="I26" s="4"/>
      <c r="AA26" s="48">
        <f>D25-AA25</f>
        <v>0</v>
      </c>
      <c r="AB26" s="49">
        <f>AA26/D25</f>
        <v>0</v>
      </c>
    </row>
    <row r="27" spans="1:34" ht="20" customHeight="1" x14ac:dyDescent="0.2"/>
    <row r="28" spans="1:34" ht="20" customHeight="1" x14ac:dyDescent="0.2">
      <c r="A28" s="14" t="s">
        <v>72</v>
      </c>
      <c r="B28" s="2">
        <v>10</v>
      </c>
      <c r="C28" s="1" t="s">
        <v>56</v>
      </c>
      <c r="D28" s="4">
        <f>'CO SIF'!E26</f>
        <v>599.57503125000005</v>
      </c>
      <c r="E28" s="4">
        <f>D28*F28</f>
        <v>0</v>
      </c>
      <c r="F28" s="40">
        <v>0</v>
      </c>
      <c r="G28" s="4">
        <f>D28*H28</f>
        <v>0</v>
      </c>
      <c r="H28" s="40">
        <v>0</v>
      </c>
      <c r="I28" s="4">
        <f>D28*J28</f>
        <v>0</v>
      </c>
      <c r="J28" s="40">
        <v>0</v>
      </c>
      <c r="K28" s="4">
        <f>D28*L28</f>
        <v>0</v>
      </c>
      <c r="L28" s="40">
        <v>0</v>
      </c>
      <c r="M28" s="4">
        <f>D28*N28</f>
        <v>0</v>
      </c>
      <c r="N28" s="40">
        <v>0</v>
      </c>
      <c r="O28" s="4">
        <f>D28*P28</f>
        <v>0</v>
      </c>
      <c r="P28" s="40">
        <v>0</v>
      </c>
      <c r="Q28" s="4">
        <f>D28*R28</f>
        <v>0</v>
      </c>
      <c r="R28" s="40">
        <v>0</v>
      </c>
      <c r="S28" s="4">
        <f>F28*T28</f>
        <v>0</v>
      </c>
      <c r="T28" s="40">
        <v>0</v>
      </c>
      <c r="U28" s="4">
        <f>D28*V28</f>
        <v>0</v>
      </c>
      <c r="V28" s="40">
        <v>0</v>
      </c>
      <c r="W28" s="4">
        <f t="shared" ref="W28" si="30">D28*X28</f>
        <v>317.77476656250002</v>
      </c>
      <c r="X28" s="40">
        <v>0.53</v>
      </c>
      <c r="Y28" s="4">
        <f>Z28*D28</f>
        <v>281.80026468750003</v>
      </c>
      <c r="Z28" s="40">
        <v>0.47</v>
      </c>
      <c r="AA28" s="41">
        <f>E28+G28+I28+K28+M28+O28+Q28+S28+U28+W28+Y28</f>
        <v>599.57503125000005</v>
      </c>
      <c r="AB28" s="42">
        <f>AA28/D28</f>
        <v>1</v>
      </c>
      <c r="AC28" s="83">
        <f t="shared" ref="AC28" si="31">E28+G28+I28</f>
        <v>0</v>
      </c>
      <c r="AD28" s="84">
        <f>AC28/D28</f>
        <v>0</v>
      </c>
      <c r="AE28" s="83">
        <f t="shared" ref="AE28" si="32">K28+M28+O28+Q28+S28</f>
        <v>0</v>
      </c>
      <c r="AF28" s="84">
        <f>AE28/D28</f>
        <v>0</v>
      </c>
      <c r="AG28" s="83">
        <f t="shared" ref="AG28" si="33">W28</f>
        <v>317.77476656250002</v>
      </c>
      <c r="AH28" s="84">
        <f t="shared" ref="AH28" si="34">AG28/D28</f>
        <v>0.53</v>
      </c>
    </row>
    <row r="29" spans="1:34" ht="20" customHeight="1" x14ac:dyDescent="0.2">
      <c r="B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1"/>
      <c r="AB29" s="41"/>
    </row>
    <row r="30" spans="1:34" ht="20" customHeight="1" x14ac:dyDescent="0.2">
      <c r="C30" s="3" t="s">
        <v>53</v>
      </c>
      <c r="D30" s="19">
        <f>SUM(D28:D29)</f>
        <v>599.57503125000005</v>
      </c>
      <c r="E30" s="33">
        <f>SUM(E28:E29)</f>
        <v>0</v>
      </c>
      <c r="F30" s="43">
        <f>E30/D30</f>
        <v>0</v>
      </c>
      <c r="G30" s="44">
        <f>SUM(G28:G28)</f>
        <v>0</v>
      </c>
      <c r="H30" s="43">
        <f>G30/D30</f>
        <v>0</v>
      </c>
      <c r="I30" s="44">
        <f>SUM(I28:I28)</f>
        <v>0</v>
      </c>
      <c r="J30" s="43">
        <f>I30/D30</f>
        <v>0</v>
      </c>
      <c r="K30" s="44">
        <f>SUM(K21:K28)</f>
        <v>198.0540575</v>
      </c>
      <c r="L30" s="43">
        <f>K30/D30</f>
        <v>0.33032405817015914</v>
      </c>
      <c r="M30" s="44">
        <f>SUM(M21:M28)</f>
        <v>229.40414900000002</v>
      </c>
      <c r="N30" s="43">
        <f>M30/D30</f>
        <v>0.38261124470399632</v>
      </c>
      <c r="O30" s="44">
        <f>SUM(O21:O28)</f>
        <v>325.45808749999998</v>
      </c>
      <c r="P30" s="43">
        <f>O30/D30</f>
        <v>0.54281461124470387</v>
      </c>
      <c r="Q30" s="44">
        <f>SUM(Q21:Q28)</f>
        <v>564.32427610000002</v>
      </c>
      <c r="R30" s="43">
        <f>Q30/D30</f>
        <v>0.94120709950761472</v>
      </c>
      <c r="S30" s="44">
        <f>SUM(S21:S28)</f>
        <v>259.76229499999999</v>
      </c>
      <c r="T30" s="43">
        <f>S30/D30</f>
        <v>0.43324401694721165</v>
      </c>
      <c r="U30" s="44">
        <f>SUM(U21:U28)</f>
        <v>147.61643000000001</v>
      </c>
      <c r="V30" s="43">
        <f>U30/D30</f>
        <v>0.24620176342608496</v>
      </c>
      <c r="W30" s="44">
        <f>SUM(W21:W28)</f>
        <v>597.56645146250003</v>
      </c>
      <c r="X30" s="43">
        <f>W30/D30</f>
        <v>0.99664999427459056</v>
      </c>
      <c r="Y30" s="44">
        <f>SUM(Y21:Y28)</f>
        <v>281.80026468750003</v>
      </c>
      <c r="Z30" s="43">
        <f>Y30/D30</f>
        <v>0.47000000000000003</v>
      </c>
      <c r="AA30" s="19">
        <f>SUM(AA28:AA28)</f>
        <v>599.57503125000005</v>
      </c>
      <c r="AB30" s="45">
        <f>AA30/D30</f>
        <v>1</v>
      </c>
      <c r="AC30" s="19">
        <f>SUM(AC28)</f>
        <v>0</v>
      </c>
      <c r="AD30" s="45">
        <f>AC30/D30</f>
        <v>0</v>
      </c>
      <c r="AE30" s="19">
        <f>SUM(AE28)</f>
        <v>0</v>
      </c>
      <c r="AF30" s="45">
        <f>AE30/D30</f>
        <v>0</v>
      </c>
      <c r="AG30" s="19">
        <f>SUM(AG28)</f>
        <v>317.77476656250002</v>
      </c>
      <c r="AH30" s="45">
        <f>AG30/D30</f>
        <v>0.53</v>
      </c>
    </row>
    <row r="31" spans="1:34" ht="20" customHeight="1" x14ac:dyDescent="0.2">
      <c r="C31" s="46"/>
      <c r="D31" s="47"/>
      <c r="AA31" s="48">
        <f>D30-AA30</f>
        <v>0</v>
      </c>
      <c r="AB31" s="49">
        <f>AA31/D30</f>
        <v>0</v>
      </c>
    </row>
    <row r="32" spans="1:34" ht="20" customHeight="1" x14ac:dyDescent="0.2"/>
    <row r="33" spans="1:34" ht="20" customHeight="1" x14ac:dyDescent="0.2">
      <c r="A33" s="14" t="s">
        <v>84</v>
      </c>
      <c r="B33" s="2">
        <v>11</v>
      </c>
      <c r="C33" s="1" t="s">
        <v>56</v>
      </c>
      <c r="D33" s="4">
        <f>'CO SIF'!E32</f>
        <v>253.97319999999999</v>
      </c>
      <c r="E33" s="4">
        <f t="shared" ref="E33:E40" si="35">D33*F33</f>
        <v>0</v>
      </c>
      <c r="F33" s="40">
        <v>0</v>
      </c>
      <c r="G33" s="4">
        <f>D33*H33</f>
        <v>0</v>
      </c>
      <c r="H33" s="40">
        <v>0</v>
      </c>
      <c r="I33" s="4">
        <f>J33*D33</f>
        <v>0</v>
      </c>
      <c r="J33" s="40">
        <v>0</v>
      </c>
      <c r="K33" s="4">
        <f t="shared" ref="K33:K40" si="36">D33*L33</f>
        <v>0</v>
      </c>
      <c r="L33" s="40">
        <v>0</v>
      </c>
      <c r="M33" s="4">
        <f t="shared" ref="M33:M40" si="37">D33*N33</f>
        <v>0</v>
      </c>
      <c r="N33" s="40">
        <v>0</v>
      </c>
      <c r="O33" s="4">
        <f t="shared" ref="O33:O40" si="38">D33*P33</f>
        <v>0</v>
      </c>
      <c r="P33" s="40">
        <v>0</v>
      </c>
      <c r="Q33" s="4">
        <f t="shared" ref="Q33:Q40" si="39">D33*R33</f>
        <v>0</v>
      </c>
      <c r="R33" s="40">
        <v>0</v>
      </c>
      <c r="S33" s="4">
        <f t="shared" ref="S33:S40" si="40">F33*T33</f>
        <v>0</v>
      </c>
      <c r="T33" s="40">
        <v>0</v>
      </c>
      <c r="U33" s="4">
        <f t="shared" ref="U33:U39" si="41">H33*V33</f>
        <v>0</v>
      </c>
      <c r="V33" s="40">
        <v>0</v>
      </c>
      <c r="W33" s="4">
        <f t="shared" ref="W33:W39" si="42">D33*X33</f>
        <v>0</v>
      </c>
      <c r="X33" s="40">
        <v>0</v>
      </c>
      <c r="Y33" s="4">
        <f>Z33*D33</f>
        <v>253.97319999999999</v>
      </c>
      <c r="Z33" s="40">
        <v>1</v>
      </c>
      <c r="AA33" s="41">
        <f>E33+G33+I33+K33+M33+O33+Q33+S33+U33+W33+Y33</f>
        <v>253.97319999999999</v>
      </c>
      <c r="AB33" s="42">
        <f t="shared" ref="AB33:AB40" si="43">AA33/D33</f>
        <v>1</v>
      </c>
    </row>
    <row r="34" spans="1:34" ht="20" customHeight="1" x14ac:dyDescent="0.2">
      <c r="A34" s="14"/>
      <c r="B34" s="2">
        <v>12</v>
      </c>
      <c r="C34" s="1" t="s">
        <v>57</v>
      </c>
      <c r="D34" s="4">
        <f>'CO SIF'!E33</f>
        <v>56.682599999999994</v>
      </c>
      <c r="E34" s="4">
        <f t="shared" si="35"/>
        <v>0</v>
      </c>
      <c r="F34" s="40">
        <v>0</v>
      </c>
      <c r="G34" s="4">
        <f>D34*H34</f>
        <v>0</v>
      </c>
      <c r="H34" s="40">
        <v>0</v>
      </c>
      <c r="I34" s="4">
        <f>J34*D34</f>
        <v>0</v>
      </c>
      <c r="J34" s="40">
        <v>0</v>
      </c>
      <c r="K34" s="4">
        <f t="shared" si="36"/>
        <v>0</v>
      </c>
      <c r="L34" s="40">
        <v>0</v>
      </c>
      <c r="M34" s="4">
        <f t="shared" si="37"/>
        <v>0</v>
      </c>
      <c r="N34" s="40">
        <v>0</v>
      </c>
      <c r="O34" s="4">
        <f t="shared" si="38"/>
        <v>0</v>
      </c>
      <c r="P34" s="40">
        <v>0</v>
      </c>
      <c r="Q34" s="4">
        <f t="shared" si="39"/>
        <v>0</v>
      </c>
      <c r="R34" s="40">
        <v>0</v>
      </c>
      <c r="S34" s="4">
        <f t="shared" si="40"/>
        <v>0</v>
      </c>
      <c r="T34" s="40">
        <v>0</v>
      </c>
      <c r="U34" s="4">
        <f t="shared" si="41"/>
        <v>0</v>
      </c>
      <c r="V34" s="40">
        <v>0</v>
      </c>
      <c r="W34" s="4">
        <f t="shared" si="42"/>
        <v>0</v>
      </c>
      <c r="X34" s="40">
        <v>0</v>
      </c>
      <c r="Y34" s="4">
        <f>Z34*D34</f>
        <v>56.682599999999994</v>
      </c>
      <c r="Z34" s="40">
        <v>1</v>
      </c>
      <c r="AA34" s="41">
        <f>E34+G34+I34+K34+M34+O34+Q34+S34+U34+W34+Y34</f>
        <v>56.682599999999994</v>
      </c>
      <c r="AB34" s="42">
        <f t="shared" si="43"/>
        <v>1</v>
      </c>
    </row>
    <row r="35" spans="1:34" ht="20" customHeight="1" x14ac:dyDescent="0.2">
      <c r="B35" s="2">
        <v>13</v>
      </c>
      <c r="C35" s="1" t="s">
        <v>56</v>
      </c>
      <c r="D35" s="4">
        <f>'CO SIF'!E34</f>
        <v>522.88599999999997</v>
      </c>
      <c r="E35" s="4">
        <f t="shared" si="35"/>
        <v>0</v>
      </c>
      <c r="F35" s="40">
        <v>0</v>
      </c>
      <c r="G35" s="4">
        <f t="shared" ref="G35:G40" si="44">D35*H35</f>
        <v>0</v>
      </c>
      <c r="H35" s="40">
        <v>0</v>
      </c>
      <c r="I35" s="4">
        <f t="shared" ref="I35:I40" si="45">J35*D35</f>
        <v>0</v>
      </c>
      <c r="J35" s="40">
        <v>0</v>
      </c>
      <c r="K35" s="4">
        <f t="shared" si="36"/>
        <v>0</v>
      </c>
      <c r="L35" s="40">
        <v>0</v>
      </c>
      <c r="M35" s="4">
        <f t="shared" si="37"/>
        <v>0</v>
      </c>
      <c r="N35" s="40">
        <v>0</v>
      </c>
      <c r="O35" s="4">
        <f t="shared" si="38"/>
        <v>0</v>
      </c>
      <c r="P35" s="40">
        <v>0</v>
      </c>
      <c r="Q35" s="4">
        <f t="shared" si="39"/>
        <v>0</v>
      </c>
      <c r="R35" s="40">
        <v>0</v>
      </c>
      <c r="S35" s="4">
        <f t="shared" si="40"/>
        <v>0</v>
      </c>
      <c r="T35" s="40">
        <v>0</v>
      </c>
      <c r="U35" s="4">
        <f t="shared" si="41"/>
        <v>0</v>
      </c>
      <c r="V35" s="40">
        <v>0</v>
      </c>
      <c r="W35" s="4">
        <f t="shared" si="42"/>
        <v>0</v>
      </c>
      <c r="X35" s="40">
        <v>0</v>
      </c>
      <c r="Y35" s="4">
        <f>Z35*D35</f>
        <v>522.88599999999997</v>
      </c>
      <c r="Z35" s="40">
        <v>1</v>
      </c>
      <c r="AA35" s="41">
        <f>E35+G35+I35+K35+M35+O35+Q35+S35+U35+W35+Y35</f>
        <v>522.88599999999997</v>
      </c>
      <c r="AB35" s="42">
        <f t="shared" si="43"/>
        <v>1</v>
      </c>
    </row>
    <row r="36" spans="1:34" ht="20" customHeight="1" x14ac:dyDescent="0.2">
      <c r="B36" s="2">
        <v>14</v>
      </c>
      <c r="C36" s="1" t="s">
        <v>57</v>
      </c>
      <c r="D36" s="4">
        <f>'CO SIF'!E35</f>
        <v>35.426625000000001</v>
      </c>
      <c r="E36" s="4">
        <f t="shared" si="35"/>
        <v>0</v>
      </c>
      <c r="F36" s="40">
        <v>0</v>
      </c>
      <c r="G36" s="4">
        <f t="shared" si="44"/>
        <v>0</v>
      </c>
      <c r="H36" s="40">
        <v>0</v>
      </c>
      <c r="I36" s="4">
        <f t="shared" si="45"/>
        <v>0</v>
      </c>
      <c r="J36" s="40">
        <v>0</v>
      </c>
      <c r="K36" s="4">
        <f t="shared" si="36"/>
        <v>0</v>
      </c>
      <c r="L36" s="40">
        <v>0</v>
      </c>
      <c r="M36" s="4">
        <f t="shared" si="37"/>
        <v>0</v>
      </c>
      <c r="N36" s="40">
        <v>0</v>
      </c>
      <c r="O36" s="4">
        <f t="shared" si="38"/>
        <v>0</v>
      </c>
      <c r="P36" s="40">
        <v>0</v>
      </c>
      <c r="Q36" s="4">
        <f t="shared" si="39"/>
        <v>0</v>
      </c>
      <c r="R36" s="40">
        <v>0</v>
      </c>
      <c r="S36" s="4">
        <f t="shared" si="40"/>
        <v>0</v>
      </c>
      <c r="T36" s="40">
        <v>0</v>
      </c>
      <c r="U36" s="4">
        <f t="shared" si="41"/>
        <v>0</v>
      </c>
      <c r="V36" s="40">
        <v>0</v>
      </c>
      <c r="W36" s="4">
        <f t="shared" si="42"/>
        <v>0</v>
      </c>
      <c r="X36" s="40">
        <v>0</v>
      </c>
      <c r="Y36" s="4">
        <f>Z36*D36</f>
        <v>35.426625000000001</v>
      </c>
      <c r="Z36" s="40">
        <v>1</v>
      </c>
      <c r="AA36" s="41">
        <f>E36+G36+I36+K36+M36+O36+Q36+S36+U36+W36+Y36</f>
        <v>35.426625000000001</v>
      </c>
      <c r="AB36" s="42">
        <f t="shared" si="43"/>
        <v>1</v>
      </c>
    </row>
    <row r="37" spans="1:34" ht="20" customHeight="1" x14ac:dyDescent="0.2">
      <c r="A37" s="14"/>
      <c r="B37" s="2">
        <v>15</v>
      </c>
      <c r="C37" s="1" t="s">
        <v>56</v>
      </c>
      <c r="D37" s="4">
        <f>'CO SIF'!E36</f>
        <v>194.81238400000001</v>
      </c>
      <c r="E37" s="4">
        <f t="shared" si="35"/>
        <v>0</v>
      </c>
      <c r="F37" s="40">
        <v>0</v>
      </c>
      <c r="G37" s="4">
        <f t="shared" si="44"/>
        <v>0</v>
      </c>
      <c r="H37" s="40">
        <v>0</v>
      </c>
      <c r="I37" s="4">
        <f t="shared" si="45"/>
        <v>0</v>
      </c>
      <c r="J37" s="40">
        <v>0</v>
      </c>
      <c r="K37" s="4">
        <f t="shared" si="36"/>
        <v>0</v>
      </c>
      <c r="L37" s="40">
        <v>0</v>
      </c>
      <c r="M37" s="4">
        <f t="shared" si="37"/>
        <v>0</v>
      </c>
      <c r="N37" s="40">
        <v>0</v>
      </c>
      <c r="O37" s="4">
        <f t="shared" si="38"/>
        <v>0</v>
      </c>
      <c r="P37" s="40">
        <v>0</v>
      </c>
      <c r="Q37" s="4">
        <f t="shared" si="39"/>
        <v>0</v>
      </c>
      <c r="R37" s="40">
        <v>0</v>
      </c>
      <c r="S37" s="4">
        <f t="shared" si="40"/>
        <v>0</v>
      </c>
      <c r="T37" s="40">
        <v>0</v>
      </c>
      <c r="U37" s="4">
        <f t="shared" si="41"/>
        <v>0</v>
      </c>
      <c r="V37" s="40">
        <v>0</v>
      </c>
      <c r="W37" s="4">
        <f t="shared" si="42"/>
        <v>0</v>
      </c>
      <c r="X37" s="40">
        <v>0</v>
      </c>
      <c r="Y37" s="4">
        <f>Z37*D37</f>
        <v>194.81238400000001</v>
      </c>
      <c r="Z37" s="40">
        <v>1</v>
      </c>
      <c r="AA37" s="41">
        <f>E37+G37+I37+K37+M37+O37+Q37+S37+U37+W37+Y37</f>
        <v>194.81238400000001</v>
      </c>
      <c r="AB37" s="42">
        <f t="shared" si="43"/>
        <v>1</v>
      </c>
    </row>
    <row r="38" spans="1:34" ht="20" customHeight="1" x14ac:dyDescent="0.2">
      <c r="B38" s="2">
        <v>16</v>
      </c>
      <c r="C38" s="1" t="s">
        <v>57</v>
      </c>
      <c r="D38" s="4">
        <f>'CO SIF'!E37</f>
        <v>16.532425</v>
      </c>
      <c r="E38" s="4">
        <f t="shared" si="35"/>
        <v>0</v>
      </c>
      <c r="F38" s="40">
        <v>0</v>
      </c>
      <c r="G38" s="4">
        <f t="shared" si="44"/>
        <v>0</v>
      </c>
      <c r="H38" s="40">
        <v>0</v>
      </c>
      <c r="I38" s="4">
        <f t="shared" si="45"/>
        <v>0</v>
      </c>
      <c r="J38" s="40">
        <v>0</v>
      </c>
      <c r="K38" s="4">
        <f t="shared" si="36"/>
        <v>0</v>
      </c>
      <c r="L38" s="40">
        <v>0</v>
      </c>
      <c r="M38" s="4">
        <f t="shared" si="37"/>
        <v>0</v>
      </c>
      <c r="N38" s="40">
        <v>0</v>
      </c>
      <c r="O38" s="4">
        <f t="shared" si="38"/>
        <v>0</v>
      </c>
      <c r="P38" s="40">
        <v>0</v>
      </c>
      <c r="Q38" s="4">
        <f t="shared" si="39"/>
        <v>0</v>
      </c>
      <c r="R38" s="40">
        <v>0</v>
      </c>
      <c r="S38" s="4">
        <f t="shared" si="40"/>
        <v>0</v>
      </c>
      <c r="T38" s="40">
        <v>0</v>
      </c>
      <c r="U38" s="4">
        <f t="shared" si="41"/>
        <v>0</v>
      </c>
      <c r="V38" s="40">
        <v>0</v>
      </c>
      <c r="W38" s="4">
        <f t="shared" si="42"/>
        <v>0</v>
      </c>
      <c r="X38" s="40">
        <v>0</v>
      </c>
      <c r="Y38" s="4">
        <f>Z38*D38</f>
        <v>16.532425</v>
      </c>
      <c r="Z38" s="40">
        <v>1</v>
      </c>
      <c r="AA38" s="41">
        <f>E38+G38+I38+K38+M38+O38+Q38+S38+U38+W38+Y38</f>
        <v>16.532425</v>
      </c>
      <c r="AB38" s="42">
        <f t="shared" si="43"/>
        <v>1</v>
      </c>
    </row>
    <row r="39" spans="1:34" ht="20" customHeight="1" x14ac:dyDescent="0.2">
      <c r="B39" s="2">
        <v>17</v>
      </c>
      <c r="C39" s="1" t="s">
        <v>56</v>
      </c>
      <c r="D39" s="4">
        <f>'CO SIF'!E38</f>
        <v>104.5772</v>
      </c>
      <c r="E39" s="4">
        <f t="shared" si="35"/>
        <v>0</v>
      </c>
      <c r="F39" s="40">
        <v>0</v>
      </c>
      <c r="G39" s="4">
        <f t="shared" si="44"/>
        <v>0</v>
      </c>
      <c r="H39" s="40">
        <v>0</v>
      </c>
      <c r="I39" s="4">
        <f t="shared" si="45"/>
        <v>0</v>
      </c>
      <c r="J39" s="40">
        <v>0</v>
      </c>
      <c r="K39" s="4">
        <f t="shared" si="36"/>
        <v>0</v>
      </c>
      <c r="L39" s="40">
        <v>0</v>
      </c>
      <c r="M39" s="4">
        <f t="shared" si="37"/>
        <v>0</v>
      </c>
      <c r="N39" s="40">
        <v>0</v>
      </c>
      <c r="O39" s="4">
        <f t="shared" si="38"/>
        <v>0</v>
      </c>
      <c r="P39" s="40">
        <v>0</v>
      </c>
      <c r="Q39" s="4">
        <f t="shared" si="39"/>
        <v>0</v>
      </c>
      <c r="R39" s="40">
        <v>0</v>
      </c>
      <c r="S39" s="4">
        <f t="shared" si="40"/>
        <v>0</v>
      </c>
      <c r="T39" s="40">
        <v>0</v>
      </c>
      <c r="U39" s="4">
        <f t="shared" si="41"/>
        <v>0</v>
      </c>
      <c r="V39" s="40">
        <v>0</v>
      </c>
      <c r="W39" s="4">
        <f t="shared" si="42"/>
        <v>0</v>
      </c>
      <c r="X39" s="40">
        <v>0</v>
      </c>
      <c r="Y39" s="4">
        <f>Z39*D39</f>
        <v>104.5772</v>
      </c>
      <c r="Z39" s="40">
        <v>1</v>
      </c>
      <c r="AA39" s="41">
        <f>E39+G39+I39+K39+M39+O39+Q39+S39+U39+W39+Y39</f>
        <v>104.5772</v>
      </c>
      <c r="AB39" s="42">
        <f t="shared" si="43"/>
        <v>1</v>
      </c>
    </row>
    <row r="40" spans="1:34" ht="20" customHeight="1" x14ac:dyDescent="0.2">
      <c r="C40" s="1" t="s">
        <v>85</v>
      </c>
      <c r="D40" s="4">
        <f>'CO SIF'!E39</f>
        <v>42.896425000000001</v>
      </c>
      <c r="E40" s="4">
        <f t="shared" si="35"/>
        <v>0</v>
      </c>
      <c r="F40" s="40">
        <v>0</v>
      </c>
      <c r="G40" s="4">
        <f t="shared" si="44"/>
        <v>0</v>
      </c>
      <c r="H40" s="40">
        <v>0</v>
      </c>
      <c r="I40" s="4">
        <f t="shared" si="45"/>
        <v>0</v>
      </c>
      <c r="J40" s="40">
        <v>0</v>
      </c>
      <c r="K40" s="4">
        <f t="shared" si="36"/>
        <v>0</v>
      </c>
      <c r="L40" s="40">
        <v>0</v>
      </c>
      <c r="M40" s="4">
        <f t="shared" si="37"/>
        <v>0</v>
      </c>
      <c r="N40" s="40">
        <v>0</v>
      </c>
      <c r="O40" s="4">
        <f t="shared" si="38"/>
        <v>0</v>
      </c>
      <c r="P40" s="40">
        <v>0</v>
      </c>
      <c r="Q40" s="4">
        <f t="shared" si="39"/>
        <v>0</v>
      </c>
      <c r="R40" s="40">
        <v>0</v>
      </c>
      <c r="S40" s="4">
        <f t="shared" si="40"/>
        <v>0</v>
      </c>
      <c r="T40" s="40">
        <v>0</v>
      </c>
      <c r="U40" s="4">
        <f>D40*V40</f>
        <v>0</v>
      </c>
      <c r="V40" s="40">
        <v>0</v>
      </c>
      <c r="W40" s="4">
        <f t="shared" ref="W40" si="46">D40*X40</f>
        <v>0</v>
      </c>
      <c r="X40" s="40">
        <v>0</v>
      </c>
      <c r="Y40" s="4">
        <f>Z40*D40</f>
        <v>42.896425000000001</v>
      </c>
      <c r="Z40" s="40">
        <v>1</v>
      </c>
      <c r="AA40" s="41">
        <f>E40+G40+I40+K40+M40+O40+Q40+S40+U40+W40+Y40</f>
        <v>42.896425000000001</v>
      </c>
      <c r="AB40" s="42">
        <f t="shared" si="43"/>
        <v>1</v>
      </c>
    </row>
    <row r="41" spans="1:34" ht="20" customHeight="1" x14ac:dyDescent="0.2">
      <c r="D41" s="4"/>
      <c r="E41" s="4"/>
      <c r="F41" s="40"/>
      <c r="G41" s="4"/>
      <c r="H41" s="40"/>
      <c r="I41" s="4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"/>
      <c r="V41" s="4"/>
      <c r="W41" s="4"/>
      <c r="X41" s="4"/>
      <c r="Y41" s="4"/>
      <c r="Z41" s="4"/>
      <c r="AA41" s="41"/>
      <c r="AB41" s="42"/>
    </row>
    <row r="42" spans="1:34" ht="20" customHeight="1" x14ac:dyDescent="0.2">
      <c r="C42" s="3" t="s">
        <v>53</v>
      </c>
      <c r="D42" s="19">
        <f>SUM(D33:D41)</f>
        <v>1227.786859</v>
      </c>
      <c r="E42" s="44">
        <f>SUM(E33:E41)</f>
        <v>0</v>
      </c>
      <c r="F42" s="43">
        <f>E42/D42</f>
        <v>0</v>
      </c>
      <c r="G42" s="44">
        <f>SUM(G33:G41)</f>
        <v>0</v>
      </c>
      <c r="H42" s="43">
        <f>G42/D42</f>
        <v>0</v>
      </c>
      <c r="I42" s="44">
        <f>SUM(I33:I41)</f>
        <v>0</v>
      </c>
      <c r="J42" s="43">
        <f>I42/D42</f>
        <v>0</v>
      </c>
      <c r="K42" s="44">
        <f>SUM(K34:K41)</f>
        <v>0</v>
      </c>
      <c r="L42" s="43">
        <f>K42/D42</f>
        <v>0</v>
      </c>
      <c r="M42" s="44">
        <f>SUM(M34:M41)</f>
        <v>0</v>
      </c>
      <c r="N42" s="43">
        <f>M42/D42</f>
        <v>0</v>
      </c>
      <c r="O42" s="44">
        <f>SUM(O34:O41)</f>
        <v>0</v>
      </c>
      <c r="P42" s="43">
        <f>O42/D42</f>
        <v>0</v>
      </c>
      <c r="Q42" s="44">
        <f>SUM(Q34:Q41)</f>
        <v>0</v>
      </c>
      <c r="R42" s="43">
        <f>Q42/D42</f>
        <v>0</v>
      </c>
      <c r="S42" s="44">
        <f>SUM(S34:S41)</f>
        <v>0</v>
      </c>
      <c r="T42" s="43">
        <f>S42/D42</f>
        <v>0</v>
      </c>
      <c r="U42" s="44">
        <f>SUM(U33:U40)</f>
        <v>0</v>
      </c>
      <c r="V42" s="43">
        <f>U42/D42</f>
        <v>0</v>
      </c>
      <c r="W42" s="44">
        <f>SUM(W33:W40)</f>
        <v>0</v>
      </c>
      <c r="X42" s="43">
        <f>W42/D42</f>
        <v>0</v>
      </c>
      <c r="Y42" s="44">
        <f>SUM(Y33:Y40)</f>
        <v>1227.786859</v>
      </c>
      <c r="Z42" s="43">
        <f>Y42/D42</f>
        <v>1</v>
      </c>
      <c r="AA42" s="19">
        <f>SUM(AA33:AA40)</f>
        <v>1227.786859</v>
      </c>
      <c r="AB42" s="45">
        <f>AA42/D42</f>
        <v>1</v>
      </c>
    </row>
    <row r="43" spans="1:34" ht="20" customHeight="1" x14ac:dyDescent="0.2">
      <c r="C43" s="51"/>
      <c r="D43" s="52"/>
      <c r="E43" s="4"/>
      <c r="F43" s="4"/>
      <c r="G43" s="4"/>
      <c r="I43" s="4"/>
      <c r="AA43" s="48">
        <f>D42-AA42</f>
        <v>0</v>
      </c>
      <c r="AB43" s="49">
        <f>AA43/D42</f>
        <v>0</v>
      </c>
    </row>
    <row r="44" spans="1:34" ht="20" customHeight="1" x14ac:dyDescent="0.2">
      <c r="C44" s="51"/>
      <c r="D44" s="52"/>
      <c r="E44" s="4"/>
      <c r="F44" s="4"/>
      <c r="G44" s="4"/>
      <c r="I44" s="4"/>
    </row>
    <row r="45" spans="1:34" ht="20" customHeight="1" x14ac:dyDescent="0.2">
      <c r="C45" s="27" t="s">
        <v>105</v>
      </c>
      <c r="D45" s="57">
        <f>D15+D25+D30+D42</f>
        <v>3797.3986082500005</v>
      </c>
      <c r="E45" s="80"/>
      <c r="F45" s="80"/>
      <c r="G45" s="80"/>
      <c r="H45" s="27" t="s">
        <v>106</v>
      </c>
      <c r="I45" s="77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57">
        <f>AA15+AA25+AA30+AA42</f>
        <v>3797.3986082500005</v>
      </c>
      <c r="AB45" s="79">
        <f>AA45/D45</f>
        <v>1</v>
      </c>
      <c r="AC45" s="57">
        <f>AC15+AC25+AC30+AC42</f>
        <v>433.64166300000005</v>
      </c>
      <c r="AD45" s="79">
        <f>AC45/D45</f>
        <v>0.11419440194081711</v>
      </c>
      <c r="AE45" s="57">
        <f>AE15+AE25+AE30+AE42</f>
        <v>1187.9581051</v>
      </c>
      <c r="AF45" s="79">
        <f>AE45/D45</f>
        <v>0.31283471335327123</v>
      </c>
      <c r="AG45" s="57">
        <f>AG15+AG25+AG30+AG42</f>
        <v>539.35693646250002</v>
      </c>
      <c r="AH45" s="79">
        <f>AG45/D45</f>
        <v>0.14203326858832399</v>
      </c>
    </row>
    <row r="46" spans="1:34" ht="20" customHeight="1" x14ac:dyDescent="0.2">
      <c r="C46" s="51"/>
      <c r="D46" s="52"/>
      <c r="E46" s="4"/>
      <c r="F46" s="4"/>
      <c r="G46" s="4"/>
      <c r="I46" s="4"/>
      <c r="AA46" s="48">
        <f>D45-AA45</f>
        <v>0</v>
      </c>
      <c r="AB46" s="49">
        <f>AA46/D45</f>
        <v>0</v>
      </c>
    </row>
    <row r="47" spans="1:34" ht="20" customHeight="1" x14ac:dyDescent="0.2">
      <c r="C47" s="51"/>
      <c r="D47" s="52"/>
      <c r="E47" s="4"/>
      <c r="F47" s="4"/>
      <c r="G47" s="4"/>
      <c r="I47" s="4"/>
    </row>
    <row r="48" spans="1:34" ht="20" customHeight="1" x14ac:dyDescent="0.2">
      <c r="A48" s="14" t="s">
        <v>108</v>
      </c>
      <c r="B48" s="14">
        <v>9</v>
      </c>
      <c r="C48" s="1" t="s">
        <v>107</v>
      </c>
      <c r="D48" s="4">
        <f>SUM('CO SIF'!D48:D50)</f>
        <v>107.19</v>
      </c>
      <c r="E48" s="4">
        <f t="shared" ref="E48:E58" si="47">D48*F48</f>
        <v>0</v>
      </c>
      <c r="F48" s="40">
        <v>0</v>
      </c>
      <c r="G48" s="4">
        <f>D48*H48</f>
        <v>107.19</v>
      </c>
      <c r="H48" s="40">
        <v>1</v>
      </c>
      <c r="I48" s="4">
        <f>J48*D48</f>
        <v>0</v>
      </c>
      <c r="J48" s="40">
        <v>0</v>
      </c>
      <c r="K48" s="4">
        <f>L48*D48</f>
        <v>0</v>
      </c>
      <c r="L48" s="40">
        <v>0</v>
      </c>
      <c r="M48" s="4">
        <f>N48*D48</f>
        <v>0</v>
      </c>
      <c r="N48" s="40">
        <v>0</v>
      </c>
      <c r="O48" s="4">
        <f>P48*D48</f>
        <v>0</v>
      </c>
      <c r="P48" s="40">
        <v>0</v>
      </c>
      <c r="Q48" s="4">
        <f>R48*L48</f>
        <v>0</v>
      </c>
      <c r="R48" s="40">
        <v>0</v>
      </c>
      <c r="S48" s="4">
        <f>T48*N48</f>
        <v>0</v>
      </c>
      <c r="T48" s="40">
        <v>0</v>
      </c>
      <c r="U48" s="4">
        <f>V48*P48</f>
        <v>0</v>
      </c>
      <c r="V48" s="40">
        <v>0</v>
      </c>
      <c r="W48" s="4">
        <f t="shared" ref="W48:W57" si="48">X48*D48</f>
        <v>0</v>
      </c>
      <c r="X48" s="40">
        <v>0</v>
      </c>
      <c r="Y48" s="4">
        <f>Z48*D48</f>
        <v>0</v>
      </c>
      <c r="Z48" s="40">
        <v>0</v>
      </c>
      <c r="AA48" s="41">
        <f>E48+G48+I48+K48+M48+O48+Q48+S48+U48+W48+Y48</f>
        <v>107.19</v>
      </c>
      <c r="AB48" s="42">
        <f t="shared" ref="AB48:AB58" si="49">AA48/D48</f>
        <v>1</v>
      </c>
    </row>
    <row r="49" spans="1:34" ht="20" customHeight="1" x14ac:dyDescent="0.2">
      <c r="A49" s="14"/>
      <c r="B49" s="14">
        <v>8</v>
      </c>
      <c r="C49" s="1" t="s">
        <v>107</v>
      </c>
      <c r="D49" s="4">
        <f>$D$48</f>
        <v>107.19</v>
      </c>
      <c r="E49" s="4">
        <f t="shared" si="47"/>
        <v>0</v>
      </c>
      <c r="F49" s="40">
        <v>0</v>
      </c>
      <c r="G49" s="4">
        <f>D49*H49</f>
        <v>107.19</v>
      </c>
      <c r="H49" s="40">
        <v>1</v>
      </c>
      <c r="I49" s="4">
        <f>J49*D49</f>
        <v>0</v>
      </c>
      <c r="J49" s="40">
        <v>0</v>
      </c>
      <c r="K49" s="4">
        <f t="shared" ref="K49:K58" si="50">L49*D49</f>
        <v>0</v>
      </c>
      <c r="L49" s="40">
        <v>0</v>
      </c>
      <c r="M49" s="4">
        <f t="shared" ref="M49:M58" si="51">N49*D49</f>
        <v>0</v>
      </c>
      <c r="N49" s="40">
        <v>0</v>
      </c>
      <c r="O49" s="4">
        <f t="shared" ref="O49:O58" si="52">P49*D49</f>
        <v>0</v>
      </c>
      <c r="P49" s="40">
        <v>0</v>
      </c>
      <c r="Q49" s="4">
        <f>R49*L49</f>
        <v>0</v>
      </c>
      <c r="R49" s="40">
        <v>0</v>
      </c>
      <c r="S49" s="4">
        <f>T49*N49</f>
        <v>0</v>
      </c>
      <c r="T49" s="40">
        <v>0</v>
      </c>
      <c r="U49" s="4">
        <f>V49*P49</f>
        <v>0</v>
      </c>
      <c r="V49" s="40">
        <v>0</v>
      </c>
      <c r="W49" s="4">
        <f t="shared" si="48"/>
        <v>0</v>
      </c>
      <c r="X49" s="40">
        <v>0</v>
      </c>
      <c r="Y49" s="4">
        <f>Z49*D49</f>
        <v>0</v>
      </c>
      <c r="Z49" s="40">
        <v>0</v>
      </c>
      <c r="AA49" s="41">
        <f>E49+G49+I49+K49+M49+O49+Q49+S49+U49+W49+Y49</f>
        <v>107.19</v>
      </c>
      <c r="AB49" s="42">
        <f t="shared" si="49"/>
        <v>1</v>
      </c>
    </row>
    <row r="50" spans="1:34" ht="20" customHeight="1" x14ac:dyDescent="0.2">
      <c r="B50" s="14">
        <v>7</v>
      </c>
      <c r="C50" s="1" t="s">
        <v>107</v>
      </c>
      <c r="D50" s="4">
        <f t="shared" ref="D50:D58" si="53">$D$48</f>
        <v>107.19</v>
      </c>
      <c r="E50" s="4">
        <f t="shared" si="47"/>
        <v>0</v>
      </c>
      <c r="F50" s="40">
        <v>0</v>
      </c>
      <c r="G50" s="4">
        <f t="shared" ref="G50:G58" si="54">D50*H50</f>
        <v>107.19</v>
      </c>
      <c r="H50" s="40">
        <v>1</v>
      </c>
      <c r="I50" s="4">
        <f t="shared" ref="I50:I58" si="55">J50*D50</f>
        <v>0</v>
      </c>
      <c r="J50" s="40">
        <v>0</v>
      </c>
      <c r="K50" s="4">
        <f t="shared" si="50"/>
        <v>0</v>
      </c>
      <c r="L50" s="40">
        <v>0</v>
      </c>
      <c r="M50" s="4">
        <f t="shared" si="51"/>
        <v>0</v>
      </c>
      <c r="N50" s="40">
        <v>0</v>
      </c>
      <c r="O50" s="4">
        <f t="shared" si="52"/>
        <v>0</v>
      </c>
      <c r="P50" s="40">
        <v>0</v>
      </c>
      <c r="Q50" s="4">
        <f t="shared" ref="Q50:Q58" si="56">R50*L50</f>
        <v>0</v>
      </c>
      <c r="R50" s="40">
        <v>0</v>
      </c>
      <c r="S50" s="4">
        <f t="shared" ref="S50:S58" si="57">T50*N50</f>
        <v>0</v>
      </c>
      <c r="T50" s="40">
        <v>0</v>
      </c>
      <c r="U50" s="4">
        <f t="shared" ref="U50:U58" si="58">V50*P50</f>
        <v>0</v>
      </c>
      <c r="V50" s="40">
        <v>0</v>
      </c>
      <c r="W50" s="4">
        <f t="shared" si="48"/>
        <v>0</v>
      </c>
      <c r="X50" s="40">
        <v>0</v>
      </c>
      <c r="Y50" s="4">
        <f>Z50*D50</f>
        <v>0</v>
      </c>
      <c r="Z50" s="40">
        <v>0</v>
      </c>
      <c r="AA50" s="41">
        <f>E50+G50+I50+K50+M50+O50+Q50+S50+U50+W50+Y50</f>
        <v>107.19</v>
      </c>
      <c r="AB50" s="42">
        <f t="shared" si="49"/>
        <v>1</v>
      </c>
    </row>
    <row r="51" spans="1:34" ht="20" customHeight="1" x14ac:dyDescent="0.2">
      <c r="B51" s="14">
        <v>6</v>
      </c>
      <c r="C51" s="1" t="s">
        <v>107</v>
      </c>
      <c r="D51" s="4">
        <f t="shared" si="53"/>
        <v>107.19</v>
      </c>
      <c r="E51" s="4">
        <f t="shared" si="47"/>
        <v>0</v>
      </c>
      <c r="F51" s="40">
        <v>0</v>
      </c>
      <c r="G51" s="4">
        <f t="shared" si="54"/>
        <v>0</v>
      </c>
      <c r="H51" s="40">
        <v>0</v>
      </c>
      <c r="I51" s="4">
        <f t="shared" si="55"/>
        <v>107.19</v>
      </c>
      <c r="J51" s="40">
        <v>1</v>
      </c>
      <c r="K51" s="4">
        <f t="shared" si="50"/>
        <v>0</v>
      </c>
      <c r="L51" s="40">
        <v>0</v>
      </c>
      <c r="M51" s="4">
        <f t="shared" si="51"/>
        <v>0</v>
      </c>
      <c r="N51" s="40">
        <v>0</v>
      </c>
      <c r="O51" s="4">
        <f t="shared" si="52"/>
        <v>0</v>
      </c>
      <c r="P51" s="40">
        <v>0</v>
      </c>
      <c r="Q51" s="4">
        <f t="shared" si="56"/>
        <v>0</v>
      </c>
      <c r="R51" s="40">
        <v>0</v>
      </c>
      <c r="S51" s="4">
        <f t="shared" si="57"/>
        <v>0</v>
      </c>
      <c r="T51" s="40">
        <v>0</v>
      </c>
      <c r="U51" s="4">
        <f t="shared" si="58"/>
        <v>0</v>
      </c>
      <c r="V51" s="40">
        <v>0</v>
      </c>
      <c r="W51" s="4">
        <f t="shared" si="48"/>
        <v>0</v>
      </c>
      <c r="X51" s="40">
        <v>0</v>
      </c>
      <c r="Y51" s="4">
        <f>Z51*D51</f>
        <v>0</v>
      </c>
      <c r="Z51" s="40">
        <v>0</v>
      </c>
      <c r="AA51" s="41">
        <f>E51+G51+I51+K51+M51+O51+Q51+S51+U51+W51+Y51</f>
        <v>107.19</v>
      </c>
      <c r="AB51" s="42">
        <f t="shared" si="49"/>
        <v>1</v>
      </c>
    </row>
    <row r="52" spans="1:34" ht="20" customHeight="1" x14ac:dyDescent="0.2">
      <c r="A52" s="14"/>
      <c r="B52" s="14">
        <v>5</v>
      </c>
      <c r="C52" s="1" t="s">
        <v>107</v>
      </c>
      <c r="D52" s="4">
        <f t="shared" si="53"/>
        <v>107.19</v>
      </c>
      <c r="E52" s="4">
        <f t="shared" si="47"/>
        <v>0</v>
      </c>
      <c r="F52" s="40">
        <v>0</v>
      </c>
      <c r="G52" s="4">
        <f t="shared" si="54"/>
        <v>0</v>
      </c>
      <c r="H52" s="40">
        <v>0</v>
      </c>
      <c r="I52" s="4">
        <f t="shared" si="55"/>
        <v>107.19</v>
      </c>
      <c r="J52" s="40">
        <v>1</v>
      </c>
      <c r="K52" s="4">
        <f t="shared" si="50"/>
        <v>0</v>
      </c>
      <c r="L52" s="40">
        <v>0</v>
      </c>
      <c r="M52" s="4">
        <f t="shared" si="51"/>
        <v>0</v>
      </c>
      <c r="N52" s="40">
        <v>0</v>
      </c>
      <c r="O52" s="4">
        <f t="shared" si="52"/>
        <v>0</v>
      </c>
      <c r="P52" s="40">
        <v>0</v>
      </c>
      <c r="Q52" s="4">
        <f t="shared" si="56"/>
        <v>0</v>
      </c>
      <c r="R52" s="40">
        <v>0</v>
      </c>
      <c r="S52" s="4">
        <f t="shared" si="57"/>
        <v>0</v>
      </c>
      <c r="T52" s="40">
        <v>0</v>
      </c>
      <c r="U52" s="4">
        <f t="shared" si="58"/>
        <v>0</v>
      </c>
      <c r="V52" s="40">
        <v>0</v>
      </c>
      <c r="W52" s="4">
        <f t="shared" si="48"/>
        <v>0</v>
      </c>
      <c r="X52" s="40">
        <v>0</v>
      </c>
      <c r="Y52" s="4">
        <f>Z52*D52</f>
        <v>0</v>
      </c>
      <c r="Z52" s="40">
        <v>0</v>
      </c>
      <c r="AA52" s="41">
        <f>E52+G52+I52+K52+M52+O52+Q52+S52+U52+W52+Y52</f>
        <v>107.19</v>
      </c>
      <c r="AB52" s="42">
        <f t="shared" si="49"/>
        <v>1</v>
      </c>
    </row>
    <row r="53" spans="1:34" ht="20" customHeight="1" x14ac:dyDescent="0.2">
      <c r="B53" s="14">
        <v>4</v>
      </c>
      <c r="C53" s="1" t="s">
        <v>107</v>
      </c>
      <c r="D53" s="4">
        <f t="shared" si="53"/>
        <v>107.19</v>
      </c>
      <c r="E53" s="4">
        <f t="shared" si="47"/>
        <v>0</v>
      </c>
      <c r="F53" s="40">
        <v>0</v>
      </c>
      <c r="G53" s="4">
        <f t="shared" si="54"/>
        <v>0</v>
      </c>
      <c r="H53" s="40">
        <v>0</v>
      </c>
      <c r="I53" s="4">
        <f t="shared" si="55"/>
        <v>53.594999999999999</v>
      </c>
      <c r="J53" s="40">
        <v>0.5</v>
      </c>
      <c r="K53" s="4">
        <f t="shared" si="50"/>
        <v>53.594999999999999</v>
      </c>
      <c r="L53" s="40">
        <v>0.5</v>
      </c>
      <c r="M53" s="4">
        <f t="shared" si="51"/>
        <v>0</v>
      </c>
      <c r="N53" s="40">
        <v>0</v>
      </c>
      <c r="O53" s="4">
        <f t="shared" si="52"/>
        <v>0</v>
      </c>
      <c r="P53" s="40">
        <v>0</v>
      </c>
      <c r="Q53" s="4">
        <f t="shared" si="56"/>
        <v>0</v>
      </c>
      <c r="R53" s="40">
        <v>0</v>
      </c>
      <c r="S53" s="4">
        <f t="shared" si="57"/>
        <v>0</v>
      </c>
      <c r="T53" s="40">
        <v>0</v>
      </c>
      <c r="U53" s="4">
        <f t="shared" si="58"/>
        <v>0</v>
      </c>
      <c r="V53" s="40">
        <v>0</v>
      </c>
      <c r="W53" s="4">
        <f t="shared" si="48"/>
        <v>0</v>
      </c>
      <c r="X53" s="40">
        <v>0</v>
      </c>
      <c r="Y53" s="4">
        <f>Z53*D53</f>
        <v>0</v>
      </c>
      <c r="Z53" s="40">
        <v>0</v>
      </c>
      <c r="AA53" s="41">
        <f>E53+G53+I53+K53+M53+O53+Q53+S53+U53+W53+Y53</f>
        <v>107.19</v>
      </c>
      <c r="AB53" s="42">
        <f t="shared" si="49"/>
        <v>1</v>
      </c>
    </row>
    <row r="54" spans="1:34" ht="20" customHeight="1" x14ac:dyDescent="0.2">
      <c r="B54" s="14">
        <v>3</v>
      </c>
      <c r="C54" s="1" t="s">
        <v>107</v>
      </c>
      <c r="D54" s="4">
        <f t="shared" si="53"/>
        <v>107.19</v>
      </c>
      <c r="E54" s="4">
        <f t="shared" si="47"/>
        <v>0</v>
      </c>
      <c r="F54" s="40">
        <v>0</v>
      </c>
      <c r="G54" s="4">
        <f t="shared" si="54"/>
        <v>0</v>
      </c>
      <c r="H54" s="40">
        <v>0</v>
      </c>
      <c r="I54" s="4">
        <f t="shared" si="55"/>
        <v>0</v>
      </c>
      <c r="J54" s="40">
        <v>0</v>
      </c>
      <c r="K54" s="4">
        <f t="shared" si="50"/>
        <v>107.19</v>
      </c>
      <c r="L54" s="40">
        <v>1</v>
      </c>
      <c r="M54" s="4">
        <f t="shared" si="51"/>
        <v>0</v>
      </c>
      <c r="N54" s="40">
        <v>0</v>
      </c>
      <c r="O54" s="4">
        <f t="shared" si="52"/>
        <v>0</v>
      </c>
      <c r="P54" s="40">
        <v>0</v>
      </c>
      <c r="Q54" s="4">
        <f t="shared" si="56"/>
        <v>0</v>
      </c>
      <c r="R54" s="40">
        <v>0</v>
      </c>
      <c r="S54" s="4">
        <f t="shared" si="57"/>
        <v>0</v>
      </c>
      <c r="T54" s="40">
        <v>0</v>
      </c>
      <c r="U54" s="4">
        <f t="shared" si="58"/>
        <v>0</v>
      </c>
      <c r="V54" s="40">
        <v>0</v>
      </c>
      <c r="W54" s="4">
        <f t="shared" si="48"/>
        <v>0</v>
      </c>
      <c r="X54" s="40">
        <v>0</v>
      </c>
      <c r="Y54" s="4">
        <f>Z54*D54</f>
        <v>0</v>
      </c>
      <c r="Z54" s="40">
        <v>0</v>
      </c>
      <c r="AA54" s="41">
        <f>E54+G54+I54+K54+M54+O54+Q54+S54+U54+W54+Y54</f>
        <v>107.19</v>
      </c>
      <c r="AB54" s="42">
        <f t="shared" si="49"/>
        <v>1</v>
      </c>
    </row>
    <row r="55" spans="1:34" ht="20" customHeight="1" x14ac:dyDescent="0.2">
      <c r="B55" s="14">
        <v>2</v>
      </c>
      <c r="C55" s="1" t="s">
        <v>107</v>
      </c>
      <c r="D55" s="4">
        <f t="shared" si="53"/>
        <v>107.19</v>
      </c>
      <c r="E55" s="4">
        <f t="shared" si="47"/>
        <v>0</v>
      </c>
      <c r="F55" s="40">
        <v>0</v>
      </c>
      <c r="G55" s="4">
        <f t="shared" si="54"/>
        <v>0</v>
      </c>
      <c r="H55" s="40">
        <v>0</v>
      </c>
      <c r="I55" s="4">
        <f t="shared" si="55"/>
        <v>0</v>
      </c>
      <c r="J55" s="40">
        <v>0</v>
      </c>
      <c r="K55" s="4">
        <f t="shared" si="50"/>
        <v>107.19</v>
      </c>
      <c r="L55" s="40">
        <v>1</v>
      </c>
      <c r="M55" s="4">
        <f t="shared" si="51"/>
        <v>0</v>
      </c>
      <c r="N55" s="40">
        <v>0</v>
      </c>
      <c r="O55" s="4">
        <f t="shared" si="52"/>
        <v>0</v>
      </c>
      <c r="P55" s="40">
        <v>0</v>
      </c>
      <c r="Q55" s="4">
        <f t="shared" si="56"/>
        <v>0</v>
      </c>
      <c r="R55" s="40">
        <v>0</v>
      </c>
      <c r="S55" s="4">
        <f t="shared" si="57"/>
        <v>0</v>
      </c>
      <c r="T55" s="40">
        <v>0</v>
      </c>
      <c r="U55" s="4">
        <f t="shared" si="58"/>
        <v>0</v>
      </c>
      <c r="V55" s="40">
        <v>0</v>
      </c>
      <c r="W55" s="4">
        <f t="shared" si="48"/>
        <v>0</v>
      </c>
      <c r="X55" s="40">
        <v>0</v>
      </c>
      <c r="Y55" s="4">
        <f>Z55*D55</f>
        <v>0</v>
      </c>
      <c r="Z55" s="40">
        <v>0</v>
      </c>
      <c r="AA55" s="41">
        <f>E55+G55+I55+K55+M55+O55+Q55+S55+U55+W55+Y55</f>
        <v>107.19</v>
      </c>
      <c r="AB55" s="42">
        <f t="shared" si="49"/>
        <v>1</v>
      </c>
    </row>
    <row r="56" spans="1:34" ht="20" customHeight="1" x14ac:dyDescent="0.2">
      <c r="B56" s="14">
        <v>1</v>
      </c>
      <c r="C56" s="1" t="s">
        <v>107</v>
      </c>
      <c r="D56" s="4">
        <f t="shared" si="53"/>
        <v>107.19</v>
      </c>
      <c r="E56" s="4">
        <f t="shared" si="47"/>
        <v>0</v>
      </c>
      <c r="F56" s="40">
        <v>0</v>
      </c>
      <c r="G56" s="4">
        <f t="shared" si="54"/>
        <v>0</v>
      </c>
      <c r="H56" s="40">
        <v>0</v>
      </c>
      <c r="I56" s="4">
        <f t="shared" si="55"/>
        <v>0</v>
      </c>
      <c r="J56" s="40">
        <v>0</v>
      </c>
      <c r="K56" s="4">
        <f t="shared" si="50"/>
        <v>0</v>
      </c>
      <c r="L56" s="40">
        <v>0</v>
      </c>
      <c r="M56" s="4">
        <f t="shared" si="51"/>
        <v>53.594999999999999</v>
      </c>
      <c r="N56" s="40">
        <v>0.5</v>
      </c>
      <c r="O56" s="4">
        <f t="shared" si="52"/>
        <v>0</v>
      </c>
      <c r="P56" s="40">
        <v>0</v>
      </c>
      <c r="Q56" s="4">
        <f t="shared" si="56"/>
        <v>0</v>
      </c>
      <c r="R56" s="40">
        <v>0</v>
      </c>
      <c r="S56" s="4">
        <f t="shared" si="57"/>
        <v>0</v>
      </c>
      <c r="T56" s="40">
        <v>0</v>
      </c>
      <c r="U56" s="4">
        <f t="shared" si="58"/>
        <v>0</v>
      </c>
      <c r="V56" s="40">
        <v>0</v>
      </c>
      <c r="W56" s="4">
        <f t="shared" si="48"/>
        <v>53.594999999999999</v>
      </c>
      <c r="X56" s="40">
        <v>0.5</v>
      </c>
      <c r="Y56" s="4">
        <f>Z56*D56</f>
        <v>0</v>
      </c>
      <c r="Z56" s="40">
        <v>0</v>
      </c>
      <c r="AA56" s="41">
        <f>E56+G56+I56+K56+M56+O56+Q56+S56+U56+W56+Y56</f>
        <v>107.19</v>
      </c>
      <c r="AB56" s="42">
        <f>AA56/D56</f>
        <v>1</v>
      </c>
    </row>
    <row r="57" spans="1:34" ht="20" customHeight="1" x14ac:dyDescent="0.2">
      <c r="B57" s="14" t="s">
        <v>103</v>
      </c>
      <c r="C57" s="1" t="s">
        <v>107</v>
      </c>
      <c r="D57" s="4">
        <f t="shared" si="53"/>
        <v>107.19</v>
      </c>
      <c r="E57" s="4">
        <f t="shared" si="47"/>
        <v>0</v>
      </c>
      <c r="F57" s="40">
        <v>0</v>
      </c>
      <c r="G57" s="4">
        <f t="shared" si="54"/>
        <v>0</v>
      </c>
      <c r="H57" s="40">
        <v>0</v>
      </c>
      <c r="I57" s="4">
        <f t="shared" si="55"/>
        <v>0</v>
      </c>
      <c r="J57" s="40">
        <v>0</v>
      </c>
      <c r="K57" s="4">
        <f t="shared" si="50"/>
        <v>0</v>
      </c>
      <c r="L57" s="40">
        <v>0</v>
      </c>
      <c r="M57" s="4">
        <f t="shared" si="51"/>
        <v>53.594999999999999</v>
      </c>
      <c r="N57" s="40">
        <v>0.5</v>
      </c>
      <c r="O57" s="4">
        <f t="shared" si="52"/>
        <v>0</v>
      </c>
      <c r="P57" s="40">
        <v>0</v>
      </c>
      <c r="Q57" s="4">
        <f t="shared" si="56"/>
        <v>0</v>
      </c>
      <c r="R57" s="40">
        <v>0</v>
      </c>
      <c r="S57" s="4">
        <f t="shared" si="57"/>
        <v>0</v>
      </c>
      <c r="T57" s="40">
        <v>0</v>
      </c>
      <c r="U57" s="4">
        <f t="shared" si="58"/>
        <v>0</v>
      </c>
      <c r="V57" s="40">
        <v>0</v>
      </c>
      <c r="W57" s="4">
        <f t="shared" si="48"/>
        <v>0</v>
      </c>
      <c r="X57" s="40">
        <v>0</v>
      </c>
      <c r="Y57" s="4">
        <f>Z57*D57</f>
        <v>53.594999999999999</v>
      </c>
      <c r="Z57" s="40">
        <v>0.5</v>
      </c>
      <c r="AA57" s="41">
        <f>E57+G57+I57+K57+M57+O57+Q57+S57+U57+W57+Y57</f>
        <v>107.19</v>
      </c>
      <c r="AB57" s="42">
        <f t="shared" si="49"/>
        <v>1</v>
      </c>
    </row>
    <row r="58" spans="1:34" ht="20" customHeight="1" x14ac:dyDescent="0.2">
      <c r="B58" s="14" t="s">
        <v>104</v>
      </c>
      <c r="C58" s="1" t="s">
        <v>107</v>
      </c>
      <c r="D58" s="4">
        <f t="shared" si="53"/>
        <v>107.19</v>
      </c>
      <c r="E58" s="4">
        <f t="shared" si="47"/>
        <v>0</v>
      </c>
      <c r="F58" s="40">
        <v>0</v>
      </c>
      <c r="G58" s="4">
        <f t="shared" si="54"/>
        <v>0</v>
      </c>
      <c r="H58" s="40">
        <v>0</v>
      </c>
      <c r="I58" s="4">
        <f t="shared" si="55"/>
        <v>0</v>
      </c>
      <c r="J58" s="40">
        <v>0</v>
      </c>
      <c r="K58" s="4">
        <f t="shared" si="50"/>
        <v>0</v>
      </c>
      <c r="L58" s="40">
        <v>0</v>
      </c>
      <c r="M58" s="4">
        <f t="shared" si="51"/>
        <v>53.594999999999999</v>
      </c>
      <c r="N58" s="40">
        <v>0.5</v>
      </c>
      <c r="O58" s="4">
        <f t="shared" si="52"/>
        <v>0</v>
      </c>
      <c r="P58" s="40">
        <v>0</v>
      </c>
      <c r="Q58" s="4">
        <f t="shared" si="56"/>
        <v>0</v>
      </c>
      <c r="R58" s="40">
        <v>0</v>
      </c>
      <c r="S58" s="4">
        <f t="shared" si="57"/>
        <v>0</v>
      </c>
      <c r="T58" s="40">
        <v>0</v>
      </c>
      <c r="U58" s="4">
        <f t="shared" si="58"/>
        <v>0</v>
      </c>
      <c r="V58" s="40">
        <v>0</v>
      </c>
      <c r="W58" s="4">
        <f t="shared" ref="W58" si="59">X58*D58</f>
        <v>0</v>
      </c>
      <c r="X58" s="40">
        <v>0</v>
      </c>
      <c r="Y58" s="4">
        <f>Z58*D58</f>
        <v>53.594999999999999</v>
      </c>
      <c r="Z58" s="40">
        <v>0.5</v>
      </c>
      <c r="AA58" s="41">
        <f>E58+G58+I58+K58+M58+O58+Q58+S58+U58+W58+Y58</f>
        <v>107.19</v>
      </c>
      <c r="AB58" s="42">
        <f t="shared" si="49"/>
        <v>1</v>
      </c>
    </row>
    <row r="59" spans="1:34" ht="20" customHeight="1" x14ac:dyDescent="0.2">
      <c r="B59" s="14"/>
      <c r="D59" s="4"/>
      <c r="E59" s="4"/>
      <c r="F59" s="40"/>
      <c r="G59" s="4"/>
      <c r="H59" s="40"/>
      <c r="I59" s="4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1"/>
      <c r="AB59" s="42"/>
    </row>
    <row r="60" spans="1:34" ht="20" customHeight="1" x14ac:dyDescent="0.2">
      <c r="C60" s="3" t="s">
        <v>53</v>
      </c>
      <c r="D60" s="19">
        <f>SUM(D48:D57)</f>
        <v>1071.9000000000003</v>
      </c>
      <c r="E60" s="44">
        <f>SUM(E48:E57)</f>
        <v>0</v>
      </c>
      <c r="F60" s="43">
        <f>E60/D60</f>
        <v>0</v>
      </c>
      <c r="G60" s="44">
        <f>SUM(G48:G57)</f>
        <v>321.57</v>
      </c>
      <c r="H60" s="43">
        <f>G60/D60</f>
        <v>0.29999999999999988</v>
      </c>
      <c r="I60" s="44">
        <f>SUM(I48:I57)</f>
        <v>267.97500000000002</v>
      </c>
      <c r="J60" s="43">
        <f>I60/D60</f>
        <v>0.24999999999999994</v>
      </c>
      <c r="K60" s="44">
        <f>SUM(K48:K57)</f>
        <v>267.97500000000002</v>
      </c>
      <c r="L60" s="43">
        <f>K60/D60</f>
        <v>0.24999999999999994</v>
      </c>
      <c r="M60" s="44">
        <f>SUM(M48:M57)</f>
        <v>107.19</v>
      </c>
      <c r="N60" s="43">
        <f>M60/D60</f>
        <v>9.9999999999999964E-2</v>
      </c>
      <c r="O60" s="44">
        <f>SUM(O48:O57)</f>
        <v>0</v>
      </c>
      <c r="P60" s="43">
        <f>O60/D60</f>
        <v>0</v>
      </c>
      <c r="Q60" s="44">
        <f>SUM(Q48:Q57)</f>
        <v>0</v>
      </c>
      <c r="R60" s="43">
        <f>Q60/D60</f>
        <v>0</v>
      </c>
      <c r="S60" s="44">
        <f>SUM(S48:S57)</f>
        <v>0</v>
      </c>
      <c r="T60" s="43">
        <f>S60/$D$60</f>
        <v>0</v>
      </c>
      <c r="U60" s="44">
        <f>SUM(U48:U57)</f>
        <v>0</v>
      </c>
      <c r="V60" s="43">
        <f>U60/$D$60</f>
        <v>0</v>
      </c>
      <c r="W60" s="44">
        <f>SUM(W48:W57)</f>
        <v>53.594999999999999</v>
      </c>
      <c r="X60" s="43">
        <f>W60/$D$60</f>
        <v>4.9999999999999982E-2</v>
      </c>
      <c r="Y60" s="44">
        <f>SUM(Y48:Y57)</f>
        <v>53.594999999999999</v>
      </c>
      <c r="Z60" s="43">
        <f>Y60/$D$60</f>
        <v>4.9999999999999982E-2</v>
      </c>
      <c r="AA60" s="19">
        <f>SUM(AA48:AA58)</f>
        <v>1179.0900000000004</v>
      </c>
      <c r="AB60" s="45">
        <f>AA60/D60</f>
        <v>1.1000000000000001</v>
      </c>
      <c r="AC60" s="44">
        <v>589.54999999999995</v>
      </c>
      <c r="AD60" s="43">
        <f>AC60/D60</f>
        <v>0.55000466461423625</v>
      </c>
      <c r="AE60" s="44">
        <f>AA60-AC60</f>
        <v>589.54000000000042</v>
      </c>
      <c r="AF60" s="43">
        <f>AE60/D60</f>
        <v>0.54999533538576384</v>
      </c>
      <c r="AG60" s="44">
        <f>AC60-AE60</f>
        <v>9.9999999995361577E-3</v>
      </c>
      <c r="AH60" s="43">
        <f>AG60/D60</f>
        <v>9.3292284723725669E-6</v>
      </c>
    </row>
    <row r="61" spans="1:34" ht="20" customHeight="1" x14ac:dyDescent="0.2">
      <c r="C61" s="51"/>
      <c r="D61" s="52"/>
      <c r="E61" s="4"/>
      <c r="F61" s="4"/>
      <c r="G61" s="4"/>
      <c r="I61" s="4"/>
      <c r="AA61" s="48">
        <f>D60-AA60</f>
        <v>-107.19000000000005</v>
      </c>
      <c r="AB61" s="49">
        <f>AA61/D60</f>
        <v>-0.10000000000000002</v>
      </c>
      <c r="AC61" s="7"/>
    </row>
    <row r="62" spans="1:34" ht="20" customHeight="1" x14ac:dyDescent="0.2">
      <c r="C62" s="51"/>
      <c r="D62" s="52"/>
      <c r="E62" s="4"/>
      <c r="F62" s="4"/>
      <c r="G62" s="4"/>
      <c r="I62" s="4"/>
    </row>
    <row r="63" spans="1:34" ht="20" customHeight="1" x14ac:dyDescent="0.2"/>
    <row r="64" spans="1:34" ht="20" customHeight="1" x14ac:dyDescent="0.2"/>
    <row r="65" spans="27:27" ht="20" customHeight="1" x14ac:dyDescent="0.2">
      <c r="AA65" s="7"/>
    </row>
    <row r="66" spans="27:27" ht="20" customHeight="1" x14ac:dyDescent="0.2"/>
    <row r="67" spans="27:27" ht="20" customHeight="1" x14ac:dyDescent="0.2"/>
    <row r="68" spans="27:27" ht="20" customHeight="1" x14ac:dyDescent="0.2"/>
    <row r="69" spans="27:27" ht="20" customHeight="1" x14ac:dyDescent="0.2"/>
    <row r="70" spans="27:27" ht="20" customHeight="1" x14ac:dyDescent="0.2"/>
  </sheetData>
  <mergeCells count="27">
    <mergeCell ref="W7:X7"/>
    <mergeCell ref="W8:X8"/>
    <mergeCell ref="Y7:Z7"/>
    <mergeCell ref="Y8:Z8"/>
    <mergeCell ref="A6:I6"/>
    <mergeCell ref="E7:F7"/>
    <mergeCell ref="G7:H7"/>
    <mergeCell ref="I7:J7"/>
    <mergeCell ref="E8:F8"/>
    <mergeCell ref="G8:H8"/>
    <mergeCell ref="I8:J8"/>
    <mergeCell ref="AG8:AH8"/>
    <mergeCell ref="K7:L7"/>
    <mergeCell ref="M7:N7"/>
    <mergeCell ref="O7:P7"/>
    <mergeCell ref="Q7:R7"/>
    <mergeCell ref="K8:L8"/>
    <mergeCell ref="M8:N8"/>
    <mergeCell ref="O8:P8"/>
    <mergeCell ref="Q8:R8"/>
    <mergeCell ref="AC8:AD8"/>
    <mergeCell ref="AE8:AF8"/>
    <mergeCell ref="S7:T7"/>
    <mergeCell ref="S8:T8"/>
    <mergeCell ref="AA8:AB8"/>
    <mergeCell ref="U7:V7"/>
    <mergeCell ref="U8:V8"/>
  </mergeCells>
  <phoneticPr fontId="6" type="noConversion"/>
  <pageMargins left="0.7" right="0.7" top="0.75" bottom="0.75" header="0.3" footer="0.3"/>
  <pageSetup scale="37" orientation="landscape" r:id="rId1"/>
  <colBreaks count="1" manualBreakCount="1">
    <brk id="28" max="6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Acta Av Obra 01-nov 2025</vt:lpstr>
      <vt:lpstr>Acta Av Obra 02 - dic 15 2025</vt:lpstr>
      <vt:lpstr>Acta Av Obra 03 - ene 21 2026</vt:lpstr>
      <vt:lpstr>Estado de la Obra</vt:lpstr>
      <vt:lpstr>CO</vt:lpstr>
      <vt:lpstr>CO SIF</vt:lpstr>
      <vt:lpstr>Lavado</vt:lpstr>
      <vt:lpstr>Sellos</vt:lpstr>
      <vt:lpstr>Graniplast</vt:lpstr>
      <vt:lpstr>Pintura</vt:lpstr>
      <vt:lpstr>'Estado de la Obra'!Área_de_impresión</vt:lpstr>
      <vt:lpstr>Graniplast!Área_de_impresión</vt:lpstr>
      <vt:lpstr>Lavado!Área_de_impresión</vt:lpstr>
      <vt:lpstr>Pintura!Área_de_impresión</vt:lpstr>
      <vt:lpstr>Sellos!Área_de_impresión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Betancourt</dc:creator>
  <cp:lastModifiedBy>Renso Montoya Upegui</cp:lastModifiedBy>
  <cp:lastPrinted>2025-12-13T15:26:03Z</cp:lastPrinted>
  <dcterms:created xsi:type="dcterms:W3CDTF">2025-08-09T21:05:26Z</dcterms:created>
  <dcterms:modified xsi:type="dcterms:W3CDTF">2026-03-11T22:32:36Z</dcterms:modified>
</cp:coreProperties>
</file>