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0BABE25A-1540-4712-8E55-A376BF7C8CD7}" xr6:coauthVersionLast="47" xr6:coauthVersionMax="47" xr10:uidLastSave="{00000000-0000-0000-0000-000000000000}"/>
  <bookViews>
    <workbookView xWindow="-108" yWindow="-108" windowWidth="23256" windowHeight="12456" tabRatio="603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80" i="1" l="1"/>
  <c r="O88" i="1"/>
  <c r="O78" i="1"/>
  <c r="O80" i="1"/>
  <c r="S80" i="1"/>
  <c r="S71" i="1"/>
  <c r="T9" i="1"/>
  <c r="T10" i="1"/>
  <c r="T11" i="1"/>
  <c r="T14" i="1"/>
  <c r="T15" i="1"/>
  <c r="T18" i="1"/>
  <c r="T19" i="1"/>
  <c r="T20" i="1"/>
  <c r="T22" i="1"/>
  <c r="T23" i="1"/>
  <c r="T24" i="1"/>
  <c r="T26" i="1"/>
  <c r="T27" i="1"/>
  <c r="T28" i="1"/>
  <c r="T30" i="1"/>
  <c r="T31" i="1"/>
  <c r="T32" i="1"/>
  <c r="T35" i="1"/>
  <c r="T38" i="1"/>
  <c r="T39" i="1"/>
  <c r="T40" i="1"/>
  <c r="T42" i="1"/>
  <c r="T43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60" i="1"/>
  <c r="T61" i="1"/>
  <c r="T63" i="1"/>
  <c r="T64" i="1"/>
  <c r="T65" i="1"/>
  <c r="T66" i="1"/>
  <c r="T67" i="1"/>
  <c r="T68" i="1"/>
  <c r="T69" i="1"/>
  <c r="T70" i="1"/>
  <c r="T72" i="1"/>
  <c r="T73" i="1"/>
  <c r="Q35" i="1"/>
  <c r="Q34" i="1"/>
  <c r="T34" i="1" s="1"/>
  <c r="Q33" i="1"/>
  <c r="T33" i="1" s="1"/>
  <c r="Q74" i="1"/>
  <c r="Q71" i="1"/>
  <c r="Q63" i="1"/>
  <c r="Q62" i="1"/>
  <c r="T62" i="1" s="1"/>
  <c r="Q32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3" i="1"/>
  <c r="R92" i="1"/>
  <c r="R94" i="1" s="1"/>
  <c r="R95" i="1" s="1"/>
  <c r="R66" i="1"/>
  <c r="R65" i="1"/>
  <c r="R64" i="1"/>
  <c r="R45" i="1"/>
  <c r="Q44" i="1"/>
  <c r="Q41" i="1"/>
  <c r="R41" i="1" s="1"/>
  <c r="Q37" i="1"/>
  <c r="R35" i="1"/>
  <c r="R33" i="1"/>
  <c r="Q25" i="1"/>
  <c r="R25" i="1" s="1"/>
  <c r="R21" i="1"/>
  <c r="Q21" i="1"/>
  <c r="Q17" i="1"/>
  <c r="R17" i="1" s="1"/>
  <c r="R15" i="1"/>
  <c r="R14" i="1"/>
  <c r="R11" i="1"/>
  <c r="R10" i="1"/>
  <c r="R9" i="1"/>
  <c r="S8" i="1"/>
  <c r="T44" i="1" l="1"/>
  <c r="R34" i="1"/>
  <c r="R37" i="1"/>
  <c r="S36" i="1"/>
  <c r="Q29" i="1"/>
  <c r="Q59" i="1"/>
  <c r="R59" i="1" l="1"/>
  <c r="S58" i="1" s="1"/>
  <c r="R29" i="1"/>
  <c r="P46" i="1" l="1"/>
  <c r="P47" i="1"/>
  <c r="P48" i="1"/>
  <c r="P49" i="1"/>
  <c r="P50" i="1"/>
  <c r="P51" i="1"/>
  <c r="P52" i="1"/>
  <c r="P53" i="1"/>
  <c r="P54" i="1"/>
  <c r="P55" i="1"/>
  <c r="P56" i="1"/>
  <c r="P57" i="1"/>
  <c r="M62" i="1" l="1"/>
  <c r="P62" i="1" s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3" i="1"/>
  <c r="N92" i="1"/>
  <c r="I13" i="1"/>
  <c r="E13" i="1"/>
  <c r="G11" i="1"/>
  <c r="N14" i="1"/>
  <c r="N15" i="1"/>
  <c r="N33" i="1"/>
  <c r="M44" i="1"/>
  <c r="M41" i="1" s="1"/>
  <c r="M37" i="1"/>
  <c r="I37" i="1"/>
  <c r="M32" i="1"/>
  <c r="P22" i="1"/>
  <c r="P23" i="1"/>
  <c r="P24" i="1"/>
  <c r="P26" i="1"/>
  <c r="P27" i="1"/>
  <c r="P28" i="1"/>
  <c r="P30" i="1"/>
  <c r="P31" i="1"/>
  <c r="P33" i="1"/>
  <c r="P34" i="1"/>
  <c r="P35" i="1"/>
  <c r="P38" i="1"/>
  <c r="P39" i="1"/>
  <c r="P40" i="1"/>
  <c r="P42" i="1"/>
  <c r="P43" i="1"/>
  <c r="P44" i="1"/>
  <c r="P45" i="1"/>
  <c r="P60" i="1"/>
  <c r="P61" i="1"/>
  <c r="P63" i="1"/>
  <c r="P64" i="1"/>
  <c r="P65" i="1"/>
  <c r="P66" i="1"/>
  <c r="P68" i="1"/>
  <c r="P69" i="1"/>
  <c r="P72" i="1"/>
  <c r="P73" i="1"/>
  <c r="P18" i="1"/>
  <c r="P19" i="1"/>
  <c r="P20" i="1"/>
  <c r="P14" i="1"/>
  <c r="P15" i="1"/>
  <c r="L18" i="1"/>
  <c r="M16" i="1"/>
  <c r="M17" i="1"/>
  <c r="M71" i="1"/>
  <c r="N66" i="1"/>
  <c r="N65" i="1"/>
  <c r="N64" i="1"/>
  <c r="M59" i="1"/>
  <c r="N45" i="1"/>
  <c r="N35" i="1"/>
  <c r="N34" i="1"/>
  <c r="M25" i="1"/>
  <c r="N25" i="1" s="1"/>
  <c r="M21" i="1"/>
  <c r="P11" i="1"/>
  <c r="N11" i="1"/>
  <c r="P10" i="1"/>
  <c r="N10" i="1"/>
  <c r="P9" i="1"/>
  <c r="N9" i="1"/>
  <c r="O8" i="1" s="1"/>
  <c r="M13" i="1" l="1"/>
  <c r="N13" i="1" s="1"/>
  <c r="Q16" i="1"/>
  <c r="N16" i="1"/>
  <c r="P13" i="1"/>
  <c r="N94" i="1"/>
  <c r="N95" i="1" s="1"/>
  <c r="P71" i="1"/>
  <c r="P16" i="1"/>
  <c r="N32" i="1"/>
  <c r="R32" i="1" s="1"/>
  <c r="N41" i="1"/>
  <c r="G13" i="1"/>
  <c r="N59" i="1"/>
  <c r="O58" i="1" s="1"/>
  <c r="M29" i="1"/>
  <c r="P32" i="1"/>
  <c r="N17" i="1"/>
  <c r="N21" i="1"/>
  <c r="N37" i="1"/>
  <c r="I71" i="1"/>
  <c r="I21" i="1"/>
  <c r="J66" i="1"/>
  <c r="J39" i="1"/>
  <c r="N39" i="1" s="1"/>
  <c r="R39" i="1" s="1"/>
  <c r="J65" i="1"/>
  <c r="J78" i="1"/>
  <c r="J77" i="1"/>
  <c r="J76" i="1"/>
  <c r="E71" i="1"/>
  <c r="L69" i="1"/>
  <c r="G69" i="1"/>
  <c r="L68" i="1"/>
  <c r="G68" i="1"/>
  <c r="L66" i="1"/>
  <c r="L65" i="1"/>
  <c r="L64" i="1"/>
  <c r="J64" i="1"/>
  <c r="E59" i="1"/>
  <c r="L45" i="1"/>
  <c r="J45" i="1"/>
  <c r="G45" i="1"/>
  <c r="L44" i="1"/>
  <c r="J44" i="1"/>
  <c r="N44" i="1" s="1"/>
  <c r="R44" i="1" s="1"/>
  <c r="L43" i="1"/>
  <c r="J43" i="1"/>
  <c r="N43" i="1" s="1"/>
  <c r="R43" i="1" s="1"/>
  <c r="L42" i="1"/>
  <c r="J42" i="1"/>
  <c r="N42" i="1" s="1"/>
  <c r="R42" i="1" s="1"/>
  <c r="I41" i="1"/>
  <c r="J41" i="1" s="1"/>
  <c r="E41" i="1"/>
  <c r="L40" i="1"/>
  <c r="J40" i="1"/>
  <c r="N40" i="1" s="1"/>
  <c r="R40" i="1" s="1"/>
  <c r="L38" i="1"/>
  <c r="J38" i="1"/>
  <c r="N38" i="1" s="1"/>
  <c r="R38" i="1" s="1"/>
  <c r="E37" i="1"/>
  <c r="T37" i="1" s="1"/>
  <c r="L35" i="1"/>
  <c r="J35" i="1"/>
  <c r="G35" i="1"/>
  <c r="L34" i="1"/>
  <c r="J34" i="1"/>
  <c r="G34" i="1"/>
  <c r="L33" i="1"/>
  <c r="J33" i="1"/>
  <c r="G33" i="1"/>
  <c r="L32" i="1"/>
  <c r="J32" i="1"/>
  <c r="G32" i="1"/>
  <c r="L31" i="1"/>
  <c r="J31" i="1"/>
  <c r="N31" i="1" s="1"/>
  <c r="R31" i="1" s="1"/>
  <c r="G31" i="1"/>
  <c r="L30" i="1"/>
  <c r="J30" i="1"/>
  <c r="N30" i="1" s="1"/>
  <c r="R30" i="1" s="1"/>
  <c r="G30" i="1"/>
  <c r="I29" i="1"/>
  <c r="E29" i="1"/>
  <c r="L28" i="1"/>
  <c r="J28" i="1"/>
  <c r="N28" i="1" s="1"/>
  <c r="R28" i="1" s="1"/>
  <c r="G28" i="1"/>
  <c r="L27" i="1"/>
  <c r="J27" i="1"/>
  <c r="N27" i="1" s="1"/>
  <c r="R27" i="1" s="1"/>
  <c r="G27" i="1"/>
  <c r="L26" i="1"/>
  <c r="J26" i="1"/>
  <c r="N26" i="1" s="1"/>
  <c r="R26" i="1" s="1"/>
  <c r="G26" i="1"/>
  <c r="I25" i="1"/>
  <c r="J25" i="1" s="1"/>
  <c r="E25" i="1"/>
  <c r="L24" i="1"/>
  <c r="J24" i="1"/>
  <c r="N24" i="1" s="1"/>
  <c r="R24" i="1" s="1"/>
  <c r="G24" i="1"/>
  <c r="L23" i="1"/>
  <c r="J23" i="1"/>
  <c r="N23" i="1" s="1"/>
  <c r="R23" i="1" s="1"/>
  <c r="G23" i="1"/>
  <c r="L22" i="1"/>
  <c r="J22" i="1"/>
  <c r="N22" i="1" s="1"/>
  <c r="R22" i="1" s="1"/>
  <c r="G22" i="1"/>
  <c r="E21" i="1"/>
  <c r="L20" i="1"/>
  <c r="J20" i="1"/>
  <c r="N20" i="1" s="1"/>
  <c r="R20" i="1" s="1"/>
  <c r="G20" i="1"/>
  <c r="L19" i="1"/>
  <c r="J19" i="1"/>
  <c r="N19" i="1" s="1"/>
  <c r="R19" i="1" s="1"/>
  <c r="G19" i="1"/>
  <c r="J18" i="1"/>
  <c r="N18" i="1" s="1"/>
  <c r="R18" i="1" s="1"/>
  <c r="G18" i="1"/>
  <c r="I17" i="1"/>
  <c r="E17" i="1"/>
  <c r="P17" i="1" s="1"/>
  <c r="L16" i="1"/>
  <c r="G16" i="1"/>
  <c r="G15" i="1"/>
  <c r="L14" i="1"/>
  <c r="G14" i="1"/>
  <c r="L11" i="1"/>
  <c r="J11" i="1"/>
  <c r="L10" i="1"/>
  <c r="J10" i="1"/>
  <c r="G10" i="1"/>
  <c r="L9" i="1"/>
  <c r="J9" i="1"/>
  <c r="G9" i="1"/>
  <c r="P59" i="1" l="1"/>
  <c r="T59" i="1"/>
  <c r="P41" i="1"/>
  <c r="T41" i="1"/>
  <c r="G21" i="1"/>
  <c r="T21" i="1"/>
  <c r="P25" i="1"/>
  <c r="T25" i="1"/>
  <c r="G29" i="1"/>
  <c r="T29" i="1"/>
  <c r="G17" i="1"/>
  <c r="T17" i="1"/>
  <c r="G71" i="1"/>
  <c r="H70" i="1" s="1"/>
  <c r="T71" i="1"/>
  <c r="R16" i="1"/>
  <c r="T16" i="1"/>
  <c r="Q13" i="1"/>
  <c r="J71" i="1"/>
  <c r="K71" i="1" s="1"/>
  <c r="P21" i="1"/>
  <c r="G37" i="1"/>
  <c r="P37" i="1"/>
  <c r="P29" i="1"/>
  <c r="N29" i="1"/>
  <c r="O12" i="1" s="1"/>
  <c r="H12" i="1"/>
  <c r="O36" i="1"/>
  <c r="L17" i="1"/>
  <c r="L29" i="1"/>
  <c r="H67" i="1"/>
  <c r="H8" i="1"/>
  <c r="G25" i="1"/>
  <c r="L21" i="1"/>
  <c r="L25" i="1"/>
  <c r="L37" i="1"/>
  <c r="L39" i="1"/>
  <c r="K8" i="1"/>
  <c r="J21" i="1"/>
  <c r="J17" i="1"/>
  <c r="L63" i="1"/>
  <c r="L62" i="1"/>
  <c r="G59" i="1"/>
  <c r="H58" i="1" s="1"/>
  <c r="L60" i="1"/>
  <c r="L15" i="1"/>
  <c r="J29" i="1"/>
  <c r="L61" i="1"/>
  <c r="I59" i="1"/>
  <c r="L41" i="1"/>
  <c r="G41" i="1"/>
  <c r="H36" i="1" s="1"/>
  <c r="R13" i="1" l="1"/>
  <c r="S12" i="1" s="1"/>
  <c r="T13" i="1"/>
  <c r="N71" i="1"/>
  <c r="O71" i="1"/>
  <c r="S75" i="1"/>
  <c r="O75" i="1"/>
  <c r="J37" i="1"/>
  <c r="K36" i="1" s="1"/>
  <c r="H75" i="1"/>
  <c r="J59" i="1"/>
  <c r="L59" i="1"/>
  <c r="J13" i="1"/>
  <c r="K12" i="1" s="1"/>
  <c r="L13" i="1"/>
  <c r="S78" i="1" l="1"/>
  <c r="S77" i="1"/>
  <c r="S76" i="1"/>
  <c r="H78" i="1"/>
  <c r="H80" i="1" s="1"/>
  <c r="H77" i="1"/>
  <c r="H76" i="1"/>
  <c r="K58" i="1"/>
  <c r="K75" i="1" s="1"/>
  <c r="S79" i="1" l="1"/>
  <c r="S81" i="1" s="1"/>
  <c r="K77" i="1"/>
  <c r="H79" i="1"/>
  <c r="H82" i="1" s="1"/>
  <c r="S82" i="1" l="1"/>
  <c r="S84" i="1"/>
  <c r="S83" i="1"/>
  <c r="K76" i="1"/>
  <c r="K78" i="1"/>
  <c r="O77" i="1"/>
  <c r="S85" i="1" l="1"/>
  <c r="O76" i="1"/>
  <c r="K79" i="1"/>
  <c r="K81" i="1" l="1"/>
  <c r="K83" i="1" s="1"/>
  <c r="O79" i="1"/>
  <c r="O81" i="1" s="1"/>
  <c r="K82" i="1"/>
  <c r="K84" i="1" l="1"/>
  <c r="K85" i="1" s="1"/>
  <c r="O82" i="1"/>
  <c r="O83" i="1"/>
  <c r="O84" i="1"/>
  <c r="O8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EMMANUEL</author>
    <author>Full name</author>
  </authors>
  <commentList>
    <comment ref="M16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COBRE EL 60%
</t>
        </r>
      </text>
    </comment>
    <comment ref="Q16" authorId="1" shapeId="0" xr:uid="{00000000-0006-0000-0000-000002000000}">
      <text>
        <r>
          <rPr>
            <b/>
            <sz val="9"/>
            <color indexed="81"/>
            <rFont val="Tahoma"/>
            <charset val="1"/>
          </rPr>
          <t>Full name:</t>
        </r>
        <r>
          <rPr>
            <sz val="9"/>
            <color indexed="81"/>
            <rFont val="Tahoma"/>
            <charset val="1"/>
          </rPr>
          <t xml:space="preserve">
se termina de cobrar 40%
</t>
        </r>
      </text>
    </comment>
    <comment ref="M32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CO BREA UN 40%</t>
        </r>
      </text>
    </comment>
    <comment ref="Q32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CO BREA UN 35%</t>
        </r>
      </text>
    </comment>
    <comment ref="M44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COBRA UN 60%</t>
        </r>
      </text>
    </comment>
    <comment ref="Q44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COBRA UN 60%</t>
        </r>
      </text>
    </comment>
    <comment ref="M62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PASAN FACHADAS DESDE LA 1 HASTA LA 15
</t>
        </r>
      </text>
    </comment>
    <comment ref="Q62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EMMANUEL:</t>
        </r>
        <r>
          <rPr>
            <sz val="9"/>
            <color indexed="81"/>
            <rFont val="Tahoma"/>
            <charset val="1"/>
          </rPr>
          <t xml:space="preserve">
SE PASAN FACHADAS DESDE LA 16 HASTA LA 30 al igual que puntos fijos 1 y 2
</t>
        </r>
      </text>
    </comment>
  </commentList>
</comments>
</file>

<file path=xl/sharedStrings.xml><?xml version="1.0" encoding="utf-8"?>
<sst xmlns="http://schemas.openxmlformats.org/spreadsheetml/2006/main" count="265" uniqueCount="142">
  <si>
    <t>PARQUE RESIDENCIAL ORO NEGRO ATARDECER</t>
  </si>
  <si>
    <t>Reparacion Integral de Areas Comunes</t>
  </si>
  <si>
    <t>Nombre del Proponente: Freshhouse SAS</t>
  </si>
  <si>
    <t>Ubicación del Proyecto: Calle 45 Norte # 13-90 Armenia-Quindío</t>
  </si>
  <si>
    <t>REFERENCIA DE ACTIVIDADES</t>
  </si>
  <si>
    <t>Valoracion de Actividades</t>
  </si>
  <si>
    <t>Capitulo</t>
  </si>
  <si>
    <t>Items</t>
  </si>
  <si>
    <t>ACTIVIDAD</t>
  </si>
  <si>
    <t>Unidad</t>
  </si>
  <si>
    <t>Cantidad</t>
  </si>
  <si>
    <t>Vr Unitario</t>
  </si>
  <si>
    <t>Vr Parcial</t>
  </si>
  <si>
    <t>Vr Capitulo</t>
  </si>
  <si>
    <t>Vr en Acta</t>
  </si>
  <si>
    <t>% ejecucion</t>
  </si>
  <si>
    <t>I</t>
  </si>
  <si>
    <t>Preliminares</t>
  </si>
  <si>
    <t>I.1</t>
  </si>
  <si>
    <t>Campamento de Obra</t>
  </si>
  <si>
    <t>Gl</t>
  </si>
  <si>
    <t>I.2</t>
  </si>
  <si>
    <t>Inspeccion Tecnica General</t>
  </si>
  <si>
    <t>I.3</t>
  </si>
  <si>
    <t>Señalizacion y Seguridad en Obra</t>
  </si>
  <si>
    <t>II</t>
  </si>
  <si>
    <t>Preparacion general de Superficies</t>
  </si>
  <si>
    <t>II.1</t>
  </si>
  <si>
    <t>Lavada general de Fachadas de los bloques de aptos</t>
  </si>
  <si>
    <t>M2</t>
  </si>
  <si>
    <t>II.1.1</t>
  </si>
  <si>
    <t>Bloque A</t>
  </si>
  <si>
    <t>II.1.2</t>
  </si>
  <si>
    <t>Bloque B</t>
  </si>
  <si>
    <t>II.1.3</t>
  </si>
  <si>
    <t>Bloque C</t>
  </si>
  <si>
    <t>II.2</t>
  </si>
  <si>
    <t>Remocion y reemplazo de revoques quemados en fachadas de edificios</t>
  </si>
  <si>
    <t>II.2.1</t>
  </si>
  <si>
    <t>II.2.2</t>
  </si>
  <si>
    <t>II.2.3</t>
  </si>
  <si>
    <t>II.3</t>
  </si>
  <si>
    <t>Remocion y reemplazo de graniplast deteriorado en fachadas de los bloques de apartamentos</t>
  </si>
  <si>
    <t>II.3.1</t>
  </si>
  <si>
    <t>II.3.2</t>
  </si>
  <si>
    <t>II.3.3</t>
  </si>
  <si>
    <t>II.4</t>
  </si>
  <si>
    <t>Remocion y reemplazo de superboard en mal estado en los bloques de aptos</t>
  </si>
  <si>
    <t>II.4.1</t>
  </si>
  <si>
    <t>II.4.2</t>
  </si>
  <si>
    <t>II.4.3</t>
  </si>
  <si>
    <t>II.5</t>
  </si>
  <si>
    <t>Remocion y reemplazo de sellos en elementos vidriados DE FACHADA en los bloques de los apartamentos</t>
  </si>
  <si>
    <t>ML</t>
  </si>
  <si>
    <t>II.5.1</t>
  </si>
  <si>
    <t>II.5.2</t>
  </si>
  <si>
    <t>II.5.3</t>
  </si>
  <si>
    <t>II.6</t>
  </si>
  <si>
    <t>Lavada general de Muros de cerramiento en areas comunes</t>
  </si>
  <si>
    <t>II.7</t>
  </si>
  <si>
    <t>Remocion y reemplazo de revoques quemados en muros de cerramiento de las areas comunes</t>
  </si>
  <si>
    <t>II.8</t>
  </si>
  <si>
    <t>Remocion y reemplazo de graniplast deteriorado en muros de cerramiento de las areas comunes</t>
  </si>
  <si>
    <t>III</t>
  </si>
  <si>
    <t>Reparaciones preventivas</t>
  </si>
  <si>
    <t>III.1</t>
  </si>
  <si>
    <t>Instalacion de Cortagoteras de aluminio en balcones Y ACCESOS A LOS BLOQUES</t>
  </si>
  <si>
    <t>III.1.1</t>
  </si>
  <si>
    <t>III.1.2</t>
  </si>
  <si>
    <t>III.1.3</t>
  </si>
  <si>
    <t>III.2</t>
  </si>
  <si>
    <t>Tratamiento integral de alfajias y laterales en balcones</t>
  </si>
  <si>
    <t>III.2.1</t>
  </si>
  <si>
    <t>III.2.2</t>
  </si>
  <si>
    <t>III.2.3</t>
  </si>
  <si>
    <t>III.3</t>
  </si>
  <si>
    <t>Recorrido e intervencion integral en cubiertas de los bloques DE APTOS</t>
  </si>
  <si>
    <t>III.3.1</t>
  </si>
  <si>
    <t>III.3.1.1</t>
  </si>
  <si>
    <t>Cubierta en concreto</t>
  </si>
  <si>
    <t>III.3.1.2</t>
  </si>
  <si>
    <t xml:space="preserve"> Viga Canal Central</t>
  </si>
  <si>
    <t>III.3.1.3</t>
  </si>
  <si>
    <t>Alfajia de Coronacion</t>
  </si>
  <si>
    <t>III.3.2</t>
  </si>
  <si>
    <t>GL</t>
  </si>
  <si>
    <t>III.3.2.1</t>
  </si>
  <si>
    <t>III.3.2.2</t>
  </si>
  <si>
    <t>III.3.2.3</t>
  </si>
  <si>
    <t>III.3.3</t>
  </si>
  <si>
    <t>III.3.3.1</t>
  </si>
  <si>
    <t>III.3.3.2</t>
  </si>
  <si>
    <t>III.3.3.3</t>
  </si>
  <si>
    <t>IV</t>
  </si>
  <si>
    <t>Mantenimiento integral de superficies</t>
  </si>
  <si>
    <t>IV.1</t>
  </si>
  <si>
    <t>Pintura tipo koraza exterior en fachadas de los bloques y cerramientos del conjunto</t>
  </si>
  <si>
    <t>IV.1.1</t>
  </si>
  <si>
    <t>IV.1.2</t>
  </si>
  <si>
    <t>IV.1.3</t>
  </si>
  <si>
    <t>IV.1.4</t>
  </si>
  <si>
    <t>Muros de cerramiento en areas comunes</t>
  </si>
  <si>
    <t>V.2.1</t>
  </si>
  <si>
    <t>V.2.2</t>
  </si>
  <si>
    <t>V.2.3</t>
  </si>
  <si>
    <t>VI</t>
  </si>
  <si>
    <t>Actividades de entrega de la obra</t>
  </si>
  <si>
    <t>VI.1</t>
  </si>
  <si>
    <t>Detallada General de Obra</t>
  </si>
  <si>
    <t>VI.2</t>
  </si>
  <si>
    <t>Aseo y limpieza General con retiro de escombros</t>
  </si>
  <si>
    <t>OBRA NO PREVISTA</t>
  </si>
  <si>
    <t xml:space="preserve">Pintura de barandas metalicas exteriores en balcones </t>
  </si>
  <si>
    <t>Costo Directo MO+MAT</t>
  </si>
  <si>
    <t>CD mat + MO</t>
  </si>
  <si>
    <t>Administracion</t>
  </si>
  <si>
    <t>A</t>
  </si>
  <si>
    <t>Imprevistos</t>
  </si>
  <si>
    <t>Utilidad</t>
  </si>
  <si>
    <t>U</t>
  </si>
  <si>
    <t>COSTO INDIRECTO</t>
  </si>
  <si>
    <t>Total C directo antes de Iva</t>
  </si>
  <si>
    <t>Iva/Utilidad</t>
  </si>
  <si>
    <t>IVA/U</t>
  </si>
  <si>
    <t>Vr IVA</t>
  </si>
  <si>
    <t>Total Acta</t>
  </si>
  <si>
    <t>Valor Propuesta</t>
  </si>
  <si>
    <t>Retefuente</t>
  </si>
  <si>
    <t>Retegarantia</t>
  </si>
  <si>
    <t>Amort Anticipo</t>
  </si>
  <si>
    <t>Valor Desembolso</t>
  </si>
  <si>
    <t>Ing. Luis Fernando Marquez Jaramillo</t>
  </si>
  <si>
    <t>INTERVENTOR</t>
  </si>
  <si>
    <t>ACTA 3</t>
  </si>
  <si>
    <t>Obra ejecutada de  Oct 11 al 15 de Nov DE 2024 (SOBRE LAS 4 CARAS DEL EDIFICIO Bloq A)</t>
  </si>
  <si>
    <t>Fecha de Presentacion de Informe: Octubre 22 de 2024</t>
  </si>
  <si>
    <t>Cuadro con Cantidades y Precios Unitarios-Aprobacion de Actas-Acta # 03</t>
  </si>
  <si>
    <t>ACTA 4</t>
  </si>
  <si>
    <t>Obra ejecutada de  16 de Nov al 12 de Diciembre DE 2024 (SOBRE TORRE C)</t>
  </si>
  <si>
    <t>ACTA 5</t>
  </si>
  <si>
    <t>Obra ejecutada12 de Diciembre al 02 de enero de 2025(SOBRE TORRE C)</t>
  </si>
  <si>
    <t xml:space="preserve"> 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</si>
</sst>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24F11F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44" fontId="3" fillId="0" borderId="1" xfId="0" applyNumberFormat="1" applyFont="1" applyBorder="1" applyAlignment="1">
      <alignment vertical="center"/>
    </xf>
    <xf numFmtId="43" fontId="3" fillId="0" borderId="1" xfId="1" applyFont="1" applyFill="1" applyBorder="1" applyAlignment="1">
      <alignment vertical="center"/>
    </xf>
    <xf numFmtId="44" fontId="4" fillId="0" borderId="1" xfId="2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44" fontId="4" fillId="0" borderId="1" xfId="0" applyNumberFormat="1" applyFont="1" applyBorder="1" applyAlignment="1">
      <alignment vertical="center"/>
    </xf>
    <xf numFmtId="44" fontId="3" fillId="0" borderId="1" xfId="2" applyFont="1" applyFill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43" fontId="4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9" fontId="3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3" fillId="2" borderId="1" xfId="0" applyNumberFormat="1" applyFont="1" applyFill="1" applyBorder="1" applyAlignment="1">
      <alignment vertical="center"/>
    </xf>
    <xf numFmtId="0" fontId="4" fillId="0" borderId="1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9" fontId="3" fillId="0" borderId="6" xfId="3" applyFont="1" applyFill="1" applyBorder="1" applyAlignment="1">
      <alignment horizontal="center" vertical="center"/>
    </xf>
    <xf numFmtId="10" fontId="3" fillId="0" borderId="6" xfId="3" applyNumberFormat="1" applyFont="1" applyFill="1" applyBorder="1" applyAlignment="1">
      <alignment horizontal="center" vertical="center"/>
    </xf>
    <xf numFmtId="9" fontId="4" fillId="0" borderId="6" xfId="3" applyFont="1" applyFill="1" applyBorder="1" applyAlignment="1">
      <alignment horizontal="center" vertical="center"/>
    </xf>
    <xf numFmtId="165" fontId="4" fillId="0" borderId="6" xfId="3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44" fontId="3" fillId="2" borderId="8" xfId="0" applyNumberFormat="1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0" fontId="3" fillId="0" borderId="6" xfId="3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colors>
    <mruColors>
      <color rgb="FF24F1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519545</xdr:colOff>
      <xdr:row>74</xdr:row>
      <xdr:rowOff>294408</xdr:rowOff>
    </xdr:from>
    <xdr:to>
      <xdr:col>2</xdr:col>
      <xdr:colOff>4201225</xdr:colOff>
      <xdr:row>80</xdr:row>
      <xdr:rowOff>188833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2CEECE2-3702-4696-97C6-F9A28C13F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1363" y="20296908"/>
          <a:ext cx="3681680" cy="1712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109"/>
  <sheetViews>
    <sheetView tabSelected="1" zoomScale="47" zoomScaleNormal="70" workbookViewId="0">
      <pane xSplit="5" ySplit="7" topLeftCell="K73" activePane="bottomRight" state="frozen"/>
      <selection pane="topRight" activeCell="F1" sqref="F1"/>
      <selection pane="bottomLeft" activeCell="A8" sqref="A8"/>
      <selection pane="bottomRight" activeCell="S85" sqref="S85"/>
    </sheetView>
  </sheetViews>
  <sheetFormatPr baseColWidth="10" defaultColWidth="11.44140625" defaultRowHeight="14.4" outlineLevelRow="1" outlineLevelCol="1" x14ac:dyDescent="0.3"/>
  <cols>
    <col min="1" max="1" width="5.6640625" style="25" customWidth="1"/>
    <col min="2" max="2" width="8.109375" style="3" customWidth="1"/>
    <col min="3" max="3" width="87.109375" style="3" customWidth="1"/>
    <col min="4" max="4" width="11.6640625" style="3" bestFit="1" customWidth="1"/>
    <col min="5" max="5" width="23.5546875" style="3" bestFit="1" customWidth="1" outlineLevel="1"/>
    <col min="6" max="6" width="25.33203125" style="3" bestFit="1" customWidth="1" outlineLevel="1"/>
    <col min="7" max="8" width="29.33203125" style="3" bestFit="1" customWidth="1"/>
    <col min="9" max="9" width="21.33203125" style="3" customWidth="1"/>
    <col min="10" max="10" width="30.44140625" style="3" customWidth="1"/>
    <col min="11" max="11" width="29.33203125" style="3" bestFit="1" customWidth="1"/>
    <col min="12" max="12" width="18.5546875" style="3" bestFit="1" customWidth="1"/>
    <col min="13" max="13" width="20.33203125" style="3" customWidth="1"/>
    <col min="14" max="14" width="34.33203125" style="3" customWidth="1"/>
    <col min="15" max="15" width="47.6640625" style="3" customWidth="1"/>
    <col min="16" max="16" width="19" style="3" bestFit="1" customWidth="1"/>
    <col min="17" max="17" width="20.33203125" style="3" customWidth="1"/>
    <col min="18" max="18" width="34.33203125" style="3" customWidth="1"/>
    <col min="19" max="19" width="47.6640625" style="3" customWidth="1"/>
    <col min="20" max="20" width="19" style="3" bestFit="1" customWidth="1"/>
    <col min="21" max="16384" width="11.44140625" style="3"/>
  </cols>
  <sheetData>
    <row r="1" spans="1:20" ht="35.25" customHeight="1" x14ac:dyDescent="0.3">
      <c r="A1" s="56" t="s">
        <v>0</v>
      </c>
      <c r="B1" s="57"/>
      <c r="C1" s="57"/>
      <c r="D1" s="57"/>
      <c r="E1" s="57"/>
      <c r="F1" s="57"/>
      <c r="G1" s="57"/>
      <c r="H1" s="57"/>
      <c r="I1" s="28"/>
      <c r="J1" s="28"/>
      <c r="K1" s="28"/>
      <c r="L1" s="29"/>
      <c r="M1" s="28"/>
      <c r="N1" s="28"/>
      <c r="O1" s="28"/>
      <c r="P1" s="29"/>
      <c r="Q1" s="28"/>
      <c r="R1" s="28"/>
      <c r="S1" s="28"/>
      <c r="T1" s="29"/>
    </row>
    <row r="2" spans="1:20" ht="35.25" customHeight="1" x14ac:dyDescent="0.3">
      <c r="A2" s="58" t="s">
        <v>1</v>
      </c>
      <c r="B2" s="59"/>
      <c r="C2" s="59"/>
      <c r="D2" s="59"/>
      <c r="E2" s="59"/>
      <c r="F2" s="59"/>
      <c r="G2" s="59"/>
      <c r="H2" s="59"/>
      <c r="I2" s="2"/>
      <c r="J2" s="2"/>
      <c r="K2" s="2"/>
      <c r="L2" s="30"/>
      <c r="M2" s="2"/>
      <c r="N2" s="2"/>
      <c r="O2" s="2"/>
      <c r="P2" s="30"/>
      <c r="Q2" s="2"/>
      <c r="R2" s="2"/>
      <c r="S2" s="2"/>
      <c r="T2" s="30"/>
    </row>
    <row r="3" spans="1:20" ht="35.25" customHeight="1" x14ac:dyDescent="0.3">
      <c r="A3" s="58" t="s">
        <v>136</v>
      </c>
      <c r="B3" s="59"/>
      <c r="C3" s="59"/>
      <c r="D3" s="59"/>
      <c r="E3" s="59"/>
      <c r="F3" s="59"/>
      <c r="G3" s="59"/>
      <c r="H3" s="59"/>
      <c r="I3" s="2"/>
      <c r="J3" s="2"/>
      <c r="K3" s="2"/>
      <c r="L3" s="30"/>
      <c r="M3" s="2"/>
      <c r="N3" s="2"/>
      <c r="O3" s="2"/>
      <c r="P3" s="30"/>
      <c r="Q3" s="2"/>
      <c r="R3" s="2"/>
      <c r="S3" s="2"/>
      <c r="T3" s="30"/>
    </row>
    <row r="4" spans="1:20" ht="35.25" customHeight="1" x14ac:dyDescent="0.3">
      <c r="A4" s="58" t="s">
        <v>2</v>
      </c>
      <c r="B4" s="59"/>
      <c r="C4" s="59"/>
      <c r="D4" s="59"/>
      <c r="E4" s="59"/>
      <c r="F4" s="59"/>
      <c r="G4" s="59"/>
      <c r="H4" s="59"/>
      <c r="I4" s="2"/>
      <c r="J4" s="2"/>
      <c r="K4" s="2"/>
      <c r="L4" s="30"/>
      <c r="M4" s="2"/>
      <c r="N4" s="2"/>
      <c r="O4" s="2"/>
      <c r="P4" s="30"/>
      <c r="Q4" s="2"/>
      <c r="R4" s="2"/>
      <c r="S4" s="2"/>
      <c r="T4" s="30"/>
    </row>
    <row r="5" spans="1:20" ht="48.75" customHeight="1" x14ac:dyDescent="0.3">
      <c r="A5" s="53" t="s">
        <v>3</v>
      </c>
      <c r="B5" s="51"/>
      <c r="C5" s="51"/>
      <c r="D5" s="51"/>
      <c r="E5" s="60" t="s">
        <v>135</v>
      </c>
      <c r="F5" s="60"/>
      <c r="G5" s="60"/>
      <c r="H5" s="60"/>
      <c r="I5" s="54" t="s">
        <v>133</v>
      </c>
      <c r="J5" s="54"/>
      <c r="K5" s="54"/>
      <c r="L5" s="55"/>
      <c r="M5" s="45" t="s">
        <v>137</v>
      </c>
      <c r="N5" s="45"/>
      <c r="O5" s="45"/>
      <c r="P5" s="46"/>
      <c r="Q5" s="61" t="s">
        <v>139</v>
      </c>
      <c r="R5" s="61"/>
      <c r="S5" s="61"/>
      <c r="T5" s="62"/>
    </row>
    <row r="6" spans="1:20" ht="64.5" customHeight="1" x14ac:dyDescent="0.3">
      <c r="A6" s="53" t="s">
        <v>4</v>
      </c>
      <c r="B6" s="51"/>
      <c r="C6" s="51"/>
      <c r="D6" s="51"/>
      <c r="E6" s="51"/>
      <c r="F6" s="47" t="s">
        <v>5</v>
      </c>
      <c r="G6" s="47"/>
      <c r="H6" s="47"/>
      <c r="I6" s="47" t="s">
        <v>134</v>
      </c>
      <c r="J6" s="47"/>
      <c r="K6" s="47"/>
      <c r="L6" s="48"/>
      <c r="M6" s="47" t="s">
        <v>138</v>
      </c>
      <c r="N6" s="47"/>
      <c r="O6" s="47"/>
      <c r="P6" s="48"/>
      <c r="Q6" s="47" t="s">
        <v>140</v>
      </c>
      <c r="R6" s="47"/>
      <c r="S6" s="47"/>
      <c r="T6" s="48"/>
    </row>
    <row r="7" spans="1:20" ht="23.4" x14ac:dyDescent="0.3">
      <c r="A7" s="3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4" t="s">
        <v>10</v>
      </c>
      <c r="J7" s="4" t="s">
        <v>14</v>
      </c>
      <c r="K7" s="4" t="s">
        <v>13</v>
      </c>
      <c r="L7" s="32" t="s">
        <v>15</v>
      </c>
      <c r="M7" s="4" t="s">
        <v>10</v>
      </c>
      <c r="N7" s="4" t="s">
        <v>14</v>
      </c>
      <c r="O7" s="4" t="s">
        <v>13</v>
      </c>
      <c r="P7" s="32" t="s">
        <v>15</v>
      </c>
      <c r="Q7" s="4" t="s">
        <v>10</v>
      </c>
      <c r="R7" s="4" t="s">
        <v>14</v>
      </c>
      <c r="S7" s="4" t="s">
        <v>13</v>
      </c>
      <c r="T7" s="32" t="s">
        <v>15</v>
      </c>
    </row>
    <row r="8" spans="1:20" ht="23.4" x14ac:dyDescent="0.3">
      <c r="A8" s="31" t="s">
        <v>16</v>
      </c>
      <c r="B8" s="51" t="s">
        <v>17</v>
      </c>
      <c r="C8" s="51"/>
      <c r="D8" s="5"/>
      <c r="E8" s="5"/>
      <c r="F8" s="5"/>
      <c r="G8" s="5"/>
      <c r="H8" s="6">
        <f>+G9+G10+G11</f>
        <v>5370000</v>
      </c>
      <c r="I8" s="2"/>
      <c r="J8" s="2"/>
      <c r="K8" s="6">
        <f>+J9+J10+J11</f>
        <v>37000</v>
      </c>
      <c r="L8" s="30"/>
      <c r="M8" s="2"/>
      <c r="N8" s="2"/>
      <c r="O8" s="6">
        <f>+N9+N10+N11</f>
        <v>37000</v>
      </c>
      <c r="P8" s="30"/>
      <c r="Q8" s="2"/>
      <c r="R8" s="2"/>
      <c r="S8" s="6">
        <f>+R9+R10+R11</f>
        <v>37000</v>
      </c>
      <c r="T8" s="34"/>
    </row>
    <row r="9" spans="1:20" ht="23.4" x14ac:dyDescent="0.3">
      <c r="A9" s="33"/>
      <c r="B9" s="1" t="s">
        <v>18</v>
      </c>
      <c r="C9" s="2" t="s">
        <v>19</v>
      </c>
      <c r="D9" s="1" t="s">
        <v>20</v>
      </c>
      <c r="E9" s="7">
        <v>1</v>
      </c>
      <c r="F9" s="8">
        <v>4800000</v>
      </c>
      <c r="G9" s="8">
        <f>+E9*F9</f>
        <v>4800000</v>
      </c>
      <c r="H9" s="8"/>
      <c r="I9" s="2"/>
      <c r="J9" s="10">
        <f>+I9*$F$9</f>
        <v>0</v>
      </c>
      <c r="K9" s="10"/>
      <c r="L9" s="34">
        <f>+I9/$E$9</f>
        <v>0</v>
      </c>
      <c r="M9" s="2"/>
      <c r="N9" s="10">
        <f>+M9*$F$9</f>
        <v>0</v>
      </c>
      <c r="O9" s="10"/>
      <c r="P9" s="34">
        <f>+M9/$E$9</f>
        <v>0</v>
      </c>
      <c r="Q9" s="2"/>
      <c r="R9" s="10">
        <f>+Q9*$F$9</f>
        <v>0</v>
      </c>
      <c r="S9" s="10"/>
      <c r="T9" s="34">
        <f t="shared" ref="T9:T23" si="0">+Q9/E9</f>
        <v>0</v>
      </c>
    </row>
    <row r="10" spans="1:20" ht="23.4" x14ac:dyDescent="0.3">
      <c r="A10" s="33"/>
      <c r="B10" s="1" t="s">
        <v>21</v>
      </c>
      <c r="C10" s="2" t="s">
        <v>22</v>
      </c>
      <c r="D10" s="1" t="s">
        <v>20</v>
      </c>
      <c r="E10" s="7">
        <v>1</v>
      </c>
      <c r="F10" s="8">
        <v>200000</v>
      </c>
      <c r="G10" s="8">
        <f t="shared" ref="G10" si="1">+E10*F10</f>
        <v>200000</v>
      </c>
      <c r="H10" s="8"/>
      <c r="I10" s="2"/>
      <c r="J10" s="10">
        <f>+I10*$F$10</f>
        <v>0</v>
      </c>
      <c r="K10" s="10"/>
      <c r="L10" s="34">
        <f>+I10/$E$10</f>
        <v>0</v>
      </c>
      <c r="M10" s="2"/>
      <c r="N10" s="10">
        <f>+M10*$F$10</f>
        <v>0</v>
      </c>
      <c r="O10" s="10"/>
      <c r="P10" s="34">
        <f>+M10/$E$10</f>
        <v>0</v>
      </c>
      <c r="Q10" s="2"/>
      <c r="R10" s="10">
        <f>+Q10*$F$10</f>
        <v>0</v>
      </c>
      <c r="S10" s="10"/>
      <c r="T10" s="34">
        <f t="shared" si="0"/>
        <v>0</v>
      </c>
    </row>
    <row r="11" spans="1:20" ht="23.4" x14ac:dyDescent="0.3">
      <c r="A11" s="33"/>
      <c r="B11" s="1" t="s">
        <v>23</v>
      </c>
      <c r="C11" s="2" t="s">
        <v>24</v>
      </c>
      <c r="D11" s="1" t="s">
        <v>20</v>
      </c>
      <c r="E11" s="7">
        <v>1</v>
      </c>
      <c r="F11" s="8">
        <v>370000</v>
      </c>
      <c r="G11" s="8">
        <f>+E11*F11</f>
        <v>370000</v>
      </c>
      <c r="H11" s="8"/>
      <c r="I11" s="2">
        <v>0.1</v>
      </c>
      <c r="J11" s="10">
        <f>+I11*$F$11</f>
        <v>37000</v>
      </c>
      <c r="K11" s="10"/>
      <c r="L11" s="34">
        <f>+I11/$E$11</f>
        <v>0.1</v>
      </c>
      <c r="M11" s="2">
        <v>0.1</v>
      </c>
      <c r="N11" s="10">
        <f>+M11*$F$11</f>
        <v>37000</v>
      </c>
      <c r="O11" s="10"/>
      <c r="P11" s="34">
        <f>+M11/$E$11</f>
        <v>0.1</v>
      </c>
      <c r="Q11" s="2">
        <v>0.1</v>
      </c>
      <c r="R11" s="10">
        <f>+Q11*$F$11</f>
        <v>37000</v>
      </c>
      <c r="S11" s="10"/>
      <c r="T11" s="34">
        <f t="shared" si="0"/>
        <v>0.1</v>
      </c>
    </row>
    <row r="12" spans="1:20" ht="23.4" x14ac:dyDescent="0.3">
      <c r="A12" s="31" t="s">
        <v>25</v>
      </c>
      <c r="B12" s="51" t="s">
        <v>26</v>
      </c>
      <c r="C12" s="51"/>
      <c r="D12" s="4"/>
      <c r="E12" s="9"/>
      <c r="F12" s="2"/>
      <c r="G12" s="2"/>
      <c r="H12" s="6">
        <f>+G13+G17+G21+G25+G29+G33+G34+G35</f>
        <v>140985252.34</v>
      </c>
      <c r="I12" s="2"/>
      <c r="J12" s="2"/>
      <c r="K12" s="6">
        <f>+J13+J17+J21+J25+J29+J33+J34+J35</f>
        <v>25619058</v>
      </c>
      <c r="L12" s="30"/>
      <c r="M12" s="2"/>
      <c r="O12" s="6">
        <f>+N13+N17+N21+N25+N29+N33+N34+N35</f>
        <v>15574089.100000001</v>
      </c>
      <c r="P12" s="30"/>
      <c r="Q12" s="2"/>
      <c r="S12" s="6">
        <f>+R13+R17+R21+R25+R29+R33+R34+R35</f>
        <v>16698789.399999999</v>
      </c>
      <c r="T12" s="34"/>
    </row>
    <row r="13" spans="1:20" s="13" customFormat="1" ht="23.4" x14ac:dyDescent="0.3">
      <c r="A13" s="31"/>
      <c r="B13" s="1" t="s">
        <v>27</v>
      </c>
      <c r="C13" s="5" t="s">
        <v>28</v>
      </c>
      <c r="D13" s="1" t="s">
        <v>29</v>
      </c>
      <c r="E13" s="7">
        <f>+SUM(E14:E16)</f>
        <v>14052.914600000002</v>
      </c>
      <c r="F13" s="11">
        <v>2900</v>
      </c>
      <c r="G13" s="11">
        <f t="shared" ref="G13:G35" si="2">+E13*F13</f>
        <v>40753452.340000004</v>
      </c>
      <c r="H13" s="5"/>
      <c r="I13" s="7">
        <f>+SUM(I14:I16)</f>
        <v>4762.22</v>
      </c>
      <c r="J13" s="6">
        <f>+I13*$F$13</f>
        <v>13810438</v>
      </c>
      <c r="K13" s="5"/>
      <c r="L13" s="35">
        <f t="shared" ref="L13:L20" si="3">+I13/E13</f>
        <v>0.33887774426523587</v>
      </c>
      <c r="M13" s="12">
        <f>+M14+M15+M16</f>
        <v>2717.0790000000002</v>
      </c>
      <c r="N13" s="6">
        <f>+M13*$F$13</f>
        <v>7879529.1000000006</v>
      </c>
      <c r="O13" s="5"/>
      <c r="P13" s="35">
        <f t="shared" ref="P13:P57" si="4">+M13/E13</f>
        <v>0.19334629700233144</v>
      </c>
      <c r="Q13" s="12">
        <f>+Q14+Q15+Q16</f>
        <v>1811.386</v>
      </c>
      <c r="R13" s="6">
        <f>+Q13*$F$13</f>
        <v>5253019.3999999994</v>
      </c>
      <c r="S13" s="5"/>
      <c r="T13" s="34">
        <f t="shared" si="0"/>
        <v>0.12889753133488763</v>
      </c>
    </row>
    <row r="14" spans="1:20" ht="23.4" outlineLevel="1" x14ac:dyDescent="0.3">
      <c r="A14" s="33"/>
      <c r="B14" s="2" t="s">
        <v>30</v>
      </c>
      <c r="C14" s="2" t="s">
        <v>31</v>
      </c>
      <c r="D14" s="1" t="s">
        <v>29</v>
      </c>
      <c r="E14" s="9">
        <v>4762.2248000000009</v>
      </c>
      <c r="F14" s="2"/>
      <c r="G14" s="8">
        <f t="shared" si="2"/>
        <v>0</v>
      </c>
      <c r="H14" s="2"/>
      <c r="I14" s="2">
        <v>4762.22</v>
      </c>
      <c r="J14" s="10"/>
      <c r="K14" s="2"/>
      <c r="L14" s="36">
        <f t="shared" si="3"/>
        <v>0.99999899206774101</v>
      </c>
      <c r="M14" s="2"/>
      <c r="N14" s="6">
        <f t="shared" ref="N14:N16" si="5">+M14*$F$13</f>
        <v>0</v>
      </c>
      <c r="O14" s="2"/>
      <c r="P14" s="35">
        <f t="shared" si="4"/>
        <v>0</v>
      </c>
      <c r="Q14" s="2"/>
      <c r="R14" s="6">
        <f t="shared" ref="R14:R16" si="6">+Q14*$F$13</f>
        <v>0</v>
      </c>
      <c r="S14" s="2"/>
      <c r="T14" s="34">
        <f t="shared" si="0"/>
        <v>0</v>
      </c>
    </row>
    <row r="15" spans="1:20" ht="23.4" outlineLevel="1" x14ac:dyDescent="0.3">
      <c r="A15" s="33"/>
      <c r="B15" s="2" t="s">
        <v>32</v>
      </c>
      <c r="C15" s="2" t="s">
        <v>33</v>
      </c>
      <c r="D15" s="1" t="s">
        <v>29</v>
      </c>
      <c r="E15" s="9">
        <v>4762.2248000000009</v>
      </c>
      <c r="F15" s="2"/>
      <c r="G15" s="8">
        <f t="shared" si="2"/>
        <v>0</v>
      </c>
      <c r="H15" s="2"/>
      <c r="I15" s="14"/>
      <c r="J15" s="10"/>
      <c r="K15" s="2"/>
      <c r="L15" s="36">
        <f t="shared" si="3"/>
        <v>0</v>
      </c>
      <c r="M15" s="14"/>
      <c r="N15" s="6">
        <f t="shared" si="5"/>
        <v>0</v>
      </c>
      <c r="O15" s="2"/>
      <c r="P15" s="35">
        <f t="shared" si="4"/>
        <v>0</v>
      </c>
      <c r="Q15" s="14"/>
      <c r="R15" s="6">
        <f t="shared" si="6"/>
        <v>0</v>
      </c>
      <c r="S15" s="2"/>
      <c r="T15" s="34">
        <f t="shared" si="0"/>
        <v>0</v>
      </c>
    </row>
    <row r="16" spans="1:20" ht="23.4" outlineLevel="1" x14ac:dyDescent="0.3">
      <c r="A16" s="33"/>
      <c r="B16" s="2" t="s">
        <v>34</v>
      </c>
      <c r="C16" s="2" t="s">
        <v>35</v>
      </c>
      <c r="D16" s="1" t="s">
        <v>29</v>
      </c>
      <c r="E16" s="9">
        <v>4528.4650000000001</v>
      </c>
      <c r="F16" s="2"/>
      <c r="G16" s="8">
        <f t="shared" si="2"/>
        <v>0</v>
      </c>
      <c r="H16" s="2"/>
      <c r="I16" s="2"/>
      <c r="J16" s="10"/>
      <c r="K16" s="2"/>
      <c r="L16" s="36">
        <f t="shared" si="3"/>
        <v>0</v>
      </c>
      <c r="M16" s="14">
        <f>E16*60%</f>
        <v>2717.0790000000002</v>
      </c>
      <c r="N16" s="6">
        <f t="shared" si="5"/>
        <v>7879529.1000000006</v>
      </c>
      <c r="O16" s="2"/>
      <c r="P16" s="35">
        <f t="shared" si="4"/>
        <v>0.6</v>
      </c>
      <c r="Q16" s="14">
        <f>E16-M16</f>
        <v>1811.386</v>
      </c>
      <c r="R16" s="6">
        <f t="shared" si="6"/>
        <v>5253019.3999999994</v>
      </c>
      <c r="S16" s="2"/>
      <c r="T16" s="34">
        <f t="shared" si="0"/>
        <v>0.39999999999999997</v>
      </c>
    </row>
    <row r="17" spans="1:22" s="13" customFormat="1" ht="46.8" x14ac:dyDescent="0.3">
      <c r="A17" s="31"/>
      <c r="B17" s="1" t="s">
        <v>36</v>
      </c>
      <c r="C17" s="15" t="s">
        <v>37</v>
      </c>
      <c r="D17" s="1" t="s">
        <v>29</v>
      </c>
      <c r="E17" s="7">
        <f>+SUM(E18:E20)</f>
        <v>120</v>
      </c>
      <c r="F17" s="11">
        <v>55000</v>
      </c>
      <c r="G17" s="11">
        <f t="shared" si="2"/>
        <v>6600000</v>
      </c>
      <c r="H17" s="5"/>
      <c r="I17" s="5">
        <f>+I18+I19+I20</f>
        <v>40</v>
      </c>
      <c r="J17" s="6">
        <f>+I17*$F$17</f>
        <v>2200000</v>
      </c>
      <c r="K17" s="5"/>
      <c r="L17" s="34">
        <f t="shared" si="3"/>
        <v>0.33333333333333331</v>
      </c>
      <c r="M17" s="5">
        <f>+M18+M19+M20</f>
        <v>15</v>
      </c>
      <c r="N17" s="6">
        <f>+M17*$F$17</f>
        <v>825000</v>
      </c>
      <c r="O17" s="5"/>
      <c r="P17" s="35">
        <f t="shared" si="4"/>
        <v>0.125</v>
      </c>
      <c r="Q17" s="5">
        <f>+Q18+Q19+Q20</f>
        <v>25</v>
      </c>
      <c r="R17" s="6">
        <f>+Q17*$F$17</f>
        <v>1375000</v>
      </c>
      <c r="S17" s="5"/>
      <c r="T17" s="34">
        <f t="shared" si="0"/>
        <v>0.20833333333333334</v>
      </c>
    </row>
    <row r="18" spans="1:22" ht="23.4" outlineLevel="1" x14ac:dyDescent="0.3">
      <c r="A18" s="33"/>
      <c r="B18" s="2" t="s">
        <v>38</v>
      </c>
      <c r="C18" s="2" t="s">
        <v>31</v>
      </c>
      <c r="D18" s="1" t="s">
        <v>29</v>
      </c>
      <c r="E18" s="9">
        <v>40</v>
      </c>
      <c r="F18" s="2"/>
      <c r="G18" s="8">
        <f t="shared" si="2"/>
        <v>0</v>
      </c>
      <c r="H18" s="2"/>
      <c r="I18" s="2">
        <v>40</v>
      </c>
      <c r="J18" s="10">
        <f>+I18*F18</f>
        <v>0</v>
      </c>
      <c r="K18" s="2"/>
      <c r="L18" s="36">
        <f>+I18/E18</f>
        <v>1</v>
      </c>
      <c r="M18" s="2">
        <v>0</v>
      </c>
      <c r="N18" s="10">
        <f>+M18*J18</f>
        <v>0</v>
      </c>
      <c r="O18" s="2"/>
      <c r="P18" s="35">
        <f t="shared" si="4"/>
        <v>0</v>
      </c>
      <c r="Q18" s="2">
        <v>0</v>
      </c>
      <c r="R18" s="10">
        <f>+Q18*N18</f>
        <v>0</v>
      </c>
      <c r="S18" s="2"/>
      <c r="T18" s="34">
        <f t="shared" si="0"/>
        <v>0</v>
      </c>
    </row>
    <row r="19" spans="1:22" ht="23.4" outlineLevel="1" x14ac:dyDescent="0.3">
      <c r="A19" s="33"/>
      <c r="B19" s="2" t="s">
        <v>39</v>
      </c>
      <c r="C19" s="2" t="s">
        <v>33</v>
      </c>
      <c r="D19" s="1" t="s">
        <v>29</v>
      </c>
      <c r="E19" s="9">
        <v>40</v>
      </c>
      <c r="F19" s="2"/>
      <c r="G19" s="8">
        <f t="shared" si="2"/>
        <v>0</v>
      </c>
      <c r="H19" s="2"/>
      <c r="I19" s="2">
        <v>0</v>
      </c>
      <c r="J19" s="10">
        <f>+I19*F19</f>
        <v>0</v>
      </c>
      <c r="K19" s="2"/>
      <c r="L19" s="36">
        <f t="shared" si="3"/>
        <v>0</v>
      </c>
      <c r="M19" s="2">
        <v>0</v>
      </c>
      <c r="N19" s="10">
        <f>+M19*J19</f>
        <v>0</v>
      </c>
      <c r="O19" s="2"/>
      <c r="P19" s="35">
        <f t="shared" si="4"/>
        <v>0</v>
      </c>
      <c r="Q19" s="2">
        <v>0</v>
      </c>
      <c r="R19" s="10">
        <f>+Q19*N19</f>
        <v>0</v>
      </c>
      <c r="S19" s="2"/>
      <c r="T19" s="34">
        <f t="shared" si="0"/>
        <v>0</v>
      </c>
    </row>
    <row r="20" spans="1:22" ht="23.4" outlineLevel="1" x14ac:dyDescent="0.3">
      <c r="A20" s="33"/>
      <c r="B20" s="2" t="s">
        <v>40</v>
      </c>
      <c r="C20" s="2" t="s">
        <v>35</v>
      </c>
      <c r="D20" s="1" t="s">
        <v>29</v>
      </c>
      <c r="E20" s="9">
        <v>40</v>
      </c>
      <c r="F20" s="2"/>
      <c r="G20" s="8">
        <f t="shared" si="2"/>
        <v>0</v>
      </c>
      <c r="H20" s="2"/>
      <c r="I20" s="2"/>
      <c r="J20" s="10">
        <f>+I20*F20</f>
        <v>0</v>
      </c>
      <c r="K20" s="2"/>
      <c r="L20" s="36">
        <f t="shared" si="3"/>
        <v>0</v>
      </c>
      <c r="M20" s="2">
        <v>15</v>
      </c>
      <c r="N20" s="10">
        <f>+M20*J20</f>
        <v>0</v>
      </c>
      <c r="O20" s="2"/>
      <c r="P20" s="35">
        <f t="shared" si="4"/>
        <v>0.375</v>
      </c>
      <c r="Q20" s="2">
        <v>25</v>
      </c>
      <c r="R20" s="10">
        <f>+Q20*N20</f>
        <v>0</v>
      </c>
      <c r="S20" s="2"/>
      <c r="T20" s="34">
        <f t="shared" si="0"/>
        <v>0.625</v>
      </c>
    </row>
    <row r="21" spans="1:22" s="13" customFormat="1" ht="46.8" x14ac:dyDescent="0.3">
      <c r="A21" s="31"/>
      <c r="B21" s="1" t="s">
        <v>41</v>
      </c>
      <c r="C21" s="15" t="s">
        <v>42</v>
      </c>
      <c r="D21" s="1" t="s">
        <v>29</v>
      </c>
      <c r="E21" s="7">
        <f>+SUM(E22:E24)</f>
        <v>900</v>
      </c>
      <c r="F21" s="11">
        <v>37000</v>
      </c>
      <c r="G21" s="11">
        <f t="shared" si="2"/>
        <v>33300000</v>
      </c>
      <c r="H21" s="5"/>
      <c r="I21" s="5">
        <f>+I22+I23+I24</f>
        <v>104.68</v>
      </c>
      <c r="J21" s="6">
        <f>+I21*$F$21</f>
        <v>3873160.0000000005</v>
      </c>
      <c r="K21" s="5"/>
      <c r="L21" s="34">
        <f>+I21/$E$21</f>
        <v>0.11631111111111112</v>
      </c>
      <c r="M21" s="5">
        <f>+M22+M23+M24</f>
        <v>25</v>
      </c>
      <c r="N21" s="6">
        <f>+M21*$F$21</f>
        <v>925000</v>
      </c>
      <c r="O21" s="5"/>
      <c r="P21" s="35">
        <f t="shared" si="4"/>
        <v>2.7777777777777776E-2</v>
      </c>
      <c r="Q21" s="5">
        <f>+Q22+Q23+Q24</f>
        <v>25</v>
      </c>
      <c r="R21" s="6">
        <f>+Q21*$F$21</f>
        <v>925000</v>
      </c>
      <c r="S21" s="5"/>
      <c r="T21" s="34">
        <f t="shared" si="0"/>
        <v>2.7777777777777776E-2</v>
      </c>
    </row>
    <row r="22" spans="1:22" ht="23.4" outlineLevel="1" x14ac:dyDescent="0.3">
      <c r="A22" s="33"/>
      <c r="B22" s="2" t="s">
        <v>43</v>
      </c>
      <c r="C22" s="2" t="s">
        <v>31</v>
      </c>
      <c r="D22" s="1" t="s">
        <v>29</v>
      </c>
      <c r="E22" s="9">
        <v>300</v>
      </c>
      <c r="F22" s="2"/>
      <c r="G22" s="8">
        <f t="shared" si="2"/>
        <v>0</v>
      </c>
      <c r="H22" s="2"/>
      <c r="I22" s="2">
        <v>104.68</v>
      </c>
      <c r="J22" s="10">
        <f>+I22*F22</f>
        <v>0</v>
      </c>
      <c r="K22" s="2"/>
      <c r="L22" s="36">
        <f>+I22/E22</f>
        <v>0.34893333333333337</v>
      </c>
      <c r="M22" s="2">
        <v>0</v>
      </c>
      <c r="N22" s="10">
        <f>+M22*J22</f>
        <v>0</v>
      </c>
      <c r="O22" s="2"/>
      <c r="P22" s="35">
        <f t="shared" si="4"/>
        <v>0</v>
      </c>
      <c r="Q22" s="2">
        <v>0</v>
      </c>
      <c r="R22" s="10">
        <f>+Q22*N22</f>
        <v>0</v>
      </c>
      <c r="S22" s="2"/>
      <c r="T22" s="34">
        <f t="shared" si="0"/>
        <v>0</v>
      </c>
    </row>
    <row r="23" spans="1:22" ht="23.4" outlineLevel="1" x14ac:dyDescent="0.3">
      <c r="A23" s="33"/>
      <c r="B23" s="2" t="s">
        <v>44</v>
      </c>
      <c r="C23" s="2" t="s">
        <v>33</v>
      </c>
      <c r="D23" s="1" t="s">
        <v>29</v>
      </c>
      <c r="E23" s="9">
        <v>300</v>
      </c>
      <c r="F23" s="2"/>
      <c r="G23" s="8">
        <f t="shared" si="2"/>
        <v>0</v>
      </c>
      <c r="H23" s="2"/>
      <c r="I23" s="2">
        <v>0</v>
      </c>
      <c r="J23" s="10">
        <f>+I23*F23</f>
        <v>0</v>
      </c>
      <c r="K23" s="2"/>
      <c r="L23" s="36">
        <f>+I23/E23</f>
        <v>0</v>
      </c>
      <c r="M23" s="2">
        <v>0</v>
      </c>
      <c r="N23" s="10">
        <f>+M23*J23</f>
        <v>0</v>
      </c>
      <c r="O23" s="2"/>
      <c r="P23" s="35">
        <f t="shared" si="4"/>
        <v>0</v>
      </c>
      <c r="Q23" s="2">
        <v>0</v>
      </c>
      <c r="R23" s="10">
        <f>+Q23*N23</f>
        <v>0</v>
      </c>
      <c r="S23" s="2"/>
      <c r="T23" s="34">
        <f t="shared" si="0"/>
        <v>0</v>
      </c>
      <c r="V23" s="3" t="s">
        <v>141</v>
      </c>
    </row>
    <row r="24" spans="1:22" ht="23.4" outlineLevel="1" x14ac:dyDescent="0.3">
      <c r="A24" s="33"/>
      <c r="B24" s="2" t="s">
        <v>45</v>
      </c>
      <c r="C24" s="2" t="s">
        <v>35</v>
      </c>
      <c r="D24" s="1" t="s">
        <v>29</v>
      </c>
      <c r="E24" s="9">
        <v>300</v>
      </c>
      <c r="F24" s="2"/>
      <c r="G24" s="8">
        <f t="shared" si="2"/>
        <v>0</v>
      </c>
      <c r="H24" s="2"/>
      <c r="I24" s="2"/>
      <c r="J24" s="10">
        <f>+I24*F24</f>
        <v>0</v>
      </c>
      <c r="K24" s="2"/>
      <c r="L24" s="36">
        <f>+I24/E24</f>
        <v>0</v>
      </c>
      <c r="M24" s="2">
        <v>25</v>
      </c>
      <c r="N24" s="10">
        <f>+M24*J24</f>
        <v>0</v>
      </c>
      <c r="O24" s="2"/>
      <c r="P24" s="35">
        <f t="shared" si="4"/>
        <v>8.3333333333333329E-2</v>
      </c>
      <c r="Q24" s="2">
        <v>25</v>
      </c>
      <c r="R24" s="10">
        <f>+Q24*N24</f>
        <v>0</v>
      </c>
      <c r="S24" s="2"/>
      <c r="T24" s="34">
        <f t="shared" ref="T24:T61" si="7">+Q24/E24</f>
        <v>8.3333333333333329E-2</v>
      </c>
    </row>
    <row r="25" spans="1:22" s="13" customFormat="1" ht="30.75" customHeight="1" x14ac:dyDescent="0.3">
      <c r="A25" s="31"/>
      <c r="B25" s="1" t="s">
        <v>46</v>
      </c>
      <c r="C25" s="15" t="s">
        <v>47</v>
      </c>
      <c r="D25" s="1" t="s">
        <v>29</v>
      </c>
      <c r="E25" s="7">
        <f>+SUM(E26:E28)</f>
        <v>120</v>
      </c>
      <c r="F25" s="11">
        <v>95000</v>
      </c>
      <c r="G25" s="11">
        <f t="shared" si="2"/>
        <v>11400000</v>
      </c>
      <c r="H25" s="5"/>
      <c r="I25" s="5">
        <f>+I26+I27+I28</f>
        <v>0</v>
      </c>
      <c r="J25" s="6">
        <f>+I25*$F$25</f>
        <v>0</v>
      </c>
      <c r="K25" s="5"/>
      <c r="L25" s="34">
        <f>+I25/$E$25</f>
        <v>0</v>
      </c>
      <c r="M25" s="5">
        <f>+M26+M27+M28</f>
        <v>0</v>
      </c>
      <c r="N25" s="6">
        <f>+M25*$F$25</f>
        <v>0</v>
      </c>
      <c r="O25" s="5"/>
      <c r="P25" s="35">
        <f t="shared" si="4"/>
        <v>0</v>
      </c>
      <c r="Q25" s="5">
        <f>+Q26+Q27+Q28</f>
        <v>0</v>
      </c>
      <c r="R25" s="6">
        <f>+Q25*$F$25</f>
        <v>0</v>
      </c>
      <c r="S25" s="5"/>
      <c r="T25" s="34">
        <f t="shared" si="7"/>
        <v>0</v>
      </c>
    </row>
    <row r="26" spans="1:22" ht="23.4" outlineLevel="1" x14ac:dyDescent="0.3">
      <c r="A26" s="33"/>
      <c r="B26" s="2" t="s">
        <v>48</v>
      </c>
      <c r="C26" s="2" t="s">
        <v>31</v>
      </c>
      <c r="D26" s="1" t="s">
        <v>29</v>
      </c>
      <c r="E26" s="9">
        <v>40</v>
      </c>
      <c r="F26" s="2"/>
      <c r="G26" s="8">
        <f t="shared" si="2"/>
        <v>0</v>
      </c>
      <c r="H26" s="2"/>
      <c r="I26" s="2"/>
      <c r="J26" s="10">
        <f>+I26*F26</f>
        <v>0</v>
      </c>
      <c r="K26" s="2"/>
      <c r="L26" s="36">
        <f>+I26/E26</f>
        <v>0</v>
      </c>
      <c r="M26" s="2">
        <v>0</v>
      </c>
      <c r="N26" s="10">
        <f>+M26*J26</f>
        <v>0</v>
      </c>
      <c r="O26" s="2"/>
      <c r="P26" s="35">
        <f t="shared" si="4"/>
        <v>0</v>
      </c>
      <c r="Q26" s="2">
        <v>0</v>
      </c>
      <c r="R26" s="10">
        <f>+Q26*N26</f>
        <v>0</v>
      </c>
      <c r="S26" s="2"/>
      <c r="T26" s="34">
        <f t="shared" si="7"/>
        <v>0</v>
      </c>
    </row>
    <row r="27" spans="1:22" ht="23.4" outlineLevel="1" x14ac:dyDescent="0.3">
      <c r="A27" s="33"/>
      <c r="B27" s="2" t="s">
        <v>49</v>
      </c>
      <c r="C27" s="2" t="s">
        <v>33</v>
      </c>
      <c r="D27" s="1" t="s">
        <v>29</v>
      </c>
      <c r="E27" s="9">
        <v>40</v>
      </c>
      <c r="F27" s="2"/>
      <c r="G27" s="8">
        <f t="shared" si="2"/>
        <v>0</v>
      </c>
      <c r="H27" s="2"/>
      <c r="I27" s="2">
        <v>0</v>
      </c>
      <c r="J27" s="10">
        <f>+I27*F27</f>
        <v>0</v>
      </c>
      <c r="K27" s="2"/>
      <c r="L27" s="36">
        <f>+I27/E27</f>
        <v>0</v>
      </c>
      <c r="M27" s="2">
        <v>0</v>
      </c>
      <c r="N27" s="10">
        <f>+M27*J27</f>
        <v>0</v>
      </c>
      <c r="O27" s="2"/>
      <c r="P27" s="35">
        <f t="shared" si="4"/>
        <v>0</v>
      </c>
      <c r="Q27" s="2">
        <v>0</v>
      </c>
      <c r="R27" s="10">
        <f>+Q27*N27</f>
        <v>0</v>
      </c>
      <c r="S27" s="2"/>
      <c r="T27" s="34">
        <f t="shared" si="7"/>
        <v>0</v>
      </c>
    </row>
    <row r="28" spans="1:22" ht="23.4" outlineLevel="1" x14ac:dyDescent="0.3">
      <c r="A28" s="33"/>
      <c r="B28" s="2" t="s">
        <v>50</v>
      </c>
      <c r="C28" s="2" t="s">
        <v>35</v>
      </c>
      <c r="D28" s="1" t="s">
        <v>29</v>
      </c>
      <c r="E28" s="9">
        <v>40</v>
      </c>
      <c r="F28" s="2"/>
      <c r="G28" s="8">
        <f t="shared" si="2"/>
        <v>0</v>
      </c>
      <c r="H28" s="2"/>
      <c r="I28" s="2"/>
      <c r="J28" s="10">
        <f>+I28*F28</f>
        <v>0</v>
      </c>
      <c r="K28" s="2"/>
      <c r="L28" s="36">
        <f>+I28/E28</f>
        <v>0</v>
      </c>
      <c r="M28" s="2">
        <v>0</v>
      </c>
      <c r="N28" s="10">
        <f>+M28*J28</f>
        <v>0</v>
      </c>
      <c r="O28" s="2"/>
      <c r="P28" s="35">
        <f t="shared" si="4"/>
        <v>0</v>
      </c>
      <c r="Q28" s="2">
        <v>0</v>
      </c>
      <c r="R28" s="10">
        <f>+Q28*N28</f>
        <v>0</v>
      </c>
      <c r="S28" s="2"/>
      <c r="T28" s="34">
        <f t="shared" si="7"/>
        <v>0</v>
      </c>
    </row>
    <row r="29" spans="1:22" s="13" customFormat="1" ht="46.8" x14ac:dyDescent="0.3">
      <c r="A29" s="31"/>
      <c r="B29" s="1" t="s">
        <v>51</v>
      </c>
      <c r="C29" s="15" t="s">
        <v>52</v>
      </c>
      <c r="D29" s="1" t="s">
        <v>53</v>
      </c>
      <c r="E29" s="7">
        <f>+SUM(E30:E32)</f>
        <v>6538.5</v>
      </c>
      <c r="F29" s="11">
        <v>6800</v>
      </c>
      <c r="G29" s="11">
        <f t="shared" si="2"/>
        <v>44461800</v>
      </c>
      <c r="H29" s="5"/>
      <c r="I29" s="16">
        <f>+I30+I31+I32</f>
        <v>843.45</v>
      </c>
      <c r="J29" s="6">
        <f>+I29*$F$29</f>
        <v>5735460</v>
      </c>
      <c r="K29" s="5"/>
      <c r="L29" s="34">
        <f>+I29/$E$29</f>
        <v>0.12899747648543244</v>
      </c>
      <c r="M29" s="16">
        <f>+M30+M31+M32</f>
        <v>874.2</v>
      </c>
      <c r="N29" s="6">
        <f>+M29*$F$29</f>
        <v>5944560</v>
      </c>
      <c r="O29" s="5"/>
      <c r="P29" s="35">
        <f t="shared" si="4"/>
        <v>0.13370038999770589</v>
      </c>
      <c r="Q29" s="16">
        <f>+Q30+Q31+Q32</f>
        <v>764.92499999999995</v>
      </c>
      <c r="R29" s="6">
        <f>+Q29*$F$29</f>
        <v>5201490</v>
      </c>
      <c r="S29" s="5"/>
      <c r="T29" s="34">
        <f t="shared" si="7"/>
        <v>0.11698784124799265</v>
      </c>
    </row>
    <row r="30" spans="1:22" ht="23.4" outlineLevel="1" x14ac:dyDescent="0.3">
      <c r="A30" s="33"/>
      <c r="B30" s="2" t="s">
        <v>54</v>
      </c>
      <c r="C30" s="2" t="s">
        <v>31</v>
      </c>
      <c r="D30" s="1" t="s">
        <v>53</v>
      </c>
      <c r="E30" s="9">
        <v>2176.5</v>
      </c>
      <c r="F30" s="2"/>
      <c r="G30" s="8">
        <f t="shared" si="2"/>
        <v>0</v>
      </c>
      <c r="H30" s="2"/>
      <c r="I30" s="2">
        <v>843.45</v>
      </c>
      <c r="J30" s="10">
        <f>+I30*F30</f>
        <v>0</v>
      </c>
      <c r="K30" s="2"/>
      <c r="L30" s="36">
        <f>+I30/E30</f>
        <v>0.38752584424534808</v>
      </c>
      <c r="M30" s="2">
        <v>0</v>
      </c>
      <c r="N30" s="10">
        <f>+M30*J30</f>
        <v>0</v>
      </c>
      <c r="O30" s="2"/>
      <c r="P30" s="35">
        <f t="shared" si="4"/>
        <v>0</v>
      </c>
      <c r="Q30" s="2">
        <v>0</v>
      </c>
      <c r="R30" s="10">
        <f>+Q30*N30</f>
        <v>0</v>
      </c>
      <c r="S30" s="2"/>
      <c r="T30" s="34">
        <f t="shared" si="7"/>
        <v>0</v>
      </c>
    </row>
    <row r="31" spans="1:22" ht="23.4" outlineLevel="1" x14ac:dyDescent="0.3">
      <c r="A31" s="33"/>
      <c r="B31" s="2" t="s">
        <v>55</v>
      </c>
      <c r="C31" s="2" t="s">
        <v>33</v>
      </c>
      <c r="D31" s="1" t="s">
        <v>53</v>
      </c>
      <c r="E31" s="9">
        <v>2176.5</v>
      </c>
      <c r="F31" s="2"/>
      <c r="G31" s="8">
        <f t="shared" si="2"/>
        <v>0</v>
      </c>
      <c r="H31" s="2"/>
      <c r="I31" s="17">
        <v>0</v>
      </c>
      <c r="J31" s="10">
        <f>+I31*F31</f>
        <v>0</v>
      </c>
      <c r="K31" s="2"/>
      <c r="L31" s="37">
        <f>+I31/E31</f>
        <v>0</v>
      </c>
      <c r="M31" s="17">
        <v>0</v>
      </c>
      <c r="N31" s="10">
        <f>+M31*J31</f>
        <v>0</v>
      </c>
      <c r="O31" s="2"/>
      <c r="P31" s="35">
        <f t="shared" si="4"/>
        <v>0</v>
      </c>
      <c r="Q31" s="17">
        <v>0</v>
      </c>
      <c r="R31" s="10">
        <f>+Q31*N31</f>
        <v>0</v>
      </c>
      <c r="S31" s="2"/>
      <c r="T31" s="34">
        <f t="shared" si="7"/>
        <v>0</v>
      </c>
    </row>
    <row r="32" spans="1:22" ht="23.4" outlineLevel="1" x14ac:dyDescent="0.3">
      <c r="A32" s="33"/>
      <c r="B32" s="2" t="s">
        <v>56</v>
      </c>
      <c r="C32" s="2" t="s">
        <v>35</v>
      </c>
      <c r="D32" s="1" t="s">
        <v>53</v>
      </c>
      <c r="E32" s="9">
        <v>2185.5</v>
      </c>
      <c r="F32" s="2"/>
      <c r="G32" s="8">
        <f t="shared" si="2"/>
        <v>0</v>
      </c>
      <c r="H32" s="2"/>
      <c r="I32" s="2"/>
      <c r="J32" s="10">
        <f>+I32*F32</f>
        <v>0</v>
      </c>
      <c r="K32" s="2"/>
      <c r="L32" s="36">
        <f>+I32/E32</f>
        <v>0</v>
      </c>
      <c r="M32" s="14">
        <f>E32*40%</f>
        <v>874.2</v>
      </c>
      <c r="N32" s="10">
        <f>+M32*J32</f>
        <v>0</v>
      </c>
      <c r="O32" s="2"/>
      <c r="P32" s="35">
        <f t="shared" si="4"/>
        <v>0.4</v>
      </c>
      <c r="Q32" s="14">
        <f>E32*35%</f>
        <v>764.92499999999995</v>
      </c>
      <c r="R32" s="10">
        <f>+Q32*N32</f>
        <v>0</v>
      </c>
      <c r="S32" s="2"/>
      <c r="T32" s="34">
        <f t="shared" si="7"/>
        <v>0.35</v>
      </c>
    </row>
    <row r="33" spans="1:20" s="13" customFormat="1" ht="39" customHeight="1" x14ac:dyDescent="0.3">
      <c r="A33" s="31"/>
      <c r="B33" s="1" t="s">
        <v>57</v>
      </c>
      <c r="C33" s="15" t="s">
        <v>58</v>
      </c>
      <c r="D33" s="1" t="s">
        <v>29</v>
      </c>
      <c r="E33" s="7">
        <v>750</v>
      </c>
      <c r="F33" s="11">
        <v>2900</v>
      </c>
      <c r="G33" s="11">
        <f>+E33*F33</f>
        <v>2175000</v>
      </c>
      <c r="H33" s="5"/>
      <c r="I33" s="5"/>
      <c r="J33" s="6">
        <f>+I33*$F$33</f>
        <v>0</v>
      </c>
      <c r="K33" s="5"/>
      <c r="L33" s="34">
        <f>+I33/$E$33</f>
        <v>0</v>
      </c>
      <c r="M33" s="5"/>
      <c r="N33" s="6">
        <f>+M33*$F$33</f>
        <v>0</v>
      </c>
      <c r="O33" s="5"/>
      <c r="P33" s="35">
        <f t="shared" si="4"/>
        <v>0</v>
      </c>
      <c r="Q33" s="2">
        <f>60.21+11.46+3.63+3.36+3.21+3.2+0.74+0.77+0.83+14.26+9.63+6.39+0.6+0.9+0.58+3.34+3.42+4.96+3.83+4.11+0.32+27.62+0.87+18.35+1.45+3.41+0.86+7.16+2.05+4.49+81.66+1.19+12.34+100</f>
        <v>401.2</v>
      </c>
      <c r="R33" s="6">
        <f>+Q33*$F$33</f>
        <v>1163480</v>
      </c>
      <c r="S33" s="5"/>
      <c r="T33" s="34">
        <f t="shared" si="7"/>
        <v>0.53493333333333337</v>
      </c>
    </row>
    <row r="34" spans="1:20" ht="46.8" x14ac:dyDescent="0.3">
      <c r="A34" s="33"/>
      <c r="B34" s="1" t="s">
        <v>59</v>
      </c>
      <c r="C34" s="15" t="s">
        <v>60</v>
      </c>
      <c r="D34" s="1" t="s">
        <v>29</v>
      </c>
      <c r="E34" s="7">
        <v>15</v>
      </c>
      <c r="F34" s="8">
        <v>42000</v>
      </c>
      <c r="G34" s="8">
        <f t="shared" si="2"/>
        <v>630000</v>
      </c>
      <c r="H34" s="2"/>
      <c r="I34" s="2"/>
      <c r="J34" s="10">
        <f>+I34*$F$34</f>
        <v>0</v>
      </c>
      <c r="K34" s="2"/>
      <c r="L34" s="36">
        <f>+I34/$E$34</f>
        <v>0</v>
      </c>
      <c r="M34" s="2"/>
      <c r="N34" s="10">
        <f>+M34*$F$34</f>
        <v>0</v>
      </c>
      <c r="O34" s="2"/>
      <c r="P34" s="35">
        <f t="shared" si="4"/>
        <v>0</v>
      </c>
      <c r="Q34" s="2">
        <f>35.2</f>
        <v>35.200000000000003</v>
      </c>
      <c r="R34" s="10">
        <f>+Q34*$F$34</f>
        <v>1478400.0000000002</v>
      </c>
      <c r="S34" s="2"/>
      <c r="T34" s="34">
        <f t="shared" si="7"/>
        <v>2.3466666666666667</v>
      </c>
    </row>
    <row r="35" spans="1:20" ht="46.8" x14ac:dyDescent="0.3">
      <c r="A35" s="33"/>
      <c r="B35" s="1" t="s">
        <v>61</v>
      </c>
      <c r="C35" s="15" t="s">
        <v>62</v>
      </c>
      <c r="D35" s="1" t="s">
        <v>29</v>
      </c>
      <c r="E35" s="7">
        <v>45</v>
      </c>
      <c r="F35" s="8">
        <v>37000</v>
      </c>
      <c r="G35" s="8">
        <f t="shared" si="2"/>
        <v>1665000</v>
      </c>
      <c r="H35" s="2"/>
      <c r="I35" s="2"/>
      <c r="J35" s="10">
        <f>+I35*$F$35</f>
        <v>0</v>
      </c>
      <c r="K35" s="2"/>
      <c r="L35" s="36">
        <f>+I35/$E$35</f>
        <v>0</v>
      </c>
      <c r="M35" s="2"/>
      <c r="N35" s="10">
        <f>+M35*$F$35</f>
        <v>0</v>
      </c>
      <c r="O35" s="2"/>
      <c r="P35" s="35">
        <f t="shared" si="4"/>
        <v>0</v>
      </c>
      <c r="Q35" s="2">
        <f>35.2</f>
        <v>35.200000000000003</v>
      </c>
      <c r="R35" s="10">
        <f>+Q35*$F$35</f>
        <v>1302400</v>
      </c>
      <c r="S35" s="2"/>
      <c r="T35" s="34">
        <f t="shared" si="7"/>
        <v>0.78222222222222226</v>
      </c>
    </row>
    <row r="36" spans="1:20" ht="23.4" x14ac:dyDescent="0.3">
      <c r="A36" s="31" t="s">
        <v>63</v>
      </c>
      <c r="B36" s="51" t="s">
        <v>64</v>
      </c>
      <c r="C36" s="51"/>
      <c r="D36" s="4"/>
      <c r="E36" s="9"/>
      <c r="F36" s="2"/>
      <c r="G36" s="2"/>
      <c r="H36" s="6">
        <f>+G37+G41+G45</f>
        <v>69880990</v>
      </c>
      <c r="I36" s="2"/>
      <c r="J36" s="2"/>
      <c r="K36" s="6">
        <f>+J37+J41+J45</f>
        <v>12832350</v>
      </c>
      <c r="L36" s="30"/>
      <c r="M36" s="2"/>
      <c r="N36" s="2"/>
      <c r="O36" s="6">
        <f>+N37+N41+N45</f>
        <v>1737989.9999999998</v>
      </c>
      <c r="P36" s="42"/>
      <c r="Q36" s="2"/>
      <c r="R36" s="2"/>
      <c r="S36" s="6">
        <f>+R37+R41+R45</f>
        <v>9420000</v>
      </c>
      <c r="T36" s="34"/>
    </row>
    <row r="37" spans="1:20" s="13" customFormat="1" ht="46.8" x14ac:dyDescent="0.3">
      <c r="A37" s="31"/>
      <c r="B37" s="1" t="s">
        <v>65</v>
      </c>
      <c r="C37" s="15" t="s">
        <v>66</v>
      </c>
      <c r="D37" s="1" t="s">
        <v>53</v>
      </c>
      <c r="E37" s="7">
        <f>+SUM(E38:E40)</f>
        <v>895.5</v>
      </c>
      <c r="F37" s="11">
        <v>40000</v>
      </c>
      <c r="G37" s="11">
        <f>+E37*F37</f>
        <v>35820000</v>
      </c>
      <c r="H37" s="5"/>
      <c r="I37" s="7">
        <f>+I38+I39+I40</f>
        <v>236.4</v>
      </c>
      <c r="J37" s="6">
        <f>+I37*$F$37</f>
        <v>9456000</v>
      </c>
      <c r="K37" s="5"/>
      <c r="L37" s="34">
        <f>+I37/$E$37</f>
        <v>0.26398659966499161</v>
      </c>
      <c r="M37" s="7">
        <f>+M38+M39+M40</f>
        <v>0</v>
      </c>
      <c r="N37" s="6">
        <f>+M37*$F$37</f>
        <v>0</v>
      </c>
      <c r="O37" s="5"/>
      <c r="P37" s="35">
        <f t="shared" si="4"/>
        <v>0</v>
      </c>
      <c r="Q37" s="7">
        <f>+Q38+Q39+Q40</f>
        <v>235.5</v>
      </c>
      <c r="R37" s="6">
        <f>+Q37*$F$37</f>
        <v>9420000</v>
      </c>
      <c r="S37" s="5"/>
      <c r="T37" s="34">
        <f t="shared" si="7"/>
        <v>0.26298157453936349</v>
      </c>
    </row>
    <row r="38" spans="1:20" ht="23.4" outlineLevel="1" x14ac:dyDescent="0.3">
      <c r="A38" s="33"/>
      <c r="B38" s="2" t="s">
        <v>67</v>
      </c>
      <c r="C38" s="2" t="s">
        <v>31</v>
      </c>
      <c r="D38" s="1" t="s">
        <v>53</v>
      </c>
      <c r="E38" s="9">
        <v>330</v>
      </c>
      <c r="F38" s="2"/>
      <c r="G38" s="2"/>
      <c r="H38" s="2"/>
      <c r="I38" s="2">
        <v>236.4</v>
      </c>
      <c r="J38" s="10">
        <f>+I38*F38</f>
        <v>0</v>
      </c>
      <c r="K38" s="2"/>
      <c r="L38" s="36">
        <f>+I38/E38</f>
        <v>0.71636363636363642</v>
      </c>
      <c r="M38" s="2">
        <v>0</v>
      </c>
      <c r="N38" s="10">
        <f>+M38*J38</f>
        <v>0</v>
      </c>
      <c r="O38" s="2"/>
      <c r="P38" s="35">
        <f t="shared" si="4"/>
        <v>0</v>
      </c>
      <c r="Q38" s="2">
        <v>0</v>
      </c>
      <c r="R38" s="10">
        <f>+Q38*N38</f>
        <v>0</v>
      </c>
      <c r="S38" s="2"/>
      <c r="T38" s="34">
        <f t="shared" si="7"/>
        <v>0</v>
      </c>
    </row>
    <row r="39" spans="1:20" ht="23.4" outlineLevel="1" x14ac:dyDescent="0.3">
      <c r="A39" s="33"/>
      <c r="B39" s="2" t="s">
        <v>68</v>
      </c>
      <c r="C39" s="2" t="s">
        <v>33</v>
      </c>
      <c r="D39" s="1" t="s">
        <v>53</v>
      </c>
      <c r="E39" s="9">
        <v>330</v>
      </c>
      <c r="F39" s="2"/>
      <c r="G39" s="2"/>
      <c r="H39" s="2"/>
      <c r="I39" s="14">
        <v>0</v>
      </c>
      <c r="J39" s="10">
        <f>+I39*F39</f>
        <v>0</v>
      </c>
      <c r="K39" s="2"/>
      <c r="L39" s="36">
        <f>+I39/E39</f>
        <v>0</v>
      </c>
      <c r="M39" s="14">
        <v>0</v>
      </c>
      <c r="N39" s="10">
        <f>+M39*J39</f>
        <v>0</v>
      </c>
      <c r="O39" s="2"/>
      <c r="P39" s="35">
        <f t="shared" si="4"/>
        <v>0</v>
      </c>
      <c r="Q39" s="14">
        <v>0</v>
      </c>
      <c r="R39" s="10">
        <f>+Q39*N39</f>
        <v>0</v>
      </c>
      <c r="S39" s="2"/>
      <c r="T39" s="34">
        <f t="shared" si="7"/>
        <v>0</v>
      </c>
    </row>
    <row r="40" spans="1:20" ht="23.4" outlineLevel="1" x14ac:dyDescent="0.3">
      <c r="A40" s="33"/>
      <c r="B40" s="2" t="s">
        <v>69</v>
      </c>
      <c r="C40" s="2" t="s">
        <v>35</v>
      </c>
      <c r="D40" s="1" t="s">
        <v>53</v>
      </c>
      <c r="E40" s="9">
        <v>235.5</v>
      </c>
      <c r="F40" s="2"/>
      <c r="G40" s="2"/>
      <c r="H40" s="2"/>
      <c r="I40" s="2"/>
      <c r="J40" s="10">
        <f>+I40*F40</f>
        <v>0</v>
      </c>
      <c r="K40" s="2"/>
      <c r="L40" s="36">
        <f>+I40/E40</f>
        <v>0</v>
      </c>
      <c r="M40" s="2"/>
      <c r="N40" s="10">
        <f>+M40*J40</f>
        <v>0</v>
      </c>
      <c r="O40" s="2"/>
      <c r="P40" s="35">
        <f t="shared" si="4"/>
        <v>0</v>
      </c>
      <c r="Q40" s="2">
        <v>235.5</v>
      </c>
      <c r="R40" s="10">
        <f>+Q40*N40</f>
        <v>0</v>
      </c>
      <c r="S40" s="2"/>
      <c r="T40" s="34">
        <f t="shared" si="7"/>
        <v>1</v>
      </c>
    </row>
    <row r="41" spans="1:20" s="13" customFormat="1" ht="26.25" customHeight="1" x14ac:dyDescent="0.3">
      <c r="A41" s="31"/>
      <c r="B41" s="1" t="s">
        <v>70</v>
      </c>
      <c r="C41" s="15" t="s">
        <v>71</v>
      </c>
      <c r="D41" s="1" t="s">
        <v>53</v>
      </c>
      <c r="E41" s="7">
        <f>+SUM(E42:E44)</f>
        <v>643.29</v>
      </c>
      <c r="F41" s="11">
        <v>15000</v>
      </c>
      <c r="G41" s="11">
        <f>+E41*F41</f>
        <v>9649350</v>
      </c>
      <c r="H41" s="5"/>
      <c r="I41" s="5">
        <f>+SUM(I42:I44)</f>
        <v>225.09</v>
      </c>
      <c r="J41" s="6">
        <f>+I41*$F$41</f>
        <v>3376350</v>
      </c>
      <c r="K41" s="5"/>
      <c r="L41" s="34">
        <f>+I41/$E$41</f>
        <v>0.34990439770554493</v>
      </c>
      <c r="M41" s="5">
        <f>+SUM(M42:M44)</f>
        <v>115.86599999999999</v>
      </c>
      <c r="N41" s="6">
        <f>+M41*$F$41</f>
        <v>1737989.9999999998</v>
      </c>
      <c r="O41" s="5"/>
      <c r="P41" s="35">
        <f t="shared" si="4"/>
        <v>0.18011472275334606</v>
      </c>
      <c r="Q41" s="5">
        <f>+SUM(Q42:Q44)</f>
        <v>0</v>
      </c>
      <c r="R41" s="6">
        <f>+Q41*$F$41</f>
        <v>0</v>
      </c>
      <c r="S41" s="5"/>
      <c r="T41" s="34">
        <f t="shared" si="7"/>
        <v>0</v>
      </c>
    </row>
    <row r="42" spans="1:20" ht="23.4" outlineLevel="1" x14ac:dyDescent="0.3">
      <c r="A42" s="33"/>
      <c r="B42" s="2" t="s">
        <v>72</v>
      </c>
      <c r="C42" s="2" t="s">
        <v>31</v>
      </c>
      <c r="D42" s="1" t="s">
        <v>53</v>
      </c>
      <c r="E42" s="9">
        <v>225.08999999999997</v>
      </c>
      <c r="F42" s="2"/>
      <c r="G42" s="2"/>
      <c r="H42" s="2"/>
      <c r="I42" s="2">
        <v>225.09</v>
      </c>
      <c r="J42" s="10">
        <f>+I42*F42</f>
        <v>0</v>
      </c>
      <c r="K42" s="2"/>
      <c r="L42" s="36">
        <f>+I42/E42</f>
        <v>1.0000000000000002</v>
      </c>
      <c r="M42" s="2"/>
      <c r="N42" s="10">
        <f>+M42*J42</f>
        <v>0</v>
      </c>
      <c r="O42" s="2"/>
      <c r="P42" s="35">
        <f t="shared" si="4"/>
        <v>0</v>
      </c>
      <c r="Q42" s="2"/>
      <c r="R42" s="10">
        <f>+Q42*N42</f>
        <v>0</v>
      </c>
      <c r="S42" s="2"/>
      <c r="T42" s="34">
        <f t="shared" si="7"/>
        <v>0</v>
      </c>
    </row>
    <row r="43" spans="1:20" ht="23.4" outlineLevel="1" x14ac:dyDescent="0.3">
      <c r="A43" s="33"/>
      <c r="B43" s="2" t="s">
        <v>73</v>
      </c>
      <c r="C43" s="2" t="s">
        <v>33</v>
      </c>
      <c r="D43" s="1" t="s">
        <v>53</v>
      </c>
      <c r="E43" s="9">
        <v>225.08999999999997</v>
      </c>
      <c r="F43" s="2"/>
      <c r="G43" s="2"/>
      <c r="H43" s="2"/>
      <c r="I43" s="2">
        <v>0</v>
      </c>
      <c r="J43" s="10">
        <f>+I43*F43</f>
        <v>0</v>
      </c>
      <c r="K43" s="2"/>
      <c r="L43" s="36">
        <f>+I43/E43</f>
        <v>0</v>
      </c>
      <c r="M43" s="2">
        <v>0</v>
      </c>
      <c r="N43" s="10">
        <f>+M43*J43</f>
        <v>0</v>
      </c>
      <c r="O43" s="2"/>
      <c r="P43" s="35">
        <f t="shared" si="4"/>
        <v>0</v>
      </c>
      <c r="Q43" s="2">
        <v>0</v>
      </c>
      <c r="R43" s="10">
        <f>+Q43*N43</f>
        <v>0</v>
      </c>
      <c r="S43" s="2"/>
      <c r="T43" s="34">
        <f t="shared" si="7"/>
        <v>0</v>
      </c>
    </row>
    <row r="44" spans="1:20" ht="23.4" outlineLevel="1" x14ac:dyDescent="0.3">
      <c r="A44" s="33"/>
      <c r="B44" s="2" t="s">
        <v>74</v>
      </c>
      <c r="C44" s="2" t="s">
        <v>35</v>
      </c>
      <c r="D44" s="1" t="s">
        <v>53</v>
      </c>
      <c r="E44" s="9">
        <v>193.10999999999999</v>
      </c>
      <c r="F44" s="2"/>
      <c r="G44" s="2"/>
      <c r="H44" s="2"/>
      <c r="I44" s="2"/>
      <c r="J44" s="10">
        <f>+I44*F44</f>
        <v>0</v>
      </c>
      <c r="K44" s="2"/>
      <c r="L44" s="36">
        <f>+I44/E44</f>
        <v>0</v>
      </c>
      <c r="M44" s="14">
        <f>E44*60%</f>
        <v>115.86599999999999</v>
      </c>
      <c r="N44" s="10">
        <f>+M44*J44</f>
        <v>0</v>
      </c>
      <c r="O44" s="2"/>
      <c r="P44" s="35">
        <f t="shared" si="4"/>
        <v>0.6</v>
      </c>
      <c r="Q44" s="14">
        <f>I44*60%</f>
        <v>0</v>
      </c>
      <c r="R44" s="10">
        <f>+Q44*N44</f>
        <v>0</v>
      </c>
      <c r="S44" s="2"/>
      <c r="T44" s="34">
        <f t="shared" si="7"/>
        <v>0</v>
      </c>
    </row>
    <row r="45" spans="1:20" s="13" customFormat="1" ht="46.8" x14ac:dyDescent="0.3">
      <c r="A45" s="31"/>
      <c r="B45" s="1" t="s">
        <v>75</v>
      </c>
      <c r="C45" s="15" t="s">
        <v>76</v>
      </c>
      <c r="D45" s="1" t="s">
        <v>29</v>
      </c>
      <c r="E45" s="7">
        <v>1090</v>
      </c>
      <c r="F45" s="11">
        <v>22396</v>
      </c>
      <c r="G45" s="11">
        <f>+E45*F45</f>
        <v>24411640</v>
      </c>
      <c r="H45" s="5"/>
      <c r="I45" s="5"/>
      <c r="J45" s="6">
        <f>+I45*$F$45</f>
        <v>0</v>
      </c>
      <c r="K45" s="5"/>
      <c r="L45" s="34">
        <f>+I45/$E$45</f>
        <v>0</v>
      </c>
      <c r="M45" s="5"/>
      <c r="N45" s="6">
        <f>+M45*$F$45</f>
        <v>0</v>
      </c>
      <c r="O45" s="5"/>
      <c r="P45" s="35">
        <f t="shared" si="4"/>
        <v>0</v>
      </c>
      <c r="Q45" s="5"/>
      <c r="R45" s="6">
        <f>+Q45*$F$45</f>
        <v>0</v>
      </c>
      <c r="S45" s="5"/>
      <c r="T45" s="34">
        <f t="shared" si="7"/>
        <v>0</v>
      </c>
    </row>
    <row r="46" spans="1:20" ht="23.4" hidden="1" x14ac:dyDescent="0.3">
      <c r="A46" s="33"/>
      <c r="B46" s="4" t="s">
        <v>77</v>
      </c>
      <c r="C46" s="2" t="s">
        <v>31</v>
      </c>
      <c r="D46" s="4"/>
      <c r="E46" s="9"/>
      <c r="F46" s="2"/>
      <c r="G46" s="2"/>
      <c r="H46" s="2"/>
      <c r="I46" s="2"/>
      <c r="J46" s="2"/>
      <c r="K46" s="2"/>
      <c r="L46" s="30"/>
      <c r="M46" s="2"/>
      <c r="N46" s="2"/>
      <c r="O46" s="2"/>
      <c r="P46" s="35" t="e">
        <f t="shared" si="4"/>
        <v>#DIV/0!</v>
      </c>
      <c r="Q46" s="2"/>
      <c r="R46" s="2"/>
      <c r="S46" s="2"/>
      <c r="T46" s="34" t="e">
        <f t="shared" si="7"/>
        <v>#DIV/0!</v>
      </c>
    </row>
    <row r="47" spans="1:20" ht="23.4" hidden="1" x14ac:dyDescent="0.3">
      <c r="A47" s="33"/>
      <c r="B47" s="4" t="s">
        <v>78</v>
      </c>
      <c r="C47" s="2" t="s">
        <v>79</v>
      </c>
      <c r="D47" s="4" t="s">
        <v>29</v>
      </c>
      <c r="E47" s="9">
        <v>360</v>
      </c>
      <c r="F47" s="2"/>
      <c r="G47" s="2"/>
      <c r="H47" s="2"/>
      <c r="I47" s="2"/>
      <c r="J47" s="2"/>
      <c r="K47" s="2"/>
      <c r="L47" s="30"/>
      <c r="M47" s="2"/>
      <c r="N47" s="2"/>
      <c r="O47" s="2"/>
      <c r="P47" s="35">
        <f t="shared" si="4"/>
        <v>0</v>
      </c>
      <c r="Q47" s="2"/>
      <c r="R47" s="2"/>
      <c r="S47" s="2"/>
      <c r="T47" s="34">
        <f t="shared" si="7"/>
        <v>0</v>
      </c>
    </row>
    <row r="48" spans="1:20" ht="23.4" hidden="1" x14ac:dyDescent="0.3">
      <c r="A48" s="33"/>
      <c r="B48" s="4" t="s">
        <v>80</v>
      </c>
      <c r="C48" s="2" t="s">
        <v>81</v>
      </c>
      <c r="D48" s="4" t="s">
        <v>53</v>
      </c>
      <c r="E48" s="9">
        <v>36</v>
      </c>
      <c r="F48" s="2"/>
      <c r="G48" s="2"/>
      <c r="H48" s="2"/>
      <c r="I48" s="2"/>
      <c r="J48" s="2"/>
      <c r="K48" s="2"/>
      <c r="L48" s="30"/>
      <c r="M48" s="2"/>
      <c r="N48" s="2"/>
      <c r="O48" s="2"/>
      <c r="P48" s="35">
        <f t="shared" si="4"/>
        <v>0</v>
      </c>
      <c r="Q48" s="2"/>
      <c r="R48" s="2"/>
      <c r="S48" s="2"/>
      <c r="T48" s="34">
        <f t="shared" si="7"/>
        <v>0</v>
      </c>
    </row>
    <row r="49" spans="1:20" ht="23.4" hidden="1" x14ac:dyDescent="0.3">
      <c r="A49" s="33"/>
      <c r="B49" s="4" t="s">
        <v>82</v>
      </c>
      <c r="C49" s="2" t="s">
        <v>83</v>
      </c>
      <c r="D49" s="4" t="s">
        <v>53</v>
      </c>
      <c r="E49" s="9">
        <v>101.3</v>
      </c>
      <c r="F49" s="2"/>
      <c r="G49" s="2"/>
      <c r="H49" s="2"/>
      <c r="I49" s="2"/>
      <c r="J49" s="2"/>
      <c r="K49" s="2"/>
      <c r="L49" s="30"/>
      <c r="M49" s="2"/>
      <c r="N49" s="2"/>
      <c r="O49" s="2"/>
      <c r="P49" s="35">
        <f t="shared" si="4"/>
        <v>0</v>
      </c>
      <c r="Q49" s="2"/>
      <c r="R49" s="2"/>
      <c r="S49" s="2"/>
      <c r="T49" s="34">
        <f t="shared" si="7"/>
        <v>0</v>
      </c>
    </row>
    <row r="50" spans="1:20" ht="23.4" hidden="1" x14ac:dyDescent="0.3">
      <c r="A50" s="33"/>
      <c r="B50" s="4" t="s">
        <v>84</v>
      </c>
      <c r="C50" s="2" t="s">
        <v>33</v>
      </c>
      <c r="D50" s="4" t="s">
        <v>85</v>
      </c>
      <c r="E50" s="9"/>
      <c r="F50" s="2"/>
      <c r="G50" s="2"/>
      <c r="H50" s="2"/>
      <c r="I50" s="2"/>
      <c r="J50" s="2"/>
      <c r="K50" s="2"/>
      <c r="L50" s="30"/>
      <c r="M50" s="2"/>
      <c r="N50" s="2"/>
      <c r="O50" s="2"/>
      <c r="P50" s="35" t="e">
        <f t="shared" si="4"/>
        <v>#DIV/0!</v>
      </c>
      <c r="Q50" s="2"/>
      <c r="R50" s="2"/>
      <c r="S50" s="2"/>
      <c r="T50" s="34" t="e">
        <f t="shared" si="7"/>
        <v>#DIV/0!</v>
      </c>
    </row>
    <row r="51" spans="1:20" ht="23.4" hidden="1" x14ac:dyDescent="0.3">
      <c r="A51" s="33"/>
      <c r="B51" s="4" t="s">
        <v>86</v>
      </c>
      <c r="C51" s="2" t="s">
        <v>79</v>
      </c>
      <c r="D51" s="4"/>
      <c r="E51" s="9">
        <v>360</v>
      </c>
      <c r="F51" s="2"/>
      <c r="G51" s="2"/>
      <c r="H51" s="2"/>
      <c r="I51" s="2"/>
      <c r="J51" s="2"/>
      <c r="K51" s="2"/>
      <c r="L51" s="30"/>
      <c r="M51" s="2"/>
      <c r="N51" s="2"/>
      <c r="O51" s="2"/>
      <c r="P51" s="35">
        <f t="shared" si="4"/>
        <v>0</v>
      </c>
      <c r="Q51" s="2"/>
      <c r="R51" s="2"/>
      <c r="S51" s="2"/>
      <c r="T51" s="34">
        <f t="shared" si="7"/>
        <v>0</v>
      </c>
    </row>
    <row r="52" spans="1:20" ht="23.4" hidden="1" x14ac:dyDescent="0.3">
      <c r="A52" s="33"/>
      <c r="B52" s="4" t="s">
        <v>87</v>
      </c>
      <c r="C52" s="2" t="s">
        <v>81</v>
      </c>
      <c r="D52" s="4" t="s">
        <v>53</v>
      </c>
      <c r="E52" s="9">
        <v>36</v>
      </c>
      <c r="F52" s="2"/>
      <c r="G52" s="2"/>
      <c r="H52" s="2"/>
      <c r="I52" s="2"/>
      <c r="J52" s="2"/>
      <c r="K52" s="2"/>
      <c r="L52" s="30"/>
      <c r="M52" s="2"/>
      <c r="N52" s="2"/>
      <c r="O52" s="2"/>
      <c r="P52" s="35">
        <f t="shared" si="4"/>
        <v>0</v>
      </c>
      <c r="Q52" s="2"/>
      <c r="R52" s="2"/>
      <c r="S52" s="2"/>
      <c r="T52" s="34">
        <f t="shared" si="7"/>
        <v>0</v>
      </c>
    </row>
    <row r="53" spans="1:20" ht="23.4" hidden="1" x14ac:dyDescent="0.3">
      <c r="A53" s="33"/>
      <c r="B53" s="4" t="s">
        <v>88</v>
      </c>
      <c r="C53" s="2" t="s">
        <v>83</v>
      </c>
      <c r="D53" s="4" t="s">
        <v>53</v>
      </c>
      <c r="E53" s="9">
        <v>101.3</v>
      </c>
      <c r="F53" s="2"/>
      <c r="G53" s="2"/>
      <c r="H53" s="2"/>
      <c r="I53" s="2"/>
      <c r="J53" s="2"/>
      <c r="K53" s="2"/>
      <c r="L53" s="30"/>
      <c r="M53" s="2"/>
      <c r="N53" s="2"/>
      <c r="O53" s="2"/>
      <c r="P53" s="35">
        <f t="shared" si="4"/>
        <v>0</v>
      </c>
      <c r="Q53" s="2"/>
      <c r="R53" s="2"/>
      <c r="S53" s="2"/>
      <c r="T53" s="34">
        <f t="shared" si="7"/>
        <v>0</v>
      </c>
    </row>
    <row r="54" spans="1:20" ht="23.4" hidden="1" x14ac:dyDescent="0.3">
      <c r="A54" s="33"/>
      <c r="B54" s="4" t="s">
        <v>89</v>
      </c>
      <c r="C54" s="2" t="s">
        <v>35</v>
      </c>
      <c r="D54" s="4"/>
      <c r="E54" s="9"/>
      <c r="F54" s="2"/>
      <c r="G54" s="2"/>
      <c r="H54" s="2"/>
      <c r="I54" s="2"/>
      <c r="J54" s="2"/>
      <c r="K54" s="2"/>
      <c r="L54" s="30"/>
      <c r="M54" s="2"/>
      <c r="N54" s="2"/>
      <c r="O54" s="2"/>
      <c r="P54" s="35" t="e">
        <f t="shared" si="4"/>
        <v>#DIV/0!</v>
      </c>
      <c r="Q54" s="2"/>
      <c r="R54" s="2"/>
      <c r="S54" s="2"/>
      <c r="T54" s="34" t="e">
        <f t="shared" si="7"/>
        <v>#DIV/0!</v>
      </c>
    </row>
    <row r="55" spans="1:20" ht="23.4" hidden="1" x14ac:dyDescent="0.3">
      <c r="A55" s="33"/>
      <c r="B55" s="4" t="s">
        <v>90</v>
      </c>
      <c r="C55" s="2" t="s">
        <v>79</v>
      </c>
      <c r="D55" s="4" t="s">
        <v>29</v>
      </c>
      <c r="E55" s="9">
        <v>370</v>
      </c>
      <c r="F55" s="2"/>
      <c r="G55" s="2"/>
      <c r="H55" s="2"/>
      <c r="I55" s="2"/>
      <c r="J55" s="2"/>
      <c r="K55" s="2"/>
      <c r="L55" s="30"/>
      <c r="M55" s="2"/>
      <c r="N55" s="2"/>
      <c r="O55" s="2"/>
      <c r="P55" s="35">
        <f t="shared" si="4"/>
        <v>0</v>
      </c>
      <c r="Q55" s="2"/>
      <c r="R55" s="2"/>
      <c r="S55" s="2"/>
      <c r="T55" s="34">
        <f t="shared" si="7"/>
        <v>0</v>
      </c>
    </row>
    <row r="56" spans="1:20" ht="23.4" hidden="1" x14ac:dyDescent="0.3">
      <c r="A56" s="33"/>
      <c r="B56" s="4" t="s">
        <v>91</v>
      </c>
      <c r="C56" s="2" t="s">
        <v>81</v>
      </c>
      <c r="D56" s="4" t="s">
        <v>53</v>
      </c>
      <c r="E56" s="9">
        <v>38</v>
      </c>
      <c r="F56" s="2"/>
      <c r="G56" s="2"/>
      <c r="H56" s="2"/>
      <c r="I56" s="2"/>
      <c r="J56" s="2"/>
      <c r="K56" s="2"/>
      <c r="L56" s="30"/>
      <c r="M56" s="2"/>
      <c r="N56" s="2"/>
      <c r="O56" s="2"/>
      <c r="P56" s="35">
        <f t="shared" si="4"/>
        <v>0</v>
      </c>
      <c r="Q56" s="2"/>
      <c r="R56" s="2"/>
      <c r="S56" s="2"/>
      <c r="T56" s="34">
        <f t="shared" si="7"/>
        <v>0</v>
      </c>
    </row>
    <row r="57" spans="1:20" ht="23.4" hidden="1" x14ac:dyDescent="0.3">
      <c r="A57" s="33"/>
      <c r="B57" s="4" t="s">
        <v>92</v>
      </c>
      <c r="C57" s="2" t="s">
        <v>83</v>
      </c>
      <c r="D57" s="4" t="s">
        <v>53</v>
      </c>
      <c r="E57" s="9">
        <v>105</v>
      </c>
      <c r="F57" s="2"/>
      <c r="G57" s="2"/>
      <c r="H57" s="2"/>
      <c r="I57" s="2"/>
      <c r="J57" s="2"/>
      <c r="K57" s="2"/>
      <c r="L57" s="30"/>
      <c r="M57" s="2"/>
      <c r="N57" s="2"/>
      <c r="O57" s="2"/>
      <c r="P57" s="35">
        <f t="shared" si="4"/>
        <v>0</v>
      </c>
      <c r="Q57" s="2"/>
      <c r="R57" s="2"/>
      <c r="S57" s="2"/>
      <c r="T57" s="34">
        <f t="shared" si="7"/>
        <v>0</v>
      </c>
    </row>
    <row r="58" spans="1:20" ht="23.4" x14ac:dyDescent="0.3">
      <c r="A58" s="31" t="s">
        <v>93</v>
      </c>
      <c r="B58" s="51" t="s">
        <v>94</v>
      </c>
      <c r="C58" s="51"/>
      <c r="D58" s="4"/>
      <c r="E58" s="9"/>
      <c r="F58" s="2"/>
      <c r="G58" s="2"/>
      <c r="H58" s="6">
        <f>+G59</f>
        <v>233886050.68000004</v>
      </c>
      <c r="I58" s="2"/>
      <c r="J58" s="2"/>
      <c r="K58" s="6">
        <f>+J59</f>
        <v>67718800</v>
      </c>
      <c r="L58" s="30"/>
      <c r="M58" s="2"/>
      <c r="N58" s="2"/>
      <c r="O58" s="6">
        <f>+N59</f>
        <v>41965748</v>
      </c>
      <c r="P58" s="35"/>
      <c r="Q58" s="2"/>
      <c r="R58" s="2"/>
      <c r="S58" s="6">
        <f>+R59</f>
        <v>35922959</v>
      </c>
      <c r="T58" s="34"/>
    </row>
    <row r="59" spans="1:20" s="13" customFormat="1" ht="46.8" x14ac:dyDescent="0.3">
      <c r="A59" s="31"/>
      <c r="B59" s="1" t="s">
        <v>95</v>
      </c>
      <c r="C59" s="15" t="s">
        <v>96</v>
      </c>
      <c r="D59" s="1" t="s">
        <v>29</v>
      </c>
      <c r="E59" s="7">
        <f>+E60+E61+E62+E63</f>
        <v>14802.914600000002</v>
      </c>
      <c r="F59" s="11">
        <v>15800</v>
      </c>
      <c r="G59" s="11">
        <f>+E59*F59</f>
        <v>233886050.68000004</v>
      </c>
      <c r="H59" s="5"/>
      <c r="I59" s="18">
        <f>SUM(I60:I63)</f>
        <v>4286</v>
      </c>
      <c r="J59" s="6">
        <f>+I59*$F$59</f>
        <v>67718800</v>
      </c>
      <c r="K59" s="5"/>
      <c r="L59" s="34">
        <f>+I59/$E$59</f>
        <v>0.28953757525561891</v>
      </c>
      <c r="M59" s="18">
        <f>SUM(M60:M63)</f>
        <v>2656.06</v>
      </c>
      <c r="N59" s="6">
        <f>+M59*$F$59</f>
        <v>41965748</v>
      </c>
      <c r="O59" s="5"/>
      <c r="P59" s="35">
        <f t="shared" ref="P59:P66" si="8">+M59/E59</f>
        <v>0.17942817828591673</v>
      </c>
      <c r="Q59" s="18">
        <f>SUM(Q60:Q63)</f>
        <v>2273.605</v>
      </c>
      <c r="R59" s="6">
        <f>+Q59*$F$59</f>
        <v>35922959</v>
      </c>
      <c r="S59" s="5"/>
      <c r="T59" s="34">
        <f t="shared" si="7"/>
        <v>0.15359171226996066</v>
      </c>
    </row>
    <row r="60" spans="1:20" ht="23.4" outlineLevel="1" x14ac:dyDescent="0.3">
      <c r="A60" s="33"/>
      <c r="B60" s="2" t="s">
        <v>97</v>
      </c>
      <c r="C60" s="2" t="s">
        <v>31</v>
      </c>
      <c r="D60" s="4" t="s">
        <v>29</v>
      </c>
      <c r="E60" s="9">
        <v>4762.2248000000009</v>
      </c>
      <c r="F60" s="14"/>
      <c r="G60" s="2"/>
      <c r="H60" s="2"/>
      <c r="I60" s="2">
        <v>4286</v>
      </c>
      <c r="J60" s="2"/>
      <c r="K60" s="2"/>
      <c r="L60" s="36">
        <f t="shared" ref="L60:L63" si="9">+I60/$E$59</f>
        <v>0.28953757525561891</v>
      </c>
      <c r="M60" s="2">
        <v>0</v>
      </c>
      <c r="N60" s="2"/>
      <c r="O60" s="2"/>
      <c r="P60" s="35">
        <f t="shared" si="8"/>
        <v>0</v>
      </c>
      <c r="Q60" s="2">
        <v>0</v>
      </c>
      <c r="R60" s="2"/>
      <c r="S60" s="2"/>
      <c r="T60" s="34">
        <f t="shared" si="7"/>
        <v>0</v>
      </c>
    </row>
    <row r="61" spans="1:20" ht="23.4" outlineLevel="1" x14ac:dyDescent="0.3">
      <c r="A61" s="33"/>
      <c r="B61" s="2" t="s">
        <v>98</v>
      </c>
      <c r="C61" s="2" t="s">
        <v>33</v>
      </c>
      <c r="D61" s="4" t="s">
        <v>29</v>
      </c>
      <c r="E61" s="9">
        <v>4762.2248000000009</v>
      </c>
      <c r="F61" s="2"/>
      <c r="G61" s="2"/>
      <c r="H61" s="2"/>
      <c r="I61" s="14">
        <v>0</v>
      </c>
      <c r="J61" s="2"/>
      <c r="K61" s="2"/>
      <c r="L61" s="36">
        <f>+I61/$E$61</f>
        <v>0</v>
      </c>
      <c r="M61" s="14">
        <v>0</v>
      </c>
      <c r="N61" s="2"/>
      <c r="O61" s="2"/>
      <c r="P61" s="35">
        <f t="shared" si="8"/>
        <v>0</v>
      </c>
      <c r="Q61" s="14">
        <v>0</v>
      </c>
      <c r="R61" s="2"/>
      <c r="S61" s="2"/>
      <c r="T61" s="34">
        <f t="shared" si="7"/>
        <v>0</v>
      </c>
    </row>
    <row r="62" spans="1:20" ht="23.4" outlineLevel="1" x14ac:dyDescent="0.3">
      <c r="A62" s="33"/>
      <c r="B62" s="2" t="s">
        <v>99</v>
      </c>
      <c r="C62" s="2" t="s">
        <v>35</v>
      </c>
      <c r="D62" s="4" t="s">
        <v>29</v>
      </c>
      <c r="E62" s="9">
        <v>4528.4650000000001</v>
      </c>
      <c r="F62" s="14"/>
      <c r="G62" s="2"/>
      <c r="H62" s="2"/>
      <c r="I62" s="2"/>
      <c r="J62" s="2"/>
      <c r="K62" s="2"/>
      <c r="L62" s="36">
        <f t="shared" si="9"/>
        <v>0</v>
      </c>
      <c r="M62" s="2">
        <f>439.16+180+117+52.5+156+336.6+147.42+32.34+35.1+57.82+104.96+336.6+58.5+176.1+425.96</f>
        <v>2656.06</v>
      </c>
      <c r="N62" s="2"/>
      <c r="O62" s="2"/>
      <c r="P62" s="35">
        <f t="shared" si="8"/>
        <v>0.58652545619762986</v>
      </c>
      <c r="Q62" s="14">
        <f>E62-2656.06</f>
        <v>1872.4050000000002</v>
      </c>
      <c r="R62" s="2"/>
      <c r="S62" s="2"/>
      <c r="T62" s="34">
        <f>+Q62/E62</f>
        <v>0.41347454380237014</v>
      </c>
    </row>
    <row r="63" spans="1:20" ht="23.4" outlineLevel="1" x14ac:dyDescent="0.3">
      <c r="A63" s="33"/>
      <c r="B63" s="2" t="s">
        <v>100</v>
      </c>
      <c r="C63" s="2" t="s">
        <v>101</v>
      </c>
      <c r="D63" s="4" t="s">
        <v>29</v>
      </c>
      <c r="E63" s="9">
        <v>750</v>
      </c>
      <c r="F63" s="2"/>
      <c r="G63" s="2"/>
      <c r="H63" s="2"/>
      <c r="I63" s="2"/>
      <c r="J63" s="2"/>
      <c r="K63" s="2"/>
      <c r="L63" s="36">
        <f t="shared" si="9"/>
        <v>0</v>
      </c>
      <c r="M63" s="2"/>
      <c r="N63" s="2"/>
      <c r="O63" s="2"/>
      <c r="P63" s="35">
        <f t="shared" si="8"/>
        <v>0</v>
      </c>
      <c r="Q63" s="2">
        <f>60.21+11.46+3.63+3.36+3.21+3.2+0.74+0.77+0.83+14.26+9.63+6.39+0.6+0.9+0.58+3.34+3.42+4.96+3.83+4.11+0.32+27.62+0.87+18.35+1.45+3.41+0.86+7.16+2.05+4.49+81.66+1.19+12.34+100</f>
        <v>401.2</v>
      </c>
      <c r="R63" s="2"/>
      <c r="S63" s="2"/>
      <c r="T63" s="34">
        <f>+Q63/E63</f>
        <v>0.53493333333333337</v>
      </c>
    </row>
    <row r="64" spans="1:20" ht="23.4" hidden="1" outlineLevel="1" x14ac:dyDescent="0.3">
      <c r="A64" s="33"/>
      <c r="B64" s="2" t="s">
        <v>102</v>
      </c>
      <c r="C64" s="2" t="s">
        <v>31</v>
      </c>
      <c r="D64" s="4"/>
      <c r="E64" s="9"/>
      <c r="F64" s="2"/>
      <c r="G64" s="2"/>
      <c r="H64" s="2"/>
      <c r="I64" s="2"/>
      <c r="J64" s="10" t="e">
        <f>+I64*#REF!</f>
        <v>#REF!</v>
      </c>
      <c r="K64" s="2"/>
      <c r="L64" s="36" t="e">
        <f>+I64/#REF!</f>
        <v>#REF!</v>
      </c>
      <c r="M64" s="2"/>
      <c r="N64" s="10" t="e">
        <f>+M64*#REF!</f>
        <v>#REF!</v>
      </c>
      <c r="O64" s="2"/>
      <c r="P64" s="35" t="e">
        <f t="shared" si="8"/>
        <v>#DIV/0!</v>
      </c>
      <c r="Q64" s="2"/>
      <c r="R64" s="10" t="e">
        <f>+Q64*#REF!</f>
        <v>#REF!</v>
      </c>
      <c r="S64" s="2"/>
      <c r="T64" s="34">
        <f t="shared" ref="T64:T73" si="10">+Q64/$E$11</f>
        <v>0</v>
      </c>
    </row>
    <row r="65" spans="1:20" ht="23.4" hidden="1" outlineLevel="1" x14ac:dyDescent="0.3">
      <c r="A65" s="33"/>
      <c r="B65" s="2" t="s">
        <v>103</v>
      </c>
      <c r="C65" s="2" t="s">
        <v>33</v>
      </c>
      <c r="D65" s="4"/>
      <c r="E65" s="9"/>
      <c r="F65" s="2"/>
      <c r="G65" s="2"/>
      <c r="H65" s="2"/>
      <c r="I65" s="2"/>
      <c r="J65" s="10" t="e">
        <f>+I65*#REF!</f>
        <v>#REF!</v>
      </c>
      <c r="K65" s="2"/>
      <c r="L65" s="36" t="e">
        <f>+I65/#REF!</f>
        <v>#REF!</v>
      </c>
      <c r="M65" s="2"/>
      <c r="N65" s="10" t="e">
        <f>+M65*#REF!</f>
        <v>#REF!</v>
      </c>
      <c r="O65" s="2"/>
      <c r="P65" s="35" t="e">
        <f t="shared" si="8"/>
        <v>#DIV/0!</v>
      </c>
      <c r="Q65" s="2"/>
      <c r="R65" s="10" t="e">
        <f>+Q65*#REF!</f>
        <v>#REF!</v>
      </c>
      <c r="S65" s="2"/>
      <c r="T65" s="34">
        <f t="shared" si="10"/>
        <v>0</v>
      </c>
    </row>
    <row r="66" spans="1:20" ht="23.4" hidden="1" outlineLevel="1" x14ac:dyDescent="0.3">
      <c r="A66" s="33"/>
      <c r="B66" s="2" t="s">
        <v>104</v>
      </c>
      <c r="C66" s="2" t="s">
        <v>35</v>
      </c>
      <c r="D66" s="4"/>
      <c r="E66" s="9"/>
      <c r="F66" s="2"/>
      <c r="G66" s="2"/>
      <c r="H66" s="2"/>
      <c r="I66" s="2"/>
      <c r="J66" s="10" t="e">
        <f>+I66*#REF!</f>
        <v>#REF!</v>
      </c>
      <c r="K66" s="2"/>
      <c r="L66" s="36" t="e">
        <f>+I66/#REF!</f>
        <v>#REF!</v>
      </c>
      <c r="M66" s="2"/>
      <c r="N66" s="10" t="e">
        <f>+M66*#REF!</f>
        <v>#REF!</v>
      </c>
      <c r="O66" s="2"/>
      <c r="P66" s="35" t="e">
        <f t="shared" si="8"/>
        <v>#DIV/0!</v>
      </c>
      <c r="Q66" s="2"/>
      <c r="R66" s="10" t="e">
        <f>+Q66*#REF!</f>
        <v>#REF!</v>
      </c>
      <c r="S66" s="2"/>
      <c r="T66" s="34">
        <f t="shared" si="10"/>
        <v>0</v>
      </c>
    </row>
    <row r="67" spans="1:20" ht="23.4" outlineLevel="1" x14ac:dyDescent="0.3">
      <c r="A67" s="31" t="s">
        <v>105</v>
      </c>
      <c r="B67" s="51" t="s">
        <v>106</v>
      </c>
      <c r="C67" s="51"/>
      <c r="D67" s="51"/>
      <c r="E67" s="51"/>
      <c r="F67" s="2"/>
      <c r="G67" s="2"/>
      <c r="H67" s="6">
        <f>+G68+G69</f>
        <v>2600000</v>
      </c>
      <c r="I67" s="2"/>
      <c r="J67" s="10"/>
      <c r="K67" s="6"/>
      <c r="L67" s="36"/>
      <c r="M67" s="2"/>
      <c r="N67" s="10"/>
      <c r="O67" s="6"/>
      <c r="P67" s="35"/>
      <c r="Q67" s="2"/>
      <c r="R67" s="10"/>
      <c r="S67" s="6"/>
      <c r="T67" s="34">
        <f t="shared" si="10"/>
        <v>0</v>
      </c>
    </row>
    <row r="68" spans="1:20" ht="23.4" outlineLevel="1" x14ac:dyDescent="0.3">
      <c r="A68" s="33"/>
      <c r="B68" s="1" t="s">
        <v>107</v>
      </c>
      <c r="C68" s="5" t="s">
        <v>108</v>
      </c>
      <c r="D68" s="1" t="s">
        <v>20</v>
      </c>
      <c r="E68" s="7">
        <v>1</v>
      </c>
      <c r="F68" s="8">
        <v>0</v>
      </c>
      <c r="G68" s="8">
        <f t="shared" ref="G68:G69" si="11">+E68*F68</f>
        <v>0</v>
      </c>
      <c r="H68" s="2"/>
      <c r="I68" s="2"/>
      <c r="J68" s="10"/>
      <c r="K68" s="2"/>
      <c r="L68" s="34">
        <f>+I68/E68</f>
        <v>0</v>
      </c>
      <c r="M68" s="2"/>
      <c r="N68" s="10"/>
      <c r="O68" s="2"/>
      <c r="P68" s="35">
        <f>+M68/E68</f>
        <v>0</v>
      </c>
      <c r="Q68" s="2"/>
      <c r="R68" s="10"/>
      <c r="S68" s="2"/>
      <c r="T68" s="34">
        <f t="shared" si="10"/>
        <v>0</v>
      </c>
    </row>
    <row r="69" spans="1:20" ht="23.4" outlineLevel="1" x14ac:dyDescent="0.3">
      <c r="A69" s="33"/>
      <c r="B69" s="1" t="s">
        <v>109</v>
      </c>
      <c r="C69" s="5" t="s">
        <v>110</v>
      </c>
      <c r="D69" s="1" t="s">
        <v>20</v>
      </c>
      <c r="E69" s="7">
        <v>1</v>
      </c>
      <c r="F69" s="8">
        <v>2600000</v>
      </c>
      <c r="G69" s="8">
        <f t="shared" si="11"/>
        <v>2600000</v>
      </c>
      <c r="H69" s="2"/>
      <c r="I69" s="2"/>
      <c r="J69" s="10"/>
      <c r="K69" s="2"/>
      <c r="L69" s="34">
        <f>+I69/E69</f>
        <v>0</v>
      </c>
      <c r="M69" s="2"/>
      <c r="N69" s="10"/>
      <c r="O69" s="2"/>
      <c r="P69" s="35">
        <f>+M69/E69</f>
        <v>0</v>
      </c>
      <c r="Q69" s="2"/>
      <c r="R69" s="10"/>
      <c r="S69" s="2"/>
      <c r="T69" s="34">
        <f t="shared" si="10"/>
        <v>0</v>
      </c>
    </row>
    <row r="70" spans="1:20" ht="23.4" outlineLevel="1" x14ac:dyDescent="0.3">
      <c r="A70" s="33"/>
      <c r="B70" s="1"/>
      <c r="C70" s="19" t="s">
        <v>111</v>
      </c>
      <c r="D70" s="1"/>
      <c r="E70" s="7"/>
      <c r="F70" s="8"/>
      <c r="G70" s="8"/>
      <c r="H70" s="6">
        <f>+G71</f>
        <v>22224180</v>
      </c>
      <c r="I70" s="2"/>
      <c r="J70" s="10"/>
      <c r="K70" s="2"/>
      <c r="L70" s="36"/>
      <c r="M70" s="2"/>
      <c r="N70" s="10"/>
      <c r="O70" s="2"/>
      <c r="P70" s="35"/>
      <c r="Q70" s="2"/>
      <c r="R70" s="10"/>
      <c r="S70" s="2"/>
      <c r="T70" s="34">
        <f t="shared" si="10"/>
        <v>0</v>
      </c>
    </row>
    <row r="71" spans="1:20" ht="23.4" outlineLevel="1" x14ac:dyDescent="0.3">
      <c r="A71" s="33"/>
      <c r="B71" s="1"/>
      <c r="C71" s="20" t="s">
        <v>112</v>
      </c>
      <c r="D71" s="4" t="s">
        <v>53</v>
      </c>
      <c r="E71" s="9">
        <f>+E72+E73+E74</f>
        <v>660</v>
      </c>
      <c r="F71" s="8">
        <v>33673</v>
      </c>
      <c r="G71" s="8">
        <f>+E71*F71</f>
        <v>22224180</v>
      </c>
      <c r="H71" s="2"/>
      <c r="I71" s="21">
        <f>+I72+I73+I74</f>
        <v>330</v>
      </c>
      <c r="J71" s="6">
        <f>+I71*F71</f>
        <v>11112090</v>
      </c>
      <c r="K71" s="6">
        <f>+J71</f>
        <v>11112090</v>
      </c>
      <c r="L71" s="36"/>
      <c r="M71" s="21">
        <f>+M72+M73+M74</f>
        <v>0</v>
      </c>
      <c r="N71" s="6">
        <f>+M71*J71</f>
        <v>0</v>
      </c>
      <c r="O71" s="6">
        <f>+N71</f>
        <v>0</v>
      </c>
      <c r="P71" s="35">
        <f>+M71/E71</f>
        <v>0</v>
      </c>
      <c r="Q71" s="21">
        <f>+Q72+Q73+Q74</f>
        <v>242.25</v>
      </c>
      <c r="R71" s="8">
        <v>33673</v>
      </c>
      <c r="S71" s="6">
        <f>R71*Q71</f>
        <v>8157284.25</v>
      </c>
      <c r="T71" s="34">
        <f>+Q71/$E$71</f>
        <v>0.36704545454545456</v>
      </c>
    </row>
    <row r="72" spans="1:20" ht="23.4" outlineLevel="1" x14ac:dyDescent="0.3">
      <c r="A72" s="33"/>
      <c r="B72" s="1"/>
      <c r="C72" s="22" t="s">
        <v>31</v>
      </c>
      <c r="D72" s="4" t="s">
        <v>53</v>
      </c>
      <c r="E72" s="7">
        <v>330</v>
      </c>
      <c r="F72" s="8"/>
      <c r="G72" s="8"/>
      <c r="H72" s="2"/>
      <c r="I72" s="27">
        <v>330</v>
      </c>
      <c r="J72" s="10"/>
      <c r="K72" s="2"/>
      <c r="L72" s="36"/>
      <c r="M72" s="27"/>
      <c r="N72" s="10"/>
      <c r="O72" s="2"/>
      <c r="P72" s="35">
        <f>+M72/E72</f>
        <v>0</v>
      </c>
      <c r="Q72" s="27"/>
      <c r="R72" s="10"/>
      <c r="S72" s="2"/>
      <c r="T72" s="34">
        <f t="shared" si="10"/>
        <v>0</v>
      </c>
    </row>
    <row r="73" spans="1:20" ht="23.4" outlineLevel="1" x14ac:dyDescent="0.3">
      <c r="A73" s="33"/>
      <c r="B73" s="1"/>
      <c r="C73" s="22" t="s">
        <v>33</v>
      </c>
      <c r="D73" s="4" t="s">
        <v>53</v>
      </c>
      <c r="E73" s="7">
        <v>330</v>
      </c>
      <c r="F73" s="8"/>
      <c r="G73" s="8"/>
      <c r="H73" s="2"/>
      <c r="I73" s="2"/>
      <c r="J73" s="10"/>
      <c r="K73" s="2"/>
      <c r="L73" s="36"/>
      <c r="M73" s="2"/>
      <c r="N73" s="10"/>
      <c r="O73" s="2"/>
      <c r="P73" s="35">
        <f>+M73/E73</f>
        <v>0</v>
      </c>
      <c r="Q73" s="2"/>
      <c r="R73" s="10"/>
      <c r="S73" s="2"/>
      <c r="T73" s="34">
        <f t="shared" si="10"/>
        <v>0</v>
      </c>
    </row>
    <row r="74" spans="1:20" ht="23.4" outlineLevel="1" x14ac:dyDescent="0.3">
      <c r="A74" s="33"/>
      <c r="B74" s="1"/>
      <c r="C74" s="22" t="s">
        <v>35</v>
      </c>
      <c r="D74" s="4" t="s">
        <v>53</v>
      </c>
      <c r="E74" s="7">
        <v>0</v>
      </c>
      <c r="F74" s="8"/>
      <c r="G74" s="8"/>
      <c r="H74" s="2"/>
      <c r="I74" s="2"/>
      <c r="J74" s="10"/>
      <c r="K74" s="2"/>
      <c r="L74" s="36"/>
      <c r="M74" s="2"/>
      <c r="N74" s="10"/>
      <c r="O74" s="2"/>
      <c r="P74" s="35"/>
      <c r="Q74" s="2">
        <f>(4.6*15)+(3.7*2*15)+(4.15*15)</f>
        <v>242.25</v>
      </c>
      <c r="R74" s="10"/>
      <c r="S74" s="2"/>
      <c r="T74" s="35"/>
    </row>
    <row r="75" spans="1:20" ht="23.4" x14ac:dyDescent="0.3">
      <c r="A75" s="33"/>
      <c r="B75" s="2"/>
      <c r="C75" s="2"/>
      <c r="D75" s="2"/>
      <c r="E75" s="51" t="s">
        <v>113</v>
      </c>
      <c r="F75" s="51"/>
      <c r="G75" s="51"/>
      <c r="H75" s="10">
        <f>+H8+H12+H36+H58+H67</f>
        <v>452722293.02000004</v>
      </c>
      <c r="I75" s="49" t="s">
        <v>114</v>
      </c>
      <c r="J75" s="49"/>
      <c r="K75" s="6">
        <f>+K8+K12+K36+K58+K67+K71</f>
        <v>117319298</v>
      </c>
      <c r="L75" s="30"/>
      <c r="M75" s="49" t="s">
        <v>114</v>
      </c>
      <c r="N75" s="49"/>
      <c r="O75" s="6">
        <f>+O8+O12+O36+O58+O67+O71</f>
        <v>59314827.100000001</v>
      </c>
      <c r="P75" s="30"/>
      <c r="Q75" s="49" t="s">
        <v>114</v>
      </c>
      <c r="R75" s="49"/>
      <c r="S75" s="6">
        <f>+S8+S12+S36+S58+S67+S71</f>
        <v>70236032.650000006</v>
      </c>
      <c r="T75" s="30"/>
    </row>
    <row r="76" spans="1:20" ht="23.4" x14ac:dyDescent="0.3">
      <c r="A76" s="33"/>
      <c r="B76" s="2"/>
      <c r="C76" s="2"/>
      <c r="D76" s="2"/>
      <c r="E76" s="1" t="s">
        <v>115</v>
      </c>
      <c r="F76" s="1" t="s">
        <v>116</v>
      </c>
      <c r="G76" s="23">
        <v>0.08</v>
      </c>
      <c r="H76" s="11">
        <f>+$H$75*G76</f>
        <v>36217783.441600002</v>
      </c>
      <c r="I76" s="1" t="s">
        <v>115</v>
      </c>
      <c r="J76" s="24">
        <f>+G76</f>
        <v>0.08</v>
      </c>
      <c r="K76" s="8">
        <f>+K75*J76</f>
        <v>9385543.8399999999</v>
      </c>
      <c r="L76" s="30"/>
      <c r="M76" s="1" t="s">
        <v>115</v>
      </c>
      <c r="N76" s="24">
        <v>0.08</v>
      </c>
      <c r="O76" s="8">
        <f>+O75*N76</f>
        <v>4745186.1680000005</v>
      </c>
      <c r="P76" s="30"/>
      <c r="Q76" s="1" t="s">
        <v>115</v>
      </c>
      <c r="R76" s="24">
        <v>0.08</v>
      </c>
      <c r="S76" s="8">
        <f>+S75*R76</f>
        <v>5618882.6120000007</v>
      </c>
      <c r="T76" s="30"/>
    </row>
    <row r="77" spans="1:20" ht="23.4" x14ac:dyDescent="0.3">
      <c r="A77" s="33"/>
      <c r="B77" s="2"/>
      <c r="C77" s="2"/>
      <c r="D77" s="2"/>
      <c r="E77" s="1" t="s">
        <v>117</v>
      </c>
      <c r="F77" s="1" t="s">
        <v>16</v>
      </c>
      <c r="G77" s="23">
        <v>7.0000000000000007E-2</v>
      </c>
      <c r="H77" s="11">
        <f t="shared" ref="H77:H78" si="12">+$H$75*G77</f>
        <v>31690560.511400007</v>
      </c>
      <c r="I77" s="1" t="s">
        <v>117</v>
      </c>
      <c r="J77" s="24">
        <f>+G77</f>
        <v>7.0000000000000007E-2</v>
      </c>
      <c r="K77" s="8">
        <f>+K75*J77</f>
        <v>8212350.8600000003</v>
      </c>
      <c r="L77" s="30"/>
      <c r="M77" s="1" t="s">
        <v>117</v>
      </c>
      <c r="N77" s="24">
        <v>7.0000000000000007E-2</v>
      </c>
      <c r="O77" s="8">
        <f>+O75*N77</f>
        <v>4152037.8970000003</v>
      </c>
      <c r="P77" s="30"/>
      <c r="Q77" s="1" t="s">
        <v>117</v>
      </c>
      <c r="R77" s="24">
        <v>7.0000000000000007E-2</v>
      </c>
      <c r="S77" s="8">
        <f>+S75*R77</f>
        <v>4916522.2855000012</v>
      </c>
      <c r="T77" s="30"/>
    </row>
    <row r="78" spans="1:20" ht="23.4" x14ac:dyDescent="0.3">
      <c r="A78" s="33"/>
      <c r="B78" s="2"/>
      <c r="C78" s="2"/>
      <c r="D78" s="2"/>
      <c r="E78" s="1" t="s">
        <v>118</v>
      </c>
      <c r="F78" s="1" t="s">
        <v>119</v>
      </c>
      <c r="G78" s="23">
        <v>0.05</v>
      </c>
      <c r="H78" s="11">
        <f t="shared" si="12"/>
        <v>22636114.651000004</v>
      </c>
      <c r="I78" s="1" t="s">
        <v>118</v>
      </c>
      <c r="J78" s="24">
        <f>+G78</f>
        <v>0.05</v>
      </c>
      <c r="K78" s="8">
        <f>+K75*J78</f>
        <v>5865964.9000000004</v>
      </c>
      <c r="L78" s="30"/>
      <c r="M78" s="1" t="s">
        <v>118</v>
      </c>
      <c r="N78" s="24">
        <v>0.05</v>
      </c>
      <c r="O78" s="8">
        <f>+O75*N78</f>
        <v>2965741.3550000004</v>
      </c>
      <c r="P78" s="30"/>
      <c r="Q78" s="1" t="s">
        <v>118</v>
      </c>
      <c r="R78" s="24">
        <v>0.05</v>
      </c>
      <c r="S78" s="8">
        <f>+S75*R78</f>
        <v>3511801.6325000003</v>
      </c>
      <c r="T78" s="30"/>
    </row>
    <row r="79" spans="1:20" ht="27" customHeight="1" x14ac:dyDescent="0.3">
      <c r="A79" s="33"/>
      <c r="B79" s="2"/>
      <c r="D79" s="10"/>
      <c r="E79" s="51" t="s">
        <v>120</v>
      </c>
      <c r="F79" s="51"/>
      <c r="G79" s="51"/>
      <c r="H79" s="11">
        <f>SUM(H76:H78)</f>
        <v>90544458.604000017</v>
      </c>
      <c r="I79" s="49" t="s">
        <v>121</v>
      </c>
      <c r="J79" s="49"/>
      <c r="K79" s="8">
        <f>+K75+K76+K77+K78</f>
        <v>140783157.60000002</v>
      </c>
      <c r="L79" s="30"/>
      <c r="M79" s="49" t="s">
        <v>121</v>
      </c>
      <c r="N79" s="49"/>
      <c r="O79" s="8">
        <f>+O75+O76+O77+O78</f>
        <v>71177792.520000011</v>
      </c>
      <c r="P79" s="30"/>
      <c r="Q79" s="49" t="s">
        <v>121</v>
      </c>
      <c r="R79" s="49"/>
      <c r="S79" s="8">
        <f>+S75+S76+S77+S78</f>
        <v>84283239.180000007</v>
      </c>
      <c r="T79" s="30"/>
    </row>
    <row r="80" spans="1:20" ht="23.4" x14ac:dyDescent="0.3">
      <c r="A80" s="33"/>
      <c r="B80" s="2"/>
      <c r="D80" s="2"/>
      <c r="E80" s="1" t="s">
        <v>122</v>
      </c>
      <c r="F80" s="1" t="s">
        <v>123</v>
      </c>
      <c r="G80" s="23">
        <v>0.19</v>
      </c>
      <c r="H80" s="11">
        <f>+H78*G80</f>
        <v>4300861.7836900009</v>
      </c>
      <c r="I80" s="4" t="s">
        <v>124</v>
      </c>
      <c r="J80" s="24">
        <v>0.19</v>
      </c>
      <c r="K80" s="8">
        <f>+K78*J80</f>
        <v>1114533.331</v>
      </c>
      <c r="L80" s="30"/>
      <c r="M80" s="4" t="s">
        <v>124</v>
      </c>
      <c r="N80" s="24">
        <v>0.19</v>
      </c>
      <c r="O80" s="8">
        <f>+O78*N80</f>
        <v>563490.85745000013</v>
      </c>
      <c r="P80" s="30"/>
      <c r="Q80" s="4" t="s">
        <v>124</v>
      </c>
      <c r="R80" s="24">
        <v>0.19</v>
      </c>
      <c r="S80" s="8">
        <f>+S78*R80</f>
        <v>667242.31017500011</v>
      </c>
      <c r="T80" s="30"/>
    </row>
    <row r="81" spans="1:20" ht="23.4" x14ac:dyDescent="0.3">
      <c r="A81" s="33"/>
      <c r="B81" s="2"/>
      <c r="C81" s="2" t="s">
        <v>131</v>
      </c>
      <c r="D81" s="2"/>
      <c r="E81" s="51"/>
      <c r="F81" s="51"/>
      <c r="G81" s="51"/>
      <c r="H81" s="10"/>
      <c r="I81" s="50" t="s">
        <v>125</v>
      </c>
      <c r="J81" s="50"/>
      <c r="K81" s="26">
        <f>+K79+K80</f>
        <v>141897690.93100002</v>
      </c>
      <c r="L81" s="30"/>
      <c r="M81" s="50" t="s">
        <v>125</v>
      </c>
      <c r="N81" s="50"/>
      <c r="O81" s="26">
        <f>+O79+O80</f>
        <v>71741283.377450004</v>
      </c>
      <c r="P81" s="30"/>
      <c r="Q81" s="50" t="s">
        <v>125</v>
      </c>
      <c r="R81" s="50"/>
      <c r="S81" s="26">
        <f>+S79+S80</f>
        <v>84950481.490175009</v>
      </c>
      <c r="T81" s="30"/>
    </row>
    <row r="82" spans="1:20" ht="23.4" x14ac:dyDescent="0.3">
      <c r="A82" s="33"/>
      <c r="B82" s="2"/>
      <c r="C82" s="2" t="s">
        <v>132</v>
      </c>
      <c r="D82" s="2"/>
      <c r="E82" s="51" t="s">
        <v>126</v>
      </c>
      <c r="F82" s="51"/>
      <c r="G82" s="51"/>
      <c r="H82" s="6">
        <f>+H75+H79+H80</f>
        <v>547567613.40769005</v>
      </c>
      <c r="I82" s="2" t="s">
        <v>127</v>
      </c>
      <c r="J82" s="24">
        <v>0.02</v>
      </c>
      <c r="K82" s="8">
        <f>-K79*J82</f>
        <v>-2815663.1520000007</v>
      </c>
      <c r="L82" s="30"/>
      <c r="M82" s="2" t="s">
        <v>127</v>
      </c>
      <c r="N82" s="24">
        <v>0.02</v>
      </c>
      <c r="O82" s="8">
        <f>-O79*N82</f>
        <v>-1423555.8504000003</v>
      </c>
      <c r="P82" s="30"/>
      <c r="Q82" s="2" t="s">
        <v>127</v>
      </c>
      <c r="R82" s="24">
        <v>0.02</v>
      </c>
      <c r="S82" s="8">
        <f>-S79*R82</f>
        <v>-1685664.7836000002</v>
      </c>
      <c r="T82" s="30"/>
    </row>
    <row r="83" spans="1:20" ht="23.4" x14ac:dyDescent="0.3">
      <c r="A83" s="33"/>
      <c r="B83" s="2"/>
      <c r="C83" s="2"/>
      <c r="D83" s="2"/>
      <c r="E83" s="2"/>
      <c r="F83" s="2"/>
      <c r="G83" s="2"/>
      <c r="H83" s="49"/>
      <c r="I83" s="2" t="s">
        <v>128</v>
      </c>
      <c r="J83" s="24">
        <v>0.1</v>
      </c>
      <c r="K83" s="8">
        <f>-K81*J83</f>
        <v>-14189769.093100004</v>
      </c>
      <c r="L83" s="30"/>
      <c r="M83" s="2" t="s">
        <v>128</v>
      </c>
      <c r="N83" s="24">
        <v>0.1</v>
      </c>
      <c r="O83" s="8">
        <f>-O81*N83</f>
        <v>-7174128.3377450006</v>
      </c>
      <c r="P83" s="30"/>
      <c r="Q83" s="2" t="s">
        <v>128</v>
      </c>
      <c r="R83" s="24">
        <v>0.1</v>
      </c>
      <c r="S83" s="8">
        <f>-S81*R83</f>
        <v>-8495048.1490175016</v>
      </c>
      <c r="T83" s="30"/>
    </row>
    <row r="84" spans="1:20" ht="23.4" x14ac:dyDescent="0.3">
      <c r="A84" s="33"/>
      <c r="B84" s="2"/>
      <c r="C84" s="2"/>
      <c r="D84" s="2"/>
      <c r="E84" s="2"/>
      <c r="F84" s="2"/>
      <c r="G84" s="2"/>
      <c r="H84" s="49"/>
      <c r="I84" s="2" t="s">
        <v>129</v>
      </c>
      <c r="J84" s="23">
        <v>0.2</v>
      </c>
      <c r="K84" s="8">
        <f>-K81*J84</f>
        <v>-28379538.186200008</v>
      </c>
      <c r="L84" s="30"/>
      <c r="M84" s="2" t="s">
        <v>129</v>
      </c>
      <c r="N84" s="23">
        <v>0.2</v>
      </c>
      <c r="O84" s="8">
        <f>-O81*N84</f>
        <v>-14348256.675490001</v>
      </c>
      <c r="P84" s="30"/>
      <c r="Q84" s="2" t="s">
        <v>129</v>
      </c>
      <c r="R84" s="23">
        <v>0.2</v>
      </c>
      <c r="S84" s="8">
        <f>-S81*R84</f>
        <v>-16990096.298035003</v>
      </c>
      <c r="T84" s="30"/>
    </row>
    <row r="85" spans="1:20" ht="24" thickBot="1" x14ac:dyDescent="0.35">
      <c r="A85" s="38"/>
      <c r="B85" s="39"/>
      <c r="C85" s="39"/>
      <c r="D85" s="39"/>
      <c r="E85" s="39"/>
      <c r="F85" s="39"/>
      <c r="G85" s="39"/>
      <c r="H85" s="52"/>
      <c r="I85" s="43" t="s">
        <v>130</v>
      </c>
      <c r="J85" s="44"/>
      <c r="K85" s="40">
        <f>SUM(K81:K84)</f>
        <v>96512720.499699995</v>
      </c>
      <c r="L85" s="41"/>
      <c r="M85" s="43" t="s">
        <v>130</v>
      </c>
      <c r="N85" s="44"/>
      <c r="O85" s="40">
        <f>SUM(O81:O84)</f>
        <v>48795342.513815001</v>
      </c>
      <c r="P85" s="41"/>
      <c r="Q85" s="43" t="s">
        <v>130</v>
      </c>
      <c r="R85" s="44"/>
      <c r="S85" s="40">
        <f>SUM(S81:S84)</f>
        <v>57779672.259522505</v>
      </c>
      <c r="T85" s="41"/>
    </row>
    <row r="87" spans="1:20" x14ac:dyDescent="0.3">
      <c r="O87" s="3">
        <v>6863178</v>
      </c>
    </row>
    <row r="88" spans="1:20" x14ac:dyDescent="0.3">
      <c r="O88" s="3">
        <f>O87*0.19</f>
        <v>1304003.82</v>
      </c>
    </row>
    <row r="92" spans="1:20" x14ac:dyDescent="0.3">
      <c r="N92" s="3">
        <f>11*2.4/2</f>
        <v>13.2</v>
      </c>
      <c r="R92" s="3">
        <f>11*2.4/2</f>
        <v>13.2</v>
      </c>
    </row>
    <row r="93" spans="1:20" x14ac:dyDescent="0.3">
      <c r="N93" s="3">
        <f>11*39</f>
        <v>429</v>
      </c>
      <c r="R93" s="3">
        <f>11*39</f>
        <v>429</v>
      </c>
    </row>
    <row r="94" spans="1:20" x14ac:dyDescent="0.3">
      <c r="N94" s="3">
        <f>N92+N93</f>
        <v>442.2</v>
      </c>
      <c r="R94" s="3">
        <f>R92+R93</f>
        <v>442.2</v>
      </c>
    </row>
    <row r="95" spans="1:20" x14ac:dyDescent="0.3">
      <c r="N95" s="3">
        <f>N94-(0.45*0.45*15)</f>
        <v>439.16249999999997</v>
      </c>
      <c r="R95" s="3">
        <f>R94-(0.45*0.45*15)</f>
        <v>439.16249999999997</v>
      </c>
    </row>
    <row r="96" spans="1:20" x14ac:dyDescent="0.3">
      <c r="N96" s="3">
        <f>(6*39)-(1.8*30)</f>
        <v>180</v>
      </c>
      <c r="R96" s="3">
        <f>(6*39)-(1.8*30)</f>
        <v>180</v>
      </c>
    </row>
    <row r="97" spans="14:18" x14ac:dyDescent="0.3">
      <c r="N97" s="3">
        <f>3*39</f>
        <v>117</v>
      </c>
      <c r="R97" s="3">
        <f>3*39</f>
        <v>117</v>
      </c>
    </row>
    <row r="98" spans="14:18" x14ac:dyDescent="0.3">
      <c r="N98" s="3">
        <f>(2.5*1.5*14)</f>
        <v>52.5</v>
      </c>
      <c r="R98" s="3">
        <f>(2.5*1.5*14)</f>
        <v>52.5</v>
      </c>
    </row>
    <row r="99" spans="14:18" x14ac:dyDescent="0.3">
      <c r="N99" s="3">
        <f>4*39</f>
        <v>156</v>
      </c>
      <c r="R99" s="3">
        <f>4*39</f>
        <v>156</v>
      </c>
    </row>
    <row r="100" spans="14:18" x14ac:dyDescent="0.3">
      <c r="N100" s="3">
        <f>(10.5*39)-(1.8*3)-(2.25*30)</f>
        <v>336.6</v>
      </c>
      <c r="R100" s="3">
        <f>(10.5*39)-(1.8*3)-(2.25*30)</f>
        <v>336.6</v>
      </c>
    </row>
    <row r="101" spans="14:18" x14ac:dyDescent="0.3">
      <c r="N101" s="3">
        <f>3.78*39</f>
        <v>147.41999999999999</v>
      </c>
      <c r="R101" s="3">
        <f>3.78*39</f>
        <v>147.41999999999999</v>
      </c>
    </row>
    <row r="102" spans="14:18" x14ac:dyDescent="0.3">
      <c r="N102" s="3">
        <f>1.54*1.5*14</f>
        <v>32.340000000000003</v>
      </c>
      <c r="R102" s="3">
        <f>1.54*1.5*14</f>
        <v>32.340000000000003</v>
      </c>
    </row>
    <row r="103" spans="14:18" x14ac:dyDescent="0.3">
      <c r="N103" s="3">
        <f>0.9*39</f>
        <v>35.1</v>
      </c>
      <c r="R103" s="3">
        <f>0.9*39</f>
        <v>35.1</v>
      </c>
    </row>
    <row r="104" spans="14:18" x14ac:dyDescent="0.3">
      <c r="N104" s="3">
        <f>(2.18*39)-(0.85*32)</f>
        <v>57.820000000000007</v>
      </c>
      <c r="R104" s="3">
        <f>(2.18*39)-(0.85*32)</f>
        <v>57.820000000000007</v>
      </c>
    </row>
    <row r="105" spans="14:18" x14ac:dyDescent="0.3">
      <c r="N105" s="3">
        <f>2.86*36.7</f>
        <v>104.962</v>
      </c>
      <c r="R105" s="3">
        <f>2.86*36.7</f>
        <v>104.962</v>
      </c>
    </row>
    <row r="106" spans="14:18" x14ac:dyDescent="0.3">
      <c r="N106" s="3">
        <f>(10.5*39)-(1.8*3)-(2.25*30)</f>
        <v>336.6</v>
      </c>
      <c r="R106" s="3">
        <f>(10.5*39)-(1.8*3)-(2.25*30)</f>
        <v>336.6</v>
      </c>
    </row>
    <row r="107" spans="14:18" x14ac:dyDescent="0.3">
      <c r="N107" s="3">
        <f>1.5*39</f>
        <v>58.5</v>
      </c>
      <c r="R107" s="3">
        <f>1.5*39</f>
        <v>58.5</v>
      </c>
    </row>
    <row r="108" spans="14:18" x14ac:dyDescent="0.3">
      <c r="N108" s="3">
        <f>(5.9*39)-(1.8*30)</f>
        <v>176.10000000000002</v>
      </c>
      <c r="R108" s="3">
        <f>(5.9*39)-(1.8*30)</f>
        <v>176.10000000000002</v>
      </c>
    </row>
    <row r="109" spans="14:18" x14ac:dyDescent="0.3">
      <c r="N109" s="3">
        <f>(11*39)-(0.45*0.45*15)</f>
        <v>425.96249999999998</v>
      </c>
      <c r="R109" s="3">
        <f>(11*39)-(0.45*0.45*15)</f>
        <v>425.96249999999998</v>
      </c>
    </row>
  </sheetData>
  <mergeCells count="36">
    <mergeCell ref="Q85:R85"/>
    <mergeCell ref="Q5:T5"/>
    <mergeCell ref="Q6:T6"/>
    <mergeCell ref="Q75:R75"/>
    <mergeCell ref="Q79:R79"/>
    <mergeCell ref="Q81:R81"/>
    <mergeCell ref="A6:E6"/>
    <mergeCell ref="F6:H6"/>
    <mergeCell ref="I6:L6"/>
    <mergeCell ref="I5:L5"/>
    <mergeCell ref="A1:H1"/>
    <mergeCell ref="A2:H2"/>
    <mergeCell ref="A3:H3"/>
    <mergeCell ref="A4:H4"/>
    <mergeCell ref="A5:D5"/>
    <mergeCell ref="E5:H5"/>
    <mergeCell ref="B58:C58"/>
    <mergeCell ref="B67:E67"/>
    <mergeCell ref="E75:G75"/>
    <mergeCell ref="I75:J75"/>
    <mergeCell ref="B8:C8"/>
    <mergeCell ref="B12:C12"/>
    <mergeCell ref="B36:C36"/>
    <mergeCell ref="E82:G82"/>
    <mergeCell ref="H83:H85"/>
    <mergeCell ref="E81:G81"/>
    <mergeCell ref="I81:J81"/>
    <mergeCell ref="E79:G79"/>
    <mergeCell ref="I79:J79"/>
    <mergeCell ref="I85:J85"/>
    <mergeCell ref="M85:N85"/>
    <mergeCell ref="M5:P5"/>
    <mergeCell ref="M6:P6"/>
    <mergeCell ref="M75:N75"/>
    <mergeCell ref="M79:N79"/>
    <mergeCell ref="M81:N81"/>
  </mergeCells>
  <pageMargins left="0.7" right="0.7" top="0.75" bottom="0.75" header="0.3" footer="0.3"/>
  <pageSetup scale="16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Andrés Felipe Montoya Osorio</cp:lastModifiedBy>
  <cp:lastPrinted>2025-01-09T21:47:55Z</cp:lastPrinted>
  <dcterms:created xsi:type="dcterms:W3CDTF">2024-10-18T16:31:14Z</dcterms:created>
  <dcterms:modified xsi:type="dcterms:W3CDTF">2025-01-13T22:01:28Z</dcterms:modified>
</cp:coreProperties>
</file>