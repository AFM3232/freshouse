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Felipe Montoya\Downloads\"/>
    </mc:Choice>
  </mc:AlternateContent>
  <xr:revisionPtr revIDLastSave="0" documentId="8_{5B63C7AE-2AD7-4496-AC56-79BC687A376C}" xr6:coauthVersionLast="47" xr6:coauthVersionMax="47" xr10:uidLastSave="{00000000-0000-0000-0000-000000000000}"/>
  <workbookProtection workbookAlgorithmName="SHA-512" workbookHashValue="Mi45niL48fhbVwf5GF2oMPHhP0sL1d9gLOgYC9rlRcmRp0wolfAyuDvFEB9Un2VMG5TjPcu+x284dMpl3oCe9g==" workbookSaltValue="Hs1HE1E7MT/4lejBquKLGA==" workbookSpinCount="100000" lockStructure="1"/>
  <bookViews>
    <workbookView xWindow="-108" yWindow="-108" windowWidth="23256" windowHeight="12456" xr2:uid="{00000000-000D-0000-FFFF-FFFF00000000}"/>
  </bookViews>
  <sheets>
    <sheet name="formato presup." sheetId="1" r:id="rId1"/>
    <sheet name="esp tecnic cantidad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1" l="1"/>
  <c r="H64" i="1"/>
  <c r="E13" i="1"/>
  <c r="G13" i="1" s="1"/>
  <c r="G11" i="1"/>
  <c r="G10" i="1"/>
  <c r="G9" i="1"/>
  <c r="G81" i="1"/>
  <c r="G80" i="1"/>
  <c r="H79" i="1"/>
  <c r="G45" i="1"/>
  <c r="G35" i="1"/>
  <c r="G34" i="1"/>
  <c r="G33" i="1"/>
  <c r="H8" i="1"/>
  <c r="E75" i="1"/>
  <c r="G75" i="1"/>
  <c r="E59" i="1"/>
  <c r="G59" i="1"/>
  <c r="H58" i="1"/>
  <c r="E72" i="1"/>
  <c r="E69" i="1"/>
  <c r="E66" i="1"/>
  <c r="E41" i="1"/>
  <c r="G41" i="1"/>
  <c r="E37" i="1"/>
  <c r="G37" i="1"/>
  <c r="E29" i="1"/>
  <c r="G29" i="1"/>
  <c r="E25" i="1"/>
  <c r="G25" i="1"/>
  <c r="E21" i="1"/>
  <c r="G21" i="1"/>
  <c r="E17" i="1"/>
  <c r="G17" i="1"/>
  <c r="E12" i="2"/>
  <c r="E74" i="2"/>
  <c r="E73" i="2"/>
  <c r="E72" i="2"/>
  <c r="E71" i="2"/>
  <c r="E69" i="2"/>
  <c r="E67" i="2"/>
  <c r="E70" i="2"/>
  <c r="E62" i="2"/>
  <c r="E60" i="2"/>
  <c r="E53" i="2"/>
  <c r="E52" i="2"/>
  <c r="E51" i="2"/>
  <c r="E50" i="2"/>
  <c r="E49" i="2"/>
  <c r="E45" i="2"/>
  <c r="E30" i="2"/>
  <c r="E28" i="2"/>
  <c r="E24" i="2"/>
  <c r="E20" i="2"/>
  <c r="E16" i="2"/>
  <c r="E65" i="1"/>
  <c r="G65" i="1"/>
  <c r="E65" i="2"/>
  <c r="H36" i="1"/>
  <c r="H12" i="1"/>
  <c r="E44" i="2"/>
  <c r="E58" i="2"/>
  <c r="E68" i="2"/>
  <c r="E64" i="2"/>
  <c r="E36" i="2"/>
  <c r="H85" i="1"/>
  <c r="H86" i="1"/>
  <c r="H84" i="1"/>
  <c r="H83" i="1"/>
  <c r="H87" i="1"/>
  <c r="H88" i="1"/>
</calcChain>
</file>

<file path=xl/sharedStrings.xml><?xml version="1.0" encoding="utf-8"?>
<sst xmlns="http://schemas.openxmlformats.org/spreadsheetml/2006/main" count="530" uniqueCount="199">
  <si>
    <t>PARQUE RESIDENCIAL ORO NEGRO ATARDECER</t>
  </si>
  <si>
    <t>Reparacion Integral de Areas Comunes</t>
  </si>
  <si>
    <t>Cuadro con Cantidades y Precios Unitarios</t>
  </si>
  <si>
    <t>Nombre del Proponente:</t>
  </si>
  <si>
    <t>Ubicación del Proyecto: Calle 45 Norte # 13-90 Armenia-Quindío</t>
  </si>
  <si>
    <t>Fecha de Presentacion de Oferta: 02/02/2024</t>
  </si>
  <si>
    <t>REFERENCIA DE ACTIVIDADES</t>
  </si>
  <si>
    <t>Valoracion de Actividades</t>
  </si>
  <si>
    <t>Capitulo</t>
  </si>
  <si>
    <t>Items</t>
  </si>
  <si>
    <t>ACTIVIDAD</t>
  </si>
  <si>
    <t>Unidad</t>
  </si>
  <si>
    <t>Cantidad</t>
  </si>
  <si>
    <t>Vr Unitario</t>
  </si>
  <si>
    <t>Vr Parcial</t>
  </si>
  <si>
    <t>Vr Capitulo</t>
  </si>
  <si>
    <t>I</t>
  </si>
  <si>
    <t>Preliminares</t>
  </si>
  <si>
    <t>I.1</t>
  </si>
  <si>
    <t>Campamento de Obra</t>
  </si>
  <si>
    <t>Gl</t>
  </si>
  <si>
    <t>I.2</t>
  </si>
  <si>
    <t>Inspeccion Tecnica General</t>
  </si>
  <si>
    <t>I.3</t>
  </si>
  <si>
    <t>Señalizacion y Seguridad en Obra</t>
  </si>
  <si>
    <t>II</t>
  </si>
  <si>
    <t>Preparacion general de Superficies</t>
  </si>
  <si>
    <t>II.1</t>
  </si>
  <si>
    <t>Lavada general de Fachadas de los bloques de aptos</t>
  </si>
  <si>
    <t>M2</t>
  </si>
  <si>
    <t>II.1.1</t>
  </si>
  <si>
    <t>Bloque A</t>
  </si>
  <si>
    <t>II.1.2</t>
  </si>
  <si>
    <t>Bloque B</t>
  </si>
  <si>
    <t>II.1.3</t>
  </si>
  <si>
    <t>Bloque C</t>
  </si>
  <si>
    <t>II.2</t>
  </si>
  <si>
    <t>Remocion y reemplazo de revoques quemados en fachadas de edificios</t>
  </si>
  <si>
    <t>II.2.1</t>
  </si>
  <si>
    <t>II.2.2</t>
  </si>
  <si>
    <t>II.2.3</t>
  </si>
  <si>
    <t>II.3</t>
  </si>
  <si>
    <t>Remocion y reemplazo de graniplast deteriorado en fachadas de los bloques de apartamentos</t>
  </si>
  <si>
    <t>II.3.1</t>
  </si>
  <si>
    <t>II.3.2</t>
  </si>
  <si>
    <t>II.3.3</t>
  </si>
  <si>
    <t>II.4</t>
  </si>
  <si>
    <t>Remocion y reemplazo de superboard en mal estado en los bloques de aptos</t>
  </si>
  <si>
    <t>II.4.1</t>
  </si>
  <si>
    <t>II.4.2</t>
  </si>
  <si>
    <t>II.4.3</t>
  </si>
  <si>
    <t>II.5</t>
  </si>
  <si>
    <t>Remocion y reemplazo de sellos en elementos vidriados DE FACHADA en los bloques de los apartamentos</t>
  </si>
  <si>
    <t>ML</t>
  </si>
  <si>
    <t>II.5.1</t>
  </si>
  <si>
    <t>II.5.2</t>
  </si>
  <si>
    <t>II.5.3</t>
  </si>
  <si>
    <t>II.6</t>
  </si>
  <si>
    <t>Lavada general de Muros de cerramiento en areas comunes</t>
  </si>
  <si>
    <t>II.7</t>
  </si>
  <si>
    <t>Remocion y reemplazo de revoques quemados en muros de cerramiento de las areas comunes</t>
  </si>
  <si>
    <t>II.8</t>
  </si>
  <si>
    <t>Remocion y reemplazo de graniplast deteriorado en muros de cerramiento de las areas comunes</t>
  </si>
  <si>
    <t>III</t>
  </si>
  <si>
    <t>Reparaciones preventivas</t>
  </si>
  <si>
    <t>III.1</t>
  </si>
  <si>
    <t>Instalacion de Cortagoteras de aluminio en balcones Y ACCESOS A LOS BLOQUES</t>
  </si>
  <si>
    <t>III.1.1</t>
  </si>
  <si>
    <t>III.1.2</t>
  </si>
  <si>
    <t>III.1.3</t>
  </si>
  <si>
    <t>III.2</t>
  </si>
  <si>
    <t>Tratamiento integral de alfajias y laterales en balcones</t>
  </si>
  <si>
    <t>III.2.1</t>
  </si>
  <si>
    <t>III.2.2</t>
  </si>
  <si>
    <t>III.2.3</t>
  </si>
  <si>
    <t>III.3</t>
  </si>
  <si>
    <t>Recorrido e intervencion integral en cubiertas de los bloques DE APTOS</t>
  </si>
  <si>
    <t>III.3.1</t>
  </si>
  <si>
    <t>III.3.1.1</t>
  </si>
  <si>
    <t>Cubierta en concreto</t>
  </si>
  <si>
    <t>III.3.1.2</t>
  </si>
  <si>
    <t xml:space="preserve"> Viga Canal Central</t>
  </si>
  <si>
    <t>III.3.1.3</t>
  </si>
  <si>
    <t>Alfajia de Coronacion</t>
  </si>
  <si>
    <t>III.3.2</t>
  </si>
  <si>
    <t>GL</t>
  </si>
  <si>
    <t>III.3.2.1</t>
  </si>
  <si>
    <t>III.3.2.2</t>
  </si>
  <si>
    <t>III.3.2.3</t>
  </si>
  <si>
    <t>III.3.3</t>
  </si>
  <si>
    <t>III.3.3.1</t>
  </si>
  <si>
    <t>III.3.3.2</t>
  </si>
  <si>
    <t>III.3.3.3</t>
  </si>
  <si>
    <t>IV</t>
  </si>
  <si>
    <t>Mantenimiento integral de superficies</t>
  </si>
  <si>
    <t>IV.1</t>
  </si>
  <si>
    <t>Pintura tipo koraza exterior en fachadas de los bloques y cerramientos del conjunto</t>
  </si>
  <si>
    <t>IV.1.1</t>
  </si>
  <si>
    <t>IV.1.2</t>
  </si>
  <si>
    <t>IV.1.3</t>
  </si>
  <si>
    <t>IV.1.4</t>
  </si>
  <si>
    <t>Muros de cerramiento en areas comunes</t>
  </si>
  <si>
    <t>V</t>
  </si>
  <si>
    <t>Actividades opcionales</t>
  </si>
  <si>
    <t>V.1</t>
  </si>
  <si>
    <t>Pintura tipo VINILO para interiores</t>
  </si>
  <si>
    <t>V.1.1</t>
  </si>
  <si>
    <t>V.1.1.1</t>
  </si>
  <si>
    <t>Paredes</t>
  </si>
  <si>
    <t>V.1.1.2</t>
  </si>
  <si>
    <t>Cielo Raso</t>
  </si>
  <si>
    <t>V.1.2</t>
  </si>
  <si>
    <t>V.1.2.1</t>
  </si>
  <si>
    <t>V.1.2.2</t>
  </si>
  <si>
    <t>V.1.3</t>
  </si>
  <si>
    <t>V.1.3.1</t>
  </si>
  <si>
    <t>V.1.3.2</t>
  </si>
  <si>
    <t>V.2</t>
  </si>
  <si>
    <t>Sellamiento de grietas en dilataciones de placas</t>
  </si>
  <si>
    <t>V.2.1</t>
  </si>
  <si>
    <t>V.2.2</t>
  </si>
  <si>
    <t>V.2.3</t>
  </si>
  <si>
    <t>VI</t>
  </si>
  <si>
    <t>Actividades de entrega de la obra</t>
  </si>
  <si>
    <t>VI.1</t>
  </si>
  <si>
    <t>Detallada General de Obra</t>
  </si>
  <si>
    <t>VI.2</t>
  </si>
  <si>
    <t>Aseo y limpieza General con retiro de escombros</t>
  </si>
  <si>
    <t>Costo Directo</t>
  </si>
  <si>
    <t>Administracion</t>
  </si>
  <si>
    <t>A</t>
  </si>
  <si>
    <t>Imprevistos</t>
  </si>
  <si>
    <t>Utilidad</t>
  </si>
  <si>
    <t>U</t>
  </si>
  <si>
    <t>Iva/Utilidad</t>
  </si>
  <si>
    <t>IVA/U</t>
  </si>
  <si>
    <t>Costo Indirecto</t>
  </si>
  <si>
    <t>Valor Propuesta</t>
  </si>
  <si>
    <t>Cuadro general de ITEMS con sus cantidades, descripcion y especificaciones tecnicas</t>
  </si>
  <si>
    <t>Calculó y Especificó: Ing. Luis Fernando Márquez Jaramillo - MP 63202-21775</t>
  </si>
  <si>
    <t>Enero 20 de 2024</t>
  </si>
  <si>
    <t>Ref. Consultoria: TR-01-01-2024</t>
  </si>
  <si>
    <t>Reparacion integral de Areas Comunes en Conjunto Residencial Oro Negro Atardecer</t>
  </si>
  <si>
    <t>ESPECIFICACIONES TECNICAS</t>
  </si>
  <si>
    <t>DESCRIPCION TECNICA</t>
  </si>
  <si>
    <t>Materiales a Utilizar</t>
  </si>
  <si>
    <t>OBSERVACIONES GENERALES</t>
  </si>
  <si>
    <t>Sera con carácter de provisional. El sitio es un parqueadero que sera suministrado por el contratante y adecuado por el contratista. La seguridad del campamento sera responsabilidad unica y exclusivamente del Contratista. Este mismo lugar servira de sitio para cambio de ropa de los operadores. eL CONTRATISTA DEBERA DESIGNAR UNA BATERIA SANITARIA PARA SER UTILIZADA POR EL PERSONAL DE LA OBRA DURANTE EL TIEMPO QUE DUREN LOS TRABAJOS</t>
  </si>
  <si>
    <t>El cerramiento del campamento se construira con tela sintetica o esterilla y soportes en guadua o similares, cuidando que no represente ningun peligro para los habitantes del condominio y se garantice la seguridad de los materiales y del personal.</t>
  </si>
  <si>
    <t>Cualquier variacion en esta disposicion, será con el visto bueno de la administracion del condominio y según lo que hayan acordado con el contratista. De esto debera dejarse constancia escrita</t>
  </si>
  <si>
    <t>Esta actividad se adelantara en el caso de presentarse algun evento tecnico que requiera del concepto especializado de un profesional especialista en el tema objeto de revision. En el caso de que la solucion no se encuentre presupuestada como una actividad de este contrato, se procedera a realizar el respectivo APU de la solucion formulada por el especialista y se sometera a la aprobacion del contratista con el acompañamiento del Interventor.</t>
  </si>
  <si>
    <t>Estas recomendaciones podran dar lugar a variaciones en los descriptores tecnicos de estas especificaciones. Las variaciones podran o no producir cambios en los valores estimados inicialmente por parte del proponente.</t>
  </si>
  <si>
    <t>Señalizacion y seguridad en obra</t>
  </si>
  <si>
    <t>Todos los sitios en  donde se encuentren en ejecucion actividades propias del contrato, deberan tener su respectiva señalizacion de seguridad: conos, cinta de precaucion, avisos de alerta, etc. Adicionalmente, el contratista debera tener en obra lo minimo de elementos de atencion de emergencias y de primeros auxilios para atencion y cuidado de su personal.</t>
  </si>
  <si>
    <t>(M2)</t>
  </si>
  <si>
    <t>Labor previa a la de aplicación de la pintura, con la finalidda de retirar todo el material, graso o contaminante, que afecte el comportamiento del acabado instalado. En esta actividad se detectan, ademas, los fallos existentes en el mortero y/o en el graniplast.</t>
  </si>
  <si>
    <t>Esta actividad se ejecuta usando, como desmanchador y desinfectante, una mezcla al 10% de hipoclorito disuelto en agua limpia. Para el lavado se usara jabon para fachadas, aplicado con cepillo y enjuagado con hidrolavadora.</t>
  </si>
  <si>
    <t>El material de revoque que se desprenda por encontrarse agrietado o quemado,  deberá ser reemplazado con una mezcla de mortero 1:3, o con mortero de reparacion, lo que mejor se ajuste, segun el caso. Sobre el mortero se aplicará graniplast texturizado y pintado, el cual se liquida de forma independiente ( item II.3)</t>
  </si>
  <si>
    <t>Para la ejecucion de esta actividad se usara mortero 1:3 o un producto tipo mortero de reparacion "SIKA REPAIR-220", como minimo en  calidad.  En la PROPUESTA DEBERA ESPECIFICARSE el producto a ser utilizado, con su respectiva ficha tecnica.</t>
  </si>
  <si>
    <t>Se trata de remover y reemplazar posteriormente el material texturizado, tipo graniplast , que se encuentre suelto, mal adherido o quemado. En esta actividad se analizara, para cada punto, que cantidad o area se reemplazaria, a fin de conservar la armonia del color y la buena apariencia estetica del paño.</t>
  </si>
  <si>
    <t xml:space="preserve"> Se usara producto tipo GRANIPLAST PREMIUM ESGRAFIADO DE PINTUCO, como minimo en calidad. En la propuesta debera especificarse el producto a utilizar, con su respectiva ficha tecnica.</t>
  </si>
  <si>
    <t>En esta actividad no se admitiran materiales preparados en obra.</t>
  </si>
  <si>
    <t>Esta actividad busca reemplazar el material superboard deteriorado por la humedad o por rotura de cualquier origen.</t>
  </si>
  <si>
    <t>El procedimiento básicamente es: retiro del material SUPERBOARD en mal estado, reposicion y armado de la estructura de soporte(donde se requiera), colocación de las placas de reemplazo, tratamiento de juntas, masillado, lijado y terminado en pintura, según especificacion. Lamina de reemplazo del mismo espesor del existente. Puede usarse ETERBOARD o SUPERBOARD o similares en calidad. Instalar de acuerdo a ficha tecnica y manual del fabricante</t>
  </si>
  <si>
    <t>Por la exposicion prolongada al sol y al agua, o por el sellado con materiales inadecuados, la ventaneria de aluminio empieza a presentar deficiencias en el sellado externo, originando humedades hacia el interior de las viviendas. Para contrarestar este problema se debe remover el material de sellamiento existente y aplicar un nuevo producto.</t>
  </si>
  <si>
    <t>La forma adecuada de ejecutar esta actividad es procediendo a la remosion total de todo el material de sello existente, seguido de una limpieza integral del espacio entre la pared y el marco de la ventana, para posteriormente aplicar un cordon grueso de sellante  SIKA- SELLO PUERTAS Y VENTANAS o similar encalidad y en especificacion tecnica. Productos mas comunes: SIKAFLEX o SOUDAFLEX.</t>
  </si>
  <si>
    <t>Dadas las condiciones fisicas en que se observaron los sellos existentes, la reposicion debera hacerse en todo el perimetro de la ventana. Se analizara en que elementos no es necesaria la reposicion</t>
  </si>
  <si>
    <t>Labor previa a la de aplicación de la pintura, con la finalidad de retirar todo el material, graso o contaminante, que afecte el comportamiento del acabado instalado. En esta actividad se detectan, ademas, los fallos existentes en el mortero y/o en el graniplast.</t>
  </si>
  <si>
    <t>El material de revoque que se desprenda, por encontrarse agrietado o quemado,  deberá ser reemplazado con una mezcla de mortero 1:3, o con mortero de reparacion, lo que mejor se ajuste, segun el caso. Sobre el mortero se aplicará graniplast texturizado y pintado, el cual se liquida de forma independiente ( item II.3)</t>
  </si>
  <si>
    <t>Se usara producto tipo GRANIPLAST PREMIUM ESGRAFIADO DE PINTUCO, como minimo en calidad. En la propuesta debera especificarse el producto a utilizar, con su respectiva ficha tecnica.</t>
  </si>
  <si>
    <t>(ML)</t>
  </si>
  <si>
    <t>Se busca, con esta actividad, proteger de la humedad los cielos rasos, tanto de los balcones, como de los accesos a los bloques de apartamentos. En la actitualidad estan conformados los cortagoteras con extenciones de superboard, mal sellados y con un alto grado de deterioro.</t>
  </si>
  <si>
    <t>Los cortagoras tendran la siguiente especificacion tecnica: angulo de aluminio de 1,5" x 1,5", calibre de 1,6 mm, instalados sin cortarlos ni añadirlos, deberan ser sangrados para doblarlos donde sea necesario. La junta, entre la pared y el aluminio, debera sellarse con sikaflex, o soudaflex, o algun otro producto de igual calidad y especificacion tecnica que los mencionados. El terminado del cortagoteras será en graniplast, pintado con el mismo color y tono de pintura a aplicar en el sitio donde se instale.</t>
  </si>
  <si>
    <t>La acumulacion de agua estancada en los bordillos de los balcones genera la produccion de hongos y manchas persistentes. Para contrarestar este problema es necesario tratar las alfajias de los balcones y sus laterales externos con la aplicación de productos hidropelentes y sellantes de superficie, posterior a un resane detallado de las superficies.</t>
  </si>
  <si>
    <t xml:space="preserve">Los materiales a utilizar seran del tipo AQUA BLOCK DE PINTUCO o similares en calidad y desempeño tecnico, según ficha del fabricante. La reparaciones a que haya lugar se haran con la utilizacion de roductos del tipo morteros de reparacion. Algunas marcas y referencias conocidas son: REVOFAST de Pintuco, SIKA REPAIR, etc </t>
  </si>
  <si>
    <t>Esta actividad se analizara con mas  detalle ya en obra y con asistencia de algun experto de las empresas especialistas en la materia.</t>
  </si>
  <si>
    <t>Esta actividad comprende la revision  del estado general de la cubierta del edificio y su reparacion integral, de acuerdo a los hallazgos hechos por los proponentes en su visita de obra, garantizando la correccion de todos los aspectos o novedades que puedan ser causantes de humedades en los apartamentos del ultimo piso. De igual forma se tendra en cuenta la alfajia perimetral en cuanto a su aspecto estetico. De esta actividad se proporcionaran medidas de areas relevantes para su analisis</t>
  </si>
  <si>
    <t>Lo ha tener en cuenta en este aspecto es el estado del manto impermeabilizante y del concreto de recubrimiento. Los defectos encontrados deberan ser reparados de forma tecnica</t>
  </si>
  <si>
    <t>Los resanes en el concreto se haran con mortero de reparacion" SikaQuick 2500", o similar, y el manto de impermeabilizacion se repara con SikaTecho E, o similares en cuanto a su ficha tecnica. En la propuesta debera especificarsen los productos a ser utilizados.</t>
  </si>
  <si>
    <t>En este elemento debera garantizarce su optimo funcionamiento: pendiente, bajantes, estanquidad, etc.</t>
  </si>
  <si>
    <t>A manera de sellante reparador de pequeñas fisuras e impermeabilizacion, debera usarse un producto tipo Sika Fill 100 o similar en calidad y desempeño tecnico.</t>
  </si>
  <si>
    <t>Revisar el estado del concreto y del recubrimiento y su acabado. Se debe dejar en optimas condiciones de apariencia y funcionalidad</t>
  </si>
  <si>
    <t>Resane con mortero "SikaQuick 2500" o similar en cuanto a ficha tecnica y acabado en pintura para exterior de pintuco, color gris basalto o el que determine el contratante</t>
  </si>
  <si>
    <t>Resanes en el concreto con mortero de reparacion SikaQuick 2500 o similar y manto de impermeabilizacion con SikaTecho E, o similar en cuanto a su ficha tecnica. En la propuesta debera especificarsen los productos a ser utilizados.</t>
  </si>
  <si>
    <t>Resane con mortero "SikaQuick 2500" o similar en cuanto a ficha tecnica. En la propuesta se debera especificar que productos seran utilizados</t>
  </si>
  <si>
    <t>En este elemento debera garantizarse su optimo funcionamiento: pendiente, buen funcionamiento de bajantes, estanquidad optima, etc.</t>
  </si>
  <si>
    <t>Se trata del suministro y aplicacion de pintura de optima calidad sobre la superficie de las fachadas de los bloques de apartamentos y cerramientos del condominio. Las superficies a pintar seran previamente lavadas y resanadas de acuerdo a las especificaciones dadas en los items respectivos (II.1, II-2, II-3 y II.4). Esta actividad aplica tambien sobre el graniplast reemplazado por deterioro o desprendimiento del existente originalmente. Se aclara que este item requiere de aplicacion de pinturas de colores previamente aprobados por el CONTRATANTE  "Parque Residencial ORO NEGRO ATARDECER". El proponente debera presentar una propuesta de colores, especificando tonalidades (segun la carta de colores) y su distribucion en las fachadas (render).</t>
  </si>
  <si>
    <t>Debe usarse pintura para exteriores de optima calidad certificada, tipo  KORAZA PRO 550 DE PINTUCO como minimo. Su aplicación sera con brochas y rodillos. El ingreso a la obra del material de pintura a utilizar debe ser en el empaque original de fabrica, debidamente sellado. Para el desarrollo de esta actividad deberan ser tenidas en cuenta todas las medidas de proteccion de las areas adyacentes a las fachadas o sitios a intervenir con el fin de conservar todo en su estado anterior a la ejecucion de las obras (vidrios, pisos, paredes, barandales, etc).</t>
  </si>
  <si>
    <r>
      <rPr>
        <u/>
        <sz val="9"/>
        <color theme="1"/>
        <rFont val="Calibri"/>
        <family val="2"/>
        <scheme val="minor"/>
      </rPr>
      <t>Nota</t>
    </r>
    <r>
      <rPr>
        <sz val="9"/>
        <color theme="1"/>
        <rFont val="Calibri"/>
        <family val="2"/>
        <scheme val="minor"/>
      </rPr>
      <t>: el azul brillante, el amarillo y el rojo, son más propensos a la decoloración por efecto de la radiación ultravioleta. El color negro es altamente absorvente de luz y, en consecuencia, genera temperaturas mas altas al interior de las edificaciones</t>
    </r>
  </si>
  <si>
    <t>Esta actividad se refiere a la pintada de  las paredes y cielorasos de las areas comunes INTERIORES de los pasillos de apartamentos. Para su correcta ejecucion, previamente deberan haberse  resanado todas las fallas e imperfecciones existentes, a fin de lograr un cubrimiento optimo. Las areas a intervenir deberan ser limpiadas previamente, para evitar la perdida de adherencia de la pintura sobre la superficie.</t>
  </si>
  <si>
    <t>Debera usarse pintura de optima calidad certificada, tipo VINILTEX ADVANCED DE PINTUCO. Su aplicación se hara con brochas y/o rodillos. En la oferta debera especificarse la pintura a aplicar: nombre, ficha tecnica y marca. Para el uso de los productos a utilizar deberan seguirse las recomendaciones del fabricante. La pintura, en caso de ofertar otra marca y tipo, debera ser previamente aprobada por la Interventoria.</t>
  </si>
  <si>
    <t>Se hara una inspeccion previa y se determinara la necesidad de esta actividad y su alcance, en cuanto a manos de pintura se refiere</t>
  </si>
  <si>
    <t>Las grietas por retracciones por temperatura y por cambio de volumen en los concretos, que pueden presentarse en las dilataciones horizontales en las placas de entrepiso, pueden eventualmente ser generadoras de humedades al interior de las edificaciones. En caso de presentarse esta situacion es necesario su sellado, en forma de cordon longitudinal, con algun producto tipo polimero de alta flexibilidad y resistente a la intemperie.</t>
  </si>
  <si>
    <t xml:space="preserve">Esta actividad puede atenderse con productos como: soudaflex, sikaFlex PRO-3 o similares en calidad y desempeño tecnico </t>
  </si>
  <si>
    <t>Se hara una inspeccion previa y se determinara la necesidad de esta actividad y su alcance</t>
  </si>
  <si>
    <t>Esta actividad comprende el repaso general de detalles en obra, tales como: repaso de elementos ya intervenidos, correcciones, ajustes, reparaciones por daños ocasionados y, en general, todas aquellas labores que tengan que ver con dejar en optimas condiciones finalese la obra ejecutada.</t>
  </si>
  <si>
    <t>Para esta actividad debera conformarse una cuadrilla dedicada, unica y exclusivamente, a esta labor.</t>
  </si>
  <si>
    <t>El contratista debe entregar la obra en perfecto estado de limpieza y aseo general. Se incluyen en esta actividad: vidrios de ventanas y puertas, paredes, pisos, cubiertas, etc.</t>
  </si>
  <si>
    <t>En este aseo general se usaran productos no corrosivos ni dañinos para los elementos a limpiar. La obra debera quedar libre de escombros y de basura resultante de las actividades propias del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</si>
</sst>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9"/>
      <color theme="1"/>
      <name val="Calibri"/>
      <family val="2"/>
      <scheme val="minor"/>
    </font>
    <font>
      <sz val="9"/>
      <name val="Calibri"/>
      <family val="2"/>
      <scheme val="minor"/>
    </font>
    <font>
      <u/>
      <sz val="9"/>
      <color theme="1"/>
      <name val="Calibri"/>
      <family val="2"/>
      <scheme val="minor"/>
    </font>
    <font>
      <sz val="10"/>
      <color theme="1"/>
      <name val="Calibri"/>
      <family val="2"/>
      <scheme val="minor"/>
    </font>
    <font>
      <sz val="8"/>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59">
    <xf numFmtId="0" fontId="0" fillId="0" borderId="0" xfId="0"/>
    <xf numFmtId="0" fontId="0" fillId="0" borderId="0" xfId="0" applyAlignment="1">
      <alignment vertical="center"/>
    </xf>
    <xf numFmtId="0" fontId="0" fillId="0" borderId="1" xfId="0" applyBorder="1" applyAlignment="1">
      <alignment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4" borderId="1" xfId="0" applyFont="1" applyFill="1" applyBorder="1" applyAlignment="1">
      <alignment vertical="center"/>
    </xf>
    <xf numFmtId="44" fontId="2" fillId="4" borderId="1" xfId="0" applyNumberFormat="1" applyFont="1" applyFill="1" applyBorder="1" applyAlignment="1">
      <alignment vertical="center"/>
    </xf>
    <xf numFmtId="0" fontId="2" fillId="4" borderId="1" xfId="0" applyFont="1" applyFill="1" applyBorder="1" applyAlignment="1">
      <alignment horizontal="center" vertical="center"/>
    </xf>
    <xf numFmtId="0" fontId="0" fillId="3" borderId="1" xfId="0" applyFill="1" applyBorder="1" applyAlignment="1">
      <alignment vertical="center"/>
    </xf>
    <xf numFmtId="43" fontId="2" fillId="3" borderId="1" xfId="1" applyFont="1" applyFill="1" applyBorder="1" applyAlignment="1">
      <alignment vertical="center"/>
    </xf>
    <xf numFmtId="44" fontId="0" fillId="0" borderId="1" xfId="2" applyFont="1" applyBorder="1" applyAlignment="1">
      <alignment vertical="center"/>
    </xf>
    <xf numFmtId="0" fontId="0" fillId="4" borderId="1" xfId="0" applyFill="1" applyBorder="1" applyAlignment="1">
      <alignment horizontal="center" vertical="center"/>
    </xf>
    <xf numFmtId="43" fontId="0" fillId="4" borderId="1" xfId="1" applyFont="1" applyFill="1" applyBorder="1" applyAlignment="1">
      <alignment vertical="center"/>
    </xf>
    <xf numFmtId="0" fontId="0" fillId="4" borderId="1" xfId="0" applyFill="1" applyBorder="1" applyAlignment="1">
      <alignment vertical="center"/>
    </xf>
    <xf numFmtId="43" fontId="0" fillId="0" borderId="1" xfId="1" applyFont="1" applyBorder="1" applyAlignment="1">
      <alignment vertical="center"/>
    </xf>
    <xf numFmtId="43" fontId="0" fillId="3" borderId="1" xfId="1" applyFont="1" applyFill="1" applyBorder="1" applyAlignment="1">
      <alignment vertical="center"/>
    </xf>
    <xf numFmtId="43" fontId="0" fillId="2" borderId="1" xfId="1" applyFont="1" applyFill="1" applyBorder="1" applyAlignment="1">
      <alignment vertical="center"/>
    </xf>
    <xf numFmtId="43" fontId="2" fillId="2" borderId="1" xfId="1" applyFont="1" applyFill="1" applyBorder="1" applyAlignment="1">
      <alignment vertical="center"/>
    </xf>
    <xf numFmtId="0" fontId="0" fillId="0" borderId="0" xfId="0" applyAlignment="1">
      <alignment horizontal="center" vertical="center"/>
    </xf>
    <xf numFmtId="9" fontId="2" fillId="0" borderId="1" xfId="0" applyNumberFormat="1" applyFont="1" applyBorder="1" applyAlignment="1">
      <alignment horizontal="center" vertical="center"/>
    </xf>
    <xf numFmtId="44" fontId="2" fillId="0" borderId="1" xfId="2" applyFont="1" applyBorder="1" applyAlignment="1">
      <alignment vertical="center"/>
    </xf>
    <xf numFmtId="44" fontId="0" fillId="2" borderId="1" xfId="0" applyNumberFormat="1" applyFill="1" applyBorder="1" applyAlignment="1">
      <alignment vertical="center"/>
    </xf>
    <xf numFmtId="44" fontId="0" fillId="3" borderId="1" xfId="2" applyFont="1" applyFill="1" applyBorder="1" applyAlignment="1">
      <alignment vertical="center"/>
    </xf>
    <xf numFmtId="44" fontId="0" fillId="4" borderId="1" xfId="0" applyNumberFormat="1" applyFill="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vertical="center"/>
    </xf>
    <xf numFmtId="43" fontId="5" fillId="0" borderId="1" xfId="0" applyNumberFormat="1" applyFont="1" applyBorder="1" applyAlignment="1">
      <alignment horizontal="center" vertical="center"/>
    </xf>
    <xf numFmtId="0" fontId="9" fillId="0" borderId="1" xfId="0" applyFont="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xf>
    <xf numFmtId="0" fontId="0" fillId="3" borderId="6" xfId="0" applyFill="1" applyBorder="1" applyAlignment="1">
      <alignment vertical="center"/>
    </xf>
    <xf numFmtId="0" fontId="3" fillId="0" borderId="1" xfId="0" applyFont="1" applyBorder="1" applyAlignment="1">
      <alignment horizontal="center" vertical="center"/>
    </xf>
    <xf numFmtId="0" fontId="2" fillId="0" borderId="1" xfId="0" applyFont="1" applyBorder="1" applyAlignment="1">
      <alignment horizontal="lef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8"/>
  <sheetViews>
    <sheetView showGridLines="0" showRowColHeaders="0" tabSelected="1" topLeftCell="B79" workbookViewId="0">
      <selection activeCell="H83" sqref="H83"/>
    </sheetView>
  </sheetViews>
  <sheetFormatPr baseColWidth="10" defaultColWidth="11.44140625" defaultRowHeight="14.4" outlineLevelRow="2" outlineLevelCol="1" x14ac:dyDescent="0.3"/>
  <cols>
    <col min="1" max="1" width="11.44140625" style="21"/>
    <col min="2" max="2" width="11.44140625" style="1"/>
    <col min="3" max="3" width="96.44140625" style="1" bestFit="1" customWidth="1"/>
    <col min="4" max="4" width="7.44140625" style="1" bestFit="1" customWidth="1"/>
    <col min="5" max="5" width="15.5546875" style="1" customWidth="1" outlineLevel="1"/>
    <col min="6" max="6" width="16.5546875" style="1" customWidth="1" outlineLevel="1"/>
    <col min="7" max="8" width="17.6640625" style="1" customWidth="1"/>
    <col min="9" max="16384" width="11.44140625" style="1"/>
  </cols>
  <sheetData>
    <row r="1" spans="1:8" ht="18" x14ac:dyDescent="0.3">
      <c r="A1" s="35" t="s">
        <v>0</v>
      </c>
      <c r="B1" s="35"/>
      <c r="C1" s="35"/>
      <c r="D1" s="35"/>
      <c r="E1" s="35"/>
      <c r="F1" s="35"/>
      <c r="G1" s="35"/>
      <c r="H1" s="35"/>
    </row>
    <row r="2" spans="1:8" ht="15.6" x14ac:dyDescent="0.3">
      <c r="A2" s="37" t="s">
        <v>1</v>
      </c>
      <c r="B2" s="38"/>
      <c r="C2" s="38"/>
      <c r="D2" s="38"/>
      <c r="E2" s="38"/>
      <c r="F2" s="38"/>
      <c r="G2" s="38"/>
      <c r="H2" s="39"/>
    </row>
    <row r="3" spans="1:8" ht="15.6" x14ac:dyDescent="0.3">
      <c r="A3" s="37" t="s">
        <v>2</v>
      </c>
      <c r="B3" s="38"/>
      <c r="C3" s="38"/>
      <c r="D3" s="38"/>
      <c r="E3" s="38"/>
      <c r="F3" s="38"/>
      <c r="G3" s="38"/>
      <c r="H3" s="39"/>
    </row>
    <row r="4" spans="1:8" x14ac:dyDescent="0.3">
      <c r="A4" s="36" t="s">
        <v>3</v>
      </c>
      <c r="B4" s="36"/>
      <c r="C4" s="36"/>
      <c r="D4" s="36"/>
      <c r="E4" s="36"/>
      <c r="F4" s="36"/>
      <c r="G4" s="36"/>
      <c r="H4" s="36"/>
    </row>
    <row r="5" spans="1:8" x14ac:dyDescent="0.3">
      <c r="A5" s="45" t="s">
        <v>4</v>
      </c>
      <c r="B5" s="46"/>
      <c r="C5" s="46"/>
      <c r="D5" s="47"/>
      <c r="E5" s="45" t="s">
        <v>5</v>
      </c>
      <c r="F5" s="46"/>
      <c r="G5" s="46"/>
      <c r="H5" s="47"/>
    </row>
    <row r="6" spans="1:8" x14ac:dyDescent="0.3">
      <c r="A6" s="42" t="s">
        <v>6</v>
      </c>
      <c r="B6" s="43"/>
      <c r="C6" s="43"/>
      <c r="D6" s="43"/>
      <c r="E6" s="44"/>
      <c r="F6" s="42" t="s">
        <v>7</v>
      </c>
      <c r="G6" s="43"/>
      <c r="H6" s="44"/>
    </row>
    <row r="7" spans="1:8" x14ac:dyDescent="0.3">
      <c r="A7" s="3" t="s">
        <v>8</v>
      </c>
      <c r="B7" s="3" t="s">
        <v>9</v>
      </c>
      <c r="C7" s="5" t="s">
        <v>10</v>
      </c>
      <c r="D7" s="3" t="s">
        <v>11</v>
      </c>
      <c r="E7" s="3" t="s">
        <v>12</v>
      </c>
      <c r="F7" s="3" t="s">
        <v>13</v>
      </c>
      <c r="G7" s="3" t="s">
        <v>14</v>
      </c>
      <c r="H7" s="3" t="s">
        <v>15</v>
      </c>
    </row>
    <row r="8" spans="1:8" x14ac:dyDescent="0.3">
      <c r="A8" s="10" t="s">
        <v>16</v>
      </c>
      <c r="B8" s="40" t="s">
        <v>17</v>
      </c>
      <c r="C8" s="41"/>
      <c r="D8" s="8"/>
      <c r="E8" s="8"/>
      <c r="F8" s="8"/>
      <c r="G8" s="8"/>
      <c r="H8" s="9">
        <f>+G9+G10+G11</f>
        <v>5370000</v>
      </c>
    </row>
    <row r="9" spans="1:8" x14ac:dyDescent="0.3">
      <c r="A9" s="4"/>
      <c r="B9" s="6" t="s">
        <v>18</v>
      </c>
      <c r="C9" s="11" t="s">
        <v>19</v>
      </c>
      <c r="D9" s="6" t="s">
        <v>20</v>
      </c>
      <c r="E9" s="12">
        <v>1</v>
      </c>
      <c r="F9" s="25">
        <v>4800000</v>
      </c>
      <c r="G9" s="25">
        <f>+E9*F9</f>
        <v>4800000</v>
      </c>
      <c r="H9" s="13"/>
    </row>
    <row r="10" spans="1:8" x14ac:dyDescent="0.3">
      <c r="A10" s="4"/>
      <c r="B10" s="6" t="s">
        <v>21</v>
      </c>
      <c r="C10" s="11" t="s">
        <v>22</v>
      </c>
      <c r="D10" s="6" t="s">
        <v>20</v>
      </c>
      <c r="E10" s="12">
        <v>1</v>
      </c>
      <c r="F10" s="25">
        <v>200000</v>
      </c>
      <c r="G10" s="25">
        <f>E10*F10</f>
        <v>200000</v>
      </c>
      <c r="H10" s="13"/>
    </row>
    <row r="11" spans="1:8" x14ac:dyDescent="0.3">
      <c r="A11" s="4"/>
      <c r="B11" s="6" t="s">
        <v>23</v>
      </c>
      <c r="C11" s="34" t="s">
        <v>24</v>
      </c>
      <c r="D11" s="6" t="s">
        <v>20</v>
      </c>
      <c r="E11" s="12">
        <v>1</v>
      </c>
      <c r="F11" s="25">
        <v>370000</v>
      </c>
      <c r="G11" s="25">
        <f>E11*F11</f>
        <v>370000</v>
      </c>
      <c r="H11" s="13"/>
    </row>
    <row r="12" spans="1:8" x14ac:dyDescent="0.3">
      <c r="A12" s="10" t="s">
        <v>25</v>
      </c>
      <c r="B12" s="40" t="s">
        <v>26</v>
      </c>
      <c r="C12" s="41"/>
      <c r="D12" s="14"/>
      <c r="E12" s="15"/>
      <c r="F12" s="16"/>
      <c r="G12" s="16"/>
      <c r="H12" s="9">
        <f>+G13+G17+G21+G25+G29+G33+G34+G35</f>
        <v>140985252.34</v>
      </c>
    </row>
    <row r="13" spans="1:8" x14ac:dyDescent="0.3">
      <c r="A13" s="4"/>
      <c r="B13" s="6" t="s">
        <v>27</v>
      </c>
      <c r="C13" s="11" t="s">
        <v>28</v>
      </c>
      <c r="D13" s="6" t="s">
        <v>29</v>
      </c>
      <c r="E13" s="12">
        <f>+SUM(E14:E16)</f>
        <v>14052.914600000002</v>
      </c>
      <c r="F13" s="25">
        <v>2900</v>
      </c>
      <c r="G13" s="25">
        <f>+E13*F13</f>
        <v>40753452.340000004</v>
      </c>
      <c r="H13" s="2"/>
    </row>
    <row r="14" spans="1:8" outlineLevel="1" x14ac:dyDescent="0.3">
      <c r="A14" s="4"/>
      <c r="B14" s="2" t="s">
        <v>30</v>
      </c>
      <c r="C14" s="2" t="s">
        <v>31</v>
      </c>
      <c r="D14" s="3" t="s">
        <v>29</v>
      </c>
      <c r="E14" s="17">
        <v>4762.2248000000009</v>
      </c>
      <c r="F14" s="2"/>
      <c r="G14" s="25"/>
      <c r="H14" s="2"/>
    </row>
    <row r="15" spans="1:8" outlineLevel="1" x14ac:dyDescent="0.3">
      <c r="A15" s="4"/>
      <c r="B15" s="2" t="s">
        <v>32</v>
      </c>
      <c r="C15" s="2" t="s">
        <v>33</v>
      </c>
      <c r="D15" s="3" t="s">
        <v>29</v>
      </c>
      <c r="E15" s="17">
        <v>4762.2248000000009</v>
      </c>
      <c r="F15" s="2"/>
      <c r="G15" s="2"/>
      <c r="H15" s="2"/>
    </row>
    <row r="16" spans="1:8" outlineLevel="1" x14ac:dyDescent="0.3">
      <c r="A16" s="4"/>
      <c r="B16" s="2" t="s">
        <v>34</v>
      </c>
      <c r="C16" s="2" t="s">
        <v>35</v>
      </c>
      <c r="D16" s="3" t="s">
        <v>29</v>
      </c>
      <c r="E16" s="17">
        <v>4528.4650000000001</v>
      </c>
      <c r="F16" s="2"/>
      <c r="G16" s="2"/>
      <c r="H16" s="2"/>
    </row>
    <row r="17" spans="1:8" x14ac:dyDescent="0.3">
      <c r="A17" s="4"/>
      <c r="B17" s="6" t="s">
        <v>36</v>
      </c>
      <c r="C17" s="11" t="s">
        <v>37</v>
      </c>
      <c r="D17" s="6" t="s">
        <v>29</v>
      </c>
      <c r="E17" s="12">
        <f>+SUM(E18:E20)</f>
        <v>120</v>
      </c>
      <c r="F17" s="25">
        <v>55000</v>
      </c>
      <c r="G17" s="25">
        <f>+E17*F17</f>
        <v>6600000</v>
      </c>
      <c r="H17" s="2"/>
    </row>
    <row r="18" spans="1:8" outlineLevel="1" x14ac:dyDescent="0.3">
      <c r="A18" s="4"/>
      <c r="B18" s="2" t="s">
        <v>38</v>
      </c>
      <c r="C18" s="2" t="s">
        <v>31</v>
      </c>
      <c r="D18" s="3" t="s">
        <v>29</v>
      </c>
      <c r="E18" s="17">
        <v>40</v>
      </c>
      <c r="F18" s="2"/>
      <c r="G18" s="2"/>
      <c r="H18" s="2"/>
    </row>
    <row r="19" spans="1:8" outlineLevel="1" x14ac:dyDescent="0.3">
      <c r="A19" s="4"/>
      <c r="B19" s="2" t="s">
        <v>39</v>
      </c>
      <c r="C19" s="2" t="s">
        <v>33</v>
      </c>
      <c r="D19" s="3" t="s">
        <v>29</v>
      </c>
      <c r="E19" s="17">
        <v>40</v>
      </c>
      <c r="F19" s="2"/>
      <c r="G19" s="2"/>
      <c r="H19" s="2"/>
    </row>
    <row r="20" spans="1:8" outlineLevel="1" x14ac:dyDescent="0.3">
      <c r="A20" s="4"/>
      <c r="B20" s="2" t="s">
        <v>40</v>
      </c>
      <c r="C20" s="2" t="s">
        <v>35</v>
      </c>
      <c r="D20" s="3" t="s">
        <v>29</v>
      </c>
      <c r="E20" s="17">
        <v>40</v>
      </c>
      <c r="F20" s="2"/>
      <c r="G20" s="2"/>
      <c r="H20" s="2"/>
    </row>
    <row r="21" spans="1:8" x14ac:dyDescent="0.3">
      <c r="A21" s="4"/>
      <c r="B21" s="6" t="s">
        <v>41</v>
      </c>
      <c r="C21" s="11" t="s">
        <v>42</v>
      </c>
      <c r="D21" s="6" t="s">
        <v>29</v>
      </c>
      <c r="E21" s="12">
        <f>+SUM(E22:E24)</f>
        <v>900</v>
      </c>
      <c r="F21" s="25">
        <v>37000</v>
      </c>
      <c r="G21" s="25">
        <f>+E21*F21</f>
        <v>33300000</v>
      </c>
      <c r="H21" s="2"/>
    </row>
    <row r="22" spans="1:8" outlineLevel="1" x14ac:dyDescent="0.3">
      <c r="A22" s="4"/>
      <c r="B22" s="2" t="s">
        <v>43</v>
      </c>
      <c r="C22" s="2" t="s">
        <v>31</v>
      </c>
      <c r="D22" s="3" t="s">
        <v>29</v>
      </c>
      <c r="E22" s="17">
        <v>300</v>
      </c>
      <c r="F22" s="2"/>
      <c r="G22" s="2"/>
      <c r="H22" s="2"/>
    </row>
    <row r="23" spans="1:8" outlineLevel="1" x14ac:dyDescent="0.3">
      <c r="A23" s="4"/>
      <c r="B23" s="2" t="s">
        <v>44</v>
      </c>
      <c r="C23" s="2" t="s">
        <v>33</v>
      </c>
      <c r="D23" s="3" t="s">
        <v>29</v>
      </c>
      <c r="E23" s="17">
        <v>300</v>
      </c>
      <c r="F23" s="2"/>
      <c r="G23" s="2"/>
      <c r="H23" s="2"/>
    </row>
    <row r="24" spans="1:8" outlineLevel="1" x14ac:dyDescent="0.3">
      <c r="A24" s="4"/>
      <c r="B24" s="2" t="s">
        <v>45</v>
      </c>
      <c r="C24" s="2" t="s">
        <v>35</v>
      </c>
      <c r="D24" s="3" t="s">
        <v>29</v>
      </c>
      <c r="E24" s="17">
        <v>300</v>
      </c>
      <c r="F24" s="2"/>
      <c r="G24" s="2"/>
      <c r="H24" s="2"/>
    </row>
    <row r="25" spans="1:8" x14ac:dyDescent="0.3">
      <c r="A25" s="4"/>
      <c r="B25" s="6" t="s">
        <v>46</v>
      </c>
      <c r="C25" s="11" t="s">
        <v>47</v>
      </c>
      <c r="D25" s="6" t="s">
        <v>29</v>
      </c>
      <c r="E25" s="12">
        <f>+SUM(E26:E28)</f>
        <v>120</v>
      </c>
      <c r="F25" s="25">
        <v>95000</v>
      </c>
      <c r="G25" s="25">
        <f>+E25*F25</f>
        <v>11400000</v>
      </c>
      <c r="H25" s="2"/>
    </row>
    <row r="26" spans="1:8" outlineLevel="1" x14ac:dyDescent="0.3">
      <c r="A26" s="4"/>
      <c r="B26" s="2" t="s">
        <v>48</v>
      </c>
      <c r="C26" s="2" t="s">
        <v>31</v>
      </c>
      <c r="D26" s="3" t="s">
        <v>29</v>
      </c>
      <c r="E26" s="17">
        <v>40</v>
      </c>
      <c r="F26" s="2"/>
      <c r="G26" s="2"/>
      <c r="H26" s="2"/>
    </row>
    <row r="27" spans="1:8" outlineLevel="1" x14ac:dyDescent="0.3">
      <c r="A27" s="4"/>
      <c r="B27" s="2" t="s">
        <v>49</v>
      </c>
      <c r="C27" s="2" t="s">
        <v>33</v>
      </c>
      <c r="D27" s="3" t="s">
        <v>29</v>
      </c>
      <c r="E27" s="17">
        <v>40</v>
      </c>
      <c r="F27" s="2"/>
      <c r="G27" s="2"/>
      <c r="H27" s="2"/>
    </row>
    <row r="28" spans="1:8" outlineLevel="1" x14ac:dyDescent="0.3">
      <c r="A28" s="4"/>
      <c r="B28" s="2" t="s">
        <v>50</v>
      </c>
      <c r="C28" s="2" t="s">
        <v>35</v>
      </c>
      <c r="D28" s="3" t="s">
        <v>29</v>
      </c>
      <c r="E28" s="17">
        <v>40</v>
      </c>
      <c r="F28" s="2"/>
      <c r="G28" s="2"/>
      <c r="H28" s="2"/>
    </row>
    <row r="29" spans="1:8" x14ac:dyDescent="0.3">
      <c r="A29" s="4"/>
      <c r="B29" s="6" t="s">
        <v>51</v>
      </c>
      <c r="C29" s="11" t="s">
        <v>52</v>
      </c>
      <c r="D29" s="6" t="s">
        <v>53</v>
      </c>
      <c r="E29" s="12">
        <f>+SUM(E30:E32)</f>
        <v>6538.5</v>
      </c>
      <c r="F29" s="25">
        <v>6800</v>
      </c>
      <c r="G29" s="25">
        <f>+E29*F29</f>
        <v>44461800</v>
      </c>
      <c r="H29" s="2"/>
    </row>
    <row r="30" spans="1:8" outlineLevel="1" x14ac:dyDescent="0.3">
      <c r="A30" s="4"/>
      <c r="B30" s="2" t="s">
        <v>54</v>
      </c>
      <c r="C30" s="2" t="s">
        <v>31</v>
      </c>
      <c r="D30" s="3" t="s">
        <v>53</v>
      </c>
      <c r="E30" s="17">
        <v>2176.5</v>
      </c>
      <c r="F30" s="2"/>
      <c r="G30" s="2"/>
      <c r="H30" s="2"/>
    </row>
    <row r="31" spans="1:8" outlineLevel="1" x14ac:dyDescent="0.3">
      <c r="A31" s="4"/>
      <c r="B31" s="2" t="s">
        <v>55</v>
      </c>
      <c r="C31" s="2" t="s">
        <v>33</v>
      </c>
      <c r="D31" s="3" t="s">
        <v>53</v>
      </c>
      <c r="E31" s="17">
        <v>2176.5</v>
      </c>
      <c r="F31" s="2"/>
      <c r="G31" s="2"/>
      <c r="H31" s="2"/>
    </row>
    <row r="32" spans="1:8" outlineLevel="1" x14ac:dyDescent="0.3">
      <c r="A32" s="4"/>
      <c r="B32" s="2" t="s">
        <v>56</v>
      </c>
      <c r="C32" s="2" t="s">
        <v>35</v>
      </c>
      <c r="D32" s="3" t="s">
        <v>53</v>
      </c>
      <c r="E32" s="17">
        <v>2185.5</v>
      </c>
      <c r="F32" s="2"/>
      <c r="G32" s="2"/>
      <c r="H32" s="2"/>
    </row>
    <row r="33" spans="1:8" x14ac:dyDescent="0.3">
      <c r="A33" s="4"/>
      <c r="B33" s="6" t="s">
        <v>57</v>
      </c>
      <c r="C33" s="11" t="s">
        <v>58</v>
      </c>
      <c r="D33" s="6" t="s">
        <v>29</v>
      </c>
      <c r="E33" s="12">
        <v>750</v>
      </c>
      <c r="F33" s="25">
        <v>2900</v>
      </c>
      <c r="G33" s="25">
        <f>+E33*F33</f>
        <v>2175000</v>
      </c>
      <c r="H33" s="2"/>
    </row>
    <row r="34" spans="1:8" x14ac:dyDescent="0.3">
      <c r="A34" s="4"/>
      <c r="B34" s="6" t="s">
        <v>59</v>
      </c>
      <c r="C34" s="11" t="s">
        <v>60</v>
      </c>
      <c r="D34" s="6" t="s">
        <v>29</v>
      </c>
      <c r="E34" s="12">
        <v>15</v>
      </c>
      <c r="F34" s="25">
        <v>42000</v>
      </c>
      <c r="G34" s="25">
        <f>+E34*F34</f>
        <v>630000</v>
      </c>
      <c r="H34" s="2"/>
    </row>
    <row r="35" spans="1:8" x14ac:dyDescent="0.3">
      <c r="A35" s="4"/>
      <c r="B35" s="6" t="s">
        <v>61</v>
      </c>
      <c r="C35" s="11" t="s">
        <v>62</v>
      </c>
      <c r="D35" s="6" t="s">
        <v>29</v>
      </c>
      <c r="E35" s="12">
        <v>45</v>
      </c>
      <c r="F35" s="25">
        <v>37000</v>
      </c>
      <c r="G35" s="25">
        <f>+E35*F35</f>
        <v>1665000</v>
      </c>
      <c r="H35" s="2"/>
    </row>
    <row r="36" spans="1:8" x14ac:dyDescent="0.3">
      <c r="A36" s="10" t="s">
        <v>63</v>
      </c>
      <c r="B36" s="40" t="s">
        <v>64</v>
      </c>
      <c r="C36" s="41"/>
      <c r="D36" s="14"/>
      <c r="E36" s="15"/>
      <c r="F36" s="16"/>
      <c r="G36" s="16"/>
      <c r="H36" s="9">
        <f>+G37+G41+G45</f>
        <v>69880990</v>
      </c>
    </row>
    <row r="37" spans="1:8" x14ac:dyDescent="0.3">
      <c r="A37" s="4"/>
      <c r="B37" s="6" t="s">
        <v>65</v>
      </c>
      <c r="C37" s="11" t="s">
        <v>66</v>
      </c>
      <c r="D37" s="6" t="s">
        <v>53</v>
      </c>
      <c r="E37" s="12">
        <f>+SUM(E38:E40)</f>
        <v>895.5</v>
      </c>
      <c r="F37" s="25">
        <v>40000</v>
      </c>
      <c r="G37" s="25">
        <f>+E37*F37</f>
        <v>35820000</v>
      </c>
      <c r="H37" s="2"/>
    </row>
    <row r="38" spans="1:8" outlineLevel="1" x14ac:dyDescent="0.3">
      <c r="A38" s="4"/>
      <c r="B38" s="2" t="s">
        <v>67</v>
      </c>
      <c r="C38" s="2" t="s">
        <v>31</v>
      </c>
      <c r="D38" s="3" t="s">
        <v>53</v>
      </c>
      <c r="E38" s="17">
        <v>330</v>
      </c>
      <c r="F38" s="2"/>
      <c r="G38" s="2"/>
      <c r="H38" s="2"/>
    </row>
    <row r="39" spans="1:8" outlineLevel="1" x14ac:dyDescent="0.3">
      <c r="A39" s="4"/>
      <c r="B39" s="2" t="s">
        <v>68</v>
      </c>
      <c r="C39" s="2" t="s">
        <v>33</v>
      </c>
      <c r="D39" s="3" t="s">
        <v>53</v>
      </c>
      <c r="E39" s="17">
        <v>330</v>
      </c>
      <c r="F39" s="2"/>
      <c r="G39" s="2"/>
      <c r="H39" s="2"/>
    </row>
    <row r="40" spans="1:8" outlineLevel="1" x14ac:dyDescent="0.3">
      <c r="A40" s="4"/>
      <c r="B40" s="2" t="s">
        <v>69</v>
      </c>
      <c r="C40" s="2" t="s">
        <v>35</v>
      </c>
      <c r="D40" s="3" t="s">
        <v>53</v>
      </c>
      <c r="E40" s="17">
        <v>235.5</v>
      </c>
      <c r="F40" s="2"/>
      <c r="G40" s="2"/>
      <c r="H40" s="2"/>
    </row>
    <row r="41" spans="1:8" x14ac:dyDescent="0.3">
      <c r="A41" s="4"/>
      <c r="B41" s="6" t="s">
        <v>70</v>
      </c>
      <c r="C41" s="11" t="s">
        <v>71</v>
      </c>
      <c r="D41" s="6" t="s">
        <v>53</v>
      </c>
      <c r="E41" s="12">
        <f>+SUM(E42:E44)</f>
        <v>643.29</v>
      </c>
      <c r="F41" s="25">
        <v>15000</v>
      </c>
      <c r="G41" s="25">
        <f>+E41*F41</f>
        <v>9649350</v>
      </c>
      <c r="H41" s="2"/>
    </row>
    <row r="42" spans="1:8" outlineLevel="1" x14ac:dyDescent="0.3">
      <c r="A42" s="4"/>
      <c r="B42" s="2" t="s">
        <v>72</v>
      </c>
      <c r="C42" s="2" t="s">
        <v>31</v>
      </c>
      <c r="D42" s="3" t="s">
        <v>53</v>
      </c>
      <c r="E42" s="17">
        <v>225.08999999999997</v>
      </c>
      <c r="F42" s="2"/>
      <c r="G42" s="2"/>
      <c r="H42" s="2"/>
    </row>
    <row r="43" spans="1:8" outlineLevel="1" x14ac:dyDescent="0.3">
      <c r="A43" s="4"/>
      <c r="B43" s="2" t="s">
        <v>73</v>
      </c>
      <c r="C43" s="2" t="s">
        <v>33</v>
      </c>
      <c r="D43" s="3" t="s">
        <v>53</v>
      </c>
      <c r="E43" s="17">
        <v>225.08999999999997</v>
      </c>
      <c r="F43" s="2"/>
      <c r="G43" s="2"/>
      <c r="H43" s="2"/>
    </row>
    <row r="44" spans="1:8" outlineLevel="1" x14ac:dyDescent="0.3">
      <c r="A44" s="4"/>
      <c r="B44" s="2" t="s">
        <v>74</v>
      </c>
      <c r="C44" s="2" t="s">
        <v>35</v>
      </c>
      <c r="D44" s="3" t="s">
        <v>53</v>
      </c>
      <c r="E44" s="17">
        <v>193.10999999999999</v>
      </c>
      <c r="F44" s="2"/>
      <c r="G44" s="2"/>
      <c r="H44" s="2"/>
    </row>
    <row r="45" spans="1:8" x14ac:dyDescent="0.3">
      <c r="A45" s="4"/>
      <c r="B45" s="6" t="s">
        <v>75</v>
      </c>
      <c r="C45" s="11" t="s">
        <v>76</v>
      </c>
      <c r="D45" s="6" t="s">
        <v>29</v>
      </c>
      <c r="E45" s="12">
        <v>1090</v>
      </c>
      <c r="F45" s="25">
        <v>22396</v>
      </c>
      <c r="G45" s="25">
        <f>+E45*F45</f>
        <v>24411640</v>
      </c>
      <c r="H45" s="2"/>
    </row>
    <row r="46" spans="1:8" hidden="1" x14ac:dyDescent="0.3">
      <c r="A46" s="4"/>
      <c r="B46" s="33" t="s">
        <v>77</v>
      </c>
      <c r="C46" s="11" t="s">
        <v>31</v>
      </c>
      <c r="D46" s="4"/>
      <c r="E46" s="18"/>
      <c r="F46" s="2"/>
      <c r="G46" s="2"/>
      <c r="H46" s="2"/>
    </row>
    <row r="47" spans="1:8" hidden="1" x14ac:dyDescent="0.3">
      <c r="A47" s="4"/>
      <c r="B47" s="4" t="s">
        <v>78</v>
      </c>
      <c r="C47" s="2" t="s">
        <v>79</v>
      </c>
      <c r="D47" s="4" t="s">
        <v>29</v>
      </c>
      <c r="E47" s="19">
        <v>360</v>
      </c>
      <c r="F47" s="2"/>
      <c r="G47" s="2"/>
      <c r="H47" s="2"/>
    </row>
    <row r="48" spans="1:8" hidden="1" x14ac:dyDescent="0.3">
      <c r="A48" s="4"/>
      <c r="B48" s="4" t="s">
        <v>80</v>
      </c>
      <c r="C48" s="2" t="s">
        <v>81</v>
      </c>
      <c r="D48" s="4" t="s">
        <v>53</v>
      </c>
      <c r="E48" s="17">
        <v>36</v>
      </c>
      <c r="F48" s="2"/>
      <c r="G48" s="2"/>
      <c r="H48" s="2"/>
    </row>
    <row r="49" spans="1:8" hidden="1" x14ac:dyDescent="0.3">
      <c r="A49" s="4"/>
      <c r="B49" s="4" t="s">
        <v>82</v>
      </c>
      <c r="C49" s="2" t="s">
        <v>83</v>
      </c>
      <c r="D49" s="4" t="s">
        <v>53</v>
      </c>
      <c r="E49" s="17">
        <v>101.3</v>
      </c>
      <c r="F49" s="2"/>
      <c r="G49" s="2"/>
      <c r="H49" s="2"/>
    </row>
    <row r="50" spans="1:8" hidden="1" x14ac:dyDescent="0.3">
      <c r="A50" s="4"/>
      <c r="B50" s="33" t="s">
        <v>84</v>
      </c>
      <c r="C50" s="11" t="s">
        <v>33</v>
      </c>
      <c r="D50" s="4" t="s">
        <v>85</v>
      </c>
      <c r="E50" s="18"/>
      <c r="F50" s="2"/>
      <c r="G50" s="2"/>
      <c r="H50" s="2"/>
    </row>
    <row r="51" spans="1:8" hidden="1" x14ac:dyDescent="0.3">
      <c r="A51" s="4"/>
      <c r="B51" s="4" t="s">
        <v>86</v>
      </c>
      <c r="C51" s="2" t="s">
        <v>79</v>
      </c>
      <c r="D51" s="4"/>
      <c r="E51" s="19">
        <v>360</v>
      </c>
      <c r="F51" s="2"/>
      <c r="G51" s="2"/>
      <c r="H51" s="2"/>
    </row>
    <row r="52" spans="1:8" hidden="1" x14ac:dyDescent="0.3">
      <c r="A52" s="4"/>
      <c r="B52" s="4" t="s">
        <v>87</v>
      </c>
      <c r="C52" s="2" t="s">
        <v>81</v>
      </c>
      <c r="D52" s="4" t="s">
        <v>53</v>
      </c>
      <c r="E52" s="17">
        <v>36</v>
      </c>
      <c r="F52" s="2"/>
      <c r="G52" s="2"/>
      <c r="H52" s="2"/>
    </row>
    <row r="53" spans="1:8" hidden="1" x14ac:dyDescent="0.3">
      <c r="A53" s="4"/>
      <c r="B53" s="4" t="s">
        <v>88</v>
      </c>
      <c r="C53" s="2" t="s">
        <v>83</v>
      </c>
      <c r="D53" s="4" t="s">
        <v>53</v>
      </c>
      <c r="E53" s="17">
        <v>101.3</v>
      </c>
      <c r="F53" s="2"/>
      <c r="G53" s="2"/>
      <c r="H53" s="2"/>
    </row>
    <row r="54" spans="1:8" hidden="1" x14ac:dyDescent="0.3">
      <c r="A54" s="4"/>
      <c r="B54" s="33" t="s">
        <v>89</v>
      </c>
      <c r="C54" s="11" t="s">
        <v>35</v>
      </c>
      <c r="D54" s="4"/>
      <c r="E54" s="18"/>
      <c r="F54" s="2"/>
      <c r="G54" s="2"/>
      <c r="H54" s="2"/>
    </row>
    <row r="55" spans="1:8" hidden="1" x14ac:dyDescent="0.3">
      <c r="A55" s="4"/>
      <c r="B55" s="4" t="s">
        <v>90</v>
      </c>
      <c r="C55" s="2" t="s">
        <v>79</v>
      </c>
      <c r="D55" s="4" t="s">
        <v>29</v>
      </c>
      <c r="E55" s="19">
        <v>370</v>
      </c>
      <c r="F55" s="2"/>
      <c r="G55" s="2"/>
      <c r="H55" s="2"/>
    </row>
    <row r="56" spans="1:8" hidden="1" x14ac:dyDescent="0.3">
      <c r="A56" s="4"/>
      <c r="B56" s="4" t="s">
        <v>91</v>
      </c>
      <c r="C56" s="2" t="s">
        <v>81</v>
      </c>
      <c r="D56" s="4" t="s">
        <v>53</v>
      </c>
      <c r="E56" s="17">
        <v>38</v>
      </c>
      <c r="F56" s="2"/>
      <c r="G56" s="2"/>
      <c r="H56" s="2"/>
    </row>
    <row r="57" spans="1:8" hidden="1" x14ac:dyDescent="0.3">
      <c r="A57" s="4"/>
      <c r="B57" s="4" t="s">
        <v>92</v>
      </c>
      <c r="C57" s="2" t="s">
        <v>83</v>
      </c>
      <c r="D57" s="4" t="s">
        <v>53</v>
      </c>
      <c r="E57" s="17">
        <v>105</v>
      </c>
      <c r="F57" s="2"/>
      <c r="G57" s="2"/>
      <c r="H57" s="2"/>
    </row>
    <row r="58" spans="1:8" x14ac:dyDescent="0.3">
      <c r="A58" s="10" t="s">
        <v>93</v>
      </c>
      <c r="B58" s="40" t="s">
        <v>94</v>
      </c>
      <c r="C58" s="41"/>
      <c r="D58" s="14"/>
      <c r="E58" s="15"/>
      <c r="F58" s="16"/>
      <c r="G58" s="16"/>
      <c r="H58" s="9">
        <f>+G59</f>
        <v>233886050.68000004</v>
      </c>
    </row>
    <row r="59" spans="1:8" x14ac:dyDescent="0.3">
      <c r="A59" s="4"/>
      <c r="B59" s="6" t="s">
        <v>95</v>
      </c>
      <c r="C59" s="7" t="s">
        <v>96</v>
      </c>
      <c r="D59" s="6" t="s">
        <v>29</v>
      </c>
      <c r="E59" s="12">
        <f>+E60+E61+E62+E63</f>
        <v>14802.914600000002</v>
      </c>
      <c r="F59" s="25">
        <v>15800</v>
      </c>
      <c r="G59" s="25">
        <f>+E59*F59</f>
        <v>233886050.68000004</v>
      </c>
      <c r="H59" s="2"/>
    </row>
    <row r="60" spans="1:8" outlineLevel="1" x14ac:dyDescent="0.3">
      <c r="A60" s="4"/>
      <c r="B60" s="2" t="s">
        <v>97</v>
      </c>
      <c r="C60" s="2" t="s">
        <v>31</v>
      </c>
      <c r="D60" s="4" t="s">
        <v>29</v>
      </c>
      <c r="E60" s="19">
        <v>4762.2248000000009</v>
      </c>
      <c r="F60" s="2"/>
      <c r="G60" s="2"/>
      <c r="H60" s="2"/>
    </row>
    <row r="61" spans="1:8" outlineLevel="1" x14ac:dyDescent="0.3">
      <c r="A61" s="4"/>
      <c r="B61" s="2" t="s">
        <v>98</v>
      </c>
      <c r="C61" s="2" t="s">
        <v>33</v>
      </c>
      <c r="D61" s="4" t="s">
        <v>29</v>
      </c>
      <c r="E61" s="19">
        <v>4762.2248000000009</v>
      </c>
      <c r="F61" s="2"/>
      <c r="G61" s="2"/>
      <c r="H61" s="2"/>
    </row>
    <row r="62" spans="1:8" outlineLevel="1" x14ac:dyDescent="0.3">
      <c r="A62" s="4"/>
      <c r="B62" s="2" t="s">
        <v>99</v>
      </c>
      <c r="C62" s="2" t="s">
        <v>35</v>
      </c>
      <c r="D62" s="4" t="s">
        <v>29</v>
      </c>
      <c r="E62" s="19">
        <v>4528.4650000000001</v>
      </c>
      <c r="F62" s="2"/>
      <c r="G62" s="2"/>
      <c r="H62" s="2"/>
    </row>
    <row r="63" spans="1:8" outlineLevel="1" x14ac:dyDescent="0.3">
      <c r="A63" s="4"/>
      <c r="B63" s="2" t="s">
        <v>100</v>
      </c>
      <c r="C63" s="2" t="s">
        <v>101</v>
      </c>
      <c r="D63" s="4" t="s">
        <v>29</v>
      </c>
      <c r="E63" s="19">
        <v>750</v>
      </c>
      <c r="F63" s="2"/>
      <c r="G63" s="2"/>
      <c r="H63" s="2"/>
    </row>
    <row r="64" spans="1:8" x14ac:dyDescent="0.3">
      <c r="A64" s="10" t="s">
        <v>102</v>
      </c>
      <c r="B64" s="48" t="s">
        <v>103</v>
      </c>
      <c r="C64" s="48"/>
      <c r="D64" s="48"/>
      <c r="E64" s="48"/>
      <c r="F64" s="16"/>
      <c r="G64" s="16"/>
      <c r="H64" s="9">
        <f>+G65+G75</f>
        <v>74987400</v>
      </c>
    </row>
    <row r="65" spans="1:8" x14ac:dyDescent="0.3">
      <c r="A65" s="4"/>
      <c r="B65" s="6" t="s">
        <v>104</v>
      </c>
      <c r="C65" s="7" t="s">
        <v>105</v>
      </c>
      <c r="D65" s="6" t="s">
        <v>29</v>
      </c>
      <c r="E65" s="12">
        <f>+E66+E69+E72</f>
        <v>7998.5999999999995</v>
      </c>
      <c r="F65" s="25">
        <v>9000</v>
      </c>
      <c r="G65" s="25">
        <f>+E65*F65</f>
        <v>71987400</v>
      </c>
      <c r="H65" s="2"/>
    </row>
    <row r="66" spans="1:8" outlineLevel="1" x14ac:dyDescent="0.3">
      <c r="A66" s="4"/>
      <c r="B66" s="6" t="s">
        <v>106</v>
      </c>
      <c r="C66" s="2" t="s">
        <v>31</v>
      </c>
      <c r="D66" s="4" t="s">
        <v>29</v>
      </c>
      <c r="E66" s="20">
        <f>+E67+E68</f>
        <v>2572.62</v>
      </c>
      <c r="F66" s="2"/>
      <c r="G66" s="2"/>
      <c r="H66" s="2"/>
    </row>
    <row r="67" spans="1:8" outlineLevel="2" x14ac:dyDescent="0.3">
      <c r="A67" s="4"/>
      <c r="B67" s="4" t="s">
        <v>107</v>
      </c>
      <c r="C67" s="2" t="s">
        <v>108</v>
      </c>
      <c r="D67" s="4" t="s">
        <v>29</v>
      </c>
      <c r="E67" s="17">
        <v>1882.0199999999998</v>
      </c>
      <c r="F67" s="2"/>
      <c r="G67" s="2"/>
      <c r="H67" s="2"/>
    </row>
    <row r="68" spans="1:8" outlineLevel="2" x14ac:dyDescent="0.3">
      <c r="A68" s="4"/>
      <c r="B68" s="4" t="s">
        <v>109</v>
      </c>
      <c r="C68" s="2" t="s">
        <v>110</v>
      </c>
      <c r="D68" s="4" t="s">
        <v>29</v>
      </c>
      <c r="E68" s="17">
        <v>690.6</v>
      </c>
      <c r="F68" s="2"/>
      <c r="G68" s="2"/>
      <c r="H68" s="2"/>
    </row>
    <row r="69" spans="1:8" outlineLevel="1" x14ac:dyDescent="0.3">
      <c r="A69" s="4"/>
      <c r="B69" s="6" t="s">
        <v>111</v>
      </c>
      <c r="C69" s="2" t="s">
        <v>33</v>
      </c>
      <c r="D69" s="4"/>
      <c r="E69" s="20">
        <f>+E70+E71</f>
        <v>2572.62</v>
      </c>
      <c r="F69" s="2"/>
      <c r="G69" s="2"/>
      <c r="H69" s="2"/>
    </row>
    <row r="70" spans="1:8" outlineLevel="2" x14ac:dyDescent="0.3">
      <c r="A70" s="4"/>
      <c r="B70" s="4" t="s">
        <v>112</v>
      </c>
      <c r="C70" s="2" t="s">
        <v>108</v>
      </c>
      <c r="D70" s="4" t="s">
        <v>29</v>
      </c>
      <c r="E70" s="17">
        <v>1882.0199999999998</v>
      </c>
      <c r="F70" s="2"/>
      <c r="G70" s="2"/>
      <c r="H70" s="2"/>
    </row>
    <row r="71" spans="1:8" outlineLevel="2" x14ac:dyDescent="0.3">
      <c r="A71" s="4"/>
      <c r="B71" s="4" t="s">
        <v>113</v>
      </c>
      <c r="C71" s="2" t="s">
        <v>110</v>
      </c>
      <c r="D71" s="4" t="s">
        <v>29</v>
      </c>
      <c r="E71" s="17">
        <v>690.6</v>
      </c>
      <c r="F71" s="2"/>
      <c r="G71" s="2"/>
      <c r="H71" s="2"/>
    </row>
    <row r="72" spans="1:8" outlineLevel="1" x14ac:dyDescent="0.3">
      <c r="A72" s="4"/>
      <c r="B72" s="6" t="s">
        <v>114</v>
      </c>
      <c r="C72" s="2" t="s">
        <v>35</v>
      </c>
      <c r="D72" s="4"/>
      <c r="E72" s="20">
        <f>+E73+E74</f>
        <v>2853.3599999999997</v>
      </c>
      <c r="F72" s="2"/>
      <c r="G72" s="2"/>
      <c r="H72" s="2"/>
    </row>
    <row r="73" spans="1:8" outlineLevel="2" x14ac:dyDescent="0.3">
      <c r="A73" s="4"/>
      <c r="B73" s="4" t="s">
        <v>115</v>
      </c>
      <c r="C73" s="2" t="s">
        <v>108</v>
      </c>
      <c r="D73" s="4" t="s">
        <v>29</v>
      </c>
      <c r="E73" s="17">
        <v>2273.7599999999998</v>
      </c>
      <c r="F73" s="2"/>
      <c r="G73" s="2"/>
      <c r="H73" s="2"/>
    </row>
    <row r="74" spans="1:8" outlineLevel="2" x14ac:dyDescent="0.3">
      <c r="A74" s="4"/>
      <c r="B74" s="4" t="s">
        <v>116</v>
      </c>
      <c r="C74" s="2" t="s">
        <v>110</v>
      </c>
      <c r="D74" s="4" t="s">
        <v>29</v>
      </c>
      <c r="E74" s="17">
        <v>579.6</v>
      </c>
      <c r="F74" s="2"/>
      <c r="G74" s="2"/>
      <c r="H74" s="2"/>
    </row>
    <row r="75" spans="1:8" x14ac:dyDescent="0.3">
      <c r="A75" s="4"/>
      <c r="B75" s="6" t="s">
        <v>117</v>
      </c>
      <c r="C75" s="7" t="s">
        <v>118</v>
      </c>
      <c r="D75" s="6" t="s">
        <v>53</v>
      </c>
      <c r="E75" s="12">
        <f>+E76+E77+E78</f>
        <v>150</v>
      </c>
      <c r="F75" s="25">
        <v>20000</v>
      </c>
      <c r="G75" s="25">
        <f>+E75*F75</f>
        <v>3000000</v>
      </c>
      <c r="H75" s="2"/>
    </row>
    <row r="76" spans="1:8" outlineLevel="1" x14ac:dyDescent="0.3">
      <c r="A76" s="4"/>
      <c r="B76" s="2" t="s">
        <v>119</v>
      </c>
      <c r="C76" s="2" t="s">
        <v>31</v>
      </c>
      <c r="D76" s="4" t="s">
        <v>53</v>
      </c>
      <c r="E76" s="19">
        <v>50</v>
      </c>
      <c r="F76" s="2"/>
      <c r="G76" s="2"/>
      <c r="H76" s="2"/>
    </row>
    <row r="77" spans="1:8" outlineLevel="1" x14ac:dyDescent="0.3">
      <c r="A77" s="4"/>
      <c r="B77" s="2" t="s">
        <v>120</v>
      </c>
      <c r="C77" s="2" t="s">
        <v>33</v>
      </c>
      <c r="D77" s="4" t="s">
        <v>53</v>
      </c>
      <c r="E77" s="19">
        <v>50</v>
      </c>
      <c r="F77" s="2"/>
      <c r="G77" s="2"/>
      <c r="H77" s="2"/>
    </row>
    <row r="78" spans="1:8" outlineLevel="1" x14ac:dyDescent="0.3">
      <c r="A78" s="4"/>
      <c r="B78" s="2" t="s">
        <v>121</v>
      </c>
      <c r="C78" s="2" t="s">
        <v>35</v>
      </c>
      <c r="D78" s="4" t="s">
        <v>53</v>
      </c>
      <c r="E78" s="19">
        <v>50</v>
      </c>
      <c r="F78" s="2"/>
      <c r="G78" s="2"/>
      <c r="H78" s="2"/>
    </row>
    <row r="79" spans="1:8" outlineLevel="1" x14ac:dyDescent="0.3">
      <c r="A79" s="10" t="s">
        <v>122</v>
      </c>
      <c r="B79" s="48" t="s">
        <v>123</v>
      </c>
      <c r="C79" s="48"/>
      <c r="D79" s="48"/>
      <c r="E79" s="48"/>
      <c r="F79" s="16"/>
      <c r="G79" s="16"/>
      <c r="H79" s="9">
        <f>+G80+G81</f>
        <v>2600001</v>
      </c>
    </row>
    <row r="80" spans="1:8" outlineLevel="1" x14ac:dyDescent="0.3">
      <c r="B80" s="6" t="s">
        <v>124</v>
      </c>
      <c r="C80" s="7" t="s">
        <v>125</v>
      </c>
      <c r="D80" s="6" t="s">
        <v>20</v>
      </c>
      <c r="E80" s="12">
        <v>1</v>
      </c>
      <c r="F80" s="25">
        <v>1</v>
      </c>
      <c r="G80" s="25">
        <f t="shared" ref="G80:G81" si="0">+E80*F80</f>
        <v>1</v>
      </c>
      <c r="H80" s="2"/>
    </row>
    <row r="81" spans="2:8" outlineLevel="1" x14ac:dyDescent="0.3">
      <c r="B81" s="6" t="s">
        <v>126</v>
      </c>
      <c r="C81" s="7" t="s">
        <v>127</v>
      </c>
      <c r="D81" s="6" t="s">
        <v>20</v>
      </c>
      <c r="E81" s="12">
        <v>1</v>
      </c>
      <c r="F81" s="25">
        <v>2600000</v>
      </c>
      <c r="G81" s="25">
        <f t="shared" si="0"/>
        <v>2600000</v>
      </c>
      <c r="H81" s="2"/>
    </row>
    <row r="82" spans="2:8" x14ac:dyDescent="0.3">
      <c r="E82" s="48" t="s">
        <v>128</v>
      </c>
      <c r="F82" s="48"/>
      <c r="G82" s="48"/>
      <c r="H82" s="26">
        <f>+H8+H12+H36+H58+H64+H79</f>
        <v>527709694.02000004</v>
      </c>
    </row>
    <row r="83" spans="2:8" x14ac:dyDescent="0.3">
      <c r="E83" s="3" t="s">
        <v>129</v>
      </c>
      <c r="F83" s="3" t="s">
        <v>130</v>
      </c>
      <c r="G83" s="22">
        <v>0.08</v>
      </c>
      <c r="H83" s="23">
        <f>+$H$82*G83</f>
        <v>42216775.521600001</v>
      </c>
    </row>
    <row r="84" spans="2:8" x14ac:dyDescent="0.3">
      <c r="E84" s="3" t="s">
        <v>131</v>
      </c>
      <c r="F84" s="3" t="s">
        <v>16</v>
      </c>
      <c r="G84" s="22">
        <v>7.0000000000000007E-2</v>
      </c>
      <c r="H84" s="23">
        <f t="shared" ref="H84:H85" si="1">+$H$82*G84</f>
        <v>36939678.581400007</v>
      </c>
    </row>
    <row r="85" spans="2:8" x14ac:dyDescent="0.3">
      <c r="E85" s="3" t="s">
        <v>132</v>
      </c>
      <c r="F85" s="3" t="s">
        <v>133</v>
      </c>
      <c r="G85" s="22">
        <v>0.05</v>
      </c>
      <c r="H85" s="23">
        <f t="shared" si="1"/>
        <v>26385484.701000005</v>
      </c>
    </row>
    <row r="86" spans="2:8" x14ac:dyDescent="0.3">
      <c r="E86" s="3" t="s">
        <v>134</v>
      </c>
      <c r="F86" s="3" t="s">
        <v>135</v>
      </c>
      <c r="G86" s="22">
        <v>0.19</v>
      </c>
      <c r="H86" s="23">
        <f>+H85*G86</f>
        <v>5013242.0931900013</v>
      </c>
    </row>
    <row r="87" spans="2:8" x14ac:dyDescent="0.3">
      <c r="E87" s="48" t="s">
        <v>136</v>
      </c>
      <c r="F87" s="48"/>
      <c r="G87" s="48"/>
      <c r="H87" s="26">
        <f>+H83+H84+H85+H86</f>
        <v>110555180.89719002</v>
      </c>
    </row>
    <row r="88" spans="2:8" x14ac:dyDescent="0.3">
      <c r="E88" s="49" t="s">
        <v>137</v>
      </c>
      <c r="F88" s="49"/>
      <c r="G88" s="49"/>
      <c r="H88" s="24">
        <f>+H82+H87</f>
        <v>638264874.91719007</v>
      </c>
    </row>
  </sheetData>
  <mergeCells count="17">
    <mergeCell ref="E82:G82"/>
    <mergeCell ref="E87:G87"/>
    <mergeCell ref="E88:G88"/>
    <mergeCell ref="B12:C12"/>
    <mergeCell ref="B36:C36"/>
    <mergeCell ref="B58:C58"/>
    <mergeCell ref="B64:E64"/>
    <mergeCell ref="B79:E79"/>
    <mergeCell ref="A1:H1"/>
    <mergeCell ref="A4:H4"/>
    <mergeCell ref="A3:H3"/>
    <mergeCell ref="A2:H2"/>
    <mergeCell ref="B8:C8"/>
    <mergeCell ref="A6:E6"/>
    <mergeCell ref="F6:H6"/>
    <mergeCell ref="A5:D5"/>
    <mergeCell ref="E5:H5"/>
  </mergeCells>
  <phoneticPr fontId="10" type="noConversion"/>
  <pageMargins left="0.7" right="0.7" top="0.75" bottom="0.75" header="0.3" footer="0.3"/>
  <ignoredErrors>
    <ignoredError sqref="E41 E29"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0"/>
  <sheetViews>
    <sheetView workbookViewId="0">
      <selection activeCell="F84" sqref="F84"/>
    </sheetView>
  </sheetViews>
  <sheetFormatPr baseColWidth="10" defaultColWidth="11.44140625" defaultRowHeight="14.4" x14ac:dyDescent="0.3"/>
  <cols>
    <col min="1" max="1" width="8.44140625" style="1" bestFit="1" customWidth="1"/>
    <col min="2" max="2" width="6.5546875" style="1" bestFit="1" customWidth="1"/>
    <col min="3" max="3" width="51.6640625" style="1" bestFit="1" customWidth="1"/>
    <col min="4" max="4" width="7.44140625" style="1" bestFit="1" customWidth="1"/>
    <col min="5" max="5" width="10.5546875" style="1" bestFit="1" customWidth="1"/>
    <col min="6" max="6" width="66.33203125" style="1" customWidth="1"/>
    <col min="7" max="7" width="54.33203125" style="1" customWidth="1"/>
    <col min="8" max="8" width="31.6640625" style="1" customWidth="1"/>
    <col min="9" max="16384" width="11.44140625" style="1"/>
  </cols>
  <sheetData>
    <row r="1" spans="1:8" ht="18" x14ac:dyDescent="0.3">
      <c r="A1" s="35" t="s">
        <v>0</v>
      </c>
      <c r="B1" s="35"/>
      <c r="C1" s="35"/>
      <c r="D1" s="35"/>
      <c r="E1" s="35"/>
      <c r="F1" s="35"/>
      <c r="G1" s="35"/>
      <c r="H1" s="35"/>
    </row>
    <row r="2" spans="1:8" ht="15.6" x14ac:dyDescent="0.3">
      <c r="A2" s="37" t="s">
        <v>138</v>
      </c>
      <c r="B2" s="38"/>
      <c r="C2" s="38"/>
      <c r="D2" s="38"/>
      <c r="E2" s="38"/>
      <c r="F2" s="38"/>
      <c r="G2" s="38"/>
      <c r="H2" s="39"/>
    </row>
    <row r="3" spans="1:8" x14ac:dyDescent="0.3">
      <c r="A3" s="50" t="s">
        <v>139</v>
      </c>
      <c r="B3" s="50"/>
      <c r="C3" s="50"/>
      <c r="D3" s="50"/>
      <c r="E3" s="50"/>
      <c r="F3" s="50"/>
      <c r="G3" s="50"/>
      <c r="H3" s="50"/>
    </row>
    <row r="4" spans="1:8" x14ac:dyDescent="0.3">
      <c r="A4" s="50" t="s">
        <v>140</v>
      </c>
      <c r="B4" s="50"/>
      <c r="C4" s="50" t="s">
        <v>4</v>
      </c>
      <c r="D4" s="50"/>
      <c r="E4" s="50"/>
      <c r="F4" s="3" t="s">
        <v>141</v>
      </c>
      <c r="G4" s="42" t="s">
        <v>142</v>
      </c>
      <c r="H4" s="44"/>
    </row>
    <row r="5" spans="1:8" x14ac:dyDescent="0.3">
      <c r="A5" s="42" t="s">
        <v>6</v>
      </c>
      <c r="B5" s="43"/>
      <c r="C5" s="43"/>
      <c r="D5" s="43"/>
      <c r="E5" s="44"/>
      <c r="F5" s="42" t="s">
        <v>143</v>
      </c>
      <c r="G5" s="43"/>
      <c r="H5" s="44"/>
    </row>
    <row r="6" spans="1:8" x14ac:dyDescent="0.3">
      <c r="A6" s="3" t="s">
        <v>8</v>
      </c>
      <c r="B6" s="3" t="s">
        <v>9</v>
      </c>
      <c r="C6" s="3" t="s">
        <v>10</v>
      </c>
      <c r="D6" s="3" t="s">
        <v>11</v>
      </c>
      <c r="E6" s="3" t="s">
        <v>12</v>
      </c>
      <c r="F6" s="3" t="s">
        <v>144</v>
      </c>
      <c r="G6" s="3" t="s">
        <v>145</v>
      </c>
      <c r="H6" s="3" t="s">
        <v>146</v>
      </c>
    </row>
    <row r="7" spans="1:8" x14ac:dyDescent="0.3">
      <c r="A7" s="10" t="s">
        <v>16</v>
      </c>
      <c r="B7" s="40" t="s">
        <v>17</v>
      </c>
      <c r="C7" s="41"/>
      <c r="D7" s="8"/>
      <c r="E7" s="8"/>
      <c r="F7" s="8"/>
      <c r="G7" s="8"/>
      <c r="H7" s="9"/>
    </row>
    <row r="8" spans="1:8" ht="60" x14ac:dyDescent="0.3">
      <c r="A8" s="2"/>
      <c r="B8" s="6" t="s">
        <v>18</v>
      </c>
      <c r="C8" s="11" t="s">
        <v>19</v>
      </c>
      <c r="D8" s="6" t="s">
        <v>20</v>
      </c>
      <c r="E8" s="12">
        <v>1</v>
      </c>
      <c r="F8" s="28" t="s">
        <v>147</v>
      </c>
      <c r="G8" s="28" t="s">
        <v>148</v>
      </c>
      <c r="H8" s="28" t="s">
        <v>149</v>
      </c>
    </row>
    <row r="9" spans="1:8" ht="93.75" customHeight="1" x14ac:dyDescent="0.3">
      <c r="A9" s="2"/>
      <c r="B9" s="6" t="s">
        <v>21</v>
      </c>
      <c r="C9" s="11" t="s">
        <v>22</v>
      </c>
      <c r="D9" s="6" t="s">
        <v>20</v>
      </c>
      <c r="E9" s="12">
        <v>1</v>
      </c>
      <c r="F9" s="57" t="s">
        <v>150</v>
      </c>
      <c r="G9" s="58"/>
      <c r="H9" s="28" t="s">
        <v>151</v>
      </c>
    </row>
    <row r="10" spans="1:8" ht="93.75" customHeight="1" x14ac:dyDescent="0.3">
      <c r="A10" s="2"/>
      <c r="B10" s="6" t="s">
        <v>23</v>
      </c>
      <c r="C10" s="11" t="s">
        <v>152</v>
      </c>
      <c r="D10" s="6" t="s">
        <v>20</v>
      </c>
      <c r="E10" s="12">
        <v>1</v>
      </c>
      <c r="F10" s="57" t="s">
        <v>153</v>
      </c>
      <c r="G10" s="58"/>
      <c r="H10" s="28"/>
    </row>
    <row r="11" spans="1:8" x14ac:dyDescent="0.3">
      <c r="A11" s="10" t="s">
        <v>25</v>
      </c>
      <c r="B11" s="40" t="s">
        <v>26</v>
      </c>
      <c r="C11" s="41"/>
      <c r="D11" s="8"/>
      <c r="E11" s="8"/>
      <c r="F11" s="8"/>
      <c r="G11" s="8"/>
      <c r="H11" s="9"/>
    </row>
    <row r="12" spans="1:8" x14ac:dyDescent="0.3">
      <c r="A12" s="2"/>
      <c r="B12" s="6" t="s">
        <v>27</v>
      </c>
      <c r="C12" s="11" t="s">
        <v>28</v>
      </c>
      <c r="D12" s="6" t="s">
        <v>154</v>
      </c>
      <c r="E12" s="12">
        <f>+SUM(E13:E15)</f>
        <v>14052.914600000002</v>
      </c>
      <c r="F12" s="51" t="s">
        <v>155</v>
      </c>
      <c r="G12" s="51" t="s">
        <v>156</v>
      </c>
      <c r="H12" s="51"/>
    </row>
    <row r="13" spans="1:8" x14ac:dyDescent="0.3">
      <c r="A13" s="2"/>
      <c r="B13" s="27" t="s">
        <v>30</v>
      </c>
      <c r="C13" s="29" t="s">
        <v>31</v>
      </c>
      <c r="D13" s="27" t="s">
        <v>29</v>
      </c>
      <c r="E13" s="30">
        <v>4762.2248000000009</v>
      </c>
      <c r="F13" s="51"/>
      <c r="G13" s="51"/>
      <c r="H13" s="51"/>
    </row>
    <row r="14" spans="1:8" x14ac:dyDescent="0.3">
      <c r="A14" s="2"/>
      <c r="B14" s="27" t="s">
        <v>32</v>
      </c>
      <c r="C14" s="29" t="s">
        <v>33</v>
      </c>
      <c r="D14" s="27" t="s">
        <v>29</v>
      </c>
      <c r="E14" s="30">
        <v>4762.2248000000009</v>
      </c>
      <c r="F14" s="51"/>
      <c r="G14" s="51"/>
      <c r="H14" s="51"/>
    </row>
    <row r="15" spans="1:8" x14ac:dyDescent="0.3">
      <c r="A15" s="2"/>
      <c r="B15" s="27" t="s">
        <v>34</v>
      </c>
      <c r="C15" s="29" t="s">
        <v>35</v>
      </c>
      <c r="D15" s="27" t="s">
        <v>29</v>
      </c>
      <c r="E15" s="30">
        <v>4528.4650000000001</v>
      </c>
      <c r="F15" s="51"/>
      <c r="G15" s="51"/>
      <c r="H15" s="51"/>
    </row>
    <row r="16" spans="1:8" ht="28.8" x14ac:dyDescent="0.3">
      <c r="A16" s="2"/>
      <c r="B16" s="6" t="s">
        <v>36</v>
      </c>
      <c r="C16" s="32" t="s">
        <v>37</v>
      </c>
      <c r="D16" s="6" t="s">
        <v>29</v>
      </c>
      <c r="E16" s="12">
        <f>+SUM(E17:E19)</f>
        <v>120</v>
      </c>
      <c r="F16" s="51" t="s">
        <v>157</v>
      </c>
      <c r="G16" s="51" t="s">
        <v>158</v>
      </c>
      <c r="H16" s="51"/>
    </row>
    <row r="17" spans="1:8" x14ac:dyDescent="0.3">
      <c r="A17" s="2"/>
      <c r="B17" s="27" t="s">
        <v>38</v>
      </c>
      <c r="C17" s="29" t="s">
        <v>31</v>
      </c>
      <c r="D17" s="27" t="s">
        <v>29</v>
      </c>
      <c r="E17" s="30">
        <v>40</v>
      </c>
      <c r="F17" s="51"/>
      <c r="G17" s="51"/>
      <c r="H17" s="51"/>
    </row>
    <row r="18" spans="1:8" x14ac:dyDescent="0.3">
      <c r="A18" s="2"/>
      <c r="B18" s="27" t="s">
        <v>39</v>
      </c>
      <c r="C18" s="29" t="s">
        <v>33</v>
      </c>
      <c r="D18" s="27" t="s">
        <v>29</v>
      </c>
      <c r="E18" s="30">
        <v>40</v>
      </c>
      <c r="F18" s="51"/>
      <c r="G18" s="51"/>
      <c r="H18" s="51"/>
    </row>
    <row r="19" spans="1:8" x14ac:dyDescent="0.3">
      <c r="A19" s="2"/>
      <c r="B19" s="27" t="s">
        <v>40</v>
      </c>
      <c r="C19" s="29" t="s">
        <v>35</v>
      </c>
      <c r="D19" s="27" t="s">
        <v>29</v>
      </c>
      <c r="E19" s="30">
        <v>40</v>
      </c>
      <c r="F19" s="51"/>
      <c r="G19" s="51"/>
      <c r="H19" s="51"/>
    </row>
    <row r="20" spans="1:8" ht="28.8" x14ac:dyDescent="0.3">
      <c r="A20" s="2"/>
      <c r="B20" s="6" t="s">
        <v>41</v>
      </c>
      <c r="C20" s="32" t="s">
        <v>42</v>
      </c>
      <c r="D20" s="6" t="s">
        <v>29</v>
      </c>
      <c r="E20" s="12">
        <f>+SUM(E21:E23)</f>
        <v>900</v>
      </c>
      <c r="F20" s="51" t="s">
        <v>159</v>
      </c>
      <c r="G20" s="51" t="s">
        <v>160</v>
      </c>
      <c r="H20" s="51" t="s">
        <v>161</v>
      </c>
    </row>
    <row r="21" spans="1:8" x14ac:dyDescent="0.3">
      <c r="A21" s="2"/>
      <c r="B21" s="27" t="s">
        <v>43</v>
      </c>
      <c r="C21" s="29" t="s">
        <v>31</v>
      </c>
      <c r="D21" s="27" t="s">
        <v>29</v>
      </c>
      <c r="E21" s="30">
        <v>300</v>
      </c>
      <c r="F21" s="51"/>
      <c r="G21" s="51"/>
      <c r="H21" s="51"/>
    </row>
    <row r="22" spans="1:8" x14ac:dyDescent="0.3">
      <c r="A22" s="2"/>
      <c r="B22" s="27" t="s">
        <v>44</v>
      </c>
      <c r="C22" s="29" t="s">
        <v>33</v>
      </c>
      <c r="D22" s="27" t="s">
        <v>29</v>
      </c>
      <c r="E22" s="30">
        <v>300</v>
      </c>
      <c r="F22" s="51"/>
      <c r="G22" s="51"/>
      <c r="H22" s="51"/>
    </row>
    <row r="23" spans="1:8" x14ac:dyDescent="0.3">
      <c r="A23" s="2"/>
      <c r="B23" s="27" t="s">
        <v>45</v>
      </c>
      <c r="C23" s="29" t="s">
        <v>35</v>
      </c>
      <c r="D23" s="27" t="s">
        <v>29</v>
      </c>
      <c r="E23" s="30">
        <v>300</v>
      </c>
      <c r="F23" s="51"/>
      <c r="G23" s="51"/>
      <c r="H23" s="51"/>
    </row>
    <row r="24" spans="1:8" ht="27" customHeight="1" x14ac:dyDescent="0.3">
      <c r="A24" s="2"/>
      <c r="B24" s="6" t="s">
        <v>46</v>
      </c>
      <c r="C24" s="32" t="s">
        <v>47</v>
      </c>
      <c r="D24" s="6" t="s">
        <v>29</v>
      </c>
      <c r="E24" s="12">
        <f>+SUM(E25:E27)</f>
        <v>120</v>
      </c>
      <c r="F24" s="51" t="s">
        <v>162</v>
      </c>
      <c r="G24" s="51" t="s">
        <v>163</v>
      </c>
      <c r="H24" s="51"/>
    </row>
    <row r="25" spans="1:8" ht="23.25" customHeight="1" x14ac:dyDescent="0.3">
      <c r="A25" s="2"/>
      <c r="B25" s="27" t="s">
        <v>48</v>
      </c>
      <c r="C25" s="29" t="s">
        <v>31</v>
      </c>
      <c r="D25" s="27" t="s">
        <v>29</v>
      </c>
      <c r="E25" s="30">
        <v>40</v>
      </c>
      <c r="F25" s="51"/>
      <c r="G25" s="51"/>
      <c r="H25" s="51"/>
    </row>
    <row r="26" spans="1:8" ht="23.25" customHeight="1" x14ac:dyDescent="0.3">
      <c r="A26" s="2"/>
      <c r="B26" s="27" t="s">
        <v>49</v>
      </c>
      <c r="C26" s="29" t="s">
        <v>33</v>
      </c>
      <c r="D26" s="27" t="s">
        <v>29</v>
      </c>
      <c r="E26" s="30">
        <v>40</v>
      </c>
      <c r="F26" s="51"/>
      <c r="G26" s="51"/>
      <c r="H26" s="51"/>
    </row>
    <row r="27" spans="1:8" ht="23.25" customHeight="1" x14ac:dyDescent="0.3">
      <c r="A27" s="2"/>
      <c r="B27" s="27" t="s">
        <v>50</v>
      </c>
      <c r="C27" s="29" t="s">
        <v>35</v>
      </c>
      <c r="D27" s="27" t="s">
        <v>29</v>
      </c>
      <c r="E27" s="30">
        <v>40</v>
      </c>
      <c r="F27" s="51"/>
      <c r="G27" s="51"/>
      <c r="H27" s="51"/>
    </row>
    <row r="28" spans="1:8" ht="28.8" x14ac:dyDescent="0.3">
      <c r="A28" s="2"/>
      <c r="B28" s="6" t="s">
        <v>51</v>
      </c>
      <c r="C28" s="32" t="s">
        <v>52</v>
      </c>
      <c r="D28" s="6" t="s">
        <v>53</v>
      </c>
      <c r="E28" s="12">
        <f>+SUM(E29:E31)</f>
        <v>6538.5</v>
      </c>
      <c r="F28" s="51" t="s">
        <v>164</v>
      </c>
      <c r="G28" s="51" t="s">
        <v>165</v>
      </c>
      <c r="H28" s="54" t="s">
        <v>166</v>
      </c>
    </row>
    <row r="29" spans="1:8" ht="24" customHeight="1" x14ac:dyDescent="0.3">
      <c r="A29" s="2"/>
      <c r="B29" s="27" t="s">
        <v>54</v>
      </c>
      <c r="C29" s="29" t="s">
        <v>31</v>
      </c>
      <c r="D29" s="27" t="s">
        <v>53</v>
      </c>
      <c r="E29" s="30">
        <v>2176.5</v>
      </c>
      <c r="F29" s="51"/>
      <c r="G29" s="51"/>
      <c r="H29" s="55"/>
    </row>
    <row r="30" spans="1:8" ht="24" customHeight="1" x14ac:dyDescent="0.3">
      <c r="A30" s="2"/>
      <c r="B30" s="27" t="s">
        <v>55</v>
      </c>
      <c r="C30" s="29" t="s">
        <v>33</v>
      </c>
      <c r="D30" s="27" t="s">
        <v>53</v>
      </c>
      <c r="E30" s="30">
        <f>+E29</f>
        <v>2176.5</v>
      </c>
      <c r="F30" s="51"/>
      <c r="G30" s="51"/>
      <c r="H30" s="55"/>
    </row>
    <row r="31" spans="1:8" ht="24" customHeight="1" x14ac:dyDescent="0.3">
      <c r="A31" s="2"/>
      <c r="B31" s="27" t="s">
        <v>56</v>
      </c>
      <c r="C31" s="29" t="s">
        <v>35</v>
      </c>
      <c r="D31" s="27" t="s">
        <v>53</v>
      </c>
      <c r="E31" s="30">
        <v>2185.5</v>
      </c>
      <c r="F31" s="51"/>
      <c r="G31" s="51"/>
      <c r="H31" s="56"/>
    </row>
    <row r="32" spans="1:8" ht="36" x14ac:dyDescent="0.3">
      <c r="A32" s="2"/>
      <c r="B32" s="6" t="s">
        <v>57</v>
      </c>
      <c r="C32" s="32" t="s">
        <v>58</v>
      </c>
      <c r="D32" s="6" t="s">
        <v>29</v>
      </c>
      <c r="E32" s="12">
        <v>750</v>
      </c>
      <c r="F32" s="28" t="s">
        <v>167</v>
      </c>
      <c r="G32" s="28" t="s">
        <v>156</v>
      </c>
      <c r="H32" s="4"/>
    </row>
    <row r="33" spans="1:8" ht="66.75" customHeight="1" x14ac:dyDescent="0.3">
      <c r="A33" s="2"/>
      <c r="B33" s="6" t="s">
        <v>59</v>
      </c>
      <c r="C33" s="32" t="s">
        <v>60</v>
      </c>
      <c r="D33" s="6" t="s">
        <v>29</v>
      </c>
      <c r="E33" s="12">
        <v>15</v>
      </c>
      <c r="F33" s="28" t="s">
        <v>168</v>
      </c>
      <c r="G33" s="28" t="s">
        <v>158</v>
      </c>
      <c r="H33" s="4"/>
    </row>
    <row r="34" spans="1:8" ht="63.75" customHeight="1" x14ac:dyDescent="0.3">
      <c r="A34" s="2"/>
      <c r="B34" s="6" t="s">
        <v>61</v>
      </c>
      <c r="C34" s="32" t="s">
        <v>62</v>
      </c>
      <c r="D34" s="6" t="s">
        <v>29</v>
      </c>
      <c r="E34" s="12">
        <v>45</v>
      </c>
      <c r="F34" s="28" t="s">
        <v>159</v>
      </c>
      <c r="G34" s="28" t="s">
        <v>169</v>
      </c>
      <c r="H34" s="28" t="s">
        <v>161</v>
      </c>
    </row>
    <row r="35" spans="1:8" x14ac:dyDescent="0.3">
      <c r="A35" s="10" t="s">
        <v>63</v>
      </c>
      <c r="B35" s="40" t="s">
        <v>64</v>
      </c>
      <c r="C35" s="41"/>
      <c r="D35" s="8"/>
      <c r="E35" s="8"/>
      <c r="F35" s="8"/>
      <c r="G35" s="8"/>
      <c r="H35" s="9"/>
    </row>
    <row r="36" spans="1:8" ht="28.8" x14ac:dyDescent="0.3">
      <c r="A36" s="2"/>
      <c r="B36" s="6" t="s">
        <v>65</v>
      </c>
      <c r="C36" s="32" t="s">
        <v>66</v>
      </c>
      <c r="D36" s="6" t="s">
        <v>170</v>
      </c>
      <c r="E36" s="12">
        <f>+E37+E38+E39</f>
        <v>895.5</v>
      </c>
      <c r="F36" s="51" t="s">
        <v>171</v>
      </c>
      <c r="G36" s="51" t="s">
        <v>172</v>
      </c>
      <c r="H36" s="52"/>
    </row>
    <row r="37" spans="1:8" ht="30" customHeight="1" x14ac:dyDescent="0.3">
      <c r="A37" s="2"/>
      <c r="B37" s="27" t="s">
        <v>67</v>
      </c>
      <c r="C37" s="29" t="s">
        <v>31</v>
      </c>
      <c r="D37" s="27" t="s">
        <v>53</v>
      </c>
      <c r="E37" s="30">
        <v>330</v>
      </c>
      <c r="F37" s="51"/>
      <c r="G37" s="51"/>
      <c r="H37" s="52"/>
    </row>
    <row r="38" spans="1:8" ht="30" customHeight="1" x14ac:dyDescent="0.3">
      <c r="A38" s="2"/>
      <c r="B38" s="27" t="s">
        <v>68</v>
      </c>
      <c r="C38" s="29" t="s">
        <v>33</v>
      </c>
      <c r="D38" s="27" t="s">
        <v>53</v>
      </c>
      <c r="E38" s="30">
        <v>330</v>
      </c>
      <c r="F38" s="51"/>
      <c r="G38" s="51"/>
      <c r="H38" s="52"/>
    </row>
    <row r="39" spans="1:8" ht="30" customHeight="1" x14ac:dyDescent="0.3">
      <c r="A39" s="2"/>
      <c r="B39" s="27" t="s">
        <v>69</v>
      </c>
      <c r="C39" s="29" t="s">
        <v>35</v>
      </c>
      <c r="D39" s="27" t="s">
        <v>53</v>
      </c>
      <c r="E39" s="30">
        <v>235.5</v>
      </c>
      <c r="F39" s="51"/>
      <c r="G39" s="51"/>
      <c r="H39" s="52"/>
    </row>
    <row r="40" spans="1:8" x14ac:dyDescent="0.3">
      <c r="A40" s="2"/>
      <c r="B40" s="6" t="s">
        <v>70</v>
      </c>
      <c r="C40" s="11" t="s">
        <v>71</v>
      </c>
      <c r="D40" s="6" t="s">
        <v>53</v>
      </c>
      <c r="E40" s="12"/>
      <c r="F40" s="53" t="s">
        <v>173</v>
      </c>
      <c r="G40" s="51" t="s">
        <v>174</v>
      </c>
      <c r="H40" s="51" t="s">
        <v>175</v>
      </c>
    </row>
    <row r="41" spans="1:8" x14ac:dyDescent="0.3">
      <c r="A41" s="2"/>
      <c r="B41" s="27" t="s">
        <v>72</v>
      </c>
      <c r="C41" s="29" t="s">
        <v>31</v>
      </c>
      <c r="D41" s="27" t="s">
        <v>53</v>
      </c>
      <c r="E41" s="30">
        <v>225</v>
      </c>
      <c r="F41" s="53"/>
      <c r="G41" s="51"/>
      <c r="H41" s="51"/>
    </row>
    <row r="42" spans="1:8" x14ac:dyDescent="0.3">
      <c r="A42" s="2"/>
      <c r="B42" s="27" t="s">
        <v>73</v>
      </c>
      <c r="C42" s="29" t="s">
        <v>33</v>
      </c>
      <c r="D42" s="27" t="s">
        <v>53</v>
      </c>
      <c r="E42" s="30">
        <v>225</v>
      </c>
      <c r="F42" s="53"/>
      <c r="G42" s="51"/>
      <c r="H42" s="51"/>
    </row>
    <row r="43" spans="1:8" ht="27.75" customHeight="1" x14ac:dyDescent="0.3">
      <c r="A43" s="2"/>
      <c r="B43" s="27" t="s">
        <v>74</v>
      </c>
      <c r="C43" s="29" t="s">
        <v>35</v>
      </c>
      <c r="D43" s="27" t="s">
        <v>53</v>
      </c>
      <c r="E43" s="30">
        <v>195</v>
      </c>
      <c r="F43" s="53"/>
      <c r="G43" s="51"/>
      <c r="H43" s="51"/>
    </row>
    <row r="44" spans="1:8" ht="63" customHeight="1" x14ac:dyDescent="0.3">
      <c r="A44" s="2"/>
      <c r="B44" s="6" t="s">
        <v>75</v>
      </c>
      <c r="C44" s="32" t="s">
        <v>76</v>
      </c>
      <c r="D44" s="6" t="s">
        <v>154</v>
      </c>
      <c r="E44" s="12">
        <f>+E45+E49+E53</f>
        <v>1090</v>
      </c>
      <c r="F44" s="57" t="s">
        <v>176</v>
      </c>
      <c r="G44" s="58"/>
      <c r="H44" s="28"/>
    </row>
    <row r="45" spans="1:8" x14ac:dyDescent="0.3">
      <c r="A45" s="2"/>
      <c r="B45" s="27" t="s">
        <v>77</v>
      </c>
      <c r="C45" s="29" t="s">
        <v>31</v>
      </c>
      <c r="D45" s="27" t="s">
        <v>29</v>
      </c>
      <c r="E45" s="30">
        <f>+E46</f>
        <v>360</v>
      </c>
      <c r="F45" s="28"/>
      <c r="G45" s="28"/>
      <c r="H45" s="28"/>
    </row>
    <row r="46" spans="1:8" ht="48" x14ac:dyDescent="0.3">
      <c r="A46" s="2"/>
      <c r="B46" s="27" t="s">
        <v>78</v>
      </c>
      <c r="C46" s="29" t="s">
        <v>79</v>
      </c>
      <c r="D46" s="27" t="s">
        <v>29</v>
      </c>
      <c r="E46" s="30">
        <v>360</v>
      </c>
      <c r="F46" s="28" t="s">
        <v>177</v>
      </c>
      <c r="G46" s="28" t="s">
        <v>178</v>
      </c>
      <c r="H46" s="28"/>
    </row>
    <row r="47" spans="1:8" ht="36" x14ac:dyDescent="0.3">
      <c r="A47" s="2"/>
      <c r="B47" s="27" t="s">
        <v>80</v>
      </c>
      <c r="C47" s="29" t="s">
        <v>81</v>
      </c>
      <c r="D47" s="27" t="s">
        <v>53</v>
      </c>
      <c r="E47" s="30">
        <v>36</v>
      </c>
      <c r="F47" s="28" t="s">
        <v>179</v>
      </c>
      <c r="G47" s="28" t="s">
        <v>180</v>
      </c>
      <c r="H47" s="28"/>
    </row>
    <row r="48" spans="1:8" ht="36" x14ac:dyDescent="0.3">
      <c r="A48" s="2"/>
      <c r="B48" s="27" t="s">
        <v>82</v>
      </c>
      <c r="C48" s="29" t="s">
        <v>83</v>
      </c>
      <c r="D48" s="27" t="s">
        <v>53</v>
      </c>
      <c r="E48" s="30">
        <v>101.3</v>
      </c>
      <c r="F48" s="28" t="s">
        <v>181</v>
      </c>
      <c r="G48" s="28" t="s">
        <v>182</v>
      </c>
      <c r="H48" s="28"/>
    </row>
    <row r="49" spans="1:8" x14ac:dyDescent="0.3">
      <c r="A49" s="2"/>
      <c r="B49" s="27" t="s">
        <v>84</v>
      </c>
      <c r="C49" s="29" t="s">
        <v>33</v>
      </c>
      <c r="D49" s="27" t="s">
        <v>85</v>
      </c>
      <c r="E49" s="30">
        <f>+E50</f>
        <v>360</v>
      </c>
      <c r="F49" s="28"/>
      <c r="G49" s="28"/>
      <c r="H49" s="28"/>
    </row>
    <row r="50" spans="1:8" ht="36" x14ac:dyDescent="0.3">
      <c r="A50" s="2"/>
      <c r="B50" s="27" t="s">
        <v>86</v>
      </c>
      <c r="C50" s="29" t="s">
        <v>79</v>
      </c>
      <c r="D50" s="27" t="s">
        <v>29</v>
      </c>
      <c r="E50" s="30">
        <f>+E46</f>
        <v>360</v>
      </c>
      <c r="F50" s="28" t="s">
        <v>177</v>
      </c>
      <c r="G50" s="28" t="s">
        <v>183</v>
      </c>
      <c r="H50" s="28"/>
    </row>
    <row r="51" spans="1:8" ht="36" x14ac:dyDescent="0.3">
      <c r="A51" s="2"/>
      <c r="B51" s="27" t="s">
        <v>87</v>
      </c>
      <c r="C51" s="29" t="s">
        <v>81</v>
      </c>
      <c r="D51" s="27" t="s">
        <v>53</v>
      </c>
      <c r="E51" s="30">
        <f>+E47</f>
        <v>36</v>
      </c>
      <c r="F51" s="28" t="s">
        <v>179</v>
      </c>
      <c r="G51" s="28" t="s">
        <v>180</v>
      </c>
      <c r="H51" s="28"/>
    </row>
    <row r="52" spans="1:8" ht="24" x14ac:dyDescent="0.3">
      <c r="A52" s="2"/>
      <c r="B52" s="27" t="s">
        <v>88</v>
      </c>
      <c r="C52" s="29" t="s">
        <v>83</v>
      </c>
      <c r="D52" s="27" t="s">
        <v>53</v>
      </c>
      <c r="E52" s="30">
        <f>+E48</f>
        <v>101.3</v>
      </c>
      <c r="F52" s="28" t="s">
        <v>181</v>
      </c>
      <c r="G52" s="28" t="s">
        <v>184</v>
      </c>
      <c r="H52" s="28"/>
    </row>
    <row r="53" spans="1:8" x14ac:dyDescent="0.3">
      <c r="A53" s="2"/>
      <c r="B53" s="27" t="s">
        <v>89</v>
      </c>
      <c r="C53" s="29" t="s">
        <v>35</v>
      </c>
      <c r="D53" s="27" t="s">
        <v>85</v>
      </c>
      <c r="E53" s="30">
        <f>+E54</f>
        <v>370</v>
      </c>
      <c r="F53" s="4"/>
      <c r="G53" s="4"/>
      <c r="H53" s="4"/>
    </row>
    <row r="54" spans="1:8" ht="36" x14ac:dyDescent="0.3">
      <c r="A54" s="2"/>
      <c r="B54" s="27" t="s">
        <v>90</v>
      </c>
      <c r="C54" s="29" t="s">
        <v>79</v>
      </c>
      <c r="D54" s="27" t="s">
        <v>29</v>
      </c>
      <c r="E54" s="30">
        <v>370</v>
      </c>
      <c r="F54" s="28" t="s">
        <v>177</v>
      </c>
      <c r="G54" s="28" t="s">
        <v>183</v>
      </c>
      <c r="H54" s="28"/>
    </row>
    <row r="55" spans="1:8" ht="45.75" customHeight="1" x14ac:dyDescent="0.3">
      <c r="A55" s="2"/>
      <c r="B55" s="27" t="s">
        <v>91</v>
      </c>
      <c r="C55" s="29" t="s">
        <v>81</v>
      </c>
      <c r="D55" s="27" t="s">
        <v>53</v>
      </c>
      <c r="E55" s="30">
        <v>38</v>
      </c>
      <c r="F55" s="28" t="s">
        <v>185</v>
      </c>
      <c r="G55" s="28" t="s">
        <v>180</v>
      </c>
      <c r="H55" s="28"/>
    </row>
    <row r="56" spans="1:8" ht="40.5" customHeight="1" x14ac:dyDescent="0.3">
      <c r="A56" s="2"/>
      <c r="B56" s="27" t="s">
        <v>92</v>
      </c>
      <c r="C56" s="29" t="s">
        <v>83</v>
      </c>
      <c r="D56" s="27" t="s">
        <v>53</v>
      </c>
      <c r="E56" s="30">
        <v>105</v>
      </c>
      <c r="F56" s="28" t="s">
        <v>181</v>
      </c>
      <c r="G56" s="28" t="s">
        <v>184</v>
      </c>
      <c r="H56" s="28"/>
    </row>
    <row r="57" spans="1:8" x14ac:dyDescent="0.3">
      <c r="A57" s="10" t="s">
        <v>93</v>
      </c>
      <c r="B57" s="40" t="s">
        <v>94</v>
      </c>
      <c r="C57" s="41"/>
      <c r="D57" s="8"/>
      <c r="E57" s="8"/>
      <c r="F57" s="8"/>
      <c r="G57" s="8"/>
      <c r="H57" s="9"/>
    </row>
    <row r="58" spans="1:8" ht="32.25" customHeight="1" x14ac:dyDescent="0.3">
      <c r="A58" s="2"/>
      <c r="B58" s="6" t="s">
        <v>95</v>
      </c>
      <c r="C58" s="32" t="s">
        <v>96</v>
      </c>
      <c r="D58" s="6" t="s">
        <v>29</v>
      </c>
      <c r="E58" s="12">
        <f>+E59+E60+E61+E62</f>
        <v>14802.91</v>
      </c>
      <c r="F58" s="51" t="s">
        <v>186</v>
      </c>
      <c r="G58" s="51" t="s">
        <v>187</v>
      </c>
      <c r="H58" s="51" t="s">
        <v>188</v>
      </c>
    </row>
    <row r="59" spans="1:8" ht="32.25" customHeight="1" x14ac:dyDescent="0.3">
      <c r="A59" s="2"/>
      <c r="B59" s="27" t="s">
        <v>97</v>
      </c>
      <c r="C59" s="29" t="s">
        <v>31</v>
      </c>
      <c r="D59" s="27" t="s">
        <v>29</v>
      </c>
      <c r="E59" s="30">
        <v>4762.22</v>
      </c>
      <c r="F59" s="51"/>
      <c r="G59" s="51"/>
      <c r="H59" s="51"/>
    </row>
    <row r="60" spans="1:8" ht="32.25" customHeight="1" x14ac:dyDescent="0.3">
      <c r="A60" s="2"/>
      <c r="B60" s="27" t="s">
        <v>98</v>
      </c>
      <c r="C60" s="29" t="s">
        <v>33</v>
      </c>
      <c r="D60" s="27" t="s">
        <v>29</v>
      </c>
      <c r="E60" s="30">
        <f>+E59</f>
        <v>4762.22</v>
      </c>
      <c r="F60" s="51"/>
      <c r="G60" s="51"/>
      <c r="H60" s="51"/>
    </row>
    <row r="61" spans="1:8" ht="32.25" customHeight="1" x14ac:dyDescent="0.3">
      <c r="A61" s="2"/>
      <c r="B61" s="27" t="s">
        <v>99</v>
      </c>
      <c r="C61" s="29" t="s">
        <v>35</v>
      </c>
      <c r="D61" s="27" t="s">
        <v>29</v>
      </c>
      <c r="E61" s="30">
        <v>4528.47</v>
      </c>
      <c r="F61" s="51"/>
      <c r="G61" s="51"/>
      <c r="H61" s="51"/>
    </row>
    <row r="62" spans="1:8" ht="32.25" customHeight="1" x14ac:dyDescent="0.3">
      <c r="A62" s="2"/>
      <c r="B62" s="27" t="s">
        <v>100</v>
      </c>
      <c r="C62" s="29" t="s">
        <v>101</v>
      </c>
      <c r="D62" s="27" t="s">
        <v>29</v>
      </c>
      <c r="E62" s="30">
        <f>+E32</f>
        <v>750</v>
      </c>
      <c r="F62" s="51"/>
      <c r="G62" s="51"/>
      <c r="H62" s="51"/>
    </row>
    <row r="63" spans="1:8" x14ac:dyDescent="0.3">
      <c r="A63" s="10" t="s">
        <v>102</v>
      </c>
      <c r="B63" s="40" t="s">
        <v>103</v>
      </c>
      <c r="C63" s="41"/>
      <c r="D63" s="8"/>
      <c r="E63" s="8"/>
      <c r="F63" s="8"/>
      <c r="G63" s="8"/>
      <c r="H63" s="9"/>
    </row>
    <row r="64" spans="1:8" x14ac:dyDescent="0.3">
      <c r="A64" s="2"/>
      <c r="B64" s="6" t="s">
        <v>104</v>
      </c>
      <c r="C64" s="11" t="s">
        <v>105</v>
      </c>
      <c r="D64" s="6" t="s">
        <v>29</v>
      </c>
      <c r="E64" s="12">
        <f>+E65+E68+E71</f>
        <v>7998.5599999999995</v>
      </c>
      <c r="F64" s="51" t="s">
        <v>189</v>
      </c>
      <c r="G64" s="51" t="s">
        <v>190</v>
      </c>
      <c r="H64" s="51" t="s">
        <v>191</v>
      </c>
    </row>
    <row r="65" spans="1:8" x14ac:dyDescent="0.3">
      <c r="A65" s="2"/>
      <c r="B65" s="27" t="s">
        <v>106</v>
      </c>
      <c r="C65" s="29" t="s">
        <v>31</v>
      </c>
      <c r="D65" s="31"/>
      <c r="E65" s="30">
        <f>+E66+E67</f>
        <v>2572.6</v>
      </c>
      <c r="F65" s="51"/>
      <c r="G65" s="51"/>
      <c r="H65" s="51"/>
    </row>
    <row r="66" spans="1:8" x14ac:dyDescent="0.3">
      <c r="A66" s="2"/>
      <c r="B66" s="27" t="s">
        <v>107</v>
      </c>
      <c r="C66" s="29" t="s">
        <v>108</v>
      </c>
      <c r="D66" s="27" t="s">
        <v>29</v>
      </c>
      <c r="E66" s="30">
        <v>1882</v>
      </c>
      <c r="F66" s="51"/>
      <c r="G66" s="51"/>
      <c r="H66" s="51"/>
    </row>
    <row r="67" spans="1:8" x14ac:dyDescent="0.3">
      <c r="A67" s="2"/>
      <c r="B67" s="27" t="s">
        <v>109</v>
      </c>
      <c r="C67" s="29" t="s">
        <v>110</v>
      </c>
      <c r="D67" s="27" t="s">
        <v>29</v>
      </c>
      <c r="E67" s="30">
        <f>46.04*15</f>
        <v>690.6</v>
      </c>
      <c r="F67" s="51"/>
      <c r="G67" s="51"/>
      <c r="H67" s="51"/>
    </row>
    <row r="68" spans="1:8" x14ac:dyDescent="0.3">
      <c r="A68" s="2"/>
      <c r="B68" s="27" t="s">
        <v>111</v>
      </c>
      <c r="C68" s="29" t="s">
        <v>33</v>
      </c>
      <c r="D68" s="31"/>
      <c r="E68" s="30">
        <f>+E69+E70</f>
        <v>2572.6</v>
      </c>
      <c r="F68" s="51"/>
      <c r="G68" s="51"/>
      <c r="H68" s="51"/>
    </row>
    <row r="69" spans="1:8" x14ac:dyDescent="0.3">
      <c r="A69" s="2"/>
      <c r="B69" s="27" t="s">
        <v>112</v>
      </c>
      <c r="C69" s="29" t="s">
        <v>108</v>
      </c>
      <c r="D69" s="27" t="s">
        <v>29</v>
      </c>
      <c r="E69" s="30">
        <f>+E66</f>
        <v>1882</v>
      </c>
      <c r="F69" s="51"/>
      <c r="G69" s="51"/>
      <c r="H69" s="51"/>
    </row>
    <row r="70" spans="1:8" x14ac:dyDescent="0.3">
      <c r="A70" s="2"/>
      <c r="B70" s="27" t="s">
        <v>113</v>
      </c>
      <c r="C70" s="29" t="s">
        <v>110</v>
      </c>
      <c r="D70" s="27" t="s">
        <v>29</v>
      </c>
      <c r="E70" s="30">
        <f>+E67</f>
        <v>690.6</v>
      </c>
      <c r="F70" s="51"/>
      <c r="G70" s="51"/>
      <c r="H70" s="51"/>
    </row>
    <row r="71" spans="1:8" x14ac:dyDescent="0.3">
      <c r="A71" s="2"/>
      <c r="B71" s="27" t="s">
        <v>114</v>
      </c>
      <c r="C71" s="29" t="s">
        <v>35</v>
      </c>
      <c r="D71" s="31"/>
      <c r="E71" s="30">
        <f>+E72+E73</f>
        <v>2853.3599999999997</v>
      </c>
      <c r="F71" s="51"/>
      <c r="G71" s="51"/>
      <c r="H71" s="51"/>
    </row>
    <row r="72" spans="1:8" x14ac:dyDescent="0.3">
      <c r="A72" s="2"/>
      <c r="B72" s="27" t="s">
        <v>115</v>
      </c>
      <c r="C72" s="29" t="s">
        <v>108</v>
      </c>
      <c r="D72" s="27" t="s">
        <v>29</v>
      </c>
      <c r="E72" s="30">
        <f>63.16*2.4*15</f>
        <v>2273.7599999999998</v>
      </c>
      <c r="F72" s="51"/>
      <c r="G72" s="51"/>
      <c r="H72" s="51"/>
    </row>
    <row r="73" spans="1:8" x14ac:dyDescent="0.3">
      <c r="A73" s="2"/>
      <c r="B73" s="27" t="s">
        <v>116</v>
      </c>
      <c r="C73" s="29" t="s">
        <v>110</v>
      </c>
      <c r="D73" s="27" t="s">
        <v>29</v>
      </c>
      <c r="E73" s="30">
        <f>38.64*15</f>
        <v>579.6</v>
      </c>
      <c r="F73" s="51"/>
      <c r="G73" s="51"/>
      <c r="H73" s="51"/>
    </row>
    <row r="74" spans="1:8" ht="19.5" customHeight="1" x14ac:dyDescent="0.3">
      <c r="A74" s="2"/>
      <c r="B74" s="6" t="s">
        <v>117</v>
      </c>
      <c r="C74" s="11" t="s">
        <v>118</v>
      </c>
      <c r="D74" s="6" t="s">
        <v>53</v>
      </c>
      <c r="E74" s="12">
        <f>+E75+E76+E77</f>
        <v>150</v>
      </c>
      <c r="F74" s="53" t="s">
        <v>192</v>
      </c>
      <c r="G74" s="53" t="s">
        <v>193</v>
      </c>
      <c r="H74" s="51" t="s">
        <v>194</v>
      </c>
    </row>
    <row r="75" spans="1:8" ht="19.5" customHeight="1" x14ac:dyDescent="0.3">
      <c r="A75" s="2"/>
      <c r="B75" s="27" t="s">
        <v>119</v>
      </c>
      <c r="C75" s="29" t="s">
        <v>31</v>
      </c>
      <c r="D75" s="27" t="s">
        <v>53</v>
      </c>
      <c r="E75" s="30">
        <v>50</v>
      </c>
      <c r="F75" s="53"/>
      <c r="G75" s="53"/>
      <c r="H75" s="51"/>
    </row>
    <row r="76" spans="1:8" ht="19.5" customHeight="1" x14ac:dyDescent="0.3">
      <c r="A76" s="2"/>
      <c r="B76" s="27" t="s">
        <v>120</v>
      </c>
      <c r="C76" s="29" t="s">
        <v>33</v>
      </c>
      <c r="D76" s="27" t="s">
        <v>53</v>
      </c>
      <c r="E76" s="30">
        <v>50</v>
      </c>
      <c r="F76" s="53"/>
      <c r="G76" s="53"/>
      <c r="H76" s="51"/>
    </row>
    <row r="77" spans="1:8" ht="19.5" customHeight="1" x14ac:dyDescent="0.3">
      <c r="A77" s="2"/>
      <c r="B77" s="27" t="s">
        <v>121</v>
      </c>
      <c r="C77" s="29" t="s">
        <v>35</v>
      </c>
      <c r="D77" s="27" t="s">
        <v>53</v>
      </c>
      <c r="E77" s="30">
        <v>50</v>
      </c>
      <c r="F77" s="53"/>
      <c r="G77" s="53"/>
      <c r="H77" s="51"/>
    </row>
    <row r="78" spans="1:8" x14ac:dyDescent="0.3">
      <c r="A78" s="10" t="s">
        <v>122</v>
      </c>
      <c r="B78" s="48" t="s">
        <v>123</v>
      </c>
      <c r="C78" s="48"/>
      <c r="D78" s="48"/>
      <c r="E78" s="48"/>
      <c r="F78" s="16"/>
      <c r="G78" s="16"/>
      <c r="H78" s="16"/>
    </row>
    <row r="79" spans="1:8" ht="49.5" customHeight="1" x14ac:dyDescent="0.3">
      <c r="A79" s="21"/>
      <c r="B79" s="6" t="s">
        <v>124</v>
      </c>
      <c r="C79" s="7" t="s">
        <v>125</v>
      </c>
      <c r="D79" s="6" t="s">
        <v>20</v>
      </c>
      <c r="E79" s="12">
        <v>1</v>
      </c>
      <c r="F79" s="28" t="s">
        <v>195</v>
      </c>
      <c r="G79" s="28" t="s">
        <v>196</v>
      </c>
      <c r="H79" s="2"/>
    </row>
    <row r="80" spans="1:8" ht="52.5" customHeight="1" x14ac:dyDescent="0.3">
      <c r="A80" s="21"/>
      <c r="B80" s="6" t="s">
        <v>126</v>
      </c>
      <c r="C80" s="7" t="s">
        <v>127</v>
      </c>
      <c r="D80" s="6" t="s">
        <v>20</v>
      </c>
      <c r="E80" s="12">
        <v>1</v>
      </c>
      <c r="F80" s="28" t="s">
        <v>197</v>
      </c>
      <c r="G80" s="28" t="s">
        <v>198</v>
      </c>
      <c r="H80" s="2"/>
    </row>
  </sheetData>
  <sheetProtection algorithmName="SHA-512" hashValue="im5pL5E5j+qkCE9Qxa7/szLbApsJ5/c+hx1jBeqdj7XU8Mn/ziH5I1kHsh6bIxzocJcR0hOCx5xFZK/t8F80oQ==" saltValue="TDWgNbGlkWAgugjwwfgy5g==" spinCount="100000" sheet="1" objects="1" scenarios="1"/>
  <mergeCells count="47">
    <mergeCell ref="H20:H23"/>
    <mergeCell ref="F12:F15"/>
    <mergeCell ref="G12:G15"/>
    <mergeCell ref="H12:H15"/>
    <mergeCell ref="F16:F19"/>
    <mergeCell ref="G16:G19"/>
    <mergeCell ref="H16:H19"/>
    <mergeCell ref="F74:F77"/>
    <mergeCell ref="G74:G77"/>
    <mergeCell ref="H74:H77"/>
    <mergeCell ref="F64:F73"/>
    <mergeCell ref="G64:G73"/>
    <mergeCell ref="H64:H73"/>
    <mergeCell ref="F5:H5"/>
    <mergeCell ref="A2:H2"/>
    <mergeCell ref="A3:H3"/>
    <mergeCell ref="G4:H4"/>
    <mergeCell ref="A5:E5"/>
    <mergeCell ref="F10:G10"/>
    <mergeCell ref="F9:G9"/>
    <mergeCell ref="B57:C57"/>
    <mergeCell ref="B35:C35"/>
    <mergeCell ref="F24:F27"/>
    <mergeCell ref="G24:G27"/>
    <mergeCell ref="F20:F23"/>
    <mergeCell ref="G20:G23"/>
    <mergeCell ref="H24:H27"/>
    <mergeCell ref="F28:F31"/>
    <mergeCell ref="G28:G31"/>
    <mergeCell ref="H28:H31"/>
    <mergeCell ref="F44:G44"/>
    <mergeCell ref="B78:E78"/>
    <mergeCell ref="A1:H1"/>
    <mergeCell ref="A4:B4"/>
    <mergeCell ref="C4:E4"/>
    <mergeCell ref="B63:C63"/>
    <mergeCell ref="F36:F39"/>
    <mergeCell ref="G36:G39"/>
    <mergeCell ref="H36:H39"/>
    <mergeCell ref="F40:F43"/>
    <mergeCell ref="G40:G43"/>
    <mergeCell ref="H40:H43"/>
    <mergeCell ref="B7:C7"/>
    <mergeCell ref="B11:C11"/>
    <mergeCell ref="F58:F62"/>
    <mergeCell ref="G58:G62"/>
    <mergeCell ref="H58:H62"/>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presup.</vt:lpstr>
      <vt:lpstr>esp tecnic cantidades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Fresh House</cp:lastModifiedBy>
  <cp:revision/>
  <dcterms:created xsi:type="dcterms:W3CDTF">2024-01-18T22:50:23Z</dcterms:created>
  <dcterms:modified xsi:type="dcterms:W3CDTF">2024-02-09T15:28:52Z</dcterms:modified>
  <cp:category/>
  <cp:contentStatus/>
</cp:coreProperties>
</file>