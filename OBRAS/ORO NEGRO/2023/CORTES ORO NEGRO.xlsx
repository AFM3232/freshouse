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esktop\copia c\Descargas\"/>
    </mc:Choice>
  </mc:AlternateContent>
  <xr:revisionPtr revIDLastSave="0" documentId="13_ncr:1_{F5FAC065-985E-4F9F-B9D0-836AEC3A66A3}" xr6:coauthVersionLast="45" xr6:coauthVersionMax="47" xr10:uidLastSave="{00000000-0000-0000-0000-000000000000}"/>
  <bookViews>
    <workbookView xWindow="-108" yWindow="-108" windowWidth="23256" windowHeight="12456" xr2:uid="{AE35AA39-E1C0-5647-9542-AE4D8CC2D82E}"/>
  </bookViews>
  <sheets>
    <sheet name="Hoja1" sheetId="1" r:id="rId1"/>
    <sheet name="Hoja2" sheetId="2" r:id="rId2"/>
    <sheet name="cortes" sheetId="3" r:id="rId3"/>
  </sheets>
  <definedNames>
    <definedName name="_xlnm.Print_Area" localSheetId="0">Hoja1!$A$2:$N$92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94" i="1" l="1"/>
  <c r="Q91" i="1" l="1"/>
  <c r="Q90" i="1"/>
  <c r="Q89" i="1"/>
  <c r="Q88" i="1"/>
  <c r="Y87" i="1" l="1"/>
  <c r="U87" i="1"/>
  <c r="P75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2" i="1"/>
  <c r="P48" i="1"/>
  <c r="P47" i="1"/>
  <c r="P46" i="1"/>
  <c r="P44" i="1"/>
  <c r="P43" i="1"/>
  <c r="P42" i="1"/>
  <c r="P41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3" i="1"/>
  <c r="P11" i="1"/>
  <c r="P57" i="1" l="1"/>
  <c r="L75" i="1" l="1"/>
  <c r="L28" i="1"/>
  <c r="M11" i="1"/>
  <c r="Q11" i="1" s="1"/>
  <c r="I11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2" i="1"/>
  <c r="L48" i="1"/>
  <c r="L47" i="1"/>
  <c r="L46" i="1"/>
  <c r="L44" i="1"/>
  <c r="L43" i="1"/>
  <c r="L42" i="1"/>
  <c r="L41" i="1"/>
  <c r="L35" i="1"/>
  <c r="L34" i="1"/>
  <c r="L33" i="1"/>
  <c r="L32" i="1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3" i="1"/>
  <c r="L11" i="1"/>
  <c r="H75" i="1"/>
  <c r="H69" i="1"/>
  <c r="H52" i="1"/>
  <c r="H41" i="1"/>
  <c r="H32" i="1"/>
  <c r="H24" i="1"/>
  <c r="H20" i="1"/>
  <c r="H16" i="1"/>
  <c r="H13" i="1"/>
  <c r="H11" i="1"/>
  <c r="L57" i="1" l="1"/>
  <c r="Y90" i="1"/>
  <c r="Y89" i="1"/>
  <c r="U90" i="1"/>
  <c r="U89" i="1"/>
  <c r="I69" i="1"/>
  <c r="M69" i="1" s="1"/>
  <c r="Q69" i="1" s="1"/>
  <c r="I45" i="1"/>
  <c r="I49" i="1"/>
  <c r="I12" i="1"/>
  <c r="I13" i="1"/>
  <c r="M13" i="1" s="1"/>
  <c r="Q13" i="1" s="1"/>
  <c r="I28" i="1"/>
  <c r="M28" i="1" s="1"/>
  <c r="Q28" i="1" s="1"/>
  <c r="I20" i="1"/>
  <c r="M20" i="1" s="1"/>
  <c r="Q20" i="1" s="1"/>
  <c r="I24" i="1"/>
  <c r="M24" i="1" s="1"/>
  <c r="Q24" i="1" s="1"/>
  <c r="I32" i="1"/>
  <c r="M32" i="1" s="1"/>
  <c r="Q32" i="1" s="1"/>
  <c r="I36" i="1"/>
  <c r="I37" i="1"/>
  <c r="I38" i="1"/>
  <c r="F12" i="1"/>
  <c r="F13" i="1"/>
  <c r="J13" i="1" s="1"/>
  <c r="N13" i="1" s="1"/>
  <c r="R13" i="1" s="1"/>
  <c r="X79" i="1"/>
  <c r="T79" i="1"/>
  <c r="L36" i="1" l="1"/>
  <c r="M36" i="1"/>
  <c r="L38" i="1"/>
  <c r="M38" i="1"/>
  <c r="M49" i="1"/>
  <c r="L49" i="1"/>
  <c r="M45" i="1"/>
  <c r="L45" i="1"/>
  <c r="M37" i="1"/>
  <c r="L37" i="1"/>
  <c r="M12" i="1"/>
  <c r="L12" i="1"/>
  <c r="L14" i="1" s="1"/>
  <c r="P12" i="1" l="1"/>
  <c r="Q12" i="1"/>
  <c r="Q37" i="1"/>
  <c r="P37" i="1"/>
  <c r="L50" i="1"/>
  <c r="P45" i="1"/>
  <c r="Q45" i="1"/>
  <c r="Q49" i="1"/>
  <c r="P49" i="1"/>
  <c r="P38" i="1"/>
  <c r="Q38" i="1"/>
  <c r="Q36" i="1"/>
  <c r="P36" i="1"/>
  <c r="L39" i="1"/>
  <c r="P50" i="1" l="1"/>
  <c r="P39" i="1"/>
  <c r="P14" i="1"/>
  <c r="H60" i="1" l="1"/>
  <c r="H61" i="1"/>
  <c r="H62" i="1"/>
  <c r="H63" i="1"/>
  <c r="H64" i="1"/>
  <c r="H65" i="1"/>
  <c r="H66" i="1"/>
  <c r="H67" i="1"/>
  <c r="H68" i="1"/>
  <c r="H70" i="1"/>
  <c r="H71" i="1"/>
  <c r="H72" i="1"/>
  <c r="H42" i="1"/>
  <c r="H43" i="1"/>
  <c r="H44" i="1"/>
  <c r="H45" i="1"/>
  <c r="H46" i="1"/>
  <c r="H47" i="1"/>
  <c r="H48" i="1"/>
  <c r="H49" i="1"/>
  <c r="H17" i="1"/>
  <c r="H18" i="1"/>
  <c r="H19" i="1"/>
  <c r="H21" i="1"/>
  <c r="H22" i="1"/>
  <c r="H23" i="1"/>
  <c r="H25" i="1"/>
  <c r="H26" i="1"/>
  <c r="H27" i="1"/>
  <c r="H28" i="1"/>
  <c r="H29" i="1"/>
  <c r="H30" i="1"/>
  <c r="H31" i="1"/>
  <c r="H33" i="1"/>
  <c r="H34" i="1"/>
  <c r="H35" i="1"/>
  <c r="H36" i="1"/>
  <c r="H37" i="1"/>
  <c r="H38" i="1"/>
  <c r="H12" i="1"/>
  <c r="J12" i="1" s="1"/>
  <c r="N12" i="1" s="1"/>
  <c r="R12" i="1" s="1"/>
  <c r="F60" i="1"/>
  <c r="J60" i="1" s="1"/>
  <c r="N60" i="1" s="1"/>
  <c r="R60" i="1" s="1"/>
  <c r="F61" i="1"/>
  <c r="J61" i="1" s="1"/>
  <c r="N61" i="1" s="1"/>
  <c r="R61" i="1" s="1"/>
  <c r="F62" i="1"/>
  <c r="J62" i="1" s="1"/>
  <c r="N62" i="1" s="1"/>
  <c r="R62" i="1" s="1"/>
  <c r="F63" i="1"/>
  <c r="J63" i="1" s="1"/>
  <c r="N63" i="1" s="1"/>
  <c r="R63" i="1" s="1"/>
  <c r="F64" i="1"/>
  <c r="J64" i="1" s="1"/>
  <c r="N64" i="1" s="1"/>
  <c r="R64" i="1" s="1"/>
  <c r="F65" i="1"/>
  <c r="J65" i="1" s="1"/>
  <c r="N65" i="1" s="1"/>
  <c r="R65" i="1" s="1"/>
  <c r="F66" i="1"/>
  <c r="F67" i="1"/>
  <c r="F68" i="1"/>
  <c r="F69" i="1"/>
  <c r="J69" i="1" s="1"/>
  <c r="N69" i="1" s="1"/>
  <c r="R69" i="1" s="1"/>
  <c r="F70" i="1"/>
  <c r="F71" i="1"/>
  <c r="J71" i="1" s="1"/>
  <c r="N71" i="1" s="1"/>
  <c r="R71" i="1" s="1"/>
  <c r="F72" i="1"/>
  <c r="J72" i="1" s="1"/>
  <c r="N72" i="1" s="1"/>
  <c r="R72" i="1" s="1"/>
  <c r="F42" i="1"/>
  <c r="J42" i="1" s="1"/>
  <c r="N42" i="1" s="1"/>
  <c r="R42" i="1" s="1"/>
  <c r="F43" i="1"/>
  <c r="J43" i="1" s="1"/>
  <c r="N43" i="1" s="1"/>
  <c r="R43" i="1" s="1"/>
  <c r="F44" i="1"/>
  <c r="J44" i="1" s="1"/>
  <c r="N44" i="1" s="1"/>
  <c r="R44" i="1" s="1"/>
  <c r="F45" i="1"/>
  <c r="J45" i="1" s="1"/>
  <c r="N45" i="1" s="1"/>
  <c r="R45" i="1" s="1"/>
  <c r="F46" i="1"/>
  <c r="J46" i="1" s="1"/>
  <c r="N46" i="1" s="1"/>
  <c r="R46" i="1" s="1"/>
  <c r="F47" i="1"/>
  <c r="F48" i="1"/>
  <c r="F49" i="1"/>
  <c r="F17" i="1"/>
  <c r="F18" i="1"/>
  <c r="F19" i="1"/>
  <c r="J19" i="1" s="1"/>
  <c r="N19" i="1" s="1"/>
  <c r="R19" i="1" s="1"/>
  <c r="F20" i="1"/>
  <c r="J20" i="1" s="1"/>
  <c r="N20" i="1" s="1"/>
  <c r="R20" i="1" s="1"/>
  <c r="F21" i="1"/>
  <c r="J21" i="1" s="1"/>
  <c r="N21" i="1" s="1"/>
  <c r="R21" i="1" s="1"/>
  <c r="F22" i="1"/>
  <c r="J22" i="1" s="1"/>
  <c r="N22" i="1" s="1"/>
  <c r="R22" i="1" s="1"/>
  <c r="F23" i="1"/>
  <c r="J23" i="1" s="1"/>
  <c r="N23" i="1" s="1"/>
  <c r="R23" i="1" s="1"/>
  <c r="F24" i="1"/>
  <c r="J24" i="1" s="1"/>
  <c r="N24" i="1" s="1"/>
  <c r="R24" i="1" s="1"/>
  <c r="F25" i="1"/>
  <c r="J25" i="1" s="1"/>
  <c r="N25" i="1" s="1"/>
  <c r="R25" i="1" s="1"/>
  <c r="F26" i="1"/>
  <c r="F27" i="1"/>
  <c r="F28" i="1"/>
  <c r="F29" i="1"/>
  <c r="F30" i="1"/>
  <c r="F31" i="1"/>
  <c r="F32" i="1"/>
  <c r="J32" i="1" s="1"/>
  <c r="N32" i="1" s="1"/>
  <c r="R32" i="1" s="1"/>
  <c r="F33" i="1"/>
  <c r="F34" i="1"/>
  <c r="J34" i="1" s="1"/>
  <c r="N34" i="1" s="1"/>
  <c r="R34" i="1" s="1"/>
  <c r="F35" i="1"/>
  <c r="J35" i="1" s="1"/>
  <c r="N35" i="1" s="1"/>
  <c r="R35" i="1" s="1"/>
  <c r="F36" i="1"/>
  <c r="J36" i="1" s="1"/>
  <c r="N36" i="1" s="1"/>
  <c r="R36" i="1" s="1"/>
  <c r="F37" i="1"/>
  <c r="J37" i="1" s="1"/>
  <c r="N37" i="1" s="1"/>
  <c r="R37" i="1" s="1"/>
  <c r="F38" i="1"/>
  <c r="F16" i="1"/>
  <c r="X78" i="1"/>
  <c r="T78" i="1"/>
  <c r="I78" i="1"/>
  <c r="H78" i="1"/>
  <c r="M78" i="1" s="1"/>
  <c r="P78" i="1" s="1"/>
  <c r="F78" i="1"/>
  <c r="X77" i="1"/>
  <c r="T77" i="1"/>
  <c r="I77" i="1"/>
  <c r="H77" i="1"/>
  <c r="M77" i="1" s="1"/>
  <c r="P77" i="1" s="1"/>
  <c r="F77" i="1"/>
  <c r="X76" i="1"/>
  <c r="T76" i="1"/>
  <c r="I76" i="1"/>
  <c r="H76" i="1"/>
  <c r="M76" i="1" s="1"/>
  <c r="P76" i="1" s="1"/>
  <c r="F76" i="1"/>
  <c r="X75" i="1"/>
  <c r="T75" i="1"/>
  <c r="I75" i="1"/>
  <c r="F75" i="1"/>
  <c r="F79" i="1" s="1"/>
  <c r="L77" i="1" l="1"/>
  <c r="M75" i="1"/>
  <c r="Q75" i="1" s="1"/>
  <c r="U75" i="1" s="1"/>
  <c r="Y75" i="1" s="1"/>
  <c r="J18" i="1"/>
  <c r="N18" i="1" s="1"/>
  <c r="R18" i="1" s="1"/>
  <c r="J31" i="1"/>
  <c r="N31" i="1" s="1"/>
  <c r="R31" i="1" s="1"/>
  <c r="J17" i="1"/>
  <c r="N17" i="1" s="1"/>
  <c r="R17" i="1" s="1"/>
  <c r="H79" i="1"/>
  <c r="J79" i="1" s="1"/>
  <c r="J33" i="1"/>
  <c r="N33" i="1" s="1"/>
  <c r="R33" i="1" s="1"/>
  <c r="L78" i="1"/>
  <c r="P79" i="1"/>
  <c r="J29" i="1"/>
  <c r="N29" i="1" s="1"/>
  <c r="R29" i="1" s="1"/>
  <c r="J70" i="1"/>
  <c r="N70" i="1" s="1"/>
  <c r="R70" i="1" s="1"/>
  <c r="J49" i="1"/>
  <c r="N49" i="1" s="1"/>
  <c r="R49" i="1" s="1"/>
  <c r="J27" i="1"/>
  <c r="N27" i="1" s="1"/>
  <c r="R27" i="1" s="1"/>
  <c r="J48" i="1"/>
  <c r="N48" i="1" s="1"/>
  <c r="R48" i="1" s="1"/>
  <c r="J67" i="1"/>
  <c r="N67" i="1" s="1"/>
  <c r="R67" i="1" s="1"/>
  <c r="J30" i="1"/>
  <c r="N30" i="1" s="1"/>
  <c r="R30" i="1" s="1"/>
  <c r="L76" i="1"/>
  <c r="J28" i="1"/>
  <c r="N28" i="1" s="1"/>
  <c r="R28" i="1" s="1"/>
  <c r="J68" i="1"/>
  <c r="N68" i="1" s="1"/>
  <c r="R68" i="1" s="1"/>
  <c r="J38" i="1"/>
  <c r="N38" i="1" s="1"/>
  <c r="R38" i="1" s="1"/>
  <c r="J26" i="1"/>
  <c r="N26" i="1" s="1"/>
  <c r="R26" i="1" s="1"/>
  <c r="J47" i="1"/>
  <c r="N47" i="1" s="1"/>
  <c r="R47" i="1" s="1"/>
  <c r="J66" i="1"/>
  <c r="N66" i="1" s="1"/>
  <c r="R66" i="1" s="1"/>
  <c r="F39" i="1"/>
  <c r="J76" i="1"/>
  <c r="J77" i="1"/>
  <c r="J78" i="1"/>
  <c r="J75" i="1"/>
  <c r="N75" i="1" s="1"/>
  <c r="R75" i="1" s="1"/>
  <c r="N77" i="1" l="1"/>
  <c r="R77" i="1" s="1"/>
  <c r="V77" i="1" s="1"/>
  <c r="Z77" i="1" s="1"/>
  <c r="Q77" i="1"/>
  <c r="U77" i="1" s="1"/>
  <c r="Y77" i="1" s="1"/>
  <c r="N76" i="1"/>
  <c r="R76" i="1" s="1"/>
  <c r="V76" i="1" s="1"/>
  <c r="Z76" i="1" s="1"/>
  <c r="Q76" i="1"/>
  <c r="U76" i="1" s="1"/>
  <c r="Y76" i="1" s="1"/>
  <c r="L79" i="1"/>
  <c r="N79" i="1" s="1"/>
  <c r="R79" i="1" s="1"/>
  <c r="V79" i="1" s="1"/>
  <c r="Z79" i="1" s="1"/>
  <c r="N78" i="1"/>
  <c r="R78" i="1" s="1"/>
  <c r="V78" i="1" s="1"/>
  <c r="Z78" i="1" s="1"/>
  <c r="Q78" i="1"/>
  <c r="U78" i="1" s="1"/>
  <c r="Y78" i="1" s="1"/>
  <c r="V75" i="1"/>
  <c r="Z75" i="1" s="1"/>
  <c r="I52" i="1"/>
  <c r="M52" i="1" s="1"/>
  <c r="Q52" i="1" s="1"/>
  <c r="F59" i="1"/>
  <c r="F73" i="1" s="1"/>
  <c r="X55" i="1"/>
  <c r="T55" i="1"/>
  <c r="U55" i="1"/>
  <c r="Y55" i="1" s="1"/>
  <c r="X54" i="1"/>
  <c r="T54" i="1"/>
  <c r="U54" i="1"/>
  <c r="Y54" i="1" s="1"/>
  <c r="X56" i="1"/>
  <c r="T56" i="1"/>
  <c r="U56" i="1"/>
  <c r="Y56" i="1" s="1"/>
  <c r="X53" i="1"/>
  <c r="T53" i="1"/>
  <c r="U53" i="1"/>
  <c r="Y53" i="1" s="1"/>
  <c r="X52" i="1"/>
  <c r="T52" i="1"/>
  <c r="H57" i="1"/>
  <c r="F52" i="1"/>
  <c r="F57" i="1" s="1"/>
  <c r="X49" i="1"/>
  <c r="T49" i="1"/>
  <c r="U49" i="1"/>
  <c r="Y49" i="1" s="1"/>
  <c r="X42" i="1"/>
  <c r="T42" i="1"/>
  <c r="U42" i="1"/>
  <c r="Y42" i="1" s="1"/>
  <c r="X41" i="1"/>
  <c r="T41" i="1"/>
  <c r="I41" i="1"/>
  <c r="H50" i="1"/>
  <c r="F41" i="1"/>
  <c r="F50" i="1" s="1"/>
  <c r="F11" i="1"/>
  <c r="X59" i="1"/>
  <c r="X17" i="1"/>
  <c r="X16" i="1"/>
  <c r="X11" i="1"/>
  <c r="T59" i="1"/>
  <c r="T17" i="1"/>
  <c r="T16" i="1"/>
  <c r="T11" i="1"/>
  <c r="F14" i="1" l="1"/>
  <c r="J11" i="1"/>
  <c r="N11" i="1" s="1"/>
  <c r="R11" i="1" s="1"/>
  <c r="M41" i="1"/>
  <c r="Q41" i="1" s="1"/>
  <c r="U41" i="1" s="1"/>
  <c r="Y41" i="1" s="1"/>
  <c r="U52" i="1"/>
  <c r="Y52" i="1" s="1"/>
  <c r="X57" i="1"/>
  <c r="J53" i="1"/>
  <c r="J54" i="1"/>
  <c r="N54" i="1" s="1"/>
  <c r="R54" i="1" s="1"/>
  <c r="J55" i="1"/>
  <c r="N55" i="1" s="1"/>
  <c r="R55" i="1" s="1"/>
  <c r="T57" i="1"/>
  <c r="J56" i="1"/>
  <c r="N56" i="1" s="1"/>
  <c r="R56" i="1" s="1"/>
  <c r="T50" i="1"/>
  <c r="J41" i="1"/>
  <c r="N41" i="1" s="1"/>
  <c r="R41" i="1" s="1"/>
  <c r="J52" i="1"/>
  <c r="N52" i="1" s="1"/>
  <c r="R52" i="1" s="1"/>
  <c r="X50" i="1"/>
  <c r="V49" i="1"/>
  <c r="Z49" i="1" s="1"/>
  <c r="V42" i="1"/>
  <c r="Z42" i="1" s="1"/>
  <c r="X73" i="1"/>
  <c r="X39" i="1"/>
  <c r="T39" i="1"/>
  <c r="T73" i="1"/>
  <c r="N53" i="1" l="1"/>
  <c r="R53" i="1" s="1"/>
  <c r="V53" i="1" s="1"/>
  <c r="Z53" i="1" s="1"/>
  <c r="V52" i="1"/>
  <c r="Z52" i="1" s="1"/>
  <c r="V41" i="1"/>
  <c r="Z41" i="1" s="1"/>
  <c r="J57" i="1"/>
  <c r="N57" i="1" s="1"/>
  <c r="R57" i="1" s="1"/>
  <c r="J50" i="1"/>
  <c r="N50" i="1" s="1"/>
  <c r="R50" i="1" s="1"/>
  <c r="V54" i="1"/>
  <c r="Z54" i="1" s="1"/>
  <c r="V55" i="1"/>
  <c r="Z55" i="1" s="1"/>
  <c r="V56" i="1"/>
  <c r="Z56" i="1" s="1"/>
  <c r="U17" i="1"/>
  <c r="Y17" i="1" s="1"/>
  <c r="I16" i="1"/>
  <c r="H59" i="1"/>
  <c r="H39" i="1"/>
  <c r="H14" i="1"/>
  <c r="M16" i="1" l="1"/>
  <c r="Q16" i="1" s="1"/>
  <c r="U16" i="1" s="1"/>
  <c r="Y16" i="1" s="1"/>
  <c r="V57" i="1"/>
  <c r="Z57" i="1" s="1"/>
  <c r="V50" i="1"/>
  <c r="Z50" i="1" s="1"/>
  <c r="J59" i="1"/>
  <c r="H73" i="1"/>
  <c r="G80" i="1" s="1"/>
  <c r="U11" i="1"/>
  <c r="Y11" i="1" s="1"/>
  <c r="J16" i="1"/>
  <c r="N16" i="1" s="1"/>
  <c r="R16" i="1" s="1"/>
  <c r="V17" i="1"/>
  <c r="Z17" i="1" s="1"/>
  <c r="I59" i="1"/>
  <c r="V11" i="1"/>
  <c r="Z11" i="1" s="1"/>
  <c r="L59" i="1" l="1"/>
  <c r="L73" i="1" s="1"/>
  <c r="M59" i="1"/>
  <c r="N59" i="1"/>
  <c r="V16" i="1"/>
  <c r="Z16" i="1" s="1"/>
  <c r="H81" i="1"/>
  <c r="T14" i="1"/>
  <c r="T80" i="1" s="1"/>
  <c r="J73" i="1"/>
  <c r="Q59" i="1" l="1"/>
  <c r="U59" i="1" s="1"/>
  <c r="Y59" i="1" s="1"/>
  <c r="P59" i="1"/>
  <c r="P73" i="1" s="1"/>
  <c r="N73" i="1"/>
  <c r="K80" i="1"/>
  <c r="L83" i="1"/>
  <c r="L84" i="1" s="1"/>
  <c r="L82" i="1"/>
  <c r="L81" i="1"/>
  <c r="H82" i="1"/>
  <c r="H83" i="1"/>
  <c r="H84" i="1" s="1"/>
  <c r="T83" i="1"/>
  <c r="T84" i="1" s="1"/>
  <c r="T81" i="1"/>
  <c r="T82" i="1"/>
  <c r="J39" i="1"/>
  <c r="N39" i="1" s="1"/>
  <c r="R39" i="1" s="1"/>
  <c r="E80" i="1"/>
  <c r="U88" i="1" l="1"/>
  <c r="U91" i="1" s="1"/>
  <c r="R73" i="1"/>
  <c r="V73" i="1" s="1"/>
  <c r="Z73" i="1" s="1"/>
  <c r="P80" i="1"/>
  <c r="R59" i="1"/>
  <c r="V39" i="1"/>
  <c r="Z39" i="1" s="1"/>
  <c r="M88" i="1"/>
  <c r="I88" i="1"/>
  <c r="F83" i="1"/>
  <c r="F84" i="1" s="1"/>
  <c r="F82" i="1"/>
  <c r="F81" i="1"/>
  <c r="T85" i="1"/>
  <c r="G85" i="1"/>
  <c r="X14" i="1"/>
  <c r="X80" i="1" s="1"/>
  <c r="J14" i="1"/>
  <c r="N14" i="1" s="1"/>
  <c r="R14" i="1" s="1"/>
  <c r="P81" i="1" l="1"/>
  <c r="P82" i="1"/>
  <c r="P83" i="1"/>
  <c r="P84" i="1" s="1"/>
  <c r="I80" i="1"/>
  <c r="J82" i="1" s="1"/>
  <c r="M80" i="1"/>
  <c r="I90" i="1"/>
  <c r="I89" i="1"/>
  <c r="I91" i="1" s="1"/>
  <c r="X83" i="1"/>
  <c r="X84" i="1" s="1"/>
  <c r="X81" i="1"/>
  <c r="Y88" i="1" s="1"/>
  <c r="Y91" i="1" s="1"/>
  <c r="X82" i="1"/>
  <c r="K85" i="1"/>
  <c r="P85" i="1" l="1"/>
  <c r="J81" i="1"/>
  <c r="J83" i="1"/>
  <c r="J84" i="1" s="1"/>
  <c r="M89" i="1"/>
  <c r="M90" i="1"/>
  <c r="N82" i="1"/>
  <c r="N83" i="1"/>
  <c r="N84" i="1" s="1"/>
  <c r="N81" i="1"/>
  <c r="R80" i="1"/>
  <c r="X85" i="1"/>
  <c r="M91" i="1" l="1"/>
  <c r="R83" i="1"/>
  <c r="R84" i="1" s="1"/>
  <c r="R82" i="1"/>
  <c r="R81" i="1"/>
  <c r="V14" i="1"/>
  <c r="V80" i="1" s="1"/>
  <c r="I85" i="1"/>
  <c r="E85" i="1"/>
  <c r="V82" i="1" l="1"/>
  <c r="V83" i="1"/>
  <c r="V84" i="1" s="1"/>
  <c r="V81" i="1"/>
  <c r="R85" i="1"/>
  <c r="M85" i="1"/>
  <c r="Z14" i="1"/>
  <c r="Z80" i="1" s="1"/>
  <c r="Z82" i="1" l="1"/>
  <c r="Z81" i="1"/>
  <c r="Z83" i="1"/>
  <c r="Z84" i="1" s="1"/>
  <c r="V85" i="1"/>
  <c r="Z85" i="1" l="1"/>
</calcChain>
</file>

<file path=xl/sharedStrings.xml><?xml version="1.0" encoding="utf-8"?>
<sst xmlns="http://schemas.openxmlformats.org/spreadsheetml/2006/main" count="280" uniqueCount="136">
  <si>
    <t>CORTE 1</t>
  </si>
  <si>
    <t>Fecha</t>
  </si>
  <si>
    <t>Corte No</t>
  </si>
  <si>
    <t>Contratista</t>
  </si>
  <si>
    <t>Ing Multisoluciones SAS</t>
  </si>
  <si>
    <t xml:space="preserve">Objeto de contrato </t>
  </si>
  <si>
    <t>Mantenimiento fachada NC</t>
  </si>
  <si>
    <t>ÍTEM</t>
  </si>
  <si>
    <t>ACTIVIDADES</t>
  </si>
  <si>
    <t>UN</t>
  </si>
  <si>
    <t>CANT</t>
  </si>
  <si>
    <t xml:space="preserve">VR. UNITARIO </t>
  </si>
  <si>
    <t>VR. TOTAL</t>
  </si>
  <si>
    <t>CORTE 2</t>
  </si>
  <si>
    <t>cantidad</t>
  </si>
  <si>
    <t>Valor parcial</t>
  </si>
  <si>
    <t xml:space="preserve">Cantidad Saldo </t>
  </si>
  <si>
    <t>Valor Saldo</t>
  </si>
  <si>
    <t>M2</t>
  </si>
  <si>
    <t>ML</t>
  </si>
  <si>
    <t xml:space="preserve">Sub total </t>
  </si>
  <si>
    <t>SUBTOTAL COSTOS DIRECTOS</t>
  </si>
  <si>
    <t>ADMINISTRACIÓN</t>
  </si>
  <si>
    <t>IMPREVISTOS</t>
  </si>
  <si>
    <t>UTILIDAD</t>
  </si>
  <si>
    <t>IVA SOBRE UTILIDAD</t>
  </si>
  <si>
    <t>VALOR TOTAL MANTENIMIENTO DE FACHADA</t>
  </si>
  <si>
    <t>valor final del corte</t>
  </si>
  <si>
    <t>Hugo Ferney Garcia Pedroza</t>
  </si>
  <si>
    <t>CC 80851328</t>
  </si>
  <si>
    <t>CORTE 3</t>
  </si>
  <si>
    <t>CORTE 4</t>
  </si>
  <si>
    <t>CORTE 5</t>
  </si>
  <si>
    <t>Firma interventoria Ing multisoluciones</t>
  </si>
  <si>
    <t>NIT 901718258-4</t>
  </si>
  <si>
    <t>Firma Contratista</t>
  </si>
  <si>
    <t>Freshouse S.A.S</t>
  </si>
  <si>
    <t>CONTRATO</t>
  </si>
  <si>
    <t>Lavada general de Fachadas de los bloques de aptos</t>
  </si>
  <si>
    <t>Bloque A</t>
  </si>
  <si>
    <t>Bloque B</t>
  </si>
  <si>
    <t>Bloque C</t>
  </si>
  <si>
    <t>Remocion y reemplazo de revoques quemados en fachadas de edificios</t>
  </si>
  <si>
    <t>Remocion y reemplazo de graniplast deteriorado en fachadas de los bloques de apartamentos</t>
  </si>
  <si>
    <t>Remocion y reemplazo de superboard en mal estado en los bloques de aptos</t>
  </si>
  <si>
    <t>Remocion y reemplazo de sellos en elementos vidriados DE FACHADA en los bloques de los apartamentos</t>
  </si>
  <si>
    <t>Lavada general de Muros de cerramiento en areas comunes</t>
  </si>
  <si>
    <t>Remocion y reemplazo de revoques quemados en muros de cerramiento de las areas comunes</t>
  </si>
  <si>
    <t>Remocion y reemplazo de graniplast deteriorado en muros de cerramiento de las areas comunes</t>
  </si>
  <si>
    <t>II.1</t>
  </si>
  <si>
    <t>II.1.1</t>
  </si>
  <si>
    <t>II.1.2</t>
  </si>
  <si>
    <t>II.1.3</t>
  </si>
  <si>
    <t>II.2</t>
  </si>
  <si>
    <t>II.2.1</t>
  </si>
  <si>
    <t>II.2.2</t>
  </si>
  <si>
    <t>II.2.3</t>
  </si>
  <si>
    <t>II.3</t>
  </si>
  <si>
    <t>II.3.1</t>
  </si>
  <si>
    <t>II.3.2</t>
  </si>
  <si>
    <t>II.3.3</t>
  </si>
  <si>
    <t>II.4</t>
  </si>
  <si>
    <t>II.4.1</t>
  </si>
  <si>
    <t>II.4.2</t>
  </si>
  <si>
    <t>II.4.3</t>
  </si>
  <si>
    <t>II.5</t>
  </si>
  <si>
    <t>II.5.1</t>
  </si>
  <si>
    <t>II.5.2</t>
  </si>
  <si>
    <t>II.5.3</t>
  </si>
  <si>
    <t>II.6</t>
  </si>
  <si>
    <t>II.7</t>
  </si>
  <si>
    <t>II.8</t>
  </si>
  <si>
    <t>II</t>
  </si>
  <si>
    <t>I</t>
  </si>
  <si>
    <t>Preparacion general de Superficies</t>
  </si>
  <si>
    <t>Preeliminares</t>
  </si>
  <si>
    <t>Campamento de Obra</t>
  </si>
  <si>
    <t>Inspeccion Tecnica General</t>
  </si>
  <si>
    <t>Señalizacion y Seguridad en Obra</t>
  </si>
  <si>
    <t>I.1</t>
  </si>
  <si>
    <t>I.2</t>
  </si>
  <si>
    <t>I.3</t>
  </si>
  <si>
    <t>Gl</t>
  </si>
  <si>
    <t>Reparaciones preventivas</t>
  </si>
  <si>
    <t>III.1</t>
  </si>
  <si>
    <t>Instalacion de Cortagoteras de aluminio en balcones Y ACCESOS A LOS BLOQUES</t>
  </si>
  <si>
    <t>III.1.1</t>
  </si>
  <si>
    <t>III.1.2</t>
  </si>
  <si>
    <t>III.1.3</t>
  </si>
  <si>
    <t>III.2</t>
  </si>
  <si>
    <t>Tratamiento integral de alfajias y laterales en balcones</t>
  </si>
  <si>
    <t>III.2.1</t>
  </si>
  <si>
    <t>III.2.2</t>
  </si>
  <si>
    <t>III.2.3</t>
  </si>
  <si>
    <t>III.3</t>
  </si>
  <si>
    <t>Recorrido e intervencion integral en cubiertas de los bloques DE APTOS</t>
  </si>
  <si>
    <t>III</t>
  </si>
  <si>
    <t>Mantenimiento integral de superficies</t>
  </si>
  <si>
    <t>IV.1</t>
  </si>
  <si>
    <t>Pintura tipo koraza exterior en fachadas de los bloques y cerramientos del conjunto</t>
  </si>
  <si>
    <t>IV.1.1</t>
  </si>
  <si>
    <t>IV.1.2</t>
  </si>
  <si>
    <t>IV.1.3</t>
  </si>
  <si>
    <t>IV.1.4</t>
  </si>
  <si>
    <t>Muros de cerramiento en areas comunes</t>
  </si>
  <si>
    <t>Actividades de Entrega de Obra</t>
  </si>
  <si>
    <t>V</t>
  </si>
  <si>
    <t>IV</t>
  </si>
  <si>
    <t>V.1</t>
  </si>
  <si>
    <t>Detallada General de Obra</t>
  </si>
  <si>
    <t>gl</t>
  </si>
  <si>
    <t>V.1.1</t>
  </si>
  <si>
    <t>V.1.1.1</t>
  </si>
  <si>
    <t>Paredes</t>
  </si>
  <si>
    <t>V.1.1.2</t>
  </si>
  <si>
    <t>Cielo Raso</t>
  </si>
  <si>
    <t>V.1.2</t>
  </si>
  <si>
    <t>V.1.2.1</t>
  </si>
  <si>
    <t>V.1.2.2</t>
  </si>
  <si>
    <t>V.1.3</t>
  </si>
  <si>
    <t>V.1.3.1</t>
  </si>
  <si>
    <t>V.1.3.2</t>
  </si>
  <si>
    <t>V.2</t>
  </si>
  <si>
    <t>Aseo y Limpieza General con retiro de escombros</t>
  </si>
  <si>
    <t>V.2.1</t>
  </si>
  <si>
    <t>V.2.2</t>
  </si>
  <si>
    <t>V.2.3</t>
  </si>
  <si>
    <t>VII</t>
  </si>
  <si>
    <t>OBRA NO PREVISTA</t>
  </si>
  <si>
    <t>VII.1</t>
  </si>
  <si>
    <t>Pintura de barandas metalicas exteriores en balcones y ptos fijos</t>
  </si>
  <si>
    <t>Retefuente</t>
  </si>
  <si>
    <t>Retegarantia</t>
  </si>
  <si>
    <t>Amortizacion de anticipo</t>
  </si>
  <si>
    <t>Total Acta</t>
  </si>
  <si>
    <t>Total acta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</si>
</sst>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_-;\-&quot;$&quot;* #,##0_-;_-&quot;$&quot;* &quot;-&quot;_-;_-@_-"/>
    <numFmt numFmtId="165" formatCode="_-&quot;$&quot;* #,##0.00_-;\-&quot;$&quot;* #,##0.00_-;_-&quot;$&quot;* &quot;-&quot;??_-;_-@_-"/>
    <numFmt numFmtId="166" formatCode="0.0"/>
  </numFmts>
  <fonts count="2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Swis721 LtCn BT"/>
      <family val="2"/>
    </font>
    <font>
      <sz val="11"/>
      <color rgb="FF262626"/>
      <name val="Swis721 LtCn BT"/>
      <family val="2"/>
    </font>
    <font>
      <sz val="11"/>
      <color rgb="FF262626"/>
      <name val="Calibri"/>
      <family val="2"/>
      <scheme val="minor"/>
    </font>
    <font>
      <b/>
      <sz val="11"/>
      <color rgb="FF262626"/>
      <name val="Swis721 LtCn BT"/>
      <family val="2"/>
    </font>
    <font>
      <sz val="11"/>
      <color rgb="FF262626"/>
      <name val="Swis721 LtCn BT"/>
    </font>
    <font>
      <sz val="11"/>
      <color theme="1"/>
      <name val="Swis721 LtCn BT"/>
      <family val="2"/>
    </font>
    <font>
      <b/>
      <sz val="11"/>
      <color rgb="FF333333"/>
      <name val="Helvetica"/>
      <family val="2"/>
    </font>
    <font>
      <sz val="11"/>
      <name val="Swis721 LtCn BT"/>
      <family val="2"/>
    </font>
    <font>
      <b/>
      <sz val="11"/>
      <name val="Swis721 LtCn BT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name val="Swis721 LtCn BT"/>
      <family val="2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0"/>
      <name val="Times New Roman"/>
      <charset val="134"/>
    </font>
  </fonts>
  <fills count="2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6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 applyNumberFormat="0"/>
  </cellStyleXfs>
  <cellXfs count="200">
    <xf numFmtId="0" fontId="0" fillId="0" borderId="0" xfId="0"/>
    <xf numFmtId="1" fontId="3" fillId="2" borderId="1" xfId="0" applyNumberFormat="1" applyFont="1" applyFill="1" applyBorder="1" applyAlignment="1">
      <alignment horizontal="center" vertical="top" shrinkToFit="1"/>
    </xf>
    <xf numFmtId="165" fontId="3" fillId="2" borderId="1" xfId="1" applyFont="1" applyFill="1" applyBorder="1" applyAlignment="1">
      <alignment horizontal="center" vertical="center" shrinkToFit="1"/>
    </xf>
    <xf numFmtId="1" fontId="3" fillId="3" borderId="1" xfId="0" applyNumberFormat="1" applyFont="1" applyFill="1" applyBorder="1" applyAlignment="1">
      <alignment horizontal="center" vertical="top" shrinkToFit="1"/>
    </xf>
    <xf numFmtId="165" fontId="3" fillId="3" borderId="1" xfId="1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 vertical="top"/>
    </xf>
    <xf numFmtId="4" fontId="6" fillId="0" borderId="1" xfId="0" applyNumberFormat="1" applyFont="1" applyBorder="1" applyAlignment="1">
      <alignment horizontal="center" vertical="center"/>
    </xf>
    <xf numFmtId="165" fontId="4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justify" vertical="top"/>
    </xf>
    <xf numFmtId="165" fontId="8" fillId="4" borderId="1" xfId="1" applyFont="1" applyFill="1" applyBorder="1" applyAlignment="1">
      <alignment vertical="center"/>
    </xf>
    <xf numFmtId="0" fontId="4" fillId="0" borderId="1" xfId="0" applyFont="1" applyBorder="1" applyAlignment="1">
      <alignment horizontal="justify" vertical="top"/>
    </xf>
    <xf numFmtId="165" fontId="8" fillId="4" borderId="1" xfId="1" applyFont="1" applyFill="1" applyBorder="1" applyAlignment="1">
      <alignment horizontal="right" vertical="center"/>
    </xf>
    <xf numFmtId="165" fontId="8" fillId="0" borderId="1" xfId="1" applyFont="1" applyBorder="1" applyAlignment="1">
      <alignment vertical="center"/>
    </xf>
    <xf numFmtId="165" fontId="6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justify"/>
    </xf>
    <xf numFmtId="4" fontId="9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165" fontId="10" fillId="4" borderId="1" xfId="1" applyFont="1" applyFill="1" applyBorder="1" applyAlignment="1">
      <alignment horizontal="left" vertical="center"/>
    </xf>
    <xf numFmtId="165" fontId="4" fillId="0" borderId="1" xfId="1" applyFont="1" applyBorder="1" applyAlignment="1">
      <alignment horizontal="left" vertical="center"/>
    </xf>
    <xf numFmtId="165" fontId="8" fillId="0" borderId="1" xfId="1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5" fontId="10" fillId="4" borderId="1" xfId="1" applyFont="1" applyFill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11" fillId="5" borderId="1" xfId="0" applyFont="1" applyFill="1" applyBorder="1" applyAlignment="1">
      <alignment horizontal="center" vertical="center"/>
    </xf>
    <xf numFmtId="165" fontId="10" fillId="5" borderId="1" xfId="1" applyFont="1" applyFill="1" applyBorder="1" applyAlignment="1">
      <alignment horizontal="right" vertical="center"/>
    </xf>
    <xf numFmtId="165" fontId="10" fillId="6" borderId="1" xfId="1" applyFont="1" applyFill="1" applyBorder="1" applyAlignment="1">
      <alignment horizontal="center" vertical="center" wrapText="1"/>
    </xf>
    <xf numFmtId="165" fontId="11" fillId="0" borderId="1" xfId="1" applyFont="1" applyFill="1" applyBorder="1" applyAlignment="1">
      <alignment horizontal="right" vertical="center" wrapText="1"/>
    </xf>
    <xf numFmtId="0" fontId="10" fillId="0" borderId="1" xfId="0" applyFont="1" applyBorder="1" applyAlignment="1">
      <alignment horizontal="left" wrapText="1"/>
    </xf>
    <xf numFmtId="165" fontId="11" fillId="0" borderId="1" xfId="1" applyFont="1" applyBorder="1" applyAlignment="1">
      <alignment horizontal="right" vertical="center" wrapText="1"/>
    </xf>
    <xf numFmtId="9" fontId="10" fillId="0" borderId="1" xfId="2" applyFont="1" applyBorder="1" applyAlignment="1" applyProtection="1">
      <alignment horizontal="center" vertical="center" wrapText="1"/>
      <protection locked="0"/>
    </xf>
    <xf numFmtId="165" fontId="10" fillId="8" borderId="1" xfId="1" applyFont="1" applyFill="1" applyBorder="1" applyAlignment="1">
      <alignment horizontal="right" vertical="center" shrinkToFit="1"/>
    </xf>
    <xf numFmtId="9" fontId="10" fillId="0" borderId="1" xfId="2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5" fontId="10" fillId="0" borderId="0" xfId="1" applyFont="1" applyAlignment="1">
      <alignment vertical="center"/>
    </xf>
    <xf numFmtId="9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  <xf numFmtId="165" fontId="3" fillId="3" borderId="2" xfId="1" applyFont="1" applyFill="1" applyBorder="1" applyAlignment="1">
      <alignment horizontal="center" vertical="center" shrinkToFit="1"/>
    </xf>
    <xf numFmtId="165" fontId="4" fillId="0" borderId="2" xfId="1" applyFont="1" applyBorder="1" applyAlignment="1">
      <alignment horizontal="center" vertical="center"/>
    </xf>
    <xf numFmtId="165" fontId="8" fillId="0" borderId="2" xfId="1" applyFont="1" applyBorder="1" applyAlignment="1">
      <alignment vertical="center"/>
    </xf>
    <xf numFmtId="165" fontId="6" fillId="0" borderId="2" xfId="1" applyFont="1" applyBorder="1" applyAlignment="1">
      <alignment horizontal="center" vertical="center"/>
    </xf>
    <xf numFmtId="165" fontId="8" fillId="0" borderId="2" xfId="1" applyFont="1" applyBorder="1" applyAlignment="1">
      <alignment horizontal="left" vertical="center"/>
    </xf>
    <xf numFmtId="164" fontId="0" fillId="0" borderId="1" xfId="3" applyFont="1" applyBorder="1"/>
    <xf numFmtId="165" fontId="10" fillId="0" borderId="1" xfId="1" applyFont="1" applyBorder="1" applyAlignment="1">
      <alignment vertical="center"/>
    </xf>
    <xf numFmtId="165" fontId="10" fillId="4" borderId="1" xfId="1" applyFont="1" applyFill="1" applyBorder="1" applyAlignment="1">
      <alignment vertical="center"/>
    </xf>
    <xf numFmtId="165" fontId="13" fillId="4" borderId="1" xfId="0" applyNumberFormat="1" applyFont="1" applyFill="1" applyBorder="1"/>
    <xf numFmtId="0" fontId="3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165" fontId="15" fillId="4" borderId="1" xfId="1" applyFont="1" applyFill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2" fillId="0" borderId="0" xfId="0" applyFont="1"/>
    <xf numFmtId="0" fontId="0" fillId="9" borderId="1" xfId="0" applyFill="1" applyBorder="1"/>
    <xf numFmtId="165" fontId="0" fillId="9" borderId="1" xfId="0" applyNumberFormat="1" applyFill="1" applyBorder="1"/>
    <xf numFmtId="164" fontId="0" fillId="9" borderId="1" xfId="3" applyFont="1" applyFill="1" applyBorder="1"/>
    <xf numFmtId="4" fontId="0" fillId="9" borderId="1" xfId="0" applyNumberFormat="1" applyFill="1" applyBorder="1"/>
    <xf numFmtId="165" fontId="3" fillId="11" borderId="1" xfId="1" applyFont="1" applyFill="1" applyBorder="1" applyAlignment="1">
      <alignment horizontal="center" vertical="center" shrinkToFit="1"/>
    </xf>
    <xf numFmtId="0" fontId="0" fillId="12" borderId="1" xfId="0" applyFill="1" applyBorder="1"/>
    <xf numFmtId="165" fontId="0" fillId="12" borderId="1" xfId="0" applyNumberFormat="1" applyFill="1" applyBorder="1"/>
    <xf numFmtId="4" fontId="0" fillId="12" borderId="1" xfId="0" applyNumberFormat="1" applyFill="1" applyBorder="1"/>
    <xf numFmtId="165" fontId="10" fillId="12" borderId="1" xfId="1" applyFont="1" applyFill="1" applyBorder="1" applyAlignment="1">
      <alignment horizontal="right" vertical="center" shrinkToFit="1"/>
    </xf>
    <xf numFmtId="0" fontId="17" fillId="13" borderId="1" xfId="0" applyFont="1" applyFill="1" applyBorder="1"/>
    <xf numFmtId="165" fontId="17" fillId="13" borderId="4" xfId="0" applyNumberFormat="1" applyFont="1" applyFill="1" applyBorder="1"/>
    <xf numFmtId="0" fontId="3" fillId="3" borderId="1" xfId="0" applyFont="1" applyFill="1" applyBorder="1" applyAlignment="1">
      <alignment vertical="top"/>
    </xf>
    <xf numFmtId="0" fontId="4" fillId="0" borderId="1" xfId="0" applyFont="1" applyBorder="1" applyAlignment="1">
      <alignment vertical="center"/>
    </xf>
    <xf numFmtId="0" fontId="3" fillId="3" borderId="1" xfId="1" applyNumberFormat="1" applyFont="1" applyFill="1" applyBorder="1" applyAlignment="1">
      <alignment horizontal="center" vertical="center" shrinkToFit="1"/>
    </xf>
    <xf numFmtId="165" fontId="3" fillId="3" borderId="1" xfId="3" applyNumberFormat="1" applyFont="1" applyFill="1" applyBorder="1" applyAlignment="1">
      <alignment horizontal="center" vertical="center" shrinkToFit="1"/>
    </xf>
    <xf numFmtId="0" fontId="0" fillId="14" borderId="0" xfId="0" applyFill="1"/>
    <xf numFmtId="0" fontId="3" fillId="2" borderId="1" xfId="0" applyFont="1" applyFill="1" applyBorder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center"/>
    </xf>
    <xf numFmtId="2" fontId="8" fillId="0" borderId="1" xfId="1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top" wrapText="1"/>
    </xf>
    <xf numFmtId="2" fontId="3" fillId="3" borderId="1" xfId="0" applyNumberFormat="1" applyFont="1" applyFill="1" applyBorder="1" applyAlignment="1">
      <alignment horizontal="center" vertical="top" wrapText="1"/>
    </xf>
    <xf numFmtId="2" fontId="3" fillId="3" borderId="1" xfId="0" applyNumberFormat="1" applyFont="1" applyFill="1" applyBorder="1" applyAlignment="1">
      <alignment horizontal="center" vertical="top"/>
    </xf>
    <xf numFmtId="2" fontId="10" fillId="0" borderId="1" xfId="1" applyNumberFormat="1" applyFont="1" applyFill="1" applyBorder="1" applyAlignment="1">
      <alignment horizontal="center" vertical="center"/>
    </xf>
    <xf numFmtId="2" fontId="10" fillId="5" borderId="1" xfId="1" applyNumberFormat="1" applyFont="1" applyFill="1" applyBorder="1" applyAlignment="1">
      <alignment horizontal="center" vertical="center"/>
    </xf>
    <xf numFmtId="2" fontId="11" fillId="0" borderId="1" xfId="1" applyNumberFormat="1" applyFont="1" applyFill="1" applyBorder="1" applyAlignment="1">
      <alignment horizontal="center" vertical="center" wrapText="1"/>
    </xf>
    <xf numFmtId="2" fontId="11" fillId="0" borderId="1" xfId="1" applyNumberFormat="1" applyFont="1" applyBorder="1" applyAlignment="1">
      <alignment horizontal="center" vertical="center" wrapText="1"/>
    </xf>
    <xf numFmtId="2" fontId="10" fillId="0" borderId="0" xfId="1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44" fontId="0" fillId="0" borderId="0" xfId="0" applyNumberFormat="1" applyAlignment="1">
      <alignment vertical="center"/>
    </xf>
    <xf numFmtId="165" fontId="3" fillId="2" borderId="2" xfId="1" applyFont="1" applyFill="1" applyBorder="1" applyAlignment="1">
      <alignment horizontal="center" vertical="center" shrinkToFit="1"/>
    </xf>
    <xf numFmtId="0" fontId="0" fillId="4" borderId="0" xfId="0" applyFill="1"/>
    <xf numFmtId="44" fontId="18" fillId="0" borderId="0" xfId="0" applyNumberFormat="1" applyFont="1" applyAlignment="1">
      <alignment vertical="center"/>
    </xf>
    <xf numFmtId="44" fontId="19" fillId="0" borderId="0" xfId="0" applyNumberFormat="1" applyFont="1" applyAlignment="1">
      <alignment vertical="center"/>
    </xf>
    <xf numFmtId="44" fontId="0" fillId="0" borderId="0" xfId="0" applyNumberFormat="1"/>
    <xf numFmtId="44" fontId="0" fillId="15" borderId="0" xfId="0" applyNumberFormat="1" applyFill="1"/>
    <xf numFmtId="44" fontId="0" fillId="5" borderId="0" xfId="0" applyNumberFormat="1" applyFill="1"/>
    <xf numFmtId="44" fontId="0" fillId="4" borderId="0" xfId="0" applyNumberFormat="1" applyFill="1"/>
    <xf numFmtId="165" fontId="3" fillId="16" borderId="1" xfId="1" applyFont="1" applyFill="1" applyBorder="1" applyAlignment="1">
      <alignment horizontal="center" vertical="center" shrinkToFit="1"/>
    </xf>
    <xf numFmtId="0" fontId="0" fillId="18" borderId="1" xfId="0" applyFill="1" applyBorder="1"/>
    <xf numFmtId="165" fontId="0" fillId="18" borderId="1" xfId="0" applyNumberFormat="1" applyFill="1" applyBorder="1"/>
    <xf numFmtId="0" fontId="3" fillId="19" borderId="1" xfId="1" applyNumberFormat="1" applyFont="1" applyFill="1" applyBorder="1" applyAlignment="1">
      <alignment horizontal="center" vertical="center" shrinkToFit="1"/>
    </xf>
    <xf numFmtId="165" fontId="3" fillId="19" borderId="1" xfId="1" applyFont="1" applyFill="1" applyBorder="1" applyAlignment="1">
      <alignment horizontal="center" vertical="center" shrinkToFit="1"/>
    </xf>
    <xf numFmtId="0" fontId="0" fillId="19" borderId="0" xfId="0" applyFill="1"/>
    <xf numFmtId="165" fontId="3" fillId="19" borderId="1" xfId="3" applyNumberFormat="1" applyFont="1" applyFill="1" applyBorder="1" applyAlignment="1">
      <alignment horizontal="center" vertical="center" shrinkToFit="1"/>
    </xf>
    <xf numFmtId="0" fontId="0" fillId="5" borderId="0" xfId="0" applyFill="1"/>
    <xf numFmtId="165" fontId="19" fillId="18" borderId="1" xfId="0" applyNumberFormat="1" applyFont="1" applyFill="1" applyBorder="1"/>
    <xf numFmtId="0" fontId="0" fillId="21" borderId="1" xfId="0" applyFill="1" applyBorder="1"/>
    <xf numFmtId="165" fontId="0" fillId="21" borderId="1" xfId="0" applyNumberFormat="1" applyFill="1" applyBorder="1"/>
    <xf numFmtId="165" fontId="3" fillId="22" borderId="1" xfId="1" applyFont="1" applyFill="1" applyBorder="1" applyAlignment="1">
      <alignment horizontal="center" vertical="center" shrinkToFit="1"/>
    </xf>
    <xf numFmtId="0" fontId="3" fillId="22" borderId="1" xfId="1" applyNumberFormat="1" applyFont="1" applyFill="1" applyBorder="1" applyAlignment="1">
      <alignment horizontal="center" vertical="center" shrinkToFit="1"/>
    </xf>
    <xf numFmtId="0" fontId="0" fillId="22" borderId="0" xfId="0" applyFill="1"/>
    <xf numFmtId="165" fontId="3" fillId="22" borderId="1" xfId="3" applyNumberFormat="1" applyFont="1" applyFill="1" applyBorder="1" applyAlignment="1">
      <alignment horizontal="center" vertical="center" shrinkToFit="1"/>
    </xf>
    <xf numFmtId="164" fontId="0" fillId="0" borderId="0" xfId="3" applyFont="1"/>
    <xf numFmtId="0" fontId="0" fillId="23" borderId="1" xfId="0" applyFill="1" applyBorder="1"/>
    <xf numFmtId="165" fontId="0" fillId="23" borderId="1" xfId="0" applyNumberFormat="1" applyFill="1" applyBorder="1"/>
    <xf numFmtId="165" fontId="19" fillId="23" borderId="1" xfId="0" applyNumberFormat="1" applyFont="1" applyFill="1" applyBorder="1"/>
    <xf numFmtId="0" fontId="0" fillId="0" borderId="0" xfId="3" applyNumberFormat="1" applyFont="1"/>
    <xf numFmtId="164" fontId="0" fillId="0" borderId="0" xfId="0" applyNumberFormat="1"/>
    <xf numFmtId="165" fontId="10" fillId="0" borderId="0" xfId="1" applyFont="1" applyAlignment="1">
      <alignment vertical="center"/>
    </xf>
    <xf numFmtId="165" fontId="10" fillId="0" borderId="5" xfId="1" applyFont="1" applyBorder="1" applyAlignment="1">
      <alignment vertical="center"/>
    </xf>
    <xf numFmtId="0" fontId="3" fillId="3" borderId="4" xfId="0" applyFont="1" applyFill="1" applyBorder="1" applyAlignment="1">
      <alignment vertical="top" wrapText="1"/>
    </xf>
    <xf numFmtId="0" fontId="20" fillId="0" borderId="1" xfId="5" applyFont="1" applyBorder="1" applyAlignment="1">
      <alignment horizontal="center" vertical="center"/>
    </xf>
    <xf numFmtId="0" fontId="1" fillId="0" borderId="1" xfId="5" applyBorder="1" applyAlignment="1">
      <alignment vertical="center"/>
    </xf>
    <xf numFmtId="43" fontId="20" fillId="0" borderId="1" xfId="6" applyFont="1" applyFill="1" applyBorder="1" applyAlignment="1">
      <alignment vertical="center"/>
    </xf>
    <xf numFmtId="44" fontId="1" fillId="0" borderId="1" xfId="7" applyFont="1" applyFill="1" applyBorder="1" applyAlignment="1">
      <alignment vertical="center"/>
    </xf>
    <xf numFmtId="0" fontId="1" fillId="0" borderId="3" xfId="5" applyBorder="1" applyAlignment="1">
      <alignment vertical="center"/>
    </xf>
    <xf numFmtId="0" fontId="20" fillId="0" borderId="1" xfId="5" applyFont="1" applyBorder="1" applyAlignment="1">
      <alignment horizontal="center" vertical="center"/>
    </xf>
    <xf numFmtId="0" fontId="1" fillId="0" borderId="1" xfId="5" applyBorder="1" applyAlignment="1">
      <alignment vertical="center"/>
    </xf>
    <xf numFmtId="43" fontId="20" fillId="0" borderId="1" xfId="6" applyFont="1" applyFill="1" applyBorder="1" applyAlignment="1">
      <alignment vertical="center"/>
    </xf>
    <xf numFmtId="44" fontId="1" fillId="0" borderId="1" xfId="7" applyFont="1" applyFill="1" applyBorder="1" applyAlignment="1">
      <alignment vertical="center"/>
    </xf>
    <xf numFmtId="43" fontId="1" fillId="0" borderId="1" xfId="6" applyFont="1" applyFill="1" applyBorder="1" applyAlignment="1">
      <alignment vertical="center"/>
    </xf>
    <xf numFmtId="0" fontId="1" fillId="0" borderId="1" xfId="5" applyFont="1" applyBorder="1" applyAlignment="1">
      <alignment vertical="center"/>
    </xf>
    <xf numFmtId="0" fontId="1" fillId="0" borderId="1" xfId="5" applyBorder="1" applyAlignment="1">
      <alignment vertical="center" wrapText="1"/>
    </xf>
    <xf numFmtId="0" fontId="20" fillId="0" borderId="1" xfId="5" applyFont="1" applyBorder="1" applyAlignment="1">
      <alignment horizontal="center" vertical="center"/>
    </xf>
    <xf numFmtId="0" fontId="1" fillId="0" borderId="1" xfId="5" applyBorder="1" applyAlignment="1">
      <alignment vertical="center"/>
    </xf>
    <xf numFmtId="43" fontId="20" fillId="0" borderId="1" xfId="6" applyFont="1" applyFill="1" applyBorder="1" applyAlignment="1">
      <alignment vertical="center"/>
    </xf>
    <xf numFmtId="44" fontId="1" fillId="0" borderId="1" xfId="7" applyFont="1" applyFill="1" applyBorder="1" applyAlignment="1">
      <alignment vertical="center"/>
    </xf>
    <xf numFmtId="43" fontId="1" fillId="0" borderId="1" xfId="6" applyFont="1" applyFill="1" applyBorder="1" applyAlignment="1">
      <alignment vertical="center"/>
    </xf>
    <xf numFmtId="0" fontId="1" fillId="0" borderId="1" xfId="5" applyFont="1" applyBorder="1" applyAlignment="1">
      <alignment vertical="center"/>
    </xf>
    <xf numFmtId="0" fontId="1" fillId="0" borderId="1" xfId="5" applyBorder="1" applyAlignment="1">
      <alignment vertical="center" wrapText="1"/>
    </xf>
    <xf numFmtId="0" fontId="20" fillId="0" borderId="1" xfId="5" applyFont="1" applyBorder="1" applyAlignment="1">
      <alignment horizontal="center" vertical="center"/>
    </xf>
    <xf numFmtId="0" fontId="1" fillId="0" borderId="1" xfId="5" applyBorder="1" applyAlignment="1">
      <alignment vertical="center"/>
    </xf>
    <xf numFmtId="43" fontId="20" fillId="0" borderId="1" xfId="6" applyFont="1" applyFill="1" applyBorder="1" applyAlignment="1">
      <alignment vertical="center"/>
    </xf>
    <xf numFmtId="0" fontId="1" fillId="0" borderId="1" xfId="5" applyBorder="1" applyAlignment="1">
      <alignment horizontal="center" vertical="center"/>
    </xf>
    <xf numFmtId="43" fontId="1" fillId="0" borderId="1" xfId="6" applyFont="1" applyFill="1" applyBorder="1" applyAlignment="1">
      <alignment vertical="center"/>
    </xf>
    <xf numFmtId="0" fontId="20" fillId="0" borderId="1" xfId="5" applyFont="1" applyBorder="1" applyAlignment="1">
      <alignment vertical="center" wrapText="1"/>
    </xf>
    <xf numFmtId="0" fontId="20" fillId="0" borderId="1" xfId="5" applyFont="1" applyBorder="1" applyAlignment="1">
      <alignment horizontal="center" vertical="center"/>
    </xf>
    <xf numFmtId="0" fontId="20" fillId="0" borderId="1" xfId="5" applyFont="1" applyBorder="1" applyAlignment="1">
      <alignment vertical="center"/>
    </xf>
    <xf numFmtId="0" fontId="1" fillId="0" borderId="1" xfId="5" applyBorder="1" applyAlignment="1">
      <alignment vertical="center"/>
    </xf>
    <xf numFmtId="43" fontId="20" fillId="0" borderId="1" xfId="6" applyFont="1" applyFill="1" applyBorder="1" applyAlignment="1">
      <alignment vertical="center"/>
    </xf>
    <xf numFmtId="44" fontId="1" fillId="0" borderId="1" xfId="7" applyFont="1" applyFill="1" applyBorder="1" applyAlignment="1">
      <alignment vertical="center"/>
    </xf>
    <xf numFmtId="0" fontId="1" fillId="0" borderId="1" xfId="5" applyBorder="1" applyAlignment="1">
      <alignment horizontal="center" vertical="center"/>
    </xf>
    <xf numFmtId="43" fontId="1" fillId="0" borderId="1" xfId="6" applyFont="1" applyFill="1" applyBorder="1" applyAlignment="1">
      <alignment vertical="center"/>
    </xf>
    <xf numFmtId="0" fontId="1" fillId="0" borderId="1" xfId="5" applyFont="1" applyBorder="1" applyAlignment="1">
      <alignment vertical="center"/>
    </xf>
    <xf numFmtId="0" fontId="20" fillId="0" borderId="1" xfId="5" applyFont="1" applyBorder="1" applyAlignment="1">
      <alignment vertical="center" wrapText="1"/>
    </xf>
    <xf numFmtId="0" fontId="20" fillId="0" borderId="1" xfId="5" applyFont="1" applyBorder="1" applyAlignment="1">
      <alignment horizontal="center" vertical="center"/>
    </xf>
    <xf numFmtId="0" fontId="1" fillId="0" borderId="1" xfId="5" applyBorder="1" applyAlignment="1">
      <alignment vertical="center"/>
    </xf>
    <xf numFmtId="43" fontId="20" fillId="0" borderId="1" xfId="6" applyFont="1" applyFill="1" applyBorder="1" applyAlignment="1">
      <alignment vertical="center"/>
    </xf>
    <xf numFmtId="0" fontId="1" fillId="0" borderId="1" xfId="5" applyBorder="1" applyAlignment="1">
      <alignment horizontal="center" vertical="center"/>
    </xf>
    <xf numFmtId="43" fontId="1" fillId="0" borderId="1" xfId="6" applyFont="1" applyFill="1" applyBorder="1" applyAlignment="1">
      <alignment vertical="center"/>
    </xf>
    <xf numFmtId="0" fontId="20" fillId="0" borderId="1" xfId="5" applyFont="1" applyBorder="1" applyAlignment="1">
      <alignment vertical="center" wrapText="1"/>
    </xf>
    <xf numFmtId="165" fontId="1" fillId="0" borderId="1" xfId="1" applyFont="1" applyFill="1" applyBorder="1" applyAlignment="1">
      <alignment vertical="center"/>
    </xf>
    <xf numFmtId="9" fontId="0" fillId="0" borderId="1" xfId="2" applyFont="1" applyBorder="1"/>
    <xf numFmtId="9" fontId="10" fillId="0" borderId="1" xfId="2" applyFont="1" applyBorder="1" applyAlignment="1">
      <alignment vertical="center"/>
    </xf>
    <xf numFmtId="2" fontId="0" fillId="12" borderId="1" xfId="0" applyNumberFormat="1" applyFill="1" applyBorder="1"/>
    <xf numFmtId="165" fontId="10" fillId="0" borderId="2" xfId="1" applyFont="1" applyBorder="1" applyAlignment="1">
      <alignment horizontal="center" vertical="center"/>
    </xf>
    <xf numFmtId="165" fontId="10" fillId="0" borderId="4" xfId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165" fontId="3" fillId="20" borderId="6" xfId="1" applyFont="1" applyFill="1" applyBorder="1" applyAlignment="1">
      <alignment horizontal="center" vertical="center" shrinkToFit="1"/>
    </xf>
    <xf numFmtId="165" fontId="3" fillId="20" borderId="7" xfId="1" applyFont="1" applyFill="1" applyBorder="1" applyAlignment="1">
      <alignment horizontal="center" vertical="center" shrinkToFit="1"/>
    </xf>
    <xf numFmtId="0" fontId="11" fillId="0" borderId="2" xfId="0" applyFont="1" applyBorder="1" applyAlignment="1">
      <alignment horizontal="right" vertical="center" wrapText="1"/>
    </xf>
    <xf numFmtId="0" fontId="11" fillId="0" borderId="3" xfId="0" applyFont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 wrapText="1"/>
    </xf>
    <xf numFmtId="165" fontId="3" fillId="7" borderId="2" xfId="1" applyFont="1" applyFill="1" applyBorder="1" applyAlignment="1">
      <alignment horizontal="center" vertical="center" wrapText="1"/>
    </xf>
    <xf numFmtId="165" fontId="3" fillId="7" borderId="4" xfId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right" vertical="center" wrapText="1"/>
    </xf>
    <xf numFmtId="165" fontId="3" fillId="7" borderId="1" xfId="1" applyFont="1" applyFill="1" applyBorder="1" applyAlignment="1">
      <alignment horizontal="right" vertical="center" wrapText="1"/>
    </xf>
    <xf numFmtId="165" fontId="3" fillId="2" borderId="6" xfId="1" applyFont="1" applyFill="1" applyBorder="1" applyAlignment="1">
      <alignment horizontal="center" vertical="center" shrinkToFit="1"/>
    </xf>
    <xf numFmtId="165" fontId="3" fillId="2" borderId="7" xfId="1" applyFont="1" applyFill="1" applyBorder="1" applyAlignment="1">
      <alignment horizontal="center" vertical="center" shrinkToFit="1"/>
    </xf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3" borderId="2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top"/>
    </xf>
    <xf numFmtId="165" fontId="3" fillId="17" borderId="6" xfId="1" applyFont="1" applyFill="1" applyBorder="1" applyAlignment="1">
      <alignment horizontal="center" vertical="center" shrinkToFit="1"/>
    </xf>
    <xf numFmtId="165" fontId="3" fillId="17" borderId="7" xfId="1" applyFont="1" applyFill="1" applyBorder="1" applyAlignment="1">
      <alignment horizontal="center" vertical="center" shrinkToFit="1"/>
    </xf>
    <xf numFmtId="165" fontId="3" fillId="10" borderId="6" xfId="1" applyFont="1" applyFill="1" applyBorder="1" applyAlignment="1">
      <alignment horizontal="center" vertical="center" shrinkToFit="1"/>
    </xf>
    <xf numFmtId="165" fontId="3" fillId="10" borderId="7" xfId="1" applyFont="1" applyFill="1" applyBorder="1" applyAlignment="1">
      <alignment horizontal="center" vertical="center" shrinkToFit="1"/>
    </xf>
    <xf numFmtId="165" fontId="3" fillId="11" borderId="2" xfId="1" applyFont="1" applyFill="1" applyBorder="1" applyAlignment="1">
      <alignment horizontal="center" vertical="center" wrapText="1"/>
    </xf>
    <xf numFmtId="165" fontId="3" fillId="11" borderId="4" xfId="1" applyFont="1" applyFill="1" applyBorder="1" applyAlignment="1">
      <alignment horizontal="center" vertical="center" wrapText="1"/>
    </xf>
    <xf numFmtId="165" fontId="3" fillId="11" borderId="1" xfId="1" applyFont="1" applyFill="1" applyBorder="1" applyAlignment="1">
      <alignment horizontal="righ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65" fontId="3" fillId="7" borderId="1" xfId="1" applyFont="1" applyFill="1" applyBorder="1" applyAlignment="1">
      <alignment horizontal="center" vertical="center" wrapText="1"/>
    </xf>
  </cellXfs>
  <cellStyles count="14">
    <cellStyle name="Millares 2" xfId="6" xr:uid="{80CF18BC-1961-46D1-B091-BCBBCC6FA55C}"/>
    <cellStyle name="Moneda" xfId="1" builtinId="4"/>
    <cellStyle name="Moneda [0]" xfId="3" builtinId="7"/>
    <cellStyle name="Moneda 2" xfId="7" xr:uid="{F5310CF9-B46B-4943-9D56-37C05D12AA8B}"/>
    <cellStyle name="Normal" xfId="0" builtinId="0"/>
    <cellStyle name="Normal 2" xfId="4" xr:uid="{293F0FDD-4D68-F74A-92C6-7520265DEAED}"/>
    <cellStyle name="Normal 2 2" xfId="11" xr:uid="{0A1AD051-DD3E-4B2E-90FD-8313593CBD0D}"/>
    <cellStyle name="Normal 3" xfId="5" xr:uid="{267D80A7-59B7-4B79-B204-E566C383AD80}"/>
    <cellStyle name="Normal 3 2" xfId="12" xr:uid="{8CE89B6A-E6FF-476D-9997-06F57F50AB8D}"/>
    <cellStyle name="Normal 4" xfId="9" xr:uid="{2703AE0F-53A9-4131-88AC-2286E5C6214E}"/>
    <cellStyle name="Normal 9 2 2" xfId="13" xr:uid="{09D57278-17E7-4323-B7F7-2D6D87CF92C9}"/>
    <cellStyle name="Porcentaje" xfId="2" builtinId="5"/>
    <cellStyle name="Porcentaje 2" xfId="8" xr:uid="{D118AC93-D3C9-47C9-8E63-B75D0AF81AB5}"/>
    <cellStyle name="Porcentaje 3" xfId="10" xr:uid="{631E9043-D9DB-4708-B8B7-C5AA8842C6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32C34-28BC-394B-A323-4541E920885A}">
  <sheetPr>
    <pageSetUpPr fitToPage="1"/>
  </sheetPr>
  <dimension ref="A6:AF113"/>
  <sheetViews>
    <sheetView tabSelected="1" topLeftCell="A8" zoomScale="60" zoomScaleNormal="60" workbookViewId="0">
      <pane xSplit="7" ySplit="20" topLeftCell="J79" activePane="bottomRight" state="frozen"/>
      <selection activeCell="A8" sqref="A8"/>
      <selection pane="topRight" activeCell="H8" sqref="H8"/>
      <selection pane="bottomLeft" activeCell="A28" sqref="A28"/>
      <selection pane="bottomRight" activeCell="J96" sqref="J96"/>
    </sheetView>
  </sheetViews>
  <sheetFormatPr baseColWidth="10" defaultColWidth="11" defaultRowHeight="15.6"/>
  <cols>
    <col min="2" max="2" width="66.3984375" customWidth="1"/>
    <col min="4" max="4" width="11.8984375" bestFit="1" customWidth="1"/>
    <col min="5" max="5" width="14.19921875" customWidth="1"/>
    <col min="6" max="7" width="25.8984375" bestFit="1" customWidth="1"/>
    <col min="8" max="8" width="21.796875" bestFit="1" customWidth="1"/>
    <col min="9" max="9" width="20.296875" bestFit="1" customWidth="1"/>
    <col min="10" max="11" width="25.8984375" bestFit="1" customWidth="1"/>
    <col min="12" max="12" width="20.5" bestFit="1" customWidth="1"/>
    <col min="13" max="13" width="20.296875" bestFit="1" customWidth="1"/>
    <col min="14" max="15" width="25.8984375" bestFit="1" customWidth="1"/>
    <col min="16" max="16" width="20.5" bestFit="1" customWidth="1"/>
    <col min="17" max="17" width="20.296875" bestFit="1" customWidth="1"/>
    <col min="18" max="19" width="25.8984375" bestFit="1" customWidth="1"/>
    <col min="20" max="20" width="22" bestFit="1" customWidth="1"/>
    <col min="21" max="21" width="16.69921875" bestFit="1" customWidth="1"/>
    <col min="22" max="22" width="26.19921875" customWidth="1"/>
    <col min="23" max="23" width="25.8984375" bestFit="1" customWidth="1"/>
    <col min="24" max="24" width="19.69921875" bestFit="1" customWidth="1"/>
    <col min="25" max="25" width="17.296875" bestFit="1" customWidth="1"/>
    <col min="26" max="26" width="17.19921875" bestFit="1" customWidth="1"/>
    <col min="27" max="27" width="13.5" bestFit="1" customWidth="1"/>
    <col min="28" max="28" width="21.19921875" bestFit="1" customWidth="1"/>
    <col min="29" max="29" width="17.19921875" bestFit="1" customWidth="1"/>
    <col min="30" max="30" width="11" customWidth="1"/>
    <col min="31" max="31" width="14.796875" bestFit="1" customWidth="1"/>
    <col min="32" max="32" width="12.796875" bestFit="1" customWidth="1"/>
  </cols>
  <sheetData>
    <row r="6" spans="1:26">
      <c r="A6" s="55" t="s">
        <v>1</v>
      </c>
      <c r="B6" s="41">
        <v>2</v>
      </c>
      <c r="C6" s="55" t="s">
        <v>2</v>
      </c>
      <c r="D6">
        <v>3</v>
      </c>
    </row>
    <row r="7" spans="1:26">
      <c r="A7" s="55" t="s">
        <v>3</v>
      </c>
      <c r="B7" s="41" t="s">
        <v>4</v>
      </c>
      <c r="C7" s="183" t="s">
        <v>5</v>
      </c>
      <c r="D7" s="183"/>
      <c r="E7" s="184" t="s">
        <v>6</v>
      </c>
      <c r="F7" s="184"/>
    </row>
    <row r="9" spans="1:26">
      <c r="A9" s="1" t="s">
        <v>7</v>
      </c>
      <c r="B9" s="52" t="s">
        <v>8</v>
      </c>
      <c r="C9" s="52" t="s">
        <v>9</v>
      </c>
      <c r="D9" s="52" t="s">
        <v>10</v>
      </c>
      <c r="E9" s="52" t="s">
        <v>11</v>
      </c>
      <c r="F9" s="2" t="s">
        <v>12</v>
      </c>
      <c r="G9" s="181" t="s">
        <v>0</v>
      </c>
      <c r="H9" s="182"/>
      <c r="I9" s="182"/>
      <c r="J9" s="182"/>
      <c r="K9" s="190" t="s">
        <v>13</v>
      </c>
      <c r="L9" s="191"/>
      <c r="M9" s="191"/>
      <c r="N9" s="191"/>
      <c r="O9" s="181" t="s">
        <v>30</v>
      </c>
      <c r="P9" s="182"/>
      <c r="Q9" s="182"/>
      <c r="R9" s="182"/>
      <c r="S9" s="188" t="s">
        <v>31</v>
      </c>
      <c r="T9" s="189"/>
      <c r="U9" s="189"/>
      <c r="V9" s="189"/>
      <c r="W9" s="169" t="s">
        <v>32</v>
      </c>
      <c r="X9" s="170"/>
      <c r="Y9" s="170"/>
      <c r="Z9" s="170"/>
    </row>
    <row r="10" spans="1:26">
      <c r="A10" s="3" t="s">
        <v>73</v>
      </c>
      <c r="B10" s="67" t="s">
        <v>75</v>
      </c>
      <c r="C10" s="185" t="s">
        <v>37</v>
      </c>
      <c r="D10" s="186"/>
      <c r="E10" s="187"/>
      <c r="F10" s="118"/>
      <c r="G10" s="4" t="s">
        <v>14</v>
      </c>
      <c r="H10" s="4" t="s">
        <v>15</v>
      </c>
      <c r="I10" s="4" t="s">
        <v>16</v>
      </c>
      <c r="J10" s="4" t="s">
        <v>17</v>
      </c>
      <c r="K10" s="60" t="s">
        <v>14</v>
      </c>
      <c r="L10" s="60" t="s">
        <v>15</v>
      </c>
      <c r="M10" s="60" t="s">
        <v>16</v>
      </c>
      <c r="N10" s="60" t="s">
        <v>17</v>
      </c>
      <c r="O10" s="4" t="s">
        <v>14</v>
      </c>
      <c r="P10" s="4" t="s">
        <v>15</v>
      </c>
      <c r="Q10" s="4" t="s">
        <v>16</v>
      </c>
      <c r="R10" s="4" t="s">
        <v>17</v>
      </c>
      <c r="S10" s="95" t="s">
        <v>14</v>
      </c>
      <c r="T10" s="95" t="s">
        <v>15</v>
      </c>
      <c r="U10" s="95" t="s">
        <v>16</v>
      </c>
      <c r="V10" s="95" t="s">
        <v>17</v>
      </c>
      <c r="W10" s="106" t="s">
        <v>14</v>
      </c>
      <c r="X10" s="106" t="s">
        <v>15</v>
      </c>
      <c r="Y10" s="106" t="s">
        <v>16</v>
      </c>
      <c r="Z10" s="106" t="s">
        <v>17</v>
      </c>
    </row>
    <row r="11" spans="1:26" ht="22.8" customHeight="1">
      <c r="A11" s="119" t="s">
        <v>79</v>
      </c>
      <c r="B11" s="120" t="s">
        <v>76</v>
      </c>
      <c r="C11" s="119" t="s">
        <v>82</v>
      </c>
      <c r="D11" s="121">
        <v>1</v>
      </c>
      <c r="E11" s="122">
        <v>4800000</v>
      </c>
      <c r="F11" s="43">
        <f>D11*E11</f>
        <v>4800000</v>
      </c>
      <c r="G11" s="56">
        <v>1</v>
      </c>
      <c r="H11" s="57">
        <f>G11*$E$11</f>
        <v>4800000</v>
      </c>
      <c r="I11" s="59">
        <f>D11-G11</f>
        <v>0</v>
      </c>
      <c r="J11" s="57">
        <f>F11-H11</f>
        <v>0</v>
      </c>
      <c r="K11" s="61"/>
      <c r="L11" s="62">
        <f>K11*$E$11</f>
        <v>0</v>
      </c>
      <c r="M11" s="63">
        <f>I11-K11</f>
        <v>0</v>
      </c>
      <c r="N11" s="62">
        <f>J11-L11</f>
        <v>0</v>
      </c>
      <c r="O11" s="56"/>
      <c r="P11" s="57">
        <f>O11*$E$11</f>
        <v>0</v>
      </c>
      <c r="Q11" s="57">
        <f>M11-O11</f>
        <v>0</v>
      </c>
      <c r="R11" s="57">
        <f>N11-P11</f>
        <v>0</v>
      </c>
      <c r="S11" s="96">
        <v>0</v>
      </c>
      <c r="T11" s="97">
        <f>S11*E11</f>
        <v>0</v>
      </c>
      <c r="U11" s="97">
        <f>Q11-S11</f>
        <v>0</v>
      </c>
      <c r="V11" s="97">
        <f>R11-T11</f>
        <v>0</v>
      </c>
      <c r="W11" s="104">
        <v>0</v>
      </c>
      <c r="X11" s="105">
        <f>W11*E11</f>
        <v>0</v>
      </c>
      <c r="Y11" s="105">
        <f>U11-W11</f>
        <v>0</v>
      </c>
      <c r="Z11" s="105">
        <f>V11-X11</f>
        <v>0</v>
      </c>
    </row>
    <row r="12" spans="1:26" ht="22.8" customHeight="1">
      <c r="A12" s="119" t="s">
        <v>80</v>
      </c>
      <c r="B12" s="120" t="s">
        <v>77</v>
      </c>
      <c r="C12" s="119" t="s">
        <v>82</v>
      </c>
      <c r="D12" s="121">
        <v>1</v>
      </c>
      <c r="E12" s="122">
        <v>200000</v>
      </c>
      <c r="F12" s="43">
        <f t="shared" ref="F12:F13" si="0">D12*E12</f>
        <v>200000</v>
      </c>
      <c r="G12" s="56"/>
      <c r="H12" s="57">
        <f t="shared" ref="H12" si="1">G12*E12</f>
        <v>0</v>
      </c>
      <c r="I12" s="59">
        <f t="shared" ref="I12:I13" si="2">D12-G12</f>
        <v>1</v>
      </c>
      <c r="J12" s="57">
        <f t="shared" ref="J12:J13" si="3">F12-H12</f>
        <v>200000</v>
      </c>
      <c r="K12" s="61"/>
      <c r="L12" s="62">
        <f t="shared" ref="L12" si="4">K12*I12</f>
        <v>0</v>
      </c>
      <c r="M12" s="63">
        <f t="shared" ref="M12:M13" si="5">I12-K12</f>
        <v>1</v>
      </c>
      <c r="N12" s="62">
        <f t="shared" ref="N12" si="6">J12-L12</f>
        <v>200000</v>
      </c>
      <c r="O12" s="56"/>
      <c r="P12" s="57">
        <f t="shared" ref="P12" si="7">O12*M12</f>
        <v>0</v>
      </c>
      <c r="Q12" s="57">
        <f t="shared" ref="Q12:Q13" si="8">M12-O12</f>
        <v>1</v>
      </c>
      <c r="R12" s="57">
        <f t="shared" ref="R12" si="9">N12-P12</f>
        <v>200000</v>
      </c>
      <c r="S12" s="96"/>
      <c r="T12" s="97"/>
      <c r="U12" s="97"/>
      <c r="V12" s="97"/>
      <c r="W12" s="104"/>
      <c r="X12" s="105"/>
      <c r="Y12" s="105"/>
      <c r="Z12" s="105"/>
    </row>
    <row r="13" spans="1:26" ht="22.8" customHeight="1">
      <c r="A13" s="119" t="s">
        <v>81</v>
      </c>
      <c r="B13" s="123" t="s">
        <v>78</v>
      </c>
      <c r="C13" s="119" t="s">
        <v>82</v>
      </c>
      <c r="D13" s="121">
        <v>1</v>
      </c>
      <c r="E13" s="122">
        <v>370000</v>
      </c>
      <c r="F13" s="43">
        <f t="shared" si="0"/>
        <v>370000</v>
      </c>
      <c r="G13" s="56">
        <v>0.3</v>
      </c>
      <c r="H13" s="57">
        <f>G13*$E$13</f>
        <v>111000</v>
      </c>
      <c r="I13" s="59">
        <f t="shared" si="2"/>
        <v>0.7</v>
      </c>
      <c r="J13" s="57">
        <f t="shared" si="3"/>
        <v>259000</v>
      </c>
      <c r="K13" s="61">
        <v>0.05</v>
      </c>
      <c r="L13" s="62">
        <f>K13*$E$13</f>
        <v>18500</v>
      </c>
      <c r="M13" s="63">
        <f t="shared" si="5"/>
        <v>0.64999999999999991</v>
      </c>
      <c r="N13" s="62">
        <f>J13-L13</f>
        <v>240500</v>
      </c>
      <c r="O13" s="56">
        <v>0.2</v>
      </c>
      <c r="P13" s="57">
        <f>O13*$E$13</f>
        <v>74000</v>
      </c>
      <c r="Q13" s="57">
        <f t="shared" si="8"/>
        <v>0.4499999999999999</v>
      </c>
      <c r="R13" s="57">
        <f>N13-P13</f>
        <v>166500</v>
      </c>
      <c r="S13" s="96"/>
      <c r="T13" s="97"/>
      <c r="U13" s="97"/>
      <c r="V13" s="97"/>
      <c r="W13" s="104"/>
      <c r="X13" s="105"/>
      <c r="Y13" s="105"/>
      <c r="Z13" s="105"/>
    </row>
    <row r="14" spans="1:26">
      <c r="A14" s="168"/>
      <c r="B14" s="168"/>
      <c r="C14" s="168"/>
      <c r="D14" s="168"/>
      <c r="E14" s="14" t="s">
        <v>20</v>
      </c>
      <c r="F14" s="45">
        <f>SUM(F11:F13)</f>
        <v>5370000</v>
      </c>
      <c r="G14" s="56"/>
      <c r="H14" s="58">
        <f>SUM(H11:H13)</f>
        <v>4911000</v>
      </c>
      <c r="I14" s="59"/>
      <c r="J14" s="57">
        <f>F14-H14</f>
        <v>459000</v>
      </c>
      <c r="K14" s="61"/>
      <c r="L14" s="62">
        <f>SUM(L11:L13)</f>
        <v>18500</v>
      </c>
      <c r="M14" s="63"/>
      <c r="N14" s="62">
        <f>J14-L14</f>
        <v>440500</v>
      </c>
      <c r="O14" s="56"/>
      <c r="P14" s="57">
        <f>SUM(P11:P13)</f>
        <v>74000</v>
      </c>
      <c r="Q14" s="57"/>
      <c r="R14" s="57">
        <f>N14-P14</f>
        <v>366500</v>
      </c>
      <c r="S14" s="96"/>
      <c r="T14" s="97">
        <f>SUM(T11:T11)</f>
        <v>0</v>
      </c>
      <c r="U14" s="97"/>
      <c r="V14" s="97">
        <f>R14-T14</f>
        <v>366500</v>
      </c>
      <c r="W14" s="104"/>
      <c r="X14" s="105">
        <f>SUM(X11:X11)</f>
        <v>0</v>
      </c>
      <c r="Y14" s="105"/>
      <c r="Z14" s="105">
        <f>V14-X14</f>
        <v>366500</v>
      </c>
    </row>
    <row r="15" spans="1:26">
      <c r="A15" s="3" t="s">
        <v>72</v>
      </c>
      <c r="B15" s="165" t="s">
        <v>74</v>
      </c>
      <c r="C15" s="166"/>
      <c r="D15" s="166"/>
      <c r="E15" s="167"/>
      <c r="F15" s="42" t="s">
        <v>12</v>
      </c>
      <c r="G15" s="4"/>
      <c r="H15" s="4" t="s">
        <v>12</v>
      </c>
      <c r="I15" s="4"/>
      <c r="J15" s="4"/>
      <c r="K15" s="60"/>
      <c r="L15" s="60" t="s">
        <v>12</v>
      </c>
      <c r="M15" s="60"/>
      <c r="N15" s="60"/>
      <c r="O15" s="4"/>
      <c r="P15" s="4" t="s">
        <v>12</v>
      </c>
      <c r="Q15" s="4"/>
      <c r="R15" s="4"/>
      <c r="S15" s="99"/>
      <c r="T15" s="99" t="s">
        <v>12</v>
      </c>
      <c r="U15" s="99"/>
      <c r="V15" s="99"/>
      <c r="W15" s="106"/>
      <c r="X15" s="106" t="s">
        <v>12</v>
      </c>
      <c r="Y15" s="106"/>
      <c r="Z15" s="106"/>
    </row>
    <row r="16" spans="1:26">
      <c r="A16" s="124" t="s">
        <v>49</v>
      </c>
      <c r="B16" s="125" t="s">
        <v>38</v>
      </c>
      <c r="C16" s="124" t="s">
        <v>18</v>
      </c>
      <c r="D16" s="126">
        <v>14052.914600000002</v>
      </c>
      <c r="E16" s="127">
        <v>2900</v>
      </c>
      <c r="F16" s="44">
        <f>D16*E16</f>
        <v>40753452.340000004</v>
      </c>
      <c r="G16" s="59">
        <v>4268.7700000000004</v>
      </c>
      <c r="H16" s="57">
        <f>G16*$E$16</f>
        <v>12379433.000000002</v>
      </c>
      <c r="I16" s="59">
        <f>D16-G16</f>
        <v>9784.1446000000014</v>
      </c>
      <c r="J16" s="57">
        <f>F16-H16</f>
        <v>28374019.340000004</v>
      </c>
      <c r="K16" s="61">
        <v>493.45</v>
      </c>
      <c r="L16" s="62">
        <f>K16*$E$16</f>
        <v>1431005</v>
      </c>
      <c r="M16" s="63">
        <f>I16-K16</f>
        <v>9290.6946000000007</v>
      </c>
      <c r="N16" s="62">
        <f>J16-L16</f>
        <v>26943014.340000004</v>
      </c>
      <c r="O16" s="56">
        <v>4458.78</v>
      </c>
      <c r="P16" s="57">
        <f>O16*$E$16</f>
        <v>12930462</v>
      </c>
      <c r="Q16" s="57">
        <f>M16-O16</f>
        <v>4831.914600000001</v>
      </c>
      <c r="R16" s="57">
        <f>N16-P16</f>
        <v>14012552.340000004</v>
      </c>
      <c r="S16" s="96">
        <v>0</v>
      </c>
      <c r="T16" s="97">
        <f>S16*E16</f>
        <v>0</v>
      </c>
      <c r="U16" s="97">
        <f>Q16-S16</f>
        <v>4831.914600000001</v>
      </c>
      <c r="V16" s="97">
        <f>R16-T16</f>
        <v>14012552.340000004</v>
      </c>
      <c r="W16" s="111">
        <v>400</v>
      </c>
      <c r="X16" s="112">
        <f>W16*E16</f>
        <v>1160000</v>
      </c>
      <c r="Y16" s="112">
        <f>U16-W16</f>
        <v>4431.914600000001</v>
      </c>
      <c r="Z16" s="112">
        <f>V16-X16</f>
        <v>12852552.340000004</v>
      </c>
    </row>
    <row r="17" spans="1:26">
      <c r="A17" s="125" t="s">
        <v>50</v>
      </c>
      <c r="B17" s="125" t="s">
        <v>39</v>
      </c>
      <c r="C17" s="124" t="s">
        <v>18</v>
      </c>
      <c r="D17" s="128">
        <v>4762.2248000000009</v>
      </c>
      <c r="E17" s="129"/>
      <c r="F17" s="44">
        <f t="shared" ref="F17:F38" si="10">D17*E17</f>
        <v>0</v>
      </c>
      <c r="G17" s="56"/>
      <c r="H17" s="57">
        <f t="shared" ref="H17:H38" si="11">G17*E17</f>
        <v>0</v>
      </c>
      <c r="I17" s="59"/>
      <c r="J17" s="57">
        <f t="shared" ref="J17:J38" si="12">F17-H17</f>
        <v>0</v>
      </c>
      <c r="K17" s="61"/>
      <c r="L17" s="62">
        <f t="shared" ref="L17:L19" si="13">K17*I17</f>
        <v>0</v>
      </c>
      <c r="M17" s="63"/>
      <c r="N17" s="62">
        <f t="shared" ref="N17:N38" si="14">J17-L17</f>
        <v>0</v>
      </c>
      <c r="O17" s="56">
        <v>4458.78</v>
      </c>
      <c r="P17" s="57">
        <f t="shared" ref="P17:P19" si="15">O17*M17</f>
        <v>0</v>
      </c>
      <c r="Q17" s="57"/>
      <c r="R17" s="57">
        <f t="shared" ref="R17:R38" si="16">N17-P17</f>
        <v>0</v>
      </c>
      <c r="S17" s="96">
        <v>0</v>
      </c>
      <c r="T17" s="97">
        <f>S17*E17</f>
        <v>0</v>
      </c>
      <c r="U17" s="97">
        <f>Q17-S17</f>
        <v>0</v>
      </c>
      <c r="V17" s="97">
        <f>R17-T17</f>
        <v>0</v>
      </c>
      <c r="W17" s="111">
        <v>0</v>
      </c>
      <c r="X17" s="112">
        <f>W17*E17</f>
        <v>0</v>
      </c>
      <c r="Y17" s="112">
        <f>U17-W17</f>
        <v>0</v>
      </c>
      <c r="Z17" s="112">
        <f>V17-X17</f>
        <v>0</v>
      </c>
    </row>
    <row r="18" spans="1:26">
      <c r="A18" s="125" t="s">
        <v>51</v>
      </c>
      <c r="B18" s="125" t="s">
        <v>40</v>
      </c>
      <c r="C18" s="124" t="s">
        <v>18</v>
      </c>
      <c r="D18" s="128">
        <v>4762.2248000000009</v>
      </c>
      <c r="E18" s="129"/>
      <c r="F18" s="44">
        <f t="shared" si="10"/>
        <v>0</v>
      </c>
      <c r="G18" s="59">
        <v>4268.7700000000004</v>
      </c>
      <c r="H18" s="57">
        <f t="shared" si="11"/>
        <v>0</v>
      </c>
      <c r="I18" s="59"/>
      <c r="J18" s="57">
        <f t="shared" si="12"/>
        <v>0</v>
      </c>
      <c r="K18" s="61">
        <v>493.45</v>
      </c>
      <c r="L18" s="62">
        <f t="shared" si="13"/>
        <v>0</v>
      </c>
      <c r="M18" s="63"/>
      <c r="N18" s="62">
        <f t="shared" si="14"/>
        <v>0</v>
      </c>
      <c r="O18" s="56"/>
      <c r="P18" s="57">
        <f t="shared" si="15"/>
        <v>0</v>
      </c>
      <c r="Q18" s="57"/>
      <c r="R18" s="57">
        <f t="shared" si="16"/>
        <v>0</v>
      </c>
      <c r="S18" s="96"/>
      <c r="T18" s="97"/>
      <c r="U18" s="97"/>
      <c r="V18" s="97"/>
      <c r="W18" s="111"/>
      <c r="X18" s="112"/>
      <c r="Y18" s="112"/>
      <c r="Z18" s="112"/>
    </row>
    <row r="19" spans="1:26">
      <c r="A19" s="125" t="s">
        <v>52</v>
      </c>
      <c r="B19" s="125" t="s">
        <v>41</v>
      </c>
      <c r="C19" s="124" t="s">
        <v>18</v>
      </c>
      <c r="D19" s="128">
        <v>4528.4650000000001</v>
      </c>
      <c r="E19" s="129"/>
      <c r="F19" s="44">
        <f t="shared" si="10"/>
        <v>0</v>
      </c>
      <c r="G19" s="56"/>
      <c r="H19" s="57">
        <f t="shared" si="11"/>
        <v>0</v>
      </c>
      <c r="I19" s="59"/>
      <c r="J19" s="57">
        <f t="shared" si="12"/>
        <v>0</v>
      </c>
      <c r="K19" s="61"/>
      <c r="L19" s="62">
        <f t="shared" si="13"/>
        <v>0</v>
      </c>
      <c r="M19" s="63"/>
      <c r="N19" s="62">
        <f t="shared" si="14"/>
        <v>0</v>
      </c>
      <c r="O19" s="56"/>
      <c r="P19" s="57">
        <f t="shared" si="15"/>
        <v>0</v>
      </c>
      <c r="Q19" s="57"/>
      <c r="R19" s="57">
        <f t="shared" si="16"/>
        <v>0</v>
      </c>
      <c r="S19" s="96"/>
      <c r="T19" s="97"/>
      <c r="U19" s="97"/>
      <c r="V19" s="97"/>
      <c r="W19" s="111"/>
      <c r="X19" s="112"/>
      <c r="Y19" s="112"/>
      <c r="Z19" s="112"/>
    </row>
    <row r="20" spans="1:26">
      <c r="A20" s="124" t="s">
        <v>53</v>
      </c>
      <c r="B20" s="125" t="s">
        <v>42</v>
      </c>
      <c r="C20" s="124" t="s">
        <v>18</v>
      </c>
      <c r="D20" s="126">
        <v>120</v>
      </c>
      <c r="E20" s="127">
        <v>55000</v>
      </c>
      <c r="F20" s="44">
        <f t="shared" si="10"/>
        <v>6600000</v>
      </c>
      <c r="G20" s="56">
        <v>1</v>
      </c>
      <c r="H20" s="57">
        <f>G20*$E$20</f>
        <v>55000</v>
      </c>
      <c r="I20" s="59">
        <f t="shared" ref="I20:I38" si="17">D20-G20</f>
        <v>119</v>
      </c>
      <c r="J20" s="57">
        <f t="shared" si="12"/>
        <v>6545000</v>
      </c>
      <c r="K20" s="61">
        <v>0</v>
      </c>
      <c r="L20" s="62">
        <f>K20*$E$20</f>
        <v>0</v>
      </c>
      <c r="M20" s="63">
        <f t="shared" ref="M20:M38" si="18">I20-K20</f>
        <v>119</v>
      </c>
      <c r="N20" s="62">
        <f t="shared" si="14"/>
        <v>6545000</v>
      </c>
      <c r="O20" s="56"/>
      <c r="P20" s="57">
        <f>O20*$E$20</f>
        <v>0</v>
      </c>
      <c r="Q20" s="57">
        <f t="shared" ref="Q20" si="19">M20-O20</f>
        <v>119</v>
      </c>
      <c r="R20" s="57">
        <f t="shared" si="16"/>
        <v>6545000</v>
      </c>
      <c r="S20" s="96"/>
      <c r="T20" s="97"/>
      <c r="U20" s="97"/>
      <c r="V20" s="97"/>
      <c r="W20" s="111"/>
      <c r="X20" s="112"/>
      <c r="Y20" s="112"/>
      <c r="Z20" s="112"/>
    </row>
    <row r="21" spans="1:26">
      <c r="A21" s="125" t="s">
        <v>54</v>
      </c>
      <c r="B21" s="125" t="s">
        <v>39</v>
      </c>
      <c r="C21" s="124" t="s">
        <v>18</v>
      </c>
      <c r="D21" s="128">
        <v>40</v>
      </c>
      <c r="E21" s="129"/>
      <c r="F21" s="44">
        <f t="shared" si="10"/>
        <v>0</v>
      </c>
      <c r="G21" s="56"/>
      <c r="H21" s="57">
        <f t="shared" si="11"/>
        <v>0</v>
      </c>
      <c r="I21" s="59"/>
      <c r="J21" s="57">
        <f t="shared" si="12"/>
        <v>0</v>
      </c>
      <c r="K21" s="61"/>
      <c r="L21" s="62">
        <f t="shared" ref="L21:L23" si="20">K21*I21</f>
        <v>0</v>
      </c>
      <c r="M21" s="63"/>
      <c r="N21" s="62">
        <f t="shared" si="14"/>
        <v>0</v>
      </c>
      <c r="O21" s="56"/>
      <c r="P21" s="57">
        <f t="shared" ref="P21:P23" si="21">O21*M21</f>
        <v>0</v>
      </c>
      <c r="Q21" s="57"/>
      <c r="R21" s="57">
        <f t="shared" si="16"/>
        <v>0</v>
      </c>
      <c r="S21" s="96"/>
      <c r="T21" s="97"/>
      <c r="U21" s="97"/>
      <c r="V21" s="97"/>
      <c r="W21" s="111"/>
      <c r="X21" s="112"/>
      <c r="Y21" s="112"/>
      <c r="Z21" s="112"/>
    </row>
    <row r="22" spans="1:26">
      <c r="A22" s="125" t="s">
        <v>55</v>
      </c>
      <c r="B22" s="125" t="s">
        <v>40</v>
      </c>
      <c r="C22" s="124" t="s">
        <v>18</v>
      </c>
      <c r="D22" s="128">
        <v>40</v>
      </c>
      <c r="E22" s="129"/>
      <c r="F22" s="44">
        <f t="shared" si="10"/>
        <v>0</v>
      </c>
      <c r="G22" s="56">
        <v>1</v>
      </c>
      <c r="H22" s="57">
        <f t="shared" si="11"/>
        <v>0</v>
      </c>
      <c r="I22" s="59"/>
      <c r="J22" s="57">
        <f t="shared" si="12"/>
        <v>0</v>
      </c>
      <c r="K22" s="61">
        <v>0</v>
      </c>
      <c r="L22" s="62">
        <f t="shared" si="20"/>
        <v>0</v>
      </c>
      <c r="M22" s="63"/>
      <c r="N22" s="62">
        <f t="shared" si="14"/>
        <v>0</v>
      </c>
      <c r="O22" s="56"/>
      <c r="P22" s="57">
        <f t="shared" si="21"/>
        <v>0</v>
      </c>
      <c r="Q22" s="57"/>
      <c r="R22" s="57">
        <f t="shared" si="16"/>
        <v>0</v>
      </c>
      <c r="S22" s="96"/>
      <c r="T22" s="97"/>
      <c r="U22" s="97"/>
      <c r="V22" s="97"/>
      <c r="W22" s="111"/>
      <c r="X22" s="112"/>
      <c r="Y22" s="112"/>
      <c r="Z22" s="112"/>
    </row>
    <row r="23" spans="1:26">
      <c r="A23" s="125" t="s">
        <v>56</v>
      </c>
      <c r="B23" s="125" t="s">
        <v>41</v>
      </c>
      <c r="C23" s="124" t="s">
        <v>18</v>
      </c>
      <c r="D23" s="128">
        <v>40</v>
      </c>
      <c r="E23" s="129"/>
      <c r="F23" s="44">
        <f t="shared" si="10"/>
        <v>0</v>
      </c>
      <c r="G23" s="56"/>
      <c r="H23" s="57">
        <f t="shared" si="11"/>
        <v>0</v>
      </c>
      <c r="I23" s="59"/>
      <c r="J23" s="57">
        <f t="shared" si="12"/>
        <v>0</v>
      </c>
      <c r="K23" s="61"/>
      <c r="L23" s="62">
        <f t="shared" si="20"/>
        <v>0</v>
      </c>
      <c r="M23" s="63"/>
      <c r="N23" s="62">
        <f t="shared" si="14"/>
        <v>0</v>
      </c>
      <c r="O23" s="56"/>
      <c r="P23" s="57">
        <f t="shared" si="21"/>
        <v>0</v>
      </c>
      <c r="Q23" s="57"/>
      <c r="R23" s="57">
        <f t="shared" si="16"/>
        <v>0</v>
      </c>
      <c r="S23" s="96"/>
      <c r="T23" s="97"/>
      <c r="U23" s="97"/>
      <c r="V23" s="97"/>
      <c r="W23" s="111"/>
      <c r="X23" s="112"/>
      <c r="Y23" s="112"/>
      <c r="Z23" s="112"/>
    </row>
    <row r="24" spans="1:26" ht="28.8">
      <c r="A24" s="124" t="s">
        <v>57</v>
      </c>
      <c r="B24" s="130" t="s">
        <v>43</v>
      </c>
      <c r="C24" s="124" t="s">
        <v>18</v>
      </c>
      <c r="D24" s="126">
        <v>900</v>
      </c>
      <c r="E24" s="127">
        <v>37000</v>
      </c>
      <c r="F24" s="44">
        <f t="shared" si="10"/>
        <v>33300000</v>
      </c>
      <c r="G24" s="56">
        <v>181.45</v>
      </c>
      <c r="H24" s="57">
        <f>G24*$E$24</f>
        <v>6713650</v>
      </c>
      <c r="I24" s="59">
        <f t="shared" si="17"/>
        <v>718.55</v>
      </c>
      <c r="J24" s="57">
        <f t="shared" si="12"/>
        <v>26586350</v>
      </c>
      <c r="K24" s="61">
        <v>20.16</v>
      </c>
      <c r="L24" s="62">
        <f>K24*$E$24</f>
        <v>745920</v>
      </c>
      <c r="M24" s="63">
        <f t="shared" si="18"/>
        <v>698.39</v>
      </c>
      <c r="N24" s="62">
        <f t="shared" si="14"/>
        <v>25840430</v>
      </c>
      <c r="O24" s="56">
        <v>90.635000000000005</v>
      </c>
      <c r="P24" s="57">
        <f>O24*$E$24</f>
        <v>3353495</v>
      </c>
      <c r="Q24" s="57">
        <f t="shared" ref="Q24" si="22">M24-O24</f>
        <v>607.755</v>
      </c>
      <c r="R24" s="57">
        <f t="shared" si="16"/>
        <v>22486935</v>
      </c>
      <c r="S24" s="96"/>
      <c r="T24" s="97"/>
      <c r="U24" s="97"/>
      <c r="V24" s="97"/>
      <c r="W24" s="111"/>
      <c r="X24" s="112"/>
      <c r="Y24" s="112"/>
      <c r="Z24" s="112"/>
    </row>
    <row r="25" spans="1:26">
      <c r="A25" s="125" t="s">
        <v>58</v>
      </c>
      <c r="B25" s="125" t="s">
        <v>39</v>
      </c>
      <c r="C25" s="124" t="s">
        <v>18</v>
      </c>
      <c r="D25" s="128">
        <v>300</v>
      </c>
      <c r="E25" s="129"/>
      <c r="F25" s="44">
        <f t="shared" si="10"/>
        <v>0</v>
      </c>
      <c r="G25" s="56"/>
      <c r="H25" s="57">
        <f t="shared" si="11"/>
        <v>0</v>
      </c>
      <c r="I25" s="59"/>
      <c r="J25" s="57">
        <f t="shared" si="12"/>
        <v>0</v>
      </c>
      <c r="K25" s="61"/>
      <c r="L25" s="62">
        <f t="shared" ref="L25:L31" si="23">K25*I25</f>
        <v>0</v>
      </c>
      <c r="M25" s="63"/>
      <c r="N25" s="62">
        <f t="shared" si="14"/>
        <v>0</v>
      </c>
      <c r="O25" s="56">
        <v>90.635000000000005</v>
      </c>
      <c r="P25" s="57">
        <f t="shared" ref="P25:P27" si="24">O25*M25</f>
        <v>0</v>
      </c>
      <c r="Q25" s="57"/>
      <c r="R25" s="57">
        <f t="shared" si="16"/>
        <v>0</v>
      </c>
      <c r="S25" s="96"/>
      <c r="T25" s="97"/>
      <c r="U25" s="97"/>
      <c r="V25" s="97"/>
      <c r="W25" s="111"/>
      <c r="X25" s="112"/>
      <c r="Y25" s="112"/>
      <c r="Z25" s="112"/>
    </row>
    <row r="26" spans="1:26">
      <c r="A26" s="125" t="s">
        <v>59</v>
      </c>
      <c r="B26" s="125" t="s">
        <v>40</v>
      </c>
      <c r="C26" s="124" t="s">
        <v>18</v>
      </c>
      <c r="D26" s="128">
        <v>300</v>
      </c>
      <c r="E26" s="129"/>
      <c r="F26" s="44">
        <f t="shared" si="10"/>
        <v>0</v>
      </c>
      <c r="G26" s="56">
        <v>181.45</v>
      </c>
      <c r="H26" s="57">
        <f t="shared" si="11"/>
        <v>0</v>
      </c>
      <c r="I26" s="59"/>
      <c r="J26" s="57">
        <f t="shared" si="12"/>
        <v>0</v>
      </c>
      <c r="K26" s="61">
        <v>20.16</v>
      </c>
      <c r="L26" s="62">
        <f t="shared" si="23"/>
        <v>0</v>
      </c>
      <c r="M26" s="63"/>
      <c r="N26" s="62">
        <f t="shared" si="14"/>
        <v>0</v>
      </c>
      <c r="O26" s="56"/>
      <c r="P26" s="57">
        <f t="shared" si="24"/>
        <v>0</v>
      </c>
      <c r="Q26" s="57"/>
      <c r="R26" s="57">
        <f t="shared" si="16"/>
        <v>0</v>
      </c>
      <c r="S26" s="96"/>
      <c r="T26" s="97"/>
      <c r="U26" s="97"/>
      <c r="V26" s="97"/>
      <c r="W26" s="111"/>
      <c r="X26" s="112"/>
      <c r="Y26" s="112"/>
      <c r="Z26" s="112"/>
    </row>
    <row r="27" spans="1:26">
      <c r="A27" s="125" t="s">
        <v>60</v>
      </c>
      <c r="B27" s="125" t="s">
        <v>41</v>
      </c>
      <c r="C27" s="124" t="s">
        <v>18</v>
      </c>
      <c r="D27" s="128">
        <v>300</v>
      </c>
      <c r="E27" s="129"/>
      <c r="F27" s="44">
        <f t="shared" si="10"/>
        <v>0</v>
      </c>
      <c r="G27" s="56"/>
      <c r="H27" s="57">
        <f t="shared" si="11"/>
        <v>0</v>
      </c>
      <c r="I27" s="59"/>
      <c r="J27" s="57">
        <f t="shared" si="12"/>
        <v>0</v>
      </c>
      <c r="K27" s="61"/>
      <c r="L27" s="62">
        <f t="shared" si="23"/>
        <v>0</v>
      </c>
      <c r="M27" s="63"/>
      <c r="N27" s="62">
        <f t="shared" si="14"/>
        <v>0</v>
      </c>
      <c r="O27" s="56"/>
      <c r="P27" s="57">
        <f t="shared" si="24"/>
        <v>0</v>
      </c>
      <c r="Q27" s="57"/>
      <c r="R27" s="57">
        <f t="shared" si="16"/>
        <v>0</v>
      </c>
      <c r="S27" s="96"/>
      <c r="T27" s="97"/>
      <c r="U27" s="97"/>
      <c r="V27" s="97"/>
      <c r="W27" s="111"/>
      <c r="X27" s="112"/>
      <c r="Y27" s="112"/>
      <c r="Z27" s="112"/>
    </row>
    <row r="28" spans="1:26" ht="37.799999999999997" customHeight="1">
      <c r="A28" s="124" t="s">
        <v>61</v>
      </c>
      <c r="B28" s="130" t="s">
        <v>44</v>
      </c>
      <c r="C28" s="124" t="s">
        <v>18</v>
      </c>
      <c r="D28" s="126">
        <v>120</v>
      </c>
      <c r="E28" s="127">
        <v>95000</v>
      </c>
      <c r="F28" s="44">
        <f t="shared" si="10"/>
        <v>11400000</v>
      </c>
      <c r="G28" s="56"/>
      <c r="H28" s="57">
        <f t="shared" si="11"/>
        <v>0</v>
      </c>
      <c r="I28" s="59">
        <f t="shared" si="17"/>
        <v>120</v>
      </c>
      <c r="J28" s="57">
        <f t="shared" si="12"/>
        <v>11400000</v>
      </c>
      <c r="K28" s="61">
        <v>4</v>
      </c>
      <c r="L28" s="62">
        <f>K28*$E$28</f>
        <v>380000</v>
      </c>
      <c r="M28" s="63">
        <f t="shared" si="18"/>
        <v>116</v>
      </c>
      <c r="N28" s="62">
        <f t="shared" si="14"/>
        <v>11020000</v>
      </c>
      <c r="O28" s="56"/>
      <c r="P28" s="57">
        <f>O28*$E$28</f>
        <v>0</v>
      </c>
      <c r="Q28" s="57">
        <f t="shared" ref="Q28" si="25">M28-O28</f>
        <v>116</v>
      </c>
      <c r="R28" s="57">
        <f t="shared" si="16"/>
        <v>11020000</v>
      </c>
      <c r="S28" s="96"/>
      <c r="T28" s="97"/>
      <c r="U28" s="97"/>
      <c r="V28" s="97"/>
      <c r="W28" s="111"/>
      <c r="X28" s="112"/>
      <c r="Y28" s="112"/>
      <c r="Z28" s="112"/>
    </row>
    <row r="29" spans="1:26">
      <c r="A29" s="125" t="s">
        <v>62</v>
      </c>
      <c r="B29" s="125" t="s">
        <v>39</v>
      </c>
      <c r="C29" s="124" t="s">
        <v>18</v>
      </c>
      <c r="D29" s="128">
        <v>40</v>
      </c>
      <c r="E29" s="129"/>
      <c r="F29" s="44">
        <f t="shared" si="10"/>
        <v>0</v>
      </c>
      <c r="G29" s="56"/>
      <c r="H29" s="57">
        <f t="shared" si="11"/>
        <v>0</v>
      </c>
      <c r="I29" s="59"/>
      <c r="J29" s="57">
        <f t="shared" si="12"/>
        <v>0</v>
      </c>
      <c r="K29" s="61"/>
      <c r="L29" s="62">
        <f t="shared" si="23"/>
        <v>0</v>
      </c>
      <c r="M29" s="63"/>
      <c r="N29" s="62">
        <f t="shared" si="14"/>
        <v>0</v>
      </c>
      <c r="O29" s="56"/>
      <c r="P29" s="57">
        <f t="shared" ref="P29:P31" si="26">O29*M29</f>
        <v>0</v>
      </c>
      <c r="Q29" s="57"/>
      <c r="R29" s="57">
        <f t="shared" si="16"/>
        <v>0</v>
      </c>
      <c r="S29" s="96"/>
      <c r="T29" s="97"/>
      <c r="U29" s="97"/>
      <c r="V29" s="97"/>
      <c r="W29" s="111"/>
      <c r="X29" s="112"/>
      <c r="Y29" s="112"/>
      <c r="Z29" s="112"/>
    </row>
    <row r="30" spans="1:26">
      <c r="A30" s="125" t="s">
        <v>63</v>
      </c>
      <c r="B30" s="125" t="s">
        <v>40</v>
      </c>
      <c r="C30" s="124" t="s">
        <v>18</v>
      </c>
      <c r="D30" s="128">
        <v>40</v>
      </c>
      <c r="E30" s="129"/>
      <c r="F30" s="44">
        <f t="shared" si="10"/>
        <v>0</v>
      </c>
      <c r="G30" s="56"/>
      <c r="H30" s="57">
        <f t="shared" si="11"/>
        <v>0</v>
      </c>
      <c r="I30" s="59"/>
      <c r="J30" s="57">
        <f t="shared" si="12"/>
        <v>0</v>
      </c>
      <c r="K30" s="61">
        <v>4</v>
      </c>
      <c r="L30" s="62">
        <f t="shared" si="23"/>
        <v>0</v>
      </c>
      <c r="M30" s="63"/>
      <c r="N30" s="62">
        <f t="shared" si="14"/>
        <v>0</v>
      </c>
      <c r="O30" s="56"/>
      <c r="P30" s="57">
        <f t="shared" si="26"/>
        <v>0</v>
      </c>
      <c r="Q30" s="57"/>
      <c r="R30" s="57">
        <f t="shared" si="16"/>
        <v>0</v>
      </c>
      <c r="S30" s="96"/>
      <c r="T30" s="97"/>
      <c r="U30" s="97"/>
      <c r="V30" s="97"/>
      <c r="W30" s="111"/>
      <c r="X30" s="112"/>
      <c r="Y30" s="112"/>
      <c r="Z30" s="112"/>
    </row>
    <row r="31" spans="1:26">
      <c r="A31" s="125" t="s">
        <v>64</v>
      </c>
      <c r="B31" s="125" t="s">
        <v>41</v>
      </c>
      <c r="C31" s="124" t="s">
        <v>18</v>
      </c>
      <c r="D31" s="128">
        <v>40</v>
      </c>
      <c r="E31" s="129"/>
      <c r="F31" s="44">
        <f t="shared" si="10"/>
        <v>0</v>
      </c>
      <c r="G31" s="56"/>
      <c r="H31" s="57">
        <f t="shared" si="11"/>
        <v>0</v>
      </c>
      <c r="I31" s="59"/>
      <c r="J31" s="57">
        <f t="shared" si="12"/>
        <v>0</v>
      </c>
      <c r="K31" s="61"/>
      <c r="L31" s="62">
        <f t="shared" si="23"/>
        <v>0</v>
      </c>
      <c r="M31" s="63"/>
      <c r="N31" s="62">
        <f t="shared" si="14"/>
        <v>0</v>
      </c>
      <c r="O31" s="56"/>
      <c r="P31" s="57">
        <f t="shared" si="26"/>
        <v>0</v>
      </c>
      <c r="Q31" s="57"/>
      <c r="R31" s="57">
        <f t="shared" si="16"/>
        <v>0</v>
      </c>
      <c r="S31" s="96"/>
      <c r="T31" s="97"/>
      <c r="U31" s="97"/>
      <c r="V31" s="97"/>
      <c r="W31" s="111"/>
      <c r="X31" s="112"/>
      <c r="Y31" s="112"/>
      <c r="Z31" s="112"/>
    </row>
    <row r="32" spans="1:26" ht="28.8">
      <c r="A32" s="124" t="s">
        <v>65</v>
      </c>
      <c r="B32" s="130" t="s">
        <v>45</v>
      </c>
      <c r="C32" s="124" t="s">
        <v>19</v>
      </c>
      <c r="D32" s="126">
        <v>6538.5</v>
      </c>
      <c r="E32" s="127">
        <v>6800</v>
      </c>
      <c r="F32" s="44">
        <f t="shared" si="10"/>
        <v>44461800</v>
      </c>
      <c r="G32" s="56">
        <v>1247.3900000000001</v>
      </c>
      <c r="H32" s="57">
        <f>G32*$E$32</f>
        <v>8482252</v>
      </c>
      <c r="I32" s="59">
        <f t="shared" si="17"/>
        <v>5291.11</v>
      </c>
      <c r="J32" s="57">
        <f t="shared" si="12"/>
        <v>35979548</v>
      </c>
      <c r="K32" s="61">
        <v>138.6</v>
      </c>
      <c r="L32" s="62">
        <f>K32*$E$32</f>
        <v>942480</v>
      </c>
      <c r="M32" s="63">
        <f t="shared" si="18"/>
        <v>5152.5099999999993</v>
      </c>
      <c r="N32" s="62">
        <f t="shared" si="14"/>
        <v>35037068</v>
      </c>
      <c r="O32" s="56">
        <v>335.25</v>
      </c>
      <c r="P32" s="57">
        <f>O32*$E$32</f>
        <v>2279700</v>
      </c>
      <c r="Q32" s="57">
        <f t="shared" ref="Q32" si="27">M32-O32</f>
        <v>4817.2599999999993</v>
      </c>
      <c r="R32" s="57">
        <f t="shared" si="16"/>
        <v>32757368</v>
      </c>
      <c r="S32" s="96"/>
      <c r="T32" s="97"/>
      <c r="U32" s="97"/>
      <c r="V32" s="97"/>
      <c r="W32" s="111"/>
      <c r="X32" s="112"/>
      <c r="Y32" s="112"/>
      <c r="Z32" s="112"/>
    </row>
    <row r="33" spans="1:26">
      <c r="A33" s="125" t="s">
        <v>66</v>
      </c>
      <c r="B33" s="125" t="s">
        <v>39</v>
      </c>
      <c r="C33" s="124" t="s">
        <v>19</v>
      </c>
      <c r="D33" s="128">
        <v>2176.5</v>
      </c>
      <c r="E33" s="129"/>
      <c r="F33" s="44">
        <f t="shared" si="10"/>
        <v>0</v>
      </c>
      <c r="G33" s="56"/>
      <c r="H33" s="57">
        <f t="shared" si="11"/>
        <v>0</v>
      </c>
      <c r="I33" s="59"/>
      <c r="J33" s="57">
        <f t="shared" si="12"/>
        <v>0</v>
      </c>
      <c r="K33" s="61"/>
      <c r="L33" s="62">
        <f t="shared" ref="L33:L38" si="28">K33*I33</f>
        <v>0</v>
      </c>
      <c r="M33" s="63"/>
      <c r="N33" s="62">
        <f t="shared" si="14"/>
        <v>0</v>
      </c>
      <c r="O33" s="56"/>
      <c r="P33" s="57">
        <f t="shared" ref="P33:P38" si="29">O33*M33</f>
        <v>0</v>
      </c>
      <c r="Q33" s="57"/>
      <c r="R33" s="57">
        <f t="shared" si="16"/>
        <v>0</v>
      </c>
      <c r="S33" s="96"/>
      <c r="T33" s="97"/>
      <c r="U33" s="97"/>
      <c r="V33" s="97"/>
      <c r="W33" s="111"/>
      <c r="X33" s="112"/>
      <c r="Y33" s="112"/>
      <c r="Z33" s="112"/>
    </row>
    <row r="34" spans="1:26">
      <c r="A34" s="125" t="s">
        <v>67</v>
      </c>
      <c r="B34" s="125" t="s">
        <v>40</v>
      </c>
      <c r="C34" s="124" t="s">
        <v>19</v>
      </c>
      <c r="D34" s="128">
        <v>2176.5</v>
      </c>
      <c r="E34" s="129"/>
      <c r="F34" s="44">
        <f t="shared" si="10"/>
        <v>0</v>
      </c>
      <c r="G34" s="56">
        <v>1247.3900000000001</v>
      </c>
      <c r="H34" s="57">
        <f t="shared" si="11"/>
        <v>0</v>
      </c>
      <c r="I34" s="59"/>
      <c r="J34" s="57">
        <f t="shared" si="12"/>
        <v>0</v>
      </c>
      <c r="K34" s="61">
        <v>138.6</v>
      </c>
      <c r="L34" s="62">
        <f t="shared" si="28"/>
        <v>0</v>
      </c>
      <c r="M34" s="63"/>
      <c r="N34" s="62">
        <f t="shared" si="14"/>
        <v>0</v>
      </c>
      <c r="O34" s="56">
        <v>335.25</v>
      </c>
      <c r="P34" s="57">
        <f t="shared" si="29"/>
        <v>0</v>
      </c>
      <c r="Q34" s="57"/>
      <c r="R34" s="57">
        <f t="shared" si="16"/>
        <v>0</v>
      </c>
      <c r="S34" s="96"/>
      <c r="T34" s="97"/>
      <c r="U34" s="97"/>
      <c r="V34" s="97"/>
      <c r="W34" s="111"/>
      <c r="X34" s="112"/>
      <c r="Y34" s="112"/>
      <c r="Z34" s="112"/>
    </row>
    <row r="35" spans="1:26">
      <c r="A35" s="125" t="s">
        <v>68</v>
      </c>
      <c r="B35" s="125" t="s">
        <v>41</v>
      </c>
      <c r="C35" s="124" t="s">
        <v>19</v>
      </c>
      <c r="D35" s="128">
        <v>2185.5</v>
      </c>
      <c r="E35" s="129"/>
      <c r="F35" s="44">
        <f t="shared" si="10"/>
        <v>0</v>
      </c>
      <c r="G35" s="56"/>
      <c r="H35" s="57">
        <f t="shared" si="11"/>
        <v>0</v>
      </c>
      <c r="I35" s="59"/>
      <c r="J35" s="57">
        <f t="shared" si="12"/>
        <v>0</v>
      </c>
      <c r="K35" s="61"/>
      <c r="L35" s="62">
        <f t="shared" si="28"/>
        <v>0</v>
      </c>
      <c r="M35" s="63"/>
      <c r="N35" s="62">
        <f t="shared" si="14"/>
        <v>0</v>
      </c>
      <c r="O35" s="56"/>
      <c r="P35" s="57">
        <f t="shared" si="29"/>
        <v>0</v>
      </c>
      <c r="Q35" s="57"/>
      <c r="R35" s="57">
        <f t="shared" si="16"/>
        <v>0</v>
      </c>
      <c r="S35" s="96"/>
      <c r="T35" s="97"/>
      <c r="U35" s="97"/>
      <c r="V35" s="97"/>
      <c r="W35" s="111"/>
      <c r="X35" s="112"/>
      <c r="Y35" s="112"/>
      <c r="Z35" s="112"/>
    </row>
    <row r="36" spans="1:26">
      <c r="A36" s="124" t="s">
        <v>69</v>
      </c>
      <c r="B36" s="130" t="s">
        <v>46</v>
      </c>
      <c r="C36" s="124" t="s">
        <v>18</v>
      </c>
      <c r="D36" s="126">
        <v>750</v>
      </c>
      <c r="E36" s="127">
        <v>2900</v>
      </c>
      <c r="F36" s="44">
        <f t="shared" si="10"/>
        <v>2175000</v>
      </c>
      <c r="G36" s="56"/>
      <c r="H36" s="57">
        <f t="shared" si="11"/>
        <v>0</v>
      </c>
      <c r="I36" s="59">
        <f t="shared" si="17"/>
        <v>750</v>
      </c>
      <c r="J36" s="57">
        <f t="shared" si="12"/>
        <v>2175000</v>
      </c>
      <c r="K36" s="61"/>
      <c r="L36" s="62">
        <f t="shared" si="28"/>
        <v>0</v>
      </c>
      <c r="M36" s="63">
        <f t="shared" si="18"/>
        <v>750</v>
      </c>
      <c r="N36" s="62">
        <f t="shared" si="14"/>
        <v>2175000</v>
      </c>
      <c r="O36" s="56"/>
      <c r="P36" s="57">
        <f t="shared" si="29"/>
        <v>0</v>
      </c>
      <c r="Q36" s="57">
        <f t="shared" ref="Q36:Q38" si="30">M36-O36</f>
        <v>750</v>
      </c>
      <c r="R36" s="57">
        <f t="shared" si="16"/>
        <v>2175000</v>
      </c>
      <c r="S36" s="96"/>
      <c r="T36" s="97"/>
      <c r="U36" s="97"/>
      <c r="V36" s="97"/>
      <c r="W36" s="111"/>
      <c r="X36" s="112"/>
      <c r="Y36" s="112"/>
      <c r="Z36" s="112"/>
    </row>
    <row r="37" spans="1:26" ht="28.8">
      <c r="A37" s="124" t="s">
        <v>70</v>
      </c>
      <c r="B37" s="130" t="s">
        <v>47</v>
      </c>
      <c r="C37" s="124" t="s">
        <v>18</v>
      </c>
      <c r="D37" s="126">
        <v>15</v>
      </c>
      <c r="E37" s="127">
        <v>42000</v>
      </c>
      <c r="F37" s="44">
        <f t="shared" si="10"/>
        <v>630000</v>
      </c>
      <c r="G37" s="56"/>
      <c r="H37" s="57">
        <f t="shared" si="11"/>
        <v>0</v>
      </c>
      <c r="I37" s="59">
        <f t="shared" si="17"/>
        <v>15</v>
      </c>
      <c r="J37" s="57">
        <f t="shared" si="12"/>
        <v>630000</v>
      </c>
      <c r="K37" s="61"/>
      <c r="L37" s="62">
        <f t="shared" si="28"/>
        <v>0</v>
      </c>
      <c r="M37" s="63">
        <f t="shared" si="18"/>
        <v>15</v>
      </c>
      <c r="N37" s="62">
        <f t="shared" si="14"/>
        <v>630000</v>
      </c>
      <c r="O37" s="56"/>
      <c r="P37" s="57">
        <f t="shared" si="29"/>
        <v>0</v>
      </c>
      <c r="Q37" s="57">
        <f t="shared" si="30"/>
        <v>15</v>
      </c>
      <c r="R37" s="57">
        <f t="shared" si="16"/>
        <v>630000</v>
      </c>
      <c r="S37" s="96"/>
      <c r="T37" s="97"/>
      <c r="U37" s="97"/>
      <c r="V37" s="97"/>
      <c r="W37" s="111"/>
      <c r="X37" s="112"/>
      <c r="Y37" s="112"/>
      <c r="Z37" s="112"/>
    </row>
    <row r="38" spans="1:26" ht="28.8">
      <c r="A38" s="124" t="s">
        <v>71</v>
      </c>
      <c r="B38" s="130" t="s">
        <v>48</v>
      </c>
      <c r="C38" s="124" t="s">
        <v>18</v>
      </c>
      <c r="D38" s="126">
        <v>45</v>
      </c>
      <c r="E38" s="127">
        <v>37000</v>
      </c>
      <c r="F38" s="44">
        <f t="shared" si="10"/>
        <v>1665000</v>
      </c>
      <c r="G38" s="56"/>
      <c r="H38" s="57">
        <f t="shared" si="11"/>
        <v>0</v>
      </c>
      <c r="I38" s="59">
        <f t="shared" si="17"/>
        <v>45</v>
      </c>
      <c r="J38" s="57">
        <f t="shared" si="12"/>
        <v>1665000</v>
      </c>
      <c r="K38" s="61"/>
      <c r="L38" s="62">
        <f t="shared" si="28"/>
        <v>0</v>
      </c>
      <c r="M38" s="63">
        <f t="shared" si="18"/>
        <v>45</v>
      </c>
      <c r="N38" s="62">
        <f t="shared" si="14"/>
        <v>1665000</v>
      </c>
      <c r="O38" s="56"/>
      <c r="P38" s="57">
        <f t="shared" si="29"/>
        <v>0</v>
      </c>
      <c r="Q38" s="57">
        <f t="shared" si="30"/>
        <v>45</v>
      </c>
      <c r="R38" s="57">
        <f t="shared" si="16"/>
        <v>1665000</v>
      </c>
      <c r="S38" s="96"/>
      <c r="T38" s="97"/>
      <c r="U38" s="97"/>
      <c r="V38" s="97"/>
      <c r="W38" s="111"/>
      <c r="X38" s="112"/>
      <c r="Y38" s="112"/>
      <c r="Z38" s="112"/>
    </row>
    <row r="39" spans="1:26">
      <c r="A39" s="176"/>
      <c r="B39" s="177"/>
      <c r="C39" s="177"/>
      <c r="D39" s="178"/>
      <c r="E39" s="14" t="s">
        <v>20</v>
      </c>
      <c r="F39" s="45">
        <f>SUM(F16:F38)</f>
        <v>140985252.34</v>
      </c>
      <c r="G39" s="56"/>
      <c r="H39" s="57">
        <f>SUM(H16:H38)</f>
        <v>27630335</v>
      </c>
      <c r="I39" s="59"/>
      <c r="J39" s="57">
        <f>F39-H39</f>
        <v>113354917.34</v>
      </c>
      <c r="K39" s="61"/>
      <c r="L39" s="62">
        <f>SUM(L16:L38)</f>
        <v>3499405</v>
      </c>
      <c r="M39" s="63"/>
      <c r="N39" s="62">
        <f>J39-L39</f>
        <v>109855512.34</v>
      </c>
      <c r="O39" s="56"/>
      <c r="P39" s="57">
        <f>SUM(P16:P38)</f>
        <v>18563657</v>
      </c>
      <c r="Q39" s="57"/>
      <c r="R39" s="57">
        <f>N39-P39</f>
        <v>91291855.340000004</v>
      </c>
      <c r="S39" s="96"/>
      <c r="T39" s="97">
        <f>SUM(T16:T17)</f>
        <v>0</v>
      </c>
      <c r="U39" s="97"/>
      <c r="V39" s="97">
        <f>R39-T39</f>
        <v>91291855.340000004</v>
      </c>
      <c r="W39" s="111"/>
      <c r="X39" s="112">
        <f>SUM(X16:X17)</f>
        <v>1160000</v>
      </c>
      <c r="Y39" s="112"/>
      <c r="Z39" s="112">
        <f>V39-X39</f>
        <v>90131855.340000004</v>
      </c>
    </row>
    <row r="40" spans="1:26">
      <c r="A40" s="3" t="s">
        <v>96</v>
      </c>
      <c r="B40" s="165" t="s">
        <v>83</v>
      </c>
      <c r="C40" s="166"/>
      <c r="D40" s="166"/>
      <c r="E40" s="167"/>
      <c r="F40" s="42" t="s">
        <v>12</v>
      </c>
      <c r="G40" s="4"/>
      <c r="H40" s="4" t="s">
        <v>12</v>
      </c>
      <c r="I40" s="4"/>
      <c r="J40" s="4"/>
      <c r="K40" s="60"/>
      <c r="L40" s="60" t="s">
        <v>12</v>
      </c>
      <c r="M40" s="60"/>
      <c r="N40" s="60"/>
      <c r="O40" s="4"/>
      <c r="P40" s="4" t="s">
        <v>12</v>
      </c>
      <c r="Q40" s="4"/>
      <c r="R40" s="4"/>
      <c r="S40" s="99"/>
      <c r="T40" s="99" t="s">
        <v>12</v>
      </c>
      <c r="U40" s="99"/>
      <c r="V40" s="99"/>
      <c r="W40" s="106"/>
      <c r="X40" s="106" t="s">
        <v>12</v>
      </c>
      <c r="Y40" s="106"/>
      <c r="Z40" s="106"/>
    </row>
    <row r="41" spans="1:26" ht="33" customHeight="1">
      <c r="A41" s="131" t="s">
        <v>84</v>
      </c>
      <c r="B41" s="137" t="s">
        <v>85</v>
      </c>
      <c r="C41" s="131" t="s">
        <v>19</v>
      </c>
      <c r="D41" s="133">
        <v>895.5</v>
      </c>
      <c r="E41" s="134">
        <v>40000</v>
      </c>
      <c r="F41" s="44">
        <f>D41*E41</f>
        <v>35820000</v>
      </c>
      <c r="G41" s="56">
        <v>93.6</v>
      </c>
      <c r="H41" s="57">
        <f>G41*$E$41</f>
        <v>3744000</v>
      </c>
      <c r="I41" s="59">
        <f>D41-G41</f>
        <v>801.9</v>
      </c>
      <c r="J41" s="57">
        <f>F41-H41</f>
        <v>32076000</v>
      </c>
      <c r="K41" s="61">
        <v>236.4</v>
      </c>
      <c r="L41" s="62">
        <f>K41*$E$41</f>
        <v>9456000</v>
      </c>
      <c r="M41" s="63">
        <f>I41-K41</f>
        <v>565.5</v>
      </c>
      <c r="N41" s="62">
        <f>J41-L41</f>
        <v>22620000</v>
      </c>
      <c r="O41" s="56"/>
      <c r="P41" s="57">
        <f>O41*$E$41</f>
        <v>0</v>
      </c>
      <c r="Q41" s="57">
        <f>M41-O41</f>
        <v>565.5</v>
      </c>
      <c r="R41" s="57">
        <f>N41-P41</f>
        <v>22620000</v>
      </c>
      <c r="S41" s="96">
        <v>0</v>
      </c>
      <c r="T41" s="97">
        <f>S41*E41</f>
        <v>0</v>
      </c>
      <c r="U41" s="97">
        <f t="shared" ref="U41:V49" si="31">Q41-S41</f>
        <v>565.5</v>
      </c>
      <c r="V41" s="97">
        <f t="shared" si="31"/>
        <v>22620000</v>
      </c>
      <c r="W41" s="111">
        <v>400</v>
      </c>
      <c r="X41" s="112">
        <f>W41*E41</f>
        <v>16000000</v>
      </c>
      <c r="Y41" s="112">
        <f t="shared" ref="Y41:Z49" si="32">U41-W41</f>
        <v>165.5</v>
      </c>
      <c r="Z41" s="112">
        <f t="shared" si="32"/>
        <v>6620000</v>
      </c>
    </row>
    <row r="42" spans="1:26">
      <c r="A42" s="132" t="s">
        <v>86</v>
      </c>
      <c r="B42" s="132" t="s">
        <v>39</v>
      </c>
      <c r="C42" s="131" t="s">
        <v>19</v>
      </c>
      <c r="D42" s="135">
        <v>330</v>
      </c>
      <c r="E42" s="136"/>
      <c r="F42" s="44">
        <f t="shared" ref="F42:F49" si="33">D42*E42</f>
        <v>0</v>
      </c>
      <c r="G42" s="56"/>
      <c r="H42" s="57">
        <f t="shared" ref="H42:H49" si="34">G42*E42</f>
        <v>0</v>
      </c>
      <c r="I42" s="59"/>
      <c r="J42" s="57">
        <f t="shared" ref="J42:J49" si="35">F42-H42</f>
        <v>0</v>
      </c>
      <c r="K42" s="61"/>
      <c r="L42" s="62">
        <f t="shared" ref="L42:L49" si="36">K42*I42</f>
        <v>0</v>
      </c>
      <c r="M42" s="63"/>
      <c r="N42" s="62">
        <f t="shared" ref="N42:N49" si="37">J42-L42</f>
        <v>0</v>
      </c>
      <c r="O42" s="56"/>
      <c r="P42" s="57">
        <f t="shared" ref="P42:P49" si="38">O42*M42</f>
        <v>0</v>
      </c>
      <c r="Q42" s="57"/>
      <c r="R42" s="57">
        <f t="shared" ref="R42:R49" si="39">N42-P42</f>
        <v>0</v>
      </c>
      <c r="S42" s="96">
        <v>0</v>
      </c>
      <c r="T42" s="97">
        <f>S42*E42</f>
        <v>0</v>
      </c>
      <c r="U42" s="97">
        <f t="shared" si="31"/>
        <v>0</v>
      </c>
      <c r="V42" s="97">
        <f t="shared" si="31"/>
        <v>0</v>
      </c>
      <c r="W42" s="111">
        <v>0</v>
      </c>
      <c r="X42" s="112">
        <f>W42*E42</f>
        <v>0</v>
      </c>
      <c r="Y42" s="112">
        <f t="shared" si="32"/>
        <v>0</v>
      </c>
      <c r="Z42" s="112">
        <f t="shared" si="32"/>
        <v>0</v>
      </c>
    </row>
    <row r="43" spans="1:26">
      <c r="A43" s="132" t="s">
        <v>87</v>
      </c>
      <c r="B43" s="132" t="s">
        <v>40</v>
      </c>
      <c r="C43" s="131" t="s">
        <v>19</v>
      </c>
      <c r="D43" s="135">
        <v>330</v>
      </c>
      <c r="E43" s="136"/>
      <c r="F43" s="44">
        <f t="shared" si="33"/>
        <v>0</v>
      </c>
      <c r="G43" s="56">
        <v>93.6</v>
      </c>
      <c r="H43" s="57">
        <f t="shared" si="34"/>
        <v>0</v>
      </c>
      <c r="I43" s="59"/>
      <c r="J43" s="57">
        <f t="shared" si="35"/>
        <v>0</v>
      </c>
      <c r="K43" s="61">
        <v>236.4</v>
      </c>
      <c r="L43" s="62">
        <f t="shared" si="36"/>
        <v>0</v>
      </c>
      <c r="M43" s="63"/>
      <c r="N43" s="62">
        <f t="shared" si="37"/>
        <v>0</v>
      </c>
      <c r="O43" s="56"/>
      <c r="P43" s="57">
        <f t="shared" si="38"/>
        <v>0</v>
      </c>
      <c r="Q43" s="57"/>
      <c r="R43" s="57">
        <f t="shared" si="39"/>
        <v>0</v>
      </c>
      <c r="S43" s="96"/>
      <c r="T43" s="97"/>
      <c r="U43" s="97"/>
      <c r="V43" s="97"/>
      <c r="W43" s="111"/>
      <c r="X43" s="112"/>
      <c r="Y43" s="112"/>
      <c r="Z43" s="112"/>
    </row>
    <row r="44" spans="1:26">
      <c r="A44" s="132" t="s">
        <v>88</v>
      </c>
      <c r="B44" s="132" t="s">
        <v>41</v>
      </c>
      <c r="C44" s="131" t="s">
        <v>19</v>
      </c>
      <c r="D44" s="135">
        <v>235.5</v>
      </c>
      <c r="E44" s="136"/>
      <c r="F44" s="44">
        <f t="shared" si="33"/>
        <v>0</v>
      </c>
      <c r="G44" s="56"/>
      <c r="H44" s="57">
        <f t="shared" si="34"/>
        <v>0</v>
      </c>
      <c r="I44" s="59"/>
      <c r="J44" s="57">
        <f t="shared" si="35"/>
        <v>0</v>
      </c>
      <c r="K44" s="61"/>
      <c r="L44" s="62">
        <f t="shared" si="36"/>
        <v>0</v>
      </c>
      <c r="M44" s="63"/>
      <c r="N44" s="62">
        <f t="shared" si="37"/>
        <v>0</v>
      </c>
      <c r="O44" s="56"/>
      <c r="P44" s="57">
        <f t="shared" si="38"/>
        <v>0</v>
      </c>
      <c r="Q44" s="57"/>
      <c r="R44" s="57">
        <f t="shared" si="39"/>
        <v>0</v>
      </c>
      <c r="S44" s="96"/>
      <c r="T44" s="97"/>
      <c r="U44" s="97"/>
      <c r="V44" s="97"/>
      <c r="W44" s="111"/>
      <c r="X44" s="112"/>
      <c r="Y44" s="112"/>
      <c r="Z44" s="112"/>
    </row>
    <row r="45" spans="1:26">
      <c r="A45" s="131" t="s">
        <v>89</v>
      </c>
      <c r="B45" s="137" t="s">
        <v>90</v>
      </c>
      <c r="C45" s="131" t="s">
        <v>19</v>
      </c>
      <c r="D45" s="133">
        <v>643.29</v>
      </c>
      <c r="E45" s="134">
        <v>15000</v>
      </c>
      <c r="F45" s="44">
        <f t="shared" si="33"/>
        <v>9649350</v>
      </c>
      <c r="G45" s="56"/>
      <c r="H45" s="57">
        <f t="shared" si="34"/>
        <v>0</v>
      </c>
      <c r="I45" s="59">
        <f t="shared" ref="I45:I49" si="40">D45-G45</f>
        <v>643.29</v>
      </c>
      <c r="J45" s="57">
        <f t="shared" si="35"/>
        <v>9649350</v>
      </c>
      <c r="K45" s="61">
        <v>0</v>
      </c>
      <c r="L45" s="62">
        <f t="shared" si="36"/>
        <v>0</v>
      </c>
      <c r="M45" s="63">
        <f>I45-K45</f>
        <v>643.29</v>
      </c>
      <c r="N45" s="62">
        <f t="shared" si="37"/>
        <v>9649350</v>
      </c>
      <c r="O45" s="56"/>
      <c r="P45" s="57">
        <f t="shared" si="38"/>
        <v>0</v>
      </c>
      <c r="Q45" s="57">
        <f>M45-O45</f>
        <v>643.29</v>
      </c>
      <c r="R45" s="57">
        <f t="shared" si="39"/>
        <v>9649350</v>
      </c>
      <c r="S45" s="96"/>
      <c r="T45" s="97"/>
      <c r="U45" s="97"/>
      <c r="V45" s="97"/>
      <c r="W45" s="111"/>
      <c r="X45" s="112"/>
      <c r="Y45" s="112"/>
      <c r="Z45" s="112"/>
    </row>
    <row r="46" spans="1:26">
      <c r="A46" s="132" t="s">
        <v>91</v>
      </c>
      <c r="B46" s="132" t="s">
        <v>39</v>
      </c>
      <c r="C46" s="131" t="s">
        <v>19</v>
      </c>
      <c r="D46" s="135">
        <v>225.08999999999997</v>
      </c>
      <c r="E46" s="136"/>
      <c r="F46" s="44">
        <f t="shared" si="33"/>
        <v>0</v>
      </c>
      <c r="G46" s="56"/>
      <c r="H46" s="57">
        <f t="shared" si="34"/>
        <v>0</v>
      </c>
      <c r="I46" s="59"/>
      <c r="J46" s="57">
        <f t="shared" si="35"/>
        <v>0</v>
      </c>
      <c r="K46" s="61"/>
      <c r="L46" s="62">
        <f t="shared" si="36"/>
        <v>0</v>
      </c>
      <c r="M46" s="63"/>
      <c r="N46" s="62">
        <f t="shared" si="37"/>
        <v>0</v>
      </c>
      <c r="O46" s="56"/>
      <c r="P46" s="57">
        <f t="shared" si="38"/>
        <v>0</v>
      </c>
      <c r="Q46" s="57"/>
      <c r="R46" s="57">
        <f t="shared" si="39"/>
        <v>0</v>
      </c>
      <c r="S46" s="96"/>
      <c r="T46" s="97"/>
      <c r="U46" s="97"/>
      <c r="V46" s="97"/>
      <c r="W46" s="111"/>
      <c r="X46" s="112"/>
      <c r="Y46" s="112"/>
      <c r="Z46" s="112"/>
    </row>
    <row r="47" spans="1:26">
      <c r="A47" s="132" t="s">
        <v>92</v>
      </c>
      <c r="B47" s="132" t="s">
        <v>40</v>
      </c>
      <c r="C47" s="131" t="s">
        <v>19</v>
      </c>
      <c r="D47" s="135">
        <v>225.08999999999997</v>
      </c>
      <c r="E47" s="136"/>
      <c r="F47" s="44">
        <f t="shared" si="33"/>
        <v>0</v>
      </c>
      <c r="G47" s="56"/>
      <c r="H47" s="57">
        <f t="shared" si="34"/>
        <v>0</v>
      </c>
      <c r="I47" s="59"/>
      <c r="J47" s="57">
        <f t="shared" si="35"/>
        <v>0</v>
      </c>
      <c r="K47" s="61">
        <v>0</v>
      </c>
      <c r="L47" s="62">
        <f t="shared" si="36"/>
        <v>0</v>
      </c>
      <c r="M47" s="63"/>
      <c r="N47" s="62">
        <f t="shared" si="37"/>
        <v>0</v>
      </c>
      <c r="O47" s="56"/>
      <c r="P47" s="57">
        <f t="shared" si="38"/>
        <v>0</v>
      </c>
      <c r="Q47" s="57"/>
      <c r="R47" s="57">
        <f t="shared" si="39"/>
        <v>0</v>
      </c>
      <c r="S47" s="96"/>
      <c r="T47" s="97"/>
      <c r="U47" s="97"/>
      <c r="V47" s="97"/>
      <c r="W47" s="111"/>
      <c r="X47" s="112"/>
      <c r="Y47" s="112"/>
      <c r="Z47" s="112"/>
    </row>
    <row r="48" spans="1:26">
      <c r="A48" s="132" t="s">
        <v>93</v>
      </c>
      <c r="B48" s="132" t="s">
        <v>41</v>
      </c>
      <c r="C48" s="131" t="s">
        <v>19</v>
      </c>
      <c r="D48" s="135">
        <v>193.10999999999999</v>
      </c>
      <c r="E48" s="136"/>
      <c r="F48" s="44">
        <f t="shared" si="33"/>
        <v>0</v>
      </c>
      <c r="G48" s="56"/>
      <c r="H48" s="57">
        <f t="shared" si="34"/>
        <v>0</v>
      </c>
      <c r="I48" s="59"/>
      <c r="J48" s="57">
        <f t="shared" si="35"/>
        <v>0</v>
      </c>
      <c r="K48" s="61"/>
      <c r="L48" s="62">
        <f t="shared" si="36"/>
        <v>0</v>
      </c>
      <c r="M48" s="63"/>
      <c r="N48" s="62">
        <f t="shared" si="37"/>
        <v>0</v>
      </c>
      <c r="O48" s="56"/>
      <c r="P48" s="57">
        <f t="shared" si="38"/>
        <v>0</v>
      </c>
      <c r="Q48" s="57"/>
      <c r="R48" s="57">
        <f t="shared" si="39"/>
        <v>0</v>
      </c>
      <c r="S48" s="96"/>
      <c r="T48" s="97"/>
      <c r="U48" s="97"/>
      <c r="V48" s="97"/>
      <c r="W48" s="111"/>
      <c r="X48" s="112"/>
      <c r="Y48" s="112"/>
      <c r="Z48" s="112"/>
    </row>
    <row r="49" spans="1:26" ht="44.4" customHeight="1">
      <c r="A49" s="131" t="s">
        <v>94</v>
      </c>
      <c r="B49" s="137" t="s">
        <v>95</v>
      </c>
      <c r="C49" s="131" t="s">
        <v>18</v>
      </c>
      <c r="D49" s="133">
        <v>1090</v>
      </c>
      <c r="E49" s="134">
        <v>22396</v>
      </c>
      <c r="F49" s="44">
        <f t="shared" si="33"/>
        <v>24411640</v>
      </c>
      <c r="G49" s="56">
        <v>0</v>
      </c>
      <c r="H49" s="57">
        <f t="shared" si="34"/>
        <v>0</v>
      </c>
      <c r="I49" s="59">
        <f t="shared" si="40"/>
        <v>1090</v>
      </c>
      <c r="J49" s="57">
        <f t="shared" si="35"/>
        <v>24411640</v>
      </c>
      <c r="K49" s="61"/>
      <c r="L49" s="62">
        <f t="shared" si="36"/>
        <v>0</v>
      </c>
      <c r="M49" s="63">
        <f>I49-K49</f>
        <v>1090</v>
      </c>
      <c r="N49" s="62">
        <f t="shared" si="37"/>
        <v>24411640</v>
      </c>
      <c r="O49" s="56"/>
      <c r="P49" s="57">
        <f t="shared" si="38"/>
        <v>0</v>
      </c>
      <c r="Q49" s="57">
        <f>M49-O49</f>
        <v>1090</v>
      </c>
      <c r="R49" s="57">
        <f t="shared" si="39"/>
        <v>24411640</v>
      </c>
      <c r="S49" s="96">
        <v>0</v>
      </c>
      <c r="T49" s="97">
        <f>S49*E49</f>
        <v>0</v>
      </c>
      <c r="U49" s="97">
        <f t="shared" si="31"/>
        <v>1090</v>
      </c>
      <c r="V49" s="97">
        <f t="shared" si="31"/>
        <v>24411640</v>
      </c>
      <c r="W49" s="111">
        <v>0</v>
      </c>
      <c r="X49" s="112">
        <f>W49*E49</f>
        <v>0</v>
      </c>
      <c r="Y49" s="112">
        <f t="shared" si="32"/>
        <v>1090</v>
      </c>
      <c r="Z49" s="112">
        <f t="shared" si="32"/>
        <v>24411640</v>
      </c>
    </row>
    <row r="50" spans="1:26">
      <c r="A50" s="176"/>
      <c r="B50" s="177"/>
      <c r="C50" s="177"/>
      <c r="D50" s="178"/>
      <c r="E50" s="14" t="s">
        <v>20</v>
      </c>
      <c r="F50" s="45">
        <f>SUM(F41:F49)</f>
        <v>69880990</v>
      </c>
      <c r="G50" s="56"/>
      <c r="H50" s="57">
        <f>SUM(H41:H49)</f>
        <v>3744000</v>
      </c>
      <c r="I50" s="59"/>
      <c r="J50" s="57">
        <f>F50-H50</f>
        <v>66136990</v>
      </c>
      <c r="K50" s="61"/>
      <c r="L50" s="62">
        <f>SUM(L41:L49)</f>
        <v>9456000</v>
      </c>
      <c r="M50" s="63"/>
      <c r="N50" s="62">
        <f>J50-L50</f>
        <v>56680990</v>
      </c>
      <c r="O50" s="56"/>
      <c r="P50" s="57">
        <f>SUM(P41:P49)</f>
        <v>0</v>
      </c>
      <c r="Q50" s="57"/>
      <c r="R50" s="57">
        <f>N50-P50</f>
        <v>56680990</v>
      </c>
      <c r="S50" s="96"/>
      <c r="T50" s="97">
        <f>SUM(T42:T49)</f>
        <v>0</v>
      </c>
      <c r="U50" s="97"/>
      <c r="V50" s="97">
        <f>R50-T50</f>
        <v>56680990</v>
      </c>
      <c r="W50" s="111"/>
      <c r="X50" s="112">
        <f>SUM(X42:X49)</f>
        <v>0</v>
      </c>
      <c r="Y50" s="112"/>
      <c r="Z50" s="112">
        <f>V50-X50</f>
        <v>56680990</v>
      </c>
    </row>
    <row r="51" spans="1:26">
      <c r="A51" s="3" t="s">
        <v>107</v>
      </c>
      <c r="B51" s="165" t="s">
        <v>97</v>
      </c>
      <c r="C51" s="166"/>
      <c r="D51" s="166"/>
      <c r="E51" s="166"/>
      <c r="F51" s="167"/>
      <c r="G51" s="4"/>
      <c r="H51" s="4" t="s">
        <v>12</v>
      </c>
      <c r="I51" s="4"/>
      <c r="J51" s="4"/>
      <c r="K51" s="60"/>
      <c r="L51" s="60" t="s">
        <v>12</v>
      </c>
      <c r="M51" s="60"/>
      <c r="N51" s="60"/>
      <c r="O51" s="4"/>
      <c r="P51" s="4" t="s">
        <v>12</v>
      </c>
      <c r="Q51" s="4"/>
      <c r="R51" s="4"/>
      <c r="S51" s="99"/>
      <c r="T51" s="99" t="s">
        <v>12</v>
      </c>
      <c r="U51" s="99"/>
      <c r="V51" s="99"/>
      <c r="W51" s="106"/>
      <c r="X51" s="106" t="s">
        <v>12</v>
      </c>
      <c r="Y51" s="106"/>
      <c r="Z51" s="106"/>
    </row>
    <row r="52" spans="1:26" ht="25.8" customHeight="1">
      <c r="A52" s="138" t="s">
        <v>98</v>
      </c>
      <c r="B52" s="143" t="s">
        <v>99</v>
      </c>
      <c r="C52" s="138" t="s">
        <v>18</v>
      </c>
      <c r="D52" s="140">
        <v>14802.914600000002</v>
      </c>
      <c r="E52" s="159">
        <v>15800</v>
      </c>
      <c r="F52" s="44">
        <f>D52*E52</f>
        <v>233886050.68000004</v>
      </c>
      <c r="G52" s="56">
        <v>3670.27</v>
      </c>
      <c r="H52" s="57">
        <f>G52*$E$52</f>
        <v>57990266</v>
      </c>
      <c r="I52" s="59">
        <f>D52-G52</f>
        <v>11132.644600000001</v>
      </c>
      <c r="J52" s="57">
        <f t="shared" ref="J52:J57" si="41">F52-H52</f>
        <v>175895784.68000004</v>
      </c>
      <c r="K52" s="61">
        <v>1091.95</v>
      </c>
      <c r="L52" s="62">
        <f>K52*$E$52</f>
        <v>17252810</v>
      </c>
      <c r="M52" s="63">
        <f>I52-K52</f>
        <v>10040.694600000001</v>
      </c>
      <c r="N52" s="62">
        <f t="shared" ref="N52:N57" si="42">J52-L52</f>
        <v>158642974.68000004</v>
      </c>
      <c r="O52" s="56">
        <v>2643.7874999999995</v>
      </c>
      <c r="P52" s="57">
        <f>O52*$E$52</f>
        <v>41771842.499999993</v>
      </c>
      <c r="Q52" s="57">
        <f>M52-O52</f>
        <v>7396.9071000000013</v>
      </c>
      <c r="R52" s="57">
        <f t="shared" ref="R52:R57" si="43">N52-P52</f>
        <v>116871132.18000004</v>
      </c>
      <c r="S52" s="96">
        <v>0</v>
      </c>
      <c r="T52" s="97">
        <f>S52*E52</f>
        <v>0</v>
      </c>
      <c r="U52" s="97">
        <f t="shared" ref="U52:V56" si="44">Q52-S52</f>
        <v>7396.9071000000013</v>
      </c>
      <c r="V52" s="97">
        <f t="shared" si="44"/>
        <v>116871132.18000004</v>
      </c>
      <c r="W52" s="111">
        <v>400</v>
      </c>
      <c r="X52" s="112">
        <f>W52*E52</f>
        <v>6320000</v>
      </c>
      <c r="Y52" s="112">
        <f t="shared" ref="Y52:Z56" si="45">U52-W52</f>
        <v>6996.9071000000013</v>
      </c>
      <c r="Z52" s="112">
        <f t="shared" si="45"/>
        <v>110551132.18000004</v>
      </c>
    </row>
    <row r="53" spans="1:26">
      <c r="A53" s="139" t="s">
        <v>100</v>
      </c>
      <c r="B53" s="139" t="s">
        <v>39</v>
      </c>
      <c r="C53" s="141" t="s">
        <v>18</v>
      </c>
      <c r="D53" s="142">
        <v>4762.2248000000009</v>
      </c>
      <c r="E53" s="8">
        <v>3800</v>
      </c>
      <c r="F53" s="44">
        <v>0</v>
      </c>
      <c r="G53" s="56"/>
      <c r="H53" s="57"/>
      <c r="I53" s="59"/>
      <c r="J53" s="57">
        <f t="shared" si="41"/>
        <v>0</v>
      </c>
      <c r="K53" s="61"/>
      <c r="L53" s="62"/>
      <c r="M53" s="63"/>
      <c r="N53" s="62">
        <f t="shared" si="42"/>
        <v>0</v>
      </c>
      <c r="O53" s="56">
        <v>2643.7874999999995</v>
      </c>
      <c r="P53" s="57"/>
      <c r="Q53" s="57"/>
      <c r="R53" s="57">
        <f t="shared" si="43"/>
        <v>0</v>
      </c>
      <c r="S53" s="96">
        <v>0</v>
      </c>
      <c r="T53" s="97">
        <f>S53*E53</f>
        <v>0</v>
      </c>
      <c r="U53" s="97">
        <f t="shared" si="44"/>
        <v>0</v>
      </c>
      <c r="V53" s="97">
        <f t="shared" si="44"/>
        <v>0</v>
      </c>
      <c r="W53" s="111">
        <v>0</v>
      </c>
      <c r="X53" s="112">
        <f>W53*E53</f>
        <v>0</v>
      </c>
      <c r="Y53" s="112">
        <f t="shared" si="45"/>
        <v>0</v>
      </c>
      <c r="Z53" s="112">
        <f t="shared" si="45"/>
        <v>0</v>
      </c>
    </row>
    <row r="54" spans="1:26">
      <c r="A54" s="139" t="s">
        <v>101</v>
      </c>
      <c r="B54" s="139" t="s">
        <v>40</v>
      </c>
      <c r="C54" s="141" t="s">
        <v>18</v>
      </c>
      <c r="D54" s="142">
        <v>4762.2248000000009</v>
      </c>
      <c r="E54" s="8">
        <v>16000</v>
      </c>
      <c r="F54" s="44">
        <v>0</v>
      </c>
      <c r="G54" s="56">
        <v>3670.27</v>
      </c>
      <c r="H54" s="57"/>
      <c r="I54" s="59"/>
      <c r="J54" s="57">
        <f t="shared" si="41"/>
        <v>0</v>
      </c>
      <c r="K54" s="61">
        <v>1091.95</v>
      </c>
      <c r="L54" s="62"/>
      <c r="M54" s="63"/>
      <c r="N54" s="62">
        <f t="shared" si="42"/>
        <v>0</v>
      </c>
      <c r="O54" s="56"/>
      <c r="P54" s="57"/>
      <c r="Q54" s="57"/>
      <c r="R54" s="57">
        <f t="shared" si="43"/>
        <v>0</v>
      </c>
      <c r="S54" s="96">
        <v>0</v>
      </c>
      <c r="T54" s="97">
        <f>S54*E54</f>
        <v>0</v>
      </c>
      <c r="U54" s="97">
        <f t="shared" si="44"/>
        <v>0</v>
      </c>
      <c r="V54" s="97">
        <f t="shared" si="44"/>
        <v>0</v>
      </c>
      <c r="W54" s="111">
        <v>0</v>
      </c>
      <c r="X54" s="112">
        <f>W54*E54</f>
        <v>0</v>
      </c>
      <c r="Y54" s="112">
        <f t="shared" si="45"/>
        <v>0</v>
      </c>
      <c r="Z54" s="112">
        <f t="shared" si="45"/>
        <v>0</v>
      </c>
    </row>
    <row r="55" spans="1:26">
      <c r="A55" s="139" t="s">
        <v>102</v>
      </c>
      <c r="B55" s="139" t="s">
        <v>41</v>
      </c>
      <c r="C55" s="141" t="s">
        <v>18</v>
      </c>
      <c r="D55" s="142">
        <v>4528.4650000000001</v>
      </c>
      <c r="E55" s="8">
        <v>9000</v>
      </c>
      <c r="F55" s="44">
        <v>0</v>
      </c>
      <c r="G55" s="56"/>
      <c r="H55" s="57"/>
      <c r="I55" s="59"/>
      <c r="J55" s="57">
        <f t="shared" si="41"/>
        <v>0</v>
      </c>
      <c r="K55" s="61"/>
      <c r="L55" s="62"/>
      <c r="M55" s="63"/>
      <c r="N55" s="62">
        <f t="shared" si="42"/>
        <v>0</v>
      </c>
      <c r="O55" s="56"/>
      <c r="P55" s="57"/>
      <c r="Q55" s="57"/>
      <c r="R55" s="57">
        <f t="shared" si="43"/>
        <v>0</v>
      </c>
      <c r="S55" s="96">
        <v>0</v>
      </c>
      <c r="T55" s="97">
        <f>S55*E55</f>
        <v>0</v>
      </c>
      <c r="U55" s="97">
        <f t="shared" si="44"/>
        <v>0</v>
      </c>
      <c r="V55" s="97">
        <f t="shared" si="44"/>
        <v>0</v>
      </c>
      <c r="W55" s="111">
        <v>0</v>
      </c>
      <c r="X55" s="112">
        <f>W55*E55</f>
        <v>0</v>
      </c>
      <c r="Y55" s="112">
        <f t="shared" si="45"/>
        <v>0</v>
      </c>
      <c r="Z55" s="112">
        <f t="shared" si="45"/>
        <v>0</v>
      </c>
    </row>
    <row r="56" spans="1:26">
      <c r="A56" s="139" t="s">
        <v>103</v>
      </c>
      <c r="B56" s="139" t="s">
        <v>104</v>
      </c>
      <c r="C56" s="141" t="s">
        <v>18</v>
      </c>
      <c r="D56" s="142">
        <v>750</v>
      </c>
      <c r="E56" s="8">
        <v>16500</v>
      </c>
      <c r="F56" s="44">
        <v>0</v>
      </c>
      <c r="G56" s="56"/>
      <c r="H56" s="57"/>
      <c r="I56" s="59"/>
      <c r="J56" s="57">
        <f t="shared" si="41"/>
        <v>0</v>
      </c>
      <c r="K56" s="61"/>
      <c r="L56" s="62"/>
      <c r="M56" s="63"/>
      <c r="N56" s="62">
        <f t="shared" si="42"/>
        <v>0</v>
      </c>
      <c r="O56" s="56"/>
      <c r="P56" s="57"/>
      <c r="Q56" s="57"/>
      <c r="R56" s="57">
        <f t="shared" si="43"/>
        <v>0</v>
      </c>
      <c r="S56" s="96">
        <v>0</v>
      </c>
      <c r="T56" s="97">
        <f>S56*E56</f>
        <v>0</v>
      </c>
      <c r="U56" s="97">
        <f t="shared" si="44"/>
        <v>0</v>
      </c>
      <c r="V56" s="97">
        <f t="shared" si="44"/>
        <v>0</v>
      </c>
      <c r="W56" s="111">
        <v>0</v>
      </c>
      <c r="X56" s="112">
        <f>W56*E56</f>
        <v>0</v>
      </c>
      <c r="Y56" s="112">
        <f t="shared" si="45"/>
        <v>0</v>
      </c>
      <c r="Z56" s="112">
        <f t="shared" si="45"/>
        <v>0</v>
      </c>
    </row>
    <row r="57" spans="1:26">
      <c r="A57" s="168"/>
      <c r="B57" s="168"/>
      <c r="C57" s="168"/>
      <c r="D57" s="168"/>
      <c r="E57" s="14" t="s">
        <v>20</v>
      </c>
      <c r="F57" s="45">
        <f>SUM(F52:F56)</f>
        <v>233886050.68000004</v>
      </c>
      <c r="G57" s="56"/>
      <c r="H57" s="57">
        <f>SUM(H52:H56)</f>
        <v>57990266</v>
      </c>
      <c r="I57" s="59"/>
      <c r="J57" s="57">
        <f t="shared" si="41"/>
        <v>175895784.68000004</v>
      </c>
      <c r="K57" s="61"/>
      <c r="L57" s="62">
        <f>SUM(L52:L56)</f>
        <v>17252810</v>
      </c>
      <c r="M57" s="63"/>
      <c r="N57" s="62">
        <f t="shared" si="42"/>
        <v>158642974.68000004</v>
      </c>
      <c r="O57" s="56"/>
      <c r="P57" s="57">
        <f>SUM(P52:P56)</f>
        <v>41771842.499999993</v>
      </c>
      <c r="Q57" s="57"/>
      <c r="R57" s="57">
        <f t="shared" si="43"/>
        <v>116871132.18000004</v>
      </c>
      <c r="S57" s="96"/>
      <c r="T57" s="97">
        <f>SUM(T53:T56)</f>
        <v>0</v>
      </c>
      <c r="U57" s="97"/>
      <c r="V57" s="97">
        <f>R57-T57</f>
        <v>116871132.18000004</v>
      </c>
      <c r="W57" s="111"/>
      <c r="X57" s="112">
        <f>SUM(X53:X56)</f>
        <v>0</v>
      </c>
      <c r="Y57" s="112"/>
      <c r="Z57" s="112">
        <f>V57-X57</f>
        <v>116871132.18000004</v>
      </c>
    </row>
    <row r="58" spans="1:26">
      <c r="A58" s="3" t="s">
        <v>106</v>
      </c>
      <c r="B58" s="165" t="s">
        <v>105</v>
      </c>
      <c r="C58" s="166"/>
      <c r="D58" s="166"/>
      <c r="E58" s="166"/>
      <c r="F58" s="167"/>
      <c r="G58" s="4"/>
      <c r="H58" s="4"/>
      <c r="I58" s="4"/>
      <c r="J58" s="4"/>
      <c r="K58" s="60"/>
      <c r="L58" s="60"/>
      <c r="M58" s="60"/>
      <c r="N58" s="60"/>
      <c r="O58" s="69"/>
      <c r="P58" s="4"/>
      <c r="Q58" s="4"/>
      <c r="R58" s="4"/>
      <c r="S58" s="98"/>
      <c r="T58" s="99"/>
      <c r="U58" s="99"/>
      <c r="V58" s="99"/>
      <c r="W58" s="107"/>
      <c r="X58" s="106"/>
      <c r="Y58" s="106"/>
      <c r="Z58" s="106"/>
    </row>
    <row r="59" spans="1:26">
      <c r="A59" s="144" t="s">
        <v>108</v>
      </c>
      <c r="B59" s="145" t="s">
        <v>109</v>
      </c>
      <c r="C59" s="144" t="s">
        <v>110</v>
      </c>
      <c r="D59" s="147">
        <v>1</v>
      </c>
      <c r="E59" s="148">
        <v>0</v>
      </c>
      <c r="F59" s="46">
        <f>E59*D59</f>
        <v>0</v>
      </c>
      <c r="G59" s="56"/>
      <c r="H59" s="57">
        <f>G59*E59</f>
        <v>0</v>
      </c>
      <c r="I59" s="59">
        <f>D59-G59</f>
        <v>1</v>
      </c>
      <c r="J59" s="57">
        <f>F59-H59</f>
        <v>0</v>
      </c>
      <c r="K59" s="65"/>
      <c r="L59" s="62">
        <f>K59*I59</f>
        <v>0</v>
      </c>
      <c r="M59" s="63">
        <f>I59-K59</f>
        <v>1</v>
      </c>
      <c r="N59" s="66">
        <f>J59-L59</f>
        <v>0</v>
      </c>
      <c r="O59" s="56"/>
      <c r="P59" s="57">
        <f>O59*M59</f>
        <v>0</v>
      </c>
      <c r="Q59" s="57">
        <f>M59-O59</f>
        <v>1</v>
      </c>
      <c r="R59" s="57">
        <f>N59-P59</f>
        <v>0</v>
      </c>
      <c r="S59" s="96">
        <v>0</v>
      </c>
      <c r="T59" s="97">
        <f>S59*E59</f>
        <v>0</v>
      </c>
      <c r="U59" s="97">
        <f>Q59-S59</f>
        <v>1</v>
      </c>
      <c r="V59" s="97">
        <v>2931948.94</v>
      </c>
      <c r="W59" s="111">
        <v>0</v>
      </c>
      <c r="X59" s="112">
        <f>W59*E59</f>
        <v>0</v>
      </c>
      <c r="Y59" s="112">
        <f>U59-W59</f>
        <v>1</v>
      </c>
      <c r="Z59" s="112">
        <v>2931948.94</v>
      </c>
    </row>
    <row r="60" spans="1:26">
      <c r="A60" s="144" t="s">
        <v>111</v>
      </c>
      <c r="B60" s="146" t="s">
        <v>39</v>
      </c>
      <c r="C60" s="149"/>
      <c r="D60" s="147"/>
      <c r="E60" s="151"/>
      <c r="F60" s="46">
        <f t="shared" ref="F60:F72" si="46">E60*D60</f>
        <v>0</v>
      </c>
      <c r="G60" s="56"/>
      <c r="H60" s="57">
        <f t="shared" ref="H60:H72" si="47">G60*E60</f>
        <v>0</v>
      </c>
      <c r="I60" s="59"/>
      <c r="J60" s="57">
        <f t="shared" ref="J60:J72" si="48">F60-H60</f>
        <v>0</v>
      </c>
      <c r="K60" s="65"/>
      <c r="L60" s="62">
        <f t="shared" ref="L60:L68" si="49">K60*I60</f>
        <v>0</v>
      </c>
      <c r="M60" s="63"/>
      <c r="N60" s="66">
        <f t="shared" ref="N60:N72" si="50">J60-L60</f>
        <v>0</v>
      </c>
      <c r="O60" s="56"/>
      <c r="P60" s="57">
        <f t="shared" ref="P60:P68" si="51">O60*M60</f>
        <v>0</v>
      </c>
      <c r="Q60" s="57"/>
      <c r="R60" s="57">
        <f t="shared" ref="R60:R72" si="52">N60-P60</f>
        <v>0</v>
      </c>
      <c r="S60" s="96"/>
      <c r="T60" s="97"/>
      <c r="U60" s="97"/>
      <c r="V60" s="97"/>
      <c r="W60" s="111"/>
      <c r="X60" s="112"/>
      <c r="Y60" s="112"/>
      <c r="Z60" s="112"/>
    </row>
    <row r="61" spans="1:26">
      <c r="A61" s="149" t="s">
        <v>112</v>
      </c>
      <c r="B61" s="146" t="s">
        <v>113</v>
      </c>
      <c r="C61" s="149" t="s">
        <v>18</v>
      </c>
      <c r="D61" s="150"/>
      <c r="E61" s="151"/>
      <c r="F61" s="46">
        <f t="shared" si="46"/>
        <v>0</v>
      </c>
      <c r="G61" s="56"/>
      <c r="H61" s="57">
        <f t="shared" si="47"/>
        <v>0</v>
      </c>
      <c r="I61" s="59"/>
      <c r="J61" s="57">
        <f t="shared" si="48"/>
        <v>0</v>
      </c>
      <c r="K61" s="65"/>
      <c r="L61" s="62">
        <f t="shared" si="49"/>
        <v>0</v>
      </c>
      <c r="M61" s="63"/>
      <c r="N61" s="66">
        <f t="shared" si="50"/>
        <v>0</v>
      </c>
      <c r="O61" s="56"/>
      <c r="P61" s="57">
        <f t="shared" si="51"/>
        <v>0</v>
      </c>
      <c r="Q61" s="57"/>
      <c r="R61" s="57">
        <f t="shared" si="52"/>
        <v>0</v>
      </c>
      <c r="S61" s="96"/>
      <c r="T61" s="97"/>
      <c r="U61" s="97"/>
      <c r="V61" s="97"/>
      <c r="W61" s="111"/>
      <c r="X61" s="112"/>
      <c r="Y61" s="112"/>
      <c r="Z61" s="112"/>
    </row>
    <row r="62" spans="1:26">
      <c r="A62" s="149" t="s">
        <v>114</v>
      </c>
      <c r="B62" s="146" t="s">
        <v>115</v>
      </c>
      <c r="C62" s="149" t="s">
        <v>18</v>
      </c>
      <c r="D62" s="150"/>
      <c r="E62" s="151"/>
      <c r="F62" s="46">
        <f t="shared" si="46"/>
        <v>0</v>
      </c>
      <c r="G62" s="56"/>
      <c r="H62" s="57">
        <f t="shared" si="47"/>
        <v>0</v>
      </c>
      <c r="I62" s="59"/>
      <c r="J62" s="57">
        <f t="shared" si="48"/>
        <v>0</v>
      </c>
      <c r="K62" s="65"/>
      <c r="L62" s="62">
        <f t="shared" si="49"/>
        <v>0</v>
      </c>
      <c r="M62" s="63"/>
      <c r="N62" s="66">
        <f t="shared" si="50"/>
        <v>0</v>
      </c>
      <c r="O62" s="56"/>
      <c r="P62" s="57">
        <f t="shared" si="51"/>
        <v>0</v>
      </c>
      <c r="Q62" s="57"/>
      <c r="R62" s="57">
        <f t="shared" si="52"/>
        <v>0</v>
      </c>
      <c r="S62" s="96"/>
      <c r="T62" s="97"/>
      <c r="U62" s="97"/>
      <c r="V62" s="97"/>
      <c r="W62" s="111"/>
      <c r="X62" s="112"/>
      <c r="Y62" s="112"/>
      <c r="Z62" s="112"/>
    </row>
    <row r="63" spans="1:26">
      <c r="A63" s="144" t="s">
        <v>116</v>
      </c>
      <c r="B63" s="146" t="s">
        <v>40</v>
      </c>
      <c r="C63" s="149"/>
      <c r="D63" s="147"/>
      <c r="E63" s="151"/>
      <c r="F63" s="46">
        <f t="shared" si="46"/>
        <v>0</v>
      </c>
      <c r="G63" s="56"/>
      <c r="H63" s="57">
        <f t="shared" si="47"/>
        <v>0</v>
      </c>
      <c r="I63" s="59"/>
      <c r="J63" s="57">
        <f t="shared" si="48"/>
        <v>0</v>
      </c>
      <c r="K63" s="65"/>
      <c r="L63" s="62">
        <f t="shared" si="49"/>
        <v>0</v>
      </c>
      <c r="M63" s="63"/>
      <c r="N63" s="66">
        <f t="shared" si="50"/>
        <v>0</v>
      </c>
      <c r="O63" s="56"/>
      <c r="P63" s="57">
        <f t="shared" si="51"/>
        <v>0</v>
      </c>
      <c r="Q63" s="57"/>
      <c r="R63" s="57">
        <f t="shared" si="52"/>
        <v>0</v>
      </c>
      <c r="S63" s="96"/>
      <c r="T63" s="97"/>
      <c r="U63" s="97"/>
      <c r="V63" s="97"/>
      <c r="W63" s="111"/>
      <c r="X63" s="112"/>
      <c r="Y63" s="112"/>
      <c r="Z63" s="112"/>
    </row>
    <row r="64" spans="1:26">
      <c r="A64" s="149" t="s">
        <v>117</v>
      </c>
      <c r="B64" s="146" t="s">
        <v>113</v>
      </c>
      <c r="C64" s="149" t="s">
        <v>18</v>
      </c>
      <c r="D64" s="150"/>
      <c r="E64" s="151"/>
      <c r="F64" s="46">
        <f t="shared" si="46"/>
        <v>0</v>
      </c>
      <c r="G64" s="56"/>
      <c r="H64" s="57">
        <f t="shared" si="47"/>
        <v>0</v>
      </c>
      <c r="I64" s="59"/>
      <c r="J64" s="57">
        <f t="shared" si="48"/>
        <v>0</v>
      </c>
      <c r="K64" s="65"/>
      <c r="L64" s="62">
        <f t="shared" si="49"/>
        <v>0</v>
      </c>
      <c r="M64" s="63"/>
      <c r="N64" s="66">
        <f t="shared" si="50"/>
        <v>0</v>
      </c>
      <c r="O64" s="56"/>
      <c r="P64" s="57">
        <f t="shared" si="51"/>
        <v>0</v>
      </c>
      <c r="Q64" s="57"/>
      <c r="R64" s="57">
        <f t="shared" si="52"/>
        <v>0</v>
      </c>
      <c r="S64" s="96"/>
      <c r="T64" s="97"/>
      <c r="U64" s="97"/>
      <c r="V64" s="97"/>
      <c r="W64" s="111"/>
      <c r="X64" s="112"/>
      <c r="Y64" s="112"/>
      <c r="Z64" s="112"/>
    </row>
    <row r="65" spans="1:26">
      <c r="A65" s="149" t="s">
        <v>118</v>
      </c>
      <c r="B65" s="146" t="s">
        <v>115</v>
      </c>
      <c r="C65" s="149" t="s">
        <v>18</v>
      </c>
      <c r="D65" s="150"/>
      <c r="E65" s="151"/>
      <c r="F65" s="46">
        <f t="shared" si="46"/>
        <v>0</v>
      </c>
      <c r="G65" s="56"/>
      <c r="H65" s="57">
        <f t="shared" si="47"/>
        <v>0</v>
      </c>
      <c r="I65" s="59"/>
      <c r="J65" s="57">
        <f t="shared" si="48"/>
        <v>0</v>
      </c>
      <c r="K65" s="65"/>
      <c r="L65" s="62">
        <f t="shared" si="49"/>
        <v>0</v>
      </c>
      <c r="M65" s="63"/>
      <c r="N65" s="66">
        <f t="shared" si="50"/>
        <v>0</v>
      </c>
      <c r="O65" s="56"/>
      <c r="P65" s="57">
        <f t="shared" si="51"/>
        <v>0</v>
      </c>
      <c r="Q65" s="57"/>
      <c r="R65" s="57">
        <f t="shared" si="52"/>
        <v>0</v>
      </c>
      <c r="S65" s="96"/>
      <c r="T65" s="97"/>
      <c r="U65" s="97"/>
      <c r="V65" s="97"/>
      <c r="W65" s="111"/>
      <c r="X65" s="112"/>
      <c r="Y65" s="112"/>
      <c r="Z65" s="112"/>
    </row>
    <row r="66" spans="1:26">
      <c r="A66" s="144" t="s">
        <v>119</v>
      </c>
      <c r="B66" s="146" t="s">
        <v>41</v>
      </c>
      <c r="C66" s="149"/>
      <c r="D66" s="147"/>
      <c r="E66" s="151"/>
      <c r="F66" s="46">
        <f t="shared" si="46"/>
        <v>0</v>
      </c>
      <c r="G66" s="56"/>
      <c r="H66" s="57">
        <f t="shared" si="47"/>
        <v>0</v>
      </c>
      <c r="I66" s="59"/>
      <c r="J66" s="57">
        <f t="shared" si="48"/>
        <v>0</v>
      </c>
      <c r="K66" s="65"/>
      <c r="L66" s="62">
        <f t="shared" si="49"/>
        <v>0</v>
      </c>
      <c r="M66" s="63"/>
      <c r="N66" s="66">
        <f t="shared" si="50"/>
        <v>0</v>
      </c>
      <c r="O66" s="56"/>
      <c r="P66" s="57">
        <f t="shared" si="51"/>
        <v>0</v>
      </c>
      <c r="Q66" s="57"/>
      <c r="R66" s="57">
        <f t="shared" si="52"/>
        <v>0</v>
      </c>
      <c r="S66" s="96"/>
      <c r="T66" s="97"/>
      <c r="U66" s="97"/>
      <c r="V66" s="97"/>
      <c r="W66" s="111"/>
      <c r="X66" s="112"/>
      <c r="Y66" s="112"/>
      <c r="Z66" s="112"/>
    </row>
    <row r="67" spans="1:26">
      <c r="A67" s="149" t="s">
        <v>120</v>
      </c>
      <c r="B67" s="146" t="s">
        <v>113</v>
      </c>
      <c r="C67" s="149" t="s">
        <v>18</v>
      </c>
      <c r="D67" s="150"/>
      <c r="E67" s="151"/>
      <c r="F67" s="46">
        <f t="shared" si="46"/>
        <v>0</v>
      </c>
      <c r="G67" s="56"/>
      <c r="H67" s="57">
        <f t="shared" si="47"/>
        <v>0</v>
      </c>
      <c r="I67" s="59"/>
      <c r="J67" s="57">
        <f t="shared" si="48"/>
        <v>0</v>
      </c>
      <c r="K67" s="65"/>
      <c r="L67" s="62">
        <f t="shared" si="49"/>
        <v>0</v>
      </c>
      <c r="M67" s="63"/>
      <c r="N67" s="66">
        <f t="shared" si="50"/>
        <v>0</v>
      </c>
      <c r="O67" s="56"/>
      <c r="P67" s="57">
        <f t="shared" si="51"/>
        <v>0</v>
      </c>
      <c r="Q67" s="57"/>
      <c r="R67" s="57">
        <f t="shared" si="52"/>
        <v>0</v>
      </c>
      <c r="S67" s="96"/>
      <c r="T67" s="97"/>
      <c r="U67" s="97"/>
      <c r="V67" s="97"/>
      <c r="W67" s="111"/>
      <c r="X67" s="112"/>
      <c r="Y67" s="112"/>
      <c r="Z67" s="112"/>
    </row>
    <row r="68" spans="1:26">
      <c r="A68" s="149" t="s">
        <v>121</v>
      </c>
      <c r="B68" s="146" t="s">
        <v>115</v>
      </c>
      <c r="C68" s="149" t="s">
        <v>18</v>
      </c>
      <c r="D68" s="150"/>
      <c r="E68" s="151"/>
      <c r="F68" s="46">
        <f t="shared" si="46"/>
        <v>0</v>
      </c>
      <c r="G68" s="56"/>
      <c r="H68" s="57">
        <f t="shared" si="47"/>
        <v>0</v>
      </c>
      <c r="I68" s="59"/>
      <c r="J68" s="57">
        <f t="shared" si="48"/>
        <v>0</v>
      </c>
      <c r="K68" s="65"/>
      <c r="L68" s="62">
        <f t="shared" si="49"/>
        <v>0</v>
      </c>
      <c r="M68" s="63"/>
      <c r="N68" s="66">
        <f t="shared" si="50"/>
        <v>0</v>
      </c>
      <c r="O68" s="56"/>
      <c r="P68" s="57">
        <f t="shared" si="51"/>
        <v>0</v>
      </c>
      <c r="Q68" s="57"/>
      <c r="R68" s="57">
        <f t="shared" si="52"/>
        <v>0</v>
      </c>
      <c r="S68" s="96"/>
      <c r="T68" s="97"/>
      <c r="U68" s="97"/>
      <c r="V68" s="97"/>
      <c r="W68" s="111"/>
      <c r="X68" s="112"/>
      <c r="Y68" s="112"/>
      <c r="Z68" s="112"/>
    </row>
    <row r="69" spans="1:26">
      <c r="A69" s="144" t="s">
        <v>122</v>
      </c>
      <c r="B69" s="152" t="s">
        <v>123</v>
      </c>
      <c r="C69" s="144" t="s">
        <v>110</v>
      </c>
      <c r="D69" s="147">
        <v>1</v>
      </c>
      <c r="E69" s="148">
        <v>2600000</v>
      </c>
      <c r="F69" s="46">
        <f t="shared" si="46"/>
        <v>2600000</v>
      </c>
      <c r="G69" s="56"/>
      <c r="H69" s="57">
        <f>G69*$E$69</f>
        <v>0</v>
      </c>
      <c r="I69" s="59">
        <f t="shared" ref="I69" si="53">D69-G69</f>
        <v>1</v>
      </c>
      <c r="J69" s="57">
        <f t="shared" si="48"/>
        <v>2600000</v>
      </c>
      <c r="K69" s="65"/>
      <c r="L69" s="62">
        <f>K69*$E$69</f>
        <v>0</v>
      </c>
      <c r="M69" s="63">
        <f>I69-K69</f>
        <v>1</v>
      </c>
      <c r="N69" s="66">
        <f t="shared" si="50"/>
        <v>2600000</v>
      </c>
      <c r="O69" s="56"/>
      <c r="P69" s="57">
        <f>O69*$E$69</f>
        <v>0</v>
      </c>
      <c r="Q69" s="57">
        <f>M69-O69</f>
        <v>1</v>
      </c>
      <c r="R69" s="57">
        <f t="shared" si="52"/>
        <v>2600000</v>
      </c>
      <c r="S69" s="96"/>
      <c r="T69" s="97"/>
      <c r="U69" s="97"/>
      <c r="V69" s="97"/>
      <c r="W69" s="111"/>
      <c r="X69" s="112"/>
      <c r="Y69" s="112"/>
      <c r="Z69" s="112"/>
    </row>
    <row r="70" spans="1:26">
      <c r="A70" s="146" t="s">
        <v>124</v>
      </c>
      <c r="B70" s="146" t="s">
        <v>39</v>
      </c>
      <c r="C70" s="149"/>
      <c r="D70" s="150">
        <v>50</v>
      </c>
      <c r="E70" s="146"/>
      <c r="F70" s="46">
        <f t="shared" si="46"/>
        <v>0</v>
      </c>
      <c r="G70" s="56"/>
      <c r="H70" s="57">
        <f t="shared" si="47"/>
        <v>0</v>
      </c>
      <c r="I70" s="59"/>
      <c r="J70" s="57">
        <f t="shared" si="48"/>
        <v>0</v>
      </c>
      <c r="K70" s="65"/>
      <c r="L70" s="62">
        <f t="shared" ref="L70:L72" si="54">K70*I70</f>
        <v>0</v>
      </c>
      <c r="M70" s="63"/>
      <c r="N70" s="66">
        <f t="shared" si="50"/>
        <v>0</v>
      </c>
      <c r="O70" s="56"/>
      <c r="P70" s="57">
        <f t="shared" ref="P70:P72" si="55">O70*M70</f>
        <v>0</v>
      </c>
      <c r="Q70" s="57"/>
      <c r="R70" s="57">
        <f t="shared" si="52"/>
        <v>0</v>
      </c>
      <c r="S70" s="96"/>
      <c r="T70" s="97"/>
      <c r="U70" s="97"/>
      <c r="V70" s="97"/>
      <c r="W70" s="111"/>
      <c r="X70" s="112"/>
      <c r="Y70" s="112"/>
      <c r="Z70" s="112"/>
    </row>
    <row r="71" spans="1:26">
      <c r="A71" s="146" t="s">
        <v>125</v>
      </c>
      <c r="B71" s="146" t="s">
        <v>40</v>
      </c>
      <c r="C71" s="149"/>
      <c r="D71" s="150">
        <v>50</v>
      </c>
      <c r="E71" s="146"/>
      <c r="F71" s="46">
        <f t="shared" si="46"/>
        <v>0</v>
      </c>
      <c r="G71" s="56"/>
      <c r="H71" s="57">
        <f t="shared" si="47"/>
        <v>0</v>
      </c>
      <c r="I71" s="59"/>
      <c r="J71" s="57">
        <f t="shared" si="48"/>
        <v>0</v>
      </c>
      <c r="K71" s="65"/>
      <c r="L71" s="62">
        <f t="shared" si="54"/>
        <v>0</v>
      </c>
      <c r="M71" s="63"/>
      <c r="N71" s="66">
        <f t="shared" si="50"/>
        <v>0</v>
      </c>
      <c r="O71" s="56"/>
      <c r="P71" s="57">
        <f t="shared" si="55"/>
        <v>0</v>
      </c>
      <c r="Q71" s="57"/>
      <c r="R71" s="57">
        <f t="shared" si="52"/>
        <v>0</v>
      </c>
      <c r="S71" s="96"/>
      <c r="T71" s="97"/>
      <c r="U71" s="97"/>
      <c r="V71" s="97"/>
      <c r="W71" s="111"/>
      <c r="X71" s="112"/>
      <c r="Y71" s="112"/>
      <c r="Z71" s="112"/>
    </row>
    <row r="72" spans="1:26">
      <c r="A72" s="146" t="s">
        <v>126</v>
      </c>
      <c r="B72" s="146" t="s">
        <v>41</v>
      </c>
      <c r="C72" s="149"/>
      <c r="D72" s="150">
        <v>50</v>
      </c>
      <c r="E72" s="146"/>
      <c r="F72" s="46">
        <f t="shared" si="46"/>
        <v>0</v>
      </c>
      <c r="G72" s="56"/>
      <c r="H72" s="57">
        <f t="shared" si="47"/>
        <v>0</v>
      </c>
      <c r="I72" s="59"/>
      <c r="J72" s="57">
        <f t="shared" si="48"/>
        <v>0</v>
      </c>
      <c r="K72" s="65"/>
      <c r="L72" s="62">
        <f t="shared" si="54"/>
        <v>0</v>
      </c>
      <c r="M72" s="63"/>
      <c r="N72" s="66">
        <f t="shared" si="50"/>
        <v>0</v>
      </c>
      <c r="O72" s="56"/>
      <c r="P72" s="57">
        <f t="shared" si="55"/>
        <v>0</v>
      </c>
      <c r="Q72" s="57"/>
      <c r="R72" s="57">
        <f t="shared" si="52"/>
        <v>0</v>
      </c>
      <c r="S72" s="96"/>
      <c r="T72" s="97"/>
      <c r="U72" s="97"/>
      <c r="V72" s="97"/>
      <c r="W72" s="111"/>
      <c r="X72" s="112"/>
      <c r="Y72" s="112"/>
      <c r="Z72" s="112"/>
    </row>
    <row r="73" spans="1:26">
      <c r="A73" s="168"/>
      <c r="B73" s="168"/>
      <c r="C73" s="168"/>
      <c r="D73" s="168"/>
      <c r="E73" s="14" t="s">
        <v>20</v>
      </c>
      <c r="F73" s="45">
        <f>SUM(F59:F72)</f>
        <v>2600000</v>
      </c>
      <c r="G73" s="56"/>
      <c r="H73" s="57">
        <f>SUM(H59:H72)</f>
        <v>0</v>
      </c>
      <c r="I73" s="59"/>
      <c r="J73" s="57">
        <f>F73-H73</f>
        <v>2600000</v>
      </c>
      <c r="K73" s="61"/>
      <c r="L73" s="62">
        <f>SUM(L59:L72)</f>
        <v>0</v>
      </c>
      <c r="M73" s="63"/>
      <c r="N73" s="62">
        <f>J73-L73</f>
        <v>2600000</v>
      </c>
      <c r="O73" s="57"/>
      <c r="P73" s="57">
        <f>SUM(P59:P72)</f>
        <v>0</v>
      </c>
      <c r="Q73" s="57"/>
      <c r="R73" s="57">
        <f>N73-P73</f>
        <v>2600000</v>
      </c>
      <c r="S73" s="97"/>
      <c r="T73" s="97">
        <f>SUM(T59:T59)</f>
        <v>0</v>
      </c>
      <c r="U73" s="97"/>
      <c r="V73" s="97">
        <f>R73-T73</f>
        <v>2600000</v>
      </c>
      <c r="W73" s="112"/>
      <c r="X73" s="112">
        <f>SUM(X59:X59)</f>
        <v>0</v>
      </c>
      <c r="Y73" s="112"/>
      <c r="Z73" s="112">
        <f>V73-X73</f>
        <v>2600000</v>
      </c>
    </row>
    <row r="74" spans="1:26">
      <c r="A74" s="3" t="s">
        <v>127</v>
      </c>
      <c r="B74" s="165" t="s">
        <v>128</v>
      </c>
      <c r="C74" s="166"/>
      <c r="D74" s="166"/>
      <c r="E74" s="166"/>
      <c r="F74" s="167"/>
      <c r="G74" s="4"/>
      <c r="H74" s="4" t="s">
        <v>12</v>
      </c>
      <c r="I74" s="4"/>
      <c r="J74" s="4"/>
      <c r="K74" s="60"/>
      <c r="L74" s="60" t="s">
        <v>12</v>
      </c>
      <c r="M74" s="60"/>
      <c r="N74" s="60"/>
      <c r="O74" s="4"/>
      <c r="P74" s="4" t="s">
        <v>12</v>
      </c>
      <c r="Q74" s="4"/>
      <c r="R74" s="4"/>
      <c r="S74" s="99"/>
      <c r="T74" s="99" t="s">
        <v>12</v>
      </c>
      <c r="U74" s="99"/>
      <c r="V74" s="99"/>
      <c r="W74" s="106"/>
      <c r="X74" s="106" t="s">
        <v>12</v>
      </c>
      <c r="Y74" s="106"/>
      <c r="Z74" s="106"/>
    </row>
    <row r="75" spans="1:26" ht="35.4" customHeight="1">
      <c r="A75" s="153" t="s">
        <v>129</v>
      </c>
      <c r="B75" s="158" t="s">
        <v>130</v>
      </c>
      <c r="C75" s="153" t="s">
        <v>19</v>
      </c>
      <c r="D75" s="155">
        <v>330</v>
      </c>
      <c r="E75" s="8">
        <v>33673</v>
      </c>
      <c r="F75" s="44">
        <f>D75*E75</f>
        <v>11112090</v>
      </c>
      <c r="G75" s="56"/>
      <c r="H75" s="57">
        <f>G75*$E$75</f>
        <v>0</v>
      </c>
      <c r="I75" s="59">
        <f>D75-G75</f>
        <v>330</v>
      </c>
      <c r="J75" s="57">
        <f t="shared" ref="J75:J78" si="56">F75-H75</f>
        <v>11112090</v>
      </c>
      <c r="K75" s="162">
        <v>486.824137604898</v>
      </c>
      <c r="L75" s="62">
        <f>K75*$E$75</f>
        <v>16392829.18556973</v>
      </c>
      <c r="M75" s="63">
        <f>I75-K75</f>
        <v>-156.824137604898</v>
      </c>
      <c r="N75" s="62">
        <f t="shared" ref="N75:N78" si="57">J75-L75</f>
        <v>-5280739.1855697297</v>
      </c>
      <c r="O75" s="56"/>
      <c r="P75" s="57">
        <f>O75*$E$75</f>
        <v>0</v>
      </c>
      <c r="Q75" s="57">
        <f>M75-O75</f>
        <v>-156.824137604898</v>
      </c>
      <c r="R75" s="57">
        <f t="shared" ref="R75:R78" si="58">N75-P75</f>
        <v>-5280739.1855697297</v>
      </c>
      <c r="S75" s="96">
        <v>0</v>
      </c>
      <c r="T75" s="97">
        <f>S75*E75</f>
        <v>0</v>
      </c>
      <c r="U75" s="97">
        <f t="shared" ref="U75:U78" si="59">Q75-S75</f>
        <v>-156.824137604898</v>
      </c>
      <c r="V75" s="97">
        <f t="shared" ref="V75:V78" si="60">R75-T75</f>
        <v>-5280739.1855697297</v>
      </c>
      <c r="W75" s="111">
        <v>400</v>
      </c>
      <c r="X75" s="112">
        <f>W75*E75</f>
        <v>13469200</v>
      </c>
      <c r="Y75" s="112">
        <f t="shared" ref="Y75:Y78" si="61">U75-W75</f>
        <v>-556.82413760489794</v>
      </c>
      <c r="Z75" s="112">
        <f t="shared" ref="Z75:Z78" si="62">V75-X75</f>
        <v>-18749939.18556973</v>
      </c>
    </row>
    <row r="76" spans="1:26">
      <c r="A76" s="154"/>
      <c r="B76" s="154" t="s">
        <v>39</v>
      </c>
      <c r="C76" s="156" t="s">
        <v>19</v>
      </c>
      <c r="D76" s="157"/>
      <c r="E76" s="8"/>
      <c r="F76" s="44">
        <f>D76*E76</f>
        <v>0</v>
      </c>
      <c r="G76" s="56"/>
      <c r="H76" s="57">
        <f>G76*E76</f>
        <v>0</v>
      </c>
      <c r="I76" s="59">
        <f>D76-G76</f>
        <v>0</v>
      </c>
      <c r="J76" s="57">
        <f t="shared" si="56"/>
        <v>0</v>
      </c>
      <c r="K76" s="61"/>
      <c r="L76" s="62">
        <f>K76*I76</f>
        <v>0</v>
      </c>
      <c r="M76" s="63">
        <f>H76-K76</f>
        <v>0</v>
      </c>
      <c r="N76" s="62">
        <f t="shared" si="57"/>
        <v>0</v>
      </c>
      <c r="O76" s="56"/>
      <c r="P76" s="57">
        <f>O76*M76</f>
        <v>0</v>
      </c>
      <c r="Q76" s="57">
        <f>L76-O76</f>
        <v>0</v>
      </c>
      <c r="R76" s="57">
        <f t="shared" si="58"/>
        <v>0</v>
      </c>
      <c r="S76" s="96">
        <v>0</v>
      </c>
      <c r="T76" s="97">
        <f>S76*E76</f>
        <v>0</v>
      </c>
      <c r="U76" s="97">
        <f t="shared" si="59"/>
        <v>0</v>
      </c>
      <c r="V76" s="97">
        <f t="shared" si="60"/>
        <v>0</v>
      </c>
      <c r="W76" s="111">
        <v>0</v>
      </c>
      <c r="X76" s="112">
        <f>W76*E76</f>
        <v>0</v>
      </c>
      <c r="Y76" s="112">
        <f t="shared" si="61"/>
        <v>0</v>
      </c>
      <c r="Z76" s="112">
        <f t="shared" si="62"/>
        <v>0</v>
      </c>
    </row>
    <row r="77" spans="1:26">
      <c r="A77" s="154"/>
      <c r="B77" s="154" t="s">
        <v>40</v>
      </c>
      <c r="C77" s="156" t="s">
        <v>19</v>
      </c>
      <c r="D77" s="157">
        <v>330</v>
      </c>
      <c r="E77" s="8"/>
      <c r="F77" s="44">
        <f>D77*E77</f>
        <v>0</v>
      </c>
      <c r="G77" s="56"/>
      <c r="H77" s="57">
        <f>G77*E77</f>
        <v>0</v>
      </c>
      <c r="I77" s="59">
        <f>D77-G77</f>
        <v>330</v>
      </c>
      <c r="J77" s="57">
        <f t="shared" si="56"/>
        <v>0</v>
      </c>
      <c r="K77" s="61"/>
      <c r="L77" s="62">
        <f>K77*I77</f>
        <v>0</v>
      </c>
      <c r="M77" s="63">
        <f>H77-K77</f>
        <v>0</v>
      </c>
      <c r="N77" s="62">
        <f t="shared" si="57"/>
        <v>0</v>
      </c>
      <c r="O77" s="56"/>
      <c r="P77" s="57">
        <f>O77*M77</f>
        <v>0</v>
      </c>
      <c r="Q77" s="57">
        <f>L77-O77</f>
        <v>0</v>
      </c>
      <c r="R77" s="57">
        <f t="shared" si="58"/>
        <v>0</v>
      </c>
      <c r="S77" s="96">
        <v>0</v>
      </c>
      <c r="T77" s="97">
        <f>S77*E77</f>
        <v>0</v>
      </c>
      <c r="U77" s="97">
        <f t="shared" si="59"/>
        <v>0</v>
      </c>
      <c r="V77" s="97">
        <f t="shared" si="60"/>
        <v>0</v>
      </c>
      <c r="W77" s="111">
        <v>0</v>
      </c>
      <c r="X77" s="112">
        <f>W77*E77</f>
        <v>0</v>
      </c>
      <c r="Y77" s="112">
        <f t="shared" si="61"/>
        <v>0</v>
      </c>
      <c r="Z77" s="112">
        <f t="shared" si="62"/>
        <v>0</v>
      </c>
    </row>
    <row r="78" spans="1:26">
      <c r="A78" s="154"/>
      <c r="B78" s="154" t="s">
        <v>41</v>
      </c>
      <c r="C78" s="156" t="s">
        <v>19</v>
      </c>
      <c r="D78" s="157"/>
      <c r="E78" s="8"/>
      <c r="F78" s="44">
        <f>D78*E78</f>
        <v>0</v>
      </c>
      <c r="G78" s="56"/>
      <c r="H78" s="57">
        <f>G78*E78</f>
        <v>0</v>
      </c>
      <c r="I78" s="59">
        <f>D78-G78</f>
        <v>0</v>
      </c>
      <c r="J78" s="57">
        <f t="shared" si="56"/>
        <v>0</v>
      </c>
      <c r="K78" s="61"/>
      <c r="L78" s="62">
        <f>K78*I78</f>
        <v>0</v>
      </c>
      <c r="M78" s="63">
        <f>H78-K78</f>
        <v>0</v>
      </c>
      <c r="N78" s="62">
        <f t="shared" si="57"/>
        <v>0</v>
      </c>
      <c r="O78" s="56"/>
      <c r="P78" s="57">
        <f>O78*M78</f>
        <v>0</v>
      </c>
      <c r="Q78" s="57">
        <f>L78-O78</f>
        <v>0</v>
      </c>
      <c r="R78" s="57">
        <f t="shared" si="58"/>
        <v>0</v>
      </c>
      <c r="S78" s="96">
        <v>0</v>
      </c>
      <c r="T78" s="97">
        <f>S78*E78</f>
        <v>0</v>
      </c>
      <c r="U78" s="97">
        <f t="shared" si="59"/>
        <v>0</v>
      </c>
      <c r="V78" s="97">
        <f t="shared" si="60"/>
        <v>0</v>
      </c>
      <c r="W78" s="111">
        <v>0</v>
      </c>
      <c r="X78" s="112">
        <f>W78*E78</f>
        <v>0</v>
      </c>
      <c r="Y78" s="112">
        <f t="shared" si="61"/>
        <v>0</v>
      </c>
      <c r="Z78" s="112">
        <f t="shared" si="62"/>
        <v>0</v>
      </c>
    </row>
    <row r="79" spans="1:26">
      <c r="A79" s="168"/>
      <c r="B79" s="168"/>
      <c r="C79" s="168"/>
      <c r="D79" s="168"/>
      <c r="E79" s="14" t="s">
        <v>20</v>
      </c>
      <c r="F79" s="45">
        <f>SUM(F75:F78)</f>
        <v>11112090</v>
      </c>
      <c r="G79" s="56"/>
      <c r="H79" s="57">
        <f>SUM(H75:H78)</f>
        <v>0</v>
      </c>
      <c r="I79" s="59"/>
      <c r="J79" s="57">
        <f>F79-H79</f>
        <v>11112090</v>
      </c>
      <c r="K79" s="61"/>
      <c r="L79" s="62">
        <f>SUM(L75:L78)</f>
        <v>16392829.18556973</v>
      </c>
      <c r="M79" s="63"/>
      <c r="N79" s="62">
        <f>J79-L79</f>
        <v>-5280739.1855697297</v>
      </c>
      <c r="O79" s="57"/>
      <c r="P79" s="57">
        <f>SUM(P75:P78)</f>
        <v>0</v>
      </c>
      <c r="Q79" s="57"/>
      <c r="R79" s="57">
        <f>N79-P79</f>
        <v>-5280739.1855697297</v>
      </c>
      <c r="S79" s="97"/>
      <c r="T79" s="97">
        <f>SUM(T65:T65)</f>
        <v>0</v>
      </c>
      <c r="U79" s="97"/>
      <c r="V79" s="97">
        <f>R79-T79</f>
        <v>-5280739.1855697297</v>
      </c>
      <c r="W79" s="112"/>
      <c r="X79" s="112">
        <f>SUM(X65:X65)</f>
        <v>0</v>
      </c>
      <c r="Y79" s="112"/>
      <c r="Z79" s="112">
        <f>V79-X79</f>
        <v>-5280739.1855697297</v>
      </c>
    </row>
    <row r="80" spans="1:26">
      <c r="A80" s="18"/>
      <c r="B80" s="171" t="s">
        <v>21</v>
      </c>
      <c r="C80" s="172"/>
      <c r="D80" s="173"/>
      <c r="E80" s="174">
        <f>+F14+F73+F39+F57+F50</f>
        <v>452722293.02000004</v>
      </c>
      <c r="F80" s="175"/>
      <c r="G80" s="174">
        <f>+H14+H73+H39+H57+H50</f>
        <v>94275601</v>
      </c>
      <c r="H80" s="175"/>
      <c r="I80" s="174">
        <f>+J14+J73+J39+J57+J50</f>
        <v>358446692.02000004</v>
      </c>
      <c r="J80" s="175"/>
      <c r="K80" s="192">
        <f>+L14+L73+L39+L57+L50+L79</f>
        <v>46619544.185569733</v>
      </c>
      <c r="L80" s="193"/>
      <c r="M80" s="192">
        <f>+N14+N73+N39+N57+N50</f>
        <v>328219977.02000004</v>
      </c>
      <c r="N80" s="193"/>
      <c r="O80" s="71"/>
      <c r="P80" s="70">
        <f>+P14+P73+P39+P50+P57</f>
        <v>60409499.499999993</v>
      </c>
      <c r="Q80" s="70"/>
      <c r="R80" s="4">
        <f>+R14+R73+R39</f>
        <v>94258355.340000004</v>
      </c>
      <c r="S80" s="100"/>
      <c r="T80" s="101">
        <f>+T14+T73+T39</f>
        <v>0</v>
      </c>
      <c r="U80" s="99"/>
      <c r="V80" s="99">
        <f>+V14+V73+V39</f>
        <v>94258355.340000004</v>
      </c>
      <c r="W80" s="108"/>
      <c r="X80" s="109">
        <f>+X14+X73+X39</f>
        <v>1160000</v>
      </c>
      <c r="Y80" s="106"/>
      <c r="Z80" s="106">
        <f>+Z14+Z73+Z39</f>
        <v>93098355.340000004</v>
      </c>
    </row>
    <row r="81" spans="1:32">
      <c r="A81" s="31"/>
      <c r="B81" s="171" t="s">
        <v>22</v>
      </c>
      <c r="C81" s="172"/>
      <c r="D81" s="173"/>
      <c r="E81" s="33">
        <v>0.08</v>
      </c>
      <c r="F81" s="34">
        <f>+E80*E81</f>
        <v>36217783.441600002</v>
      </c>
      <c r="G81" s="33">
        <v>0.08</v>
      </c>
      <c r="H81" s="34">
        <f>+G80*G81</f>
        <v>7542048.0800000001</v>
      </c>
      <c r="I81" s="33">
        <v>0.08</v>
      </c>
      <c r="J81" s="34">
        <f>+I80*I81</f>
        <v>28675735.361600004</v>
      </c>
      <c r="K81" s="33">
        <v>0.08</v>
      </c>
      <c r="L81" s="34">
        <f>+K80*K81</f>
        <v>3729563.5348455789</v>
      </c>
      <c r="M81" s="33">
        <v>0.08</v>
      </c>
      <c r="N81" s="64">
        <f>+M80*M81</f>
        <v>26257598.161600005</v>
      </c>
      <c r="O81" s="33">
        <v>0.08</v>
      </c>
      <c r="P81" s="57">
        <f>+P80*O81</f>
        <v>4832759.96</v>
      </c>
      <c r="Q81" s="33">
        <v>0.08</v>
      </c>
      <c r="R81" s="57">
        <f>+R80*Q81</f>
        <v>7540668.4272000007</v>
      </c>
      <c r="S81" s="33">
        <v>0.08</v>
      </c>
      <c r="T81" s="103">
        <f>+T80*S81</f>
        <v>0</v>
      </c>
      <c r="U81" s="33">
        <v>0.08</v>
      </c>
      <c r="V81" s="103">
        <f>+V80*U81</f>
        <v>7540668.4272000007</v>
      </c>
      <c r="W81" s="33">
        <v>0.08</v>
      </c>
      <c r="X81" s="113">
        <f>+X80*W81</f>
        <v>92800</v>
      </c>
      <c r="Y81" s="33">
        <v>0.08</v>
      </c>
      <c r="Z81" s="113">
        <f>+Z80*Y81</f>
        <v>7447868.4272000007</v>
      </c>
    </row>
    <row r="82" spans="1:32">
      <c r="A82" s="31"/>
      <c r="B82" s="171" t="s">
        <v>23</v>
      </c>
      <c r="C82" s="172"/>
      <c r="D82" s="173"/>
      <c r="E82" s="33">
        <v>7.0000000000000007E-2</v>
      </c>
      <c r="F82" s="34">
        <f>+E80*E82</f>
        <v>31690560.511400007</v>
      </c>
      <c r="G82" s="33">
        <v>7.0000000000000007E-2</v>
      </c>
      <c r="H82" s="34">
        <f>+G80*G82</f>
        <v>6599292.0700000003</v>
      </c>
      <c r="I82" s="33">
        <v>7.0000000000000007E-2</v>
      </c>
      <c r="J82" s="34">
        <f>+I80*I82</f>
        <v>25091268.441400006</v>
      </c>
      <c r="K82" s="33">
        <v>7.0000000000000007E-2</v>
      </c>
      <c r="L82" s="34">
        <f>+K80*K82</f>
        <v>3263368.0929898815</v>
      </c>
      <c r="M82" s="33">
        <v>7.0000000000000007E-2</v>
      </c>
      <c r="N82" s="64">
        <f>+M80*M82</f>
        <v>22975398.391400006</v>
      </c>
      <c r="O82" s="33">
        <v>7.0000000000000007E-2</v>
      </c>
      <c r="P82" s="57">
        <f>+P80*O82</f>
        <v>4228664.9649999999</v>
      </c>
      <c r="Q82" s="33">
        <v>7.0000000000000007E-2</v>
      </c>
      <c r="R82" s="57">
        <f>+R80*Q82</f>
        <v>6598084.8738000011</v>
      </c>
      <c r="S82" s="33">
        <v>7.0000000000000007E-2</v>
      </c>
      <c r="T82" s="103">
        <f>+T80*S82</f>
        <v>0</v>
      </c>
      <c r="U82" s="33">
        <v>7.0000000000000007E-2</v>
      </c>
      <c r="V82" s="103">
        <f>+V80*U82</f>
        <v>6598084.8738000011</v>
      </c>
      <c r="W82" s="33">
        <v>7.0000000000000007E-2</v>
      </c>
      <c r="X82" s="113">
        <f>+X80*W82</f>
        <v>81200.000000000015</v>
      </c>
      <c r="Y82" s="33">
        <v>7.0000000000000007E-2</v>
      </c>
      <c r="Z82" s="113">
        <f>+Z80*Y82</f>
        <v>6516884.8738000011</v>
      </c>
    </row>
    <row r="83" spans="1:32">
      <c r="A83" s="31"/>
      <c r="B83" s="171" t="s">
        <v>24</v>
      </c>
      <c r="C83" s="172"/>
      <c r="D83" s="173"/>
      <c r="E83" s="33">
        <v>0.05</v>
      </c>
      <c r="F83" s="34">
        <f>+E80*E83</f>
        <v>22636114.651000004</v>
      </c>
      <c r="G83" s="33">
        <v>0.05</v>
      </c>
      <c r="H83" s="34">
        <f>+G80*G83</f>
        <v>4713780.05</v>
      </c>
      <c r="I83" s="33">
        <v>0.05</v>
      </c>
      <c r="J83" s="34">
        <f>+I80*I83</f>
        <v>17922334.601000004</v>
      </c>
      <c r="K83" s="33">
        <v>0.05</v>
      </c>
      <c r="L83" s="34">
        <f>+K80*K83</f>
        <v>2330977.2092784867</v>
      </c>
      <c r="M83" s="33">
        <v>0.05</v>
      </c>
      <c r="N83" s="64">
        <f>+M80*M83</f>
        <v>16410998.851000004</v>
      </c>
      <c r="O83" s="33">
        <v>0.05</v>
      </c>
      <c r="P83" s="57">
        <f>+P80*O83</f>
        <v>3020474.9749999996</v>
      </c>
      <c r="Q83" s="33">
        <v>0.05</v>
      </c>
      <c r="R83" s="57">
        <f>+R80*Q83</f>
        <v>4712917.767</v>
      </c>
      <c r="S83" s="33">
        <v>0.05</v>
      </c>
      <c r="T83" s="103">
        <f>+T80*S83</f>
        <v>0</v>
      </c>
      <c r="U83" s="33">
        <v>0.05</v>
      </c>
      <c r="V83" s="103">
        <f>+V80*U83</f>
        <v>4712917.767</v>
      </c>
      <c r="W83" s="33">
        <v>0.05</v>
      </c>
      <c r="X83" s="113">
        <f>+X80*W83</f>
        <v>58000</v>
      </c>
      <c r="Y83" s="33">
        <v>0.05</v>
      </c>
      <c r="Z83" s="113">
        <f>+Z80*Y83</f>
        <v>4654917.767</v>
      </c>
    </row>
    <row r="84" spans="1:32">
      <c r="A84" s="31"/>
      <c r="B84" s="171" t="s">
        <v>25</v>
      </c>
      <c r="C84" s="172"/>
      <c r="D84" s="173"/>
      <c r="E84" s="35">
        <v>0.19</v>
      </c>
      <c r="F84" s="34">
        <f>+F83*E84</f>
        <v>4300861.7836900009</v>
      </c>
      <c r="G84" s="35">
        <v>0.19</v>
      </c>
      <c r="H84" s="34">
        <f>+H83*G84</f>
        <v>895618.2095</v>
      </c>
      <c r="I84" s="35">
        <v>0.19</v>
      </c>
      <c r="J84" s="34">
        <f>+J83*I84</f>
        <v>3405243.5741900005</v>
      </c>
      <c r="K84" s="35">
        <v>0.19</v>
      </c>
      <c r="L84" s="34">
        <f>+L83*K84</f>
        <v>442885.6697629125</v>
      </c>
      <c r="M84" s="35">
        <v>0.19</v>
      </c>
      <c r="N84" s="64">
        <f>+N83*M84</f>
        <v>3118089.7816900006</v>
      </c>
      <c r="O84" s="35">
        <v>0.19</v>
      </c>
      <c r="P84" s="57">
        <f>+P83*O84</f>
        <v>573890.24524999992</v>
      </c>
      <c r="Q84" s="35">
        <v>0.19</v>
      </c>
      <c r="R84" s="57">
        <f>+R83*Q84</f>
        <v>895454.37572999997</v>
      </c>
      <c r="S84" s="35">
        <v>0.19</v>
      </c>
      <c r="T84" s="103">
        <f>+T83*S84</f>
        <v>0</v>
      </c>
      <c r="U84" s="35">
        <v>0.19</v>
      </c>
      <c r="V84" s="103">
        <f>+V83*U84</f>
        <v>895454.37572999997</v>
      </c>
      <c r="W84" s="35">
        <v>0.19</v>
      </c>
      <c r="X84" s="113">
        <f>+X83*W84</f>
        <v>11020</v>
      </c>
      <c r="Y84" s="35">
        <v>0.19</v>
      </c>
      <c r="Z84" s="113">
        <f>+Z83*Y84</f>
        <v>884434.37572999997</v>
      </c>
    </row>
    <row r="85" spans="1:32">
      <c r="A85" s="179" t="s">
        <v>26</v>
      </c>
      <c r="B85" s="179"/>
      <c r="C85" s="179"/>
      <c r="D85" s="179"/>
      <c r="E85" s="180">
        <f>+E80+F81+F82+F83+F84</f>
        <v>547567613.40769005</v>
      </c>
      <c r="F85" s="180"/>
      <c r="G85" s="180">
        <f>+G80+H81+H82+H83+H84</f>
        <v>114026339.4095</v>
      </c>
      <c r="H85" s="180"/>
      <c r="I85" s="180">
        <f>+I80+J81+J82+J83+J84</f>
        <v>433541273.99819005</v>
      </c>
      <c r="J85" s="180"/>
      <c r="K85" s="194">
        <f>+K80+L81+L82+L83+L84</f>
        <v>56386338.692446589</v>
      </c>
      <c r="L85" s="194"/>
      <c r="M85" s="194">
        <f>+M80+N81+N82+N83+N84</f>
        <v>396982062.20569003</v>
      </c>
      <c r="N85" s="194"/>
      <c r="O85" s="71"/>
      <c r="P85" s="70">
        <f>+P80+P81+P82+P83+P84</f>
        <v>73065289.645249993</v>
      </c>
      <c r="R85" s="4">
        <f>+R80+R81+R82+R83+R84</f>
        <v>114005480.78373</v>
      </c>
      <c r="S85" s="102"/>
      <c r="T85" s="101">
        <f>+T80+T81+T82+T83+T84</f>
        <v>0</v>
      </c>
      <c r="V85" s="99">
        <f>+V80+V81+V82+V83+V84</f>
        <v>114005480.78373</v>
      </c>
      <c r="W85" s="102"/>
      <c r="X85" s="109">
        <f>+X80+X81+X82+X83+X84</f>
        <v>1403020</v>
      </c>
      <c r="Z85" s="106">
        <f>+Z80+Z81+Z82+Z83+Z84</f>
        <v>112602460.78373</v>
      </c>
    </row>
    <row r="86" spans="1:32">
      <c r="A86" s="36"/>
      <c r="B86" s="36"/>
      <c r="C86" s="36"/>
      <c r="D86" s="37"/>
      <c r="E86" s="38"/>
    </row>
    <row r="87" spans="1:32">
      <c r="A87" s="36"/>
      <c r="B87" s="36"/>
      <c r="C87" s="36"/>
      <c r="D87" s="37"/>
      <c r="E87" s="38"/>
      <c r="G87" s="163" t="s">
        <v>134</v>
      </c>
      <c r="H87" s="164"/>
      <c r="I87" s="47">
        <v>114026339.4095</v>
      </c>
      <c r="K87" s="163" t="s">
        <v>134</v>
      </c>
      <c r="L87" s="164"/>
      <c r="M87" s="47">
        <v>56386338.692446589</v>
      </c>
      <c r="O87" s="163" t="s">
        <v>135</v>
      </c>
      <c r="P87" s="164"/>
      <c r="Q87" s="47">
        <v>73065289.645249993</v>
      </c>
      <c r="S87" s="48" t="s">
        <v>131</v>
      </c>
      <c r="T87" s="160">
        <v>0.02</v>
      </c>
      <c r="U87" s="47">
        <f>(S79+T80+T81+T82)*T87</f>
        <v>0</v>
      </c>
      <c r="W87" s="48" t="s">
        <v>131</v>
      </c>
      <c r="X87" s="160">
        <v>0.02</v>
      </c>
      <c r="Y87" s="47">
        <f>(W79+X80+X81+X82)*X87</f>
        <v>26680</v>
      </c>
    </row>
    <row r="88" spans="1:32">
      <c r="A88" s="36"/>
      <c r="B88" s="36"/>
      <c r="C88" s="36"/>
      <c r="D88" s="37"/>
      <c r="E88" s="38"/>
      <c r="G88" s="48" t="s">
        <v>131</v>
      </c>
      <c r="H88" s="160">
        <v>0.02</v>
      </c>
      <c r="I88" s="47">
        <f>(G80+H81+H82+H83)*H88</f>
        <v>2262614.4240000001</v>
      </c>
      <c r="K88" s="48" t="s">
        <v>131</v>
      </c>
      <c r="L88" s="160">
        <v>0.02</v>
      </c>
      <c r="M88" s="47">
        <f>(K80+L81+L82+L83)*L88</f>
        <v>1118869.0604536736</v>
      </c>
      <c r="O88" s="48" t="s">
        <v>131</v>
      </c>
      <c r="P88" s="160">
        <v>0.02</v>
      </c>
      <c r="Q88" s="47">
        <f>(P80+P81+P82+P83)*P88</f>
        <v>1449827.9879999999</v>
      </c>
      <c r="S88" s="48" t="s">
        <v>131</v>
      </c>
      <c r="T88" s="160">
        <v>0.02</v>
      </c>
      <c r="U88" s="47">
        <f>(S80+T81+T82+T83)*T88</f>
        <v>0</v>
      </c>
      <c r="W88" s="48" t="s">
        <v>131</v>
      </c>
      <c r="X88" s="160">
        <v>0.02</v>
      </c>
      <c r="Y88" s="47">
        <f>(W80+X81+X82+X83)*X88</f>
        <v>4640</v>
      </c>
    </row>
    <row r="89" spans="1:32">
      <c r="A89" s="36"/>
      <c r="B89" s="36"/>
      <c r="C89" s="36"/>
      <c r="D89" s="37"/>
      <c r="E89" s="38"/>
      <c r="G89" s="48" t="s">
        <v>132</v>
      </c>
      <c r="H89" s="161">
        <v>0.1</v>
      </c>
      <c r="I89" s="47">
        <f>G85*H89</f>
        <v>11402633.940950001</v>
      </c>
      <c r="K89" s="48" t="s">
        <v>132</v>
      </c>
      <c r="L89" s="161">
        <v>0.1</v>
      </c>
      <c r="M89" s="47">
        <f>K85*L89</f>
        <v>5638633.8692446593</v>
      </c>
      <c r="O89" s="48" t="s">
        <v>132</v>
      </c>
      <c r="P89" s="161">
        <v>0.1</v>
      </c>
      <c r="Q89" s="47">
        <f>Q87*P89</f>
        <v>7306528.9645249993</v>
      </c>
      <c r="S89" s="48" t="s">
        <v>132</v>
      </c>
      <c r="T89" s="161">
        <v>0.1</v>
      </c>
      <c r="U89" s="47">
        <f>S85*T89</f>
        <v>0</v>
      </c>
      <c r="W89" s="48" t="s">
        <v>132</v>
      </c>
      <c r="X89" s="161">
        <v>0.1</v>
      </c>
      <c r="Y89" s="47">
        <f>W85*X89</f>
        <v>0</v>
      </c>
    </row>
    <row r="90" spans="1:32">
      <c r="A90" s="36"/>
      <c r="B90" s="36"/>
      <c r="C90" s="36"/>
      <c r="D90" s="37"/>
      <c r="E90" s="38"/>
      <c r="G90" s="48" t="s">
        <v>133</v>
      </c>
      <c r="H90" s="161">
        <v>0.2</v>
      </c>
      <c r="I90" s="47">
        <f>G85*H90</f>
        <v>22805267.881900001</v>
      </c>
      <c r="K90" s="48" t="s">
        <v>133</v>
      </c>
      <c r="L90" s="161">
        <v>0.2</v>
      </c>
      <c r="M90" s="47">
        <f>K85*L90</f>
        <v>11277267.738489319</v>
      </c>
      <c r="O90" s="48" t="s">
        <v>133</v>
      </c>
      <c r="P90" s="161">
        <v>0.2</v>
      </c>
      <c r="Q90" s="47">
        <f>Q87*P90</f>
        <v>14613057.929049999</v>
      </c>
      <c r="S90" s="48" t="s">
        <v>133</v>
      </c>
      <c r="T90" s="161">
        <v>0.2</v>
      </c>
      <c r="U90" s="47">
        <f>S85*T90</f>
        <v>0</v>
      </c>
      <c r="W90" s="48" t="s">
        <v>133</v>
      </c>
      <c r="X90" s="161">
        <v>0.2</v>
      </c>
      <c r="Y90" s="47">
        <f>W85*X90</f>
        <v>0</v>
      </c>
      <c r="AD90" s="47"/>
    </row>
    <row r="91" spans="1:32" ht="21">
      <c r="A91" s="36"/>
      <c r="G91" s="53" t="s">
        <v>27</v>
      </c>
      <c r="H91" s="49"/>
      <c r="I91" s="50">
        <f>G85-I89-I88-I90</f>
        <v>77555823.162650004</v>
      </c>
      <c r="K91" s="53" t="s">
        <v>27</v>
      </c>
      <c r="L91" s="49"/>
      <c r="M91" s="50">
        <f>K85-M89-M88-M90</f>
        <v>38351568.024258941</v>
      </c>
      <c r="O91" s="53" t="s">
        <v>27</v>
      </c>
      <c r="P91" s="49"/>
      <c r="Q91" s="50">
        <f>Q87-Q89-Q88-Q90</f>
        <v>49695874.763674997</v>
      </c>
      <c r="S91" s="53" t="s">
        <v>27</v>
      </c>
      <c r="T91" s="49"/>
      <c r="U91" s="50">
        <f>S85-U89-U88-U90</f>
        <v>0</v>
      </c>
      <c r="W91" s="53" t="s">
        <v>27</v>
      </c>
      <c r="X91" s="49"/>
      <c r="Y91" s="50">
        <f>W85-Y89-Y88-Y90</f>
        <v>-4640</v>
      </c>
    </row>
    <row r="92" spans="1:32">
      <c r="A92" s="36"/>
      <c r="AC92" s="40"/>
      <c r="AF92" s="110"/>
    </row>
    <row r="93" spans="1:32">
      <c r="A93" s="54" t="s">
        <v>35</v>
      </c>
      <c r="B93" s="36"/>
      <c r="C93" s="117" t="s">
        <v>33</v>
      </c>
      <c r="D93" s="38"/>
      <c r="E93" s="38"/>
      <c r="AC93" s="40"/>
      <c r="AF93" s="110"/>
    </row>
    <row r="94" spans="1:32">
      <c r="A94" s="36" t="s">
        <v>36</v>
      </c>
      <c r="B94" s="36"/>
      <c r="C94" s="116" t="s">
        <v>28</v>
      </c>
      <c r="D94" s="117"/>
      <c r="E94" s="117"/>
      <c r="J94" s="91">
        <f>I91+M91-53000000</f>
        <v>62907391.186908945</v>
      </c>
      <c r="AC94" s="40"/>
      <c r="AF94" s="110"/>
    </row>
    <row r="95" spans="1:32">
      <c r="A95" s="36" t="s">
        <v>34</v>
      </c>
      <c r="B95" s="36"/>
      <c r="C95" s="36" t="s">
        <v>29</v>
      </c>
      <c r="D95" s="116"/>
      <c r="E95" s="116"/>
      <c r="AC95" s="40"/>
    </row>
    <row r="96" spans="1:32">
      <c r="A96" s="36"/>
      <c r="B96" s="36"/>
      <c r="C96" s="38"/>
      <c r="D96" s="38"/>
      <c r="E96" s="38"/>
    </row>
    <row r="97" spans="1:28">
      <c r="A97" s="36"/>
      <c r="B97" s="36"/>
      <c r="C97" s="36"/>
      <c r="D97" s="37"/>
      <c r="E97" s="38"/>
      <c r="F97" s="38"/>
      <c r="G97" s="38"/>
      <c r="AB97" s="115"/>
    </row>
    <row r="98" spans="1:28">
      <c r="A98" s="36"/>
      <c r="B98" s="36"/>
      <c r="C98" s="36"/>
      <c r="D98" s="37"/>
      <c r="E98" s="38"/>
      <c r="F98" s="38"/>
      <c r="AB98" s="91"/>
    </row>
    <row r="99" spans="1:28">
      <c r="A99" s="36"/>
      <c r="B99" s="36"/>
      <c r="C99" s="36"/>
      <c r="D99" s="37"/>
      <c r="E99" s="38"/>
      <c r="F99" s="38"/>
    </row>
    <row r="100" spans="1:28">
      <c r="A100" s="36"/>
      <c r="B100" s="36"/>
      <c r="C100" s="36"/>
      <c r="D100" s="36"/>
      <c r="E100" s="36"/>
      <c r="F100" s="38"/>
    </row>
    <row r="101" spans="1:28">
      <c r="A101" s="36"/>
      <c r="B101" s="36"/>
      <c r="C101" s="36"/>
      <c r="D101" s="36"/>
      <c r="E101" s="36"/>
      <c r="F101" s="36"/>
    </row>
    <row r="102" spans="1:28">
      <c r="F102" s="36"/>
    </row>
    <row r="111" spans="1:28">
      <c r="A111" s="39"/>
      <c r="B111" s="40"/>
    </row>
    <row r="112" spans="1:28">
      <c r="A112" s="39"/>
      <c r="B112" s="40"/>
    </row>
    <row r="113" spans="1:2">
      <c r="A113" s="39"/>
      <c r="B113" s="40"/>
    </row>
  </sheetData>
  <mergeCells count="38">
    <mergeCell ref="O9:R9"/>
    <mergeCell ref="C7:D7"/>
    <mergeCell ref="E7:F7"/>
    <mergeCell ref="A14:D14"/>
    <mergeCell ref="B15:E15"/>
    <mergeCell ref="A39:D39"/>
    <mergeCell ref="C10:E10"/>
    <mergeCell ref="B58:F58"/>
    <mergeCell ref="W9:Z9"/>
    <mergeCell ref="A73:D73"/>
    <mergeCell ref="B80:D80"/>
    <mergeCell ref="E80:F80"/>
    <mergeCell ref="B40:E40"/>
    <mergeCell ref="A50:D50"/>
    <mergeCell ref="A57:D57"/>
    <mergeCell ref="G9:J9"/>
    <mergeCell ref="G80:H80"/>
    <mergeCell ref="I80:J80"/>
    <mergeCell ref="B51:F51"/>
    <mergeCell ref="S9:V9"/>
    <mergeCell ref="K9:N9"/>
    <mergeCell ref="K80:L80"/>
    <mergeCell ref="M80:N80"/>
    <mergeCell ref="K87:L87"/>
    <mergeCell ref="G87:H87"/>
    <mergeCell ref="O87:P87"/>
    <mergeCell ref="B74:F74"/>
    <mergeCell ref="A79:D79"/>
    <mergeCell ref="B81:D81"/>
    <mergeCell ref="A85:D85"/>
    <mergeCell ref="E85:F85"/>
    <mergeCell ref="B83:D83"/>
    <mergeCell ref="B84:D84"/>
    <mergeCell ref="G85:H85"/>
    <mergeCell ref="I85:J85"/>
    <mergeCell ref="B82:D82"/>
    <mergeCell ref="K85:L85"/>
    <mergeCell ref="M85:N85"/>
  </mergeCells>
  <phoneticPr fontId="14" type="noConversion"/>
  <pageMargins left="0.7" right="0.7" top="0.75" bottom="0.75" header="0.3" footer="0.3"/>
  <pageSetup scale="2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F99F-F61D-7542-835F-19F375F3965B}">
  <sheetPr>
    <pageSetUpPr fitToPage="1"/>
  </sheetPr>
  <dimension ref="A1:J31"/>
  <sheetViews>
    <sheetView topLeftCell="A12" zoomScale="84" zoomScaleNormal="83" workbookViewId="0">
      <selection activeCell="G27" sqref="G27:H27"/>
    </sheetView>
  </sheetViews>
  <sheetFormatPr baseColWidth="10" defaultColWidth="11" defaultRowHeight="15.6"/>
  <cols>
    <col min="2" max="2" width="59" customWidth="1"/>
    <col min="5" max="5" width="0.19921875" customWidth="1"/>
    <col min="6" max="6" width="12.69921875" style="85" customWidth="1"/>
    <col min="7" max="7" width="14.19921875" bestFit="1" customWidth="1"/>
    <col min="8" max="9" width="15" bestFit="1" customWidth="1"/>
    <col min="10" max="10" width="16.796875" bestFit="1" customWidth="1"/>
  </cols>
  <sheetData>
    <row r="1" spans="1:10" ht="16.05" customHeight="1">
      <c r="A1" s="1"/>
      <c r="B1" s="52"/>
      <c r="C1" s="72"/>
      <c r="D1" s="52"/>
      <c r="E1" s="52"/>
      <c r="F1" s="76"/>
      <c r="G1" s="72"/>
      <c r="H1" s="87"/>
      <c r="I1" s="197"/>
      <c r="J1" s="195"/>
    </row>
    <row r="2" spans="1:10" ht="16.2" thickBot="1">
      <c r="A2" s="3"/>
      <c r="B2" s="51"/>
      <c r="C2" s="51"/>
      <c r="D2" s="51"/>
      <c r="E2" s="51"/>
      <c r="F2" s="77"/>
      <c r="G2" s="51"/>
      <c r="H2" s="42"/>
      <c r="I2" s="198"/>
      <c r="J2" s="196"/>
    </row>
    <row r="3" spans="1:10">
      <c r="A3" s="5"/>
      <c r="B3" s="6"/>
      <c r="C3" s="5"/>
      <c r="D3" s="7"/>
      <c r="E3" s="8"/>
      <c r="F3" s="73"/>
      <c r="G3" s="8"/>
      <c r="H3" s="8"/>
      <c r="I3" s="89"/>
      <c r="J3" s="86"/>
    </row>
    <row r="4" spans="1:10">
      <c r="A4" s="5"/>
      <c r="B4" s="6"/>
      <c r="C4" s="5"/>
      <c r="D4" s="7"/>
      <c r="E4" s="8"/>
      <c r="F4" s="73"/>
      <c r="G4" s="8"/>
      <c r="H4" s="8"/>
      <c r="I4" s="89"/>
      <c r="J4" s="86"/>
    </row>
    <row r="5" spans="1:10">
      <c r="A5" s="5"/>
      <c r="B5" s="6"/>
      <c r="C5" s="5"/>
      <c r="D5" s="7"/>
      <c r="E5" s="8"/>
      <c r="F5" s="73"/>
      <c r="G5" s="8"/>
      <c r="H5" s="8"/>
      <c r="I5" s="89"/>
      <c r="J5" s="86"/>
    </row>
    <row r="6" spans="1:10">
      <c r="A6" s="5"/>
      <c r="B6" s="9"/>
      <c r="C6" s="5"/>
      <c r="D6" s="7"/>
      <c r="E6" s="10"/>
      <c r="F6" s="74"/>
      <c r="G6" s="8"/>
      <c r="H6" s="8"/>
      <c r="I6" s="89"/>
      <c r="J6" s="86"/>
    </row>
    <row r="7" spans="1:10">
      <c r="A7" s="5"/>
      <c r="B7" s="11"/>
      <c r="C7" s="5"/>
      <c r="D7" s="7"/>
      <c r="E7" s="12"/>
      <c r="F7" s="7"/>
      <c r="G7" s="8"/>
      <c r="H7" s="8"/>
      <c r="I7" s="90"/>
      <c r="J7" s="86"/>
    </row>
    <row r="8" spans="1:10">
      <c r="A8" s="5"/>
      <c r="B8" s="11"/>
      <c r="C8" s="5"/>
      <c r="D8" s="7"/>
      <c r="E8" s="10"/>
      <c r="F8" s="7"/>
      <c r="G8" s="8"/>
      <c r="H8" s="13"/>
      <c r="I8" s="90"/>
      <c r="J8" s="86"/>
    </row>
    <row r="9" spans="1:10">
      <c r="A9" s="5"/>
      <c r="B9" s="11"/>
      <c r="C9" s="5"/>
      <c r="D9" s="7"/>
      <c r="E9" s="10"/>
      <c r="F9" s="7"/>
      <c r="G9" s="8"/>
      <c r="H9" s="13"/>
      <c r="I9" s="90"/>
      <c r="J9" s="86"/>
    </row>
    <row r="10" spans="1:10">
      <c r="A10" s="5"/>
      <c r="B10" s="11"/>
      <c r="C10" s="5"/>
      <c r="D10" s="7"/>
      <c r="E10" s="10"/>
      <c r="F10" s="7"/>
      <c r="G10" s="8"/>
      <c r="H10" s="13"/>
      <c r="I10" s="89"/>
      <c r="J10" s="86"/>
    </row>
    <row r="11" spans="1:10">
      <c r="A11" s="68"/>
      <c r="B11" s="68"/>
      <c r="C11" s="68"/>
      <c r="D11" s="68"/>
      <c r="E11" s="68"/>
      <c r="F11" s="75"/>
      <c r="G11" s="14"/>
      <c r="H11" s="14"/>
      <c r="I11" s="89"/>
    </row>
    <row r="12" spans="1:10">
      <c r="A12" s="3"/>
      <c r="B12" s="67"/>
      <c r="C12" s="67"/>
      <c r="D12" s="67"/>
      <c r="E12" s="67"/>
      <c r="F12" s="78"/>
      <c r="G12" s="67"/>
      <c r="H12" s="4"/>
      <c r="I12" s="89"/>
    </row>
    <row r="13" spans="1:10">
      <c r="A13" s="5"/>
      <c r="B13" s="15"/>
      <c r="C13" s="5"/>
      <c r="D13" s="16"/>
      <c r="E13" s="10"/>
      <c r="F13" s="74"/>
      <c r="G13" s="8"/>
      <c r="H13" s="13"/>
      <c r="I13" s="89"/>
      <c r="J13" s="86"/>
    </row>
    <row r="14" spans="1:10">
      <c r="A14" s="5"/>
      <c r="B14" s="9"/>
      <c r="C14" s="5"/>
      <c r="D14" s="7"/>
      <c r="E14" s="10"/>
      <c r="F14" s="74"/>
      <c r="G14" s="8"/>
      <c r="H14" s="13"/>
      <c r="I14" s="89"/>
      <c r="J14" s="86"/>
    </row>
    <row r="15" spans="1:10">
      <c r="A15" s="5"/>
      <c r="B15" s="11"/>
      <c r="C15" s="5"/>
      <c r="D15" s="7"/>
      <c r="E15" s="10"/>
      <c r="F15" s="74"/>
      <c r="G15" s="8"/>
      <c r="H15" s="13"/>
      <c r="I15" s="89"/>
      <c r="J15" s="86"/>
    </row>
    <row r="16" spans="1:10">
      <c r="A16" s="68"/>
      <c r="B16" s="68"/>
      <c r="C16" s="68"/>
      <c r="D16" s="68"/>
      <c r="E16" s="68"/>
      <c r="F16" s="75"/>
      <c r="G16" s="14"/>
      <c r="H16" s="14"/>
      <c r="I16" s="89"/>
    </row>
    <row r="17" spans="1:10">
      <c r="A17" s="3"/>
      <c r="B17" s="67"/>
      <c r="C17" s="67"/>
      <c r="D17" s="67"/>
      <c r="E17" s="67"/>
      <c r="F17" s="78"/>
      <c r="G17" s="67"/>
      <c r="H17" s="4"/>
      <c r="I17" s="89"/>
    </row>
    <row r="18" spans="1:10">
      <c r="A18" s="17"/>
      <c r="B18" s="18"/>
      <c r="C18" s="19"/>
      <c r="D18" s="24"/>
      <c r="E18" s="20"/>
      <c r="F18" s="79"/>
      <c r="G18" s="21"/>
      <c r="H18" s="22"/>
      <c r="I18" s="89"/>
      <c r="J18" s="86"/>
    </row>
    <row r="19" spans="1:10">
      <c r="A19" s="17"/>
      <c r="B19" s="19"/>
      <c r="C19" s="23"/>
      <c r="D19" s="24"/>
      <c r="E19" s="25"/>
      <c r="F19" s="79"/>
      <c r="G19" s="8"/>
      <c r="H19" s="13"/>
      <c r="I19" s="89"/>
      <c r="J19" s="86"/>
    </row>
    <row r="20" spans="1:10">
      <c r="A20" s="17"/>
      <c r="B20" s="26"/>
      <c r="C20" s="24"/>
      <c r="D20" s="27"/>
      <c r="E20" s="28"/>
      <c r="F20" s="80"/>
      <c r="G20" s="8"/>
      <c r="H20" s="29"/>
      <c r="I20" s="89"/>
      <c r="J20" s="86"/>
    </row>
    <row r="21" spans="1:10">
      <c r="A21" s="168"/>
      <c r="B21" s="168"/>
      <c r="C21" s="168"/>
      <c r="D21" s="168"/>
      <c r="E21" s="168"/>
      <c r="F21" s="75"/>
      <c r="G21" s="14"/>
      <c r="H21" s="14"/>
    </row>
    <row r="22" spans="1:10">
      <c r="A22" s="18"/>
      <c r="B22" s="179"/>
      <c r="C22" s="179"/>
      <c r="D22" s="179"/>
      <c r="E22" s="30"/>
      <c r="F22" s="81"/>
      <c r="G22" s="199"/>
      <c r="H22" s="199"/>
      <c r="I22" s="93"/>
      <c r="J22" s="91"/>
    </row>
    <row r="23" spans="1:10">
      <c r="A23" s="31"/>
      <c r="B23" s="179"/>
      <c r="C23" s="179"/>
      <c r="D23" s="179"/>
      <c r="E23" s="32"/>
      <c r="F23" s="82"/>
      <c r="G23" s="33"/>
      <c r="H23" s="34"/>
      <c r="J23" s="91"/>
    </row>
    <row r="24" spans="1:10">
      <c r="A24" s="31"/>
      <c r="B24" s="179"/>
      <c r="C24" s="179"/>
      <c r="D24" s="179"/>
      <c r="E24" s="32"/>
      <c r="F24" s="82"/>
      <c r="G24" s="33"/>
      <c r="H24" s="34"/>
      <c r="J24" s="91"/>
    </row>
    <row r="25" spans="1:10">
      <c r="A25" s="31"/>
      <c r="B25" s="179"/>
      <c r="C25" s="179"/>
      <c r="D25" s="179"/>
      <c r="E25" s="32"/>
      <c r="F25" s="82"/>
      <c r="G25" s="33"/>
      <c r="H25" s="34"/>
      <c r="J25" s="91"/>
    </row>
    <row r="26" spans="1:10">
      <c r="A26" s="31"/>
      <c r="B26" s="179"/>
      <c r="C26" s="179"/>
      <c r="D26" s="179"/>
      <c r="E26" s="32"/>
      <c r="F26" s="82"/>
      <c r="G26" s="35"/>
      <c r="H26" s="34"/>
      <c r="J26" s="91"/>
    </row>
    <row r="27" spans="1:10">
      <c r="A27" s="179"/>
      <c r="B27" s="179"/>
      <c r="C27" s="179"/>
      <c r="D27" s="179"/>
      <c r="E27" s="30"/>
      <c r="F27" s="81"/>
      <c r="G27" s="180"/>
      <c r="H27" s="180"/>
      <c r="J27" s="92"/>
    </row>
    <row r="28" spans="1:10">
      <c r="A28" s="36"/>
      <c r="B28" s="36"/>
      <c r="C28" s="36"/>
      <c r="D28" s="37"/>
      <c r="E28" s="38"/>
      <c r="F28" s="83"/>
      <c r="G28" s="38"/>
      <c r="H28" s="38"/>
      <c r="I28" s="94"/>
      <c r="J28" s="88"/>
    </row>
    <row r="29" spans="1:10">
      <c r="A29" s="36"/>
      <c r="B29" s="36"/>
      <c r="C29" s="36"/>
      <c r="D29" s="36"/>
      <c r="E29" s="36"/>
      <c r="F29" s="84"/>
      <c r="G29" s="36"/>
      <c r="H29" s="36"/>
    </row>
    <row r="30" spans="1:10">
      <c r="A30" s="36"/>
      <c r="B30" s="36"/>
      <c r="C30" s="36"/>
      <c r="D30" s="36"/>
      <c r="E30" s="36"/>
      <c r="F30" s="84"/>
      <c r="G30" s="36"/>
      <c r="H30" s="36"/>
    </row>
    <row r="31" spans="1:10">
      <c r="A31" s="36"/>
      <c r="B31" s="36"/>
      <c r="C31" s="36"/>
      <c r="D31" s="36"/>
      <c r="E31" s="36"/>
      <c r="F31" s="84"/>
      <c r="G31" s="36"/>
      <c r="H31" s="36"/>
    </row>
  </sheetData>
  <mergeCells count="11">
    <mergeCell ref="J1:J2"/>
    <mergeCell ref="I1:I2"/>
    <mergeCell ref="A21:E21"/>
    <mergeCell ref="B22:D22"/>
    <mergeCell ref="G22:H22"/>
    <mergeCell ref="G27:H27"/>
    <mergeCell ref="B23:D23"/>
    <mergeCell ref="B24:D24"/>
    <mergeCell ref="B25:D25"/>
    <mergeCell ref="B26:D26"/>
    <mergeCell ref="A27:D27"/>
  </mergeCells>
  <pageMargins left="0.7" right="0.7" top="0.75" bottom="0.75" header="0.3" footer="0.3"/>
  <pageSetup scale="47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7E31-4944-214B-9A28-46E25810BE48}">
  <dimension ref="C27"/>
  <sheetViews>
    <sheetView zoomScale="50" zoomScaleNormal="50" workbookViewId="0">
      <selection activeCell="B7" sqref="B7"/>
    </sheetView>
  </sheetViews>
  <sheetFormatPr baseColWidth="10" defaultColWidth="11" defaultRowHeight="15.6"/>
  <cols>
    <col min="1" max="1" width="21.19921875" bestFit="1" customWidth="1"/>
    <col min="4" max="4" width="13.69921875" bestFit="1" customWidth="1"/>
    <col min="6" max="6" width="19.69921875" bestFit="1" customWidth="1"/>
  </cols>
  <sheetData>
    <row r="27" spans="3:3">
      <c r="C27" s="114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cortes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MSSI</cp:lastModifiedBy>
  <cp:revision/>
  <cp:lastPrinted>2024-11-06T20:35:16Z</cp:lastPrinted>
  <dcterms:created xsi:type="dcterms:W3CDTF">2023-10-30T02:10:27Z</dcterms:created>
  <dcterms:modified xsi:type="dcterms:W3CDTF">2024-11-06T22:14:25Z</dcterms:modified>
  <cp:category/>
  <cp:contentStatus/>
</cp:coreProperties>
</file>