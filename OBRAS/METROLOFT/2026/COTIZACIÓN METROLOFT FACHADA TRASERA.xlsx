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654283CD-851B-8C4D-9D59-641A3003AE45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KY-METROLOFT" sheetId="2" r:id="rId1"/>
  </sheets>
  <definedNames>
    <definedName name="_xlnm.Print_Area" localSheetId="0">'SKY-METROLOFT'!$A$1:$G$21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E8" i="2"/>
  <c r="G12" i="2" l="1"/>
  <c r="G13" i="2"/>
  <c r="G11" i="2"/>
  <c r="G8" i="2"/>
  <c r="G10" i="2"/>
  <c r="G14" i="2" l="1"/>
  <c r="G7" i="2"/>
  <c r="G6" i="2" s="1"/>
  <c r="G15" i="2" l="1"/>
  <c r="G16" i="2" l="1"/>
  <c r="G1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<sst xmlns="http://schemas.openxmlformats.org/spreadsheetml/2006/main" count="38" uniqueCount="32">
  <si>
    <t>CAPT</t>
  </si>
  <si>
    <t>ITEMS</t>
  </si>
  <si>
    <t>DESCRIPCION</t>
  </si>
  <si>
    <t>TOTALES 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</si>
  <si>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</si>
  <si>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</si>
  <si>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</si>
  <si>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</si>
  <si>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</si>
  <si>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</si>
  <si>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</si>
  <si>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</si>
  <si>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</si>
  <si>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</si>
  <si>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</si>
  <si>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</si>
  <si>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 xml:space="preserve">Admin@fresh-house.co
Rensomontoya@fresh-house.co                                                                                                                 </t>
  </si>
  <si>
    <t xml:space="preserve">  FECHA: 04/03/2026</t>
  </si>
  <si>
    <t xml:space="preserve">  VALIDO HASTA: 04/06/2026</t>
  </si>
  <si>
    <t>COTIZACION OBRA - RESTAURACIÓN FACHADA TRASERA APARTASUITES METROLOFT</t>
  </si>
  <si>
    <t>RESTAURACIÓN EN FACHADA TRASERA</t>
  </si>
  <si>
    <t>Lavado a presión con hidrolavadora 1800PSI e hipoclorito al 13% en area de fachada trasera</t>
  </si>
  <si>
    <t>Suministro y aplicación de resanes en areas con material suelto o que ha perdido su vida util</t>
  </si>
  <si>
    <t>Suministro y aplicación de Soudal Multibond en area perimetral de ventanas expuestas</t>
  </si>
  <si>
    <t>ML</t>
  </si>
  <si>
    <t>Suministro y aplicación de mortero en area de antepechos</t>
  </si>
  <si>
    <t>Suministro e instalación de Superboard 6mm en area de cielos de pasillos, incluye laminas, estructura y accesorios. Suministro y aplicación de vinilo Interiores tipo Viniltex Pintuco</t>
  </si>
  <si>
    <t>M2</t>
  </si>
  <si>
    <t>Suministro y aplicación de Siliconite 7 de Pintuco en area de ladrillos, siguiendo ficha tecnica del fabricante</t>
  </si>
  <si>
    <t>Suministro y aplicación de Koraza pro 550 de Pintuco siguiendo ficha tecnica del fabricante</t>
  </si>
  <si>
    <t>Suministro y aplicación de Esmalte tipo Pintulux 3 en 1 de Pintuco en area de barandas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</si>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</sst>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zoomScaleNormal="60" workbookViewId="0">
      <selection activeCell="G17" sqref="A1:G17"/>
    </sheetView>
  </sheetViews>
  <sheetFormatPr baseColWidth="10" defaultColWidth="12.33203125" defaultRowHeight="14" x14ac:dyDescent="0.2"/>
  <cols>
    <col min="1" max="1" width="8.5" style="2" customWidth="1"/>
    <col min="2" max="2" width="10.5" style="1" customWidth="1"/>
    <col min="3" max="3" width="77.6640625" style="1" customWidth="1"/>
    <col min="4" max="4" width="20.1640625" style="1" bestFit="1" customWidth="1"/>
    <col min="5" max="5" width="19" style="1" customWidth="1"/>
    <col min="6" max="6" width="18.33203125" style="1" customWidth="1"/>
    <col min="7" max="7" width="24.5" style="1" bestFit="1" customWidth="1"/>
    <col min="8" max="8" width="25.5" style="1" customWidth="1"/>
    <col min="9" max="16384" width="12.33203125" style="1"/>
  </cols>
  <sheetData>
    <row r="1" spans="1:8" ht="22.5" customHeight="1" x14ac:dyDescent="0.2">
      <c r="A1" s="32" t="s">
        <v>19</v>
      </c>
      <c r="B1" s="33"/>
      <c r="C1" s="33"/>
      <c r="D1" s="33"/>
      <c r="E1" s="33"/>
      <c r="F1" s="33"/>
      <c r="G1" s="34"/>
    </row>
    <row r="2" spans="1:8" ht="48.75" customHeight="1" x14ac:dyDescent="0.2">
      <c r="A2" s="35" t="s">
        <v>5</v>
      </c>
      <c r="B2" s="36"/>
      <c r="C2" s="3" t="s">
        <v>6</v>
      </c>
      <c r="D2" s="3" t="s">
        <v>7</v>
      </c>
      <c r="E2" s="3" t="s">
        <v>8</v>
      </c>
      <c r="F2" s="37" t="e" vm="1">
        <v>#VALUE!</v>
      </c>
      <c r="G2" s="38"/>
    </row>
    <row r="3" spans="1:8" ht="47.25" customHeight="1" x14ac:dyDescent="0.2">
      <c r="A3" s="35" t="s">
        <v>9</v>
      </c>
      <c r="B3" s="36"/>
      <c r="C3" s="3" t="s">
        <v>16</v>
      </c>
      <c r="D3" s="35" t="s">
        <v>17</v>
      </c>
      <c r="E3" s="36"/>
      <c r="F3" s="39"/>
      <c r="G3" s="40"/>
      <c r="H3"/>
    </row>
    <row r="4" spans="1:8" ht="34" customHeight="1" x14ac:dyDescent="0.2">
      <c r="A4" s="35" t="s">
        <v>10</v>
      </c>
      <c r="B4" s="36"/>
      <c r="C4" s="3" t="s">
        <v>11</v>
      </c>
      <c r="D4" s="35" t="s">
        <v>18</v>
      </c>
      <c r="E4" s="36"/>
      <c r="F4" s="41"/>
      <c r="G4" s="42"/>
      <c r="H4"/>
    </row>
    <row r="5" spans="1:8" ht="34" x14ac:dyDescent="0.2">
      <c r="A5" s="13" t="s">
        <v>0</v>
      </c>
      <c r="B5" s="13" t="s">
        <v>1</v>
      </c>
      <c r="C5" s="13" t="s">
        <v>2</v>
      </c>
      <c r="D5" s="13" t="s">
        <v>12</v>
      </c>
      <c r="E5" s="13" t="s">
        <v>13</v>
      </c>
      <c r="F5" s="13" t="s">
        <v>14</v>
      </c>
      <c r="G5" s="13" t="s">
        <v>15</v>
      </c>
      <c r="H5"/>
    </row>
    <row r="6" spans="1:8" ht="23.25" customHeight="1" x14ac:dyDescent="0.2">
      <c r="A6" s="17">
        <v>1</v>
      </c>
      <c r="B6" s="18"/>
      <c r="C6" s="22" t="s">
        <v>20</v>
      </c>
      <c r="D6" s="14"/>
      <c r="E6" s="15"/>
      <c r="F6" s="14"/>
      <c r="G6" s="4">
        <f>SUM(G7:G14)</f>
        <v>62330768.799999997</v>
      </c>
    </row>
    <row r="7" spans="1:8" ht="40" customHeight="1" x14ac:dyDescent="0.2">
      <c r="A7" s="19"/>
      <c r="B7" s="20">
        <v>1.1000000000000001</v>
      </c>
      <c r="C7" s="23" t="s">
        <v>21</v>
      </c>
      <c r="D7" s="21" t="s">
        <v>27</v>
      </c>
      <c r="E7" s="16">
        <v>1104</v>
      </c>
      <c r="F7" s="6">
        <v>4440</v>
      </c>
      <c r="G7" s="5">
        <f t="shared" ref="G7:G13" si="0">F7*E7</f>
        <v>4901760</v>
      </c>
    </row>
    <row r="8" spans="1:8" ht="40" customHeight="1" x14ac:dyDescent="0.2">
      <c r="A8" s="19"/>
      <c r="B8" s="20">
        <v>1.1000000000000001</v>
      </c>
      <c r="C8" s="23" t="s">
        <v>22</v>
      </c>
      <c r="D8" s="21" t="s">
        <v>27</v>
      </c>
      <c r="E8" s="16">
        <f>E7*0.02</f>
        <v>22.080000000000002</v>
      </c>
      <c r="F8" s="6">
        <v>44660</v>
      </c>
      <c r="G8" s="5">
        <f t="shared" si="0"/>
        <v>986092.8</v>
      </c>
    </row>
    <row r="9" spans="1:8" ht="40" customHeight="1" x14ac:dyDescent="0.2">
      <c r="A9" s="19"/>
      <c r="B9" s="20">
        <v>1.1000000000000001</v>
      </c>
      <c r="C9" s="23" t="s">
        <v>25</v>
      </c>
      <c r="D9" s="21" t="s">
        <v>27</v>
      </c>
      <c r="E9" s="16">
        <v>224.4</v>
      </c>
      <c r="F9" s="6">
        <v>48380</v>
      </c>
      <c r="G9" s="5">
        <f t="shared" si="0"/>
        <v>10856472</v>
      </c>
    </row>
    <row r="10" spans="1:8" ht="52" customHeight="1" x14ac:dyDescent="0.2">
      <c r="A10" s="19"/>
      <c r="B10" s="20">
        <v>1.1000000000000001</v>
      </c>
      <c r="C10" s="23" t="s">
        <v>26</v>
      </c>
      <c r="D10" s="21" t="s">
        <v>27</v>
      </c>
      <c r="E10" s="16">
        <v>237.6</v>
      </c>
      <c r="F10" s="6">
        <v>89770</v>
      </c>
      <c r="G10" s="5">
        <f t="shared" si="0"/>
        <v>21329352</v>
      </c>
    </row>
    <row r="11" spans="1:8" ht="40" customHeight="1" x14ac:dyDescent="0.2">
      <c r="A11" s="19"/>
      <c r="B11" s="20">
        <v>1.1000000000000001</v>
      </c>
      <c r="C11" s="23" t="s">
        <v>28</v>
      </c>
      <c r="D11" s="21" t="s">
        <v>27</v>
      </c>
      <c r="E11" s="16">
        <v>129</v>
      </c>
      <c r="F11" s="6">
        <v>19880</v>
      </c>
      <c r="G11" s="5">
        <f t="shared" si="0"/>
        <v>2564520</v>
      </c>
    </row>
    <row r="12" spans="1:8" ht="40" customHeight="1" x14ac:dyDescent="0.2">
      <c r="A12" s="19"/>
      <c r="B12" s="20">
        <v>1.1000000000000001</v>
      </c>
      <c r="C12" s="23" t="s">
        <v>29</v>
      </c>
      <c r="D12" s="21" t="s">
        <v>27</v>
      </c>
      <c r="E12" s="16">
        <v>766.2</v>
      </c>
      <c r="F12" s="6">
        <v>22900</v>
      </c>
      <c r="G12" s="5">
        <f t="shared" si="0"/>
        <v>17545980</v>
      </c>
    </row>
    <row r="13" spans="1:8" ht="40" customHeight="1" x14ac:dyDescent="0.2">
      <c r="A13" s="19"/>
      <c r="B13" s="20">
        <v>1.1000000000000001</v>
      </c>
      <c r="C13" s="23" t="s">
        <v>30</v>
      </c>
      <c r="D13" s="21" t="s">
        <v>27</v>
      </c>
      <c r="E13" s="16">
        <v>158.4</v>
      </c>
      <c r="F13" s="6">
        <v>24700</v>
      </c>
      <c r="G13" s="5">
        <f t="shared" si="0"/>
        <v>3912480</v>
      </c>
    </row>
    <row r="14" spans="1:8" ht="42" customHeight="1" x14ac:dyDescent="0.2">
      <c r="A14" s="19"/>
      <c r="B14" s="20">
        <v>1.2</v>
      </c>
      <c r="C14" s="23" t="s">
        <v>23</v>
      </c>
      <c r="D14" s="21" t="s">
        <v>24</v>
      </c>
      <c r="E14" s="16">
        <v>32</v>
      </c>
      <c r="F14" s="6">
        <v>7316</v>
      </c>
      <c r="G14" s="5">
        <f t="shared" ref="G14" si="1">F14*E14</f>
        <v>234112</v>
      </c>
    </row>
    <row r="15" spans="1:8" ht="21" customHeight="1" x14ac:dyDescent="0.2">
      <c r="A15" s="7"/>
      <c r="B15" s="8"/>
      <c r="C15" s="8"/>
      <c r="D15" s="27" t="s">
        <v>3</v>
      </c>
      <c r="E15" s="28"/>
      <c r="F15" s="29"/>
      <c r="G15" s="9">
        <f>+G6</f>
        <v>62330768.799999997</v>
      </c>
    </row>
    <row r="16" spans="1:8" ht="21.75" customHeight="1" x14ac:dyDescent="0.2">
      <c r="A16" s="7"/>
      <c r="B16" s="8"/>
      <c r="C16" s="8"/>
      <c r="D16" s="30" t="s">
        <v>31</v>
      </c>
      <c r="E16" s="31"/>
      <c r="F16" s="10">
        <v>0.19</v>
      </c>
      <c r="G16" s="11">
        <f>G15*F16</f>
        <v>11842846.071999999</v>
      </c>
    </row>
    <row r="17" spans="1:7" ht="21.75" customHeight="1" x14ac:dyDescent="0.2">
      <c r="A17" s="7"/>
      <c r="B17" s="8"/>
      <c r="C17" s="8"/>
      <c r="D17" s="24" t="s">
        <v>4</v>
      </c>
      <c r="E17" s="25"/>
      <c r="F17" s="26"/>
      <c r="G17" s="12">
        <f>+G15+G16</f>
        <v>74173614.871999994</v>
      </c>
    </row>
    <row r="18" spans="1:7" ht="21.75" customHeight="1" x14ac:dyDescent="0.2">
      <c r="A18" s="7"/>
      <c r="B18" s="8"/>
      <c r="C18" s="8"/>
    </row>
    <row r="19" spans="1:7" ht="21.75" customHeight="1" x14ac:dyDescent="0.2">
      <c r="A19" s="7"/>
      <c r="B19" s="8"/>
      <c r="C19" s="8"/>
    </row>
    <row r="20" spans="1:7" ht="21.75" customHeight="1" x14ac:dyDescent="0.2">
      <c r="A20" s="7"/>
      <c r="B20" s="8"/>
      <c r="C20" s="8"/>
    </row>
    <row r="21" spans="1:7" ht="21.75" customHeight="1" x14ac:dyDescent="0.2">
      <c r="A21" s="7"/>
      <c r="B21" s="8"/>
      <c r="C21" s="8"/>
    </row>
    <row r="22" spans="1:7" ht="21.75" customHeight="1" x14ac:dyDescent="0.2"/>
  </sheetData>
  <mergeCells count="10">
    <mergeCell ref="D17:F17"/>
    <mergeCell ref="D15:F15"/>
    <mergeCell ref="D16:E16"/>
    <mergeCell ref="A1:G1"/>
    <mergeCell ref="A2:B2"/>
    <mergeCell ref="F2:G4"/>
    <mergeCell ref="A3:B3"/>
    <mergeCell ref="D3:E3"/>
    <mergeCell ref="A4:B4"/>
    <mergeCell ref="D4:E4"/>
  </mergeCells>
  <pageMargins left="0.62992125984251968" right="0.82677165354330717" top="0.35433070866141736" bottom="0.35433070866141736" header="0.11811023622047245" footer="0.11811023622047245"/>
  <pageSetup scale="47" orientation="portrait" r:id="rId1"/>
  <rowBreaks count="1" manualBreakCount="1">
    <brk id="2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SKY-METROLOFT</vt:lpstr>
      <vt:lpstr>'SKY-METROLOFT'!Área_de_impresión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2025-03-07T18:36:08Z</cp:lastPrinted>
  <dcterms:created xsi:type="dcterms:W3CDTF">2024-02-08T21:06:52Z</dcterms:created>
  <dcterms:modified xsi:type="dcterms:W3CDTF">2026-03-19T19:36:35Z</dcterms:modified>
  <cp:category/>
  <cp:contentStatus/>
</cp:coreProperties>
</file>