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Downloads\"/>
    </mc:Choice>
  </mc:AlternateContent>
  <xr:revisionPtr revIDLastSave="0" documentId="13_ncr:1_{75D5F92A-BFF7-478D-BC0C-3287BD94ABD6}" xr6:coauthVersionLast="47" xr6:coauthVersionMax="47" xr10:uidLastSave="{00000000-0000-0000-0000-000000000000}"/>
  <bookViews>
    <workbookView xWindow="-108" yWindow="-108" windowWidth="23256" windowHeight="12456" xr2:uid="{325B0686-2D22-490A-92F5-0D3E9AAE1101}"/>
  </bookViews>
  <sheets>
    <sheet name="formato present oferta" sheetId="1" r:id="rId1"/>
  </sheets>
  <definedNames>
    <definedName name="_xlnm.Print_Area" localSheetId="0">'formato present oferta'!$A$1:$G$29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1" l="1"/>
  <c r="G20" i="1" l="1"/>
  <c r="G19" i="1"/>
  <c r="G18" i="1"/>
  <c r="G8" i="1"/>
  <c r="G22" i="1"/>
  <c r="G16" i="1"/>
  <c r="G13" i="1"/>
  <c r="G12" i="1" s="1"/>
  <c r="G11" i="1"/>
  <c r="G10" i="1"/>
  <c r="G7" i="1"/>
  <c r="G6" i="1" s="1"/>
  <c r="G17" i="1" l="1"/>
  <c r="G21" i="1"/>
  <c r="G9" i="1"/>
  <c r="G15" i="1"/>
  <c r="G23" i="1" l="1"/>
  <c r="G26" i="1" s="1"/>
  <c r="G27" i="1" s="1"/>
  <c r="G25" i="1" l="1"/>
  <c r="G24" i="1"/>
  <c r="G28" i="1" l="1"/>
  <c r="G29" i="1" s="1"/>
</calcChain>
</file>

<file path=xl/sharedStrings.xml><?xml version="1.0" encoding="utf-8"?>
<sst xmlns="http://schemas.openxmlformats.org/spreadsheetml/2006/main" count="54" uniqueCount="47">
  <si>
    <t>CAPT</t>
  </si>
  <si>
    <t>ITEMS</t>
  </si>
  <si>
    <t>M2</t>
  </si>
  <si>
    <t>ML</t>
  </si>
  <si>
    <t>IVA/U</t>
  </si>
  <si>
    <t>DESCRIPCION</t>
  </si>
  <si>
    <t>1.0</t>
  </si>
  <si>
    <t>PRELIMINARES</t>
  </si>
  <si>
    <t>TOTALES DIRECTOS</t>
  </si>
  <si>
    <t>Administracion</t>
  </si>
  <si>
    <t>Imprevistos</t>
  </si>
  <si>
    <t>Utilidad</t>
  </si>
  <si>
    <t>TOTAL INDIRECTOS</t>
  </si>
  <si>
    <t>TOTAL PROPUESTA</t>
  </si>
  <si>
    <t>DIRECCION:</t>
  </si>
  <si>
    <t>CALLE 3 NORTE # 18-49 LOCAL 2</t>
  </si>
  <si>
    <t>CODIGO: FH-F-02</t>
  </si>
  <si>
    <t xml:space="preserve"> VERSIÓN: 01</t>
  </si>
  <si>
    <t>CORREO:</t>
  </si>
  <si>
    <t>TELEFONO:</t>
  </si>
  <si>
    <t>+57 310 461 7353</t>
  </si>
  <si>
    <t>UNIDAD</t>
  </si>
  <si>
    <t>CANTIDAD</t>
  </si>
  <si>
    <t>VR UNITARIO</t>
  </si>
  <si>
    <t>VALOR DIRECTO ACTIVIDAD</t>
  </si>
  <si>
    <t>GLB</t>
  </si>
  <si>
    <t>DEMOLICIÓN - PREPARADO DE SUPERFICIE</t>
  </si>
  <si>
    <t>UND</t>
  </si>
  <si>
    <t>IMPERMEABILIZACIÓN/REPARACIÓN DE ACABADOS</t>
  </si>
  <si>
    <t>ACABADO PINTURA</t>
  </si>
  <si>
    <t>TERMINADO Y LIMPIEZA</t>
  </si>
  <si>
    <t xml:space="preserve">Admin@fresh-house.co
Rensomontoya@fresh-house.co                                                                                                                 </t>
  </si>
  <si>
    <t>Instalación y demarcación de con avisos y señalética necesaria como: salidas vehiculares y peatonales | colocación de señales de precaución caída de objetos, transite con cuidado, instalación de conos y colombinas para demarcar senderos peatonales etc.… toda la implementación del sistema de gestión para la prevención de riesgos laborales</t>
  </si>
  <si>
    <t>Aseo general y retiro de pintura.</t>
  </si>
  <si>
    <t>Tratamiento de juntas retirando todo el material existente en el cual se identifican estucos de bajo desempeño y se hará tratamiento en la dilatación con producto hibrido intemperie de alta resistencia, Tex Joint de Corona.</t>
  </si>
  <si>
    <t>Resane, sello e impermeabilización y pintura de alfagias en todo el perimetro</t>
  </si>
  <si>
    <t>Se hara tratamiento de fisuras en dilataciones y se impermeabilizaran con Pintucofill 7 años en un area mayor al 10% en ancho.</t>
  </si>
  <si>
    <t>Suministro y aplicación de pintura Koraza Pro 550 de Pintuco sobre toda la culata a dos manos teniendo un tiempo minimo entre manos de dos horas.</t>
  </si>
  <si>
    <t>Lavado y limpieza de las superficies que presenten hongos en los edificios incluye, la limpieza de lavado se realiza con bactericidas o hipoclorito al 10%, escoba según sea el caso, se debe eliminar polvos y grasas que impidan que los productos a aplicar queden bien adheridos y cumplan con si estabilidad.</t>
  </si>
  <si>
    <t>COTIZACION OBRA - EDIFICIO METROLOFT</t>
  </si>
  <si>
    <t>REPARACIÓN CIELO ZONA GIMNASIO</t>
  </si>
  <si>
    <t>Sello de volumenes existentes que permiten ingreso de agua hacia la zona de cielos, reparación de las zonas que lo requieren en el volumen, Retiro y reposición de material en zona de cielo, aplicación de mortero impermeabilizado, suministro y aplicación de pintura Koraza Pro 550 de Pintuco</t>
  </si>
  <si>
    <t>Retiro y disposición final de 18ML de superborad, Ceramicas, Estructuras livianas, Jacuzzi y equipos.</t>
  </si>
  <si>
    <t>Suministro e instalación de pared a 1 cara superboard 10mm, con accabado en estuco plastico y Pintura Koraza pro 550</t>
  </si>
  <si>
    <t>Se sellará de manera manual en todo el perímetro del marco de la ventaneria y se aplicará soudal</t>
  </si>
  <si>
    <t xml:space="preserve">  FECHA: 12/02/2025</t>
  </si>
  <si>
    <t xml:space="preserve">  VALIDO HASTA: 12/05/2025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</si>
</sst>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entury Gothic"/>
      <family val="2"/>
    </font>
    <font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rgb="FF000000"/>
      <name val="Century Gothic"/>
      <family val="2"/>
    </font>
    <font>
      <sz val="12"/>
      <color rgb="FF00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left" vertical="center" wrapText="1"/>
    </xf>
    <xf numFmtId="164" fontId="5" fillId="0" borderId="6" xfId="0" applyNumberFormat="1" applyFont="1" applyBorder="1" applyAlignment="1">
      <alignment horizontal="left" vertical="center" wrapText="1"/>
    </xf>
    <xf numFmtId="164" fontId="5" fillId="0" borderId="3" xfId="0" applyNumberFormat="1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64" fontId="5" fillId="2" borderId="4" xfId="0" applyNumberFormat="1" applyFont="1" applyFill="1" applyBorder="1" applyAlignment="1">
      <alignment vertical="center"/>
    </xf>
    <xf numFmtId="9" fontId="5" fillId="0" borderId="6" xfId="3" applyFont="1" applyFill="1" applyBorder="1" applyAlignment="1">
      <alignment horizontal="center" vertical="center"/>
    </xf>
    <xf numFmtId="164" fontId="5" fillId="0" borderId="3" xfId="2" applyNumberFormat="1" applyFont="1" applyFill="1" applyBorder="1" applyAlignment="1">
      <alignment vertical="center"/>
    </xf>
    <xf numFmtId="164" fontId="5" fillId="2" borderId="3" xfId="0" applyNumberFormat="1" applyFont="1" applyFill="1" applyBorder="1" applyAlignment="1">
      <alignment vertical="center"/>
    </xf>
    <xf numFmtId="164" fontId="3" fillId="3" borderId="3" xfId="0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43" fontId="5" fillId="0" borderId="6" xfId="1" applyFont="1" applyFill="1" applyBorder="1" applyAlignment="1">
      <alignment vertical="center" wrapText="1"/>
    </xf>
    <xf numFmtId="0" fontId="3" fillId="2" borderId="14" xfId="0" applyFont="1" applyFill="1" applyBorder="1" applyAlignment="1">
      <alignment vertical="center" wrapText="1"/>
    </xf>
    <xf numFmtId="43" fontId="3" fillId="2" borderId="14" xfId="0" applyNumberFormat="1" applyFont="1" applyFill="1" applyBorder="1" applyAlignment="1">
      <alignment vertical="center" wrapText="1"/>
    </xf>
    <xf numFmtId="43" fontId="5" fillId="0" borderId="1" xfId="1" applyFont="1" applyFill="1" applyBorder="1" applyAlignment="1">
      <alignment vertical="center" wrapText="1"/>
    </xf>
    <xf numFmtId="43" fontId="5" fillId="0" borderId="3" xfId="1" applyFont="1" applyFill="1" applyBorder="1" applyAlignment="1">
      <alignment vertical="center" wrapText="1"/>
    </xf>
    <xf numFmtId="165" fontId="3" fillId="2" borderId="13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164" fontId="4" fillId="0" borderId="0" xfId="0" applyNumberFormat="1" applyFont="1" applyAlignment="1">
      <alignment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43" fontId="3" fillId="2" borderId="7" xfId="1" applyFont="1" applyFill="1" applyBorder="1" applyAlignment="1">
      <alignment horizontal="center" vertical="center"/>
    </xf>
    <xf numFmtId="43" fontId="3" fillId="2" borderId="9" xfId="1" applyFont="1" applyFill="1" applyBorder="1" applyAlignment="1">
      <alignment horizontal="center" vertical="center"/>
    </xf>
    <xf numFmtId="43" fontId="3" fillId="2" borderId="8" xfId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6</xdr:col>
      <xdr:colOff>1104901</xdr:colOff>
      <xdr:row>3</xdr:row>
      <xdr:rowOff>160437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9B59D5-B26C-E1BA-9849-F968261D0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3301" y="355600"/>
          <a:ext cx="1968500" cy="78273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topLeftCell="A17" zoomScale="60" zoomScaleNormal="60" workbookViewId="0">
      <selection activeCell="G29" sqref="G29"/>
    </sheetView>
  </sheetViews>
  <sheetFormatPr baseColWidth="10" defaultColWidth="12.33203125" defaultRowHeight="13.8" x14ac:dyDescent="0.3"/>
  <cols>
    <col min="1" max="1" width="8.5546875" style="2" customWidth="1"/>
    <col min="2" max="2" width="8.33203125" style="1" customWidth="1"/>
    <col min="3" max="3" width="77.6640625" style="1" customWidth="1"/>
    <col min="4" max="4" width="20.109375" style="1" bestFit="1" customWidth="1"/>
    <col min="5" max="5" width="14.77734375" style="1" bestFit="1" customWidth="1"/>
    <col min="6" max="6" width="15.109375" style="1" bestFit="1" customWidth="1"/>
    <col min="7" max="7" width="18.44140625" style="1" bestFit="1" customWidth="1"/>
    <col min="8" max="8" width="25.5546875" style="1" customWidth="1"/>
    <col min="9" max="9" width="13.44140625" style="1" bestFit="1" customWidth="1"/>
    <col min="10" max="16384" width="12.33203125" style="1"/>
  </cols>
  <sheetData>
    <row r="1" spans="1:9" ht="22.5" customHeight="1" x14ac:dyDescent="0.3">
      <c r="A1" s="36" t="s">
        <v>39</v>
      </c>
      <c r="B1" s="37"/>
      <c r="C1" s="37"/>
      <c r="D1" s="37"/>
      <c r="E1" s="37"/>
      <c r="F1" s="37"/>
      <c r="G1" s="38"/>
    </row>
    <row r="2" spans="1:9" ht="25.2" customHeight="1" x14ac:dyDescent="0.3">
      <c r="A2" s="48" t="s">
        <v>14</v>
      </c>
      <c r="B2" s="49"/>
      <c r="C2" s="3" t="s">
        <v>15</v>
      </c>
      <c r="D2" s="3" t="s">
        <v>16</v>
      </c>
      <c r="E2" s="3" t="s">
        <v>17</v>
      </c>
      <c r="F2" s="39"/>
      <c r="G2" s="40"/>
    </row>
    <row r="3" spans="1:9" ht="30" x14ac:dyDescent="0.3">
      <c r="A3" s="48" t="s">
        <v>18</v>
      </c>
      <c r="B3" s="49"/>
      <c r="C3" s="3" t="s">
        <v>31</v>
      </c>
      <c r="D3" s="48" t="s">
        <v>45</v>
      </c>
      <c r="E3" s="49"/>
      <c r="F3" s="41"/>
      <c r="G3" s="42"/>
      <c r="H3"/>
    </row>
    <row r="4" spans="1:9" ht="22.5" customHeight="1" x14ac:dyDescent="0.3">
      <c r="A4" s="48" t="s">
        <v>19</v>
      </c>
      <c r="B4" s="49"/>
      <c r="C4" s="3" t="s">
        <v>20</v>
      </c>
      <c r="D4" s="48" t="s">
        <v>46</v>
      </c>
      <c r="E4" s="49"/>
      <c r="F4" s="43"/>
      <c r="G4" s="44"/>
      <c r="H4"/>
    </row>
    <row r="5" spans="1:9" ht="30" x14ac:dyDescent="0.3">
      <c r="A5" s="15" t="s">
        <v>0</v>
      </c>
      <c r="B5" s="15" t="s">
        <v>1</v>
      </c>
      <c r="C5" s="15" t="s">
        <v>5</v>
      </c>
      <c r="D5" s="15" t="s">
        <v>21</v>
      </c>
      <c r="E5" s="15" t="s">
        <v>22</v>
      </c>
      <c r="F5" s="15" t="s">
        <v>23</v>
      </c>
      <c r="G5" s="15" t="s">
        <v>24</v>
      </c>
      <c r="H5"/>
    </row>
    <row r="6" spans="1:9" ht="23.25" customHeight="1" x14ac:dyDescent="0.3">
      <c r="A6" s="22" t="s">
        <v>6</v>
      </c>
      <c r="B6" s="18"/>
      <c r="C6" s="18" t="s">
        <v>7</v>
      </c>
      <c r="D6" s="18"/>
      <c r="E6" s="18"/>
      <c r="F6" s="18"/>
      <c r="G6" s="4">
        <f>SUM(G7:G8)</f>
        <v>2806000</v>
      </c>
    </row>
    <row r="7" spans="1:9" ht="90" x14ac:dyDescent="0.3">
      <c r="A7" s="16"/>
      <c r="B7" s="27">
        <v>1.1000000000000001</v>
      </c>
      <c r="C7" s="34" t="s">
        <v>32</v>
      </c>
      <c r="D7" s="30" t="s">
        <v>25</v>
      </c>
      <c r="E7" s="17">
        <v>1</v>
      </c>
      <c r="F7" s="5">
        <v>138000</v>
      </c>
      <c r="G7" s="6">
        <f t="shared" ref="G7" si="0">F7*E7</f>
        <v>138000</v>
      </c>
    </row>
    <row r="8" spans="1:9" ht="75" x14ac:dyDescent="0.3">
      <c r="A8" s="16"/>
      <c r="B8" s="27">
        <v>1.2</v>
      </c>
      <c r="C8" s="34" t="s">
        <v>38</v>
      </c>
      <c r="D8" s="30" t="s">
        <v>25</v>
      </c>
      <c r="E8" s="17">
        <v>1</v>
      </c>
      <c r="F8" s="5">
        <v>2668000</v>
      </c>
      <c r="G8" s="6">
        <f t="shared" ref="G8" si="1">F8*E8</f>
        <v>2668000</v>
      </c>
      <c r="I8" s="35"/>
    </row>
    <row r="9" spans="1:9" ht="23.25" customHeight="1" x14ac:dyDescent="0.3">
      <c r="A9" s="22">
        <v>2</v>
      </c>
      <c r="B9" s="23"/>
      <c r="C9" s="33" t="s">
        <v>26</v>
      </c>
      <c r="D9" s="18"/>
      <c r="E9" s="19"/>
      <c r="F9" s="18"/>
      <c r="G9" s="4">
        <f>SUM(G10:G11)</f>
        <v>5634999.9999999991</v>
      </c>
      <c r="I9" s="35"/>
    </row>
    <row r="10" spans="1:9" ht="60" x14ac:dyDescent="0.3">
      <c r="A10" s="24"/>
      <c r="B10" s="28">
        <v>2.1</v>
      </c>
      <c r="C10" s="34" t="s">
        <v>34</v>
      </c>
      <c r="D10" s="31" t="s">
        <v>3</v>
      </c>
      <c r="E10" s="20">
        <v>350</v>
      </c>
      <c r="F10" s="7">
        <v>13799.999999999998</v>
      </c>
      <c r="G10" s="6">
        <f>F10*E10</f>
        <v>4829999.9999999991</v>
      </c>
      <c r="I10" s="35"/>
    </row>
    <row r="11" spans="1:9" ht="30" x14ac:dyDescent="0.3">
      <c r="A11" s="24"/>
      <c r="B11" s="28">
        <v>2.2000000000000002</v>
      </c>
      <c r="C11" s="34" t="s">
        <v>35</v>
      </c>
      <c r="D11" s="31" t="s">
        <v>3</v>
      </c>
      <c r="E11" s="20">
        <v>50</v>
      </c>
      <c r="F11" s="7">
        <v>16099.999999999998</v>
      </c>
      <c r="G11" s="6">
        <f t="shared" ref="G11" si="2">F11*E11</f>
        <v>804999.99999999988</v>
      </c>
      <c r="I11" s="35"/>
    </row>
    <row r="12" spans="1:9" ht="21" customHeight="1" x14ac:dyDescent="0.3">
      <c r="A12" s="22">
        <v>3</v>
      </c>
      <c r="B12" s="23"/>
      <c r="C12" s="33" t="s">
        <v>28</v>
      </c>
      <c r="D12" s="18"/>
      <c r="E12" s="18"/>
      <c r="F12" s="18"/>
      <c r="G12" s="4">
        <f>SUM(G13:G14)</f>
        <v>3618750</v>
      </c>
      <c r="I12" s="35"/>
    </row>
    <row r="13" spans="1:9" ht="45" x14ac:dyDescent="0.3">
      <c r="A13" s="25"/>
      <c r="B13" s="29">
        <v>3.1</v>
      </c>
      <c r="C13" s="34" t="s">
        <v>36</v>
      </c>
      <c r="D13" s="32" t="s">
        <v>3</v>
      </c>
      <c r="E13" s="21">
        <v>75</v>
      </c>
      <c r="F13" s="7">
        <v>3449.9999999999995</v>
      </c>
      <c r="G13" s="6">
        <f>F13*E13</f>
        <v>258749.99999999997</v>
      </c>
      <c r="I13" s="35"/>
    </row>
    <row r="14" spans="1:9" ht="30" x14ac:dyDescent="0.3">
      <c r="A14" s="25"/>
      <c r="B14" s="29">
        <v>3.2</v>
      </c>
      <c r="C14" s="34" t="s">
        <v>44</v>
      </c>
      <c r="D14" s="32" t="s">
        <v>3</v>
      </c>
      <c r="E14" s="21">
        <v>600</v>
      </c>
      <c r="F14" s="7">
        <v>5600</v>
      </c>
      <c r="G14" s="6">
        <f>F14*E14</f>
        <v>3360000</v>
      </c>
    </row>
    <row r="15" spans="1:9" ht="15" x14ac:dyDescent="0.3">
      <c r="A15" s="22">
        <v>4</v>
      </c>
      <c r="B15" s="23"/>
      <c r="C15" s="33" t="s">
        <v>29</v>
      </c>
      <c r="D15" s="26"/>
      <c r="E15" s="19"/>
      <c r="F15" s="18"/>
      <c r="G15" s="4">
        <f>SUM(G16:G16)</f>
        <v>7871750</v>
      </c>
      <c r="I15" s="35"/>
    </row>
    <row r="16" spans="1:9" ht="45" x14ac:dyDescent="0.3">
      <c r="A16" s="25"/>
      <c r="B16" s="29">
        <v>4.0999999999999996</v>
      </c>
      <c r="C16" s="34" t="s">
        <v>37</v>
      </c>
      <c r="D16" s="32" t="s">
        <v>2</v>
      </c>
      <c r="E16" s="17">
        <v>370</v>
      </c>
      <c r="F16" s="5">
        <v>21275</v>
      </c>
      <c r="G16" s="6">
        <f t="shared" ref="G16" si="3">F16*E16</f>
        <v>7871750</v>
      </c>
      <c r="I16" s="35"/>
    </row>
    <row r="17" spans="1:9" ht="15" x14ac:dyDescent="0.3">
      <c r="A17" s="22">
        <v>5</v>
      </c>
      <c r="B17" s="23"/>
      <c r="C17" s="33" t="s">
        <v>40</v>
      </c>
      <c r="D17" s="26"/>
      <c r="E17" s="19"/>
      <c r="F17" s="18"/>
      <c r="G17" s="4">
        <f>SUM(G18:G20)</f>
        <v>7911000</v>
      </c>
      <c r="I17" s="35"/>
    </row>
    <row r="18" spans="1:9" ht="75" x14ac:dyDescent="0.3">
      <c r="A18" s="25"/>
      <c r="B18" s="29">
        <v>5.0999999999999996</v>
      </c>
      <c r="C18" s="34" t="s">
        <v>41</v>
      </c>
      <c r="D18" s="32" t="s">
        <v>27</v>
      </c>
      <c r="E18" s="17">
        <v>1</v>
      </c>
      <c r="F18" s="5">
        <v>3883000</v>
      </c>
      <c r="G18" s="6">
        <f t="shared" ref="G18" si="4">F18*E18</f>
        <v>3883000</v>
      </c>
      <c r="I18" s="35"/>
    </row>
    <row r="19" spans="1:9" ht="30" x14ac:dyDescent="0.3">
      <c r="A19" s="25"/>
      <c r="B19" s="29">
        <v>5.2</v>
      </c>
      <c r="C19" s="34" t="s">
        <v>42</v>
      </c>
      <c r="D19" s="32" t="s">
        <v>27</v>
      </c>
      <c r="E19" s="17">
        <v>1</v>
      </c>
      <c r="F19" s="5">
        <v>2300000</v>
      </c>
      <c r="G19" s="6">
        <f t="shared" ref="G19" si="5">F19*E19</f>
        <v>2300000</v>
      </c>
      <c r="I19" s="35"/>
    </row>
    <row r="20" spans="1:9" ht="30" x14ac:dyDescent="0.3">
      <c r="A20" s="25"/>
      <c r="B20" s="29">
        <v>5.3</v>
      </c>
      <c r="C20" s="34" t="s">
        <v>43</v>
      </c>
      <c r="D20" s="32" t="s">
        <v>2</v>
      </c>
      <c r="E20" s="17">
        <v>18</v>
      </c>
      <c r="F20" s="5">
        <v>96000</v>
      </c>
      <c r="G20" s="6">
        <f t="shared" ref="G20" si="6">F20*E20</f>
        <v>1728000</v>
      </c>
      <c r="I20" s="35"/>
    </row>
    <row r="21" spans="1:9" ht="21.75" customHeight="1" x14ac:dyDescent="0.3">
      <c r="A21" s="22">
        <v>6</v>
      </c>
      <c r="B21" s="23"/>
      <c r="C21" s="33" t="s">
        <v>30</v>
      </c>
      <c r="D21" s="26"/>
      <c r="E21" s="19"/>
      <c r="F21" s="18"/>
      <c r="G21" s="4">
        <f>SUM(G22:G22)</f>
        <v>161000</v>
      </c>
    </row>
    <row r="22" spans="1:9" ht="21.75" customHeight="1" x14ac:dyDescent="0.3">
      <c r="A22" s="25"/>
      <c r="B22" s="29">
        <v>6.1</v>
      </c>
      <c r="C22" s="34" t="s">
        <v>33</v>
      </c>
      <c r="D22" s="32" t="s">
        <v>27</v>
      </c>
      <c r="E22" s="17">
        <v>1</v>
      </c>
      <c r="F22" s="5">
        <v>161000</v>
      </c>
      <c r="G22" s="6">
        <f>F22*E22</f>
        <v>161000</v>
      </c>
    </row>
    <row r="23" spans="1:9" ht="21.75" customHeight="1" x14ac:dyDescent="0.3">
      <c r="A23" s="8"/>
      <c r="B23" s="9"/>
      <c r="C23" s="9"/>
      <c r="D23" s="45" t="s">
        <v>8</v>
      </c>
      <c r="E23" s="46"/>
      <c r="F23" s="47"/>
      <c r="G23" s="10">
        <f>+G21+G15+G12+G9+G6+G17</f>
        <v>28003500</v>
      </c>
    </row>
    <row r="24" spans="1:9" ht="21.75" customHeight="1" x14ac:dyDescent="0.3">
      <c r="A24" s="8"/>
      <c r="B24" s="9"/>
      <c r="C24" s="9"/>
      <c r="D24" s="50" t="s">
        <v>9</v>
      </c>
      <c r="E24" s="51"/>
      <c r="F24" s="11">
        <v>0.1</v>
      </c>
      <c r="G24" s="12">
        <f>+$G$23*F24</f>
        <v>2800350</v>
      </c>
    </row>
    <row r="25" spans="1:9" ht="21.75" customHeight="1" x14ac:dyDescent="0.3">
      <c r="A25" s="8"/>
      <c r="B25" s="9"/>
      <c r="C25" s="9"/>
      <c r="D25" s="50" t="s">
        <v>10</v>
      </c>
      <c r="E25" s="51"/>
      <c r="F25" s="11">
        <v>7.0000000000000007E-2</v>
      </c>
      <c r="G25" s="12">
        <f>+$G$23*F25</f>
        <v>1960245.0000000002</v>
      </c>
    </row>
    <row r="26" spans="1:9" ht="21.75" customHeight="1" x14ac:dyDescent="0.3">
      <c r="A26" s="8"/>
      <c r="B26" s="9"/>
      <c r="C26" s="9"/>
      <c r="D26" s="50" t="s">
        <v>11</v>
      </c>
      <c r="E26" s="51"/>
      <c r="F26" s="11">
        <v>0.05</v>
      </c>
      <c r="G26" s="12">
        <f>+$G$23*F26</f>
        <v>1400175</v>
      </c>
    </row>
    <row r="27" spans="1:9" ht="15" x14ac:dyDescent="0.3">
      <c r="A27" s="8"/>
      <c r="B27" s="9"/>
      <c r="C27" s="9"/>
      <c r="D27" s="50" t="s">
        <v>4</v>
      </c>
      <c r="E27" s="51"/>
      <c r="F27" s="11">
        <v>0.19</v>
      </c>
      <c r="G27" s="12">
        <f>+G26*F27</f>
        <v>266033.25</v>
      </c>
    </row>
    <row r="28" spans="1:9" ht="15" x14ac:dyDescent="0.3">
      <c r="A28" s="8"/>
      <c r="B28" s="9"/>
      <c r="C28" s="9"/>
      <c r="D28" s="52" t="s">
        <v>12</v>
      </c>
      <c r="E28" s="53"/>
      <c r="F28" s="54"/>
      <c r="G28" s="13">
        <f>+G24+G25+G26+G27</f>
        <v>6426803.25</v>
      </c>
    </row>
    <row r="29" spans="1:9" ht="15" x14ac:dyDescent="0.3">
      <c r="A29" s="8"/>
      <c r="B29" s="9"/>
      <c r="C29" s="9"/>
      <c r="D29" s="55" t="s">
        <v>13</v>
      </c>
      <c r="E29" s="56"/>
      <c r="F29" s="57"/>
      <c r="G29" s="14">
        <f>+G23+G28</f>
        <v>34430303.25</v>
      </c>
    </row>
  </sheetData>
  <mergeCells count="14">
    <mergeCell ref="D29:F29"/>
    <mergeCell ref="D28:F28"/>
    <mergeCell ref="D27:E27"/>
    <mergeCell ref="A1:G1"/>
    <mergeCell ref="D26:E26"/>
    <mergeCell ref="D25:E25"/>
    <mergeCell ref="D24:E24"/>
    <mergeCell ref="A2:B2"/>
    <mergeCell ref="A3:B3"/>
    <mergeCell ref="D3:E3"/>
    <mergeCell ref="A4:B4"/>
    <mergeCell ref="D4:E4"/>
    <mergeCell ref="F2:G4"/>
    <mergeCell ref="D23:F23"/>
  </mergeCells>
  <phoneticPr fontId="2" type="noConversion"/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9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present oferta</vt:lpstr>
      <vt:lpstr>'formato present oferta'!Área_de_impresión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Andrés Felipe Montoya Osorio</cp:lastModifiedBy>
  <cp:revision/>
  <cp:lastPrinted>2024-09-20T23:06:03Z</cp:lastPrinted>
  <dcterms:created xsi:type="dcterms:W3CDTF">2024-02-08T21:06:52Z</dcterms:created>
  <dcterms:modified xsi:type="dcterms:W3CDTF">2025-02-13T20:42:14Z</dcterms:modified>
  <cp:category/>
  <cp:contentStatus/>
</cp:coreProperties>
</file>