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41605FC9-3D53-4861-9808-5526CF6ED360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ESPECIFICACIONES" sheetId="1" r:id="rId1"/>
  </sheets>
  <definedNames>
    <definedName name="_xlnm.Print_Area" localSheetId="0">ESPECIFICACIONES!$A$1:$G$10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7" i="1"/>
  <c r="G8" i="1" l="1"/>
  <c r="G16" i="1"/>
  <c r="G18" i="1" l="1"/>
  <c r="G21" i="1" s="1"/>
  <c r="G22" i="1" s="1"/>
  <c r="G19" i="1" l="1"/>
  <c r="G20" i="1"/>
  <c r="G23" i="1" l="1"/>
  <c r="G24" i="1" s="1"/>
</calcChain>
</file>

<file path=xl/sharedStrings.xml><?xml version="1.0" encoding="utf-8"?>
<sst xmlns="http://schemas.openxmlformats.org/spreadsheetml/2006/main" count="37" uniqueCount="37">
  <si>
    <t>CAPT</t>
  </si>
  <si>
    <t>ITEMS</t>
  </si>
  <si>
    <t>ACTIVIDAD</t>
  </si>
  <si>
    <t>UNIDAD</t>
  </si>
  <si>
    <t>CANTIDAD</t>
  </si>
  <si>
    <t>VR UNITARIO</t>
  </si>
  <si>
    <t>VALOR DIRECTO ACTIVIDAD</t>
  </si>
  <si>
    <t>GL</t>
  </si>
  <si>
    <t>IVA/U</t>
  </si>
  <si>
    <t>CALLE 3 NORTE # 18-49 LOCAL 2</t>
  </si>
  <si>
    <t>DIRECCION: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</si>
  <si>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</si>
  <si>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</si>
  <si>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</si>
  <si>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</si>
  <si>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1.0</t>
  </si>
  <si>
    <t>PRELIMINARES</t>
  </si>
  <si>
    <t>LABORES DE FINALIZACION Y ENTREGA</t>
  </si>
  <si>
    <t>Aseo y limpieza general</t>
  </si>
  <si>
    <t>TOTALES DIRECTOS</t>
  </si>
  <si>
    <t>Administracion</t>
  </si>
  <si>
    <t>Imprevistos</t>
  </si>
  <si>
    <t>Utilidad</t>
  </si>
  <si>
    <t>TOTAL INDIRECTOS</t>
  </si>
  <si>
    <t>TOTAL PROPUESTA</t>
  </si>
  <si>
    <t>CANTIDADES DE OBRA PARA ACTIVIDADES DE MANTENIMIENTO INTEGRAL EN FACHADAS</t>
  </si>
  <si>
    <t>METROLOFT</t>
  </si>
  <si>
    <t>M2</t>
  </si>
  <si>
    <t>Desmonte de cubierta existente</t>
  </si>
  <si>
    <t>Mantenimiento de estructura, aplicación de wash primer en zonas oxidadas</t>
  </si>
  <si>
    <t>Suministro y aplicación de pintulux 3 en 1</t>
  </si>
  <si>
    <t>Suministro e instalación de apoyos y soportes</t>
  </si>
  <si>
    <t>Suministro e instalación de tejas en UPVC</t>
  </si>
  <si>
    <t>Suministro e instalación de flanche con sangrado</t>
  </si>
  <si>
    <t>Suministro e instalación de grilletes</t>
  </si>
  <si>
    <t xml:space="preserve">  FECHA: 02-07-2025</t>
  </si>
  <si>
    <t xml:space="preserve">  VALIDO HASTA: 02-10-2025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</si>
</sst>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b/>
      <sz val="20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43" fontId="6" fillId="0" borderId="2" xfId="1" applyFont="1" applyFill="1" applyBorder="1" applyAlignment="1">
      <alignment vertical="center"/>
    </xf>
    <xf numFmtId="164" fontId="6" fillId="0" borderId="2" xfId="0" applyNumberFormat="1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9" fontId="6" fillId="0" borderId="2" xfId="3" applyFont="1" applyFill="1" applyBorder="1" applyAlignment="1">
      <alignment horizontal="center" vertical="center"/>
    </xf>
    <xf numFmtId="164" fontId="6" fillId="0" borderId="1" xfId="2" applyNumberFormat="1" applyFont="1" applyFill="1" applyBorder="1" applyAlignment="1">
      <alignment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6" xfId="0" applyNumberFormat="1" applyFont="1" applyFill="1" applyBorder="1" applyAlignment="1">
      <alignment vertical="center"/>
    </xf>
    <xf numFmtId="165" fontId="5" fillId="2" borderId="7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43" fontId="5" fillId="2" borderId="5" xfId="1" applyFont="1" applyFill="1" applyBorder="1" applyAlignment="1">
      <alignment horizontal="center" vertical="center"/>
    </xf>
    <xf numFmtId="43" fontId="5" fillId="2" borderId="4" xfId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167900</xdr:colOff>
      <xdr:row>2</xdr:row>
      <xdr:rowOff>219559</xdr:rowOff>
    </xdr:from>
    <xdr:to>
      <xdr:col>6</xdr:col>
      <xdr:colOff>1859798</xdr:colOff>
      <xdr:row>4</xdr:row>
      <xdr:rowOff>224826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3BEF93-4525-206F-2054-B36E5BB6E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5798" y="994474"/>
          <a:ext cx="3228814" cy="12838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sheetPr>
    <pageSetUpPr fitToPage="1"/>
  </sheetPr>
  <dimension ref="A1:G29"/>
  <sheetViews>
    <sheetView tabSelected="1" zoomScale="59" zoomScaleNormal="50" zoomScaleSheetLayoutView="40" workbookViewId="0">
      <selection activeCell="G24" sqref="A1:G24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8" width="50.5546875" style="1" customWidth="1"/>
    <col min="9" max="9" width="12.33203125" style="1"/>
    <col min="10" max="10" width="30.33203125" style="1" bestFit="1" customWidth="1"/>
    <col min="11" max="16384" width="12.33203125" style="1"/>
  </cols>
  <sheetData>
    <row r="1" spans="1:7" ht="27.6" x14ac:dyDescent="0.3">
      <c r="A1" s="38" t="s">
        <v>26</v>
      </c>
      <c r="B1" s="38"/>
      <c r="C1" s="38"/>
      <c r="D1" s="38"/>
      <c r="E1" s="38"/>
      <c r="F1" s="38"/>
      <c r="G1" s="38"/>
    </row>
    <row r="2" spans="1:7" ht="33.6" customHeight="1" x14ac:dyDescent="0.3">
      <c r="A2" s="39" t="s">
        <v>25</v>
      </c>
      <c r="B2" s="39"/>
      <c r="C2" s="39"/>
      <c r="D2" s="39"/>
      <c r="E2" s="39"/>
      <c r="F2" s="39"/>
      <c r="G2" s="39"/>
    </row>
    <row r="3" spans="1:7" ht="51" customHeight="1" x14ac:dyDescent="0.3">
      <c r="A3" s="43" t="s">
        <v>10</v>
      </c>
      <c r="B3" s="43"/>
      <c r="C3" s="42" t="s">
        <v>9</v>
      </c>
      <c r="D3" s="42"/>
      <c r="E3" s="42"/>
      <c r="F3" s="29"/>
      <c r="G3" s="29"/>
    </row>
    <row r="4" spans="1:7" ht="49.8" customHeight="1" x14ac:dyDescent="0.3">
      <c r="A4" s="43" t="s">
        <v>11</v>
      </c>
      <c r="B4" s="43"/>
      <c r="C4" s="3" t="s">
        <v>13</v>
      </c>
      <c r="D4" s="39" t="s">
        <v>35</v>
      </c>
      <c r="E4" s="39"/>
      <c r="F4" s="29"/>
      <c r="G4" s="29"/>
    </row>
    <row r="5" spans="1:7" ht="36.6" customHeight="1" x14ac:dyDescent="0.3">
      <c r="A5" s="42" t="s">
        <v>12</v>
      </c>
      <c r="B5" s="42"/>
      <c r="C5" s="2" t="s">
        <v>14</v>
      </c>
      <c r="D5" s="45" t="s">
        <v>36</v>
      </c>
      <c r="E5" s="45"/>
      <c r="F5" s="29"/>
      <c r="G5" s="29"/>
    </row>
    <row r="6" spans="1:7" x14ac:dyDescent="0.3">
      <c r="A6" s="44"/>
      <c r="B6" s="44"/>
      <c r="C6" s="44"/>
      <c r="D6" s="44"/>
      <c r="E6" s="44"/>
      <c r="F6" s="44"/>
      <c r="G6" s="44"/>
    </row>
    <row r="7" spans="1:7" ht="48" customHeight="1" x14ac:dyDescent="0.3">
      <c r="A7" s="20" t="s">
        <v>0</v>
      </c>
      <c r="B7" s="21" t="s">
        <v>1</v>
      </c>
      <c r="C7" s="21" t="s">
        <v>2</v>
      </c>
      <c r="D7" s="21" t="s">
        <v>3</v>
      </c>
      <c r="E7" s="20" t="s">
        <v>4</v>
      </c>
      <c r="F7" s="21" t="s">
        <v>5</v>
      </c>
      <c r="G7" s="20" t="s">
        <v>6</v>
      </c>
    </row>
    <row r="8" spans="1:7" ht="34.950000000000003" customHeight="1" x14ac:dyDescent="0.3">
      <c r="A8" s="22" t="s">
        <v>15</v>
      </c>
      <c r="B8" s="41" t="s">
        <v>16</v>
      </c>
      <c r="C8" s="41"/>
      <c r="D8" s="41"/>
      <c r="E8" s="41"/>
      <c r="F8" s="41"/>
      <c r="G8" s="23">
        <f>SUM(G9:G13)</f>
        <v>4562220</v>
      </c>
    </row>
    <row r="9" spans="1:7" ht="34.950000000000003" customHeight="1" x14ac:dyDescent="0.3">
      <c r="A9" s="4"/>
      <c r="B9" s="4">
        <v>1.1000000000000001</v>
      </c>
      <c r="C9" s="7" t="s">
        <v>28</v>
      </c>
      <c r="D9" s="46" t="s">
        <v>27</v>
      </c>
      <c r="E9" s="47">
        <v>39</v>
      </c>
      <c r="F9" s="48">
        <v>116980</v>
      </c>
      <c r="G9" s="48">
        <f>+E9*F9</f>
        <v>4562220</v>
      </c>
    </row>
    <row r="10" spans="1:7" ht="42" x14ac:dyDescent="0.3">
      <c r="A10" s="2"/>
      <c r="B10" s="4">
        <v>1.2</v>
      </c>
      <c r="C10" s="24" t="s">
        <v>29</v>
      </c>
      <c r="D10" s="46"/>
      <c r="E10" s="47"/>
      <c r="F10" s="48"/>
      <c r="G10" s="48"/>
    </row>
    <row r="11" spans="1:7" ht="52.8" customHeight="1" x14ac:dyDescent="0.3">
      <c r="A11" s="2"/>
      <c r="B11" s="4">
        <v>1.3</v>
      </c>
      <c r="C11" s="24" t="s">
        <v>30</v>
      </c>
      <c r="D11" s="46"/>
      <c r="E11" s="47"/>
      <c r="F11" s="48"/>
      <c r="G11" s="48"/>
    </row>
    <row r="12" spans="1:7" ht="34.200000000000003" customHeight="1" x14ac:dyDescent="0.3">
      <c r="A12" s="2"/>
      <c r="B12" s="4">
        <v>1.4</v>
      </c>
      <c r="C12" s="24" t="s">
        <v>31</v>
      </c>
      <c r="D12" s="46"/>
      <c r="E12" s="47"/>
      <c r="F12" s="48"/>
      <c r="G12" s="48"/>
    </row>
    <row r="13" spans="1:7" ht="34.950000000000003" customHeight="1" x14ac:dyDescent="0.3">
      <c r="A13" s="5"/>
      <c r="B13" s="4">
        <v>1.5</v>
      </c>
      <c r="C13" s="24" t="s">
        <v>32</v>
      </c>
      <c r="D13" s="46"/>
      <c r="E13" s="47"/>
      <c r="F13" s="48"/>
      <c r="G13" s="48"/>
    </row>
    <row r="14" spans="1:7" ht="34.950000000000003" customHeight="1" x14ac:dyDescent="0.3">
      <c r="A14" s="5"/>
      <c r="B14" s="4">
        <v>1.6</v>
      </c>
      <c r="C14" s="24" t="s">
        <v>33</v>
      </c>
      <c r="D14" s="46"/>
      <c r="E14" s="47"/>
      <c r="F14" s="48"/>
      <c r="G14" s="48"/>
    </row>
    <row r="15" spans="1:7" ht="34.950000000000003" customHeight="1" x14ac:dyDescent="0.3">
      <c r="A15" s="5"/>
      <c r="B15" s="4">
        <v>1.7</v>
      </c>
      <c r="C15" s="24" t="s">
        <v>34</v>
      </c>
      <c r="D15" s="46"/>
      <c r="E15" s="47"/>
      <c r="F15" s="48"/>
      <c r="G15" s="48"/>
    </row>
    <row r="16" spans="1:7" ht="34.950000000000003" customHeight="1" x14ac:dyDescent="0.3">
      <c r="A16" s="18">
        <v>2</v>
      </c>
      <c r="B16" s="40" t="s">
        <v>17</v>
      </c>
      <c r="C16" s="40"/>
      <c r="D16" s="40"/>
      <c r="E16" s="40"/>
      <c r="F16" s="40"/>
      <c r="G16" s="19">
        <f>SUM(G17:G17)</f>
        <v>100000</v>
      </c>
    </row>
    <row r="17" spans="1:7" ht="34.950000000000003" customHeight="1" x14ac:dyDescent="0.3">
      <c r="A17" s="5"/>
      <c r="B17" s="6">
        <v>2.1</v>
      </c>
      <c r="C17" s="11" t="s">
        <v>18</v>
      </c>
      <c r="D17" s="6" t="s">
        <v>7</v>
      </c>
      <c r="E17" s="8">
        <v>1</v>
      </c>
      <c r="F17" s="9">
        <v>100000</v>
      </c>
      <c r="G17" s="10">
        <f t="shared" ref="G17" si="0">F17*E17</f>
        <v>100000</v>
      </c>
    </row>
    <row r="18" spans="1:7" ht="34.950000000000003" customHeight="1" x14ac:dyDescent="0.3">
      <c r="A18" s="12"/>
      <c r="B18" s="13"/>
      <c r="C18" s="13"/>
      <c r="D18" s="35" t="s">
        <v>19</v>
      </c>
      <c r="E18" s="36"/>
      <c r="F18" s="37"/>
      <c r="G18" s="17">
        <f>+G16+G8</f>
        <v>4662220</v>
      </c>
    </row>
    <row r="19" spans="1:7" ht="34.950000000000003" customHeight="1" x14ac:dyDescent="0.3">
      <c r="A19" s="12"/>
      <c r="B19" s="13"/>
      <c r="C19" s="13"/>
      <c r="D19" s="30" t="s">
        <v>20</v>
      </c>
      <c r="E19" s="31"/>
      <c r="F19" s="14">
        <v>0.1</v>
      </c>
      <c r="G19" s="15">
        <f>+$G$18*F19</f>
        <v>466222</v>
      </c>
    </row>
    <row r="20" spans="1:7" ht="34.950000000000003" customHeight="1" x14ac:dyDescent="0.3">
      <c r="A20" s="12"/>
      <c r="B20" s="13"/>
      <c r="C20" s="13"/>
      <c r="D20" s="30" t="s">
        <v>21</v>
      </c>
      <c r="E20" s="31"/>
      <c r="F20" s="14">
        <v>0.08</v>
      </c>
      <c r="G20" s="15">
        <f>+$G$18*F20</f>
        <v>372977.60000000003</v>
      </c>
    </row>
    <row r="21" spans="1:7" ht="34.950000000000003" customHeight="1" x14ac:dyDescent="0.3">
      <c r="A21" s="12"/>
      <c r="B21" s="13"/>
      <c r="C21" s="13"/>
      <c r="D21" s="30" t="s">
        <v>22</v>
      </c>
      <c r="E21" s="31"/>
      <c r="F21" s="14">
        <v>0.05</v>
      </c>
      <c r="G21" s="15">
        <f>+$G$18*F21</f>
        <v>233111</v>
      </c>
    </row>
    <row r="22" spans="1:7" ht="34.950000000000003" customHeight="1" x14ac:dyDescent="0.3">
      <c r="A22" s="12"/>
      <c r="B22" s="13"/>
      <c r="C22" s="13"/>
      <c r="D22" s="30" t="s">
        <v>8</v>
      </c>
      <c r="E22" s="31"/>
      <c r="F22" s="14">
        <v>0.19</v>
      </c>
      <c r="G22" s="15">
        <f>+G21*F22</f>
        <v>44291.090000000004</v>
      </c>
    </row>
    <row r="23" spans="1:7" ht="34.950000000000003" customHeight="1" x14ac:dyDescent="0.3">
      <c r="A23" s="12"/>
      <c r="B23" s="13"/>
      <c r="C23" s="13"/>
      <c r="D23" s="32" t="s">
        <v>23</v>
      </c>
      <c r="E23" s="33"/>
      <c r="F23" s="34"/>
      <c r="G23" s="16">
        <f>+G19+G20+G21+G22</f>
        <v>1116601.6900000002</v>
      </c>
    </row>
    <row r="24" spans="1:7" ht="34.950000000000003" customHeight="1" x14ac:dyDescent="0.3">
      <c r="A24" s="12"/>
      <c r="B24" s="13"/>
      <c r="C24" s="13"/>
      <c r="D24" s="26" t="s">
        <v>24</v>
      </c>
      <c r="E24" s="27"/>
      <c r="F24" s="28"/>
      <c r="G24" s="25">
        <f>+G18+G23</f>
        <v>5778821.6900000004</v>
      </c>
    </row>
    <row r="25" spans="1:7" ht="34.950000000000003" customHeight="1" x14ac:dyDescent="0.3"/>
    <row r="26" spans="1:7" ht="34.950000000000003" customHeight="1" x14ac:dyDescent="0.3"/>
    <row r="27" spans="1:7" ht="34.950000000000003" customHeight="1" x14ac:dyDescent="0.3"/>
    <row r="28" spans="1:7" ht="34.950000000000003" customHeight="1" x14ac:dyDescent="0.3"/>
    <row r="29" spans="1:7" ht="34.950000000000003" customHeight="1" x14ac:dyDescent="0.3"/>
  </sheetData>
  <mergeCells count="23">
    <mergeCell ref="A1:G1"/>
    <mergeCell ref="A2:G2"/>
    <mergeCell ref="B16:F16"/>
    <mergeCell ref="B8:F8"/>
    <mergeCell ref="C3:E3"/>
    <mergeCell ref="A3:B3"/>
    <mergeCell ref="D4:E4"/>
    <mergeCell ref="A5:B5"/>
    <mergeCell ref="A6:G6"/>
    <mergeCell ref="D5:E5"/>
    <mergeCell ref="A4:B4"/>
    <mergeCell ref="D9:D15"/>
    <mergeCell ref="E9:E15"/>
    <mergeCell ref="F9:F15"/>
    <mergeCell ref="G9:G15"/>
    <mergeCell ref="D24:F24"/>
    <mergeCell ref="F3:G5"/>
    <mergeCell ref="D19:E19"/>
    <mergeCell ref="D20:E20"/>
    <mergeCell ref="D21:E21"/>
    <mergeCell ref="D22:E22"/>
    <mergeCell ref="D23:F23"/>
    <mergeCell ref="D18:F18"/>
  </mergeCells>
  <phoneticPr fontId="2" type="noConversion"/>
  <pageMargins left="0.70866141732283461" right="0.70866141732283461" top="0.74803149606299213" bottom="0.74803149606299213" header="0.31496062992125984" footer="0.31496062992125984"/>
  <pageSetup scale="5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ESPECIFICACIONES</vt:lpstr>
      <vt:lpstr>ESPECIFICACIONES!Área_de_impresión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2025-06-04T20:06:35Z</cp:lastPrinted>
  <dcterms:created xsi:type="dcterms:W3CDTF">2024-02-08T21:06:52Z</dcterms:created>
  <dcterms:modified xsi:type="dcterms:W3CDTF">2025-07-02T20:24:40Z</dcterms:modified>
  <cp:category/>
  <cp:contentStatus/>
</cp:coreProperties>
</file>