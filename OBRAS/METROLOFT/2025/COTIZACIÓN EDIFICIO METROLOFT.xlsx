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8_{320AC358-7A4D-4088-BAF5-D7A0B2D76A66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 l="1"/>
  <c r="G19" i="1" l="1"/>
  <c r="G22" i="1" s="1"/>
  <c r="G23" i="1" s="1"/>
  <c r="G21" i="1" l="1"/>
  <c r="G20" i="1"/>
  <c r="G24" i="1" l="1"/>
  <c r="G25" i="1" s="1"/>
</calcChain>
</file>

<file path=xl/sharedStrings.xml><?xml version="1.0" encoding="utf-8"?>
<sst xmlns="http://schemas.openxmlformats.org/spreadsheetml/2006/main" count="40" uniqueCount="40">
  <si>
    <t>CAPT</t>
  </si>
  <si>
    <t>ITEMS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</si>
  <si>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</si>
  <si>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</si>
  <si>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</si>
  <si>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</si>
  <si>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</si>
  <si>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</si>
  <si>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</si>
  <si>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</si>
  <si>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</si>
  <si>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</si>
  <si>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</si>
  <si>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</si>
  <si>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</si>
  <si>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</si>
  <si>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</si>
  <si>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</si>
  <si>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</si>
  <si>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</si>
  <si>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</si>
  <si>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</si>
  <si>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</si>
  <si>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</si>
  <si>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DEMOLICIÓN - PREPARADO DE SUPERFICIE</t>
  </si>
  <si>
    <t>ACABADO PINTURA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</si>
  <si>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</si>
  <si>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</si>
  <si>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Aseo general y retiro de pintura.</t>
  </si>
  <si>
    <t xml:space="preserve">  FECHA: 27/01/2025</t>
  </si>
  <si>
    <t xml:space="preserve">  VALIDO HASTA: 27/04/2025</t>
  </si>
  <si>
    <t>Instalación y demarcación de con avisos y señalética necesaria</t>
  </si>
  <si>
    <t>Protección de elementos que no requieren mantenimiento y pueden sufrir afectaciones por la ejecución de la obra en todas las superficies anexas a las obras y que se requiera que no sufran afectaciones permanentes</t>
  </si>
  <si>
    <t>Suministro y aplicación de pintura Koraza Pro 550 a dos manos</t>
  </si>
  <si>
    <t>Levantamiento y remoción de material desprendido, se debe desprender todo material soplado evidenciado a la vista, material suelto por formación de hongos o mal adherido y además se deben retirar sectores complementarios a los afectados para unificar y regularizar las reparaciones</t>
  </si>
  <si>
    <t>COTIZACION REPARACIÓN - EDIFICIO METROLOFT</t>
  </si>
  <si>
    <t>Lavado y limpieza de las superficies que presenten hongos, la limpieza se realizará el lavado con bactericidas o hipoclorito al 10%.</t>
  </si>
  <si>
    <t>Resanes en zonas necesarias en los cuales se realizará aplicación de imprimante, posterior aplicación de estuco acrilico</t>
  </si>
  <si>
    <t>REPACIÓN VOLUMENES</t>
  </si>
  <si>
    <t>Sello de volumenes existentes que permiten ingreso de agua hacia la zona de cielos, reparación de las zonas que lo requieren en el 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</si>
</sst>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165" fontId="3" fillId="2" borderId="1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4" fontId="5" fillId="2" borderId="21" xfId="0" applyNumberFormat="1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3" fontId="3" fillId="2" borderId="17" xfId="1" applyFont="1" applyFill="1" applyBorder="1" applyAlignment="1">
      <alignment horizontal="center" vertical="center"/>
    </xf>
    <xf numFmtId="43" fontId="3" fillId="2" borderId="20" xfId="1" applyFont="1" applyFill="1" applyBorder="1" applyAlignment="1">
      <alignment horizontal="center" vertical="center"/>
    </xf>
    <xf numFmtId="43" fontId="3" fillId="2" borderId="18" xfId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43" fontId="5" fillId="0" borderId="22" xfId="1" applyFont="1" applyFill="1" applyBorder="1" applyAlignment="1">
      <alignment horizontal="center" vertical="center" wrapText="1"/>
    </xf>
    <xf numFmtId="43" fontId="5" fillId="0" borderId="23" xfId="1" applyFont="1" applyFill="1" applyBorder="1" applyAlignment="1">
      <alignment horizontal="center" vertical="center" wrapText="1"/>
    </xf>
    <xf numFmtId="43" fontId="5" fillId="0" borderId="24" xfId="1" applyFont="1" applyFill="1" applyBorder="1" applyAlignment="1">
      <alignment horizontal="center"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164" fontId="5" fillId="0" borderId="23" xfId="0" applyNumberFormat="1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1016001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4" zoomScale="60" zoomScaleNormal="60" workbookViewId="0">
      <selection activeCell="H14" sqref="H14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6.5546875" style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8" ht="22.5" customHeight="1" x14ac:dyDescent="0.3">
      <c r="A1" s="26" t="s">
        <v>35</v>
      </c>
      <c r="B1" s="27"/>
      <c r="C1" s="27"/>
      <c r="D1" s="27"/>
      <c r="E1" s="27"/>
      <c r="F1" s="27"/>
      <c r="G1" s="28"/>
    </row>
    <row r="2" spans="1:8" ht="25.2" customHeight="1" x14ac:dyDescent="0.3">
      <c r="A2" s="30" t="s">
        <v>12</v>
      </c>
      <c r="B2" s="30"/>
      <c r="C2" s="3" t="s">
        <v>13</v>
      </c>
      <c r="D2" s="3" t="s">
        <v>14</v>
      </c>
      <c r="E2" s="3" t="s">
        <v>15</v>
      </c>
      <c r="F2" s="31"/>
      <c r="G2" s="32"/>
    </row>
    <row r="3" spans="1:8" ht="30" x14ac:dyDescent="0.3">
      <c r="A3" s="30" t="s">
        <v>16</v>
      </c>
      <c r="B3" s="30"/>
      <c r="C3" s="3" t="s">
        <v>27</v>
      </c>
      <c r="D3" s="30" t="s">
        <v>29</v>
      </c>
      <c r="E3" s="30"/>
      <c r="F3" s="33"/>
      <c r="G3" s="34"/>
      <c r="H3"/>
    </row>
    <row r="4" spans="1:8" ht="22.5" customHeight="1" x14ac:dyDescent="0.3">
      <c r="A4" s="30" t="s">
        <v>17</v>
      </c>
      <c r="B4" s="30"/>
      <c r="C4" s="3" t="s">
        <v>18</v>
      </c>
      <c r="D4" s="30" t="s">
        <v>30</v>
      </c>
      <c r="E4" s="30"/>
      <c r="F4" s="35"/>
      <c r="G4" s="36"/>
      <c r="H4"/>
    </row>
    <row r="5" spans="1:8" ht="30" x14ac:dyDescent="0.3">
      <c r="A5" s="11" t="s">
        <v>0</v>
      </c>
      <c r="B5" s="11" t="s">
        <v>1</v>
      </c>
      <c r="C5" s="11" t="s">
        <v>3</v>
      </c>
      <c r="D5" s="11" t="s">
        <v>19</v>
      </c>
      <c r="E5" s="11" t="s">
        <v>20</v>
      </c>
      <c r="F5" s="11" t="s">
        <v>21</v>
      </c>
      <c r="G5" s="11" t="s">
        <v>22</v>
      </c>
      <c r="H5"/>
    </row>
    <row r="6" spans="1:8" ht="23.25" customHeight="1" x14ac:dyDescent="0.3">
      <c r="A6" s="14" t="s">
        <v>4</v>
      </c>
      <c r="B6" s="13"/>
      <c r="C6" s="13" t="s">
        <v>5</v>
      </c>
      <c r="D6" s="13"/>
      <c r="E6" s="13"/>
      <c r="F6" s="13"/>
      <c r="G6" s="25">
        <f>SUM(G7:G8)</f>
        <v>2500000</v>
      </c>
    </row>
    <row r="7" spans="1:8" ht="22.2" customHeight="1" x14ac:dyDescent="0.3">
      <c r="A7" s="12"/>
      <c r="B7" s="19">
        <v>1.1000000000000001</v>
      </c>
      <c r="C7" s="24" t="s">
        <v>31</v>
      </c>
      <c r="D7" s="42" t="s">
        <v>23</v>
      </c>
      <c r="E7" s="45">
        <v>1</v>
      </c>
      <c r="F7" s="48">
        <v>2500000</v>
      </c>
      <c r="G7" s="48">
        <f t="shared" ref="G7" si="0">F7*E7</f>
        <v>2500000</v>
      </c>
    </row>
    <row r="8" spans="1:8" ht="67.8" customHeight="1" x14ac:dyDescent="0.3">
      <c r="A8" s="12"/>
      <c r="B8" s="19">
        <v>1.2</v>
      </c>
      <c r="C8" s="24" t="s">
        <v>32</v>
      </c>
      <c r="D8" s="43"/>
      <c r="E8" s="46"/>
      <c r="F8" s="49"/>
      <c r="G8" s="49"/>
    </row>
    <row r="9" spans="1:8" ht="23.25" customHeight="1" x14ac:dyDescent="0.3">
      <c r="A9" s="14">
        <v>2</v>
      </c>
      <c r="B9" s="15"/>
      <c r="C9" s="23" t="s">
        <v>24</v>
      </c>
      <c r="D9" s="43"/>
      <c r="E9" s="46"/>
      <c r="F9" s="49"/>
      <c r="G9" s="49"/>
    </row>
    <row r="10" spans="1:8" ht="37.200000000000003" customHeight="1" x14ac:dyDescent="0.3">
      <c r="A10" s="16"/>
      <c r="B10" s="20">
        <v>2.1</v>
      </c>
      <c r="C10" s="24" t="s">
        <v>36</v>
      </c>
      <c r="D10" s="43"/>
      <c r="E10" s="46"/>
      <c r="F10" s="49"/>
      <c r="G10" s="49"/>
    </row>
    <row r="11" spans="1:8" ht="82.2" customHeight="1" x14ac:dyDescent="0.3">
      <c r="A11" s="16"/>
      <c r="B11" s="20">
        <v>2.2000000000000002</v>
      </c>
      <c r="C11" s="24" t="s">
        <v>34</v>
      </c>
      <c r="D11" s="43"/>
      <c r="E11" s="46"/>
      <c r="F11" s="49"/>
      <c r="G11" s="49"/>
    </row>
    <row r="12" spans="1:8" ht="42" customHeight="1" x14ac:dyDescent="0.3">
      <c r="A12" s="17"/>
      <c r="B12" s="20">
        <v>2.2999999999999998</v>
      </c>
      <c r="C12" s="24" t="s">
        <v>37</v>
      </c>
      <c r="D12" s="43"/>
      <c r="E12" s="46"/>
      <c r="F12" s="49"/>
      <c r="G12" s="49"/>
    </row>
    <row r="13" spans="1:8" ht="21" customHeight="1" x14ac:dyDescent="0.3">
      <c r="A13" s="14">
        <v>3</v>
      </c>
      <c r="B13" s="15"/>
      <c r="C13" s="23" t="s">
        <v>38</v>
      </c>
      <c r="D13" s="43"/>
      <c r="E13" s="46"/>
      <c r="F13" s="49"/>
      <c r="G13" s="49"/>
    </row>
    <row r="14" spans="1:8" ht="60" customHeight="1" x14ac:dyDescent="0.3">
      <c r="A14" s="18"/>
      <c r="B14" s="22">
        <v>3.1</v>
      </c>
      <c r="C14" s="24" t="s">
        <v>39</v>
      </c>
      <c r="D14" s="43"/>
      <c r="E14" s="46"/>
      <c r="F14" s="49"/>
      <c r="G14" s="49"/>
    </row>
    <row r="15" spans="1:8" ht="23.25" customHeight="1" x14ac:dyDescent="0.3">
      <c r="A15" s="14">
        <v>4</v>
      </c>
      <c r="B15" s="15"/>
      <c r="C15" s="23" t="s">
        <v>25</v>
      </c>
      <c r="D15" s="43"/>
      <c r="E15" s="46"/>
      <c r="F15" s="49"/>
      <c r="G15" s="49"/>
    </row>
    <row r="16" spans="1:8" ht="31.2" customHeight="1" x14ac:dyDescent="0.3">
      <c r="A16" s="17"/>
      <c r="B16" s="21">
        <v>4.2</v>
      </c>
      <c r="C16" s="24" t="s">
        <v>33</v>
      </c>
      <c r="D16" s="43"/>
      <c r="E16" s="46"/>
      <c r="F16" s="49"/>
      <c r="G16" s="49"/>
    </row>
    <row r="17" spans="1:7" ht="23.25" customHeight="1" x14ac:dyDescent="0.3">
      <c r="A17" s="14">
        <v>5</v>
      </c>
      <c r="B17" s="15"/>
      <c r="C17" s="23" t="s">
        <v>26</v>
      </c>
      <c r="D17" s="43"/>
      <c r="E17" s="46"/>
      <c r="F17" s="49"/>
      <c r="G17" s="49"/>
    </row>
    <row r="18" spans="1:7" ht="27" customHeight="1" x14ac:dyDescent="0.3">
      <c r="A18" s="17"/>
      <c r="B18" s="21">
        <v>5.0999999999999996</v>
      </c>
      <c r="C18" s="24" t="s">
        <v>28</v>
      </c>
      <c r="D18" s="44"/>
      <c r="E18" s="47"/>
      <c r="F18" s="50"/>
      <c r="G18" s="50"/>
    </row>
    <row r="19" spans="1:7" ht="21" customHeight="1" x14ac:dyDescent="0.3">
      <c r="A19" s="4"/>
      <c r="B19" s="5"/>
      <c r="C19" s="5"/>
      <c r="D19" s="37" t="s">
        <v>6</v>
      </c>
      <c r="E19" s="38"/>
      <c r="F19" s="39"/>
      <c r="G19" s="6">
        <f>+G17+G15+G13+G9+G6</f>
        <v>2500000</v>
      </c>
    </row>
    <row r="20" spans="1:7" ht="21.75" customHeight="1" x14ac:dyDescent="0.3">
      <c r="A20" s="4"/>
      <c r="B20" s="5"/>
      <c r="C20" s="5"/>
      <c r="D20" s="29" t="s">
        <v>7</v>
      </c>
      <c r="E20" s="29"/>
      <c r="F20" s="7">
        <v>0.08</v>
      </c>
      <c r="G20" s="8">
        <f>+$G$19*F20</f>
        <v>200000</v>
      </c>
    </row>
    <row r="21" spans="1:7" ht="21.75" customHeight="1" x14ac:dyDescent="0.3">
      <c r="A21" s="4"/>
      <c r="B21" s="5"/>
      <c r="C21" s="5"/>
      <c r="D21" s="29" t="s">
        <v>8</v>
      </c>
      <c r="E21" s="29"/>
      <c r="F21" s="7">
        <v>0.05</v>
      </c>
      <c r="G21" s="8">
        <f>+$G$19*F21</f>
        <v>125000</v>
      </c>
    </row>
    <row r="22" spans="1:7" ht="21.75" customHeight="1" x14ac:dyDescent="0.3">
      <c r="A22" s="4"/>
      <c r="B22" s="5"/>
      <c r="C22" s="5"/>
      <c r="D22" s="29" t="s">
        <v>9</v>
      </c>
      <c r="E22" s="29"/>
      <c r="F22" s="7">
        <v>0.05</v>
      </c>
      <c r="G22" s="8">
        <f>+$G$19*F22</f>
        <v>125000</v>
      </c>
    </row>
    <row r="23" spans="1:7" ht="21.75" customHeight="1" x14ac:dyDescent="0.3">
      <c r="A23" s="4"/>
      <c r="B23" s="5"/>
      <c r="C23" s="5"/>
      <c r="D23" s="29" t="s">
        <v>2</v>
      </c>
      <c r="E23" s="29"/>
      <c r="F23" s="7">
        <v>0.19</v>
      </c>
      <c r="G23" s="8">
        <f>+G22*F23</f>
        <v>23750</v>
      </c>
    </row>
    <row r="24" spans="1:7" ht="21.75" customHeight="1" x14ac:dyDescent="0.3">
      <c r="A24" s="4"/>
      <c r="B24" s="5"/>
      <c r="C24" s="5"/>
      <c r="D24" s="41" t="s">
        <v>10</v>
      </c>
      <c r="E24" s="41"/>
      <c r="F24" s="41"/>
      <c r="G24" s="9">
        <f>+G20+G21+G22+G23</f>
        <v>473750</v>
      </c>
    </row>
    <row r="25" spans="1:7" ht="21.75" customHeight="1" x14ac:dyDescent="0.3">
      <c r="A25" s="4"/>
      <c r="B25" s="5"/>
      <c r="C25" s="5"/>
      <c r="D25" s="40" t="s">
        <v>11</v>
      </c>
      <c r="E25" s="40"/>
      <c r="F25" s="40"/>
      <c r="G25" s="10">
        <f>+G19+G24</f>
        <v>2973750</v>
      </c>
    </row>
    <row r="26" spans="1:7" ht="21.75" customHeight="1" x14ac:dyDescent="0.3"/>
  </sheetData>
  <mergeCells count="18">
    <mergeCell ref="D25:F25"/>
    <mergeCell ref="D24:F24"/>
    <mergeCell ref="D23:E23"/>
    <mergeCell ref="D7:D18"/>
    <mergeCell ref="E7:E18"/>
    <mergeCell ref="F7:F18"/>
    <mergeCell ref="A1:G1"/>
    <mergeCell ref="D22:E22"/>
    <mergeCell ref="D21:E21"/>
    <mergeCell ref="D20:E20"/>
    <mergeCell ref="A2:B2"/>
    <mergeCell ref="A3:B3"/>
    <mergeCell ref="D3:E3"/>
    <mergeCell ref="A4:B4"/>
    <mergeCell ref="D4:E4"/>
    <mergeCell ref="F2:G4"/>
    <mergeCell ref="D19:F19"/>
    <mergeCell ref="G7:G18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2025-01-30T13:22:56Z</dcterms:modified>
  <cp:category/>
  <cp:contentStatus/>
</cp:coreProperties>
</file>