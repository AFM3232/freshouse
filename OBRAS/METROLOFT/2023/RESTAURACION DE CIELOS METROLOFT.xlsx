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Felipe Montoya\Downloads\"/>
    </mc:Choice>
  </mc:AlternateContent>
  <xr:revisionPtr revIDLastSave="0" documentId="13_ncr:1_{4FCBA64C-13C4-484D-BB79-E368083AA13D}" xr6:coauthVersionLast="47" xr6:coauthVersionMax="47" xr10:uidLastSave="{00000000-0000-0000-0000-000000000000}"/>
  <bookViews>
    <workbookView xWindow="-108" yWindow="-108" windowWidth="23256" windowHeight="12456" xr2:uid="{00000000-000D-0000-FFFF-FFFF00000000}"/>
  </bookViews>
  <sheets>
    <sheet name="COTIZAC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 l="1"/>
  <c r="F23" i="1" l="1"/>
  <c r="F13" i="1" l="1"/>
  <c r="F14" i="1"/>
  <c r="F16" i="1"/>
  <c r="F17" i="1"/>
  <c r="F19" i="1"/>
  <c r="F12" i="1" l="1"/>
  <c r="F24" i="1" s="1"/>
  <c r="F26" i="1" l="1"/>
  <c r="F25" i="1"/>
  <c r="F27" i="1"/>
  <c r="F28" i="1" s="1"/>
  <c r="F29"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<sst xmlns="http://schemas.openxmlformats.org/spreadsheetml/2006/main" count="51" uniqueCount="48">
  <si>
    <t xml:space="preserve">DIRECCIÓN:             </t>
  </si>
  <si>
    <t>ITEM</t>
  </si>
  <si>
    <t>UNIDAD</t>
  </si>
  <si>
    <t>CANT</t>
  </si>
  <si>
    <t>VR/TOTAL</t>
  </si>
  <si>
    <t>COSTO DIRECTO</t>
  </si>
  <si>
    <t xml:space="preserve">ADMINISTRACIÓN </t>
  </si>
  <si>
    <t xml:space="preserve">IMPREVISTOS  </t>
  </si>
  <si>
    <t>UTILIDAD</t>
  </si>
  <si>
    <t>IVA SOBRE LA UTILIDAD</t>
  </si>
  <si>
    <t>DESCRIPCION</t>
  </si>
  <si>
    <t>VALOR/UNIDAD</t>
  </si>
  <si>
    <t>CONTRATISTA:       RENSO ALBERTO MONTOYA UPEGUI</t>
  </si>
  <si>
    <t>MUNICIPIO:              ARMENIA - QUINDÍO</t>
  </si>
  <si>
    <t>NOTA: El valor final de la liquidación, será el resultado de multiplicar las cantidades ejecutadas por los valores unitarios contratados más el AIU, más el IVA correspondiente sobre la utilidad.</t>
  </si>
  <si>
    <t>OBSERVACIÓN:Todas las actividades que no tengan relación con la descripción de los ITEMS, se considera adicional.</t>
  </si>
  <si>
    <t>ESTA OBRA SE COTIZA A TODO COSTO INCLUYE MANO DE OBRA Y MATERIALES DE PRIMERA CALIDAD</t>
  </si>
  <si>
    <t>CONSTRUCCIÓN DE CAMPAMENTO PROVISIONAL DE OBRA Y BODEGA PARA LOS TRABAJADORES | DEPOSITO SEGURO DE LOS MATERIALES EN OBRA</t>
  </si>
  <si>
    <t>MT2</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</si>
  <si>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</si>
  <si>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GLB</t>
  </si>
  <si>
    <t>PROTECCIÓN DE ELEMENTOS QUE NO REQUIEREN MANTENIMIENTO Y PUEDEN SUFRIR AFECTACIONES POR LA EJECUCIÓN DE LA OBRA COMO BARANDAS DE BALCONES EN VIDRIO, BARANDAS DE BALCONES, ALFAJÍAS EN ALUMINIO, JARDINES, PISOS, ETC... CON VINIPEL, PLÁSTICOS EN TODAS LAS SUPERFICIES ANEXAS A LAS OBRAS Y QUE SE REQUIERA QUE NO SUFRAN AFECTACIONES PERMANENTES</t>
  </si>
  <si>
    <t>DEMOLICIÓN PREPARADO DE SUPERFICIE</t>
  </si>
  <si>
    <t>ACTIVIDADES</t>
  </si>
  <si>
    <t>ML</t>
  </si>
  <si>
    <t>UND</t>
  </si>
  <si>
    <t>ACABADO PINTURA</t>
  </si>
  <si>
    <t>TERMINADO / LIMPIEZA</t>
  </si>
  <si>
    <t>ASEO GENERAL Y RETIRO DE PINTURA.</t>
  </si>
  <si>
    <t>ANTICIPO:20 % del valor total, el 50% mediante CORTE POR AVANCE DE OBRA Y 30% A LA ENTREGA DE LA OBRA</t>
  </si>
  <si>
    <t>B</t>
  </si>
  <si>
    <t xml:space="preserve">IMPERMEABILIZACIÓN / REPARACIÓN ACABADOS </t>
  </si>
  <si>
    <t xml:space="preserve">C </t>
  </si>
  <si>
    <t>D</t>
  </si>
  <si>
    <t>F</t>
  </si>
  <si>
    <t>TOTAL</t>
  </si>
  <si>
    <r>
      <rPr>
        <b/>
        <sz val="10"/>
        <color rgb="FF262626"/>
        <rFont val="Swis721 LtCn BT"/>
        <family val="2"/>
      </rPr>
      <t>LAVADO Y LIMPIEZA</t>
    </r>
    <r>
      <rPr>
        <sz val="10"/>
        <color rgb="FF262626"/>
        <rFont val="Swis721 LtCn BT"/>
        <family val="2"/>
      </rPr>
      <t xml:space="preserve"> DE  LAS SUPERFICIES QUE PRESENTEN HONGOS EN EL EDIFICIO INCLUYE, VENTANAS, VIDRIERAS, PAREDES, LA LIMPIEZA SE REALIZARÁ EL LAVADO CON BACTERICIDAS O HIPOCLORITO AL 10%, ESCOBA SEGÚN SEA EL CASO| SE DEBE DE LAVAR TODAS LAS SUPERFICIES DE LAS FACHADAS DEL EDIFICIO QUE PRESENTA HONGOS Y BACTERIA , SE DEBE  ELIMINAR POLVOS Y GRASAS QUE IMPIDAN QUE LOS PRODUCTOS A APLICAR QUEDEN BIEN ADHERIDOS Y CUMPLAN CON SI ESTABILIDAD.</t>
    </r>
  </si>
  <si>
    <r>
      <t xml:space="preserve">LEVANTAMIENTO Y REMOCIÓN DE </t>
    </r>
    <r>
      <rPr>
        <b/>
        <sz val="10"/>
        <color rgb="FF262626"/>
        <rFont val="Swis721 LtCn BT"/>
        <family val="2"/>
      </rPr>
      <t>GRANIPLAST DESPRENDIDO EN  LAS FACHADAS DEL EDIFICIO INCLUYE MAMPOSTERÍA, CONCRETO Y FACHADAS FLOTANTES</t>
    </r>
    <r>
      <rPr>
        <sz val="10"/>
        <color rgb="FF262626"/>
        <rFont val="Swis721 LtCn BT"/>
        <family val="2"/>
      </rPr>
      <t>, SE DEBE DESPRENDER TODO GRANIPLAST SOPLADO EVIDENCIADO A LA VISTA, GRANIPLAST SUELTO POR FORMACIÓN DE HONGOS O MAL ADHERIDO Y ADEMÁS SE DEBEN RETIRAR SECTORES COMPLEMENTARIOS A LOS AFECTADOS PARA UNIFICAR Y REGULARIZAR LAS REPARACIONES LOS PAÑOS DE AREA MAYOR A UN MT/2 SE HARAN COMPLETOS</t>
    </r>
  </si>
  <si>
    <r>
      <t xml:space="preserve">TRATAMIENTO PARA EL </t>
    </r>
    <r>
      <rPr>
        <b/>
        <sz val="10"/>
        <color rgb="FF262626"/>
        <rFont val="Swis721 LtCn BT"/>
        <family val="2"/>
      </rPr>
      <t>SELLO DE JUNTA ENTRE LAS PAREDES Y LAS VENTANAS</t>
    </r>
    <r>
      <rPr>
        <sz val="10"/>
        <color rgb="FF262626"/>
        <rFont val="Swis721 LtCn BT"/>
        <family val="2"/>
      </rPr>
      <t>, INCLUYE DESPRENDIMIENTO DE LOS SELLOS QUE SE ENCUENTREN EN MAL ESTADO, LIMPIEZA DE LAS SUPERFICIES, RELLENO DE ESPACIOS RESULTANTES CON CON POLIURETANO HIBRIDO 100% PINTABLE Y SELLO DE VERTICES INTERNOS DE LAS VENTANAS CON RESINA .</t>
    </r>
  </si>
  <si>
    <t>MT/2</t>
  </si>
  <si>
    <t>PLAZO: (60)  días calendario, contados a partir de la fecha de la entrega del anticipo y firma del acta de inicio.</t>
  </si>
  <si>
    <t>VALIDEZ DE LA OFERTA: (30) dias días calendario, contados a partir de la fecha de la entrega de la propuesta.</t>
  </si>
  <si>
    <r>
      <t xml:space="preserve">SUMINISTRO Y </t>
    </r>
    <r>
      <rPr>
        <b/>
        <sz val="10"/>
        <color rgb="FF262626"/>
        <rFont val="Swis721 LtCn BT"/>
        <family val="2"/>
      </rPr>
      <t>APLICACIÓN DE PINTURA KORAZA PRO 550</t>
    </r>
    <r>
      <rPr>
        <sz val="10"/>
        <color rgb="FF262626"/>
        <rFont val="Swis721 ltcn bt"/>
      </rPr>
      <t xml:space="preserve"> SOBRE TODAS LAS FACHADA A DOS MANOS TENIENDO UN TIEMPO MINIMO ENTRE MANOS DE TRE HORAS </t>
    </r>
  </si>
  <si>
    <t>FECHA:                    19/12/2023</t>
  </si>
  <si>
    <t>CONTRATANTE:      EDIFICIO TORRE 100</t>
  </si>
  <si>
    <t>A</t>
  </si>
  <si>
    <t>COTIZACION OBRA</t>
  </si>
  <si>
    <t>OBRA:RESTAURACION DE CIELOS EDIFICIO METROLOFT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</si>
</sst>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_-&quot;$&quot;* #,##0.00_-;\-&quot;$&quot;* #,##0.00_-;_-&quot;$&quot;* &quot;-&quot;??_-;_-@_-"/>
    <numFmt numFmtId="166" formatCode="_-&quot;$&quot;* #,##0_-;\-&quot;$&quot;* #,##0_-;_-&quot;$&quot;* &quot;-&quot;??_-;_-@_-"/>
  </numFmts>
  <fonts count="17">
    <font>
      <sz val="11"/>
      <color theme="1"/>
      <name val="Calibri"/>
      <family val="2"/>
      <scheme val="minor"/>
    </font>
    <font>
      <sz val="11"/>
      <color theme="1"/>
      <name val="Calibri"/>
      <family val="2"/>
      <scheme val="minor"/>
    </font>
    <font>
      <b/>
      <sz val="10"/>
      <name val="Arial"/>
      <family val="2"/>
    </font>
    <font>
      <sz val="10"/>
      <name val="Arial"/>
      <family val="2"/>
    </font>
    <font>
      <sz val="9"/>
      <name val="Arial"/>
      <family val="2"/>
    </font>
    <font>
      <b/>
      <sz val="11"/>
      <color theme="1"/>
      <name val="Calibri"/>
      <family val="2"/>
      <scheme val="minor"/>
    </font>
    <font>
      <sz val="10"/>
      <color rgb="FF262626"/>
      <name val="Swis721 ltcn bt"/>
    </font>
    <font>
      <sz val="10"/>
      <color rgb="FF262626"/>
      <name val="Swis721 LtCn BT"/>
      <family val="2"/>
    </font>
    <font>
      <b/>
      <sz val="10"/>
      <color rgb="FF262626"/>
      <name val="Swis721 LtCn BT"/>
      <family val="2"/>
    </font>
    <font>
      <sz val="9"/>
      <color rgb="FF262626"/>
      <name val="Swis721 ltcn bt"/>
    </font>
    <font>
      <sz val="10"/>
      <color theme="1"/>
      <name val="Calibri"/>
      <family val="2"/>
      <scheme val="minor"/>
    </font>
    <font>
      <b/>
      <sz val="10"/>
      <name val="Calibri"/>
      <family val="2"/>
    </font>
    <font>
      <sz val="10"/>
      <name val="Calibri"/>
      <family val="2"/>
    </font>
    <font>
      <b/>
      <sz val="10"/>
      <color rgb="FF000000"/>
      <name val="Calibri"/>
      <family val="2"/>
    </font>
    <font>
      <b/>
      <sz val="12"/>
      <name val="Arial"/>
      <family val="2"/>
    </font>
    <font>
      <b/>
      <sz val="10"/>
      <color theme="1"/>
      <name val="Swis721 ltcn bt"/>
    </font>
    <font>
      <b/>
      <sz val="10"/>
      <color theme="1"/>
      <name val="Arial"/>
      <family val="2"/>
    </font>
  </fonts>
  <fills count="10">
    <fill>
      <patternFill patternType="none"/>
    </fill>
    <fill>
      <patternFill patternType="gray125"/>
    </fill>
    <fill>
      <patternFill patternType="solid">
        <fgColor rgb="FF8DB4E2"/>
        <bgColor indexed="64"/>
      </patternFill>
    </fill>
    <fill>
      <patternFill patternType="solid">
        <fgColor rgb="FFFFFF00"/>
        <bgColor indexed="64"/>
      </patternFill>
    </fill>
    <fill>
      <patternFill patternType="solid">
        <fgColor theme="0"/>
        <bgColor indexed="64"/>
      </patternFill>
    </fill>
    <fill>
      <patternFill patternType="solid">
        <fgColor rgb="FF757070"/>
        <bgColor rgb="FF757070"/>
      </patternFill>
    </fill>
    <fill>
      <patternFill patternType="solid">
        <fgColor theme="0" tint="-0.34998626667073579"/>
        <bgColor indexed="64"/>
      </patternFill>
    </fill>
    <fill>
      <patternFill patternType="solid">
        <fgColor theme="0" tint="-0.34998626667073579"/>
        <bgColor rgb="FF757070"/>
      </patternFill>
    </fill>
    <fill>
      <patternFill patternType="solid">
        <fgColor theme="7" tint="0.59999389629810485"/>
        <bgColor indexed="64"/>
      </patternFill>
    </fill>
    <fill>
      <patternFill patternType="solid">
        <fgColor theme="9" tint="0.59999389629810485"/>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165" fontId="1" fillId="0" borderId="0" applyFont="0" applyFill="0" applyBorder="0" applyAlignment="0" applyProtection="0"/>
  </cellStyleXfs>
  <cellXfs count="61">
    <xf numFmtId="0" fontId="0" fillId="0" borderId="0" xfId="0"/>
    <xf numFmtId="0" fontId="5" fillId="0" borderId="0" xfId="0" applyFont="1"/>
    <xf numFmtId="0" fontId="4" fillId="0" borderId="12" xfId="0" applyFont="1" applyBorder="1" applyAlignment="1">
      <alignment horizontal="center" vertical="center"/>
    </xf>
    <xf numFmtId="0" fontId="3" fillId="0" borderId="0" xfId="0" applyFont="1" applyAlignment="1">
      <alignment horizontal="left"/>
    </xf>
    <xf numFmtId="0" fontId="6" fillId="0" borderId="12" xfId="0" applyFont="1" applyBorder="1" applyAlignment="1">
      <alignment horizontal="justify" vertical="justify" wrapText="1"/>
    </xf>
    <xf numFmtId="0" fontId="7" fillId="0" borderId="12" xfId="0" applyFont="1" applyBorder="1" applyAlignment="1">
      <alignment horizontal="justify" vertical="justify" wrapText="1"/>
    </xf>
    <xf numFmtId="0" fontId="6" fillId="0" borderId="0" xfId="0" applyFont="1" applyAlignment="1">
      <alignment horizontal="justify" vertical="justify"/>
    </xf>
    <xf numFmtId="0" fontId="10" fillId="0" borderId="0" xfId="0" applyFont="1"/>
    <xf numFmtId="0" fontId="11" fillId="2" borderId="12" xfId="0" applyFont="1" applyFill="1" applyBorder="1" applyAlignment="1">
      <alignment horizontal="center" vertical="center"/>
    </xf>
    <xf numFmtId="0" fontId="10" fillId="0" borderId="0" xfId="0" applyFont="1" applyAlignment="1">
      <alignment horizontal="left"/>
    </xf>
    <xf numFmtId="9" fontId="3" fillId="0" borderId="12" xfId="0" applyNumberFormat="1" applyFont="1" applyBorder="1" applyAlignment="1">
      <alignment horizontal="center" vertical="center"/>
    </xf>
    <xf numFmtId="0" fontId="3" fillId="2" borderId="12" xfId="0" applyFont="1" applyFill="1" applyBorder="1" applyAlignment="1">
      <alignment horizontal="center" vertical="center"/>
    </xf>
    <xf numFmtId="3" fontId="9" fillId="0" borderId="12" xfId="0" applyNumberFormat="1" applyFont="1" applyBorder="1" applyAlignment="1">
      <alignment horizontal="center" vertical="center"/>
    </xf>
    <xf numFmtId="166" fontId="3" fillId="0" borderId="12" xfId="1" applyNumberFormat="1" applyFont="1" applyBorder="1" applyAlignment="1">
      <alignment vertical="center"/>
    </xf>
    <xf numFmtId="166" fontId="3" fillId="0" borderId="12" xfId="0" applyNumberFormat="1" applyFont="1" applyBorder="1" applyAlignment="1">
      <alignment horizontal="right" vertical="center"/>
    </xf>
    <xf numFmtId="164" fontId="3" fillId="0" borderId="12" xfId="0" applyNumberFormat="1" applyFont="1" applyBorder="1" applyAlignment="1">
      <alignment horizontal="right" vertical="center"/>
    </xf>
    <xf numFmtId="164" fontId="3" fillId="0" borderId="12" xfId="0" applyNumberFormat="1" applyFont="1" applyBorder="1" applyAlignment="1">
      <alignment vertical="center"/>
    </xf>
    <xf numFmtId="0" fontId="12" fillId="0" borderId="17" xfId="0" applyFont="1" applyBorder="1"/>
    <xf numFmtId="0" fontId="12" fillId="0" borderId="19" xfId="0" applyFont="1" applyBorder="1"/>
    <xf numFmtId="164" fontId="3" fillId="0" borderId="15" xfId="0" applyNumberFormat="1" applyFont="1" applyBorder="1" applyAlignment="1">
      <alignment vertical="center"/>
    </xf>
    <xf numFmtId="164" fontId="13" fillId="3" borderId="18" xfId="1" applyNumberFormat="1" applyFont="1" applyFill="1" applyBorder="1" applyAlignment="1">
      <alignment vertical="center"/>
    </xf>
    <xf numFmtId="0" fontId="12" fillId="0" borderId="20" xfId="0" applyFont="1" applyBorder="1"/>
    <xf numFmtId="0" fontId="7" fillId="4" borderId="0" xfId="0" applyFont="1" applyFill="1" applyAlignment="1">
      <alignment horizontal="justify" vertical="justify" wrapText="1"/>
    </xf>
    <xf numFmtId="0" fontId="7" fillId="3" borderId="12" xfId="0" applyFont="1" applyFill="1" applyBorder="1" applyAlignment="1">
      <alignment horizontal="justify" vertical="justify" wrapText="1"/>
    </xf>
    <xf numFmtId="0" fontId="2" fillId="6" borderId="12" xfId="0" applyFont="1" applyFill="1" applyBorder="1" applyAlignment="1">
      <alignment horizontal="center" vertical="center"/>
    </xf>
    <xf numFmtId="0" fontId="16" fillId="6" borderId="12" xfId="0" applyFont="1" applyFill="1" applyBorder="1" applyAlignment="1">
      <alignment horizontal="center" vertical="center"/>
    </xf>
    <xf numFmtId="0" fontId="2" fillId="8" borderId="12" xfId="0" applyFont="1" applyFill="1" applyBorder="1" applyAlignment="1">
      <alignment horizontal="center" vertical="center"/>
    </xf>
    <xf numFmtId="164" fontId="3" fillId="9" borderId="12" xfId="0" applyNumberFormat="1" applyFont="1" applyFill="1" applyBorder="1" applyAlignment="1">
      <alignment horizontal="right"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10" fillId="0" borderId="0" xfId="0" applyFont="1" applyAlignment="1">
      <alignment horizontal="left" wrapText="1"/>
    </xf>
    <xf numFmtId="0" fontId="3"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3" fillId="0" borderId="14" xfId="0" applyFont="1" applyBorder="1" applyAlignment="1">
      <alignment horizontal="left"/>
    </xf>
    <xf numFmtId="0" fontId="3" fillId="0" borderId="15" xfId="0" applyFont="1" applyBorder="1" applyAlignment="1">
      <alignment horizontal="left"/>
    </xf>
    <xf numFmtId="0" fontId="3" fillId="0" borderId="16" xfId="0" applyFont="1" applyBorder="1" applyAlignment="1">
      <alignment horizontal="left"/>
    </xf>
    <xf numFmtId="0" fontId="3" fillId="0" borderId="12" xfId="0" applyFont="1" applyBorder="1" applyAlignment="1">
      <alignment vertical="center"/>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xf>
    <xf numFmtId="0" fontId="15" fillId="7" borderId="21" xfId="0" applyFont="1" applyFill="1" applyBorder="1" applyAlignment="1">
      <alignment horizontal="center" vertical="justify"/>
    </xf>
    <xf numFmtId="0" fontId="15" fillId="7" borderId="22" xfId="0" applyFont="1" applyFill="1" applyBorder="1" applyAlignment="1">
      <alignment horizontal="center" vertical="justify"/>
    </xf>
    <xf numFmtId="0" fontId="15" fillId="7" borderId="23" xfId="0" applyFont="1" applyFill="1" applyBorder="1" applyAlignment="1">
      <alignment horizontal="center" vertical="justify"/>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2" fillId="6" borderId="23" xfId="0" applyFont="1" applyFill="1" applyBorder="1" applyAlignment="1">
      <alignment horizontal="center" vertical="center"/>
    </xf>
    <xf numFmtId="0" fontId="15" fillId="5" borderId="24" xfId="0" applyFont="1" applyFill="1" applyBorder="1" applyAlignment="1">
      <alignment horizontal="center" vertical="justify"/>
    </xf>
    <xf numFmtId="0" fontId="15" fillId="5" borderId="25" xfId="0" applyFont="1" applyFill="1" applyBorder="1" applyAlignment="1">
      <alignment horizontal="center" vertical="justify"/>
    </xf>
    <xf numFmtId="0" fontId="15" fillId="5" borderId="26" xfId="0" applyFont="1" applyFill="1" applyBorder="1" applyAlignment="1">
      <alignment horizontal="center" vertical="justify"/>
    </xf>
    <xf numFmtId="0" fontId="15" fillId="7" borderId="24" xfId="0" applyFont="1" applyFill="1" applyBorder="1" applyAlignment="1">
      <alignment horizontal="center" vertical="justify"/>
    </xf>
    <xf numFmtId="0" fontId="15" fillId="7" borderId="25" xfId="0" applyFont="1" applyFill="1" applyBorder="1" applyAlignment="1">
      <alignment horizontal="center" vertical="justify"/>
    </xf>
    <xf numFmtId="0" fontId="15" fillId="7" borderId="26" xfId="0" applyFont="1" applyFill="1" applyBorder="1" applyAlignment="1">
      <alignment horizontal="center" vertical="justify"/>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7" zoomScale="71" zoomScaleNormal="71" workbookViewId="0">
      <selection activeCell="H19" sqref="H19"/>
    </sheetView>
  </sheetViews>
  <sheetFormatPr baseColWidth="10" defaultRowHeight="14.4"/>
  <cols>
    <col min="1" max="1" width="5.109375" customWidth="1"/>
    <col min="2" max="2" width="51" customWidth="1"/>
    <col min="3" max="3" width="7.33203125" customWidth="1"/>
    <col min="4" max="4" width="6.44140625" style="7" bestFit="1" customWidth="1"/>
    <col min="5" max="5" width="14.33203125" bestFit="1" customWidth="1"/>
    <col min="6" max="6" width="12.5546875" bestFit="1" customWidth="1"/>
  </cols>
  <sheetData>
    <row r="1" spans="1:9" ht="15" thickBot="1"/>
    <row r="2" spans="1:9" ht="16.2" thickBot="1">
      <c r="A2" s="28" t="s">
        <v>46</v>
      </c>
      <c r="B2" s="29"/>
      <c r="C2" s="29"/>
      <c r="D2" s="30"/>
      <c r="E2" s="34" t="e" vm="1">
        <v>#VALUE!</v>
      </c>
      <c r="F2" s="35"/>
    </row>
    <row r="3" spans="1:9">
      <c r="A3" s="31" t="s">
        <v>47</v>
      </c>
      <c r="B3" s="32"/>
      <c r="C3" s="32"/>
      <c r="D3" s="33"/>
      <c r="E3" s="36"/>
      <c r="F3" s="37"/>
    </row>
    <row r="4" spans="1:9">
      <c r="A4" s="39" t="s">
        <v>44</v>
      </c>
      <c r="B4" s="40"/>
      <c r="C4" s="40"/>
      <c r="D4" s="41"/>
      <c r="E4" s="36"/>
      <c r="F4" s="37"/>
    </row>
    <row r="5" spans="1:9">
      <c r="A5" s="39" t="s">
        <v>0</v>
      </c>
      <c r="B5" s="40"/>
      <c r="C5" s="40"/>
      <c r="D5" s="41"/>
      <c r="E5" s="36"/>
      <c r="F5" s="37"/>
    </row>
    <row r="6" spans="1:9">
      <c r="A6" s="39" t="s">
        <v>13</v>
      </c>
      <c r="B6" s="40"/>
      <c r="C6" s="40"/>
      <c r="D6" s="41"/>
      <c r="E6" s="36"/>
      <c r="F6" s="37"/>
    </row>
    <row r="7" spans="1:9">
      <c r="A7" s="39" t="s">
        <v>43</v>
      </c>
      <c r="B7" s="40"/>
      <c r="C7" s="40"/>
      <c r="D7" s="41"/>
      <c r="E7" s="36"/>
      <c r="F7" s="37"/>
    </row>
    <row r="8" spans="1:9">
      <c r="A8" s="39" t="s">
        <v>12</v>
      </c>
      <c r="B8" s="40"/>
      <c r="C8" s="40"/>
      <c r="D8" s="41"/>
      <c r="E8" s="36"/>
      <c r="F8" s="37"/>
      <c r="I8" s="1"/>
    </row>
    <row r="9" spans="1:9">
      <c r="A9" s="42"/>
      <c r="B9" s="43"/>
      <c r="C9" s="43"/>
      <c r="D9" s="44"/>
      <c r="E9" s="36"/>
      <c r="F9" s="37"/>
    </row>
    <row r="10" spans="1:9">
      <c r="A10" s="11" t="s">
        <v>1</v>
      </c>
      <c r="B10" s="8" t="s">
        <v>10</v>
      </c>
      <c r="C10" s="8" t="s">
        <v>2</v>
      </c>
      <c r="D10" s="8" t="s">
        <v>3</v>
      </c>
      <c r="E10" s="8" t="s">
        <v>11</v>
      </c>
      <c r="F10" s="8" t="s">
        <v>4</v>
      </c>
    </row>
    <row r="11" spans="1:9" ht="26.25" customHeight="1">
      <c r="A11" s="24" t="s">
        <v>45</v>
      </c>
      <c r="B11" s="52" t="s">
        <v>23</v>
      </c>
      <c r="C11" s="53"/>
      <c r="D11" s="53"/>
      <c r="E11" s="53"/>
      <c r="F11" s="54"/>
    </row>
    <row r="12" spans="1:9" ht="39.6">
      <c r="A12" s="26">
        <v>1</v>
      </c>
      <c r="B12" s="4" t="s">
        <v>17</v>
      </c>
      <c r="C12" s="2" t="s">
        <v>18</v>
      </c>
      <c r="D12" s="2">
        <v>12</v>
      </c>
      <c r="E12" s="13">
        <v>0</v>
      </c>
      <c r="F12" s="27">
        <f>E12*D12</f>
        <v>0</v>
      </c>
    </row>
    <row r="13" spans="1:9" ht="118.8">
      <c r="A13" s="26">
        <v>2</v>
      </c>
      <c r="B13" s="5" t="s">
        <v>19</v>
      </c>
      <c r="C13" s="2" t="s">
        <v>20</v>
      </c>
      <c r="D13" s="2">
        <v>1</v>
      </c>
      <c r="E13" s="14">
        <v>135000</v>
      </c>
      <c r="F13" s="27">
        <f t="shared" ref="F13:F23" si="0">E13*D13</f>
        <v>135000</v>
      </c>
    </row>
    <row r="14" spans="1:9" ht="105.6">
      <c r="A14" s="26">
        <v>3</v>
      </c>
      <c r="B14" s="23" t="s">
        <v>21</v>
      </c>
      <c r="C14" s="2" t="s">
        <v>18</v>
      </c>
      <c r="D14" s="2">
        <v>240</v>
      </c>
      <c r="E14" s="14">
        <v>2930</v>
      </c>
      <c r="F14" s="27">
        <f t="shared" si="0"/>
        <v>703200</v>
      </c>
    </row>
    <row r="15" spans="1:9">
      <c r="A15" s="24" t="s">
        <v>30</v>
      </c>
      <c r="B15" s="49" t="s">
        <v>22</v>
      </c>
      <c r="C15" s="50"/>
      <c r="D15" s="50"/>
      <c r="E15" s="50"/>
      <c r="F15" s="51"/>
    </row>
    <row r="16" spans="1:9" ht="145.19999999999999">
      <c r="A16" s="26">
        <v>1</v>
      </c>
      <c r="B16" s="23" t="s">
        <v>36</v>
      </c>
      <c r="C16" s="2" t="s">
        <v>18</v>
      </c>
      <c r="D16" s="2">
        <v>1384</v>
      </c>
      <c r="E16" s="14">
        <v>1200</v>
      </c>
      <c r="F16" s="27">
        <f t="shared" si="0"/>
        <v>1660800</v>
      </c>
    </row>
    <row r="17" spans="1:6" ht="145.19999999999999">
      <c r="A17" s="26">
        <v>2</v>
      </c>
      <c r="B17" s="23" t="s">
        <v>37</v>
      </c>
      <c r="C17" s="2" t="s">
        <v>18</v>
      </c>
      <c r="D17" s="12">
        <v>12</v>
      </c>
      <c r="E17" s="14">
        <v>3914</v>
      </c>
      <c r="F17" s="27">
        <f t="shared" si="0"/>
        <v>46968</v>
      </c>
    </row>
    <row r="18" spans="1:6">
      <c r="A18" s="25" t="s">
        <v>32</v>
      </c>
      <c r="B18" s="55" t="s">
        <v>31</v>
      </c>
      <c r="C18" s="56"/>
      <c r="D18" s="56"/>
      <c r="E18" s="56"/>
      <c r="F18" s="57"/>
    </row>
    <row r="19" spans="1:6" ht="105.6">
      <c r="A19" s="26">
        <v>1</v>
      </c>
      <c r="B19" s="22" t="s">
        <v>38</v>
      </c>
      <c r="C19" s="2" t="s">
        <v>24</v>
      </c>
      <c r="D19" s="2">
        <v>595.5</v>
      </c>
      <c r="E19" s="14">
        <v>2600</v>
      </c>
      <c r="F19" s="27">
        <f t="shared" si="0"/>
        <v>1548300</v>
      </c>
    </row>
    <row r="20" spans="1:6">
      <c r="A20" s="24" t="s">
        <v>33</v>
      </c>
      <c r="B20" s="49" t="s">
        <v>26</v>
      </c>
      <c r="C20" s="50"/>
      <c r="D20" s="50"/>
      <c r="E20" s="50"/>
      <c r="F20" s="51"/>
    </row>
    <row r="21" spans="1:6" ht="52.8">
      <c r="A21" s="26">
        <v>1</v>
      </c>
      <c r="B21" s="5" t="s">
        <v>42</v>
      </c>
      <c r="C21" s="2" t="s">
        <v>39</v>
      </c>
      <c r="D21" s="2">
        <v>110</v>
      </c>
      <c r="E21" s="14">
        <v>15000</v>
      </c>
      <c r="F21" s="27">
        <f t="shared" si="0"/>
        <v>1650000</v>
      </c>
    </row>
    <row r="22" spans="1:6">
      <c r="A22" s="25" t="s">
        <v>34</v>
      </c>
      <c r="B22" s="58" t="s">
        <v>27</v>
      </c>
      <c r="C22" s="59"/>
      <c r="D22" s="59"/>
      <c r="E22" s="59"/>
      <c r="F22" s="60"/>
    </row>
    <row r="23" spans="1:6">
      <c r="A23" s="26">
        <v>1</v>
      </c>
      <c r="B23" s="6" t="s">
        <v>28</v>
      </c>
      <c r="C23" s="2" t="s">
        <v>25</v>
      </c>
      <c r="D23" s="2">
        <v>1</v>
      </c>
      <c r="E23" s="14">
        <v>380000</v>
      </c>
      <c r="F23" s="27">
        <f t="shared" si="0"/>
        <v>380000</v>
      </c>
    </row>
    <row r="24" spans="1:6">
      <c r="A24" s="45" t="s">
        <v>5</v>
      </c>
      <c r="B24" s="45"/>
      <c r="C24" s="45"/>
      <c r="D24" s="45"/>
      <c r="E24" s="45"/>
      <c r="F24" s="15">
        <f>SUM(F12:F23)</f>
        <v>6124268</v>
      </c>
    </row>
    <row r="25" spans="1:6">
      <c r="A25" s="45" t="s">
        <v>6</v>
      </c>
      <c r="B25" s="45"/>
      <c r="C25" s="45"/>
      <c r="D25" s="45"/>
      <c r="E25" s="10">
        <v>0.05</v>
      </c>
      <c r="F25" s="16">
        <f>+F24*E25</f>
        <v>306213.40000000002</v>
      </c>
    </row>
    <row r="26" spans="1:6">
      <c r="A26" s="45" t="s">
        <v>7</v>
      </c>
      <c r="B26" s="45"/>
      <c r="C26" s="45"/>
      <c r="D26" s="45"/>
      <c r="E26" s="10">
        <v>0.05</v>
      </c>
      <c r="F26" s="16">
        <f>+F24*E26</f>
        <v>306213.40000000002</v>
      </c>
    </row>
    <row r="27" spans="1:6">
      <c r="A27" s="45" t="s">
        <v>8</v>
      </c>
      <c r="B27" s="45"/>
      <c r="C27" s="45"/>
      <c r="D27" s="45"/>
      <c r="E27" s="10">
        <v>0.05</v>
      </c>
      <c r="F27" s="16">
        <f>+F24*E27</f>
        <v>306213.40000000002</v>
      </c>
    </row>
    <row r="28" spans="1:6" ht="21" customHeight="1" thickBot="1">
      <c r="A28" s="45" t="s">
        <v>9</v>
      </c>
      <c r="B28" s="45"/>
      <c r="C28" s="45"/>
      <c r="D28" s="45"/>
      <c r="E28" s="10">
        <v>0.19</v>
      </c>
      <c r="F28" s="19">
        <f>+F27*E28</f>
        <v>58180.546000000002</v>
      </c>
    </row>
    <row r="29" spans="1:6" ht="18" customHeight="1" thickBot="1">
      <c r="A29" s="21"/>
      <c r="B29" s="17" t="s">
        <v>35</v>
      </c>
      <c r="C29" s="17"/>
      <c r="D29" s="17"/>
      <c r="E29" s="18"/>
      <c r="F29" s="20">
        <f>SUM(F24:F28)</f>
        <v>7101088.7460000012</v>
      </c>
    </row>
    <row r="30" spans="1:6">
      <c r="A30" s="38" t="s">
        <v>15</v>
      </c>
      <c r="B30" s="38"/>
      <c r="C30" s="38"/>
      <c r="D30" s="38"/>
      <c r="E30" s="38"/>
      <c r="F30" s="38"/>
    </row>
    <row r="31" spans="1:6" ht="18.75" customHeight="1">
      <c r="A31" s="9" t="s">
        <v>16</v>
      </c>
      <c r="B31" s="9"/>
      <c r="C31" s="9"/>
      <c r="D31" s="9"/>
      <c r="E31" s="9"/>
      <c r="F31" s="9"/>
    </row>
    <row r="32" spans="1:6">
      <c r="A32" s="46" t="s">
        <v>29</v>
      </c>
      <c r="B32" s="46"/>
      <c r="C32" s="46"/>
      <c r="D32" s="46"/>
      <c r="E32" s="46"/>
      <c r="F32" s="46"/>
    </row>
    <row r="33" spans="1:6" ht="30" customHeight="1">
      <c r="A33" s="3"/>
      <c r="B33" s="9"/>
      <c r="C33" s="9"/>
      <c r="D33" s="9"/>
      <c r="E33" s="9"/>
      <c r="F33" s="9"/>
    </row>
    <row r="34" spans="1:6">
      <c r="A34" s="46"/>
      <c r="B34" s="38"/>
      <c r="C34" s="38"/>
      <c r="D34" s="38"/>
      <c r="E34" s="38"/>
      <c r="F34" s="38"/>
    </row>
    <row r="35" spans="1:6" ht="42" customHeight="1">
      <c r="A35" s="3"/>
      <c r="B35" s="9"/>
      <c r="C35" s="9"/>
      <c r="D35" s="9"/>
      <c r="E35" s="9"/>
      <c r="F35" s="9"/>
    </row>
    <row r="36" spans="1:6">
      <c r="A36" s="46" t="s">
        <v>14</v>
      </c>
      <c r="B36" s="38"/>
      <c r="C36" s="38"/>
      <c r="D36" s="38"/>
      <c r="E36" s="38"/>
      <c r="F36" s="38"/>
    </row>
    <row r="37" spans="1:6" ht="28.5" customHeight="1">
      <c r="A37" s="3"/>
      <c r="B37" s="9"/>
      <c r="C37" s="9"/>
      <c r="D37" s="9"/>
      <c r="E37" s="9"/>
      <c r="F37" s="9"/>
    </row>
    <row r="38" spans="1:6">
      <c r="A38" s="46" t="s">
        <v>40</v>
      </c>
      <c r="B38" s="38"/>
      <c r="C38" s="38"/>
      <c r="D38" s="38"/>
      <c r="E38" s="38"/>
      <c r="F38" s="38"/>
    </row>
    <row r="39" spans="1:6" ht="30" customHeight="1">
      <c r="A39" s="3"/>
      <c r="B39" s="9"/>
      <c r="C39" s="9"/>
      <c r="D39" s="9"/>
      <c r="E39" s="9"/>
      <c r="F39" s="9"/>
    </row>
    <row r="40" spans="1:6">
      <c r="A40" s="47" t="s">
        <v>41</v>
      </c>
      <c r="B40" s="48"/>
      <c r="C40" s="48"/>
      <c r="D40" s="48"/>
      <c r="E40" s="48"/>
      <c r="F40" s="48"/>
    </row>
    <row r="41" spans="1:6">
      <c r="A41" s="7"/>
      <c r="B41" s="7"/>
      <c r="C41" s="7"/>
      <c r="E41" s="7"/>
      <c r="F41" s="7"/>
    </row>
  </sheetData>
  <mergeCells count="25">
    <mergeCell ref="B11:F11"/>
    <mergeCell ref="B18:F18"/>
    <mergeCell ref="B20:F20"/>
    <mergeCell ref="B22:F22"/>
    <mergeCell ref="A32:F32"/>
    <mergeCell ref="A34:F34"/>
    <mergeCell ref="A36:F36"/>
    <mergeCell ref="A38:F38"/>
    <mergeCell ref="A40:F40"/>
    <mergeCell ref="A2:D2"/>
    <mergeCell ref="A3:D3"/>
    <mergeCell ref="E2:F9"/>
    <mergeCell ref="A30:F30"/>
    <mergeCell ref="A4:D4"/>
    <mergeCell ref="A5:D5"/>
    <mergeCell ref="A6:D6"/>
    <mergeCell ref="A7:D7"/>
    <mergeCell ref="A8:D8"/>
    <mergeCell ref="A9:D9"/>
    <mergeCell ref="A24:E24"/>
    <mergeCell ref="A25:D25"/>
    <mergeCell ref="A26:D26"/>
    <mergeCell ref="A27:D27"/>
    <mergeCell ref="A28:D28"/>
    <mergeCell ref="B15:F15"/>
  </mergeCells>
  <pageMargins left="0.23622047244094488" right="0.23622047244094488" top="0" bottom="0.15748031496062992"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COTIZACION</vt:lpstr>
    </vt:vector>
  </TitlesOfParts>
  <Compan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Fresh House</cp:lastModifiedBy>
  <cp:lastPrinted>2023-02-06T12:15:36Z</cp:lastPrinted>
  <dcterms:created xsi:type="dcterms:W3CDTF">2022-02-24T20:42:35Z</dcterms:created>
  <dcterms:modified xsi:type="dcterms:W3CDTF">2023-12-22T03:41:04Z</dcterms:modified>
</cp:coreProperties>
</file>