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731BB7DD-933B-4F76-B145-02157676F3D7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ETAPA 1" sheetId="2" r:id="rId1"/>
    <sheet name="ETAPA 2" sheetId="5" r:id="rId2"/>
    <sheet name="ETAPA 3 (ETERNIT)" sheetId="6" r:id="rId3"/>
    <sheet name="ETAPA 3 (UPVC)" sheetId="3" r:id="rId4"/>
  </sheets>
  <definedNames>
    <definedName name="_xlnm.Print_Area" localSheetId="0">'ETAPA 1'!$A$1:$G$15</definedName>
    <definedName name="_xlnm.Print_Area" localSheetId="1">'ETAPA 2'!$A$1:$G$15</definedName>
    <definedName name="_xlnm.Print_Area" localSheetId="2">'ETAPA 3 (ETERNIT)'!$A$1:$G$15</definedName>
    <definedName name="_xlnm.Print_Area" localSheetId="3">'ETAPA 3 (UPVC)'!$A$1:$G$15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6" l="1"/>
  <c r="G19" i="6" s="1"/>
  <c r="G18" i="6"/>
  <c r="G17" i="6" s="1"/>
  <c r="G16" i="6"/>
  <c r="G15" i="6" s="1"/>
  <c r="G14" i="6"/>
  <c r="G13" i="6"/>
  <c r="G12" i="6"/>
  <c r="G11" i="6"/>
  <c r="G10" i="6"/>
  <c r="G9" i="6"/>
  <c r="G21" i="5"/>
  <c r="G20" i="5"/>
  <c r="G19" i="5"/>
  <c r="G18" i="5" s="1"/>
  <c r="G17" i="5"/>
  <c r="G16" i="5"/>
  <c r="G14" i="5"/>
  <c r="G13" i="5"/>
  <c r="G12" i="5" s="1"/>
  <c r="G11" i="5"/>
  <c r="G9" i="5" s="1"/>
  <c r="G10" i="5"/>
  <c r="G20" i="3"/>
  <c r="G19" i="3" s="1"/>
  <c r="G18" i="3"/>
  <c r="G17" i="3" s="1"/>
  <c r="G16" i="3"/>
  <c r="G15" i="3" s="1"/>
  <c r="G14" i="3"/>
  <c r="G13" i="3"/>
  <c r="G12" i="3" s="1"/>
  <c r="G11" i="3"/>
  <c r="G9" i="3" s="1"/>
  <c r="G10" i="3"/>
  <c r="G14" i="2"/>
  <c r="G21" i="6" l="1"/>
  <c r="G15" i="5"/>
  <c r="G22" i="5" s="1"/>
  <c r="G21" i="3"/>
  <c r="G13" i="2"/>
  <c r="G21" i="2"/>
  <c r="G20" i="2" s="1"/>
  <c r="G24" i="6" l="1"/>
  <c r="G25" i="6" s="1"/>
  <c r="G23" i="6"/>
  <c r="G22" i="6"/>
  <c r="G25" i="5"/>
  <c r="G26" i="5" s="1"/>
  <c r="G24" i="5"/>
  <c r="G23" i="5"/>
  <c r="G24" i="3"/>
  <c r="G25" i="3" s="1"/>
  <c r="G23" i="3"/>
  <c r="G22" i="3"/>
  <c r="G19" i="2"/>
  <c r="G18" i="2" s="1"/>
  <c r="G17" i="2"/>
  <c r="G26" i="6" l="1"/>
  <c r="G27" i="6" s="1"/>
  <c r="G27" i="5"/>
  <c r="G28" i="5" s="1"/>
  <c r="G26" i="3"/>
  <c r="G27" i="3" s="1"/>
  <c r="G16" i="2"/>
  <c r="G15" i="2" s="1"/>
  <c r="G12" i="2" l="1"/>
  <c r="G11" i="2"/>
  <c r="G10" i="2"/>
  <c r="G9" i="2" s="1"/>
  <c r="G22" i="2" l="1"/>
  <c r="G23" i="2"/>
  <c r="G25" i="2"/>
  <c r="G26" i="2" s="1"/>
  <c r="G24" i="2"/>
  <c r="G27" i="2" l="1"/>
  <c r="G28" i="2" s="1"/>
</calcChain>
</file>

<file path=xl/sharedStrings.xml><?xml version="1.0" encoding="utf-8"?>
<sst xmlns="http://schemas.openxmlformats.org/spreadsheetml/2006/main" count="218" uniqueCount="53">
  <si>
    <t>CAPT</t>
  </si>
  <si>
    <t>ITEMS</t>
  </si>
  <si>
    <t>ACTIVIDAD</t>
  </si>
  <si>
    <t>UNIDAD</t>
  </si>
  <si>
    <t>CANTIDAD</t>
  </si>
  <si>
    <t>VR UNITARIO</t>
  </si>
  <si>
    <t>VALOR DIRECTO ACTIVIDAD</t>
  </si>
  <si>
    <t>M2</t>
  </si>
  <si>
    <t>ML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</si>
  <si>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</si>
  <si>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</si>
  <si>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</si>
  <si>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</si>
  <si>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</si>
  <si>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</si>
  <si>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</si>
  <si>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</si>
  <si>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</si>
  <si>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</si>
  <si>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</si>
  <si>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</si>
  <si>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</si>
  <si>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PRELIMINARES DE OBRA</t>
  </si>
  <si>
    <t xml:space="preserve"> VERSIÓN: 01</t>
  </si>
  <si>
    <t>1.1</t>
  </si>
  <si>
    <t>GB</t>
  </si>
  <si>
    <t>1.2</t>
  </si>
  <si>
    <t>CONSTRUCCION CAMPAMENTO PROVISIONAL</t>
  </si>
  <si>
    <t>2.1</t>
  </si>
  <si>
    <t>2.2</t>
  </si>
  <si>
    <t>3.1</t>
  </si>
  <si>
    <t>LIMPIEZA Y ALISTAMIENTO DE SUPERFICIES</t>
  </si>
  <si>
    <t>3.2</t>
  </si>
  <si>
    <t>4.1</t>
  </si>
  <si>
    <t>5.1</t>
  </si>
  <si>
    <t>LIMPIEZA Y ASEO GENERAL</t>
  </si>
  <si>
    <t>CERRAMIENTO PROVISIONAL Y SENALIZACION DE LAS OBRAS A INTERVENIR. EN CERRAMIENTO CON SENALIZACION RESPECTIVA VISIBLE DEL AREA A INTERVENIR QUE IMPIDA PASO DE PEATONES O VEHICULOS PARA EVITAR RIESGOS DE ACCIDENTES</t>
  </si>
  <si>
    <t xml:space="preserve">SUMINSTRO Y APLICACIÓN DE PINTURA A DOS MANOS DE KORAZA PRO 550 SOBRE TODA LA SUPERFICIE EN GENERAL CON COLORES APROBADOS </t>
  </si>
  <si>
    <t>SELLAMIENTO DE CARPINTERIA DE ALUMINIO</t>
  </si>
  <si>
    <t>PRESUPUESTO PARA RESTAURACIÓN DE FACHADAS</t>
  </si>
  <si>
    <t>CANTIDADES DE OBRA Y ESPECIFICACIONES TECNICAS PARA ACTIVIDADES DE RESTAURACIÓN INTEGRAL EN FACHADAS</t>
  </si>
  <si>
    <t>LAVADO COMPLETO Y GENERAL DE LAS SUPERFICIES EXTERNAS CON HIPOCLORITO DE SODIO AL 10%. (CON AGUA EN PROPORCION 1 A 3 ) UNA PARTE DE HIPOCLORITO POR 3 PARTES DE AGUA</t>
  </si>
  <si>
    <t>EN EL TRANSCURSO DE LA EJECUCION Y AL FINAL DE LA OBRA, LIMPIEZA GENERAL Y DESALOJO DE TODO EL MATERIAL SOBRANTE Y DESPERDICIOS</t>
  </si>
  <si>
    <t>OBRAS DE PINTURA EN MUROS DE FACHADA E IMPERMEABILIZACIÓN</t>
  </si>
  <si>
    <t>SUMINISTRO Y APLICACIÓN DE PINTUCOFILL 7 DE PINTUCO EN UN AREA APROXIMADA DE 5CM A CADA LADO EN DILATACIONES</t>
  </si>
  <si>
    <t>SUMINISTRO Y APLICACIÓN DE IMPRIMACIÓN Y GRANIPLAST EN DONDE SE DESPRENDIO O RETIRO TEXTURA GARANTIZANDO UNIFORMIDAD DE LA TEXTURA ANTES DE PINTAR.</t>
  </si>
  <si>
    <t>RETIRO DE SELLOS DE VENTANERIA EXISTENTES Y SUMINISTRO Y APLICACIÓN DE SOUDAL MULTIBOND PARA SELLO DE LAS MISMAS</t>
  </si>
  <si>
    <t>EDIFICIO BARICHARA</t>
  </si>
  <si>
    <t xml:space="preserve">  FECHA:                        20/06/2024</t>
  </si>
  <si>
    <t xml:space="preserve">  VALIDO HASTA:           20/09/2024</t>
  </si>
  <si>
    <t>Calle 19 Norte 18-64 Ed. Atlantis piso 3 local 7</t>
  </si>
  <si>
    <t>CUBIERTA</t>
  </si>
  <si>
    <t>RETIRO DE TEJAS EXISTENTES Y SUMINISTRO E INSTALACIÓN DE TEJA DE FIBROCEMENTO CON REPOTENCIACIÓN DE ESTRUCTURA PARA MEJOR SOPORTE, INCLUYE PINTURA DE ESTRUCTURA CON PINTULUX 3 EN 1 DE PINTUCO, CAMBIO E INSTALACIÓN DE FLANCHES NECESARIOS, SISTEMAS DE FIJACIÓN Y SELLO CON SOUDAFLEX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</si>
</sst>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left" vertical="center" wrapText="1"/>
    </xf>
    <xf numFmtId="164" fontId="10" fillId="9" borderId="3" xfId="0" applyNumberFormat="1" applyFont="1" applyFill="1" applyBorder="1" applyAlignment="1">
      <alignment horizontal="left" vertical="center" wrapText="1"/>
    </xf>
    <xf numFmtId="164" fontId="10" fillId="8" borderId="3" xfId="0" applyNumberFormat="1" applyFont="1" applyFill="1" applyBorder="1" applyAlignment="1">
      <alignment horizontal="left" vertical="center" wrapText="1"/>
    </xf>
    <xf numFmtId="164" fontId="10" fillId="10" borderId="4" xfId="0" applyNumberFormat="1" applyFont="1" applyFill="1" applyBorder="1" applyAlignment="1">
      <alignment horizontal="left" vertical="center" wrapText="1"/>
    </xf>
    <xf numFmtId="165" fontId="10" fillId="9" borderId="3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 wrapText="1"/>
    </xf>
    <xf numFmtId="164" fontId="3" fillId="10" borderId="3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left" vertical="center" wrapText="1"/>
    </xf>
    <xf numFmtId="164" fontId="10" fillId="10" borderId="6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43" fontId="3" fillId="0" borderId="1" xfId="1" applyFont="1" applyFill="1" applyBorder="1" applyAlignment="1">
      <alignment vertical="center"/>
    </xf>
    <xf numFmtId="43" fontId="3" fillId="0" borderId="3" xfId="1" applyFont="1" applyFill="1" applyBorder="1" applyAlignment="1">
      <alignment vertical="center"/>
    </xf>
    <xf numFmtId="43" fontId="3" fillId="0" borderId="6" xfId="1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43" fontId="11" fillId="2" borderId="20" xfId="1" applyFont="1" applyFill="1" applyBorder="1" applyAlignment="1">
      <alignment horizontal="center" vertical="center"/>
    </xf>
    <xf numFmtId="43" fontId="11" fillId="2" borderId="21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2/10/relationships/richValueRel" Target="richData/richValueRel.xml"/><Relationship Id="rId5" Type="http://schemas.openxmlformats.org/officeDocument/2006/relationships/theme" Target="theme/theme1.xml"/><Relationship Id="rId10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D84D8C-64A2-4BE1-AEF7-AEB60F3D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5429" y="999121"/>
          <a:ext cx="3058885" cy="11040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EDDD3F-0AB1-4B86-93A6-FB18BED9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21B1FA-1A70-440A-A801-1F1D404C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2309B8-92AB-44DD-A241-1C3BE6FC7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6AAF-44A3-490E-AA4C-1D5EA92813D8}">
  <sheetPr>
    <pageSetUpPr fitToPage="1"/>
  </sheetPr>
  <dimension ref="A1:J36"/>
  <sheetViews>
    <sheetView tabSelected="1" topLeftCell="A18" zoomScale="50" zoomScaleNormal="50" workbookViewId="0">
      <selection activeCell="G28" sqref="A1:G28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71" t="s">
        <v>47</v>
      </c>
      <c r="B1" s="72"/>
      <c r="C1" s="72"/>
      <c r="D1" s="72"/>
      <c r="E1" s="72"/>
      <c r="F1" s="72"/>
      <c r="G1" s="73"/>
    </row>
    <row r="2" spans="1:10" ht="33.6" customHeight="1" x14ac:dyDescent="0.3">
      <c r="A2" s="74" t="s">
        <v>40</v>
      </c>
      <c r="B2" s="75"/>
      <c r="C2" s="75"/>
      <c r="D2" s="75"/>
      <c r="E2" s="75"/>
      <c r="F2" s="75"/>
      <c r="G2" s="76"/>
    </row>
    <row r="3" spans="1:10" ht="39.6" customHeight="1" x14ac:dyDescent="0.3">
      <c r="A3" s="77" t="s">
        <v>16</v>
      </c>
      <c r="B3" s="78"/>
      <c r="C3" s="29" t="s">
        <v>50</v>
      </c>
      <c r="D3" s="33" t="s">
        <v>21</v>
      </c>
      <c r="E3" s="33" t="s">
        <v>23</v>
      </c>
      <c r="F3" s="79"/>
      <c r="G3" s="80"/>
    </row>
    <row r="4" spans="1:10" ht="52.2" customHeight="1" x14ac:dyDescent="0.3">
      <c r="A4" s="77" t="s">
        <v>17</v>
      </c>
      <c r="B4" s="78"/>
      <c r="C4" s="30" t="s">
        <v>19</v>
      </c>
      <c r="D4" s="85" t="s">
        <v>48</v>
      </c>
      <c r="E4" s="86"/>
      <c r="F4" s="81"/>
      <c r="G4" s="82"/>
    </row>
    <row r="5" spans="1:10" ht="36.6" customHeight="1" x14ac:dyDescent="0.3">
      <c r="A5" s="87" t="s">
        <v>18</v>
      </c>
      <c r="B5" s="88"/>
      <c r="C5" s="29" t="s">
        <v>20</v>
      </c>
      <c r="D5" s="89" t="s">
        <v>49</v>
      </c>
      <c r="E5" s="90"/>
      <c r="F5" s="83"/>
      <c r="G5" s="84"/>
    </row>
    <row r="6" spans="1:10" x14ac:dyDescent="0.3">
      <c r="A6" s="61"/>
      <c r="B6" s="62"/>
      <c r="C6" s="62"/>
      <c r="D6" s="62"/>
      <c r="E6" s="62"/>
      <c r="F6" s="62"/>
      <c r="G6" s="63"/>
    </row>
    <row r="7" spans="1:10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10" ht="23.4" x14ac:dyDescent="0.3">
      <c r="A8" s="64" t="s">
        <v>39</v>
      </c>
      <c r="B8" s="65"/>
      <c r="C8" s="65"/>
      <c r="D8" s="65"/>
      <c r="E8" s="65"/>
      <c r="F8" s="65"/>
      <c r="G8" s="66"/>
    </row>
    <row r="9" spans="1:10" ht="23.4" x14ac:dyDescent="0.3">
      <c r="A9" s="3">
        <v>1</v>
      </c>
      <c r="B9" s="4"/>
      <c r="C9" s="5" t="s">
        <v>22</v>
      </c>
      <c r="D9" s="6"/>
      <c r="E9" s="6"/>
      <c r="F9" s="20"/>
      <c r="G9" s="21">
        <f>SUM(G10:G11)</f>
        <v>430000</v>
      </c>
    </row>
    <row r="10" spans="1:10" ht="78.599999999999994" customHeight="1" x14ac:dyDescent="0.3">
      <c r="A10" s="7"/>
      <c r="B10" s="7" t="s">
        <v>24</v>
      </c>
      <c r="C10" s="9" t="s">
        <v>36</v>
      </c>
      <c r="D10" s="2" t="s">
        <v>25</v>
      </c>
      <c r="E10" s="58">
        <v>1</v>
      </c>
      <c r="F10" s="22">
        <v>130000</v>
      </c>
      <c r="G10" s="23">
        <f>+E10*F10</f>
        <v>130000</v>
      </c>
    </row>
    <row r="11" spans="1:10" ht="21" x14ac:dyDescent="0.3">
      <c r="A11" s="7"/>
      <c r="B11" s="7" t="s">
        <v>26</v>
      </c>
      <c r="C11" s="9" t="s">
        <v>27</v>
      </c>
      <c r="D11" s="2" t="s">
        <v>25</v>
      </c>
      <c r="E11" s="58">
        <v>1</v>
      </c>
      <c r="F11" s="22">
        <v>300000</v>
      </c>
      <c r="G11" s="23">
        <f>+E11*F11</f>
        <v>300000</v>
      </c>
    </row>
    <row r="12" spans="1:10" ht="23.4" x14ac:dyDescent="0.3">
      <c r="A12" s="15">
        <v>2</v>
      </c>
      <c r="B12" s="16"/>
      <c r="C12" s="17" t="s">
        <v>31</v>
      </c>
      <c r="D12" s="18"/>
      <c r="E12" s="27"/>
      <c r="F12" s="24"/>
      <c r="G12" s="25">
        <f>SUM(G13:G14)</f>
        <v>6378680</v>
      </c>
    </row>
    <row r="13" spans="1:10" ht="64.2" customHeight="1" x14ac:dyDescent="0.3">
      <c r="A13" s="8"/>
      <c r="B13" s="28" t="s">
        <v>28</v>
      </c>
      <c r="C13" s="39" t="s">
        <v>41</v>
      </c>
      <c r="D13" s="2" t="s">
        <v>7</v>
      </c>
      <c r="E13" s="58">
        <v>1329.9</v>
      </c>
      <c r="F13" s="22">
        <v>3200</v>
      </c>
      <c r="G13" s="23">
        <f>+E13*F13</f>
        <v>4255680</v>
      </c>
      <c r="J13" s="38"/>
    </row>
    <row r="14" spans="1:10" ht="87" customHeight="1" x14ac:dyDescent="0.3">
      <c r="A14" s="10"/>
      <c r="B14" s="28" t="s">
        <v>29</v>
      </c>
      <c r="C14" s="40" t="s">
        <v>45</v>
      </c>
      <c r="D14" s="12" t="s">
        <v>7</v>
      </c>
      <c r="E14" s="58">
        <v>55</v>
      </c>
      <c r="F14" s="22">
        <v>38600</v>
      </c>
      <c r="G14" s="23">
        <f>+E14*F14</f>
        <v>2123000</v>
      </c>
    </row>
    <row r="15" spans="1:10" ht="43.8" customHeight="1" x14ac:dyDescent="0.3">
      <c r="A15" s="15">
        <v>3</v>
      </c>
      <c r="B15" s="16"/>
      <c r="C15" s="17" t="s">
        <v>43</v>
      </c>
      <c r="D15" s="18"/>
      <c r="E15" s="27"/>
      <c r="F15" s="24"/>
      <c r="G15" s="25">
        <f>SUM(G16:G17)</f>
        <v>24692250</v>
      </c>
    </row>
    <row r="16" spans="1:10" ht="76.2" customHeight="1" x14ac:dyDescent="0.3">
      <c r="A16" s="8"/>
      <c r="B16" s="28" t="s">
        <v>30</v>
      </c>
      <c r="C16" s="39" t="s">
        <v>37</v>
      </c>
      <c r="D16" s="2" t="s">
        <v>7</v>
      </c>
      <c r="E16" s="58">
        <v>1148.46</v>
      </c>
      <c r="F16" s="22">
        <v>17500</v>
      </c>
      <c r="G16" s="23">
        <f>+E16*F16</f>
        <v>20098050</v>
      </c>
    </row>
    <row r="17" spans="1:7" ht="76.2" customHeight="1" x14ac:dyDescent="0.3">
      <c r="A17" s="8"/>
      <c r="B17" s="28" t="s">
        <v>32</v>
      </c>
      <c r="C17" s="57" t="s">
        <v>44</v>
      </c>
      <c r="D17" s="41" t="s">
        <v>7</v>
      </c>
      <c r="E17" s="59">
        <v>806</v>
      </c>
      <c r="F17" s="42">
        <v>5700</v>
      </c>
      <c r="G17" s="43">
        <f>+E17*F17</f>
        <v>4594200</v>
      </c>
    </row>
    <row r="18" spans="1:7" ht="23.4" x14ac:dyDescent="0.3">
      <c r="A18" s="15">
        <v>4</v>
      </c>
      <c r="B18" s="16"/>
      <c r="C18" s="17" t="s">
        <v>38</v>
      </c>
      <c r="D18" s="18"/>
      <c r="E18" s="27"/>
      <c r="F18" s="24"/>
      <c r="G18" s="25">
        <f>SUM(G19:G19)</f>
        <v>2532600</v>
      </c>
    </row>
    <row r="19" spans="1:7" ht="64.8" customHeight="1" x14ac:dyDescent="0.3">
      <c r="A19" s="10"/>
      <c r="B19" s="28" t="s">
        <v>33</v>
      </c>
      <c r="C19" s="11" t="s">
        <v>46</v>
      </c>
      <c r="D19" s="12" t="s">
        <v>8</v>
      </c>
      <c r="E19" s="58">
        <v>378</v>
      </c>
      <c r="F19" s="22">
        <v>6700</v>
      </c>
      <c r="G19" s="26">
        <f>F19*E19</f>
        <v>2532600</v>
      </c>
    </row>
    <row r="20" spans="1:7" ht="31.8" customHeight="1" x14ac:dyDescent="0.3">
      <c r="A20" s="44">
        <v>5</v>
      </c>
      <c r="B20" s="45"/>
      <c r="C20" s="46" t="s">
        <v>35</v>
      </c>
      <c r="D20" s="47"/>
      <c r="E20" s="48"/>
      <c r="F20" s="49"/>
      <c r="G20" s="56">
        <f>G21</f>
        <v>200000</v>
      </c>
    </row>
    <row r="21" spans="1:7" ht="73.8" customHeight="1" x14ac:dyDescent="0.3">
      <c r="A21" s="50"/>
      <c r="B21" s="51" t="s">
        <v>34</v>
      </c>
      <c r="C21" s="52" t="s">
        <v>42</v>
      </c>
      <c r="D21" s="53" t="s">
        <v>25</v>
      </c>
      <c r="E21" s="60">
        <v>1</v>
      </c>
      <c r="F21" s="54">
        <v>200000</v>
      </c>
      <c r="G21" s="55">
        <f>F21*E21</f>
        <v>200000</v>
      </c>
    </row>
    <row r="22" spans="1:7" ht="39.6" customHeight="1" x14ac:dyDescent="0.3">
      <c r="A22" s="13"/>
      <c r="B22" s="13"/>
      <c r="C22" s="13"/>
      <c r="D22" s="13"/>
      <c r="E22" s="91" t="s">
        <v>9</v>
      </c>
      <c r="F22" s="92"/>
      <c r="G22" s="34">
        <f>G18+G15+G12+G9+G20</f>
        <v>34233530</v>
      </c>
    </row>
    <row r="23" spans="1:7" ht="17.399999999999999" x14ac:dyDescent="0.3">
      <c r="A23" s="13"/>
      <c r="B23" s="13"/>
      <c r="C23" s="13"/>
      <c r="D23" s="13"/>
      <c r="E23" s="14" t="s">
        <v>10</v>
      </c>
      <c r="F23" s="19">
        <v>0.08</v>
      </c>
      <c r="G23" s="35">
        <f>+$G$22*F23</f>
        <v>2738682.4</v>
      </c>
    </row>
    <row r="24" spans="1:7" ht="17.399999999999999" x14ac:dyDescent="0.3">
      <c r="A24" s="13"/>
      <c r="B24" s="13"/>
      <c r="C24" s="13"/>
      <c r="D24" s="13"/>
      <c r="E24" s="14" t="s">
        <v>11</v>
      </c>
      <c r="F24" s="19">
        <v>0.05</v>
      </c>
      <c r="G24" s="35">
        <f t="shared" ref="G24:G25" si="0">+$G$22*F24</f>
        <v>1711676.5</v>
      </c>
    </row>
    <row r="25" spans="1:7" ht="19.95" customHeight="1" x14ac:dyDescent="0.3">
      <c r="A25" s="13"/>
      <c r="B25" s="13"/>
      <c r="C25" s="13"/>
      <c r="D25" s="13"/>
      <c r="E25" s="14" t="s">
        <v>12</v>
      </c>
      <c r="F25" s="19">
        <v>0.05</v>
      </c>
      <c r="G25" s="35">
        <f t="shared" si="0"/>
        <v>1711676.5</v>
      </c>
    </row>
    <row r="26" spans="1:7" ht="19.95" customHeight="1" x14ac:dyDescent="0.3">
      <c r="A26" s="13"/>
      <c r="B26" s="13"/>
      <c r="C26" s="13"/>
      <c r="D26" s="13"/>
      <c r="E26" s="14" t="s">
        <v>13</v>
      </c>
      <c r="F26" s="19">
        <v>0.19</v>
      </c>
      <c r="G26" s="35">
        <f>+G25*F26</f>
        <v>325218.53500000003</v>
      </c>
    </row>
    <row r="27" spans="1:7" ht="19.95" customHeight="1" x14ac:dyDescent="0.3">
      <c r="A27" s="13"/>
      <c r="B27" s="13"/>
      <c r="C27" s="13"/>
      <c r="D27" s="13"/>
      <c r="E27" s="67" t="s">
        <v>14</v>
      </c>
      <c r="F27" s="68"/>
      <c r="G27" s="36">
        <f>+G23+G24+G25+G26</f>
        <v>6487253.9350000005</v>
      </c>
    </row>
    <row r="28" spans="1:7" ht="19.95" customHeight="1" x14ac:dyDescent="0.3">
      <c r="A28" s="13"/>
      <c r="B28" s="13"/>
      <c r="C28" s="13"/>
      <c r="D28" s="13"/>
      <c r="E28" s="69" t="s">
        <v>15</v>
      </c>
      <c r="F28" s="70"/>
      <c r="G28" s="37">
        <f>+G22+G27</f>
        <v>40720783.935000002</v>
      </c>
    </row>
    <row r="29" spans="1:7" ht="19.95" customHeight="1" x14ac:dyDescent="0.3"/>
    <row r="30" spans="1:7" ht="19.95" customHeight="1" x14ac:dyDescent="0.3"/>
    <row r="31" spans="1:7" ht="19.95" customHeight="1" x14ac:dyDescent="0.3"/>
    <row r="32" spans="1:7" ht="15" customHeight="1" x14ac:dyDescent="0.3"/>
    <row r="35" spans="7:7" x14ac:dyDescent="0.3">
      <c r="G35" s="38"/>
    </row>
    <row r="36" spans="7:7" x14ac:dyDescent="0.3">
      <c r="G36" s="38"/>
    </row>
  </sheetData>
  <mergeCells count="13">
    <mergeCell ref="A1:G1"/>
    <mergeCell ref="A2:G2"/>
    <mergeCell ref="A3:B3"/>
    <mergeCell ref="F3:G5"/>
    <mergeCell ref="A4:B4"/>
    <mergeCell ref="D4:E4"/>
    <mergeCell ref="A5:B5"/>
    <mergeCell ref="D5:E5"/>
    <mergeCell ref="A6:G6"/>
    <mergeCell ref="A8:G8"/>
    <mergeCell ref="E22:F22"/>
    <mergeCell ref="E27:F27"/>
    <mergeCell ref="E28:F28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AEC1-F571-4A6F-8D4A-E26CBEB582A5}">
  <sheetPr>
    <pageSetUpPr fitToPage="1"/>
  </sheetPr>
  <dimension ref="A1:J36"/>
  <sheetViews>
    <sheetView topLeftCell="A18" zoomScale="50" zoomScaleNormal="50" workbookViewId="0">
      <selection activeCell="G28" sqref="A1:G28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71" t="s">
        <v>47</v>
      </c>
      <c r="B1" s="72"/>
      <c r="C1" s="72"/>
      <c r="D1" s="72"/>
      <c r="E1" s="72"/>
      <c r="F1" s="72"/>
      <c r="G1" s="73"/>
    </row>
    <row r="2" spans="1:10" ht="33.6" customHeight="1" x14ac:dyDescent="0.3">
      <c r="A2" s="74" t="s">
        <v>40</v>
      </c>
      <c r="B2" s="75"/>
      <c r="C2" s="75"/>
      <c r="D2" s="75"/>
      <c r="E2" s="75"/>
      <c r="F2" s="75"/>
      <c r="G2" s="76"/>
    </row>
    <row r="3" spans="1:10" ht="39.6" customHeight="1" x14ac:dyDescent="0.3">
      <c r="A3" s="77" t="s">
        <v>16</v>
      </c>
      <c r="B3" s="78"/>
      <c r="C3" s="29" t="s">
        <v>50</v>
      </c>
      <c r="D3" s="33" t="s">
        <v>21</v>
      </c>
      <c r="E3" s="33" t="s">
        <v>23</v>
      </c>
      <c r="F3" s="79"/>
      <c r="G3" s="80"/>
    </row>
    <row r="4" spans="1:10" ht="52.2" customHeight="1" x14ac:dyDescent="0.3">
      <c r="A4" s="77" t="s">
        <v>17</v>
      </c>
      <c r="B4" s="78"/>
      <c r="C4" s="30" t="s">
        <v>19</v>
      </c>
      <c r="D4" s="85" t="s">
        <v>48</v>
      </c>
      <c r="E4" s="86"/>
      <c r="F4" s="81"/>
      <c r="G4" s="82"/>
    </row>
    <row r="5" spans="1:10" ht="36.6" customHeight="1" x14ac:dyDescent="0.3">
      <c r="A5" s="87" t="s">
        <v>18</v>
      </c>
      <c r="B5" s="88"/>
      <c r="C5" s="29" t="s">
        <v>20</v>
      </c>
      <c r="D5" s="89" t="s">
        <v>49</v>
      </c>
      <c r="E5" s="90"/>
      <c r="F5" s="83"/>
      <c r="G5" s="84"/>
    </row>
    <row r="6" spans="1:10" x14ac:dyDescent="0.3">
      <c r="A6" s="61"/>
      <c r="B6" s="62"/>
      <c r="C6" s="62"/>
      <c r="D6" s="62"/>
      <c r="E6" s="62"/>
      <c r="F6" s="62"/>
      <c r="G6" s="63"/>
    </row>
    <row r="7" spans="1:10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10" ht="23.4" x14ac:dyDescent="0.3">
      <c r="A8" s="64" t="s">
        <v>39</v>
      </c>
      <c r="B8" s="65"/>
      <c r="C8" s="65"/>
      <c r="D8" s="65"/>
      <c r="E8" s="65"/>
      <c r="F8" s="65"/>
      <c r="G8" s="66"/>
    </row>
    <row r="9" spans="1:10" ht="23.4" x14ac:dyDescent="0.3">
      <c r="A9" s="3">
        <v>1</v>
      </c>
      <c r="B9" s="4"/>
      <c r="C9" s="5" t="s">
        <v>22</v>
      </c>
      <c r="D9" s="6"/>
      <c r="E9" s="6"/>
      <c r="F9" s="20"/>
      <c r="G9" s="21">
        <f>SUM(G10:G11)</f>
        <v>430000</v>
      </c>
    </row>
    <row r="10" spans="1:10" ht="78.599999999999994" customHeight="1" x14ac:dyDescent="0.3">
      <c r="A10" s="7"/>
      <c r="B10" s="7" t="s">
        <v>24</v>
      </c>
      <c r="C10" s="9" t="s">
        <v>36</v>
      </c>
      <c r="D10" s="2" t="s">
        <v>25</v>
      </c>
      <c r="E10" s="58">
        <v>1</v>
      </c>
      <c r="F10" s="22">
        <v>130000</v>
      </c>
      <c r="G10" s="23">
        <f>+E10*F10</f>
        <v>130000</v>
      </c>
    </row>
    <row r="11" spans="1:10" ht="21" x14ac:dyDescent="0.3">
      <c r="A11" s="7"/>
      <c r="B11" s="7" t="s">
        <v>26</v>
      </c>
      <c r="C11" s="9" t="s">
        <v>27</v>
      </c>
      <c r="D11" s="2" t="s">
        <v>25</v>
      </c>
      <c r="E11" s="58">
        <v>1</v>
      </c>
      <c r="F11" s="22">
        <v>300000</v>
      </c>
      <c r="G11" s="23">
        <f>+E11*F11</f>
        <v>300000</v>
      </c>
    </row>
    <row r="12" spans="1:10" ht="23.4" x14ac:dyDescent="0.3">
      <c r="A12" s="15">
        <v>2</v>
      </c>
      <c r="B12" s="16"/>
      <c r="C12" s="17" t="s">
        <v>31</v>
      </c>
      <c r="D12" s="18"/>
      <c r="E12" s="27"/>
      <c r="F12" s="24"/>
      <c r="G12" s="25">
        <f>SUM(G13:G14)</f>
        <v>1667640</v>
      </c>
    </row>
    <row r="13" spans="1:10" ht="64.2" customHeight="1" x14ac:dyDescent="0.3">
      <c r="A13" s="8"/>
      <c r="B13" s="28" t="s">
        <v>28</v>
      </c>
      <c r="C13" s="39" t="s">
        <v>41</v>
      </c>
      <c r="D13" s="2" t="s">
        <v>7</v>
      </c>
      <c r="E13" s="58">
        <v>340.2</v>
      </c>
      <c r="F13" s="22">
        <v>3200</v>
      </c>
      <c r="G13" s="23">
        <f>+E13*F13</f>
        <v>1088640</v>
      </c>
      <c r="J13" s="38"/>
    </row>
    <row r="14" spans="1:10" ht="87" customHeight="1" x14ac:dyDescent="0.3">
      <c r="A14" s="10"/>
      <c r="B14" s="28" t="s">
        <v>29</v>
      </c>
      <c r="C14" s="40" t="s">
        <v>45</v>
      </c>
      <c r="D14" s="12" t="s">
        <v>7</v>
      </c>
      <c r="E14" s="58">
        <v>15</v>
      </c>
      <c r="F14" s="22">
        <v>38600</v>
      </c>
      <c r="G14" s="23">
        <f>+E14*F14</f>
        <v>579000</v>
      </c>
    </row>
    <row r="15" spans="1:10" ht="43.8" customHeight="1" x14ac:dyDescent="0.3">
      <c r="A15" s="15">
        <v>3</v>
      </c>
      <c r="B15" s="16"/>
      <c r="C15" s="17" t="s">
        <v>43</v>
      </c>
      <c r="D15" s="18"/>
      <c r="E15" s="27"/>
      <c r="F15" s="24"/>
      <c r="G15" s="25">
        <f>SUM(G16:G17)</f>
        <v>5665870</v>
      </c>
    </row>
    <row r="16" spans="1:10" ht="76.2" customHeight="1" x14ac:dyDescent="0.3">
      <c r="A16" s="8"/>
      <c r="B16" s="28" t="s">
        <v>30</v>
      </c>
      <c r="C16" s="39" t="s">
        <v>37</v>
      </c>
      <c r="D16" s="2" t="s">
        <v>7</v>
      </c>
      <c r="E16" s="58">
        <v>258.10000000000002</v>
      </c>
      <c r="F16" s="22">
        <v>17500</v>
      </c>
      <c r="G16" s="23">
        <f>+E16*F16</f>
        <v>4516750</v>
      </c>
    </row>
    <row r="17" spans="1:7" ht="76.2" customHeight="1" x14ac:dyDescent="0.3">
      <c r="A17" s="8"/>
      <c r="B17" s="28" t="s">
        <v>32</v>
      </c>
      <c r="C17" s="57" t="s">
        <v>44</v>
      </c>
      <c r="D17" s="41" t="s">
        <v>7</v>
      </c>
      <c r="E17" s="59">
        <v>201.6</v>
      </c>
      <c r="F17" s="42">
        <v>5700</v>
      </c>
      <c r="G17" s="43">
        <f>+E17*F17</f>
        <v>1149120</v>
      </c>
    </row>
    <row r="18" spans="1:7" ht="23.4" x14ac:dyDescent="0.3">
      <c r="A18" s="15">
        <v>4</v>
      </c>
      <c r="B18" s="16"/>
      <c r="C18" s="17" t="s">
        <v>38</v>
      </c>
      <c r="D18" s="18"/>
      <c r="E18" s="27"/>
      <c r="F18" s="24"/>
      <c r="G18" s="25">
        <f>SUM(G19:G19)</f>
        <v>1145700</v>
      </c>
    </row>
    <row r="19" spans="1:7" ht="64.8" customHeight="1" x14ac:dyDescent="0.3">
      <c r="A19" s="10"/>
      <c r="B19" s="28" t="s">
        <v>33</v>
      </c>
      <c r="C19" s="11" t="s">
        <v>46</v>
      </c>
      <c r="D19" s="12" t="s">
        <v>8</v>
      </c>
      <c r="E19" s="58">
        <v>171</v>
      </c>
      <c r="F19" s="22">
        <v>6700</v>
      </c>
      <c r="G19" s="26">
        <f>F19*E19</f>
        <v>1145700</v>
      </c>
    </row>
    <row r="20" spans="1:7" ht="31.8" customHeight="1" x14ac:dyDescent="0.3">
      <c r="A20" s="44">
        <v>5</v>
      </c>
      <c r="B20" s="45"/>
      <c r="C20" s="46" t="s">
        <v>35</v>
      </c>
      <c r="D20" s="47"/>
      <c r="E20" s="48"/>
      <c r="F20" s="49"/>
      <c r="G20" s="56">
        <f>G21</f>
        <v>200000</v>
      </c>
    </row>
    <row r="21" spans="1:7" ht="73.8" customHeight="1" x14ac:dyDescent="0.3">
      <c r="A21" s="50"/>
      <c r="B21" s="51" t="s">
        <v>34</v>
      </c>
      <c r="C21" s="52" t="s">
        <v>42</v>
      </c>
      <c r="D21" s="53" t="s">
        <v>25</v>
      </c>
      <c r="E21" s="60">
        <v>1</v>
      </c>
      <c r="F21" s="54">
        <v>200000</v>
      </c>
      <c r="G21" s="55">
        <f>F21*E21</f>
        <v>200000</v>
      </c>
    </row>
    <row r="22" spans="1:7" ht="39.6" customHeight="1" x14ac:dyDescent="0.3">
      <c r="A22" s="13"/>
      <c r="B22" s="13"/>
      <c r="C22" s="13"/>
      <c r="D22" s="13"/>
      <c r="E22" s="91" t="s">
        <v>9</v>
      </c>
      <c r="F22" s="92"/>
      <c r="G22" s="34">
        <f>G18+G15+G12+G9+G20</f>
        <v>9109210</v>
      </c>
    </row>
    <row r="23" spans="1:7" ht="17.399999999999999" x14ac:dyDescent="0.3">
      <c r="A23" s="13"/>
      <c r="B23" s="13"/>
      <c r="C23" s="13"/>
      <c r="D23" s="13"/>
      <c r="E23" s="14" t="s">
        <v>10</v>
      </c>
      <c r="F23" s="19">
        <v>0.08</v>
      </c>
      <c r="G23" s="35">
        <f>+$G$22*F23</f>
        <v>728736.8</v>
      </c>
    </row>
    <row r="24" spans="1:7" ht="17.399999999999999" x14ac:dyDescent="0.3">
      <c r="A24" s="13"/>
      <c r="B24" s="13"/>
      <c r="C24" s="13"/>
      <c r="D24" s="13"/>
      <c r="E24" s="14" t="s">
        <v>11</v>
      </c>
      <c r="F24" s="19">
        <v>0.05</v>
      </c>
      <c r="G24" s="35">
        <f t="shared" ref="G24:G25" si="0">+$G$22*F24</f>
        <v>455460.5</v>
      </c>
    </row>
    <row r="25" spans="1:7" ht="19.95" customHeight="1" x14ac:dyDescent="0.3">
      <c r="A25" s="13"/>
      <c r="B25" s="13"/>
      <c r="C25" s="13"/>
      <c r="D25" s="13"/>
      <c r="E25" s="14" t="s">
        <v>12</v>
      </c>
      <c r="F25" s="19">
        <v>0.05</v>
      </c>
      <c r="G25" s="35">
        <f t="shared" si="0"/>
        <v>455460.5</v>
      </c>
    </row>
    <row r="26" spans="1:7" ht="19.95" customHeight="1" x14ac:dyDescent="0.3">
      <c r="A26" s="13"/>
      <c r="B26" s="13"/>
      <c r="C26" s="13"/>
      <c r="D26" s="13"/>
      <c r="E26" s="14" t="s">
        <v>13</v>
      </c>
      <c r="F26" s="19">
        <v>0.19</v>
      </c>
      <c r="G26" s="35">
        <f>+G25*F26</f>
        <v>86537.494999999995</v>
      </c>
    </row>
    <row r="27" spans="1:7" ht="19.95" customHeight="1" x14ac:dyDescent="0.3">
      <c r="A27" s="13"/>
      <c r="B27" s="13"/>
      <c r="C27" s="13"/>
      <c r="D27" s="13"/>
      <c r="E27" s="67" t="s">
        <v>14</v>
      </c>
      <c r="F27" s="68"/>
      <c r="G27" s="36">
        <f>+G23+G24+G25+G26</f>
        <v>1726195.2949999999</v>
      </c>
    </row>
    <row r="28" spans="1:7" ht="19.95" customHeight="1" x14ac:dyDescent="0.3">
      <c r="A28" s="13"/>
      <c r="B28" s="13"/>
      <c r="C28" s="13"/>
      <c r="D28" s="13"/>
      <c r="E28" s="69" t="s">
        <v>15</v>
      </c>
      <c r="F28" s="70"/>
      <c r="G28" s="37">
        <f>+G22+G27</f>
        <v>10835405.295</v>
      </c>
    </row>
    <row r="29" spans="1:7" ht="19.95" customHeight="1" x14ac:dyDescent="0.3"/>
    <row r="30" spans="1:7" ht="19.95" customHeight="1" x14ac:dyDescent="0.3"/>
    <row r="31" spans="1:7" ht="19.95" customHeight="1" x14ac:dyDescent="0.3"/>
    <row r="32" spans="1:7" ht="15" customHeight="1" x14ac:dyDescent="0.3"/>
    <row r="35" spans="7:7" x14ac:dyDescent="0.3">
      <c r="G35" s="38"/>
    </row>
    <row r="36" spans="7:7" x14ac:dyDescent="0.3">
      <c r="G36" s="38"/>
    </row>
  </sheetData>
  <mergeCells count="13">
    <mergeCell ref="A6:G6"/>
    <mergeCell ref="A8:G8"/>
    <mergeCell ref="E22:F22"/>
    <mergeCell ref="E27:F27"/>
    <mergeCell ref="E28:F28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C37E-C51E-4D65-AAFA-1F99479F6F73}">
  <sheetPr>
    <pageSetUpPr fitToPage="1"/>
  </sheetPr>
  <dimension ref="A1:J35"/>
  <sheetViews>
    <sheetView topLeftCell="A17" zoomScale="50" zoomScaleNormal="50" workbookViewId="0">
      <selection activeCell="G27" sqref="A1:G27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71" t="s">
        <v>47</v>
      </c>
      <c r="B1" s="72"/>
      <c r="C1" s="72"/>
      <c r="D1" s="72"/>
      <c r="E1" s="72"/>
      <c r="F1" s="72"/>
      <c r="G1" s="73"/>
    </row>
    <row r="2" spans="1:10" ht="33.6" customHeight="1" x14ac:dyDescent="0.3">
      <c r="A2" s="74" t="s">
        <v>40</v>
      </c>
      <c r="B2" s="75"/>
      <c r="C2" s="75"/>
      <c r="D2" s="75"/>
      <c r="E2" s="75"/>
      <c r="F2" s="75"/>
      <c r="G2" s="76"/>
    </row>
    <row r="3" spans="1:10" ht="39.6" customHeight="1" x14ac:dyDescent="0.3">
      <c r="A3" s="77" t="s">
        <v>16</v>
      </c>
      <c r="B3" s="78"/>
      <c r="C3" s="29" t="s">
        <v>50</v>
      </c>
      <c r="D3" s="33" t="s">
        <v>21</v>
      </c>
      <c r="E3" s="33" t="s">
        <v>23</v>
      </c>
      <c r="F3" s="79"/>
      <c r="G3" s="80"/>
    </row>
    <row r="4" spans="1:10" ht="52.2" customHeight="1" x14ac:dyDescent="0.3">
      <c r="A4" s="77" t="s">
        <v>17</v>
      </c>
      <c r="B4" s="78"/>
      <c r="C4" s="30" t="s">
        <v>19</v>
      </c>
      <c r="D4" s="85" t="s">
        <v>48</v>
      </c>
      <c r="E4" s="86"/>
      <c r="F4" s="81"/>
      <c r="G4" s="82"/>
    </row>
    <row r="5" spans="1:10" ht="36.6" customHeight="1" x14ac:dyDescent="0.3">
      <c r="A5" s="87" t="s">
        <v>18</v>
      </c>
      <c r="B5" s="88"/>
      <c r="C5" s="29" t="s">
        <v>20</v>
      </c>
      <c r="D5" s="89" t="s">
        <v>49</v>
      </c>
      <c r="E5" s="90"/>
      <c r="F5" s="83"/>
      <c r="G5" s="84"/>
    </row>
    <row r="6" spans="1:10" x14ac:dyDescent="0.3">
      <c r="A6" s="61"/>
      <c r="B6" s="62"/>
      <c r="C6" s="62"/>
      <c r="D6" s="62"/>
      <c r="E6" s="62"/>
      <c r="F6" s="62"/>
      <c r="G6" s="63"/>
    </row>
    <row r="7" spans="1:10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10" ht="23.4" x14ac:dyDescent="0.3">
      <c r="A8" s="64" t="s">
        <v>39</v>
      </c>
      <c r="B8" s="65"/>
      <c r="C8" s="65"/>
      <c r="D8" s="65"/>
      <c r="E8" s="65"/>
      <c r="F8" s="65"/>
      <c r="G8" s="66"/>
    </row>
    <row r="9" spans="1:10" ht="23.4" x14ac:dyDescent="0.3">
      <c r="A9" s="3">
        <v>1</v>
      </c>
      <c r="B9" s="4"/>
      <c r="C9" s="5" t="s">
        <v>22</v>
      </c>
      <c r="D9" s="6"/>
      <c r="E9" s="6"/>
      <c r="F9" s="20"/>
      <c r="G9" s="21">
        <f>SUM(G10:G11)</f>
        <v>430000</v>
      </c>
    </row>
    <row r="10" spans="1:10" ht="78.599999999999994" customHeight="1" x14ac:dyDescent="0.3">
      <c r="A10" s="7"/>
      <c r="B10" s="7" t="s">
        <v>24</v>
      </c>
      <c r="C10" s="9" t="s">
        <v>36</v>
      </c>
      <c r="D10" s="2" t="s">
        <v>25</v>
      </c>
      <c r="E10" s="58">
        <v>1</v>
      </c>
      <c r="F10" s="22">
        <v>130000</v>
      </c>
      <c r="G10" s="23">
        <f>+E10*F10</f>
        <v>130000</v>
      </c>
    </row>
    <row r="11" spans="1:10" ht="21" x14ac:dyDescent="0.3">
      <c r="A11" s="7"/>
      <c r="B11" s="7" t="s">
        <v>26</v>
      </c>
      <c r="C11" s="9" t="s">
        <v>27</v>
      </c>
      <c r="D11" s="2" t="s">
        <v>25</v>
      </c>
      <c r="E11" s="58">
        <v>1</v>
      </c>
      <c r="F11" s="22">
        <v>300000</v>
      </c>
      <c r="G11" s="23">
        <f>+E11*F11</f>
        <v>300000</v>
      </c>
    </row>
    <row r="12" spans="1:10" ht="23.4" x14ac:dyDescent="0.3">
      <c r="A12" s="15">
        <v>2</v>
      </c>
      <c r="B12" s="16"/>
      <c r="C12" s="17" t="s">
        <v>31</v>
      </c>
      <c r="D12" s="18"/>
      <c r="E12" s="27"/>
      <c r="F12" s="24"/>
      <c r="G12" s="25">
        <f>SUM(G13:G14)</f>
        <v>568912</v>
      </c>
    </row>
    <row r="13" spans="1:10" ht="64.2" customHeight="1" x14ac:dyDescent="0.3">
      <c r="A13" s="8"/>
      <c r="B13" s="28" t="s">
        <v>28</v>
      </c>
      <c r="C13" s="39" t="s">
        <v>41</v>
      </c>
      <c r="D13" s="2" t="s">
        <v>7</v>
      </c>
      <c r="E13" s="58">
        <v>105.41</v>
      </c>
      <c r="F13" s="22">
        <v>3200</v>
      </c>
      <c r="G13" s="23">
        <f>+E13*F13</f>
        <v>337312</v>
      </c>
      <c r="J13" s="38"/>
    </row>
    <row r="14" spans="1:10" ht="87" customHeight="1" x14ac:dyDescent="0.3">
      <c r="A14" s="10"/>
      <c r="B14" s="28" t="s">
        <v>29</v>
      </c>
      <c r="C14" s="40" t="s">
        <v>45</v>
      </c>
      <c r="D14" s="12" t="s">
        <v>7</v>
      </c>
      <c r="E14" s="58">
        <v>6</v>
      </c>
      <c r="F14" s="22">
        <v>38600</v>
      </c>
      <c r="G14" s="23">
        <f>+E14*F14</f>
        <v>231600</v>
      </c>
    </row>
    <row r="15" spans="1:10" ht="43.8" customHeight="1" x14ac:dyDescent="0.3">
      <c r="A15" s="15">
        <v>3</v>
      </c>
      <c r="B15" s="16"/>
      <c r="C15" s="17" t="s">
        <v>43</v>
      </c>
      <c r="D15" s="18"/>
      <c r="E15" s="27"/>
      <c r="F15" s="24"/>
      <c r="G15" s="25">
        <f>SUM(G16:G16)</f>
        <v>1844675</v>
      </c>
    </row>
    <row r="16" spans="1:10" ht="76.2" customHeight="1" x14ac:dyDescent="0.3">
      <c r="A16" s="8"/>
      <c r="B16" s="28" t="s">
        <v>30</v>
      </c>
      <c r="C16" s="39" t="s">
        <v>37</v>
      </c>
      <c r="D16" s="2" t="s">
        <v>7</v>
      </c>
      <c r="E16" s="58">
        <v>105.41</v>
      </c>
      <c r="F16" s="22">
        <v>17500</v>
      </c>
      <c r="G16" s="23">
        <f>+E16*F16</f>
        <v>1844675</v>
      </c>
    </row>
    <row r="17" spans="1:7" ht="23.4" x14ac:dyDescent="0.3">
      <c r="A17" s="15">
        <v>4</v>
      </c>
      <c r="B17" s="16"/>
      <c r="C17" s="17" t="s">
        <v>51</v>
      </c>
      <c r="D17" s="18"/>
      <c r="E17" s="27"/>
      <c r="F17" s="24"/>
      <c r="G17" s="25">
        <f>SUM(G18:G18)</f>
        <v>12567200</v>
      </c>
    </row>
    <row r="18" spans="1:7" ht="100.8" customHeight="1" x14ac:dyDescent="0.3">
      <c r="A18" s="10"/>
      <c r="B18" s="28" t="s">
        <v>33</v>
      </c>
      <c r="C18" s="11" t="s">
        <v>52</v>
      </c>
      <c r="D18" s="12" t="s">
        <v>7</v>
      </c>
      <c r="E18" s="58">
        <v>136.6</v>
      </c>
      <c r="F18" s="22">
        <v>92000</v>
      </c>
      <c r="G18" s="26">
        <f>F18*E18</f>
        <v>12567200</v>
      </c>
    </row>
    <row r="19" spans="1:7" ht="31.8" customHeight="1" x14ac:dyDescent="0.3">
      <c r="A19" s="44">
        <v>5</v>
      </c>
      <c r="B19" s="45"/>
      <c r="C19" s="46" t="s">
        <v>35</v>
      </c>
      <c r="D19" s="47"/>
      <c r="E19" s="48"/>
      <c r="F19" s="49"/>
      <c r="G19" s="56">
        <f>G20</f>
        <v>200000</v>
      </c>
    </row>
    <row r="20" spans="1:7" ht="73.8" customHeight="1" x14ac:dyDescent="0.3">
      <c r="A20" s="50"/>
      <c r="B20" s="51" t="s">
        <v>34</v>
      </c>
      <c r="C20" s="52" t="s">
        <v>42</v>
      </c>
      <c r="D20" s="53" t="s">
        <v>25</v>
      </c>
      <c r="E20" s="60">
        <v>1</v>
      </c>
      <c r="F20" s="54">
        <v>200000</v>
      </c>
      <c r="G20" s="55">
        <f>F20*E20</f>
        <v>200000</v>
      </c>
    </row>
    <row r="21" spans="1:7" ht="39.6" customHeight="1" x14ac:dyDescent="0.3">
      <c r="A21" s="13"/>
      <c r="B21" s="13"/>
      <c r="C21" s="13"/>
      <c r="D21" s="13"/>
      <c r="E21" s="91" t="s">
        <v>9</v>
      </c>
      <c r="F21" s="92"/>
      <c r="G21" s="34">
        <f>G17+G15+G12+G9+G19</f>
        <v>15610787</v>
      </c>
    </row>
    <row r="22" spans="1:7" ht="17.399999999999999" x14ac:dyDescent="0.3">
      <c r="A22" s="13"/>
      <c r="B22" s="13"/>
      <c r="C22" s="13"/>
      <c r="D22" s="13"/>
      <c r="E22" s="14" t="s">
        <v>10</v>
      </c>
      <c r="F22" s="19">
        <v>0.08</v>
      </c>
      <c r="G22" s="35">
        <f>+$G$21*F22</f>
        <v>1248862.96</v>
      </c>
    </row>
    <row r="23" spans="1:7" ht="17.399999999999999" x14ac:dyDescent="0.3">
      <c r="A23" s="13"/>
      <c r="B23" s="13"/>
      <c r="C23" s="13"/>
      <c r="D23" s="13"/>
      <c r="E23" s="14" t="s">
        <v>11</v>
      </c>
      <c r="F23" s="19">
        <v>0.05</v>
      </c>
      <c r="G23" s="35">
        <f t="shared" ref="G23:G24" si="0">+$G$21*F23</f>
        <v>780539.35000000009</v>
      </c>
    </row>
    <row r="24" spans="1:7" ht="19.95" customHeight="1" x14ac:dyDescent="0.3">
      <c r="A24" s="13"/>
      <c r="B24" s="13"/>
      <c r="C24" s="13"/>
      <c r="D24" s="13"/>
      <c r="E24" s="14" t="s">
        <v>12</v>
      </c>
      <c r="F24" s="19">
        <v>0.05</v>
      </c>
      <c r="G24" s="35">
        <f t="shared" si="0"/>
        <v>780539.35000000009</v>
      </c>
    </row>
    <row r="25" spans="1:7" ht="19.95" customHeight="1" x14ac:dyDescent="0.3">
      <c r="A25" s="13"/>
      <c r="B25" s="13"/>
      <c r="C25" s="13"/>
      <c r="D25" s="13"/>
      <c r="E25" s="14" t="s">
        <v>13</v>
      </c>
      <c r="F25" s="19">
        <v>0.19</v>
      </c>
      <c r="G25" s="35">
        <f>+G24*F25</f>
        <v>148302.47650000002</v>
      </c>
    </row>
    <row r="26" spans="1:7" ht="19.95" customHeight="1" x14ac:dyDescent="0.3">
      <c r="A26" s="13"/>
      <c r="B26" s="13"/>
      <c r="C26" s="13"/>
      <c r="D26" s="13"/>
      <c r="E26" s="67" t="s">
        <v>14</v>
      </c>
      <c r="F26" s="68"/>
      <c r="G26" s="36">
        <f>+G22+G23+G24+G25</f>
        <v>2958244.1365</v>
      </c>
    </row>
    <row r="27" spans="1:7" ht="19.95" customHeight="1" x14ac:dyDescent="0.3">
      <c r="A27" s="13"/>
      <c r="B27" s="13"/>
      <c r="C27" s="13"/>
      <c r="D27" s="13"/>
      <c r="E27" s="69" t="s">
        <v>15</v>
      </c>
      <c r="F27" s="70"/>
      <c r="G27" s="37">
        <f>+G21+G26</f>
        <v>18569031.136500001</v>
      </c>
    </row>
    <row r="28" spans="1:7" ht="19.95" customHeight="1" x14ac:dyDescent="0.3"/>
    <row r="29" spans="1:7" ht="19.95" customHeight="1" x14ac:dyDescent="0.3"/>
    <row r="30" spans="1:7" ht="19.95" customHeight="1" x14ac:dyDescent="0.3"/>
    <row r="31" spans="1:7" ht="15" customHeight="1" x14ac:dyDescent="0.3"/>
    <row r="34" spans="7:7" x14ac:dyDescent="0.3">
      <c r="G34" s="38"/>
    </row>
    <row r="35" spans="7:7" x14ac:dyDescent="0.3">
      <c r="G35" s="38"/>
    </row>
  </sheetData>
  <mergeCells count="13">
    <mergeCell ref="A1:G1"/>
    <mergeCell ref="A2:G2"/>
    <mergeCell ref="A3:B3"/>
    <mergeCell ref="F3:G5"/>
    <mergeCell ref="A4:B4"/>
    <mergeCell ref="D4:E4"/>
    <mergeCell ref="A5:B5"/>
    <mergeCell ref="D5:E5"/>
    <mergeCell ref="A6:G6"/>
    <mergeCell ref="A8:G8"/>
    <mergeCell ref="E21:F21"/>
    <mergeCell ref="E26:F26"/>
    <mergeCell ref="E27:F27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A238-C5F5-4C87-89C9-1DA488654BFB}">
  <sheetPr>
    <pageSetUpPr fitToPage="1"/>
  </sheetPr>
  <dimension ref="A1:J35"/>
  <sheetViews>
    <sheetView topLeftCell="A17" zoomScale="50" zoomScaleNormal="50" workbookViewId="0">
      <selection activeCell="G27" sqref="A1:G27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71" t="s">
        <v>47</v>
      </c>
      <c r="B1" s="72"/>
      <c r="C1" s="72"/>
      <c r="D1" s="72"/>
      <c r="E1" s="72"/>
      <c r="F1" s="72"/>
      <c r="G1" s="73"/>
    </row>
    <row r="2" spans="1:10" ht="33.6" customHeight="1" x14ac:dyDescent="0.3">
      <c r="A2" s="74" t="s">
        <v>40</v>
      </c>
      <c r="B2" s="75"/>
      <c r="C2" s="75"/>
      <c r="D2" s="75"/>
      <c r="E2" s="75"/>
      <c r="F2" s="75"/>
      <c r="G2" s="76"/>
    </row>
    <row r="3" spans="1:10" ht="39.6" customHeight="1" x14ac:dyDescent="0.3">
      <c r="A3" s="77" t="s">
        <v>16</v>
      </c>
      <c r="B3" s="78"/>
      <c r="C3" s="29" t="s">
        <v>50</v>
      </c>
      <c r="D3" s="33" t="s">
        <v>21</v>
      </c>
      <c r="E3" s="33" t="s">
        <v>23</v>
      </c>
      <c r="F3" s="79"/>
      <c r="G3" s="80"/>
    </row>
    <row r="4" spans="1:10" ht="52.2" customHeight="1" x14ac:dyDescent="0.3">
      <c r="A4" s="77" t="s">
        <v>17</v>
      </c>
      <c r="B4" s="78"/>
      <c r="C4" s="30" t="s">
        <v>19</v>
      </c>
      <c r="D4" s="85" t="s">
        <v>48</v>
      </c>
      <c r="E4" s="86"/>
      <c r="F4" s="81"/>
      <c r="G4" s="82"/>
    </row>
    <row r="5" spans="1:10" ht="36.6" customHeight="1" x14ac:dyDescent="0.3">
      <c r="A5" s="87" t="s">
        <v>18</v>
      </c>
      <c r="B5" s="88"/>
      <c r="C5" s="29" t="s">
        <v>20</v>
      </c>
      <c r="D5" s="89" t="s">
        <v>49</v>
      </c>
      <c r="E5" s="90"/>
      <c r="F5" s="83"/>
      <c r="G5" s="84"/>
    </row>
    <row r="6" spans="1:10" x14ac:dyDescent="0.3">
      <c r="A6" s="61"/>
      <c r="B6" s="62"/>
      <c r="C6" s="62"/>
      <c r="D6" s="62"/>
      <c r="E6" s="62"/>
      <c r="F6" s="62"/>
      <c r="G6" s="63"/>
    </row>
    <row r="7" spans="1:10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10" ht="23.4" x14ac:dyDescent="0.3">
      <c r="A8" s="64" t="s">
        <v>39</v>
      </c>
      <c r="B8" s="65"/>
      <c r="C8" s="65"/>
      <c r="D8" s="65"/>
      <c r="E8" s="65"/>
      <c r="F8" s="65"/>
      <c r="G8" s="66"/>
    </row>
    <row r="9" spans="1:10" ht="23.4" x14ac:dyDescent="0.3">
      <c r="A9" s="3">
        <v>1</v>
      </c>
      <c r="B9" s="4"/>
      <c r="C9" s="5" t="s">
        <v>22</v>
      </c>
      <c r="D9" s="6"/>
      <c r="E9" s="6"/>
      <c r="F9" s="20"/>
      <c r="G9" s="21">
        <f>SUM(G10:G11)</f>
        <v>430000</v>
      </c>
    </row>
    <row r="10" spans="1:10" ht="78.599999999999994" customHeight="1" x14ac:dyDescent="0.3">
      <c r="A10" s="7"/>
      <c r="B10" s="7" t="s">
        <v>24</v>
      </c>
      <c r="C10" s="9" t="s">
        <v>36</v>
      </c>
      <c r="D10" s="2" t="s">
        <v>25</v>
      </c>
      <c r="E10" s="58">
        <v>1</v>
      </c>
      <c r="F10" s="22">
        <v>130000</v>
      </c>
      <c r="G10" s="23">
        <f>+E10*F10</f>
        <v>130000</v>
      </c>
    </row>
    <row r="11" spans="1:10" ht="21" x14ac:dyDescent="0.3">
      <c r="A11" s="7"/>
      <c r="B11" s="7" t="s">
        <v>26</v>
      </c>
      <c r="C11" s="9" t="s">
        <v>27</v>
      </c>
      <c r="D11" s="2" t="s">
        <v>25</v>
      </c>
      <c r="E11" s="58">
        <v>1</v>
      </c>
      <c r="F11" s="22">
        <v>300000</v>
      </c>
      <c r="G11" s="23">
        <f>+E11*F11</f>
        <v>300000</v>
      </c>
    </row>
    <row r="12" spans="1:10" ht="23.4" x14ac:dyDescent="0.3">
      <c r="A12" s="15">
        <v>2</v>
      </c>
      <c r="B12" s="16"/>
      <c r="C12" s="17" t="s">
        <v>31</v>
      </c>
      <c r="D12" s="18"/>
      <c r="E12" s="27"/>
      <c r="F12" s="24"/>
      <c r="G12" s="25">
        <f>SUM(G13:G14)</f>
        <v>568912</v>
      </c>
    </row>
    <row r="13" spans="1:10" ht="64.2" customHeight="1" x14ac:dyDescent="0.3">
      <c r="A13" s="8"/>
      <c r="B13" s="28" t="s">
        <v>28</v>
      </c>
      <c r="C13" s="39" t="s">
        <v>41</v>
      </c>
      <c r="D13" s="2" t="s">
        <v>7</v>
      </c>
      <c r="E13" s="58">
        <v>105.41</v>
      </c>
      <c r="F13" s="22">
        <v>3200</v>
      </c>
      <c r="G13" s="23">
        <f>+E13*F13</f>
        <v>337312</v>
      </c>
      <c r="J13" s="38"/>
    </row>
    <row r="14" spans="1:10" ht="87" customHeight="1" x14ac:dyDescent="0.3">
      <c r="A14" s="10"/>
      <c r="B14" s="28" t="s">
        <v>29</v>
      </c>
      <c r="C14" s="40" t="s">
        <v>45</v>
      </c>
      <c r="D14" s="12" t="s">
        <v>7</v>
      </c>
      <c r="E14" s="58">
        <v>6</v>
      </c>
      <c r="F14" s="22">
        <v>38600</v>
      </c>
      <c r="G14" s="23">
        <f>+E14*F14</f>
        <v>231600</v>
      </c>
    </row>
    <row r="15" spans="1:10" ht="43.8" customHeight="1" x14ac:dyDescent="0.3">
      <c r="A15" s="15">
        <v>3</v>
      </c>
      <c r="B15" s="16"/>
      <c r="C15" s="17" t="s">
        <v>43</v>
      </c>
      <c r="D15" s="18"/>
      <c r="E15" s="27"/>
      <c r="F15" s="24"/>
      <c r="G15" s="25">
        <f>SUM(G16:G16)</f>
        <v>1844675</v>
      </c>
    </row>
    <row r="16" spans="1:10" ht="76.2" customHeight="1" x14ac:dyDescent="0.3">
      <c r="A16" s="8"/>
      <c r="B16" s="28" t="s">
        <v>30</v>
      </c>
      <c r="C16" s="39" t="s">
        <v>37</v>
      </c>
      <c r="D16" s="2" t="s">
        <v>7</v>
      </c>
      <c r="E16" s="58">
        <v>105.41</v>
      </c>
      <c r="F16" s="22">
        <v>17500</v>
      </c>
      <c r="G16" s="23">
        <f>+E16*F16</f>
        <v>1844675</v>
      </c>
    </row>
    <row r="17" spans="1:7" ht="23.4" x14ac:dyDescent="0.3">
      <c r="A17" s="15">
        <v>4</v>
      </c>
      <c r="B17" s="16"/>
      <c r="C17" s="17" t="s">
        <v>51</v>
      </c>
      <c r="D17" s="18"/>
      <c r="E17" s="27"/>
      <c r="F17" s="24"/>
      <c r="G17" s="25">
        <f>SUM(G18:G18)</f>
        <v>15572400</v>
      </c>
    </row>
    <row r="18" spans="1:7" ht="100.8" customHeight="1" x14ac:dyDescent="0.3">
      <c r="A18" s="10"/>
      <c r="B18" s="28" t="s">
        <v>33</v>
      </c>
      <c r="C18" s="11" t="s">
        <v>52</v>
      </c>
      <c r="D18" s="12" t="s">
        <v>7</v>
      </c>
      <c r="E18" s="58">
        <v>136.6</v>
      </c>
      <c r="F18" s="22">
        <v>114000</v>
      </c>
      <c r="G18" s="26">
        <f>F18*E18</f>
        <v>15572400</v>
      </c>
    </row>
    <row r="19" spans="1:7" ht="31.8" customHeight="1" x14ac:dyDescent="0.3">
      <c r="A19" s="44">
        <v>5</v>
      </c>
      <c r="B19" s="45"/>
      <c r="C19" s="46" t="s">
        <v>35</v>
      </c>
      <c r="D19" s="47"/>
      <c r="E19" s="48"/>
      <c r="F19" s="49"/>
      <c r="G19" s="56">
        <f>G20</f>
        <v>200000</v>
      </c>
    </row>
    <row r="20" spans="1:7" ht="73.8" customHeight="1" x14ac:dyDescent="0.3">
      <c r="A20" s="50"/>
      <c r="B20" s="51" t="s">
        <v>34</v>
      </c>
      <c r="C20" s="52" t="s">
        <v>42</v>
      </c>
      <c r="D20" s="53" t="s">
        <v>25</v>
      </c>
      <c r="E20" s="60">
        <v>1</v>
      </c>
      <c r="F20" s="54">
        <v>200000</v>
      </c>
      <c r="G20" s="55">
        <f>F20*E20</f>
        <v>200000</v>
      </c>
    </row>
    <row r="21" spans="1:7" ht="39.6" customHeight="1" x14ac:dyDescent="0.3">
      <c r="A21" s="13"/>
      <c r="B21" s="13"/>
      <c r="C21" s="13"/>
      <c r="D21" s="13"/>
      <c r="E21" s="91" t="s">
        <v>9</v>
      </c>
      <c r="F21" s="92"/>
      <c r="G21" s="34">
        <f>G17+G15+G12+G9+G19</f>
        <v>18615987</v>
      </c>
    </row>
    <row r="22" spans="1:7" ht="17.399999999999999" x14ac:dyDescent="0.3">
      <c r="A22" s="13"/>
      <c r="B22" s="13"/>
      <c r="C22" s="13"/>
      <c r="D22" s="13"/>
      <c r="E22" s="14" t="s">
        <v>10</v>
      </c>
      <c r="F22" s="19">
        <v>0.08</v>
      </c>
      <c r="G22" s="35">
        <f>+$G$21*F22</f>
        <v>1489278.96</v>
      </c>
    </row>
    <row r="23" spans="1:7" ht="17.399999999999999" x14ac:dyDescent="0.3">
      <c r="A23" s="13"/>
      <c r="B23" s="13"/>
      <c r="C23" s="13"/>
      <c r="D23" s="13"/>
      <c r="E23" s="14" t="s">
        <v>11</v>
      </c>
      <c r="F23" s="19">
        <v>0.05</v>
      </c>
      <c r="G23" s="35">
        <f t="shared" ref="G23:G24" si="0">+$G$21*F23</f>
        <v>930799.35000000009</v>
      </c>
    </row>
    <row r="24" spans="1:7" ht="19.95" customHeight="1" x14ac:dyDescent="0.3">
      <c r="A24" s="13"/>
      <c r="B24" s="13"/>
      <c r="C24" s="13"/>
      <c r="D24" s="13"/>
      <c r="E24" s="14" t="s">
        <v>12</v>
      </c>
      <c r="F24" s="19">
        <v>0.05</v>
      </c>
      <c r="G24" s="35">
        <f t="shared" si="0"/>
        <v>930799.35000000009</v>
      </c>
    </row>
    <row r="25" spans="1:7" ht="19.95" customHeight="1" x14ac:dyDescent="0.3">
      <c r="A25" s="13"/>
      <c r="B25" s="13"/>
      <c r="C25" s="13"/>
      <c r="D25" s="13"/>
      <c r="E25" s="14" t="s">
        <v>13</v>
      </c>
      <c r="F25" s="19">
        <v>0.19</v>
      </c>
      <c r="G25" s="35">
        <f>+G24*F25</f>
        <v>176851.87650000001</v>
      </c>
    </row>
    <row r="26" spans="1:7" ht="19.95" customHeight="1" x14ac:dyDescent="0.3">
      <c r="A26" s="13"/>
      <c r="B26" s="13"/>
      <c r="C26" s="13"/>
      <c r="D26" s="13"/>
      <c r="E26" s="67" t="s">
        <v>14</v>
      </c>
      <c r="F26" s="68"/>
      <c r="G26" s="36">
        <f>+G22+G23+G24+G25</f>
        <v>3527729.5365000004</v>
      </c>
    </row>
    <row r="27" spans="1:7" ht="19.95" customHeight="1" x14ac:dyDescent="0.3">
      <c r="A27" s="13"/>
      <c r="B27" s="13"/>
      <c r="C27" s="13"/>
      <c r="D27" s="13"/>
      <c r="E27" s="69" t="s">
        <v>15</v>
      </c>
      <c r="F27" s="70"/>
      <c r="G27" s="37">
        <f>+G21+G26</f>
        <v>22143716.536499999</v>
      </c>
    </row>
    <row r="28" spans="1:7" ht="19.95" customHeight="1" x14ac:dyDescent="0.3"/>
    <row r="29" spans="1:7" ht="19.95" customHeight="1" x14ac:dyDescent="0.3"/>
    <row r="30" spans="1:7" ht="19.95" customHeight="1" x14ac:dyDescent="0.3"/>
    <row r="31" spans="1:7" ht="15" customHeight="1" x14ac:dyDescent="0.3"/>
    <row r="34" spans="7:7" x14ac:dyDescent="0.3">
      <c r="G34" s="38"/>
    </row>
    <row r="35" spans="7:7" x14ac:dyDescent="0.3">
      <c r="G35" s="38"/>
    </row>
  </sheetData>
  <mergeCells count="13">
    <mergeCell ref="A6:G6"/>
    <mergeCell ref="A8:G8"/>
    <mergeCell ref="E21:F21"/>
    <mergeCell ref="E26:F26"/>
    <mergeCell ref="E27:F27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ETAPA 1</vt:lpstr>
      <vt:lpstr>ETAPA 2</vt:lpstr>
      <vt:lpstr>ETAPA 3 (ETERNIT)</vt:lpstr>
      <vt:lpstr>ETAPA 3 (UPVC)</vt:lpstr>
      <vt:lpstr>'ETAPA 1'!Área_de_impresión</vt:lpstr>
      <vt:lpstr>'ETAPA 2'!Área_de_impresión</vt:lpstr>
      <vt:lpstr>'ETAPA 3 (ETERNIT)'!Área_de_impresión</vt:lpstr>
      <vt:lpstr>'ETAPA 3 (UPVC)'!Área_de_impresión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2024-07-04T22:53:17Z</cp:lastPrinted>
  <dcterms:created xsi:type="dcterms:W3CDTF">2024-02-08T21:06:52Z</dcterms:created>
  <dcterms:modified xsi:type="dcterms:W3CDTF">2025-06-26T19:52:23Z</dcterms:modified>
  <cp:category/>
  <cp:contentStatus/>
</cp:coreProperties>
</file>