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C10A2B07-BF79-46FC-BE76-4CD1957E5BFA}" xr6:coauthVersionLast="47" xr6:coauthVersionMax="47" xr10:uidLastSave="{00000000-0000-0000-0000-000000000000}"/>
  <bookViews>
    <workbookView xWindow="-108" yWindow="-108" windowWidth="23256" windowHeight="12456" xr2:uid="{325B0686-2D22-490A-92F5-0D3E9AAE1101}"/>
  </bookViews>
  <sheets>
    <sheet name="formato present oferta" sheetId="1" r:id="rId1"/>
  </sheets>
  <definedNames>
    <definedName name="_xlnm.Print_Area" localSheetId="0">'formato present oferta'!$A$1:$G$18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6" i="1" s="1"/>
  <c r="G11" i="1" l="1"/>
  <c r="G8" i="1"/>
  <c r="G7" i="1"/>
  <c r="G10" i="1" l="1"/>
  <c r="G12" i="1" s="1"/>
  <c r="G15" i="1" l="1"/>
  <c r="G16" i="1" s="1"/>
  <c r="G14" i="1" l="1"/>
  <c r="G13" i="1"/>
  <c r="G17" i="1" l="1"/>
  <c r="G18" i="1" s="1"/>
</calcChain>
</file>

<file path=xl/sharedStrings.xml><?xml version="1.0" encoding="utf-8"?>
<sst xmlns="http://schemas.openxmlformats.org/spreadsheetml/2006/main" count="36" uniqueCount="34">
  <si>
    <t>CAPT</t>
  </si>
  <si>
    <t>ITEMS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</si>
  <si>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</si>
  <si>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</si>
  <si>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</si>
  <si>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</si>
  <si>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</si>
  <si>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</si>
  <si>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</si>
  <si>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</si>
  <si>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</si>
  <si>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</si>
  <si>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</si>
  <si>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</si>
  <si>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</si>
  <si>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</si>
  <si>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</si>
  <si>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</si>
  <si>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</si>
  <si>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</si>
  <si>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</si>
  <si>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</si>
  <si>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</si>
  <si>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</si>
  <si>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</si>
  <si>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</si>
  <si>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</si>
  <si>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</si>
  <si>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</si>
  <si>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</si>
  <si>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>COTIZACION OBRA - EDIFICIO EL PORTAL</t>
  </si>
  <si>
    <t xml:space="preserve">  FECHA: 10/03/2025</t>
  </si>
  <si>
    <t xml:space="preserve">  VALIDO HASTA: 10/06/2025</t>
  </si>
  <si>
    <t>Reparación de muro zona de parqueadero, se retirara material desprendido y en la parte baja se levantara material hasta llegar a sustrato, aplicación de Aqua Block de Pintuco el cual es una barrera que bloquea el paso de agua hacia el acabado final y previene humedades por capilaridad o humedad ascendente. Aplicación de estuco acrilico exterior como acabado, aplicación de imprimimante y 2 manos de Koraza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</si>
</sst>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9" fontId="5" fillId="0" borderId="6" xfId="3" applyFont="1" applyFill="1" applyBorder="1" applyAlignment="1">
      <alignment horizontal="center" vertical="center"/>
    </xf>
    <xf numFmtId="164" fontId="5" fillId="0" borderId="3" xfId="2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3" fontId="5" fillId="0" borderId="6" xfId="1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43" fontId="3" fillId="2" borderId="14" xfId="0" applyNumberFormat="1" applyFont="1" applyFill="1" applyBorder="1" applyAlignment="1">
      <alignment vertical="center" wrapText="1"/>
    </xf>
    <xf numFmtId="43" fontId="5" fillId="0" borderId="1" xfId="1" applyFont="1" applyFill="1" applyBorder="1" applyAlignment="1">
      <alignment vertical="center" wrapText="1"/>
    </xf>
    <xf numFmtId="165" fontId="3" fillId="2" borderId="1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43" fontId="3" fillId="2" borderId="7" xfId="1" applyFont="1" applyFill="1" applyBorder="1" applyAlignment="1">
      <alignment horizontal="center" vertical="center"/>
    </xf>
    <xf numFmtId="43" fontId="3" fillId="2" borderId="9" xfId="1" applyFont="1" applyFill="1" applyBorder="1" applyAlignment="1">
      <alignment horizontal="center" vertical="center"/>
    </xf>
    <xf numFmtId="43" fontId="3" fillId="2" borderId="8" xfId="1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1104901</xdr:colOff>
      <xdr:row>3</xdr:row>
      <xdr:rowOff>160437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9B59D5-B26C-E1BA-9849-F968261D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3301" y="355600"/>
          <a:ext cx="1968500" cy="78273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60" zoomScaleNormal="60" workbookViewId="0">
      <selection activeCell="G18" sqref="A1:G18"/>
    </sheetView>
  </sheetViews>
  <sheetFormatPr baseColWidth="10" defaultColWidth="12.33203125" defaultRowHeight="13.8" x14ac:dyDescent="0.3"/>
  <cols>
    <col min="1" max="1" width="8.5546875" style="2" customWidth="1"/>
    <col min="2" max="2" width="8.33203125" style="1" customWidth="1"/>
    <col min="3" max="3" width="77.6640625" style="1" customWidth="1"/>
    <col min="4" max="4" width="20.109375" style="1" bestFit="1" customWidth="1"/>
    <col min="5" max="5" width="14.77734375" style="1" bestFit="1" customWidth="1"/>
    <col min="6" max="6" width="15.109375" style="1" bestFit="1" customWidth="1"/>
    <col min="7" max="7" width="18.44140625" style="1" bestFit="1" customWidth="1"/>
    <col min="8" max="8" width="25.5546875" style="1" customWidth="1"/>
    <col min="9" max="16384" width="12.33203125" style="1"/>
  </cols>
  <sheetData>
    <row r="1" spans="1:8" ht="22.5" customHeight="1" x14ac:dyDescent="0.3">
      <c r="A1" s="42" t="s">
        <v>30</v>
      </c>
      <c r="B1" s="43"/>
      <c r="C1" s="43"/>
      <c r="D1" s="43"/>
      <c r="E1" s="43"/>
      <c r="F1" s="43"/>
      <c r="G1" s="44"/>
    </row>
    <row r="2" spans="1:8" ht="25.2" customHeight="1" x14ac:dyDescent="0.3">
      <c r="A2" s="45" t="s">
        <v>12</v>
      </c>
      <c r="B2" s="46"/>
      <c r="C2" s="3" t="s">
        <v>13</v>
      </c>
      <c r="D2" s="3" t="s">
        <v>14</v>
      </c>
      <c r="E2" s="3" t="s">
        <v>15</v>
      </c>
      <c r="F2" s="47"/>
      <c r="G2" s="48"/>
    </row>
    <row r="3" spans="1:8" ht="30" x14ac:dyDescent="0.3">
      <c r="A3" s="45" t="s">
        <v>16</v>
      </c>
      <c r="B3" s="46"/>
      <c r="C3" s="3" t="s">
        <v>26</v>
      </c>
      <c r="D3" s="45" t="s">
        <v>31</v>
      </c>
      <c r="E3" s="46"/>
      <c r="F3" s="49"/>
      <c r="G3" s="50"/>
      <c r="H3"/>
    </row>
    <row r="4" spans="1:8" ht="22.5" customHeight="1" x14ac:dyDescent="0.3">
      <c r="A4" s="45" t="s">
        <v>17</v>
      </c>
      <c r="B4" s="46"/>
      <c r="C4" s="3" t="s">
        <v>18</v>
      </c>
      <c r="D4" s="45" t="s">
        <v>32</v>
      </c>
      <c r="E4" s="46"/>
      <c r="F4" s="51"/>
      <c r="G4" s="52"/>
      <c r="H4"/>
    </row>
    <row r="5" spans="1:8" ht="30" x14ac:dyDescent="0.3">
      <c r="A5" s="15" t="s">
        <v>0</v>
      </c>
      <c r="B5" s="15" t="s">
        <v>1</v>
      </c>
      <c r="C5" s="15" t="s">
        <v>3</v>
      </c>
      <c r="D5" s="15" t="s">
        <v>19</v>
      </c>
      <c r="E5" s="15" t="s">
        <v>20</v>
      </c>
      <c r="F5" s="15" t="s">
        <v>21</v>
      </c>
      <c r="G5" s="15" t="s">
        <v>22</v>
      </c>
      <c r="H5"/>
    </row>
    <row r="6" spans="1:8" ht="23.25" customHeight="1" x14ac:dyDescent="0.3">
      <c r="A6" s="21" t="s">
        <v>4</v>
      </c>
      <c r="B6" s="18"/>
      <c r="C6" s="18" t="s">
        <v>5</v>
      </c>
      <c r="D6" s="18"/>
      <c r="E6" s="18"/>
      <c r="F6" s="18"/>
      <c r="G6" s="4">
        <f>SUM(G7:G9)</f>
        <v>5700000</v>
      </c>
    </row>
    <row r="7" spans="1:8" ht="30" x14ac:dyDescent="0.3">
      <c r="A7" s="16"/>
      <c r="B7" s="26">
        <v>1.1000000000000001</v>
      </c>
      <c r="C7" s="33" t="s">
        <v>27</v>
      </c>
      <c r="D7" s="29" t="s">
        <v>24</v>
      </c>
      <c r="E7" s="17">
        <v>1</v>
      </c>
      <c r="F7" s="5">
        <v>0</v>
      </c>
      <c r="G7" s="6">
        <f>F7*E7</f>
        <v>0</v>
      </c>
    </row>
    <row r="8" spans="1:8" ht="90" x14ac:dyDescent="0.3">
      <c r="A8" s="16"/>
      <c r="B8" s="26">
        <v>1.2</v>
      </c>
      <c r="C8" s="33" t="s">
        <v>28</v>
      </c>
      <c r="D8" s="29" t="s">
        <v>23</v>
      </c>
      <c r="E8" s="17">
        <v>1</v>
      </c>
      <c r="F8" s="5">
        <v>100000</v>
      </c>
      <c r="G8" s="6">
        <f t="shared" ref="G8" si="0">F8*E8</f>
        <v>100000</v>
      </c>
    </row>
    <row r="9" spans="1:8" ht="105" x14ac:dyDescent="0.3">
      <c r="A9" s="23"/>
      <c r="B9" s="27">
        <v>1.3</v>
      </c>
      <c r="C9" s="33" t="s">
        <v>33</v>
      </c>
      <c r="D9" s="30" t="s">
        <v>23</v>
      </c>
      <c r="E9" s="20">
        <v>1</v>
      </c>
      <c r="F9" s="7">
        <v>5600000</v>
      </c>
      <c r="G9" s="6">
        <f>F9*E9</f>
        <v>5600000</v>
      </c>
    </row>
    <row r="10" spans="1:8" ht="23.25" customHeight="1" x14ac:dyDescent="0.3">
      <c r="A10" s="21">
        <v>2</v>
      </c>
      <c r="B10" s="22"/>
      <c r="C10" s="32" t="s">
        <v>25</v>
      </c>
      <c r="D10" s="25"/>
      <c r="E10" s="19"/>
      <c r="F10" s="18"/>
      <c r="G10" s="4">
        <f>SUM(G11:G11)</f>
        <v>100000</v>
      </c>
    </row>
    <row r="11" spans="1:8" ht="27" customHeight="1" x14ac:dyDescent="0.3">
      <c r="A11" s="24"/>
      <c r="B11" s="28">
        <v>2.1</v>
      </c>
      <c r="C11" s="33" t="s">
        <v>29</v>
      </c>
      <c r="D11" s="31" t="s">
        <v>24</v>
      </c>
      <c r="E11" s="17">
        <v>1</v>
      </c>
      <c r="F11" s="5">
        <v>100000</v>
      </c>
      <c r="G11" s="6">
        <f>F11*E11</f>
        <v>100000</v>
      </c>
    </row>
    <row r="12" spans="1:8" ht="21" customHeight="1" x14ac:dyDescent="0.3">
      <c r="A12" s="8"/>
      <c r="B12" s="9"/>
      <c r="C12" s="9"/>
      <c r="D12" s="53" t="s">
        <v>6</v>
      </c>
      <c r="E12" s="54"/>
      <c r="F12" s="55"/>
      <c r="G12" s="10">
        <f>+G10+G6</f>
        <v>5800000</v>
      </c>
    </row>
    <row r="13" spans="1:8" ht="21.75" customHeight="1" x14ac:dyDescent="0.3">
      <c r="A13" s="8"/>
      <c r="B13" s="9"/>
      <c r="C13" s="9"/>
      <c r="D13" s="40" t="s">
        <v>7</v>
      </c>
      <c r="E13" s="41"/>
      <c r="F13" s="11">
        <v>0.1</v>
      </c>
      <c r="G13" s="12">
        <f>+$G$12*F13</f>
        <v>580000</v>
      </c>
    </row>
    <row r="14" spans="1:8" ht="21.75" customHeight="1" x14ac:dyDescent="0.3">
      <c r="A14" s="8"/>
      <c r="B14" s="9"/>
      <c r="C14" s="9"/>
      <c r="D14" s="40" t="s">
        <v>8</v>
      </c>
      <c r="E14" s="41"/>
      <c r="F14" s="11">
        <v>0.05</v>
      </c>
      <c r="G14" s="12">
        <f>+$G$12*F14</f>
        <v>290000</v>
      </c>
    </row>
    <row r="15" spans="1:8" ht="21.75" customHeight="1" x14ac:dyDescent="0.3">
      <c r="A15" s="8"/>
      <c r="B15" s="9"/>
      <c r="C15" s="9"/>
      <c r="D15" s="40" t="s">
        <v>9</v>
      </c>
      <c r="E15" s="41"/>
      <c r="F15" s="11">
        <v>0.05</v>
      </c>
      <c r="G15" s="12">
        <f>+$G$12*F15</f>
        <v>290000</v>
      </c>
    </row>
    <row r="16" spans="1:8" ht="21.75" customHeight="1" x14ac:dyDescent="0.3">
      <c r="A16" s="8"/>
      <c r="B16" s="9"/>
      <c r="C16" s="9"/>
      <c r="D16" s="40" t="s">
        <v>2</v>
      </c>
      <c r="E16" s="41"/>
      <c r="F16" s="11">
        <v>0.19</v>
      </c>
      <c r="G16" s="12">
        <f>+G15*F16</f>
        <v>55100</v>
      </c>
    </row>
    <row r="17" spans="1:7" ht="21.75" customHeight="1" x14ac:dyDescent="0.3">
      <c r="A17" s="8"/>
      <c r="B17" s="9"/>
      <c r="C17" s="9"/>
      <c r="D17" s="37" t="s">
        <v>10</v>
      </c>
      <c r="E17" s="38"/>
      <c r="F17" s="39"/>
      <c r="G17" s="13">
        <f>+G13+G14+G15+G16</f>
        <v>1215100</v>
      </c>
    </row>
    <row r="18" spans="1:7" ht="21.75" customHeight="1" x14ac:dyDescent="0.3">
      <c r="A18" s="8"/>
      <c r="B18" s="9"/>
      <c r="C18" s="9"/>
      <c r="D18" s="34" t="s">
        <v>11</v>
      </c>
      <c r="E18" s="35"/>
      <c r="F18" s="36"/>
      <c r="G18" s="14">
        <f>+G12+G17</f>
        <v>7015100</v>
      </c>
    </row>
    <row r="19" spans="1:7" ht="21.75" customHeight="1" x14ac:dyDescent="0.3"/>
  </sheetData>
  <mergeCells count="14">
    <mergeCell ref="D18:F18"/>
    <mergeCell ref="D17:F17"/>
    <mergeCell ref="D16:E16"/>
    <mergeCell ref="A1:G1"/>
    <mergeCell ref="D15:E15"/>
    <mergeCell ref="D14:E14"/>
    <mergeCell ref="D13:E13"/>
    <mergeCell ref="A2:B2"/>
    <mergeCell ref="A3:B3"/>
    <mergeCell ref="D3:E3"/>
    <mergeCell ref="A4:B4"/>
    <mergeCell ref="D4:E4"/>
    <mergeCell ref="F2:G4"/>
    <mergeCell ref="D12:F12"/>
  </mergeCells>
  <phoneticPr fontId="2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1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present oferta</vt:lpstr>
      <vt:lpstr>'formato present oferta'!Área_de_impresión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2024-09-20T23:06:03Z</cp:lastPrinted>
  <dcterms:created xsi:type="dcterms:W3CDTF">2024-02-08T21:06:52Z</dcterms:created>
  <dcterms:modified xsi:type="dcterms:W3CDTF">2025-03-26T21:45:38Z</dcterms:modified>
  <cp:category/>
  <cp:contentStatus/>
</cp:coreProperties>
</file>