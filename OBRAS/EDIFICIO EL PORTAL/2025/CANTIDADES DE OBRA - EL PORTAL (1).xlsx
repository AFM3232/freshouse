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 PC\Desktop\FRESH HOUSE\PORTAL\"/>
    </mc:Choice>
  </mc:AlternateContent>
  <xr:revisionPtr revIDLastSave="0" documentId="13_ncr:1_{3FE66F72-8228-4E03-906F-0AE4153B5D98}" xr6:coauthVersionLast="47" xr6:coauthVersionMax="47" xr10:uidLastSave="{00000000-0000-0000-0000-000000000000}"/>
  <bookViews>
    <workbookView xWindow="-108" yWindow="-108" windowWidth="23256" windowHeight="12456" xr2:uid="{3CD33563-AB1F-41DD-AE0B-9AA803646A22}"/>
  </bookViews>
  <sheets>
    <sheet name="C.O. EL PORTAL" sheetId="1" r:id="rId1"/>
    <sheet name="RESUMEN CANTIDAD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2" i="2" l="1"/>
  <c r="D11" i="2"/>
  <c r="L17" i="1"/>
  <c r="L16" i="1"/>
  <c r="L20" i="1"/>
  <c r="L19" i="1"/>
  <c r="L39" i="1"/>
  <c r="K39" i="1"/>
  <c r="L53" i="1"/>
  <c r="D10" i="2"/>
  <c r="D9" i="2"/>
  <c r="M48" i="1"/>
  <c r="M45" i="1"/>
  <c r="M42" i="1"/>
  <c r="M28" i="1"/>
  <c r="M23" i="1"/>
  <c r="M24" i="1"/>
  <c r="M25" i="1"/>
  <c r="M22" i="1"/>
  <c r="M19" i="1"/>
  <c r="M10" i="1"/>
  <c r="M13" i="1"/>
  <c r="M14" i="1"/>
  <c r="M15" i="1"/>
  <c r="M16" i="1"/>
  <c r="M9" i="1"/>
  <c r="L59" i="1"/>
  <c r="K59" i="1"/>
  <c r="F59" i="1"/>
  <c r="E59" i="1"/>
  <c r="G59" i="1" s="1"/>
  <c r="N59" i="1" s="1"/>
  <c r="K57" i="1"/>
  <c r="F57" i="1"/>
  <c r="G57" i="1" s="1"/>
  <c r="N57" i="1" s="1"/>
  <c r="L56" i="1"/>
  <c r="K56" i="1"/>
  <c r="E58" i="1"/>
  <c r="G58" i="1" s="1"/>
  <c r="N58" i="1" s="1"/>
  <c r="L55" i="1"/>
  <c r="K55" i="1"/>
  <c r="G55" i="1"/>
  <c r="K53" i="1"/>
  <c r="L52" i="1"/>
  <c r="K52" i="1"/>
  <c r="L51" i="1"/>
  <c r="K51" i="1"/>
  <c r="F51" i="1"/>
  <c r="K49" i="1"/>
  <c r="L48" i="1"/>
  <c r="K48" i="1"/>
  <c r="K50" i="1" s="1"/>
  <c r="F48" i="1"/>
  <c r="K46" i="1"/>
  <c r="G46" i="1"/>
  <c r="K43" i="1"/>
  <c r="F42" i="1"/>
  <c r="F37" i="1"/>
  <c r="K42" i="1"/>
  <c r="L42" i="1"/>
  <c r="K36" i="1"/>
  <c r="E33" i="1"/>
  <c r="E56" i="1" s="1"/>
  <c r="G56" i="1" s="1"/>
  <c r="K38" i="1"/>
  <c r="L38" i="1"/>
  <c r="K37" i="1"/>
  <c r="L37" i="1"/>
  <c r="E34" i="1"/>
  <c r="E5" i="1"/>
  <c r="E29" i="1" s="1"/>
  <c r="F33" i="1"/>
  <c r="F36" i="1" s="1"/>
  <c r="G36" i="1" s="1"/>
  <c r="K22" i="1"/>
  <c r="K20" i="1"/>
  <c r="K19" i="1"/>
  <c r="F19" i="1"/>
  <c r="L28" i="1"/>
  <c r="K28" i="1"/>
  <c r="E28" i="1"/>
  <c r="G28" i="1" s="1"/>
  <c r="L31" i="1"/>
  <c r="K31" i="1"/>
  <c r="F5" i="1"/>
  <c r="L30" i="1"/>
  <c r="L29" i="1"/>
  <c r="K30" i="1"/>
  <c r="K29" i="1"/>
  <c r="F29" i="1"/>
  <c r="K26" i="1"/>
  <c r="L26" i="1"/>
  <c r="L25" i="1"/>
  <c r="F25" i="1"/>
  <c r="K23" i="1"/>
  <c r="E9" i="1"/>
  <c r="E19" i="1" s="1"/>
  <c r="F16" i="1"/>
  <c r="K17" i="1"/>
  <c r="K16" i="1"/>
  <c r="L15" i="1"/>
  <c r="K15" i="1"/>
  <c r="K9" i="1"/>
  <c r="L9" i="1"/>
  <c r="K14" i="1"/>
  <c r="L14" i="1"/>
  <c r="L11" i="1"/>
  <c r="L10" i="1"/>
  <c r="K11" i="1"/>
  <c r="K10" i="1"/>
  <c r="F10" i="1"/>
  <c r="L6" i="1"/>
  <c r="L7" i="1"/>
  <c r="K7" i="1"/>
  <c r="K6" i="1"/>
  <c r="L61" i="1" l="1"/>
  <c r="M61" i="1"/>
  <c r="E51" i="1"/>
  <c r="G51" i="1" s="1"/>
  <c r="N56" i="1"/>
  <c r="K54" i="1"/>
  <c r="N46" i="1"/>
  <c r="K44" i="1"/>
  <c r="E48" i="1"/>
  <c r="G48" i="1" s="1"/>
  <c r="N48" i="1" s="1"/>
  <c r="N55" i="1"/>
  <c r="E45" i="1"/>
  <c r="N28" i="1"/>
  <c r="K40" i="1"/>
  <c r="G19" i="1"/>
  <c r="K21" i="1"/>
  <c r="N36" i="1"/>
  <c r="E42" i="1"/>
  <c r="E35" i="1"/>
  <c r="G29" i="1"/>
  <c r="E22" i="1"/>
  <c r="G22" i="1" s="1"/>
  <c r="N22" i="1" s="1"/>
  <c r="K32" i="1"/>
  <c r="E25" i="1"/>
  <c r="K18" i="1"/>
  <c r="E16" i="1"/>
  <c r="E10" i="1"/>
  <c r="E13" i="1"/>
  <c r="E15" i="1"/>
  <c r="E14" i="1"/>
  <c r="E23" i="1"/>
  <c r="E24" i="1"/>
  <c r="K12" i="1"/>
  <c r="N51" i="1" l="1"/>
  <c r="N29" i="1"/>
  <c r="N19" i="1"/>
  <c r="G33" i="1"/>
  <c r="L45" i="1"/>
  <c r="K45" i="1"/>
  <c r="L41" i="1"/>
  <c r="K41" i="1"/>
  <c r="L35" i="1"/>
  <c r="K35" i="1"/>
  <c r="L33" i="1"/>
  <c r="K33" i="1"/>
  <c r="G25" i="1"/>
  <c r="K25" i="1"/>
  <c r="K27" i="1" s="1"/>
  <c r="G24" i="1"/>
  <c r="K24" i="1"/>
  <c r="L13" i="1"/>
  <c r="K13" i="1"/>
  <c r="L5" i="1"/>
  <c r="K5" i="1"/>
  <c r="K8" i="1" s="1"/>
  <c r="N25" i="1" l="1"/>
  <c r="G34" i="1"/>
  <c r="N34" i="1" s="1"/>
  <c r="G42" i="1"/>
  <c r="N42" i="1" s="1"/>
  <c r="G41" i="1"/>
  <c r="N41" i="1" s="1"/>
  <c r="G35" i="1"/>
  <c r="N35" i="1" s="1"/>
  <c r="G45" i="1"/>
  <c r="N45" i="1" s="1"/>
  <c r="E37" i="1"/>
  <c r="G37" i="1" s="1"/>
  <c r="N37" i="1" s="1"/>
  <c r="D7" i="2" s="1"/>
  <c r="F7" i="2" s="1"/>
  <c r="N33" i="1"/>
  <c r="N24" i="1"/>
  <c r="F10" i="2" l="1"/>
  <c r="G16" i="1" l="1"/>
  <c r="N16" i="1" s="1"/>
  <c r="G5" i="1"/>
  <c r="N5" i="1" s="1"/>
  <c r="G15" i="1"/>
  <c r="N15" i="1" s="1"/>
  <c r="G13" i="1"/>
  <c r="N13" i="1" s="1"/>
  <c r="G23" i="1"/>
  <c r="N23" i="1" s="1"/>
  <c r="G10" i="1"/>
  <c r="N10" i="1" s="1"/>
  <c r="G9" i="1"/>
  <c r="G14" i="1"/>
  <c r="N14" i="1" s="1"/>
  <c r="G63" i="1" l="1"/>
  <c r="N9" i="1"/>
  <c r="N63" i="1" l="1"/>
  <c r="D8" i="2" s="1"/>
  <c r="F8" i="2" s="1"/>
  <c r="F9" i="2" l="1"/>
  <c r="F12" i="2"/>
</calcChain>
</file>

<file path=xl/sharedStrings.xml><?xml version="1.0" encoding="utf-8"?>
<sst xmlns="http://schemas.openxmlformats.org/spreadsheetml/2006/main" count="87" uniqueCount="58">
  <si>
    <t>DIMENSIONES</t>
  </si>
  <si>
    <t>DESCUENTOS</t>
  </si>
  <si>
    <t>TORRE</t>
  </si>
  <si>
    <t>FACHADA</t>
  </si>
  <si>
    <t>SECCIÓN</t>
  </si>
  <si>
    <t>DESCRIPCIÓN</t>
  </si>
  <si>
    <t>ALTO</t>
  </si>
  <si>
    <t>ANCHO</t>
  </si>
  <si>
    <t>TOTAL
(M2)</t>
  </si>
  <si>
    <t>CANTIDAD</t>
  </si>
  <si>
    <t>CARTERAS
(ML)</t>
  </si>
  <si>
    <t>ÁREA TOTAL</t>
  </si>
  <si>
    <t>TOTAL M2 SIN DESCUENTOS</t>
  </si>
  <si>
    <t>TOTAL M2 CON DESCUENTOS</t>
  </si>
  <si>
    <t>EDIFICIO SAN CÁNCIO</t>
  </si>
  <si>
    <t xml:space="preserve">Muro con ventana </t>
  </si>
  <si>
    <t xml:space="preserve">ITEM </t>
  </si>
  <si>
    <t>Descripción</t>
  </si>
  <si>
    <t>Presupuesto oficial</t>
  </si>
  <si>
    <t>Und</t>
  </si>
  <si>
    <t>Cant.</t>
  </si>
  <si>
    <t>Vr. Unitario</t>
  </si>
  <si>
    <t>Vr. Total</t>
  </si>
  <si>
    <t>1.1</t>
  </si>
  <si>
    <t>1.2</t>
  </si>
  <si>
    <t>M2</t>
  </si>
  <si>
    <t>1.3</t>
  </si>
  <si>
    <t>1.4</t>
  </si>
  <si>
    <t>ML</t>
  </si>
  <si>
    <t>1.5</t>
  </si>
  <si>
    <t>1.6</t>
  </si>
  <si>
    <t>EDIFICIO EL PORTAL</t>
  </si>
  <si>
    <t>Muro con ventana (Tableta)</t>
  </si>
  <si>
    <t>A</t>
  </si>
  <si>
    <t>Muro con ventanas (Tableta)</t>
  </si>
  <si>
    <t>Muro con ventanas (Blanco)</t>
  </si>
  <si>
    <t>Muro sin ventanas (Blanco)</t>
  </si>
  <si>
    <t>B</t>
  </si>
  <si>
    <t>C</t>
  </si>
  <si>
    <t>DILATACIÓN
(ML)</t>
  </si>
  <si>
    <t>Muro sin ventana (Tableta)</t>
  </si>
  <si>
    <t>D</t>
  </si>
  <si>
    <t>E</t>
  </si>
  <si>
    <t>Muro Piso 1 (Blanco)</t>
  </si>
  <si>
    <t>17-B</t>
  </si>
  <si>
    <t>Muro con ventana (Blanco)</t>
  </si>
  <si>
    <t>18-B</t>
  </si>
  <si>
    <t>20-A</t>
  </si>
  <si>
    <t>F</t>
  </si>
  <si>
    <t>22-B</t>
  </si>
  <si>
    <t>G</t>
  </si>
  <si>
    <t>23-B</t>
  </si>
  <si>
    <t>FACHADA SUPERFICIE EN TABLETA CON DESCUENTOS</t>
  </si>
  <si>
    <t>FACHADA SUPERFICIE EN TEXTURA BLANCA CON DESCUENTOS</t>
  </si>
  <si>
    <t>FACHADA EN GENERAL SIN DESCUENTOS</t>
  </si>
  <si>
    <t>DILATACIONES EN TEXTURA BLANCA</t>
  </si>
  <si>
    <t>SELLO DE VENTANERÍA</t>
  </si>
  <si>
    <t>CARTERAS EN VENTANAS EN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</si>
</sst>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-&quot;$&quot;\ * #,##0_-;\-&quot;$&quot;\ * #,##0_-;_-&quot;$&quot;\ * &quot;-&quot;_-;_-@_-"/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  <numFmt numFmtId="165" formatCode="0.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0"/>
      <name val="Swis721 BT"/>
      <family val="2"/>
    </font>
    <font>
      <sz val="11"/>
      <color theme="1"/>
      <name val="Swis721 BT"/>
      <family val="2"/>
    </font>
    <font>
      <b/>
      <sz val="11"/>
      <color theme="0"/>
      <name val="Swis721 BT"/>
      <family val="2"/>
    </font>
    <font>
      <b/>
      <sz val="11"/>
      <color theme="1"/>
      <name val="Swis721 BT"/>
      <family val="2"/>
    </font>
    <font>
      <sz val="11"/>
      <color theme="0"/>
      <name val="Swis721 BT"/>
      <family val="2"/>
    </font>
    <font>
      <sz val="11"/>
      <color rgb="FFFF0000"/>
      <name val="Swis721 BT"/>
      <family val="2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A86D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A9760"/>
        <bgColor indexed="64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</cellStyleXfs>
  <cellXfs count="61">
    <xf numFmtId="0" fontId="0" fillId="0" borderId="0" xfId="0"/>
    <xf numFmtId="0" fontId="3" fillId="0" borderId="0" xfId="0" applyFont="1"/>
    <xf numFmtId="0" fontId="4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vertical="center"/>
    </xf>
    <xf numFmtId="2" fontId="5" fillId="0" borderId="0" xfId="0" applyNumberFormat="1" applyFont="1" applyAlignment="1">
      <alignment horizontal="center" vertical="center"/>
    </xf>
    <xf numFmtId="0" fontId="5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center" vertical="center"/>
    </xf>
    <xf numFmtId="0" fontId="3" fillId="4" borderId="0" xfId="0" applyFont="1" applyFill="1" applyAlignment="1">
      <alignment vertical="center"/>
    </xf>
    <xf numFmtId="2" fontId="3" fillId="4" borderId="0" xfId="0" applyNumberFormat="1" applyFont="1" applyFill="1" applyAlignment="1">
      <alignment horizontal="center" vertical="center"/>
    </xf>
    <xf numFmtId="2" fontId="5" fillId="4" borderId="0" xfId="0" applyNumberFormat="1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2" fontId="5" fillId="3" borderId="0" xfId="0" applyNumberFormat="1" applyFont="1" applyFill="1" applyAlignment="1">
      <alignment horizontal="center" vertical="center"/>
    </xf>
    <xf numFmtId="0" fontId="5" fillId="3" borderId="0" xfId="0" applyFont="1" applyFill="1" applyAlignment="1">
      <alignment horizontal="right" vertical="center"/>
    </xf>
    <xf numFmtId="0" fontId="3" fillId="0" borderId="0" xfId="0" applyFont="1" applyAlignment="1">
      <alignment horizontal="center"/>
    </xf>
    <xf numFmtId="2" fontId="5" fillId="0" borderId="0" xfId="0" applyNumberFormat="1" applyFont="1" applyAlignment="1">
      <alignment vertical="center"/>
    </xf>
    <xf numFmtId="0" fontId="0" fillId="0" borderId="0" xfId="0" applyFont="1"/>
    <xf numFmtId="0" fontId="4" fillId="2" borderId="10" xfId="0" applyFont="1" applyFill="1" applyBorder="1" applyAlignment="1">
      <alignment vertical="center"/>
    </xf>
    <xf numFmtId="0" fontId="4" fillId="2" borderId="11" xfId="0" applyFont="1" applyFill="1" applyBorder="1" applyAlignment="1">
      <alignment vertical="center"/>
    </xf>
    <xf numFmtId="42" fontId="4" fillId="2" borderId="12" xfId="2" applyFont="1" applyFill="1" applyBorder="1" applyAlignment="1">
      <alignment vertical="center"/>
    </xf>
    <xf numFmtId="0" fontId="5" fillId="5" borderId="13" xfId="0" applyFont="1" applyFill="1" applyBorder="1" applyAlignment="1">
      <alignment vertical="center"/>
    </xf>
    <xf numFmtId="0" fontId="5" fillId="5" borderId="14" xfId="0" applyFont="1" applyFill="1" applyBorder="1" applyAlignment="1">
      <alignment vertical="center"/>
    </xf>
    <xf numFmtId="2" fontId="3" fillId="0" borderId="1" xfId="0" applyNumberFormat="1" applyFont="1" applyBorder="1" applyAlignment="1">
      <alignment horizontal="center" vertical="center"/>
    </xf>
    <xf numFmtId="0" fontId="3" fillId="0" borderId="15" xfId="0" applyFont="1" applyBorder="1" applyAlignment="1">
      <alignment horizontal="left" vertical="center" wrapText="1"/>
    </xf>
    <xf numFmtId="0" fontId="3" fillId="6" borderId="16" xfId="1" applyNumberFormat="1" applyFont="1" applyFill="1" applyBorder="1" applyAlignment="1">
      <alignment horizontal="center" vertical="center"/>
    </xf>
    <xf numFmtId="0" fontId="3" fillId="0" borderId="17" xfId="0" applyFont="1" applyBorder="1" applyAlignment="1">
      <alignment horizontal="left" vertical="center" wrapText="1"/>
    </xf>
    <xf numFmtId="0" fontId="3" fillId="6" borderId="18" xfId="1" applyNumberFormat="1" applyFont="1" applyFill="1" applyBorder="1" applyAlignment="1">
      <alignment horizontal="center" vertical="center"/>
    </xf>
    <xf numFmtId="164" fontId="3" fillId="6" borderId="19" xfId="1" applyNumberFormat="1" applyFont="1" applyFill="1" applyBorder="1" applyAlignment="1">
      <alignment horizontal="center" vertical="center"/>
    </xf>
    <xf numFmtId="0" fontId="5" fillId="5" borderId="20" xfId="0" applyFont="1" applyFill="1" applyBorder="1" applyAlignment="1">
      <alignment vertical="center"/>
    </xf>
    <xf numFmtId="164" fontId="3" fillId="6" borderId="19" xfId="1" applyNumberFormat="1" applyFont="1" applyFill="1" applyBorder="1" applyAlignment="1">
      <alignment vertical="center"/>
    </xf>
    <xf numFmtId="2" fontId="7" fillId="0" borderId="19" xfId="1" applyNumberFormat="1" applyFont="1" applyFill="1" applyBorder="1" applyAlignment="1">
      <alignment horizontal="center" vertical="center"/>
    </xf>
    <xf numFmtId="0" fontId="3" fillId="0" borderId="21" xfId="0" applyFont="1" applyBorder="1" applyAlignment="1">
      <alignment horizontal="left" vertical="center" wrapText="1"/>
    </xf>
    <xf numFmtId="165" fontId="3" fillId="0" borderId="0" xfId="0" applyNumberFormat="1" applyFont="1" applyAlignment="1">
      <alignment horizontal="center" vertical="center"/>
    </xf>
    <xf numFmtId="165" fontId="3" fillId="4" borderId="0" xfId="0" applyNumberFormat="1" applyFont="1" applyFill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vertical="center"/>
    </xf>
    <xf numFmtId="2" fontId="3" fillId="0" borderId="0" xfId="0" applyNumberFormat="1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righ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14" fontId="4" fillId="2" borderId="3" xfId="0" applyNumberFormat="1" applyFont="1" applyFill="1" applyBorder="1" applyAlignment="1">
      <alignment horizontal="center" vertical="center" wrapText="1"/>
    </xf>
    <xf numFmtId="14" fontId="4" fillId="2" borderId="0" xfId="0" applyNumberFormat="1" applyFont="1" applyFill="1" applyAlignment="1">
      <alignment horizontal="center" vertical="center" wrapText="1"/>
    </xf>
    <xf numFmtId="14" fontId="4" fillId="2" borderId="4" xfId="0" applyNumberFormat="1" applyFont="1" applyFill="1" applyBorder="1" applyAlignment="1">
      <alignment horizontal="center" vertical="center" wrapText="1"/>
    </xf>
    <xf numFmtId="14" fontId="4" fillId="2" borderId="6" xfId="0" applyNumberFormat="1" applyFont="1" applyFill="1" applyBorder="1" applyAlignment="1">
      <alignment horizontal="center" vertical="center" wrapText="1"/>
    </xf>
    <xf numFmtId="14" fontId="4" fillId="2" borderId="7" xfId="0" applyNumberFormat="1" applyFont="1" applyFill="1" applyBorder="1" applyAlignment="1">
      <alignment horizontal="center" vertical="center" wrapText="1"/>
    </xf>
    <xf numFmtId="14" fontId="4" fillId="2" borderId="8" xfId="0" applyNumberFormat="1" applyFont="1" applyFill="1" applyBorder="1" applyAlignment="1">
      <alignment horizontal="center" vertical="center" wrapText="1"/>
    </xf>
  </cellXfs>
  <cellStyles count="3">
    <cellStyle name="Moneda" xfId="1" builtinId="4"/>
    <cellStyle name="Moneda [0]" xfId="2" builtinId="7"/>
    <cellStyle name="Normal" xfId="0" builtinId="0"/>
  </cellStyles>
  <dxfs count="0"/>
  <tableStyles count="0" defaultTableStyle="TableStyleMedium2" defaultPivotStyle="PivotStyleLight16"/>
  <colors>
    <mruColors>
      <color rgb="FFE8AA8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05088-07E3-41C5-AD6E-F609D4A33CD0}">
  <dimension ref="A2:O75"/>
  <sheetViews>
    <sheetView tabSelected="1" zoomScale="90" zoomScaleNormal="90" workbookViewId="0">
      <pane xSplit="1" ySplit="4" topLeftCell="B47" activePane="bottomRight" state="frozen"/>
      <selection pane="topRight" activeCell="B1" sqref="B1"/>
      <selection pane="bottomLeft" activeCell="A5" sqref="A5"/>
      <selection pane="bottomRight" activeCell="E5" sqref="E5"/>
    </sheetView>
  </sheetViews>
  <sheetFormatPr baseColWidth="10" defaultRowHeight="13.8" x14ac:dyDescent="0.25"/>
  <cols>
    <col min="1" max="1" width="11.5546875" style="23"/>
    <col min="2" max="2" width="14.77734375" style="23" customWidth="1"/>
    <col min="3" max="3" width="11.5546875" style="23"/>
    <col min="4" max="4" width="32.77734375" style="1" customWidth="1"/>
    <col min="5" max="11" width="12.77734375" style="23" customWidth="1"/>
    <col min="12" max="14" width="15.77734375" style="23" customWidth="1"/>
    <col min="15" max="16" width="12.77734375" style="1" customWidth="1"/>
    <col min="17" max="16384" width="11.5546875" style="1"/>
  </cols>
  <sheetData>
    <row r="2" spans="1:15" ht="25.05" customHeight="1" x14ac:dyDescent="0.25">
      <c r="A2" s="47" t="s">
        <v>31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</row>
    <row r="3" spans="1:15" s="5" customFormat="1" ht="19.95" customHeight="1" x14ac:dyDescent="0.3">
      <c r="A3" s="2"/>
      <c r="B3" s="2"/>
      <c r="C3" s="2"/>
      <c r="D3" s="3"/>
      <c r="E3" s="48" t="s">
        <v>0</v>
      </c>
      <c r="F3" s="48"/>
      <c r="G3" s="48"/>
      <c r="H3" s="49" t="s">
        <v>1</v>
      </c>
      <c r="I3" s="49"/>
      <c r="J3" s="49"/>
      <c r="K3" s="49"/>
      <c r="L3" s="2"/>
      <c r="M3" s="4"/>
      <c r="N3" s="2"/>
    </row>
    <row r="4" spans="1:15" s="5" customFormat="1" ht="34.950000000000003" customHeight="1" x14ac:dyDescent="0.3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6" t="s">
        <v>8</v>
      </c>
      <c r="H4" s="7" t="s">
        <v>6</v>
      </c>
      <c r="I4" s="7" t="s">
        <v>7</v>
      </c>
      <c r="J4" s="7" t="s">
        <v>9</v>
      </c>
      <c r="K4" s="8" t="s">
        <v>8</v>
      </c>
      <c r="L4" s="6" t="s">
        <v>10</v>
      </c>
      <c r="M4" s="6" t="s">
        <v>39</v>
      </c>
      <c r="N4" s="2" t="s">
        <v>11</v>
      </c>
    </row>
    <row r="5" spans="1:15" s="5" customFormat="1" ht="19.95" customHeight="1" x14ac:dyDescent="0.3">
      <c r="A5" s="9">
        <v>1</v>
      </c>
      <c r="B5" s="9" t="s">
        <v>33</v>
      </c>
      <c r="C5" s="11">
        <v>1</v>
      </c>
      <c r="D5" s="5" t="s">
        <v>34</v>
      </c>
      <c r="E5" s="11">
        <f>(3*9)+0.8</f>
        <v>27.8</v>
      </c>
      <c r="F5" s="11">
        <f>3.35+1.4</f>
        <v>4.75</v>
      </c>
      <c r="G5" s="12">
        <f>E5*F5</f>
        <v>132.05000000000001</v>
      </c>
      <c r="H5" s="11">
        <v>1.2</v>
      </c>
      <c r="I5" s="11">
        <v>0.6</v>
      </c>
      <c r="J5" s="11">
        <v>6</v>
      </c>
      <c r="K5" s="12">
        <f>(H5*I5)*J5</f>
        <v>4.32</v>
      </c>
      <c r="L5" s="12">
        <f>((H5+I5)*2)*J5</f>
        <v>21.599999999999998</v>
      </c>
      <c r="M5" s="12"/>
      <c r="N5" s="12">
        <f>G5-K8</f>
        <v>105.53000000000002</v>
      </c>
      <c r="O5" s="13"/>
    </row>
    <row r="6" spans="1:15" s="5" customFormat="1" ht="19.95" customHeight="1" x14ac:dyDescent="0.3">
      <c r="A6" s="9"/>
      <c r="B6" s="10"/>
      <c r="C6" s="11"/>
      <c r="E6" s="11"/>
      <c r="F6" s="11"/>
      <c r="G6" s="12"/>
      <c r="H6" s="11">
        <v>1.5</v>
      </c>
      <c r="I6" s="11">
        <v>1.4</v>
      </c>
      <c r="J6" s="11">
        <v>6</v>
      </c>
      <c r="K6" s="12">
        <f>(H6*I6)*J6</f>
        <v>12.599999999999998</v>
      </c>
      <c r="L6" s="12">
        <f t="shared" ref="L6:L7" si="0">((H6+I6)*2)*J6</f>
        <v>34.799999999999997</v>
      </c>
      <c r="M6" s="12"/>
      <c r="N6" s="12"/>
      <c r="O6" s="13"/>
    </row>
    <row r="7" spans="1:15" s="5" customFormat="1" ht="19.95" customHeight="1" x14ac:dyDescent="0.3">
      <c r="A7" s="9"/>
      <c r="B7" s="10"/>
      <c r="C7" s="11"/>
      <c r="E7" s="11"/>
      <c r="F7" s="11"/>
      <c r="G7" s="12"/>
      <c r="H7" s="11">
        <v>1.6</v>
      </c>
      <c r="I7" s="41">
        <v>3</v>
      </c>
      <c r="J7" s="11">
        <v>2</v>
      </c>
      <c r="K7" s="12">
        <f>(H7*I7)*J7</f>
        <v>9.6000000000000014</v>
      </c>
      <c r="L7" s="12">
        <f t="shared" si="0"/>
        <v>18.399999999999999</v>
      </c>
      <c r="M7" s="12"/>
      <c r="N7" s="12"/>
      <c r="O7" s="13"/>
    </row>
    <row r="8" spans="1:15" s="5" customFormat="1" ht="19.95" customHeight="1" x14ac:dyDescent="0.3">
      <c r="A8" s="9"/>
      <c r="B8" s="10"/>
      <c r="C8" s="11"/>
      <c r="E8" s="11"/>
      <c r="F8" s="11"/>
      <c r="G8" s="12"/>
      <c r="H8" s="11"/>
      <c r="I8" s="11"/>
      <c r="J8" s="11"/>
      <c r="K8" s="14">
        <f>SUM(K5:K7)</f>
        <v>26.52</v>
      </c>
      <c r="L8" s="14"/>
      <c r="M8" s="14"/>
      <c r="N8" s="12"/>
      <c r="O8" s="13"/>
    </row>
    <row r="9" spans="1:15" s="5" customFormat="1" ht="19.95" customHeight="1" x14ac:dyDescent="0.3">
      <c r="A9" s="9"/>
      <c r="B9" s="10"/>
      <c r="C9" s="11">
        <v>2</v>
      </c>
      <c r="D9" s="5" t="s">
        <v>35</v>
      </c>
      <c r="E9" s="11">
        <f>(3*8)+0.8</f>
        <v>24.8</v>
      </c>
      <c r="F9" s="11">
        <v>0.35</v>
      </c>
      <c r="G9" s="11">
        <f>E9*F9</f>
        <v>8.68</v>
      </c>
      <c r="H9" s="11">
        <v>2.5</v>
      </c>
      <c r="I9" s="11">
        <v>0.35</v>
      </c>
      <c r="J9" s="11">
        <v>3</v>
      </c>
      <c r="K9" s="12">
        <f>(H9*I9)*J9</f>
        <v>2.625</v>
      </c>
      <c r="L9" s="12">
        <f>((H9*I9))*J9</f>
        <v>2.625</v>
      </c>
      <c r="M9" s="12">
        <f>F9*8*2</f>
        <v>5.6</v>
      </c>
      <c r="N9" s="12">
        <f>G9-K9</f>
        <v>6.0549999999999997</v>
      </c>
      <c r="O9" s="13"/>
    </row>
    <row r="10" spans="1:15" s="5" customFormat="1" ht="19.95" customHeight="1" x14ac:dyDescent="0.3">
      <c r="A10" s="11"/>
      <c r="B10" s="9"/>
      <c r="C10" s="11">
        <v>3</v>
      </c>
      <c r="D10" s="5" t="s">
        <v>35</v>
      </c>
      <c r="E10" s="11">
        <f>E9</f>
        <v>24.8</v>
      </c>
      <c r="F10" s="11">
        <f>1.95+2.75</f>
        <v>4.7</v>
      </c>
      <c r="G10" s="11">
        <f>E10*F10</f>
        <v>116.56</v>
      </c>
      <c r="H10" s="11">
        <v>3</v>
      </c>
      <c r="I10" s="11">
        <v>2.75</v>
      </c>
      <c r="J10" s="11">
        <v>6</v>
      </c>
      <c r="K10" s="12">
        <f>(H10*I10)*J10</f>
        <v>49.5</v>
      </c>
      <c r="L10" s="12">
        <f>((H10*I10))*J10</f>
        <v>49.5</v>
      </c>
      <c r="M10" s="12">
        <f t="shared" ref="M10:M16" si="1">F10*8*2</f>
        <v>75.2</v>
      </c>
      <c r="N10" s="12">
        <f>G10-K12</f>
        <v>46.435000000000002</v>
      </c>
    </row>
    <row r="11" spans="1:15" s="5" customFormat="1" ht="19.95" customHeight="1" x14ac:dyDescent="0.3">
      <c r="A11" s="11"/>
      <c r="B11" s="9"/>
      <c r="C11" s="11"/>
      <c r="E11" s="11"/>
      <c r="F11" s="11"/>
      <c r="G11" s="11"/>
      <c r="H11" s="11">
        <v>2.5</v>
      </c>
      <c r="I11" s="11">
        <v>2.75</v>
      </c>
      <c r="J11" s="11">
        <v>3</v>
      </c>
      <c r="K11" s="11">
        <f>(H11*I11)*J11</f>
        <v>20.625</v>
      </c>
      <c r="L11" s="12">
        <f>((H11*I11))*J11</f>
        <v>20.625</v>
      </c>
      <c r="M11" s="12"/>
      <c r="N11" s="12"/>
    </row>
    <row r="12" spans="1:15" s="5" customFormat="1" ht="19.95" customHeight="1" x14ac:dyDescent="0.3">
      <c r="A12" s="11"/>
      <c r="B12" s="9"/>
      <c r="C12" s="11"/>
      <c r="E12" s="11"/>
      <c r="F12" s="11"/>
      <c r="G12" s="11"/>
      <c r="H12" s="11"/>
      <c r="I12" s="11"/>
      <c r="J12" s="11"/>
      <c r="K12" s="14">
        <f>SUM(K10:K11)</f>
        <v>70.125</v>
      </c>
      <c r="L12" s="11"/>
      <c r="M12" s="12"/>
      <c r="N12" s="12"/>
    </row>
    <row r="13" spans="1:15" s="5" customFormat="1" ht="19.95" customHeight="1" x14ac:dyDescent="0.3">
      <c r="A13" s="11"/>
      <c r="B13" s="9"/>
      <c r="C13" s="11">
        <v>4</v>
      </c>
      <c r="D13" s="5" t="s">
        <v>36</v>
      </c>
      <c r="E13" s="11">
        <f>$E$9</f>
        <v>24.8</v>
      </c>
      <c r="F13" s="11">
        <v>0.2</v>
      </c>
      <c r="G13" s="11">
        <f>E13*F13</f>
        <v>4.9600000000000009</v>
      </c>
      <c r="H13" s="11"/>
      <c r="I13" s="11"/>
      <c r="J13" s="11"/>
      <c r="K13" s="12">
        <f>(H13*I13)*J13</f>
        <v>0</v>
      </c>
      <c r="L13" s="12">
        <f>((H13+I13)*2)*J13</f>
        <v>0</v>
      </c>
      <c r="M13" s="12">
        <f t="shared" si="1"/>
        <v>3.2</v>
      </c>
      <c r="N13" s="12">
        <f>G13-K13</f>
        <v>4.9600000000000009</v>
      </c>
    </row>
    <row r="14" spans="1:15" s="5" customFormat="1" ht="19.95" customHeight="1" x14ac:dyDescent="0.3">
      <c r="A14" s="11"/>
      <c r="B14" s="9"/>
      <c r="C14" s="11">
        <v>5</v>
      </c>
      <c r="D14" s="5" t="s">
        <v>36</v>
      </c>
      <c r="E14" s="11">
        <f t="shared" ref="E14:E16" si="2">$E$9</f>
        <v>24.8</v>
      </c>
      <c r="F14" s="11">
        <v>1.35</v>
      </c>
      <c r="G14" s="11">
        <f>E14*F14</f>
        <v>33.480000000000004</v>
      </c>
      <c r="H14" s="11"/>
      <c r="I14" s="11"/>
      <c r="J14" s="11"/>
      <c r="K14" s="12">
        <f>(H14*I14)*J14</f>
        <v>0</v>
      </c>
      <c r="L14" s="12">
        <f>((H14+I14)*2)*J14</f>
        <v>0</v>
      </c>
      <c r="M14" s="12">
        <f t="shared" si="1"/>
        <v>21.6</v>
      </c>
      <c r="N14" s="12">
        <f t="shared" ref="N14" si="3">G14-K14</f>
        <v>33.480000000000004</v>
      </c>
    </row>
    <row r="15" spans="1:15" s="5" customFormat="1" ht="19.95" customHeight="1" x14ac:dyDescent="0.3">
      <c r="A15" s="11"/>
      <c r="B15" s="9"/>
      <c r="C15" s="11">
        <v>6</v>
      </c>
      <c r="D15" s="5" t="s">
        <v>36</v>
      </c>
      <c r="E15" s="11">
        <f t="shared" si="2"/>
        <v>24.8</v>
      </c>
      <c r="F15" s="11">
        <v>2.4</v>
      </c>
      <c r="G15" s="11">
        <f>E15*F15</f>
        <v>59.519999999999996</v>
      </c>
      <c r="H15" s="11">
        <v>2.5</v>
      </c>
      <c r="I15" s="11">
        <v>1</v>
      </c>
      <c r="J15" s="11">
        <v>1</v>
      </c>
      <c r="K15" s="11">
        <f>(H15*I15)*J15</f>
        <v>2.5</v>
      </c>
      <c r="L15" s="12">
        <f>((H15*I15))*J15</f>
        <v>2.5</v>
      </c>
      <c r="M15" s="12">
        <f t="shared" si="1"/>
        <v>38.4</v>
      </c>
      <c r="N15" s="12">
        <f t="shared" ref="N15" si="4">G15-K15</f>
        <v>57.019999999999996</v>
      </c>
    </row>
    <row r="16" spans="1:15" s="5" customFormat="1" ht="19.95" customHeight="1" x14ac:dyDescent="0.3">
      <c r="A16" s="11"/>
      <c r="B16" s="9"/>
      <c r="C16" s="11">
        <v>7</v>
      </c>
      <c r="D16" s="5" t="s">
        <v>35</v>
      </c>
      <c r="E16" s="11">
        <f t="shared" si="2"/>
        <v>24.8</v>
      </c>
      <c r="F16" s="11">
        <f>3.4+0.4</f>
        <v>3.8</v>
      </c>
      <c r="G16" s="12">
        <f t="shared" ref="G16:G23" si="5">E16*F16</f>
        <v>94.24</v>
      </c>
      <c r="H16" s="11">
        <v>1.2</v>
      </c>
      <c r="I16" s="11">
        <v>0.6</v>
      </c>
      <c r="J16" s="11">
        <v>7</v>
      </c>
      <c r="K16" s="12">
        <f>(H16*I16)*J16</f>
        <v>5.04</v>
      </c>
      <c r="L16" s="46">
        <f>((H16+I16)*2)*J16</f>
        <v>25.199999999999996</v>
      </c>
      <c r="M16" s="12">
        <f t="shared" si="1"/>
        <v>60.8</v>
      </c>
      <c r="N16" s="12">
        <f>G16-K18</f>
        <v>74.5</v>
      </c>
    </row>
    <row r="17" spans="1:15" s="5" customFormat="1" ht="19.95" customHeight="1" x14ac:dyDescent="0.3">
      <c r="A17" s="11"/>
      <c r="B17" s="9"/>
      <c r="C17" s="11"/>
      <c r="E17" s="11"/>
      <c r="F17" s="11"/>
      <c r="G17" s="12"/>
      <c r="H17" s="11">
        <v>1.5</v>
      </c>
      <c r="I17" s="11">
        <v>1.4</v>
      </c>
      <c r="J17" s="11">
        <v>7</v>
      </c>
      <c r="K17" s="12">
        <f>(H17*I17)*J17</f>
        <v>14.699999999999998</v>
      </c>
      <c r="L17" s="46">
        <f>((H17+I17)*2)*J17</f>
        <v>40.6</v>
      </c>
      <c r="M17" s="12"/>
      <c r="N17" s="12"/>
    </row>
    <row r="18" spans="1:15" s="5" customFormat="1" ht="19.95" customHeight="1" x14ac:dyDescent="0.3">
      <c r="A18" s="11"/>
      <c r="B18" s="9"/>
      <c r="C18" s="11"/>
      <c r="E18" s="11"/>
      <c r="F18" s="11"/>
      <c r="G18" s="12"/>
      <c r="H18" s="11"/>
      <c r="I18" s="11"/>
      <c r="J18" s="11"/>
      <c r="K18" s="14">
        <f>SUM(K16:K17)</f>
        <v>19.739999999999998</v>
      </c>
      <c r="L18" s="12"/>
      <c r="M18" s="12"/>
      <c r="N18" s="12"/>
      <c r="O18" s="24"/>
    </row>
    <row r="19" spans="1:15" s="5" customFormat="1" ht="19.95" customHeight="1" x14ac:dyDescent="0.3">
      <c r="A19" s="11"/>
      <c r="B19" s="20" t="s">
        <v>37</v>
      </c>
      <c r="C19" s="16">
        <v>8</v>
      </c>
      <c r="D19" s="17" t="s">
        <v>35</v>
      </c>
      <c r="E19" s="16">
        <f t="shared" ref="E19" si="6">$E$9</f>
        <v>24.8</v>
      </c>
      <c r="F19" s="16">
        <f>3.4+0.4</f>
        <v>3.8</v>
      </c>
      <c r="G19" s="18">
        <f t="shared" ref="G19" si="7">E19*F19</f>
        <v>94.24</v>
      </c>
      <c r="H19" s="16">
        <v>1.2</v>
      </c>
      <c r="I19" s="16">
        <v>0.6</v>
      </c>
      <c r="J19" s="16">
        <v>7</v>
      </c>
      <c r="K19" s="18">
        <f>(H19*I19)*J19</f>
        <v>5.04</v>
      </c>
      <c r="L19" s="18">
        <f>((H19+I19)*2)*J19</f>
        <v>25.199999999999996</v>
      </c>
      <c r="M19" s="18">
        <f>F19*8*2</f>
        <v>60.8</v>
      </c>
      <c r="N19" s="18">
        <f>G19-K21</f>
        <v>74.5</v>
      </c>
    </row>
    <row r="20" spans="1:15" s="5" customFormat="1" ht="19.95" customHeight="1" x14ac:dyDescent="0.3">
      <c r="A20" s="11"/>
      <c r="B20" s="20"/>
      <c r="C20" s="16"/>
      <c r="D20" s="17"/>
      <c r="E20" s="16"/>
      <c r="F20" s="16"/>
      <c r="G20" s="18"/>
      <c r="H20" s="16">
        <v>1.5</v>
      </c>
      <c r="I20" s="16">
        <v>1.4</v>
      </c>
      <c r="J20" s="16">
        <v>7</v>
      </c>
      <c r="K20" s="18">
        <f>(H20*I20)*J20</f>
        <v>14.699999999999998</v>
      </c>
      <c r="L20" s="18">
        <f>((H20+I20)*2)*J20</f>
        <v>40.6</v>
      </c>
      <c r="M20" s="18"/>
      <c r="N20" s="18"/>
    </row>
    <row r="21" spans="1:15" s="5" customFormat="1" ht="19.95" customHeight="1" x14ac:dyDescent="0.3">
      <c r="A21" s="11"/>
      <c r="B21" s="20"/>
      <c r="C21" s="16"/>
      <c r="D21" s="17"/>
      <c r="E21" s="16"/>
      <c r="F21" s="16"/>
      <c r="G21" s="18"/>
      <c r="H21" s="16"/>
      <c r="I21" s="16"/>
      <c r="J21" s="16"/>
      <c r="K21" s="19">
        <f>SUM(K19:K20)</f>
        <v>19.739999999999998</v>
      </c>
      <c r="L21" s="18"/>
      <c r="M21" s="18"/>
      <c r="N21" s="18"/>
    </row>
    <row r="22" spans="1:15" s="5" customFormat="1" ht="19.95" customHeight="1" x14ac:dyDescent="0.3">
      <c r="A22" s="11"/>
      <c r="B22" s="20"/>
      <c r="C22" s="16">
        <v>9</v>
      </c>
      <c r="D22" s="17" t="s">
        <v>36</v>
      </c>
      <c r="E22" s="16">
        <f t="shared" ref="E22" si="8">$E$9</f>
        <v>24.8</v>
      </c>
      <c r="F22" s="16">
        <v>2.4</v>
      </c>
      <c r="G22" s="16">
        <f>E22*F22</f>
        <v>59.519999999999996</v>
      </c>
      <c r="H22" s="16">
        <v>2.5</v>
      </c>
      <c r="I22" s="16">
        <v>1</v>
      </c>
      <c r="J22" s="16">
        <v>1</v>
      </c>
      <c r="K22" s="16">
        <f>(H22*I22)*J22</f>
        <v>2.5</v>
      </c>
      <c r="L22" s="18"/>
      <c r="M22" s="18">
        <f>F22*8*2</f>
        <v>38.4</v>
      </c>
      <c r="N22" s="18">
        <f t="shared" ref="N22" si="9">G22-K22</f>
        <v>57.019999999999996</v>
      </c>
    </row>
    <row r="23" spans="1:15" s="5" customFormat="1" ht="19.95" customHeight="1" x14ac:dyDescent="0.3">
      <c r="A23" s="11"/>
      <c r="B23" s="20"/>
      <c r="C23" s="16">
        <v>10</v>
      </c>
      <c r="D23" s="17" t="s">
        <v>36</v>
      </c>
      <c r="E23" s="16">
        <f t="shared" ref="E23:E25" si="10">$E$9</f>
        <v>24.8</v>
      </c>
      <c r="F23" s="16">
        <v>1.35</v>
      </c>
      <c r="G23" s="16">
        <f t="shared" si="5"/>
        <v>33.480000000000004</v>
      </c>
      <c r="H23" s="16"/>
      <c r="I23" s="16"/>
      <c r="J23" s="16"/>
      <c r="K23" s="18">
        <f>(H23*I23)*J23</f>
        <v>0</v>
      </c>
      <c r="L23" s="18"/>
      <c r="M23" s="18">
        <f t="shared" ref="M23:M25" si="11">F23*8*2</f>
        <v>21.6</v>
      </c>
      <c r="N23" s="18">
        <f>G23-K23</f>
        <v>33.480000000000004</v>
      </c>
      <c r="O23" s="24"/>
    </row>
    <row r="24" spans="1:15" s="5" customFormat="1" ht="19.95" customHeight="1" x14ac:dyDescent="0.3">
      <c r="A24" s="11"/>
      <c r="B24" s="20"/>
      <c r="C24" s="16">
        <v>11</v>
      </c>
      <c r="D24" s="17" t="s">
        <v>36</v>
      </c>
      <c r="E24" s="16">
        <f t="shared" si="10"/>
        <v>24.8</v>
      </c>
      <c r="F24" s="16">
        <v>0.35</v>
      </c>
      <c r="G24" s="18">
        <f t="shared" ref="G24" si="12">E24*F24</f>
        <v>8.68</v>
      </c>
      <c r="H24" s="16"/>
      <c r="I24" s="16"/>
      <c r="J24" s="16"/>
      <c r="K24" s="18">
        <f>(H24*I24)*J24</f>
        <v>0</v>
      </c>
      <c r="L24" s="18"/>
      <c r="M24" s="18">
        <f t="shared" si="11"/>
        <v>5.6</v>
      </c>
      <c r="N24" s="18">
        <f>G24-K24</f>
        <v>8.68</v>
      </c>
      <c r="O24" s="24"/>
    </row>
    <row r="25" spans="1:15" s="5" customFormat="1" ht="19.95" customHeight="1" x14ac:dyDescent="0.3">
      <c r="A25" s="11"/>
      <c r="B25" s="20"/>
      <c r="C25" s="16">
        <v>12</v>
      </c>
      <c r="D25" s="17" t="s">
        <v>35</v>
      </c>
      <c r="E25" s="16">
        <f t="shared" si="10"/>
        <v>24.8</v>
      </c>
      <c r="F25" s="16">
        <f>1.95+2.75</f>
        <v>4.7</v>
      </c>
      <c r="G25" s="18">
        <f t="shared" ref="G25" si="13">E25*F25</f>
        <v>116.56</v>
      </c>
      <c r="H25" s="16">
        <v>18</v>
      </c>
      <c r="I25" s="16">
        <v>2.75</v>
      </c>
      <c r="J25" s="16">
        <v>1</v>
      </c>
      <c r="K25" s="18">
        <f>(H25*I25)*J25</f>
        <v>49.5</v>
      </c>
      <c r="L25" s="18">
        <f>((H25*I25))*J25</f>
        <v>49.5</v>
      </c>
      <c r="M25" s="18">
        <f t="shared" si="11"/>
        <v>75.2</v>
      </c>
      <c r="N25" s="18">
        <f>G25-K27</f>
        <v>46.435000000000002</v>
      </c>
      <c r="O25" s="24"/>
    </row>
    <row r="26" spans="1:15" s="5" customFormat="1" ht="19.95" customHeight="1" x14ac:dyDescent="0.3">
      <c r="A26" s="11"/>
      <c r="B26" s="20"/>
      <c r="C26" s="16"/>
      <c r="D26" s="17"/>
      <c r="E26" s="16"/>
      <c r="F26" s="16"/>
      <c r="G26" s="18"/>
      <c r="H26" s="16">
        <v>2.5</v>
      </c>
      <c r="I26" s="16">
        <v>2.75</v>
      </c>
      <c r="J26" s="16">
        <v>3</v>
      </c>
      <c r="K26" s="18">
        <f>(H26*I26)*J26</f>
        <v>20.625</v>
      </c>
      <c r="L26" s="18">
        <f>((H26*I26))*J26</f>
        <v>20.625</v>
      </c>
      <c r="M26" s="18"/>
      <c r="N26" s="18"/>
      <c r="O26" s="24"/>
    </row>
    <row r="27" spans="1:15" s="5" customFormat="1" ht="19.95" customHeight="1" x14ac:dyDescent="0.3">
      <c r="A27" s="11"/>
      <c r="B27" s="20"/>
      <c r="C27" s="16"/>
      <c r="D27" s="17"/>
      <c r="E27" s="16"/>
      <c r="F27" s="16"/>
      <c r="G27" s="18"/>
      <c r="H27" s="16"/>
      <c r="I27" s="16"/>
      <c r="J27" s="16"/>
      <c r="K27" s="19">
        <f>SUM(K25:K26)</f>
        <v>70.125</v>
      </c>
      <c r="L27" s="18"/>
      <c r="M27" s="18"/>
      <c r="N27" s="18"/>
      <c r="O27" s="24"/>
    </row>
    <row r="28" spans="1:15" s="5" customFormat="1" ht="19.95" customHeight="1" x14ac:dyDescent="0.3">
      <c r="A28" s="11"/>
      <c r="B28" s="20"/>
      <c r="C28" s="16">
        <v>13</v>
      </c>
      <c r="D28" s="17" t="s">
        <v>35</v>
      </c>
      <c r="E28" s="16">
        <f>(3*8)+0.8</f>
        <v>24.8</v>
      </c>
      <c r="F28" s="16">
        <v>0.35</v>
      </c>
      <c r="G28" s="16">
        <f>E28*F28</f>
        <v>8.68</v>
      </c>
      <c r="H28" s="16">
        <v>2.5</v>
      </c>
      <c r="I28" s="16">
        <v>0.35</v>
      </c>
      <c r="J28" s="16">
        <v>3</v>
      </c>
      <c r="K28" s="18">
        <f>(H28*I28)*J28</f>
        <v>2.625</v>
      </c>
      <c r="L28" s="18">
        <f>((H28*I28))*J28</f>
        <v>2.625</v>
      </c>
      <c r="M28" s="18">
        <f>F28*8*2</f>
        <v>5.6</v>
      </c>
      <c r="N28" s="18">
        <f>G28-K28</f>
        <v>6.0549999999999997</v>
      </c>
      <c r="O28" s="24"/>
    </row>
    <row r="29" spans="1:15" s="5" customFormat="1" ht="19.95" customHeight="1" x14ac:dyDescent="0.3">
      <c r="A29" s="11"/>
      <c r="B29" s="20"/>
      <c r="C29" s="16">
        <v>14</v>
      </c>
      <c r="D29" s="17" t="s">
        <v>34</v>
      </c>
      <c r="E29" s="16">
        <f>E5</f>
        <v>27.8</v>
      </c>
      <c r="F29" s="16">
        <f>1.4+3.35</f>
        <v>4.75</v>
      </c>
      <c r="G29" s="18">
        <f t="shared" ref="G29" si="14">E29*F29</f>
        <v>132.05000000000001</v>
      </c>
      <c r="H29" s="16">
        <v>1.2</v>
      </c>
      <c r="I29" s="16">
        <v>0.6</v>
      </c>
      <c r="J29" s="16">
        <v>6</v>
      </c>
      <c r="K29" s="18">
        <f>(H29*I29)*J29</f>
        <v>4.32</v>
      </c>
      <c r="L29" s="18">
        <f>((H29+I29)*2)*J29</f>
        <v>21.599999999999998</v>
      </c>
      <c r="M29" s="18"/>
      <c r="N29" s="18">
        <f>G29-K32</f>
        <v>105.53000000000002</v>
      </c>
      <c r="O29" s="24"/>
    </row>
    <row r="30" spans="1:15" s="5" customFormat="1" ht="19.95" customHeight="1" x14ac:dyDescent="0.3">
      <c r="A30" s="11"/>
      <c r="B30" s="20"/>
      <c r="C30" s="16"/>
      <c r="D30" s="17"/>
      <c r="E30" s="16"/>
      <c r="F30" s="16"/>
      <c r="G30" s="18"/>
      <c r="H30" s="16">
        <v>1.5</v>
      </c>
      <c r="I30" s="16">
        <v>1.4</v>
      </c>
      <c r="J30" s="16">
        <v>6</v>
      </c>
      <c r="K30" s="18">
        <f>(H30*I30)*J30</f>
        <v>12.599999999999998</v>
      </c>
      <c r="L30" s="18">
        <f t="shared" ref="L30:L31" si="15">((H30+I30)*2)*J30</f>
        <v>34.799999999999997</v>
      </c>
      <c r="M30" s="18"/>
      <c r="N30" s="18"/>
      <c r="O30" s="24"/>
    </row>
    <row r="31" spans="1:15" s="5" customFormat="1" ht="19.95" customHeight="1" x14ac:dyDescent="0.3">
      <c r="A31" s="11"/>
      <c r="B31" s="20"/>
      <c r="C31" s="16"/>
      <c r="D31" s="17"/>
      <c r="E31" s="16"/>
      <c r="F31" s="16"/>
      <c r="G31" s="18"/>
      <c r="H31" s="16">
        <v>1.6</v>
      </c>
      <c r="I31" s="42">
        <v>3</v>
      </c>
      <c r="J31" s="16">
        <v>2</v>
      </c>
      <c r="K31" s="18">
        <f>(H31*I31)*J31</f>
        <v>9.6000000000000014</v>
      </c>
      <c r="L31" s="18">
        <f t="shared" si="15"/>
        <v>18.399999999999999</v>
      </c>
      <c r="M31" s="18"/>
      <c r="N31" s="18"/>
      <c r="O31" s="24"/>
    </row>
    <row r="32" spans="1:15" s="5" customFormat="1" ht="19.95" customHeight="1" x14ac:dyDescent="0.3">
      <c r="A32" s="11"/>
      <c r="B32" s="20"/>
      <c r="C32" s="16"/>
      <c r="D32" s="17"/>
      <c r="E32" s="16"/>
      <c r="F32" s="16"/>
      <c r="G32" s="18"/>
      <c r="H32" s="16"/>
      <c r="I32" s="42"/>
      <c r="J32" s="16"/>
      <c r="K32" s="19">
        <f>SUM(K29:K31)</f>
        <v>26.52</v>
      </c>
      <c r="L32" s="18"/>
      <c r="M32" s="18"/>
      <c r="N32" s="18"/>
      <c r="O32" s="24"/>
    </row>
    <row r="33" spans="1:15" s="5" customFormat="1" ht="19.95" customHeight="1" x14ac:dyDescent="0.3">
      <c r="A33" s="11"/>
      <c r="B33" s="9" t="s">
        <v>38</v>
      </c>
      <c r="C33" s="11">
        <v>15</v>
      </c>
      <c r="D33" s="5" t="s">
        <v>40</v>
      </c>
      <c r="E33" s="11">
        <f>(3*8)+0.8</f>
        <v>24.8</v>
      </c>
      <c r="F33" s="11">
        <f>1.9+0.85</f>
        <v>2.75</v>
      </c>
      <c r="G33" s="12">
        <f>E33*F33</f>
        <v>68.2</v>
      </c>
      <c r="H33" s="11"/>
      <c r="I33" s="11"/>
      <c r="J33" s="11"/>
      <c r="K33" s="12">
        <f>(H33*I33)*J33</f>
        <v>0</v>
      </c>
      <c r="L33" s="12">
        <f>((H33+I33)*2)*J33</f>
        <v>0</v>
      </c>
      <c r="M33" s="12"/>
      <c r="N33" s="12">
        <f>G33-K33</f>
        <v>68.2</v>
      </c>
      <c r="O33" s="13"/>
    </row>
    <row r="34" spans="1:15" s="5" customFormat="1" ht="19.95" customHeight="1" x14ac:dyDescent="0.3">
      <c r="A34" s="11"/>
      <c r="B34" s="10"/>
      <c r="C34" s="11">
        <v>16</v>
      </c>
      <c r="D34" s="5" t="s">
        <v>32</v>
      </c>
      <c r="E34" s="11">
        <f>(3*2)+0.8</f>
        <v>6.8</v>
      </c>
      <c r="F34" s="11">
        <v>2.65</v>
      </c>
      <c r="G34" s="11">
        <f>E34*F34</f>
        <v>18.02</v>
      </c>
      <c r="H34" s="11"/>
      <c r="I34" s="11"/>
      <c r="J34" s="11"/>
      <c r="K34" s="11"/>
      <c r="L34" s="11"/>
      <c r="M34" s="11"/>
      <c r="N34" s="12">
        <f>G34-K34</f>
        <v>18.02</v>
      </c>
      <c r="O34" s="13"/>
    </row>
    <row r="35" spans="1:15" s="5" customFormat="1" ht="19.95" customHeight="1" x14ac:dyDescent="0.3">
      <c r="A35" s="11"/>
      <c r="B35" s="9"/>
      <c r="C35" s="11">
        <v>17</v>
      </c>
      <c r="D35" s="5" t="s">
        <v>32</v>
      </c>
      <c r="E35" s="11">
        <f>$E$33</f>
        <v>24.8</v>
      </c>
      <c r="F35" s="11">
        <v>3.9</v>
      </c>
      <c r="G35" s="11">
        <f>E35*F35</f>
        <v>96.72</v>
      </c>
      <c r="H35" s="11">
        <v>1.8</v>
      </c>
      <c r="I35" s="11">
        <v>1</v>
      </c>
      <c r="J35" s="11">
        <v>7</v>
      </c>
      <c r="K35" s="12">
        <f>(H35*I35)*J35</f>
        <v>12.6</v>
      </c>
      <c r="L35" s="12">
        <f>((H35+I35)*2)*J35</f>
        <v>39.199999999999996</v>
      </c>
      <c r="M35" s="12"/>
      <c r="N35" s="12">
        <f t="shared" ref="N35:N41" si="16">G35-K35</f>
        <v>84.12</v>
      </c>
    </row>
    <row r="36" spans="1:15" s="5" customFormat="1" ht="19.95" customHeight="1" x14ac:dyDescent="0.3">
      <c r="A36" s="11"/>
      <c r="B36" s="9"/>
      <c r="C36" s="11" t="s">
        <v>44</v>
      </c>
      <c r="D36" s="5" t="s">
        <v>43</v>
      </c>
      <c r="E36" s="11">
        <v>3</v>
      </c>
      <c r="F36" s="11">
        <f>SUM(F33:F35)</f>
        <v>9.3000000000000007</v>
      </c>
      <c r="G36" s="11">
        <f>E36*F36</f>
        <v>27.900000000000002</v>
      </c>
      <c r="H36" s="11">
        <v>3</v>
      </c>
      <c r="I36" s="11">
        <v>2</v>
      </c>
      <c r="J36" s="11">
        <v>1</v>
      </c>
      <c r="K36" s="12">
        <f>(H36*I36)*J36</f>
        <v>6</v>
      </c>
      <c r="L36" s="12"/>
      <c r="M36" s="12"/>
      <c r="N36" s="12">
        <f t="shared" si="16"/>
        <v>21.900000000000002</v>
      </c>
      <c r="O36" s="24"/>
    </row>
    <row r="37" spans="1:15" s="5" customFormat="1" ht="19.95" customHeight="1" x14ac:dyDescent="0.3">
      <c r="A37" s="11"/>
      <c r="B37" s="20" t="s">
        <v>41</v>
      </c>
      <c r="C37" s="16">
        <v>18</v>
      </c>
      <c r="D37" s="17" t="s">
        <v>32</v>
      </c>
      <c r="E37" s="16">
        <f t="shared" ref="E37" si="17">$E$33</f>
        <v>24.8</v>
      </c>
      <c r="F37" s="16">
        <f>7.7+1.55+2.15</f>
        <v>11.4</v>
      </c>
      <c r="G37" s="18">
        <f>E37*F37</f>
        <v>282.72000000000003</v>
      </c>
      <c r="H37" s="16">
        <v>1.8</v>
      </c>
      <c r="I37" s="16">
        <v>3.05</v>
      </c>
      <c r="J37" s="16">
        <v>14</v>
      </c>
      <c r="K37" s="18">
        <f>(H37*I37)*J37</f>
        <v>76.86</v>
      </c>
      <c r="L37" s="18">
        <f>((H37+I37)*2)*J37</f>
        <v>135.79999999999998</v>
      </c>
      <c r="M37" s="16"/>
      <c r="N37" s="18">
        <f>G37-K40</f>
        <v>172.66500000000002</v>
      </c>
      <c r="O37" s="13"/>
    </row>
    <row r="38" spans="1:15" s="5" customFormat="1" ht="19.95" customHeight="1" x14ac:dyDescent="0.3">
      <c r="A38" s="11"/>
      <c r="B38" s="20"/>
      <c r="C38" s="16"/>
      <c r="D38" s="17"/>
      <c r="E38" s="16"/>
      <c r="F38" s="16"/>
      <c r="G38" s="18"/>
      <c r="H38" s="16">
        <v>0.3</v>
      </c>
      <c r="I38" s="16">
        <v>0.45</v>
      </c>
      <c r="J38" s="16">
        <v>7</v>
      </c>
      <c r="K38" s="18">
        <f>(H38*I38)*J38</f>
        <v>0.94500000000000006</v>
      </c>
      <c r="L38" s="18">
        <f>((H38+I38)*2)*J38</f>
        <v>10.5</v>
      </c>
      <c r="M38" s="16"/>
      <c r="N38" s="18"/>
      <c r="O38" s="13"/>
    </row>
    <row r="39" spans="1:15" s="5" customFormat="1" ht="19.95" customHeight="1" x14ac:dyDescent="0.3">
      <c r="A39" s="11"/>
      <c r="B39" s="20"/>
      <c r="C39" s="16"/>
      <c r="D39" s="17"/>
      <c r="E39" s="16"/>
      <c r="F39" s="16"/>
      <c r="G39" s="18"/>
      <c r="H39" s="16">
        <v>15</v>
      </c>
      <c r="I39" s="16">
        <v>2.15</v>
      </c>
      <c r="J39" s="16">
        <v>1</v>
      </c>
      <c r="K39" s="18">
        <f>(H39*I39)*J39</f>
        <v>32.25</v>
      </c>
      <c r="L39" s="18">
        <f>H39*I39</f>
        <v>32.25</v>
      </c>
      <c r="M39" s="16"/>
      <c r="N39" s="18"/>
      <c r="O39" s="13"/>
    </row>
    <row r="40" spans="1:15" s="5" customFormat="1" ht="19.95" customHeight="1" x14ac:dyDescent="0.3">
      <c r="A40" s="11"/>
      <c r="B40" s="20"/>
      <c r="C40" s="16"/>
      <c r="D40" s="17"/>
      <c r="E40" s="16"/>
      <c r="F40" s="16"/>
      <c r="G40" s="18"/>
      <c r="H40" s="16"/>
      <c r="I40" s="16"/>
      <c r="J40" s="16"/>
      <c r="K40" s="19">
        <f>SUM(K37:K39)</f>
        <v>110.05499999999999</v>
      </c>
      <c r="L40" s="16"/>
      <c r="M40" s="16"/>
      <c r="N40" s="18"/>
      <c r="O40" s="13"/>
    </row>
    <row r="41" spans="1:15" s="5" customFormat="1" ht="19.95" customHeight="1" x14ac:dyDescent="0.3">
      <c r="A41" s="11"/>
      <c r="B41" s="20"/>
      <c r="C41" s="16" t="s">
        <v>46</v>
      </c>
      <c r="D41" s="17" t="s">
        <v>43</v>
      </c>
      <c r="E41" s="16">
        <v>3</v>
      </c>
      <c r="F41" s="16">
        <v>11.4</v>
      </c>
      <c r="G41" s="18">
        <f t="shared" ref="G41:G46" si="18">E41*F41</f>
        <v>34.200000000000003</v>
      </c>
      <c r="H41" s="16">
        <v>2.5</v>
      </c>
      <c r="I41" s="16">
        <v>2</v>
      </c>
      <c r="J41" s="16">
        <v>1</v>
      </c>
      <c r="K41" s="18">
        <f>(H41*I41)*J41</f>
        <v>5</v>
      </c>
      <c r="L41" s="18">
        <f>((H41+I41)*2)*J41</f>
        <v>9</v>
      </c>
      <c r="M41" s="18"/>
      <c r="N41" s="18">
        <f t="shared" si="16"/>
        <v>29.200000000000003</v>
      </c>
    </row>
    <row r="42" spans="1:15" s="5" customFormat="1" ht="19.95" customHeight="1" x14ac:dyDescent="0.3">
      <c r="A42" s="11"/>
      <c r="B42" s="20"/>
      <c r="C42" s="16">
        <v>19</v>
      </c>
      <c r="D42" s="17" t="s">
        <v>45</v>
      </c>
      <c r="E42" s="16">
        <f>$E$5</f>
        <v>27.8</v>
      </c>
      <c r="F42" s="16">
        <f>1.4+2.4+0.4+0.55+1.85+1.2</f>
        <v>7.8</v>
      </c>
      <c r="G42" s="18">
        <f t="shared" si="18"/>
        <v>216.84</v>
      </c>
      <c r="H42" s="16">
        <v>1.5</v>
      </c>
      <c r="I42" s="16">
        <v>2</v>
      </c>
      <c r="J42" s="16">
        <v>15</v>
      </c>
      <c r="K42" s="18">
        <f t="shared" ref="K42:K43" si="19">(H42*I42)*J42</f>
        <v>45</v>
      </c>
      <c r="L42" s="18">
        <f t="shared" ref="L42" si="20">((H42+I42)*2)*J42</f>
        <v>105</v>
      </c>
      <c r="M42" s="18">
        <f>F42*9*2</f>
        <v>140.4</v>
      </c>
      <c r="N42" s="18">
        <f>G42-K44</f>
        <v>165.59</v>
      </c>
    </row>
    <row r="43" spans="1:15" s="5" customFormat="1" ht="19.95" customHeight="1" x14ac:dyDescent="0.3">
      <c r="A43" s="11"/>
      <c r="B43" s="20"/>
      <c r="C43" s="16"/>
      <c r="D43" s="17"/>
      <c r="E43" s="16"/>
      <c r="F43" s="16"/>
      <c r="G43" s="18"/>
      <c r="H43" s="16">
        <v>2.5</v>
      </c>
      <c r="I43" s="16">
        <v>2.5</v>
      </c>
      <c r="J43" s="16">
        <v>1</v>
      </c>
      <c r="K43" s="18">
        <f t="shared" si="19"/>
        <v>6.25</v>
      </c>
      <c r="L43" s="18"/>
      <c r="M43" s="18"/>
      <c r="N43" s="18"/>
    </row>
    <row r="44" spans="1:15" s="5" customFormat="1" ht="19.95" customHeight="1" x14ac:dyDescent="0.3">
      <c r="A44" s="11"/>
      <c r="B44" s="20"/>
      <c r="C44" s="16"/>
      <c r="D44" s="17"/>
      <c r="E44" s="16"/>
      <c r="F44" s="16"/>
      <c r="G44" s="18"/>
      <c r="H44" s="16"/>
      <c r="I44" s="16"/>
      <c r="J44" s="16"/>
      <c r="K44" s="19">
        <f>SUM(K42:K43)</f>
        <v>51.25</v>
      </c>
      <c r="L44" s="18"/>
      <c r="M44" s="18"/>
      <c r="N44" s="18"/>
      <c r="O44" s="24"/>
    </row>
    <row r="45" spans="1:15" s="5" customFormat="1" ht="19.95" customHeight="1" x14ac:dyDescent="0.3">
      <c r="A45" s="11"/>
      <c r="B45" s="43" t="s">
        <v>42</v>
      </c>
      <c r="C45" s="44">
        <v>20</v>
      </c>
      <c r="D45" s="45" t="s">
        <v>15</v>
      </c>
      <c r="E45" s="44">
        <f>$E$5</f>
        <v>27.8</v>
      </c>
      <c r="F45" s="44">
        <v>6.6</v>
      </c>
      <c r="G45" s="44">
        <f t="shared" si="18"/>
        <v>183.48</v>
      </c>
      <c r="H45" s="44">
        <v>0.8</v>
      </c>
      <c r="I45" s="44">
        <v>5.8</v>
      </c>
      <c r="J45" s="44">
        <v>8</v>
      </c>
      <c r="K45" s="46">
        <f>(H45*I45)*J45</f>
        <v>37.119999999999997</v>
      </c>
      <c r="L45" s="46">
        <f>((H45+I45)*2)*J45</f>
        <v>105.6</v>
      </c>
      <c r="M45" s="46">
        <f>F45*9*2</f>
        <v>118.8</v>
      </c>
      <c r="N45" s="12">
        <f t="shared" ref="N45:N46" si="21">G45-K45</f>
        <v>146.35999999999999</v>
      </c>
    </row>
    <row r="46" spans="1:15" s="5" customFormat="1" ht="19.95" customHeight="1" x14ac:dyDescent="0.3">
      <c r="A46" s="11"/>
      <c r="B46" s="9"/>
      <c r="C46" s="11" t="s">
        <v>47</v>
      </c>
      <c r="D46" s="5" t="s">
        <v>40</v>
      </c>
      <c r="E46" s="11">
        <v>2.8</v>
      </c>
      <c r="F46" s="11">
        <v>6.6</v>
      </c>
      <c r="G46" s="44">
        <f t="shared" si="18"/>
        <v>18.479999999999997</v>
      </c>
      <c r="H46" s="11"/>
      <c r="I46" s="11"/>
      <c r="J46" s="11"/>
      <c r="K46" s="46">
        <f>(H46*I46)*J46</f>
        <v>0</v>
      </c>
      <c r="L46" s="12"/>
      <c r="M46" s="12"/>
      <c r="N46" s="12">
        <f t="shared" si="21"/>
        <v>18.479999999999997</v>
      </c>
      <c r="O46" s="24"/>
    </row>
    <row r="47" spans="1:15" s="5" customFormat="1" ht="19.95" customHeight="1" x14ac:dyDescent="0.3">
      <c r="A47" s="11"/>
      <c r="B47" s="9"/>
      <c r="C47" s="11"/>
      <c r="E47" s="11"/>
      <c r="F47" s="11"/>
      <c r="G47" s="12"/>
      <c r="H47" s="11"/>
      <c r="I47" s="11"/>
      <c r="J47" s="11"/>
      <c r="K47" s="12"/>
      <c r="L47" s="12"/>
      <c r="M47" s="12"/>
      <c r="N47" s="12"/>
      <c r="O47" s="24"/>
    </row>
    <row r="48" spans="1:15" s="5" customFormat="1" ht="19.95" customHeight="1" x14ac:dyDescent="0.3">
      <c r="A48" s="11"/>
      <c r="B48" s="20" t="s">
        <v>48</v>
      </c>
      <c r="C48" s="16">
        <v>21</v>
      </c>
      <c r="D48" s="17" t="s">
        <v>45</v>
      </c>
      <c r="E48" s="16">
        <f>$E$5</f>
        <v>27.8</v>
      </c>
      <c r="F48" s="16">
        <f>1.4+2.4+0.4+0.55+1.85+1.2</f>
        <v>7.8</v>
      </c>
      <c r="G48" s="18">
        <f t="shared" ref="G48" si="22">E48*F48</f>
        <v>216.84</v>
      </c>
      <c r="H48" s="16">
        <v>1.5</v>
      </c>
      <c r="I48" s="16">
        <v>2</v>
      </c>
      <c r="J48" s="16">
        <v>15</v>
      </c>
      <c r="K48" s="18">
        <f t="shared" ref="K48:K49" si="23">(H48*I48)*J48</f>
        <v>45</v>
      </c>
      <c r="L48" s="18">
        <f t="shared" ref="L48" si="24">((H48+I48)*2)*J48</f>
        <v>105</v>
      </c>
      <c r="M48" s="18">
        <f>F48*9*2</f>
        <v>140.4</v>
      </c>
      <c r="N48" s="18">
        <f>G48-K50</f>
        <v>165.59</v>
      </c>
      <c r="O48" s="13"/>
    </row>
    <row r="49" spans="1:15" s="5" customFormat="1" ht="19.95" customHeight="1" x14ac:dyDescent="0.3">
      <c r="A49" s="11"/>
      <c r="B49" s="15"/>
      <c r="C49" s="16"/>
      <c r="D49" s="17"/>
      <c r="E49" s="16"/>
      <c r="F49" s="16"/>
      <c r="G49" s="18"/>
      <c r="H49" s="16">
        <v>2.5</v>
      </c>
      <c r="I49" s="16">
        <v>2.5</v>
      </c>
      <c r="J49" s="16">
        <v>1</v>
      </c>
      <c r="K49" s="18">
        <f t="shared" si="23"/>
        <v>6.25</v>
      </c>
      <c r="L49" s="18"/>
      <c r="M49" s="18"/>
      <c r="N49" s="18"/>
      <c r="O49" s="13"/>
    </row>
    <row r="50" spans="1:15" s="5" customFormat="1" ht="19.95" customHeight="1" x14ac:dyDescent="0.3">
      <c r="A50" s="11"/>
      <c r="B50" s="15"/>
      <c r="C50" s="16"/>
      <c r="D50" s="17"/>
      <c r="E50" s="16"/>
      <c r="F50" s="16"/>
      <c r="G50" s="18"/>
      <c r="H50" s="16"/>
      <c r="I50" s="16"/>
      <c r="J50" s="16"/>
      <c r="K50" s="19">
        <f>SUM(K48:K49)</f>
        <v>51.25</v>
      </c>
      <c r="L50" s="18"/>
      <c r="M50" s="18"/>
      <c r="N50" s="18"/>
      <c r="O50" s="13"/>
    </row>
    <row r="51" spans="1:15" s="5" customFormat="1" ht="19.95" customHeight="1" x14ac:dyDescent="0.3">
      <c r="A51" s="11"/>
      <c r="B51" s="15"/>
      <c r="C51" s="16">
        <v>22</v>
      </c>
      <c r="D51" s="17" t="s">
        <v>32</v>
      </c>
      <c r="E51" s="16">
        <f t="shared" ref="E51" si="25">$E$33</f>
        <v>24.8</v>
      </c>
      <c r="F51" s="16">
        <f>7.7+1.55+2.15</f>
        <v>11.4</v>
      </c>
      <c r="G51" s="18">
        <f>E51*F51</f>
        <v>282.72000000000003</v>
      </c>
      <c r="H51" s="16">
        <v>1.8</v>
      </c>
      <c r="I51" s="16">
        <v>3.05</v>
      </c>
      <c r="J51" s="16">
        <v>14</v>
      </c>
      <c r="K51" s="18">
        <f>(H51*I51)*J51</f>
        <v>76.86</v>
      </c>
      <c r="L51" s="18">
        <f>((H51+I51)*2)*J51</f>
        <v>135.79999999999998</v>
      </c>
      <c r="M51" s="16"/>
      <c r="N51" s="18">
        <f>G51-K54</f>
        <v>172.66500000000002</v>
      </c>
      <c r="O51" s="13"/>
    </row>
    <row r="52" spans="1:15" s="5" customFormat="1" ht="19.95" customHeight="1" x14ac:dyDescent="0.3">
      <c r="A52" s="11"/>
      <c r="B52" s="15"/>
      <c r="C52" s="16"/>
      <c r="D52" s="17"/>
      <c r="E52" s="16"/>
      <c r="F52" s="16"/>
      <c r="G52" s="18"/>
      <c r="H52" s="16">
        <v>0.3</v>
      </c>
      <c r="I52" s="16">
        <v>0.45</v>
      </c>
      <c r="J52" s="16">
        <v>7</v>
      </c>
      <c r="K52" s="18">
        <f>(H52*I52)*J52</f>
        <v>0.94500000000000006</v>
      </c>
      <c r="L52" s="18">
        <f>((H52+I52)*2)*J52</f>
        <v>10.5</v>
      </c>
      <c r="M52" s="16"/>
      <c r="N52" s="18"/>
      <c r="O52" s="13"/>
    </row>
    <row r="53" spans="1:15" s="5" customFormat="1" ht="19.95" customHeight="1" x14ac:dyDescent="0.3">
      <c r="A53" s="11"/>
      <c r="B53" s="15"/>
      <c r="C53" s="16"/>
      <c r="D53" s="17"/>
      <c r="E53" s="16"/>
      <c r="F53" s="16"/>
      <c r="G53" s="18"/>
      <c r="H53" s="16">
        <v>15</v>
      </c>
      <c r="I53" s="16">
        <v>2.15</v>
      </c>
      <c r="J53" s="16">
        <v>1</v>
      </c>
      <c r="K53" s="18">
        <f>(H53*I53)*J53</f>
        <v>32.25</v>
      </c>
      <c r="L53" s="18">
        <f>H53*I53</f>
        <v>32.25</v>
      </c>
      <c r="M53" s="16"/>
      <c r="N53" s="18"/>
      <c r="O53" s="13"/>
    </row>
    <row r="54" spans="1:15" s="5" customFormat="1" ht="19.95" customHeight="1" x14ac:dyDescent="0.3">
      <c r="A54" s="11"/>
      <c r="B54" s="15"/>
      <c r="C54" s="16"/>
      <c r="D54" s="17"/>
      <c r="E54" s="16"/>
      <c r="F54" s="16"/>
      <c r="G54" s="18"/>
      <c r="H54" s="16"/>
      <c r="I54" s="16"/>
      <c r="J54" s="16"/>
      <c r="K54" s="19">
        <f>SUM(K51:K53)</f>
        <v>110.05499999999999</v>
      </c>
      <c r="L54" s="16"/>
      <c r="M54" s="16"/>
      <c r="N54" s="18"/>
      <c r="O54" s="13"/>
    </row>
    <row r="55" spans="1:15" s="5" customFormat="1" ht="19.95" customHeight="1" x14ac:dyDescent="0.3">
      <c r="A55" s="11"/>
      <c r="B55" s="16"/>
      <c r="C55" s="16" t="s">
        <v>49</v>
      </c>
      <c r="D55" s="17" t="s">
        <v>43</v>
      </c>
      <c r="E55" s="16">
        <v>3</v>
      </c>
      <c r="F55" s="16">
        <v>11.4</v>
      </c>
      <c r="G55" s="18">
        <f t="shared" ref="G55" si="26">E55*F55</f>
        <v>34.200000000000003</v>
      </c>
      <c r="H55" s="16">
        <v>2.5</v>
      </c>
      <c r="I55" s="16">
        <v>2</v>
      </c>
      <c r="J55" s="16">
        <v>1</v>
      </c>
      <c r="K55" s="18">
        <f>(H55*I55)*J55</f>
        <v>5</v>
      </c>
      <c r="L55" s="18">
        <f>((H55+I55)*2)*J55</f>
        <v>9</v>
      </c>
      <c r="M55" s="18"/>
      <c r="N55" s="18">
        <f t="shared" ref="N55:N57" si="27">G55-K55</f>
        <v>29.200000000000003</v>
      </c>
      <c r="O55" s="24"/>
    </row>
    <row r="56" spans="1:15" s="5" customFormat="1" ht="19.95" customHeight="1" x14ac:dyDescent="0.3">
      <c r="A56" s="11"/>
      <c r="B56" s="9" t="s">
        <v>50</v>
      </c>
      <c r="C56" s="11">
        <v>23</v>
      </c>
      <c r="D56" s="5" t="s">
        <v>32</v>
      </c>
      <c r="E56" s="11">
        <f>$E$33</f>
        <v>24.8</v>
      </c>
      <c r="F56" s="11">
        <v>3.9</v>
      </c>
      <c r="G56" s="11">
        <f>E56*F56</f>
        <v>96.72</v>
      </c>
      <c r="H56" s="11">
        <v>1.8</v>
      </c>
      <c r="I56" s="11">
        <v>1</v>
      </c>
      <c r="J56" s="11">
        <v>7</v>
      </c>
      <c r="K56" s="12">
        <f>(H56*I56)*J56</f>
        <v>12.6</v>
      </c>
      <c r="L56" s="12">
        <f>((H56+I56)*2)*J56</f>
        <v>39.199999999999996</v>
      </c>
      <c r="M56" s="12"/>
      <c r="N56" s="12">
        <f t="shared" si="27"/>
        <v>84.12</v>
      </c>
      <c r="O56" s="13"/>
    </row>
    <row r="57" spans="1:15" s="5" customFormat="1" ht="19.95" customHeight="1" x14ac:dyDescent="0.3">
      <c r="A57" s="11"/>
      <c r="B57" s="9"/>
      <c r="C57" s="11" t="s">
        <v>51</v>
      </c>
      <c r="D57" s="5" t="s">
        <v>43</v>
      </c>
      <c r="E57" s="11">
        <v>3</v>
      </c>
      <c r="F57" s="11">
        <f>SUM(F53:F56)</f>
        <v>15.3</v>
      </c>
      <c r="G57" s="11">
        <f>E57*F57</f>
        <v>45.900000000000006</v>
      </c>
      <c r="H57" s="11">
        <v>3</v>
      </c>
      <c r="I57" s="11">
        <v>2</v>
      </c>
      <c r="J57" s="11">
        <v>1</v>
      </c>
      <c r="K57" s="12">
        <f>(H57*I57)*J57</f>
        <v>6</v>
      </c>
      <c r="L57" s="12"/>
      <c r="M57" s="12"/>
      <c r="N57" s="12">
        <f t="shared" si="27"/>
        <v>39.900000000000006</v>
      </c>
      <c r="O57" s="13"/>
    </row>
    <row r="58" spans="1:15" s="5" customFormat="1" ht="19.95" customHeight="1" x14ac:dyDescent="0.3">
      <c r="A58" s="11"/>
      <c r="B58" s="10"/>
      <c r="C58" s="11">
        <v>24</v>
      </c>
      <c r="D58" s="5" t="s">
        <v>32</v>
      </c>
      <c r="E58" s="11">
        <f>(3*2)+0.8</f>
        <v>6.8</v>
      </c>
      <c r="F58" s="11">
        <v>2.65</v>
      </c>
      <c r="G58" s="11">
        <f>E58*F58</f>
        <v>18.02</v>
      </c>
      <c r="H58" s="11"/>
      <c r="I58" s="11"/>
      <c r="J58" s="11"/>
      <c r="K58" s="11"/>
      <c r="L58" s="11"/>
      <c r="M58" s="11"/>
      <c r="N58" s="12">
        <f>G58-K58</f>
        <v>18.02</v>
      </c>
      <c r="O58" s="13"/>
    </row>
    <row r="59" spans="1:15" s="5" customFormat="1" ht="19.95" customHeight="1" x14ac:dyDescent="0.3">
      <c r="A59" s="11"/>
      <c r="B59" s="9"/>
      <c r="C59" s="11">
        <v>25</v>
      </c>
      <c r="D59" s="5" t="s">
        <v>40</v>
      </c>
      <c r="E59" s="11">
        <f>(3*8)+0.8</f>
        <v>24.8</v>
      </c>
      <c r="F59" s="11">
        <f>1.9+0.85</f>
        <v>2.75</v>
      </c>
      <c r="G59" s="12">
        <f>E59*F59</f>
        <v>68.2</v>
      </c>
      <c r="H59" s="11"/>
      <c r="I59" s="11"/>
      <c r="J59" s="11"/>
      <c r="K59" s="12">
        <f>(H59*I59)*J59</f>
        <v>0</v>
      </c>
      <c r="L59" s="12">
        <f>((H59+I59)*2)*J59</f>
        <v>0</v>
      </c>
      <c r="M59" s="12"/>
      <c r="N59" s="12">
        <f>G59-K59</f>
        <v>68.2</v>
      </c>
    </row>
    <row r="60" spans="1:15" s="5" customFormat="1" ht="19.95" customHeight="1" x14ac:dyDescent="0.3">
      <c r="A60" s="11"/>
      <c r="B60" s="9"/>
      <c r="C60" s="11"/>
      <c r="E60" s="11"/>
      <c r="F60" s="11"/>
      <c r="G60" s="11"/>
      <c r="H60" s="11"/>
      <c r="I60" s="11"/>
      <c r="J60" s="11"/>
      <c r="K60" s="12"/>
      <c r="L60" s="12"/>
      <c r="M60" s="12"/>
      <c r="N60" s="12"/>
      <c r="O60" s="24"/>
    </row>
    <row r="61" spans="1:15" s="5" customFormat="1" ht="19.95" customHeight="1" x14ac:dyDescent="0.3">
      <c r="A61" s="11"/>
      <c r="B61" s="11"/>
      <c r="C61" s="11"/>
      <c r="E61" s="11"/>
      <c r="F61" s="11"/>
      <c r="G61" s="12"/>
      <c r="H61" s="11"/>
      <c r="I61" s="11"/>
      <c r="J61" s="11"/>
      <c r="K61" s="14"/>
      <c r="L61" s="14">
        <f>SUM(L5:L59)</f>
        <v>1198.3</v>
      </c>
      <c r="M61" s="14">
        <f>SUM(M5:M59)*2</f>
        <v>1623.2</v>
      </c>
      <c r="N61" s="12"/>
    </row>
    <row r="62" spans="1:15" s="5" customFormat="1" ht="19.95" customHeight="1" x14ac:dyDescent="0.3">
      <c r="A62" s="11"/>
      <c r="B62" s="11"/>
      <c r="C62" s="11"/>
      <c r="E62" s="11"/>
      <c r="F62" s="11"/>
      <c r="G62" s="12"/>
      <c r="H62" s="11"/>
      <c r="I62" s="11"/>
      <c r="J62" s="11"/>
      <c r="K62" s="14"/>
      <c r="L62" s="14"/>
      <c r="M62" s="14"/>
      <c r="N62" s="12"/>
    </row>
    <row r="63" spans="1:15" s="5" customFormat="1" ht="19.95" customHeight="1" x14ac:dyDescent="0.3">
      <c r="A63" s="11"/>
      <c r="B63" s="11"/>
      <c r="C63" s="11"/>
      <c r="D63" s="50" t="s">
        <v>12</v>
      </c>
      <c r="E63" s="50"/>
      <c r="F63" s="50"/>
      <c r="G63" s="21">
        <f>SUM(G5:G61)</f>
        <v>2611.86</v>
      </c>
      <c r="H63" s="11"/>
      <c r="I63" s="50" t="s">
        <v>13</v>
      </c>
      <c r="J63" s="50"/>
      <c r="K63" s="50"/>
      <c r="L63" s="22"/>
      <c r="M63" s="22"/>
      <c r="N63" s="21">
        <f>SUM(N5:N60)</f>
        <v>1961.91</v>
      </c>
      <c r="O63" s="13"/>
    </row>
    <row r="64" spans="1:15" s="5" customFormat="1" ht="19.95" customHeight="1" x14ac:dyDescent="0.3">
      <c r="A64" s="11"/>
      <c r="B64" s="11"/>
      <c r="C64" s="11"/>
      <c r="E64" s="11"/>
      <c r="F64" s="11"/>
      <c r="G64" s="11"/>
      <c r="H64" s="11"/>
      <c r="I64" s="11"/>
      <c r="J64" s="11"/>
      <c r="K64" s="11"/>
      <c r="L64" s="11"/>
      <c r="M64" s="11"/>
      <c r="N64" s="11"/>
    </row>
    <row r="65" spans="1:14" s="5" customFormat="1" ht="19.95" customHeight="1" x14ac:dyDescent="0.3">
      <c r="A65" s="11"/>
      <c r="B65" s="11"/>
      <c r="C65" s="11"/>
      <c r="E65" s="11"/>
      <c r="F65" s="11"/>
      <c r="G65" s="11"/>
      <c r="H65" s="11"/>
      <c r="I65" s="11"/>
      <c r="J65" s="11"/>
      <c r="K65" s="11"/>
      <c r="L65" s="11"/>
      <c r="M65" s="11"/>
      <c r="N65" s="11"/>
    </row>
    <row r="66" spans="1:14" ht="19.95" customHeight="1" x14ac:dyDescent="0.25"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1:14" ht="19.95" customHeight="1" x14ac:dyDescent="0.25"/>
    <row r="68" spans="1:14" ht="19.95" customHeight="1" x14ac:dyDescent="0.25"/>
    <row r="69" spans="1:14" ht="19.95" customHeight="1" x14ac:dyDescent="0.25"/>
    <row r="70" spans="1:14" ht="19.95" customHeight="1" x14ac:dyDescent="0.25"/>
    <row r="71" spans="1:14" ht="19.95" customHeight="1" x14ac:dyDescent="0.25"/>
    <row r="72" spans="1:14" ht="19.95" customHeight="1" x14ac:dyDescent="0.25"/>
    <row r="73" spans="1:14" ht="19.95" customHeight="1" x14ac:dyDescent="0.25"/>
    <row r="74" spans="1:14" ht="19.95" customHeight="1" x14ac:dyDescent="0.25"/>
    <row r="75" spans="1:14" ht="19.95" customHeight="1" x14ac:dyDescent="0.25"/>
  </sheetData>
  <mergeCells count="5">
    <mergeCell ref="A2:N2"/>
    <mergeCell ref="E3:G3"/>
    <mergeCell ref="H3:K3"/>
    <mergeCell ref="D63:F63"/>
    <mergeCell ref="I63:K6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705BC-AB13-4993-918D-EAEEFE7A3AA5}">
  <dimension ref="A2:F12"/>
  <sheetViews>
    <sheetView zoomScale="90" zoomScaleNormal="90" workbookViewId="0">
      <selection activeCell="F13" sqref="F13"/>
    </sheetView>
  </sheetViews>
  <sheetFormatPr baseColWidth="10" defaultRowHeight="14.4" x14ac:dyDescent="0.3"/>
  <cols>
    <col min="1" max="1" width="11.5546875" style="25"/>
    <col min="2" max="2" width="57.21875" style="25" customWidth="1"/>
    <col min="3" max="3" width="11.5546875" style="25"/>
    <col min="4" max="4" width="11.6640625" style="25" bestFit="1" customWidth="1"/>
    <col min="5" max="5" width="12" style="25" bestFit="1" customWidth="1"/>
    <col min="6" max="6" width="15" style="25" bestFit="1" customWidth="1"/>
    <col min="7" max="16384" width="11.5546875" style="25"/>
  </cols>
  <sheetData>
    <row r="2" spans="1:6" x14ac:dyDescent="0.3">
      <c r="A2" s="51" t="s">
        <v>16</v>
      </c>
      <c r="B2" s="54" t="s">
        <v>17</v>
      </c>
      <c r="C2" s="55" t="s">
        <v>18</v>
      </c>
      <c r="D2" s="56"/>
      <c r="E2" s="56"/>
      <c r="F2" s="57"/>
    </row>
    <row r="3" spans="1:6" x14ac:dyDescent="0.3">
      <c r="A3" s="52"/>
      <c r="B3" s="54"/>
      <c r="C3" s="55"/>
      <c r="D3" s="56"/>
      <c r="E3" s="56"/>
      <c r="F3" s="57"/>
    </row>
    <row r="4" spans="1:6" x14ac:dyDescent="0.3">
      <c r="A4" s="52"/>
      <c r="B4" s="54"/>
      <c r="C4" s="58"/>
      <c r="D4" s="59"/>
      <c r="E4" s="59"/>
      <c r="F4" s="60"/>
    </row>
    <row r="5" spans="1:6" ht="15" thickBot="1" x14ac:dyDescent="0.35">
      <c r="A5" s="53"/>
      <c r="B5" s="54"/>
      <c r="C5" s="26" t="s">
        <v>19</v>
      </c>
      <c r="D5" s="27" t="s">
        <v>20</v>
      </c>
      <c r="E5" s="27" t="s">
        <v>21</v>
      </c>
      <c r="F5" s="28" t="s">
        <v>22</v>
      </c>
    </row>
    <row r="6" spans="1:6" ht="22.2" customHeight="1" thickBot="1" x14ac:dyDescent="0.35">
      <c r="A6" s="29" t="s">
        <v>14</v>
      </c>
      <c r="B6" s="30"/>
      <c r="C6" s="30"/>
      <c r="D6" s="37"/>
      <c r="E6" s="37"/>
      <c r="F6" s="37"/>
    </row>
    <row r="7" spans="1:6" ht="30" customHeight="1" x14ac:dyDescent="0.3">
      <c r="A7" s="31" t="s">
        <v>23</v>
      </c>
      <c r="B7" s="32" t="s">
        <v>52</v>
      </c>
      <c r="C7" s="33" t="s">
        <v>25</v>
      </c>
      <c r="D7" s="39">
        <f>'C.O. EL PORTAL'!N5+'C.O. EL PORTAL'!N29+'C.O. EL PORTAL'!N33+'C.O. EL PORTAL'!N34+'C.O. EL PORTAL'!N35+'C.O. EL PORTAL'!N37+'C.O. EL PORTAL'!N46+'C.O. EL PORTAL'!N51+'C.O. EL PORTAL'!N56+'C.O. EL PORTAL'!N58+'C.O. EL PORTAL'!N59</f>
        <v>915.55000000000007</v>
      </c>
      <c r="E7" s="36">
        <v>0</v>
      </c>
      <c r="F7" s="38">
        <f>D7*E7</f>
        <v>0</v>
      </c>
    </row>
    <row r="8" spans="1:6" ht="30" customHeight="1" x14ac:dyDescent="0.3">
      <c r="A8" s="31" t="s">
        <v>24</v>
      </c>
      <c r="B8" s="40" t="s">
        <v>53</v>
      </c>
      <c r="C8" s="33" t="s">
        <v>25</v>
      </c>
      <c r="D8" s="39">
        <f>'C.O. EL PORTAL'!N63-'RESUMEN CANTIDADES'!D7</f>
        <v>1046.3600000000001</v>
      </c>
      <c r="E8" s="36">
        <v>0</v>
      </c>
      <c r="F8" s="38">
        <f>D8*E8</f>
        <v>0</v>
      </c>
    </row>
    <row r="9" spans="1:6" ht="30" customHeight="1" x14ac:dyDescent="0.3">
      <c r="A9" s="31" t="s">
        <v>26</v>
      </c>
      <c r="B9" s="34" t="s">
        <v>54</v>
      </c>
      <c r="C9" s="35" t="s">
        <v>25</v>
      </c>
      <c r="D9" s="39">
        <f>'C.O. EL PORTAL'!G63</f>
        <v>2611.86</v>
      </c>
      <c r="E9" s="36">
        <v>0</v>
      </c>
      <c r="F9" s="38">
        <f>D9*E9</f>
        <v>0</v>
      </c>
    </row>
    <row r="10" spans="1:6" ht="30" customHeight="1" x14ac:dyDescent="0.3">
      <c r="A10" s="31" t="s">
        <v>27</v>
      </c>
      <c r="B10" s="34" t="s">
        <v>55</v>
      </c>
      <c r="C10" s="35" t="s">
        <v>28</v>
      </c>
      <c r="D10" s="39">
        <f>'C.O. EL PORTAL'!M61</f>
        <v>1623.2</v>
      </c>
      <c r="E10" s="36">
        <v>0</v>
      </c>
      <c r="F10" s="38">
        <f>D10*E10</f>
        <v>0</v>
      </c>
    </row>
    <row r="11" spans="1:6" ht="30" customHeight="1" x14ac:dyDescent="0.3">
      <c r="A11" s="31" t="s">
        <v>29</v>
      </c>
      <c r="B11" s="34" t="s">
        <v>57</v>
      </c>
      <c r="C11" s="35" t="s">
        <v>28</v>
      </c>
      <c r="D11" s="39">
        <f>'C.O. EL PORTAL'!L61</f>
        <v>1198.3</v>
      </c>
      <c r="E11" s="36"/>
      <c r="F11" s="38"/>
    </row>
    <row r="12" spans="1:6" ht="30" customHeight="1" x14ac:dyDescent="0.3">
      <c r="A12" s="31" t="s">
        <v>30</v>
      </c>
      <c r="B12" s="34" t="s">
        <v>56</v>
      </c>
      <c r="C12" s="35" t="s">
        <v>28</v>
      </c>
      <c r="D12" s="39">
        <f>D11</f>
        <v>1198.3</v>
      </c>
      <c r="E12" s="36">
        <v>0</v>
      </c>
      <c r="F12" s="38">
        <f t="shared" ref="F12" si="0">D12*E12</f>
        <v>0</v>
      </c>
    </row>
  </sheetData>
  <mergeCells count="3">
    <mergeCell ref="A2:A5"/>
    <mergeCell ref="B2:B5"/>
    <mergeCell ref="C2:F4"/>
  </mergeCells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C.O. EL PORTAL</vt:lpstr>
      <vt:lpstr>RESUMEN CANTIDADES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 PC</dc:creator>
  <cp:lastModifiedBy>MI PC</cp:lastModifiedBy>
  <cp:lastPrinted>2025-03-05T15:40:08Z</cp:lastPrinted>
  <dcterms:created xsi:type="dcterms:W3CDTF">2025-03-04T12:29:34Z</dcterms:created>
  <dcterms:modified xsi:type="dcterms:W3CDTF">2025-03-07T18:13:12Z</dcterms:modified>
</cp:coreProperties>
</file>