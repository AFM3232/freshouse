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MSSI\OneDrive\Desktop\"/>
    </mc:Choice>
  </mc:AlternateContent>
  <xr:revisionPtr revIDLastSave="0" documentId="13_ncr:1_{83C23610-ABC1-4293-BF9C-39D9707EBA93}" xr6:coauthVersionLast="47" xr6:coauthVersionMax="47" xr10:uidLastSave="{00000000-0000-0000-0000-000000000000}"/>
  <bookViews>
    <workbookView xWindow="-108" yWindow="-108" windowWidth="23256" windowHeight="12456" xr2:uid="{325B0686-2D22-490A-92F5-0D3E9AAE1101}"/>
  </bookViews>
  <sheets>
    <sheet name="formato present oferta" sheetId="1" r:id="rId1"/>
  </sheets>
  <definedNames>
    <definedName name="_xlnm.Print_Area" localSheetId="0">'formato present oferta'!$A$1:$G$28</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1" i="1" l="1"/>
  <c r="G18" i="1"/>
  <c r="G19" i="1"/>
  <c r="G17" i="1"/>
  <c r="G15" i="1"/>
  <c r="G14" i="1"/>
  <c r="G11" i="1"/>
  <c r="G12" i="1"/>
  <c r="G10" i="1"/>
  <c r="G8" i="1"/>
  <c r="G7" i="1"/>
  <c r="G6" i="1" l="1"/>
  <c r="G20" i="1"/>
  <c r="G9" i="1"/>
  <c r="G16" i="1"/>
  <c r="G13" i="1"/>
  <c r="G22" i="1" l="1"/>
  <c r="G25" i="1" s="1"/>
  <c r="G26" i="1" s="1"/>
  <c r="G24" i="1" l="1"/>
  <c r="G23" i="1"/>
  <c r="G27" i="1" l="1"/>
  <c r="G28" i="1" s="1"/>
</calcChain>
</file>

<file path=xl/sharedStrings.xml><?xml version="1.0" encoding="utf-8"?>
<sst xmlns="http://schemas.openxmlformats.org/spreadsheetml/2006/main" count="53" uniqueCount="47">
  <si>
    <t>CAPT</t>
  </si>
  <si>
    <t>ITEMS</t>
  </si>
  <si>
    <t>M2</t>
  </si>
  <si>
    <t>ML</t>
  </si>
  <si>
    <t>IVA/U</t>
  </si>
  <si>
    <t>DESCRIPCION</t>
  </si>
  <si>
    <t>1.0</t>
  </si>
  <si>
    <t>PRELIMINARES</t>
  </si>
  <si>
    <t>TOTALES DIRECTOS</t>
  </si>
  <si>
    <t>Administracion</t>
  </si>
  <si>
    <t>Imprevistos</t>
  </si>
  <si>
    <t>Utilidad</t>
  </si>
  <si>
    <t>TOTAL INDIRECTOS</t>
  </si>
  <si>
    <t>TOTAL PROPUESTA</t>
  </si>
  <si>
    <t>DIRECCION:</t>
  </si>
  <si>
    <t>CALLE 3 NORTE # 18-49 LOCAL 2</t>
  </si>
  <si>
    <t>CODIGO: FH-F-02</t>
  </si>
  <si>
    <t xml:space="preserve"> VERSIÓN: 01</t>
  </si>
  <si>
    <t>CORREO:</t>
  </si>
  <si>
    <t>TELEFONO:</t>
  </si>
  <si>
    <t>+57 310 461 7353</t>
  </si>
  <si>
    <t>UNIDAD</t>
  </si>
  <si>
    <t>CANTIDAD</t>
  </si>
  <si>
    <t>VR UNITARIO</t>
  </si>
  <si>
    <t>VALOR DIRECTO ACTIVIDAD</t>
  </si>
  <si>
    <t>MT2</t>
  </si>
  <si>
    <t>GLB</t>
  </si>
  <si>
    <t>DEMOLICIÓN - PREPARADO DE SUPERFICIE</t>
  </si>
  <si>
    <t>UND</t>
  </si>
  <si>
    <t>IMPERMEABILIZACIÓN/REPARACIÓN DE ACABADOS</t>
  </si>
  <si>
    <t>ACABADO PINTURA</t>
  </si>
  <si>
    <t>TERMINADO Y LIMPIEZA</t>
  </si>
  <si>
    <t xml:space="preserve">Admin@fresh-house.co
Rensomontoya@fresh-house.co                                                                                                                 </t>
  </si>
  <si>
    <t>Construcción de campamento provisional de obra y bodega para los trabajadores | deposito seguro de los materiales en obra</t>
  </si>
  <si>
    <t>Instalación y demarcación de con avisos y señalética necesaria como: salidas vehiculares y peatonales | colocación de señales de precaución caída de objetos, transite con cuidado, instalación de conos y colombinas para demarcar senderos peatonales etc.… toda la implementación del sistema de gestión para la prevención de riesgos laborales</t>
  </si>
  <si>
    <t>Lavado y limpieza de las superficies que presenten hongos en el edificio incluye, ventanas, vidrieras, paredes, la limpieza se realizará el lavado con bactericidas o hipoclorito al 10%, escoba según sea el caso| se debe de lavar todas las superficies de las fachadas del edificio, se debe eliminar polvos y grasas que impidan que los productos a aplicar queden bien adheridos y cumplan con si estabilidad.</t>
  </si>
  <si>
    <t>Levantamiento y remoción de graniplast desprendido en las fachadas del edificio incluye mampostería, concreto y fachadas flotantes, se debe desprender todo graniplast soplado evidenciado a la vista, graniplast suelto por formación de hongos o mal adherido y además se deben retirar sectores complementarios a los afectados para unificar y regularizar las reparaciones</t>
  </si>
  <si>
    <t>Lavado y limpieza de alfajías del edificio, la limpieza se realizará con bactericidas o hipoclorito al 10% y raspado con grata de acero o equipo de presión</t>
  </si>
  <si>
    <t>Se sellará de manera manual en todo el perímetro del marco de la ventaneria y se aplicará soudal</t>
  </si>
  <si>
    <t>Tratamiento para las dilataciones del edificio, dilataciones de la mampostería en ladrillo y concreto (vigas) incluye tratamiento con pintucofill 7 años no solo en la dilatación sino un área de 5cm hacia la parte superior de la dilatación y 5cm hacia la parte inferior, para los casos que lo requieran se reparara con estuka pañete de Sika y acabado con graniplast de Pintuco</t>
  </si>
  <si>
    <t>Resanes en zonas necesarias en los cuales se realizará aplicación de imprimante, posterior aplicación de impatextura, aplicación de hidrofugo pintucofill 7 años</t>
  </si>
  <si>
    <t>Suministro y aplicación de pintura koraza pro 550 sobre todas las fachadas del edificio a dos manos teniendo en cuenta un mínimo de 3 horas entre manos para proteger uniformemente todas las superficies del edificio. Incluye la aplicación de colores específicos según los diseños presentados, aplicación de pintura sobre todas las paredes de las fachadas, cielo raso de balcones, fachadas flotantes.</t>
  </si>
  <si>
    <t>Aseo general y retiro de pintura.</t>
  </si>
  <si>
    <t xml:space="preserve">  FECHA: 04/02/2025</t>
  </si>
  <si>
    <t xml:space="preserve">  VALIDO HASTA: 04/05/2025</t>
  </si>
  <si>
    <t>Suministro y aplicación de Siliconite de Pintuco sobre ladrillos a la vista como protección, siguiendo ficha tecnica de fabricante.</t>
  </si>
  <si>
    <t>COTIZACION OBRA - EDIFICIO EL PORTAL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</si>
</sst>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43" formatCode="_-* #,##0.00_-;\-* #,##0.00_-;_-* &quot;-&quot;??_-;_-@_-"/>
    <numFmt numFmtId="164" formatCode="_-&quot;$&quot;\ * #,##0_-;\-&quot;$&quot;\ * #,##0_-;_-&quot;$&quot;\ * &quot;-&quot;??_-;_-@_-"/>
    <numFmt numFmtId="165" formatCode="0.0"/>
  </numFmts>
  <fonts count="8" x14ac:knownFonts="1">
    <font>
      <sz val="11"/>
      <color theme="1"/>
      <name val="Calibri"/>
      <family val="2"/>
      <scheme val="minor"/>
    </font>
    <font>
      <sz val="11"/>
      <color theme="1"/>
      <name val="Calibri"/>
      <family val="2"/>
      <scheme val="minor"/>
    </font>
    <font>
      <sz val="8"/>
      <name val="Calibri"/>
      <family val="2"/>
      <scheme val="minor"/>
    </font>
    <font>
      <b/>
      <sz val="12"/>
      <color theme="1"/>
      <name val="Century Gothic"/>
      <family val="2"/>
    </font>
    <font>
      <sz val="10"/>
      <color theme="1"/>
      <name val="Calibri"/>
      <family val="2"/>
      <scheme val="minor"/>
    </font>
    <font>
      <sz val="12"/>
      <color theme="1"/>
      <name val="Century Gothic"/>
      <family val="2"/>
    </font>
    <font>
      <b/>
      <sz val="12"/>
      <color rgb="FF000000"/>
      <name val="Century Gothic"/>
      <family val="2"/>
    </font>
    <font>
      <sz val="12"/>
      <color rgb="FF000000"/>
      <name val="Century Gothic"/>
      <family val="2"/>
    </font>
  </fonts>
  <fills count="5">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5" tint="0.59999389629810485"/>
        <bgColor indexed="64"/>
      </patternFill>
    </fill>
  </fills>
  <borders count="22">
    <border>
      <left/>
      <right/>
      <top/>
      <bottom/>
      <diagonal/>
    </border>
    <border>
      <left style="thin">
        <color rgb="FF505050"/>
      </left>
      <right style="thin">
        <color rgb="FF505050"/>
      </right>
      <top style="thin">
        <color rgb="FF505050"/>
      </top>
      <bottom style="thin">
        <color rgb="FF505050"/>
      </bottom>
      <diagonal/>
    </border>
    <border>
      <left style="thin">
        <color rgb="FF505050"/>
      </left>
      <right style="thin">
        <color rgb="FF505050"/>
      </right>
      <top/>
      <bottom style="thin">
        <color rgb="FF505050"/>
      </bottom>
      <diagonal/>
    </border>
    <border>
      <left/>
      <right style="thin">
        <color rgb="FF505050"/>
      </right>
      <top style="thin">
        <color rgb="FF505050"/>
      </top>
      <bottom style="thin">
        <color rgb="FF505050"/>
      </bottom>
      <diagonal/>
    </border>
    <border>
      <left/>
      <right style="thin">
        <color rgb="FF505050"/>
      </right>
      <top/>
      <bottom style="thin">
        <color rgb="FF505050"/>
      </bottom>
      <diagonal/>
    </border>
    <border>
      <left style="thin">
        <color rgb="FF505050"/>
      </left>
      <right/>
      <top style="thin">
        <color rgb="FF505050"/>
      </top>
      <bottom style="thin">
        <color rgb="FF50505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505050"/>
      </left>
      <right/>
      <top style="thin">
        <color rgb="FF505050"/>
      </top>
      <bottom style="thin">
        <color indexed="64"/>
      </bottom>
      <diagonal/>
    </border>
    <border>
      <left/>
      <right/>
      <top style="thin">
        <color rgb="FF505050"/>
      </top>
      <bottom style="thin">
        <color indexed="64"/>
      </bottom>
      <diagonal/>
    </border>
    <border>
      <left/>
      <right style="thin">
        <color rgb="FF505050"/>
      </right>
      <top style="thin">
        <color rgb="FF505050"/>
      </top>
      <bottom style="thin">
        <color indexed="64"/>
      </bottom>
      <diagonal/>
    </border>
    <border>
      <left style="thin">
        <color rgb="FF505050"/>
      </left>
      <right/>
      <top style="thin">
        <color rgb="FF505050"/>
      </top>
      <bottom/>
      <diagonal/>
    </border>
    <border>
      <left/>
      <right/>
      <top style="thin">
        <color rgb="FF50505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rgb="FF505050"/>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3" fillId="0" borderId="6" xfId="0" applyFont="1" applyBorder="1" applyAlignment="1">
      <alignment horizontal="center" vertical="center" wrapText="1"/>
    </xf>
    <xf numFmtId="164" fontId="5" fillId="2" borderId="1" xfId="0" applyNumberFormat="1" applyFont="1" applyFill="1" applyBorder="1" applyAlignment="1">
      <alignment horizontal="left" vertical="center" wrapText="1"/>
    </xf>
    <xf numFmtId="164" fontId="5" fillId="0" borderId="6" xfId="0" applyNumberFormat="1" applyFont="1" applyBorder="1" applyAlignment="1">
      <alignment horizontal="left" vertical="center" wrapText="1"/>
    </xf>
    <xf numFmtId="164" fontId="5" fillId="0" borderId="3" xfId="0" applyNumberFormat="1" applyFont="1" applyBorder="1" applyAlignment="1">
      <alignment horizontal="left" vertical="center" wrapText="1"/>
    </xf>
    <xf numFmtId="164" fontId="5" fillId="0" borderId="1" xfId="0" applyNumberFormat="1" applyFont="1" applyBorder="1" applyAlignment="1">
      <alignment horizontal="left" vertical="center" wrapText="1"/>
    </xf>
    <xf numFmtId="0" fontId="5" fillId="0" borderId="0" xfId="0" applyFont="1" applyAlignment="1">
      <alignment horizontal="center" vertical="center"/>
    </xf>
    <xf numFmtId="0" fontId="5" fillId="0" borderId="0" xfId="0" applyFont="1" applyAlignment="1">
      <alignment vertical="center"/>
    </xf>
    <xf numFmtId="164" fontId="5" fillId="2" borderId="4" xfId="0" applyNumberFormat="1" applyFont="1" applyFill="1" applyBorder="1" applyAlignment="1">
      <alignment vertical="center"/>
    </xf>
    <xf numFmtId="9" fontId="5" fillId="0" borderId="6" xfId="3" applyFont="1" applyFill="1" applyBorder="1" applyAlignment="1">
      <alignment horizontal="center" vertical="center"/>
    </xf>
    <xf numFmtId="164" fontId="5" fillId="0" borderId="3" xfId="2" applyNumberFormat="1" applyFont="1" applyFill="1" applyBorder="1" applyAlignment="1">
      <alignment vertical="center"/>
    </xf>
    <xf numFmtId="164" fontId="5" fillId="2" borderId="3" xfId="0" applyNumberFormat="1" applyFont="1" applyFill="1" applyBorder="1" applyAlignment="1">
      <alignment vertical="center"/>
    </xf>
    <xf numFmtId="164" fontId="3" fillId="3" borderId="3" xfId="0" applyNumberFormat="1" applyFont="1" applyFill="1" applyBorder="1" applyAlignment="1">
      <alignment vertical="center"/>
    </xf>
    <xf numFmtId="0" fontId="3" fillId="4" borderId="2" xfId="0" applyFont="1" applyFill="1" applyBorder="1" applyAlignment="1">
      <alignment horizontal="center" vertical="center" wrapText="1"/>
    </xf>
    <xf numFmtId="0" fontId="5" fillId="0" borderId="6" xfId="0" applyFont="1" applyBorder="1" applyAlignment="1">
      <alignment horizontal="center" vertical="center" wrapText="1"/>
    </xf>
    <xf numFmtId="43" fontId="5" fillId="0" borderId="6" xfId="1" applyFont="1" applyFill="1" applyBorder="1" applyAlignment="1">
      <alignment vertical="center" wrapText="1"/>
    </xf>
    <xf numFmtId="0" fontId="3" fillId="2" borderId="14" xfId="0" applyFont="1" applyFill="1" applyBorder="1" applyAlignment="1">
      <alignment vertical="center" wrapText="1"/>
    </xf>
    <xf numFmtId="43" fontId="3" fillId="2" borderId="14" xfId="0" applyNumberFormat="1" applyFont="1" applyFill="1" applyBorder="1" applyAlignment="1">
      <alignment vertical="center" wrapText="1"/>
    </xf>
    <xf numFmtId="43" fontId="5" fillId="0" borderId="1" xfId="1" applyFont="1" applyFill="1" applyBorder="1" applyAlignment="1">
      <alignment vertical="center" wrapText="1"/>
    </xf>
    <xf numFmtId="43" fontId="5" fillId="0" borderId="3" xfId="1" applyFont="1" applyFill="1" applyBorder="1" applyAlignment="1">
      <alignment vertical="center" wrapText="1"/>
    </xf>
    <xf numFmtId="165" fontId="3" fillId="2" borderId="13" xfId="0" applyNumberFormat="1" applyFont="1" applyFill="1" applyBorder="1" applyAlignment="1">
      <alignment horizontal="center" vertical="center" wrapText="1"/>
    </xf>
    <xf numFmtId="0" fontId="5" fillId="2" borderId="0" xfId="0" applyFont="1" applyFill="1" applyAlignment="1">
      <alignment vertical="center" wrapText="1"/>
    </xf>
    <xf numFmtId="0" fontId="3" fillId="0" borderId="1" xfId="0" applyFont="1" applyBorder="1" applyAlignment="1">
      <alignment horizontal="center" vertical="center" wrapText="1"/>
    </xf>
    <xf numFmtId="0" fontId="6" fillId="0" borderId="6" xfId="0" applyFont="1" applyBorder="1" applyAlignment="1">
      <alignment horizontal="center" vertical="center" wrapText="1"/>
    </xf>
    <xf numFmtId="0" fontId="6" fillId="0" borderId="2" xfId="0" applyFont="1" applyBorder="1" applyAlignment="1">
      <alignment horizontal="center" vertical="center" wrapText="1"/>
    </xf>
    <xf numFmtId="0" fontId="3" fillId="2" borderId="0" xfId="0" applyFont="1" applyFill="1" applyAlignment="1">
      <alignment vertical="center" wrapText="1"/>
    </xf>
    <xf numFmtId="0" fontId="5" fillId="0" borderId="7" xfId="0" applyFont="1" applyBorder="1" applyAlignment="1">
      <alignment horizontal="center" vertical="center" wrapText="1"/>
    </xf>
    <xf numFmtId="0" fontId="5"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21" xfId="0" applyFont="1" applyBorder="1" applyAlignment="1">
      <alignment horizontal="center" vertical="center" wrapText="1"/>
    </xf>
    <xf numFmtId="0" fontId="5" fillId="0" borderId="8" xfId="0" applyFont="1" applyBorder="1" applyAlignment="1">
      <alignment horizontal="center" vertical="center" wrapText="1"/>
    </xf>
    <xf numFmtId="0" fontId="5" fillId="0" borderId="3" xfId="0" applyFont="1" applyBorder="1" applyAlignment="1">
      <alignment horizontal="center" vertical="center" wrapText="1"/>
    </xf>
    <xf numFmtId="0" fontId="7" fillId="0" borderId="8" xfId="0" applyFont="1" applyBorder="1" applyAlignment="1">
      <alignment horizontal="center" vertical="center" wrapText="1"/>
    </xf>
    <xf numFmtId="0" fontId="3" fillId="2" borderId="6" xfId="0" applyFont="1" applyFill="1" applyBorder="1" applyAlignment="1">
      <alignment vertical="center" wrapText="1"/>
    </xf>
    <xf numFmtId="0" fontId="7" fillId="0" borderId="6" xfId="0" applyFont="1" applyBorder="1" applyAlignment="1">
      <alignment vertical="center" wrapText="1"/>
    </xf>
    <xf numFmtId="0" fontId="3" fillId="3" borderId="7"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8"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8" xfId="0" applyFont="1" applyFill="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4" borderId="10"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43" fontId="3" fillId="2" borderId="7" xfId="1" applyFont="1" applyFill="1" applyBorder="1" applyAlignment="1">
      <alignment horizontal="center" vertical="center"/>
    </xf>
    <xf numFmtId="43" fontId="3" fillId="2" borderId="9" xfId="1" applyFont="1" applyFill="1" applyBorder="1" applyAlignment="1">
      <alignment horizontal="center" vertical="center"/>
    </xf>
    <xf numFmtId="43" fontId="3" fillId="2" borderId="8" xfId="1" applyFont="1" applyFill="1" applyBorder="1" applyAlignment="1">
      <alignment horizontal="center" vertical="center"/>
    </xf>
  </cellXfs>
  <cellStyles count="4">
    <cellStyle name="Millares" xfId="1" builtinId="3"/>
    <cellStyle name="Moneda" xfId="2" builtinId="4"/>
    <cellStyle name="Normal" xfId="0" builtinId="0"/>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177801</xdr:colOff>
      <xdr:row>1</xdr:row>
      <xdr:rowOff>76200</xdr:rowOff>
    </xdr:from>
    <xdr:to>
      <xdr:col>6</xdr:col>
      <xdr:colOff>1104901</xdr:colOff>
      <xdr:row>3</xdr:row>
      <xdr:rowOff>160437</xdr:rowOff>
    </xdr:to>
    <xdr:pic>
      <xdr:nvPicPr>
        <xdr:cNvPr id="3" name="Imagen 2">
          <a:extLst>
            <a:ext uri="{FF2B5EF4-FFF2-40B4-BE49-F238E27FC236}">
              <a16:creationId xmlns:a16="http://schemas.microsoft.com/office/drawing/2014/main" id="{359B59D5-B26C-E1BA-9849-F968261D07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3301" y="355600"/>
          <a:ext cx="1968500" cy="782737"/>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tabSelected="1" zoomScale="60" zoomScaleNormal="60" workbookViewId="0">
      <selection activeCell="A2" sqref="A2:B2"/>
    </sheetView>
  </sheetViews>
  <sheetFormatPr baseColWidth="10" defaultColWidth="12.33203125" defaultRowHeight="13.8" x14ac:dyDescent="0.3"/>
  <cols>
    <col min="1" max="1" width="8.5546875" style="2" customWidth="1"/>
    <col min="2" max="2" width="8.33203125" style="1" customWidth="1"/>
    <col min="3" max="3" width="77.6640625" style="1" customWidth="1"/>
    <col min="4" max="4" width="20.109375" style="1" bestFit="1" customWidth="1"/>
    <col min="5" max="5" width="14.77734375" style="1" bestFit="1" customWidth="1"/>
    <col min="6" max="6" width="15.109375" style="1" bestFit="1" customWidth="1"/>
    <col min="7" max="7" width="18.44140625" style="1" bestFit="1" customWidth="1"/>
    <col min="8" max="8" width="25.5546875" style="1" customWidth="1"/>
    <col min="9" max="16384" width="12.33203125" style="1"/>
  </cols>
  <sheetData>
    <row r="1" spans="1:8" ht="22.5" customHeight="1" x14ac:dyDescent="0.3">
      <c r="A1" s="45" t="s">
        <v>46</v>
      </c>
      <c r="B1" s="46"/>
      <c r="C1" s="46"/>
      <c r="D1" s="46"/>
      <c r="E1" s="46"/>
      <c r="F1" s="46"/>
      <c r="G1" s="47"/>
    </row>
    <row r="2" spans="1:8" ht="25.2" customHeight="1" x14ac:dyDescent="0.3">
      <c r="A2" s="48" t="s">
        <v>14</v>
      </c>
      <c r="B2" s="49"/>
      <c r="C2" s="3" t="s">
        <v>15</v>
      </c>
      <c r="D2" s="3" t="s">
        <v>16</v>
      </c>
      <c r="E2" s="3" t="s">
        <v>17</v>
      </c>
      <c r="F2" s="50"/>
      <c r="G2" s="51"/>
    </row>
    <row r="3" spans="1:8" ht="30" x14ac:dyDescent="0.3">
      <c r="A3" s="48" t="s">
        <v>18</v>
      </c>
      <c r="B3" s="49"/>
      <c r="C3" s="3" t="s">
        <v>32</v>
      </c>
      <c r="D3" s="48" t="s">
        <v>43</v>
      </c>
      <c r="E3" s="49"/>
      <c r="F3" s="52"/>
      <c r="G3" s="53"/>
      <c r="H3"/>
    </row>
    <row r="4" spans="1:8" ht="22.5" customHeight="1" x14ac:dyDescent="0.3">
      <c r="A4" s="48" t="s">
        <v>19</v>
      </c>
      <c r="B4" s="49"/>
      <c r="C4" s="3" t="s">
        <v>20</v>
      </c>
      <c r="D4" s="48" t="s">
        <v>44</v>
      </c>
      <c r="E4" s="49"/>
      <c r="F4" s="54"/>
      <c r="G4" s="55"/>
      <c r="H4"/>
    </row>
    <row r="5" spans="1:8" ht="30" x14ac:dyDescent="0.3">
      <c r="A5" s="15" t="s">
        <v>0</v>
      </c>
      <c r="B5" s="15" t="s">
        <v>1</v>
      </c>
      <c r="C5" s="15" t="s">
        <v>5</v>
      </c>
      <c r="D5" s="15" t="s">
        <v>21</v>
      </c>
      <c r="E5" s="15" t="s">
        <v>22</v>
      </c>
      <c r="F5" s="15" t="s">
        <v>23</v>
      </c>
      <c r="G5" s="15" t="s">
        <v>24</v>
      </c>
      <c r="H5"/>
    </row>
    <row r="6" spans="1:8" ht="23.25" customHeight="1" x14ac:dyDescent="0.3">
      <c r="A6" s="22" t="s">
        <v>6</v>
      </c>
      <c r="B6" s="18"/>
      <c r="C6" s="18" t="s">
        <v>7</v>
      </c>
      <c r="D6" s="18"/>
      <c r="E6" s="18"/>
      <c r="F6" s="18"/>
      <c r="G6" s="4">
        <f>SUM(G7:G8)</f>
        <v>100000</v>
      </c>
    </row>
    <row r="7" spans="1:8" ht="30" x14ac:dyDescent="0.3">
      <c r="A7" s="16"/>
      <c r="B7" s="28">
        <v>1.1000000000000001</v>
      </c>
      <c r="C7" s="36" t="s">
        <v>33</v>
      </c>
      <c r="D7" s="32" t="s">
        <v>28</v>
      </c>
      <c r="E7" s="17">
        <v>1</v>
      </c>
      <c r="F7" s="5">
        <v>0</v>
      </c>
      <c r="G7" s="6">
        <f>F7*E7</f>
        <v>0</v>
      </c>
    </row>
    <row r="8" spans="1:8" ht="90" x14ac:dyDescent="0.3">
      <c r="A8" s="16"/>
      <c r="B8" s="28">
        <v>1.2</v>
      </c>
      <c r="C8" s="36" t="s">
        <v>34</v>
      </c>
      <c r="D8" s="32" t="s">
        <v>26</v>
      </c>
      <c r="E8" s="17">
        <v>1</v>
      </c>
      <c r="F8" s="5">
        <v>100000</v>
      </c>
      <c r="G8" s="6">
        <f t="shared" ref="G8" si="0">F8*E8</f>
        <v>100000</v>
      </c>
    </row>
    <row r="9" spans="1:8" ht="23.25" customHeight="1" x14ac:dyDescent="0.3">
      <c r="A9" s="22">
        <v>2</v>
      </c>
      <c r="B9" s="23"/>
      <c r="C9" s="35" t="s">
        <v>27</v>
      </c>
      <c r="D9" s="18"/>
      <c r="E9" s="19"/>
      <c r="F9" s="18"/>
      <c r="G9" s="4">
        <f>SUM(G10:G12)</f>
        <v>9241189.2000000011</v>
      </c>
    </row>
    <row r="10" spans="1:8" ht="105" x14ac:dyDescent="0.3">
      <c r="A10" s="24"/>
      <c r="B10" s="29">
        <v>2.1</v>
      </c>
      <c r="C10" s="36" t="s">
        <v>35</v>
      </c>
      <c r="D10" s="33" t="s">
        <v>25</v>
      </c>
      <c r="E10" s="20">
        <v>2611.86</v>
      </c>
      <c r="F10" s="7">
        <v>3220</v>
      </c>
      <c r="G10" s="6">
        <f>F10*E10</f>
        <v>8410189.2000000011</v>
      </c>
    </row>
    <row r="11" spans="1:8" ht="90" x14ac:dyDescent="0.3">
      <c r="A11" s="24"/>
      <c r="B11" s="29">
        <v>2.2000000000000002</v>
      </c>
      <c r="C11" s="36" t="s">
        <v>36</v>
      </c>
      <c r="D11" s="33" t="s">
        <v>25</v>
      </c>
      <c r="E11" s="20">
        <v>150</v>
      </c>
      <c r="F11" s="7">
        <v>4000</v>
      </c>
      <c r="G11" s="6">
        <f t="shared" ref="G11:G12" si="1">F11*E11</f>
        <v>600000</v>
      </c>
    </row>
    <row r="12" spans="1:8" ht="45" x14ac:dyDescent="0.3">
      <c r="A12" s="24"/>
      <c r="B12" s="29">
        <v>2.2999999999999998</v>
      </c>
      <c r="C12" s="36" t="s">
        <v>37</v>
      </c>
      <c r="D12" s="33" t="s">
        <v>3</v>
      </c>
      <c r="E12" s="20">
        <v>110</v>
      </c>
      <c r="F12" s="7">
        <v>2100</v>
      </c>
      <c r="G12" s="6">
        <f t="shared" si="1"/>
        <v>231000</v>
      </c>
    </row>
    <row r="13" spans="1:8" ht="21" customHeight="1" x14ac:dyDescent="0.3">
      <c r="A13" s="22">
        <v>3</v>
      </c>
      <c r="B13" s="23"/>
      <c r="C13" s="35" t="s">
        <v>29</v>
      </c>
      <c r="D13" s="18"/>
      <c r="E13" s="18"/>
      <c r="F13" s="18"/>
      <c r="G13" s="4">
        <f>SUM(G14:G15)</f>
        <v>16279720</v>
      </c>
    </row>
    <row r="14" spans="1:8" ht="30" x14ac:dyDescent="0.3">
      <c r="A14" s="25"/>
      <c r="B14" s="30">
        <v>3.1</v>
      </c>
      <c r="C14" s="36" t="s">
        <v>38</v>
      </c>
      <c r="D14" s="34" t="s">
        <v>3</v>
      </c>
      <c r="E14" s="21">
        <v>1198.3</v>
      </c>
      <c r="F14" s="7">
        <v>6000</v>
      </c>
      <c r="G14" s="6">
        <f>F14*E14</f>
        <v>7189800</v>
      </c>
    </row>
    <row r="15" spans="1:8" ht="90" x14ac:dyDescent="0.3">
      <c r="A15" s="26"/>
      <c r="B15" s="31">
        <v>3.2</v>
      </c>
      <c r="C15" s="36" t="s">
        <v>39</v>
      </c>
      <c r="D15" s="34" t="s">
        <v>3</v>
      </c>
      <c r="E15" s="21">
        <v>1623.2</v>
      </c>
      <c r="F15" s="6">
        <v>5600</v>
      </c>
      <c r="G15" s="6">
        <f>F15*E15</f>
        <v>9089920</v>
      </c>
    </row>
    <row r="16" spans="1:8" ht="23.25" customHeight="1" x14ac:dyDescent="0.3">
      <c r="A16" s="22">
        <v>4</v>
      </c>
      <c r="B16" s="23"/>
      <c r="C16" s="35" t="s">
        <v>30</v>
      </c>
      <c r="D16" s="27"/>
      <c r="E16" s="19"/>
      <c r="F16" s="18"/>
      <c r="G16" s="4">
        <f>SUM(G17:G19)</f>
        <v>37444550</v>
      </c>
    </row>
    <row r="17" spans="1:7" ht="45" x14ac:dyDescent="0.3">
      <c r="A17" s="25"/>
      <c r="B17" s="30">
        <v>4.0999999999999996</v>
      </c>
      <c r="C17" s="36" t="s">
        <v>40</v>
      </c>
      <c r="D17" s="34" t="s">
        <v>25</v>
      </c>
      <c r="E17" s="17">
        <v>150</v>
      </c>
      <c r="F17" s="5">
        <v>36000</v>
      </c>
      <c r="G17" s="6">
        <f>F17*E17</f>
        <v>5400000</v>
      </c>
    </row>
    <row r="18" spans="1:7" ht="105" x14ac:dyDescent="0.3">
      <c r="A18" s="25"/>
      <c r="B18" s="30">
        <v>4.2</v>
      </c>
      <c r="C18" s="36" t="s">
        <v>41</v>
      </c>
      <c r="D18" s="34" t="s">
        <v>25</v>
      </c>
      <c r="E18" s="17">
        <v>1046.3599999999999</v>
      </c>
      <c r="F18" s="5">
        <v>17500</v>
      </c>
      <c r="G18" s="6">
        <f t="shared" ref="G18:G19" si="2">F18*E18</f>
        <v>18311300</v>
      </c>
    </row>
    <row r="19" spans="1:7" ht="30" x14ac:dyDescent="0.3">
      <c r="A19" s="25"/>
      <c r="B19" s="30">
        <v>4.3</v>
      </c>
      <c r="C19" s="36" t="s">
        <v>45</v>
      </c>
      <c r="D19" s="34" t="s">
        <v>2</v>
      </c>
      <c r="E19" s="17">
        <v>915.55</v>
      </c>
      <c r="F19" s="5">
        <v>15000</v>
      </c>
      <c r="G19" s="6">
        <f t="shared" si="2"/>
        <v>13733250</v>
      </c>
    </row>
    <row r="20" spans="1:7" ht="23.25" customHeight="1" x14ac:dyDescent="0.3">
      <c r="A20" s="22">
        <v>5</v>
      </c>
      <c r="B20" s="23"/>
      <c r="C20" s="35" t="s">
        <v>31</v>
      </c>
      <c r="D20" s="27"/>
      <c r="E20" s="19"/>
      <c r="F20" s="18"/>
      <c r="G20" s="4">
        <f>SUM(G21:G21)</f>
        <v>250000</v>
      </c>
    </row>
    <row r="21" spans="1:7" ht="27" customHeight="1" x14ac:dyDescent="0.3">
      <c r="A21" s="25"/>
      <c r="B21" s="30">
        <v>5.0999999999999996</v>
      </c>
      <c r="C21" s="36" t="s">
        <v>42</v>
      </c>
      <c r="D21" s="34" t="s">
        <v>28</v>
      </c>
      <c r="E21" s="17">
        <v>1</v>
      </c>
      <c r="F21" s="5">
        <v>250000</v>
      </c>
      <c r="G21" s="6">
        <f>F21*E21</f>
        <v>250000</v>
      </c>
    </row>
    <row r="22" spans="1:7" ht="21" customHeight="1" x14ac:dyDescent="0.3">
      <c r="A22" s="8"/>
      <c r="B22" s="9"/>
      <c r="C22" s="9"/>
      <c r="D22" s="56" t="s">
        <v>8</v>
      </c>
      <c r="E22" s="57"/>
      <c r="F22" s="58"/>
      <c r="G22" s="10">
        <f>+G20+G16+G13+G9+G6</f>
        <v>63315459.200000003</v>
      </c>
    </row>
    <row r="23" spans="1:7" ht="21.75" customHeight="1" x14ac:dyDescent="0.3">
      <c r="A23" s="8"/>
      <c r="B23" s="9"/>
      <c r="C23" s="9"/>
      <c r="D23" s="43" t="s">
        <v>9</v>
      </c>
      <c r="E23" s="44"/>
      <c r="F23" s="11">
        <v>0.1</v>
      </c>
      <c r="G23" s="12">
        <f>+$G$22*F23</f>
        <v>6331545.9200000009</v>
      </c>
    </row>
    <row r="24" spans="1:7" ht="21.75" customHeight="1" x14ac:dyDescent="0.3">
      <c r="A24" s="8"/>
      <c r="B24" s="9"/>
      <c r="C24" s="9"/>
      <c r="D24" s="43" t="s">
        <v>10</v>
      </c>
      <c r="E24" s="44"/>
      <c r="F24" s="11">
        <v>0.05</v>
      </c>
      <c r="G24" s="12">
        <f>+$G$22*F24</f>
        <v>3165772.9600000004</v>
      </c>
    </row>
    <row r="25" spans="1:7" ht="21.75" customHeight="1" x14ac:dyDescent="0.3">
      <c r="A25" s="8"/>
      <c r="B25" s="9"/>
      <c r="C25" s="9"/>
      <c r="D25" s="43" t="s">
        <v>11</v>
      </c>
      <c r="E25" s="44"/>
      <c r="F25" s="11">
        <v>0.05</v>
      </c>
      <c r="G25" s="12">
        <f>+$G$22*F25</f>
        <v>3165772.9600000004</v>
      </c>
    </row>
    <row r="26" spans="1:7" ht="21.75" customHeight="1" x14ac:dyDescent="0.3">
      <c r="A26" s="8"/>
      <c r="B26" s="9"/>
      <c r="C26" s="9"/>
      <c r="D26" s="43" t="s">
        <v>4</v>
      </c>
      <c r="E26" s="44"/>
      <c r="F26" s="11">
        <v>0.19</v>
      </c>
      <c r="G26" s="12">
        <f>+G25*F26</f>
        <v>601496.8624000001</v>
      </c>
    </row>
    <row r="27" spans="1:7" ht="21.75" customHeight="1" x14ac:dyDescent="0.3">
      <c r="A27" s="8"/>
      <c r="B27" s="9"/>
      <c r="C27" s="9"/>
      <c r="D27" s="40" t="s">
        <v>12</v>
      </c>
      <c r="E27" s="41"/>
      <c r="F27" s="42"/>
      <c r="G27" s="13">
        <f>+G23+G24+G25+G26</f>
        <v>13264588.702400003</v>
      </c>
    </row>
    <row r="28" spans="1:7" ht="21.75" customHeight="1" x14ac:dyDescent="0.3">
      <c r="A28" s="8"/>
      <c r="B28" s="9"/>
      <c r="C28" s="9"/>
      <c r="D28" s="37" t="s">
        <v>13</v>
      </c>
      <c r="E28" s="38"/>
      <c r="F28" s="39"/>
      <c r="G28" s="14">
        <f>+G22+G27</f>
        <v>76580047.902400002</v>
      </c>
    </row>
    <row r="29" spans="1:7" ht="21.75" customHeight="1" x14ac:dyDescent="0.3"/>
  </sheetData>
  <mergeCells count="14">
    <mergeCell ref="D28:F28"/>
    <mergeCell ref="D27:F27"/>
    <mergeCell ref="D26:E26"/>
    <mergeCell ref="A1:G1"/>
    <mergeCell ref="D25:E25"/>
    <mergeCell ref="D24:E24"/>
    <mergeCell ref="D23:E23"/>
    <mergeCell ref="A2:B2"/>
    <mergeCell ref="A3:B3"/>
    <mergeCell ref="D3:E3"/>
    <mergeCell ref="A4:B4"/>
    <mergeCell ref="D4:E4"/>
    <mergeCell ref="F2:G4"/>
    <mergeCell ref="D22:F22"/>
  </mergeCells>
  <phoneticPr fontId="2" type="noConversion"/>
  <pageMargins left="0.23622047244094491" right="3.937007874015748E-2" top="0.35433070866141736" bottom="0.35433070866141736" header="0.11811023622047245" footer="0.11811023622047245"/>
  <pageSetup scale="69" orientation="portrait" r:id="rId1"/>
  <rowBreaks count="1" manualBreakCount="1">
    <brk id="28" max="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formato present oferta</vt:lpstr>
      <vt:lpstr>'formato present oferta'!Área_de_impresión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Andrés Felipe Montoya Osorio</cp:lastModifiedBy>
  <cp:revision/>
  <cp:lastPrinted>2024-09-20T23:06:03Z</cp:lastPrinted>
  <dcterms:created xsi:type="dcterms:W3CDTF">2024-02-08T21:06:52Z</dcterms:created>
  <dcterms:modified xsi:type="dcterms:W3CDTF">2025-03-21T16:24:43Z</dcterms:modified>
  <cp:category/>
  <cp:contentStatus/>
</cp:coreProperties>
</file>