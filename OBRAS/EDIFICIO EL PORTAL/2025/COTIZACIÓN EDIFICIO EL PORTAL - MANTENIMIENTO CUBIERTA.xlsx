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8_{40A8D10E-B65C-4F9D-9F3A-FE612E507298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6" i="1" s="1"/>
  <c r="G14" i="1" s="1"/>
  <c r="G10" i="1"/>
  <c r="G9" i="1"/>
  <c r="G13" i="1" l="1"/>
  <c r="G8" i="1"/>
  <c r="G7" i="1"/>
  <c r="G12" i="1" l="1"/>
  <c r="G17" i="1" l="1"/>
  <c r="G18" i="1" s="1"/>
  <c r="G16" i="1" l="1"/>
  <c r="G15" i="1"/>
  <c r="G19" i="1" l="1"/>
  <c r="G20" i="1" s="1"/>
</calcChain>
</file>

<file path=xl/sharedStrings.xml><?xml version="1.0" encoding="utf-8"?>
<sst xmlns="http://schemas.openxmlformats.org/spreadsheetml/2006/main" count="40" uniqueCount="36">
  <si>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</si>
  <si>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</si>
  <si>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</si>
  <si>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</si>
  <si>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</si>
  <si>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</si>
  <si>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</si>
  <si>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</si>
  <si>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</si>
  <si>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</si>
  <si>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</si>
  <si>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</si>
  <si>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</si>
  <si>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</si>
  <si>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</si>
  <si>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</si>
  <si>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</si>
  <si>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</si>
  <si>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</si>
  <si>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</si>
  <si>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</si>
  <si>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</si>
  <si>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</si>
  <si>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</si>
  <si>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</si>
  <si>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</si>
  <si>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</si>
  <si>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</si>
  <si>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Aseo general y retiro de pintura.</t>
  </si>
  <si>
    <t>COTIZACION OBRA - EDIFICIO EL PORTAL</t>
  </si>
  <si>
    <t xml:space="preserve">  FECHA: 10/03/2025</t>
  </si>
  <si>
    <t xml:space="preserve">  VALIDO HASTA: 10/06/2025</t>
  </si>
  <si>
    <t>Impermeabilización de canales con Pintucofill de Pintuco y aplicación de tela de refuerzo</t>
  </si>
  <si>
    <t>Suministro e instalación de teja, retiro y disposición final de tejas retiradas.</t>
  </si>
  <si>
    <t>Cambio de dos vidrios en claraboyas que presentan rupturas</t>
  </si>
  <si>
    <t>Sello de amarras y flanches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</si>
</sst>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9" fontId="5" fillId="0" borderId="4" xfId="3" applyFont="1" applyFill="1" applyBorder="1" applyAlignment="1">
      <alignment horizontal="center" vertical="center"/>
    </xf>
    <xf numFmtId="164" fontId="5" fillId="0" borderId="2" xfId="2" applyNumberFormat="1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43" fontId="5" fillId="0" borderId="4" xfId="1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43" fontId="3" fillId="2" borderId="5" xfId="1" applyFont="1" applyFill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3" fontId="3" fillId="2" borderId="6" xfId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165" fontId="3" fillId="2" borderId="18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vertical="center" wrapText="1"/>
    </xf>
    <xf numFmtId="43" fontId="3" fillId="2" borderId="0" xfId="0" applyNumberFormat="1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lef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60" zoomScaleNormal="60" workbookViewId="0">
      <selection activeCell="F12" sqref="F12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8" ht="22.5" customHeight="1" x14ac:dyDescent="0.3">
      <c r="A1" s="30" t="s">
        <v>29</v>
      </c>
      <c r="B1" s="31"/>
      <c r="C1" s="31"/>
      <c r="D1" s="31"/>
      <c r="E1" s="31"/>
      <c r="F1" s="31"/>
      <c r="G1" s="32"/>
    </row>
    <row r="2" spans="1:8" ht="25.2" customHeight="1" x14ac:dyDescent="0.3">
      <c r="A2" s="33" t="s">
        <v>13</v>
      </c>
      <c r="B2" s="34"/>
      <c r="C2" s="3" t="s">
        <v>14</v>
      </c>
      <c r="D2" s="3" t="s">
        <v>15</v>
      </c>
      <c r="E2" s="3" t="s">
        <v>16</v>
      </c>
      <c r="F2" s="35"/>
      <c r="G2" s="36"/>
    </row>
    <row r="3" spans="1:8" ht="30" x14ac:dyDescent="0.3">
      <c r="A3" s="33" t="s">
        <v>17</v>
      </c>
      <c r="B3" s="34"/>
      <c r="C3" s="3" t="s">
        <v>26</v>
      </c>
      <c r="D3" s="33" t="s">
        <v>30</v>
      </c>
      <c r="E3" s="34"/>
      <c r="F3" s="37"/>
      <c r="G3" s="38"/>
      <c r="H3"/>
    </row>
    <row r="4" spans="1:8" ht="22.5" customHeight="1" x14ac:dyDescent="0.3">
      <c r="A4" s="33" t="s">
        <v>18</v>
      </c>
      <c r="B4" s="34"/>
      <c r="C4" s="3" t="s">
        <v>19</v>
      </c>
      <c r="D4" s="33" t="s">
        <v>31</v>
      </c>
      <c r="E4" s="34"/>
      <c r="F4" s="39"/>
      <c r="G4" s="40"/>
      <c r="H4"/>
    </row>
    <row r="5" spans="1:8" ht="30" x14ac:dyDescent="0.3">
      <c r="A5" s="44" t="s">
        <v>0</v>
      </c>
      <c r="B5" s="44" t="s">
        <v>1</v>
      </c>
      <c r="C5" s="44" t="s">
        <v>4</v>
      </c>
      <c r="D5" s="44" t="s">
        <v>20</v>
      </c>
      <c r="E5" s="44" t="s">
        <v>21</v>
      </c>
      <c r="F5" s="44" t="s">
        <v>22</v>
      </c>
      <c r="G5" s="44" t="s">
        <v>23</v>
      </c>
      <c r="H5"/>
    </row>
    <row r="6" spans="1:8" ht="23.25" customHeight="1" x14ac:dyDescent="0.3">
      <c r="A6" s="50" t="s">
        <v>5</v>
      </c>
      <c r="B6" s="20"/>
      <c r="C6" s="20" t="s">
        <v>6</v>
      </c>
      <c r="D6" s="20"/>
      <c r="E6" s="20"/>
      <c r="F6" s="20"/>
      <c r="G6" s="51">
        <f>SUM(G7:G11)</f>
        <v>8620000</v>
      </c>
    </row>
    <row r="7" spans="1:8" ht="30" x14ac:dyDescent="0.3">
      <c r="A7" s="13"/>
      <c r="B7" s="13">
        <v>1.1000000000000001</v>
      </c>
      <c r="C7" s="21" t="s">
        <v>27</v>
      </c>
      <c r="D7" s="13" t="s">
        <v>24</v>
      </c>
      <c r="E7" s="14">
        <v>1</v>
      </c>
      <c r="F7" s="4">
        <v>0</v>
      </c>
      <c r="G7" s="4">
        <f>F7*E7</f>
        <v>0</v>
      </c>
    </row>
    <row r="8" spans="1:8" ht="30" x14ac:dyDescent="0.3">
      <c r="A8" s="13"/>
      <c r="B8" s="13">
        <v>1.2</v>
      </c>
      <c r="C8" s="21" t="s">
        <v>32</v>
      </c>
      <c r="D8" s="13" t="s">
        <v>2</v>
      </c>
      <c r="E8" s="14">
        <v>40</v>
      </c>
      <c r="F8" s="4">
        <v>80000</v>
      </c>
      <c r="G8" s="4">
        <f t="shared" ref="G8" si="0">F8*E8</f>
        <v>3200000</v>
      </c>
    </row>
    <row r="9" spans="1:8" ht="30" x14ac:dyDescent="0.3">
      <c r="A9" s="3"/>
      <c r="B9" s="13">
        <v>1.3</v>
      </c>
      <c r="C9" s="21" t="s">
        <v>33</v>
      </c>
      <c r="D9" s="13" t="s">
        <v>24</v>
      </c>
      <c r="E9" s="14">
        <v>12</v>
      </c>
      <c r="F9" s="4">
        <v>120000</v>
      </c>
      <c r="G9" s="4">
        <f>F9*E9</f>
        <v>1440000</v>
      </c>
    </row>
    <row r="10" spans="1:8" ht="15" x14ac:dyDescent="0.3">
      <c r="A10" s="3"/>
      <c r="B10" s="13">
        <v>1.4</v>
      </c>
      <c r="C10" s="21" t="s">
        <v>34</v>
      </c>
      <c r="D10" s="13" t="s">
        <v>24</v>
      </c>
      <c r="E10" s="14">
        <v>1</v>
      </c>
      <c r="F10" s="4">
        <v>180000</v>
      </c>
      <c r="G10" s="4">
        <f>F10*E10</f>
        <v>180000</v>
      </c>
    </row>
    <row r="11" spans="1:8" ht="15" x14ac:dyDescent="0.3">
      <c r="A11" s="3"/>
      <c r="B11" s="13">
        <v>1.5</v>
      </c>
      <c r="C11" s="21" t="s">
        <v>35</v>
      </c>
      <c r="D11" s="13" t="s">
        <v>24</v>
      </c>
      <c r="E11" s="14">
        <v>1</v>
      </c>
      <c r="F11" s="4">
        <v>3800000</v>
      </c>
      <c r="G11" s="4">
        <f>F11*E11</f>
        <v>3800000</v>
      </c>
    </row>
    <row r="12" spans="1:8" ht="23.25" customHeight="1" x14ac:dyDescent="0.3">
      <c r="A12" s="45">
        <v>2</v>
      </c>
      <c r="B12" s="15"/>
      <c r="C12" s="46" t="s">
        <v>25</v>
      </c>
      <c r="D12" s="17"/>
      <c r="E12" s="47"/>
      <c r="F12" s="48"/>
      <c r="G12" s="49">
        <f>SUM(G13:G13)</f>
        <v>100000</v>
      </c>
    </row>
    <row r="13" spans="1:8" ht="27" customHeight="1" x14ac:dyDescent="0.3">
      <c r="A13" s="16"/>
      <c r="B13" s="18">
        <v>2.1</v>
      </c>
      <c r="C13" s="21" t="s">
        <v>28</v>
      </c>
      <c r="D13" s="19" t="s">
        <v>24</v>
      </c>
      <c r="E13" s="14">
        <v>1</v>
      </c>
      <c r="F13" s="4">
        <v>100000</v>
      </c>
      <c r="G13" s="5">
        <f>F13*E13</f>
        <v>100000</v>
      </c>
    </row>
    <row r="14" spans="1:8" ht="21" customHeight="1" x14ac:dyDescent="0.3">
      <c r="A14" s="6"/>
      <c r="B14" s="7"/>
      <c r="C14" s="7"/>
      <c r="D14" s="41" t="s">
        <v>7</v>
      </c>
      <c r="E14" s="42"/>
      <c r="F14" s="43"/>
      <c r="G14" s="8">
        <f>+G12+G6</f>
        <v>8720000</v>
      </c>
    </row>
    <row r="15" spans="1:8" ht="21.75" customHeight="1" x14ac:dyDescent="0.3">
      <c r="A15" s="6"/>
      <c r="B15" s="7"/>
      <c r="C15" s="7"/>
      <c r="D15" s="28" t="s">
        <v>8</v>
      </c>
      <c r="E15" s="29"/>
      <c r="F15" s="9">
        <v>0.1</v>
      </c>
      <c r="G15" s="10">
        <f>+$G$14*F15</f>
        <v>872000</v>
      </c>
    </row>
    <row r="16" spans="1:8" ht="21.75" customHeight="1" x14ac:dyDescent="0.3">
      <c r="A16" s="6"/>
      <c r="B16" s="7"/>
      <c r="C16" s="7"/>
      <c r="D16" s="28" t="s">
        <v>9</v>
      </c>
      <c r="E16" s="29"/>
      <c r="F16" s="9">
        <v>0.05</v>
      </c>
      <c r="G16" s="10">
        <f>+$G$14*F16</f>
        <v>436000</v>
      </c>
    </row>
    <row r="17" spans="1:7" ht="21.75" customHeight="1" x14ac:dyDescent="0.3">
      <c r="A17" s="6"/>
      <c r="B17" s="7"/>
      <c r="C17" s="7"/>
      <c r="D17" s="28" t="s">
        <v>10</v>
      </c>
      <c r="E17" s="29"/>
      <c r="F17" s="9">
        <v>0.05</v>
      </c>
      <c r="G17" s="10">
        <f>+$G$14*F17</f>
        <v>436000</v>
      </c>
    </row>
    <row r="18" spans="1:7" ht="21.75" customHeight="1" x14ac:dyDescent="0.3">
      <c r="A18" s="6"/>
      <c r="B18" s="7"/>
      <c r="C18" s="7"/>
      <c r="D18" s="28" t="s">
        <v>3</v>
      </c>
      <c r="E18" s="29"/>
      <c r="F18" s="9">
        <v>0.19</v>
      </c>
      <c r="G18" s="10">
        <f>+G17*F18</f>
        <v>82840</v>
      </c>
    </row>
    <row r="19" spans="1:7" ht="21.75" customHeight="1" x14ac:dyDescent="0.3">
      <c r="A19" s="6"/>
      <c r="B19" s="7"/>
      <c r="C19" s="7"/>
      <c r="D19" s="25" t="s">
        <v>11</v>
      </c>
      <c r="E19" s="26"/>
      <c r="F19" s="27"/>
      <c r="G19" s="11">
        <f>+G15+G16+G17+G18</f>
        <v>1826840</v>
      </c>
    </row>
    <row r="20" spans="1:7" ht="21.75" customHeight="1" x14ac:dyDescent="0.3">
      <c r="A20" s="6"/>
      <c r="B20" s="7"/>
      <c r="C20" s="7"/>
      <c r="D20" s="22" t="s">
        <v>12</v>
      </c>
      <c r="E20" s="23"/>
      <c r="F20" s="24"/>
      <c r="G20" s="12">
        <f>+G14+G19</f>
        <v>10546840</v>
      </c>
    </row>
    <row r="21" spans="1:7" ht="21.75" customHeight="1" x14ac:dyDescent="0.3"/>
  </sheetData>
  <mergeCells count="14">
    <mergeCell ref="D20:F20"/>
    <mergeCell ref="D19:F19"/>
    <mergeCell ref="D18:E18"/>
    <mergeCell ref="A1:G1"/>
    <mergeCell ref="D17:E17"/>
    <mergeCell ref="D16:E16"/>
    <mergeCell ref="D15:E15"/>
    <mergeCell ref="A2:B2"/>
    <mergeCell ref="A3:B3"/>
    <mergeCell ref="D3:E3"/>
    <mergeCell ref="A4:B4"/>
    <mergeCell ref="D4:E4"/>
    <mergeCell ref="F2:G4"/>
    <mergeCell ref="D14:F14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0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2025-03-26T21:25:09Z</dcterms:modified>
  <cp:category/>
  <cp:contentStatus/>
</cp:coreProperties>
</file>