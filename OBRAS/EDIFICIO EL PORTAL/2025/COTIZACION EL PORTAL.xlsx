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OneDrive\Desktop\"/>
    </mc:Choice>
  </mc:AlternateContent>
  <xr:revisionPtr revIDLastSave="0" documentId="8_{67BFB362-D827-4A62-95C4-AE876B135D64}" xr6:coauthVersionLast="47" xr6:coauthVersionMax="47" xr10:uidLastSave="{00000000-0000-0000-0000-000000000000}"/>
  <bookViews>
    <workbookView xWindow="11424" yWindow="0" windowWidth="11712" windowHeight="12336" xr2:uid="{325B0686-2D22-490A-92F5-0D3E9AAE1101}"/>
  </bookViews>
  <sheets>
    <sheet name="formato present oferta" sheetId="1" r:id="rId1"/>
  </sheets>
  <definedNames>
    <definedName name="_xlnm.Print_Area" localSheetId="0">'formato present oferta'!$A$1:$G$17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13" i="1"/>
  <c r="H8" i="1"/>
  <c r="G7" i="1"/>
  <c r="G10" i="1" l="1"/>
  <c r="G6" i="1"/>
  <c r="G9" i="1" l="1"/>
  <c r="G11" i="1" s="1"/>
  <c r="G14" i="1" l="1"/>
  <c r="G15" i="1" s="1"/>
  <c r="G13" i="1" l="1"/>
  <c r="G12" i="1"/>
  <c r="G16" i="1" l="1"/>
  <c r="G17" i="1" s="1"/>
</calcChain>
</file>

<file path=xl/sharedStrings.xml><?xml version="1.0" encoding="utf-8"?>
<sst xmlns="http://schemas.openxmlformats.org/spreadsheetml/2006/main" count="33" uniqueCount="33">
  <si>
    <t>CAPT</t>
  </si>
  <si>
    <t>ITEMS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</si>
  <si>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</si>
  <si>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</si>
  <si>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</si>
  <si>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</si>
  <si>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</si>
  <si>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</si>
  <si>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</si>
  <si>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</si>
  <si>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</si>
  <si>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</si>
  <si>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</si>
  <si>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</si>
  <si>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</si>
  <si>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</si>
  <si>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</si>
  <si>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</si>
  <si>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</si>
  <si>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</si>
  <si>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</si>
  <si>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</si>
  <si>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</si>
  <si>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GLB</t>
  </si>
  <si>
    <t>UND</t>
  </si>
  <si>
    <t>TERMINADO Y LIMPIEZA</t>
  </si>
  <si>
    <t xml:space="preserve">Admin@fresh-house.co
Rensomontoya@fresh-house.co                                                                                                                 </t>
  </si>
  <si>
    <t>Aseo general y retiro de pintura.</t>
  </si>
  <si>
    <t xml:space="preserve">  VALIDO HASTA: 15/07/2025</t>
  </si>
  <si>
    <t xml:space="preserve">  FECHA: 15/04/2025</t>
  </si>
  <si>
    <t>COTIZACION OBRA - EDIFICIO EL PORTAL</t>
  </si>
  <si>
    <t>Suministro e instalación de estructura metalica en acero perfiles 4x8 para reconstrucción de fuente, con protección en anticorrosivo y acabado de pintura</t>
  </si>
  <si>
    <t>Suministro e instalación de placa de superboard de 12mm con impermeabilización con Pintucofill 7 de Pintuco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</si>
</sst>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rgb="FF505050"/>
      </right>
      <top/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rgb="FF505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left" vertical="center" wrapText="1"/>
    </xf>
    <xf numFmtId="164" fontId="5" fillId="0" borderId="5" xfId="0" applyNumberFormat="1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2" borderId="4" xfId="0" applyNumberFormat="1" applyFont="1" applyFill="1" applyBorder="1" applyAlignment="1">
      <alignment vertical="center"/>
    </xf>
    <xf numFmtId="9" fontId="5" fillId="0" borderId="5" xfId="3" applyFont="1" applyFill="1" applyBorder="1" applyAlignment="1">
      <alignment horizontal="center" vertical="center"/>
    </xf>
    <xf numFmtId="164" fontId="5" fillId="0" borderId="3" xfId="2" applyNumberFormat="1" applyFont="1" applyFill="1" applyBorder="1" applyAlignment="1">
      <alignment vertical="center"/>
    </xf>
    <xf numFmtId="164" fontId="5" fillId="2" borderId="3" xfId="0" applyNumberFormat="1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3" fontId="5" fillId="0" borderId="5" xfId="1" applyFont="1" applyFill="1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  <xf numFmtId="43" fontId="3" fillId="2" borderId="13" xfId="0" applyNumberFormat="1" applyFont="1" applyFill="1" applyBorder="1" applyAlignment="1">
      <alignment vertical="center" wrapText="1"/>
    </xf>
    <xf numFmtId="165" fontId="3" fillId="2" borderId="12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164" fontId="4" fillId="0" borderId="0" xfId="0" applyNumberFormat="1" applyFont="1" applyAlignment="1">
      <alignment vertical="center"/>
    </xf>
    <xf numFmtId="164" fontId="5" fillId="0" borderId="20" xfId="0" applyNumberFormat="1" applyFont="1" applyBorder="1" applyAlignment="1">
      <alignment horizontal="center"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164" fontId="5" fillId="0" borderId="23" xfId="0" applyNumberFormat="1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43" fontId="3" fillId="2" borderId="6" xfId="1" applyFont="1" applyFill="1" applyBorder="1" applyAlignment="1">
      <alignment horizontal="center" vertical="center"/>
    </xf>
    <xf numFmtId="43" fontId="3" fillId="2" borderId="8" xfId="1" applyFont="1" applyFill="1" applyBorder="1" applyAlignment="1">
      <alignment horizontal="center" vertical="center"/>
    </xf>
    <xf numFmtId="43" fontId="3" fillId="2" borderId="7" xfId="1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43" fontId="5" fillId="0" borderId="20" xfId="1" applyFont="1" applyFill="1" applyBorder="1" applyAlignment="1">
      <alignment horizontal="center" vertical="center" wrapText="1"/>
    </xf>
    <xf numFmtId="164" fontId="5" fillId="0" borderId="24" xfId="0" applyNumberFormat="1" applyFont="1" applyBorder="1" applyAlignment="1">
      <alignment horizontal="center" vertical="center" wrapText="1"/>
    </xf>
    <xf numFmtId="43" fontId="5" fillId="0" borderId="24" xfId="1" applyFont="1" applyFill="1" applyBorder="1" applyAlignment="1">
      <alignment horizontal="center" vertical="center" wrapText="1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6</xdr:col>
      <xdr:colOff>1104901</xdr:colOff>
      <xdr:row>3</xdr:row>
      <xdr:rowOff>160437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9B59D5-B26C-E1BA-9849-F968261D0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3301" y="355600"/>
          <a:ext cx="1968500" cy="78273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="60" zoomScaleNormal="60" workbookViewId="0">
      <selection activeCell="G17" sqref="A1:G17"/>
    </sheetView>
  </sheetViews>
  <sheetFormatPr baseColWidth="10" defaultColWidth="12.33203125" defaultRowHeight="13.8" x14ac:dyDescent="0.3"/>
  <cols>
    <col min="1" max="1" width="8.5546875" style="2" customWidth="1"/>
    <col min="2" max="2" width="8.33203125" style="1" customWidth="1"/>
    <col min="3" max="3" width="77.6640625" style="1" customWidth="1"/>
    <col min="4" max="4" width="20.109375" style="1" bestFit="1" customWidth="1"/>
    <col min="5" max="5" width="14.77734375" style="1" bestFit="1" customWidth="1"/>
    <col min="6" max="6" width="15.109375" style="1" bestFit="1" customWidth="1"/>
    <col min="7" max="7" width="18.44140625" style="1" bestFit="1" customWidth="1"/>
    <col min="8" max="8" width="25.5546875" style="1" customWidth="1"/>
    <col min="9" max="9" width="13.44140625" style="1" bestFit="1" customWidth="1"/>
    <col min="10" max="16384" width="12.33203125" style="1"/>
  </cols>
  <sheetData>
    <row r="1" spans="1:8" ht="22.5" customHeight="1" x14ac:dyDescent="0.3">
      <c r="A1" s="40" t="s">
        <v>30</v>
      </c>
      <c r="B1" s="41"/>
      <c r="C1" s="41"/>
      <c r="D1" s="41"/>
      <c r="E1" s="41"/>
      <c r="F1" s="41"/>
      <c r="G1" s="42"/>
    </row>
    <row r="2" spans="1:8" ht="25.2" customHeight="1" x14ac:dyDescent="0.3">
      <c r="A2" s="43" t="s">
        <v>12</v>
      </c>
      <c r="B2" s="44"/>
      <c r="C2" s="3" t="s">
        <v>13</v>
      </c>
      <c r="D2" s="3" t="s">
        <v>14</v>
      </c>
      <c r="E2" s="3" t="s">
        <v>15</v>
      </c>
      <c r="F2" s="45"/>
      <c r="G2" s="46"/>
    </row>
    <row r="3" spans="1:8" ht="30" x14ac:dyDescent="0.3">
      <c r="A3" s="43" t="s">
        <v>16</v>
      </c>
      <c r="B3" s="44"/>
      <c r="C3" s="3" t="s">
        <v>26</v>
      </c>
      <c r="D3" s="43" t="s">
        <v>29</v>
      </c>
      <c r="E3" s="44"/>
      <c r="F3" s="47"/>
      <c r="G3" s="48"/>
      <c r="H3"/>
    </row>
    <row r="4" spans="1:8" ht="22.5" customHeight="1" x14ac:dyDescent="0.3">
      <c r="A4" s="43" t="s">
        <v>17</v>
      </c>
      <c r="B4" s="44"/>
      <c r="C4" s="3" t="s">
        <v>18</v>
      </c>
      <c r="D4" s="43" t="s">
        <v>28</v>
      </c>
      <c r="E4" s="44"/>
      <c r="F4" s="49"/>
      <c r="G4" s="50"/>
      <c r="H4"/>
    </row>
    <row r="5" spans="1:8" ht="30" x14ac:dyDescent="0.3">
      <c r="A5" s="14" t="s">
        <v>0</v>
      </c>
      <c r="B5" s="14" t="s">
        <v>1</v>
      </c>
      <c r="C5" s="14" t="s">
        <v>3</v>
      </c>
      <c r="D5" s="14" t="s">
        <v>19</v>
      </c>
      <c r="E5" s="14" t="s">
        <v>20</v>
      </c>
      <c r="F5" s="14" t="s">
        <v>21</v>
      </c>
      <c r="G5" s="14" t="s">
        <v>22</v>
      </c>
      <c r="H5"/>
    </row>
    <row r="6" spans="1:8" ht="23.25" customHeight="1" x14ac:dyDescent="0.3">
      <c r="A6" s="19" t="s">
        <v>4</v>
      </c>
      <c r="B6" s="17"/>
      <c r="C6" s="17" t="s">
        <v>5</v>
      </c>
      <c r="D6" s="17"/>
      <c r="E6" s="17"/>
      <c r="F6" s="17"/>
      <c r="G6" s="4">
        <f>SUM(G7:G8)</f>
        <v>1307742.9849532335</v>
      </c>
    </row>
    <row r="7" spans="1:8" ht="45" x14ac:dyDescent="0.3">
      <c r="A7" s="15"/>
      <c r="B7" s="23">
        <v>1.1000000000000001</v>
      </c>
      <c r="C7" s="27" t="s">
        <v>31</v>
      </c>
      <c r="D7" s="54" t="s">
        <v>23</v>
      </c>
      <c r="E7" s="56">
        <v>1</v>
      </c>
      <c r="F7" s="29">
        <v>1307742.9849532335</v>
      </c>
      <c r="G7" s="30">
        <f t="shared" ref="G7" si="0">F7*E7</f>
        <v>1307742.9849532335</v>
      </c>
    </row>
    <row r="8" spans="1:8" ht="30" x14ac:dyDescent="0.3">
      <c r="A8" s="15"/>
      <c r="B8" s="23">
        <v>1.2</v>
      </c>
      <c r="C8" s="27" t="s">
        <v>32</v>
      </c>
      <c r="D8" s="55"/>
      <c r="E8" s="58"/>
      <c r="F8" s="57"/>
      <c r="G8" s="31"/>
      <c r="H8" s="28">
        <f>F8*1.15</f>
        <v>0</v>
      </c>
    </row>
    <row r="9" spans="1:8" ht="21.75" customHeight="1" x14ac:dyDescent="0.3">
      <c r="A9" s="19">
        <v>6</v>
      </c>
      <c r="B9" s="20"/>
      <c r="C9" s="26" t="s">
        <v>25</v>
      </c>
      <c r="D9" s="22"/>
      <c r="E9" s="18"/>
      <c r="F9" s="17"/>
      <c r="G9" s="4">
        <f>SUM(G10:G10)</f>
        <v>140000</v>
      </c>
      <c r="H9" s="28">
        <f t="shared" ref="H9:H13" si="1">F9*1.15</f>
        <v>0</v>
      </c>
    </row>
    <row r="10" spans="1:8" ht="21.75" customHeight="1" x14ac:dyDescent="0.3">
      <c r="A10" s="21"/>
      <c r="B10" s="24">
        <v>6.1</v>
      </c>
      <c r="C10" s="27" t="s">
        <v>27</v>
      </c>
      <c r="D10" s="25" t="s">
        <v>24</v>
      </c>
      <c r="E10" s="16">
        <v>1</v>
      </c>
      <c r="F10" s="5">
        <v>140000</v>
      </c>
      <c r="G10" s="6">
        <f>F10*E10</f>
        <v>140000</v>
      </c>
      <c r="H10" s="28">
        <f t="shared" si="1"/>
        <v>161000</v>
      </c>
    </row>
    <row r="11" spans="1:8" ht="21.75" customHeight="1" x14ac:dyDescent="0.3">
      <c r="A11" s="7"/>
      <c r="B11" s="8"/>
      <c r="C11" s="8"/>
      <c r="D11" s="51" t="s">
        <v>6</v>
      </c>
      <c r="E11" s="52"/>
      <c r="F11" s="53"/>
      <c r="G11" s="9">
        <f>+G9+G6</f>
        <v>1447742.9849532335</v>
      </c>
      <c r="H11" s="28">
        <f t="shared" si="1"/>
        <v>0</v>
      </c>
    </row>
    <row r="12" spans="1:8" ht="21.75" customHeight="1" x14ac:dyDescent="0.3">
      <c r="A12" s="7"/>
      <c r="B12" s="8"/>
      <c r="C12" s="8"/>
      <c r="D12" s="38" t="s">
        <v>7</v>
      </c>
      <c r="E12" s="39"/>
      <c r="F12" s="10">
        <v>0.1</v>
      </c>
      <c r="G12" s="11">
        <f>+$G$11*F12</f>
        <v>144774.29849532337</v>
      </c>
      <c r="H12" s="28">
        <f t="shared" si="1"/>
        <v>0.11499999999999999</v>
      </c>
    </row>
    <row r="13" spans="1:8" ht="21.75" customHeight="1" x14ac:dyDescent="0.3">
      <c r="A13" s="7"/>
      <c r="B13" s="8"/>
      <c r="C13" s="8"/>
      <c r="D13" s="38" t="s">
        <v>8</v>
      </c>
      <c r="E13" s="39"/>
      <c r="F13" s="10">
        <v>7.0000000000000007E-2</v>
      </c>
      <c r="G13" s="11">
        <f>+$G$11*F13</f>
        <v>101342.00894672636</v>
      </c>
      <c r="H13" s="28">
        <f t="shared" si="1"/>
        <v>8.0500000000000002E-2</v>
      </c>
    </row>
    <row r="14" spans="1:8" ht="15" x14ac:dyDescent="0.3">
      <c r="A14" s="7"/>
      <c r="B14" s="8"/>
      <c r="C14" s="8"/>
      <c r="D14" s="38" t="s">
        <v>9</v>
      </c>
      <c r="E14" s="39"/>
      <c r="F14" s="10">
        <v>0.05</v>
      </c>
      <c r="G14" s="11">
        <f>+$G$11*F14</f>
        <v>72387.149247661684</v>
      </c>
    </row>
    <row r="15" spans="1:8" ht="15" x14ac:dyDescent="0.3">
      <c r="A15" s="7"/>
      <c r="B15" s="8"/>
      <c r="C15" s="8"/>
      <c r="D15" s="38" t="s">
        <v>2</v>
      </c>
      <c r="E15" s="39"/>
      <c r="F15" s="10">
        <v>0.19</v>
      </c>
      <c r="G15" s="11">
        <f>+G14*F15</f>
        <v>13753.558357055721</v>
      </c>
    </row>
    <row r="16" spans="1:8" ht="15" x14ac:dyDescent="0.3">
      <c r="A16" s="7"/>
      <c r="B16" s="8"/>
      <c r="C16" s="8"/>
      <c r="D16" s="35" t="s">
        <v>10</v>
      </c>
      <c r="E16" s="36"/>
      <c r="F16" s="37"/>
      <c r="G16" s="12">
        <f>+G12+G13+G14+G15</f>
        <v>332257.01504676713</v>
      </c>
    </row>
    <row r="17" spans="1:7" ht="15" x14ac:dyDescent="0.3">
      <c r="A17" s="7"/>
      <c r="B17" s="8"/>
      <c r="C17" s="8"/>
      <c r="D17" s="32" t="s">
        <v>11</v>
      </c>
      <c r="E17" s="33"/>
      <c r="F17" s="34"/>
      <c r="G17" s="13">
        <f>+G11+G16</f>
        <v>1780000.0000000007</v>
      </c>
    </row>
  </sheetData>
  <mergeCells count="18">
    <mergeCell ref="A1:G1"/>
    <mergeCell ref="D14:E14"/>
    <mergeCell ref="D13:E13"/>
    <mergeCell ref="D12:E12"/>
    <mergeCell ref="A2:B2"/>
    <mergeCell ref="A3:B3"/>
    <mergeCell ref="D3:E3"/>
    <mergeCell ref="A4:B4"/>
    <mergeCell ref="D4:E4"/>
    <mergeCell ref="F2:G4"/>
    <mergeCell ref="D11:F11"/>
    <mergeCell ref="D7:D8"/>
    <mergeCell ref="E7:E8"/>
    <mergeCell ref="F7:F8"/>
    <mergeCell ref="G7:G8"/>
    <mergeCell ref="D17:F17"/>
    <mergeCell ref="D16:F16"/>
    <mergeCell ref="D15:E15"/>
  </mergeCells>
  <phoneticPr fontId="2" type="noConversion"/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1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present oferta</vt:lpstr>
      <vt:lpstr>'formato present oferta'!Área_de_impresión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2024-09-20T23:06:03Z</cp:lastPrinted>
  <dcterms:created xsi:type="dcterms:W3CDTF">2024-02-08T21:06:52Z</dcterms:created>
  <dcterms:modified xsi:type="dcterms:W3CDTF">2025-04-30T21:45:07Z</dcterms:modified>
  <cp:category/>
  <cp:contentStatus/>
</cp:coreProperties>
</file>