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8_{327873F2-E3D2-4A01-BB4B-574B55292A70}" xr6:coauthVersionLast="47" xr6:coauthVersionMax="47" xr10:uidLastSave="{00000000-0000-0000-0000-000000000000}"/>
  <bookViews>
    <workbookView xWindow="-108" yWindow="-108" windowWidth="23256" windowHeight="12456" tabRatio="850" firstSheet="2" activeTab="13" xr2:uid="{E30B3F2E-AB64-4187-884B-F0A6357391A7}"/>
  </bookViews>
  <sheets>
    <sheet name="DASHBOARD" sheetId="14" r:id="rId1"/>
    <sheet name="SALARIOS" sheetId="2" r:id="rId2"/>
    <sheet name="NÓMINA" sheetId="3" r:id="rId3"/>
    <sheet name="COS_PROG" sheetId="4" r:id="rId4"/>
    <sheet name="RESANE" sheetId="16" r:id="rId5"/>
    <sheet name="PINTURA T.VERDE" sheetId="15" r:id="rId6"/>
    <sheet name="CANTIDAD DE OBRA" sheetId="5" r:id="rId7"/>
    <sheet name="LAVADO" sheetId="8" r:id="rId8"/>
    <sheet name="TRT DIL" sheetId="12" r:id="rId9"/>
    <sheet name="SELLO" sheetId="10" r:id="rId10"/>
    <sheet name="PINTURA" sheetId="9" r:id="rId11"/>
    <sheet name="PIN INT" sheetId="11" r:id="rId12"/>
    <sheet name="LIST ACT" sheetId="6" r:id="rId13"/>
    <sheet name="LAST PLANNER" sheetId="13" r:id="rId14"/>
    <sheet name="PROJECT" sheetId="7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7" hidden="1">LAVADO!$A$2:$O$22</definedName>
    <definedName name="_xlnm._FilterDatabase" localSheetId="11" hidden="1">'PIN INT'!$A$2:$M$22</definedName>
    <definedName name="_xlnm._FilterDatabase" localSheetId="10" hidden="1">PINTURA!$A$2:$M$22</definedName>
    <definedName name="_xlnm._FilterDatabase" localSheetId="9" hidden="1">SELLO!$A$2:$M$13</definedName>
    <definedName name="_xlnm._FilterDatabase" localSheetId="8" hidden="1">'TRT DIL'!$A$2:$M$12</definedName>
    <definedName name="_xlnm.Print_Area" localSheetId="13">'LAST PLANNER'!$A$1:$H$25</definedName>
    <definedName name="_xlnm.Print_Area" localSheetId="12">'LIST ACT'!$A$1:$H$24</definedName>
    <definedName name="_xlnm.Print_Area" localSheetId="14">PROJECT!$A$1:$C$17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3" l="1"/>
  <c r="F20" i="13"/>
  <c r="G20" i="13" s="1"/>
  <c r="H19" i="13"/>
  <c r="F19" i="13"/>
  <c r="G19" i="13" s="1"/>
  <c r="H23" i="13"/>
  <c r="F23" i="13"/>
  <c r="G23" i="13" s="1"/>
  <c r="H22" i="13"/>
  <c r="F22" i="13"/>
  <c r="G22" i="13" s="1"/>
  <c r="H17" i="13"/>
  <c r="F17" i="13"/>
  <c r="G17" i="13" s="1"/>
  <c r="H13" i="13"/>
  <c r="F13" i="13"/>
  <c r="G13" i="13" s="1"/>
  <c r="F12" i="13"/>
  <c r="G12" i="13" s="1"/>
  <c r="F11" i="13"/>
  <c r="H12" i="13"/>
  <c r="P35" i="15"/>
  <c r="R64" i="15"/>
  <c r="L38" i="15"/>
  <c r="L39" i="15"/>
  <c r="L46" i="15"/>
  <c r="L47" i="15"/>
  <c r="L48" i="15"/>
  <c r="AF70" i="14"/>
  <c r="J11" i="14"/>
  <c r="D7" i="14"/>
  <c r="L9" i="16"/>
  <c r="CM81" i="16"/>
  <c r="CA81" i="16"/>
  <c r="BY81" i="16"/>
  <c r="BO81" i="16"/>
  <c r="BC81" i="16"/>
  <c r="AE81" i="16"/>
  <c r="S81" i="16"/>
  <c r="Q81" i="16"/>
  <c r="CS79" i="16"/>
  <c r="CQ79" i="16"/>
  <c r="CO79" i="16"/>
  <c r="CM79" i="16"/>
  <c r="CK79" i="16"/>
  <c r="CI79" i="16"/>
  <c r="CU79" i="16" s="1"/>
  <c r="CE79" i="16"/>
  <c r="CC79" i="16"/>
  <c r="CA79" i="16"/>
  <c r="BY79" i="16"/>
  <c r="BW79" i="16"/>
  <c r="BU79" i="16"/>
  <c r="BQ79" i="16"/>
  <c r="BO79" i="16"/>
  <c r="BM79" i="16"/>
  <c r="BK79" i="16"/>
  <c r="BI79" i="16"/>
  <c r="BG79" i="16"/>
  <c r="BC79" i="16"/>
  <c r="BA79" i="16"/>
  <c r="AY79" i="16"/>
  <c r="AW79" i="16"/>
  <c r="AU79" i="16"/>
  <c r="AS79" i="16"/>
  <c r="AO79" i="16"/>
  <c r="AM79" i="16"/>
  <c r="AK79" i="16"/>
  <c r="AI79" i="16"/>
  <c r="AG79" i="16"/>
  <c r="AE79" i="16"/>
  <c r="AA79" i="16"/>
  <c r="Y79" i="16"/>
  <c r="W79" i="16"/>
  <c r="U79" i="16"/>
  <c r="S79" i="16"/>
  <c r="Q79" i="16"/>
  <c r="O79" i="16"/>
  <c r="CS78" i="16"/>
  <c r="CQ78" i="16"/>
  <c r="CO78" i="16"/>
  <c r="CM78" i="16"/>
  <c r="CK78" i="16"/>
  <c r="CI78" i="16"/>
  <c r="CE78" i="16"/>
  <c r="CC78" i="16"/>
  <c r="CA78" i="16"/>
  <c r="BY78" i="16"/>
  <c r="BW78" i="16"/>
  <c r="BU78" i="16"/>
  <c r="BS78" i="16"/>
  <c r="BQ78" i="16"/>
  <c r="BO78" i="16"/>
  <c r="BM78" i="16"/>
  <c r="BK78" i="16"/>
  <c r="BI78" i="16"/>
  <c r="BG78" i="16"/>
  <c r="BC78" i="16"/>
  <c r="BA78" i="16"/>
  <c r="AY78" i="16"/>
  <c r="AW78" i="16"/>
  <c r="AU78" i="16"/>
  <c r="AS78" i="16"/>
  <c r="AO78" i="16"/>
  <c r="AM78" i="16"/>
  <c r="AK78" i="16"/>
  <c r="AI78" i="16"/>
  <c r="AG78" i="16"/>
  <c r="AE78" i="16"/>
  <c r="AA78" i="16"/>
  <c r="Y78" i="16"/>
  <c r="W78" i="16"/>
  <c r="U78" i="16"/>
  <c r="S78" i="16"/>
  <c r="Q78" i="16"/>
  <c r="O78" i="16"/>
  <c r="CS77" i="16"/>
  <c r="CQ77" i="16"/>
  <c r="CO77" i="16"/>
  <c r="CM77" i="16"/>
  <c r="CK77" i="16"/>
  <c r="CI77" i="16"/>
  <c r="CG77" i="16"/>
  <c r="CE77" i="16"/>
  <c r="CC77" i="16"/>
  <c r="CA77" i="16"/>
  <c r="BY77" i="16"/>
  <c r="BW77" i="16"/>
  <c r="BU77" i="16"/>
  <c r="BQ77" i="16"/>
  <c r="BO77" i="16"/>
  <c r="BM77" i="16"/>
  <c r="BK77" i="16"/>
  <c r="BI77" i="16"/>
  <c r="BG77" i="16"/>
  <c r="BS77" i="16" s="1"/>
  <c r="BC77" i="16"/>
  <c r="BA77" i="16"/>
  <c r="AY77" i="16"/>
  <c r="AW77" i="16"/>
  <c r="AU77" i="16"/>
  <c r="AS77" i="16"/>
  <c r="BE77" i="16" s="1"/>
  <c r="AO77" i="16"/>
  <c r="AM77" i="16"/>
  <c r="AK77" i="16"/>
  <c r="AI77" i="16"/>
  <c r="AG77" i="16"/>
  <c r="AE77" i="16"/>
  <c r="AA77" i="16"/>
  <c r="Y77" i="16"/>
  <c r="W77" i="16"/>
  <c r="U77" i="16"/>
  <c r="S77" i="16"/>
  <c r="Q77" i="16"/>
  <c r="O77" i="16"/>
  <c r="CS76" i="16"/>
  <c r="CQ76" i="16"/>
  <c r="CQ81" i="16" s="1"/>
  <c r="CO76" i="16"/>
  <c r="CM76" i="16"/>
  <c r="CK76" i="16"/>
  <c r="CI76" i="16"/>
  <c r="CE76" i="16"/>
  <c r="CE81" i="16" s="1"/>
  <c r="CC76" i="16"/>
  <c r="CA76" i="16"/>
  <c r="BY76" i="16"/>
  <c r="BW76" i="16"/>
  <c r="BU76" i="16"/>
  <c r="BU81" i="16" s="1"/>
  <c r="BQ76" i="16"/>
  <c r="BO76" i="16"/>
  <c r="BM76" i="16"/>
  <c r="BK76" i="16"/>
  <c r="BI76" i="16"/>
  <c r="BG76" i="16"/>
  <c r="BC76" i="16"/>
  <c r="BA76" i="16"/>
  <c r="AY76" i="16"/>
  <c r="AW76" i="16"/>
  <c r="AW81" i="16" s="1"/>
  <c r="AU76" i="16"/>
  <c r="AU81" i="16" s="1"/>
  <c r="AS76" i="16"/>
  <c r="AO76" i="16"/>
  <c r="AM76" i="16"/>
  <c r="AK76" i="16"/>
  <c r="AI76" i="16"/>
  <c r="AG76" i="16"/>
  <c r="AE76" i="16"/>
  <c r="AA76" i="16"/>
  <c r="Y76" i="16"/>
  <c r="Y81" i="16" s="1"/>
  <c r="W76" i="16"/>
  <c r="W81" i="16" s="1"/>
  <c r="U76" i="16"/>
  <c r="S76" i="16"/>
  <c r="Q76" i="16"/>
  <c r="AW74" i="16"/>
  <c r="AY74" i="16" s="1"/>
  <c r="BA74" i="16" s="1"/>
  <c r="BC74" i="16" s="1"/>
  <c r="BG74" i="16" s="1"/>
  <c r="BI74" i="16" s="1"/>
  <c r="BK74" i="16" s="1"/>
  <c r="BM74" i="16" s="1"/>
  <c r="BO74" i="16" s="1"/>
  <c r="BQ74" i="16" s="1"/>
  <c r="BU74" i="16" s="1"/>
  <c r="BW74" i="16" s="1"/>
  <c r="BY74" i="16" s="1"/>
  <c r="CA74" i="16" s="1"/>
  <c r="CC74" i="16" s="1"/>
  <c r="CE74" i="16" s="1"/>
  <c r="CI74" i="16" s="1"/>
  <c r="CK74" i="16" s="1"/>
  <c r="CM74" i="16" s="1"/>
  <c r="CO74" i="16" s="1"/>
  <c r="CQ74" i="16" s="1"/>
  <c r="CS74" i="16" s="1"/>
  <c r="U74" i="16"/>
  <c r="W74" i="16" s="1"/>
  <c r="Y74" i="16" s="1"/>
  <c r="AA74" i="16" s="1"/>
  <c r="AE74" i="16" s="1"/>
  <c r="AG74" i="16" s="1"/>
  <c r="AI74" i="16" s="1"/>
  <c r="AK74" i="16" s="1"/>
  <c r="AM74" i="16" s="1"/>
  <c r="AO74" i="16" s="1"/>
  <c r="AS74" i="16" s="1"/>
  <c r="AU74" i="16" s="1"/>
  <c r="S74" i="16"/>
  <c r="M74" i="16"/>
  <c r="M72" i="16"/>
  <c r="CS62" i="16"/>
  <c r="CQ62" i="16"/>
  <c r="CO62" i="16"/>
  <c r="CM62" i="16"/>
  <c r="CK62" i="16"/>
  <c r="CI62" i="16"/>
  <c r="CE62" i="16"/>
  <c r="CC62" i="16"/>
  <c r="CA62" i="16"/>
  <c r="BY62" i="16"/>
  <c r="BW62" i="16"/>
  <c r="BU62" i="16"/>
  <c r="BQ62" i="16"/>
  <c r="BO62" i="16"/>
  <c r="BM62" i="16"/>
  <c r="BK62" i="16"/>
  <c r="BI62" i="16"/>
  <c r="BG62" i="16"/>
  <c r="BC62" i="16"/>
  <c r="BA62" i="16"/>
  <c r="AY62" i="16"/>
  <c r="AW62" i="16"/>
  <c r="AU62" i="16"/>
  <c r="AS62" i="16"/>
  <c r="AO62" i="16"/>
  <c r="AM62" i="16"/>
  <c r="AK62" i="16"/>
  <c r="AI62" i="16"/>
  <c r="AG62" i="16"/>
  <c r="AE62" i="16"/>
  <c r="AA62" i="16"/>
  <c r="Y62" i="16"/>
  <c r="W62" i="16"/>
  <c r="U62" i="16"/>
  <c r="S62" i="16"/>
  <c r="Q62" i="16"/>
  <c r="CU61" i="16"/>
  <c r="CG61" i="16"/>
  <c r="BS61" i="16"/>
  <c r="BE61" i="16"/>
  <c r="AQ61" i="16"/>
  <c r="AC61" i="16"/>
  <c r="K61" i="16"/>
  <c r="CU60" i="16"/>
  <c r="CG60" i="16"/>
  <c r="CB60" i="16"/>
  <c r="BS60" i="16"/>
  <c r="BT60" i="16" s="1"/>
  <c r="BL60" i="16"/>
  <c r="BE60" i="16"/>
  <c r="AQ60" i="16"/>
  <c r="AC60" i="16"/>
  <c r="Z60" i="16"/>
  <c r="P60" i="16"/>
  <c r="O60" i="16"/>
  <c r="G60" i="16"/>
  <c r="CU59" i="16"/>
  <c r="CG59" i="16"/>
  <c r="CH59" i="16" s="1"/>
  <c r="BT59" i="16"/>
  <c r="BS59" i="16"/>
  <c r="BR59" i="16"/>
  <c r="BL59" i="16"/>
  <c r="BE59" i="16"/>
  <c r="AQ59" i="16"/>
  <c r="AC59" i="16"/>
  <c r="AB59" i="16"/>
  <c r="Z59" i="16"/>
  <c r="V59" i="16"/>
  <c r="G59" i="16"/>
  <c r="N59" i="16" s="1"/>
  <c r="P59" i="16" s="1"/>
  <c r="CU58" i="16"/>
  <c r="CG58" i="16"/>
  <c r="BS58" i="16"/>
  <c r="BE58" i="16"/>
  <c r="AQ58" i="16"/>
  <c r="AC58" i="16"/>
  <c r="K58" i="16"/>
  <c r="CU57" i="16"/>
  <c r="CG57" i="16"/>
  <c r="BS57" i="16"/>
  <c r="BE57" i="16"/>
  <c r="AQ57" i="16"/>
  <c r="AC57" i="16"/>
  <c r="CU56" i="16"/>
  <c r="CG56" i="16"/>
  <c r="BS56" i="16"/>
  <c r="BE56" i="16"/>
  <c r="AQ56" i="16"/>
  <c r="AC56" i="16"/>
  <c r="CU55" i="16"/>
  <c r="CG55" i="16"/>
  <c r="BS55" i="16"/>
  <c r="BE55" i="16"/>
  <c r="AQ55" i="16"/>
  <c r="AC55" i="16"/>
  <c r="K55" i="16"/>
  <c r="CU54" i="16"/>
  <c r="CG54" i="16"/>
  <c r="BS54" i="16"/>
  <c r="BE54" i="16"/>
  <c r="AQ54" i="16"/>
  <c r="AC54" i="16"/>
  <c r="G54" i="16"/>
  <c r="O54" i="16" s="1"/>
  <c r="P54" i="16" s="1"/>
  <c r="CU53" i="16"/>
  <c r="CG53" i="16"/>
  <c r="BS53" i="16"/>
  <c r="BE53" i="16"/>
  <c r="AQ53" i="16"/>
  <c r="AC53" i="16"/>
  <c r="G53" i="16"/>
  <c r="N53" i="16" s="1"/>
  <c r="P53" i="16" s="1"/>
  <c r="CU52" i="16"/>
  <c r="CG52" i="16"/>
  <c r="BS52" i="16"/>
  <c r="BE52" i="16"/>
  <c r="AQ52" i="16"/>
  <c r="AC52" i="16"/>
  <c r="K52" i="16"/>
  <c r="CU51" i="16"/>
  <c r="CG51" i="16"/>
  <c r="BS51" i="16"/>
  <c r="BE51" i="16"/>
  <c r="AQ51" i="16"/>
  <c r="AC51" i="16"/>
  <c r="CU50" i="16"/>
  <c r="CG50" i="16"/>
  <c r="BS50" i="16"/>
  <c r="BE50" i="16"/>
  <c r="AQ50" i="16"/>
  <c r="AC50" i="16"/>
  <c r="CU49" i="16"/>
  <c r="CG49" i="16"/>
  <c r="BS49" i="16"/>
  <c r="BE49" i="16"/>
  <c r="AQ49" i="16"/>
  <c r="AC49" i="16"/>
  <c r="K49" i="16"/>
  <c r="G49" i="16"/>
  <c r="N49" i="16" s="1"/>
  <c r="P49" i="16" s="1"/>
  <c r="CU48" i="16"/>
  <c r="CG48" i="16"/>
  <c r="BS48" i="16"/>
  <c r="BE48" i="16"/>
  <c r="AQ48" i="16"/>
  <c r="AC48" i="16"/>
  <c r="CU47" i="16"/>
  <c r="CG47" i="16"/>
  <c r="BS47" i="16"/>
  <c r="BE47" i="16"/>
  <c r="AQ47" i="16"/>
  <c r="AC47" i="16"/>
  <c r="K47" i="16"/>
  <c r="CU46" i="16"/>
  <c r="CG46" i="16"/>
  <c r="BS46" i="16"/>
  <c r="BE46" i="16"/>
  <c r="AQ46" i="16"/>
  <c r="AC46" i="16"/>
  <c r="CU45" i="16"/>
  <c r="CG45" i="16"/>
  <c r="BS45" i="16"/>
  <c r="BE45" i="16"/>
  <c r="AQ45" i="16"/>
  <c r="AC45" i="16"/>
  <c r="P45" i="16"/>
  <c r="K45" i="16"/>
  <c r="N45" i="16" s="1"/>
  <c r="G45" i="16"/>
  <c r="CU44" i="16"/>
  <c r="CG44" i="16"/>
  <c r="BS44" i="16"/>
  <c r="BE44" i="16"/>
  <c r="AQ44" i="16"/>
  <c r="AC44" i="16"/>
  <c r="CU43" i="16"/>
  <c r="CG43" i="16"/>
  <c r="BS43" i="16"/>
  <c r="BE43" i="16"/>
  <c r="AQ43" i="16"/>
  <c r="AC43" i="16"/>
  <c r="CV42" i="16"/>
  <c r="CU42" i="16"/>
  <c r="CG42" i="16"/>
  <c r="BS42" i="16"/>
  <c r="BR42" i="16"/>
  <c r="BH42" i="16"/>
  <c r="BE42" i="16"/>
  <c r="BF42" i="16" s="1"/>
  <c r="AQ42" i="16"/>
  <c r="AJ42" i="16"/>
  <c r="AH42" i="16"/>
  <c r="AC42" i="16"/>
  <c r="G42" i="16"/>
  <c r="O42" i="16" s="1"/>
  <c r="P42" i="16" s="1"/>
  <c r="BL42" i="16" s="1"/>
  <c r="CU41" i="16"/>
  <c r="CV41" i="16" s="1"/>
  <c r="CR41" i="16"/>
  <c r="CL41" i="16"/>
  <c r="CJ41" i="16"/>
  <c r="CG41" i="16"/>
  <c r="CH41" i="16" s="1"/>
  <c r="BT41" i="16"/>
  <c r="BS41" i="16"/>
  <c r="BP41" i="16"/>
  <c r="BN41" i="16"/>
  <c r="BL41" i="16"/>
  <c r="BJ41" i="16"/>
  <c r="BH41" i="16"/>
  <c r="BE41" i="16"/>
  <c r="BF41" i="16" s="1"/>
  <c r="AT41" i="16"/>
  <c r="AQ41" i="16"/>
  <c r="AR41" i="16" s="1"/>
  <c r="AP41" i="16"/>
  <c r="AN41" i="16"/>
  <c r="AF41" i="16"/>
  <c r="AD41" i="16"/>
  <c r="AC41" i="16"/>
  <c r="AB41" i="16"/>
  <c r="T41" i="16"/>
  <c r="G41" i="16"/>
  <c r="N41" i="16" s="1"/>
  <c r="P41" i="16" s="1"/>
  <c r="CU40" i="16"/>
  <c r="CG40" i="16"/>
  <c r="BS40" i="16"/>
  <c r="BE40" i="16"/>
  <c r="AQ40" i="16"/>
  <c r="AC40" i="16"/>
  <c r="P40" i="16"/>
  <c r="K40" i="16"/>
  <c r="CU39" i="16"/>
  <c r="CG39" i="16"/>
  <c r="BS39" i="16"/>
  <c r="BE39" i="16"/>
  <c r="AQ39" i="16"/>
  <c r="AC39" i="16"/>
  <c r="K39" i="16"/>
  <c r="CU38" i="16"/>
  <c r="CG38" i="16"/>
  <c r="BS38" i="16"/>
  <c r="BE38" i="16"/>
  <c r="AQ38" i="16"/>
  <c r="AC38" i="16"/>
  <c r="K38" i="16"/>
  <c r="CU37" i="16"/>
  <c r="CH37" i="16"/>
  <c r="CG37" i="16"/>
  <c r="BS37" i="16"/>
  <c r="BH37" i="16"/>
  <c r="BE37" i="16"/>
  <c r="AR37" i="16"/>
  <c r="AQ37" i="16"/>
  <c r="AN37" i="16"/>
  <c r="AC37" i="16"/>
  <c r="AD37" i="16" s="1"/>
  <c r="X37" i="16"/>
  <c r="V37" i="16"/>
  <c r="G37" i="16"/>
  <c r="O37" i="16" s="1"/>
  <c r="P37" i="16" s="1"/>
  <c r="BN37" i="16" s="1"/>
  <c r="CU36" i="16"/>
  <c r="CL36" i="16"/>
  <c r="CG36" i="16"/>
  <c r="BS36" i="16"/>
  <c r="BE36" i="16"/>
  <c r="AQ36" i="16"/>
  <c r="AC36" i="16"/>
  <c r="G36" i="16"/>
  <c r="N36" i="16" s="1"/>
  <c r="P36" i="16" s="1"/>
  <c r="CU35" i="16"/>
  <c r="CG35" i="16"/>
  <c r="BS35" i="16"/>
  <c r="BE35" i="16"/>
  <c r="AQ35" i="16"/>
  <c r="AC35" i="16"/>
  <c r="CU34" i="16"/>
  <c r="CG34" i="16"/>
  <c r="BS34" i="16"/>
  <c r="BE34" i="16"/>
  <c r="AQ34" i="16"/>
  <c r="AC34" i="16"/>
  <c r="K34" i="16"/>
  <c r="CU33" i="16"/>
  <c r="CG33" i="16"/>
  <c r="BS33" i="16"/>
  <c r="BE33" i="16"/>
  <c r="AQ33" i="16"/>
  <c r="AC33" i="16"/>
  <c r="CU32" i="16"/>
  <c r="CG32" i="16"/>
  <c r="BS32" i="16"/>
  <c r="BE32" i="16"/>
  <c r="AQ32" i="16"/>
  <c r="AC32" i="16"/>
  <c r="CU31" i="16"/>
  <c r="CG31" i="16"/>
  <c r="BS31" i="16"/>
  <c r="BE31" i="16"/>
  <c r="AQ31" i="16"/>
  <c r="AC31" i="16"/>
  <c r="K31" i="16"/>
  <c r="CU30" i="16"/>
  <c r="CG30" i="16"/>
  <c r="BS30" i="16"/>
  <c r="BE30" i="16"/>
  <c r="AQ30" i="16"/>
  <c r="AC30" i="16"/>
  <c r="CU29" i="16"/>
  <c r="CG29" i="16"/>
  <c r="BS29" i="16"/>
  <c r="BE29" i="16"/>
  <c r="AQ29" i="16"/>
  <c r="AC29" i="16"/>
  <c r="K29" i="16"/>
  <c r="CU28" i="16"/>
  <c r="CG28" i="16"/>
  <c r="BS28" i="16"/>
  <c r="BE28" i="16"/>
  <c r="AQ28" i="16"/>
  <c r="AC28" i="16"/>
  <c r="CU27" i="16"/>
  <c r="CG27" i="16"/>
  <c r="BS27" i="16"/>
  <c r="BE27" i="16"/>
  <c r="AQ27" i="16"/>
  <c r="AC27" i="16"/>
  <c r="G27" i="16"/>
  <c r="N27" i="16" s="1"/>
  <c r="P27" i="16" s="1"/>
  <c r="CU26" i="16"/>
  <c r="CG26" i="16"/>
  <c r="BS26" i="16"/>
  <c r="BE26" i="16"/>
  <c r="AQ26" i="16"/>
  <c r="AC26" i="16"/>
  <c r="L26" i="16"/>
  <c r="P26" i="16" s="1"/>
  <c r="G26" i="16"/>
  <c r="CU25" i="16"/>
  <c r="CG25" i="16"/>
  <c r="CH25" i="16" s="1"/>
  <c r="CF25" i="16"/>
  <c r="CD25" i="16"/>
  <c r="CB25" i="16"/>
  <c r="BS25" i="16"/>
  <c r="BE25" i="16"/>
  <c r="AQ25" i="16"/>
  <c r="AR25" i="16" s="1"/>
  <c r="AP25" i="16"/>
  <c r="AN25" i="16"/>
  <c r="AC25" i="16"/>
  <c r="P25" i="16"/>
  <c r="O25" i="16"/>
  <c r="G25" i="16"/>
  <c r="CU24" i="16"/>
  <c r="CR24" i="16"/>
  <c r="CH24" i="16"/>
  <c r="CG24" i="16"/>
  <c r="BV24" i="16"/>
  <c r="BS24" i="16"/>
  <c r="BT24" i="16" s="1"/>
  <c r="BR24" i="16"/>
  <c r="BP24" i="16"/>
  <c r="BN24" i="16"/>
  <c r="BL24" i="16"/>
  <c r="BE24" i="16"/>
  <c r="AT24" i="16"/>
  <c r="AR24" i="16"/>
  <c r="AQ24" i="16"/>
  <c r="AF24" i="16"/>
  <c r="AC24" i="16"/>
  <c r="AD24" i="16" s="1"/>
  <c r="AB24" i="16"/>
  <c r="Z24" i="16"/>
  <c r="X24" i="16"/>
  <c r="V24" i="16"/>
  <c r="K24" i="16"/>
  <c r="G24" i="16"/>
  <c r="L24" i="16" s="1"/>
  <c r="P24" i="16" s="1"/>
  <c r="CJ24" i="16" s="1"/>
  <c r="CU23" i="16"/>
  <c r="CT23" i="16"/>
  <c r="CG23" i="16"/>
  <c r="CD23" i="16"/>
  <c r="BZ23" i="16"/>
  <c r="BX23" i="16"/>
  <c r="BV23" i="16"/>
  <c r="BS23" i="16"/>
  <c r="BT23" i="16" s="1"/>
  <c r="BE23" i="16"/>
  <c r="BF23" i="16" s="1"/>
  <c r="AX23" i="16"/>
  <c r="AQ23" i="16"/>
  <c r="AN23" i="16"/>
  <c r="AJ23" i="16"/>
  <c r="AH23" i="16"/>
  <c r="AC23" i="16"/>
  <c r="R23" i="16"/>
  <c r="L23" i="16"/>
  <c r="P23" i="16" s="1"/>
  <c r="CP23" i="16" s="1"/>
  <c r="G23" i="16"/>
  <c r="CU22" i="16"/>
  <c r="CG22" i="16"/>
  <c r="BS22" i="16"/>
  <c r="BE22" i="16"/>
  <c r="BF22" i="16" s="1"/>
  <c r="AQ22" i="16"/>
  <c r="AC22" i="16"/>
  <c r="L22" i="16"/>
  <c r="P22" i="16" s="1"/>
  <c r="K22" i="16"/>
  <c r="G22" i="16"/>
  <c r="CU21" i="16"/>
  <c r="CG21" i="16"/>
  <c r="BS21" i="16"/>
  <c r="BE21" i="16"/>
  <c r="AQ21" i="16"/>
  <c r="AC21" i="16"/>
  <c r="K21" i="16"/>
  <c r="CU20" i="16"/>
  <c r="CG20" i="16"/>
  <c r="BS20" i="16"/>
  <c r="BT20" i="16" s="1"/>
  <c r="BE20" i="16"/>
  <c r="AQ20" i="16"/>
  <c r="AC20" i="16"/>
  <c r="G20" i="16"/>
  <c r="O20" i="16" s="1"/>
  <c r="P20" i="16" s="1"/>
  <c r="CU19" i="16"/>
  <c r="CV19" i="16" s="1"/>
  <c r="CG19" i="16"/>
  <c r="BS19" i="16"/>
  <c r="BE19" i="16"/>
  <c r="BF19" i="16" s="1"/>
  <c r="AQ19" i="16"/>
  <c r="AC19" i="16"/>
  <c r="G19" i="16"/>
  <c r="N19" i="16" s="1"/>
  <c r="P19" i="16" s="1"/>
  <c r="CU18" i="16"/>
  <c r="CG18" i="16"/>
  <c r="BS18" i="16"/>
  <c r="BE18" i="16"/>
  <c r="AQ18" i="16"/>
  <c r="AC18" i="16"/>
  <c r="K18" i="16"/>
  <c r="CU17" i="16"/>
  <c r="CG17" i="16"/>
  <c r="BS17" i="16"/>
  <c r="BR17" i="16"/>
  <c r="BE17" i="16"/>
  <c r="AQ17" i="16"/>
  <c r="AC17" i="16"/>
  <c r="G17" i="16"/>
  <c r="O17" i="16" s="1"/>
  <c r="P17" i="16" s="1"/>
  <c r="CU16" i="16"/>
  <c r="CG16" i="16"/>
  <c r="BS16" i="16"/>
  <c r="BE16" i="16"/>
  <c r="BF16" i="16" s="1"/>
  <c r="AQ16" i="16"/>
  <c r="AL16" i="16"/>
  <c r="AC16" i="16"/>
  <c r="G16" i="16"/>
  <c r="N16" i="16" s="1"/>
  <c r="P16" i="16" s="1"/>
  <c r="BZ16" i="16" s="1"/>
  <c r="CU15" i="16"/>
  <c r="CG15" i="16"/>
  <c r="BS15" i="16"/>
  <c r="BE15" i="16"/>
  <c r="AQ15" i="16"/>
  <c r="AC15" i="16"/>
  <c r="K15" i="16"/>
  <c r="CU14" i="16"/>
  <c r="CG14" i="16"/>
  <c r="BS14" i="16"/>
  <c r="BE14" i="16"/>
  <c r="AQ14" i="16"/>
  <c r="AC14" i="16"/>
  <c r="F14" i="16"/>
  <c r="CU13" i="16"/>
  <c r="CT13" i="16"/>
  <c r="CG13" i="16"/>
  <c r="BS13" i="16"/>
  <c r="BH13" i="16"/>
  <c r="BE13" i="16"/>
  <c r="AQ13" i="16"/>
  <c r="AC13" i="16"/>
  <c r="K13" i="16"/>
  <c r="G13" i="16"/>
  <c r="L13" i="16" s="1"/>
  <c r="P13" i="16" s="1"/>
  <c r="CU12" i="16"/>
  <c r="CV12" i="16" s="1"/>
  <c r="CG12" i="16"/>
  <c r="CH12" i="16" s="1"/>
  <c r="BZ12" i="16"/>
  <c r="BS12" i="16"/>
  <c r="BT12" i="16" s="1"/>
  <c r="BE12" i="16"/>
  <c r="AQ12" i="16"/>
  <c r="AR12" i="16" s="1"/>
  <c r="AC12" i="16"/>
  <c r="AD12" i="16" s="1"/>
  <c r="L12" i="16"/>
  <c r="P12" i="16" s="1"/>
  <c r="G12" i="16"/>
  <c r="CU11" i="16"/>
  <c r="CG11" i="16"/>
  <c r="CF11" i="16"/>
  <c r="BS11" i="16"/>
  <c r="BT11" i="16" s="1"/>
  <c r="BJ11" i="16"/>
  <c r="BE11" i="16"/>
  <c r="AQ11" i="16"/>
  <c r="AP11" i="16"/>
  <c r="AC11" i="16"/>
  <c r="T11" i="16"/>
  <c r="G11" i="16"/>
  <c r="L11" i="16" s="1"/>
  <c r="P11" i="16" s="1"/>
  <c r="E11" i="16"/>
  <c r="CU10" i="16"/>
  <c r="CV10" i="16" s="1"/>
  <c r="CL10" i="16"/>
  <c r="CG10" i="16"/>
  <c r="BS10" i="16"/>
  <c r="BR10" i="16"/>
  <c r="BE10" i="16"/>
  <c r="BF10" i="16" s="1"/>
  <c r="AQ10" i="16"/>
  <c r="AC10" i="16"/>
  <c r="AB10" i="16"/>
  <c r="E10" i="16"/>
  <c r="G10" i="16" s="1"/>
  <c r="L10" i="16" s="1"/>
  <c r="P10" i="16" s="1"/>
  <c r="CU9" i="16"/>
  <c r="CG9" i="16"/>
  <c r="BS9" i="16"/>
  <c r="BE9" i="16"/>
  <c r="AQ9" i="16"/>
  <c r="AC9" i="16"/>
  <c r="G9" i="16"/>
  <c r="CU8" i="16"/>
  <c r="CG8" i="16"/>
  <c r="CD8" i="16"/>
  <c r="BS8" i="16"/>
  <c r="BE8" i="16"/>
  <c r="BF8" i="16" s="1"/>
  <c r="AQ8" i="16"/>
  <c r="AR8" i="16" s="1"/>
  <c r="AN8" i="16"/>
  <c r="AC8" i="16"/>
  <c r="R8" i="16"/>
  <c r="K8" i="16"/>
  <c r="G8" i="16"/>
  <c r="N8" i="16" s="1"/>
  <c r="P8" i="16" s="1"/>
  <c r="BH8" i="16" s="1"/>
  <c r="CU7" i="16"/>
  <c r="CG7" i="16"/>
  <c r="BS7" i="16"/>
  <c r="BE7" i="16"/>
  <c r="AQ7" i="16"/>
  <c r="AC7" i="16"/>
  <c r="K7" i="16"/>
  <c r="CU6" i="16"/>
  <c r="CG6" i="16"/>
  <c r="BS6" i="16"/>
  <c r="BE6" i="16"/>
  <c r="AQ6" i="16"/>
  <c r="AC6" i="16"/>
  <c r="P6" i="16"/>
  <c r="K6" i="16"/>
  <c r="CU5" i="16"/>
  <c r="CG5" i="16"/>
  <c r="BS5" i="16"/>
  <c r="BE5" i="16"/>
  <c r="AQ5" i="16"/>
  <c r="AC5" i="16"/>
  <c r="K5" i="16"/>
  <c r="E5" i="16"/>
  <c r="E33" i="16" s="1"/>
  <c r="G33" i="16" s="1"/>
  <c r="L33" i="16" s="1"/>
  <c r="P33" i="16" s="1"/>
  <c r="AM3" i="16"/>
  <c r="AO3" i="16" s="1"/>
  <c r="AS3" i="16" s="1"/>
  <c r="AU3" i="16" s="1"/>
  <c r="AW3" i="16" s="1"/>
  <c r="AY3" i="16" s="1"/>
  <c r="BA3" i="16" s="1"/>
  <c r="BC3" i="16" s="1"/>
  <c r="BG3" i="16" s="1"/>
  <c r="BI3" i="16" s="1"/>
  <c r="BK3" i="16" s="1"/>
  <c r="BM3" i="16" s="1"/>
  <c r="BO3" i="16" s="1"/>
  <c r="BQ3" i="16" s="1"/>
  <c r="BU3" i="16" s="1"/>
  <c r="BW3" i="16" s="1"/>
  <c r="BY3" i="16" s="1"/>
  <c r="CA3" i="16" s="1"/>
  <c r="CC3" i="16" s="1"/>
  <c r="CE3" i="16" s="1"/>
  <c r="CI3" i="16" s="1"/>
  <c r="CK3" i="16" s="1"/>
  <c r="CM3" i="16" s="1"/>
  <c r="CO3" i="16" s="1"/>
  <c r="CQ3" i="16" s="1"/>
  <c r="CS3" i="16" s="1"/>
  <c r="S3" i="16"/>
  <c r="U3" i="16" s="1"/>
  <c r="W3" i="16" s="1"/>
  <c r="Y3" i="16" s="1"/>
  <c r="AA3" i="16" s="1"/>
  <c r="AE3" i="16" s="1"/>
  <c r="AG3" i="16" s="1"/>
  <c r="AI3" i="16" s="1"/>
  <c r="AK3" i="16" s="1"/>
  <c r="J7" i="14"/>
  <c r="CI74" i="15"/>
  <c r="BU74" i="15"/>
  <c r="BG74" i="15"/>
  <c r="BI74" i="15" s="1"/>
  <c r="BK74" i="15" s="1"/>
  <c r="BM74" i="15" s="1"/>
  <c r="BO74" i="15" s="1"/>
  <c r="BQ74" i="15" s="1"/>
  <c r="AS74" i="15"/>
  <c r="AU74" i="15" s="1"/>
  <c r="AW74" i="15" s="1"/>
  <c r="AY74" i="15" s="1"/>
  <c r="BA74" i="15" s="1"/>
  <c r="BC74" i="15" s="1"/>
  <c r="AE74" i="15"/>
  <c r="CQ81" i="15"/>
  <c r="CS79" i="15"/>
  <c r="CQ79" i="15"/>
  <c r="CO79" i="15"/>
  <c r="CO81" i="15" s="1"/>
  <c r="CM79" i="15"/>
  <c r="CK79" i="15"/>
  <c r="CI79" i="15"/>
  <c r="CS78" i="15"/>
  <c r="CT78" i="15" s="1"/>
  <c r="CQ78" i="15"/>
  <c r="CR78" i="15" s="1"/>
  <c r="CO78" i="15"/>
  <c r="CP78" i="15" s="1"/>
  <c r="CN78" i="15"/>
  <c r="CM78" i="15"/>
  <c r="CK78" i="15"/>
  <c r="CL78" i="15" s="1"/>
  <c r="CI78" i="15"/>
  <c r="CU78" i="15" s="1"/>
  <c r="CV78" i="15" s="1"/>
  <c r="CS77" i="15"/>
  <c r="CT77" i="15" s="1"/>
  <c r="CQ77" i="15"/>
  <c r="CR77" i="15" s="1"/>
  <c r="CP77" i="15"/>
  <c r="CO77" i="15"/>
  <c r="CM77" i="15"/>
  <c r="CN77" i="15" s="1"/>
  <c r="CK77" i="15"/>
  <c r="CL77" i="15" s="1"/>
  <c r="CI77" i="15"/>
  <c r="CJ77" i="15" s="1"/>
  <c r="CS76" i="15"/>
  <c r="CT76" i="15" s="1"/>
  <c r="CR76" i="15"/>
  <c r="CQ76" i="15"/>
  <c r="CO76" i="15"/>
  <c r="CP76" i="15" s="1"/>
  <c r="CM76" i="15"/>
  <c r="CN76" i="15" s="1"/>
  <c r="CK76" i="15"/>
  <c r="CK81" i="15" s="1"/>
  <c r="CI76" i="15"/>
  <c r="CI81" i="15" s="1"/>
  <c r="CK74" i="15"/>
  <c r="CM74" i="15" s="1"/>
  <c r="CO74" i="15" s="1"/>
  <c r="CQ74" i="15" s="1"/>
  <c r="CS74" i="15" s="1"/>
  <c r="CA81" i="15"/>
  <c r="BY81" i="15"/>
  <c r="CE79" i="15"/>
  <c r="CC79" i="15"/>
  <c r="CA79" i="15"/>
  <c r="BY79" i="15"/>
  <c r="BW79" i="15"/>
  <c r="BU79" i="15"/>
  <c r="CE78" i="15"/>
  <c r="CF78" i="15" s="1"/>
  <c r="CC78" i="15"/>
  <c r="CD78" i="15" s="1"/>
  <c r="CB78" i="15"/>
  <c r="CA78" i="15"/>
  <c r="BY78" i="15"/>
  <c r="BZ78" i="15" s="1"/>
  <c r="BW78" i="15"/>
  <c r="BX78" i="15" s="1"/>
  <c r="BU78" i="15"/>
  <c r="BV78" i="15" s="1"/>
  <c r="CE77" i="15"/>
  <c r="CF77" i="15" s="1"/>
  <c r="CD77" i="15"/>
  <c r="CC77" i="15"/>
  <c r="CA77" i="15"/>
  <c r="CB77" i="15" s="1"/>
  <c r="BY77" i="15"/>
  <c r="BZ77" i="15" s="1"/>
  <c r="BW77" i="15"/>
  <c r="BX77" i="15" s="1"/>
  <c r="BU77" i="15"/>
  <c r="BV77" i="15" s="1"/>
  <c r="CF76" i="15"/>
  <c r="CE76" i="15"/>
  <c r="CC76" i="15"/>
  <c r="CD76" i="15" s="1"/>
  <c r="CA76" i="15"/>
  <c r="CB76" i="15" s="1"/>
  <c r="BY76" i="15"/>
  <c r="BZ76" i="15" s="1"/>
  <c r="BW76" i="15"/>
  <c r="BW81" i="15" s="1"/>
  <c r="BU76" i="15"/>
  <c r="BU81" i="15" s="1"/>
  <c r="BW74" i="15"/>
  <c r="BY74" i="15" s="1"/>
  <c r="CA74" i="15" s="1"/>
  <c r="CC74" i="15" s="1"/>
  <c r="CE74" i="15" s="1"/>
  <c r="BK81" i="15"/>
  <c r="BQ79" i="15"/>
  <c r="BO79" i="15"/>
  <c r="BM79" i="15"/>
  <c r="BM81" i="15" s="1"/>
  <c r="BK79" i="15"/>
  <c r="BI79" i="15"/>
  <c r="BG79" i="15"/>
  <c r="BR78" i="15"/>
  <c r="BQ78" i="15"/>
  <c r="BO78" i="15"/>
  <c r="BO81" i="15" s="1"/>
  <c r="BM78" i="15"/>
  <c r="BN78" i="15" s="1"/>
  <c r="BK78" i="15"/>
  <c r="BL78" i="15" s="1"/>
  <c r="BI78" i="15"/>
  <c r="BJ78" i="15" s="1"/>
  <c r="BG78" i="15"/>
  <c r="BH78" i="15" s="1"/>
  <c r="BQ77" i="15"/>
  <c r="BR77" i="15" s="1"/>
  <c r="BO77" i="15"/>
  <c r="BP77" i="15" s="1"/>
  <c r="BM77" i="15"/>
  <c r="BN77" i="15" s="1"/>
  <c r="BK77" i="15"/>
  <c r="BL77" i="15" s="1"/>
  <c r="BI77" i="15"/>
  <c r="BJ77" i="15" s="1"/>
  <c r="BH77" i="15"/>
  <c r="BG77" i="15"/>
  <c r="BS77" i="15" s="1"/>
  <c r="BT77" i="15" s="1"/>
  <c r="BQ76" i="15"/>
  <c r="BR76" i="15" s="1"/>
  <c r="BO76" i="15"/>
  <c r="BP76" i="15" s="1"/>
  <c r="BM76" i="15"/>
  <c r="BN76" i="15" s="1"/>
  <c r="BK76" i="15"/>
  <c r="BL76" i="15" s="1"/>
  <c r="BJ76" i="15"/>
  <c r="BI76" i="15"/>
  <c r="BI81" i="15" s="1"/>
  <c r="BG76" i="15"/>
  <c r="BG81" i="15" s="1"/>
  <c r="AW81" i="15"/>
  <c r="BC79" i="15"/>
  <c r="BA79" i="15"/>
  <c r="AY79" i="15"/>
  <c r="AY81" i="15" s="1"/>
  <c r="AW79" i="15"/>
  <c r="AU79" i="15"/>
  <c r="AS79" i="15"/>
  <c r="BE79" i="15" s="1"/>
  <c r="BC78" i="15"/>
  <c r="BD78" i="15" s="1"/>
  <c r="BA78" i="15"/>
  <c r="BB78" i="15" s="1"/>
  <c r="AY78" i="15"/>
  <c r="AZ78" i="15" s="1"/>
  <c r="AW78" i="15"/>
  <c r="AX78" i="15" s="1"/>
  <c r="AV78" i="15"/>
  <c r="AU78" i="15"/>
  <c r="AS78" i="15"/>
  <c r="AT78" i="15" s="1"/>
  <c r="BC77" i="15"/>
  <c r="BD77" i="15" s="1"/>
  <c r="BA77" i="15"/>
  <c r="BB77" i="15" s="1"/>
  <c r="AY77" i="15"/>
  <c r="AZ77" i="15" s="1"/>
  <c r="AX77" i="15"/>
  <c r="AW77" i="15"/>
  <c r="AU77" i="15"/>
  <c r="AV77" i="15" s="1"/>
  <c r="AS77" i="15"/>
  <c r="AT77" i="15" s="1"/>
  <c r="BC76" i="15"/>
  <c r="BD76" i="15" s="1"/>
  <c r="BA76" i="15"/>
  <c r="BB76" i="15" s="1"/>
  <c r="AZ76" i="15"/>
  <c r="AY76" i="15"/>
  <c r="AW76" i="15"/>
  <c r="AX76" i="15" s="1"/>
  <c r="AU76" i="15"/>
  <c r="AU81" i="15" s="1"/>
  <c r="AS76" i="15"/>
  <c r="AS81" i="15" s="1"/>
  <c r="AK81" i="15"/>
  <c r="AI81" i="15"/>
  <c r="AO79" i="15"/>
  <c r="AM79" i="15"/>
  <c r="AK79" i="15"/>
  <c r="AI79" i="15"/>
  <c r="AG79" i="15"/>
  <c r="AE79" i="15"/>
  <c r="AO78" i="15"/>
  <c r="AP78" i="15" s="1"/>
  <c r="AM78" i="15"/>
  <c r="AN78" i="15" s="1"/>
  <c r="AK78" i="15"/>
  <c r="AL78" i="15" s="1"/>
  <c r="AI78" i="15"/>
  <c r="AJ78" i="15" s="1"/>
  <c r="AG78" i="15"/>
  <c r="AH78" i="15" s="1"/>
  <c r="AE78" i="15"/>
  <c r="AF78" i="15" s="1"/>
  <c r="AQ77" i="15"/>
  <c r="AR77" i="15" s="1"/>
  <c r="AO77" i="15"/>
  <c r="AP77" i="15" s="1"/>
  <c r="AM77" i="15"/>
  <c r="AN77" i="15" s="1"/>
  <c r="AK77" i="15"/>
  <c r="AL77" i="15" s="1"/>
  <c r="AI77" i="15"/>
  <c r="AJ77" i="15" s="1"/>
  <c r="AG77" i="15"/>
  <c r="AH77" i="15" s="1"/>
  <c r="AE77" i="15"/>
  <c r="AF77" i="15" s="1"/>
  <c r="AO76" i="15"/>
  <c r="AP76" i="15" s="1"/>
  <c r="AM76" i="15"/>
  <c r="AN76" i="15" s="1"/>
  <c r="AK76" i="15"/>
  <c r="AL76" i="15" s="1"/>
  <c r="AI76" i="15"/>
  <c r="AJ76" i="15" s="1"/>
  <c r="AG76" i="15"/>
  <c r="AG81" i="15" s="1"/>
  <c r="AE76" i="15"/>
  <c r="AE81" i="15" s="1"/>
  <c r="AG74" i="15"/>
  <c r="AI74" i="15" s="1"/>
  <c r="AK74" i="15" s="1"/>
  <c r="AM74" i="15" s="1"/>
  <c r="AO74" i="15" s="1"/>
  <c r="AC77" i="15"/>
  <c r="AC78" i="15"/>
  <c r="AC79" i="15"/>
  <c r="R78" i="15"/>
  <c r="R77" i="15"/>
  <c r="T78" i="15"/>
  <c r="T77" i="15"/>
  <c r="V78" i="15"/>
  <c r="V77" i="15"/>
  <c r="X78" i="15"/>
  <c r="X77" i="15"/>
  <c r="Z78" i="15"/>
  <c r="Z77" i="15"/>
  <c r="AB78" i="15"/>
  <c r="AB77" i="15"/>
  <c r="AD78" i="15"/>
  <c r="AD77" i="15"/>
  <c r="AB76" i="15"/>
  <c r="Z76" i="15"/>
  <c r="X76" i="15"/>
  <c r="V76" i="15"/>
  <c r="R76" i="15"/>
  <c r="AA81" i="15"/>
  <c r="Y81" i="15"/>
  <c r="W81" i="15"/>
  <c r="U81" i="15"/>
  <c r="Q81" i="15"/>
  <c r="AA79" i="15"/>
  <c r="Y79" i="15"/>
  <c r="W79" i="15"/>
  <c r="U79" i="15"/>
  <c r="S79" i="15"/>
  <c r="Q79" i="15"/>
  <c r="AA78" i="15"/>
  <c r="Y78" i="15"/>
  <c r="W78" i="15"/>
  <c r="U78" i="15"/>
  <c r="S78" i="15"/>
  <c r="Q78" i="15"/>
  <c r="AA77" i="15"/>
  <c r="Y77" i="15"/>
  <c r="W77" i="15"/>
  <c r="U77" i="15"/>
  <c r="S77" i="15"/>
  <c r="Q77" i="15"/>
  <c r="AA76" i="15"/>
  <c r="Y76" i="15"/>
  <c r="W76" i="15"/>
  <c r="U76" i="15"/>
  <c r="S76" i="15"/>
  <c r="S81" i="15" s="1"/>
  <c r="Q76" i="15"/>
  <c r="P77" i="15"/>
  <c r="CV36" i="15"/>
  <c r="CV35" i="15"/>
  <c r="CV34" i="15"/>
  <c r="CV33" i="15"/>
  <c r="CV32" i="15"/>
  <c r="CV31" i="15"/>
  <c r="CV30" i="15"/>
  <c r="CV29" i="15"/>
  <c r="CV28" i="15"/>
  <c r="CV27" i="15"/>
  <c r="CV26" i="15"/>
  <c r="CV25" i="15"/>
  <c r="CV24" i="15"/>
  <c r="CV23" i="15"/>
  <c r="CV22" i="15"/>
  <c r="CV21" i="15"/>
  <c r="CV20" i="15"/>
  <c r="CV19" i="15"/>
  <c r="CV18" i="15"/>
  <c r="CV17" i="15"/>
  <c r="CV16" i="15"/>
  <c r="CV15" i="15"/>
  <c r="CV14" i="15"/>
  <c r="CV13" i="15"/>
  <c r="CV12" i="15"/>
  <c r="CV11" i="15"/>
  <c r="CV10" i="15"/>
  <c r="CV9" i="15"/>
  <c r="CV8" i="15"/>
  <c r="CV7" i="15"/>
  <c r="CV5" i="15"/>
  <c r="CH36" i="15"/>
  <c r="CH34" i="15"/>
  <c r="CH33" i="15"/>
  <c r="CH32" i="15"/>
  <c r="CH31" i="15"/>
  <c r="CH30" i="15"/>
  <c r="CH29" i="15"/>
  <c r="CH28" i="15"/>
  <c r="CH27" i="15"/>
  <c r="CH26" i="15"/>
  <c r="CH25" i="15"/>
  <c r="CH24" i="15"/>
  <c r="CH23" i="15"/>
  <c r="CH22" i="15"/>
  <c r="CH21" i="15"/>
  <c r="CH20" i="15"/>
  <c r="CH19" i="15"/>
  <c r="CH18" i="15"/>
  <c r="CH17" i="15"/>
  <c r="CH16" i="15"/>
  <c r="CH15" i="15"/>
  <c r="CH14" i="15"/>
  <c r="CH13" i="15"/>
  <c r="CH12" i="15"/>
  <c r="CH11" i="15"/>
  <c r="CH10" i="15"/>
  <c r="CH9" i="15"/>
  <c r="CH8" i="15"/>
  <c r="CH7" i="15"/>
  <c r="CH5" i="15"/>
  <c r="BT36" i="15"/>
  <c r="BT35" i="15"/>
  <c r="BT34" i="15"/>
  <c r="BT33" i="15"/>
  <c r="BT32" i="15"/>
  <c r="BT31" i="15"/>
  <c r="BT30" i="15"/>
  <c r="BT29" i="15"/>
  <c r="BT28" i="15"/>
  <c r="BT27" i="15"/>
  <c r="BT26" i="15"/>
  <c r="BT25" i="15"/>
  <c r="BT24" i="15"/>
  <c r="BT23" i="15"/>
  <c r="BT22" i="15"/>
  <c r="BT21" i="15"/>
  <c r="BT20" i="15"/>
  <c r="BT19" i="15"/>
  <c r="BT18" i="15"/>
  <c r="BT17" i="15"/>
  <c r="BT16" i="15"/>
  <c r="BT15" i="15"/>
  <c r="BT14" i="15"/>
  <c r="BT13" i="15"/>
  <c r="BT12" i="15"/>
  <c r="BT11" i="15"/>
  <c r="BT10" i="15"/>
  <c r="BT9" i="15"/>
  <c r="BT8" i="15"/>
  <c r="BT7" i="15"/>
  <c r="BT5" i="15"/>
  <c r="BF36" i="15"/>
  <c r="BF35" i="15"/>
  <c r="BF34" i="15"/>
  <c r="BF33" i="15"/>
  <c r="BF32" i="15"/>
  <c r="BF31" i="15"/>
  <c r="BF30" i="15"/>
  <c r="BF29" i="15"/>
  <c r="BF28" i="15"/>
  <c r="BF27" i="15"/>
  <c r="BF26" i="15"/>
  <c r="BF25" i="15"/>
  <c r="BF24" i="15"/>
  <c r="BF23" i="15"/>
  <c r="BF22" i="15"/>
  <c r="BF21" i="15"/>
  <c r="BF20" i="15"/>
  <c r="BF19" i="15"/>
  <c r="BF18" i="15"/>
  <c r="BF17" i="15"/>
  <c r="BF16" i="15"/>
  <c r="BF15" i="15"/>
  <c r="BF14" i="15"/>
  <c r="BF13" i="15"/>
  <c r="BF12" i="15"/>
  <c r="BF11" i="15"/>
  <c r="BF10" i="15"/>
  <c r="BF9" i="15"/>
  <c r="BF8" i="15"/>
  <c r="BF7" i="15"/>
  <c r="BF5" i="15"/>
  <c r="AR36" i="15"/>
  <c r="AR35" i="15"/>
  <c r="AR34" i="15"/>
  <c r="AR33" i="15"/>
  <c r="AR32" i="15"/>
  <c r="AR31" i="15"/>
  <c r="AR30" i="15"/>
  <c r="AR29" i="15"/>
  <c r="AR28" i="15"/>
  <c r="AR27" i="15"/>
  <c r="AR26" i="15"/>
  <c r="AR25" i="15"/>
  <c r="AR24" i="15"/>
  <c r="AR23" i="15"/>
  <c r="AR22" i="15"/>
  <c r="AR21" i="15"/>
  <c r="AR20" i="15"/>
  <c r="AR19" i="15"/>
  <c r="AR18" i="15"/>
  <c r="AR17" i="15"/>
  <c r="AR16" i="15"/>
  <c r="AR15" i="15"/>
  <c r="AR14" i="15"/>
  <c r="AR13" i="15"/>
  <c r="AR12" i="15"/>
  <c r="AR11" i="15"/>
  <c r="AR10" i="15"/>
  <c r="AR9" i="15"/>
  <c r="AR8" i="15"/>
  <c r="AR7" i="15"/>
  <c r="AR5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C5" i="15"/>
  <c r="AD5" i="15" s="1"/>
  <c r="CT36" i="15"/>
  <c r="CT35" i="15"/>
  <c r="CT34" i="15"/>
  <c r="CT33" i="15"/>
  <c r="CT32" i="15"/>
  <c r="CT31" i="15"/>
  <c r="CT30" i="15"/>
  <c r="CT29" i="15"/>
  <c r="CT28" i="15"/>
  <c r="CT27" i="15"/>
  <c r="CT26" i="15"/>
  <c r="CT25" i="15"/>
  <c r="CT24" i="15"/>
  <c r="CT23" i="15"/>
  <c r="CT22" i="15"/>
  <c r="CT21" i="15"/>
  <c r="CT20" i="15"/>
  <c r="CT19" i="15"/>
  <c r="CT18" i="15"/>
  <c r="CT17" i="15"/>
  <c r="CT16" i="15"/>
  <c r="CT15" i="15"/>
  <c r="CT14" i="15"/>
  <c r="CT13" i="15"/>
  <c r="CT12" i="15"/>
  <c r="CT11" i="15"/>
  <c r="CT10" i="15"/>
  <c r="CT9" i="15"/>
  <c r="CT8" i="15"/>
  <c r="CT7" i="15"/>
  <c r="CT5" i="15"/>
  <c r="CR36" i="15"/>
  <c r="CR35" i="15"/>
  <c r="CR34" i="15"/>
  <c r="CR33" i="15"/>
  <c r="CR32" i="15"/>
  <c r="CR31" i="15"/>
  <c r="CR30" i="15"/>
  <c r="CR29" i="15"/>
  <c r="CR28" i="15"/>
  <c r="CR27" i="15"/>
  <c r="CR26" i="15"/>
  <c r="CR25" i="15"/>
  <c r="CR24" i="15"/>
  <c r="CR23" i="15"/>
  <c r="CR22" i="15"/>
  <c r="CR21" i="15"/>
  <c r="CR20" i="15"/>
  <c r="CR19" i="15"/>
  <c r="CR18" i="15"/>
  <c r="CR17" i="15"/>
  <c r="CR16" i="15"/>
  <c r="CR15" i="15"/>
  <c r="CR14" i="15"/>
  <c r="CR13" i="15"/>
  <c r="CR12" i="15"/>
  <c r="CR11" i="15"/>
  <c r="CR10" i="15"/>
  <c r="CR9" i="15"/>
  <c r="CR8" i="15"/>
  <c r="CR7" i="15"/>
  <c r="CR5" i="15"/>
  <c r="CP36" i="15"/>
  <c r="CP35" i="15"/>
  <c r="CP34" i="15"/>
  <c r="CP33" i="15"/>
  <c r="CP32" i="15"/>
  <c r="CP31" i="15"/>
  <c r="CP30" i="15"/>
  <c r="CP29" i="15"/>
  <c r="CP28" i="15"/>
  <c r="CP27" i="15"/>
  <c r="CP26" i="15"/>
  <c r="CP25" i="15"/>
  <c r="CP24" i="15"/>
  <c r="CP23" i="15"/>
  <c r="CP22" i="15"/>
  <c r="CP21" i="15"/>
  <c r="CP20" i="15"/>
  <c r="CP19" i="15"/>
  <c r="CP18" i="15"/>
  <c r="CP17" i="15"/>
  <c r="CP16" i="15"/>
  <c r="CP15" i="15"/>
  <c r="CP14" i="15"/>
  <c r="CP13" i="15"/>
  <c r="CP12" i="15"/>
  <c r="CP11" i="15"/>
  <c r="CP10" i="15"/>
  <c r="CP9" i="15"/>
  <c r="CP8" i="15"/>
  <c r="CP7" i="15"/>
  <c r="CP5" i="15"/>
  <c r="CN36" i="15"/>
  <c r="CN35" i="15"/>
  <c r="CN34" i="15"/>
  <c r="CN33" i="15"/>
  <c r="CN32" i="15"/>
  <c r="CN31" i="15"/>
  <c r="CN30" i="15"/>
  <c r="CN29" i="15"/>
  <c r="CN28" i="15"/>
  <c r="CN27" i="15"/>
  <c r="CN26" i="15"/>
  <c r="CN25" i="15"/>
  <c r="CN24" i="15"/>
  <c r="CN23" i="15"/>
  <c r="CN22" i="15"/>
  <c r="CN21" i="15"/>
  <c r="CN20" i="15"/>
  <c r="CN19" i="15"/>
  <c r="CN18" i="15"/>
  <c r="CN17" i="15"/>
  <c r="CN16" i="15"/>
  <c r="CN15" i="15"/>
  <c r="CN14" i="15"/>
  <c r="CN13" i="15"/>
  <c r="CN12" i="15"/>
  <c r="CN11" i="15"/>
  <c r="CN10" i="15"/>
  <c r="CN9" i="15"/>
  <c r="CN8" i="15"/>
  <c r="CN7" i="15"/>
  <c r="CN5" i="15"/>
  <c r="CL36" i="15"/>
  <c r="CL35" i="15"/>
  <c r="CL34" i="15"/>
  <c r="CL33" i="15"/>
  <c r="CL32" i="15"/>
  <c r="CL31" i="15"/>
  <c r="CL30" i="15"/>
  <c r="CL29" i="15"/>
  <c r="CL28" i="15"/>
  <c r="CL27" i="15"/>
  <c r="CL26" i="15"/>
  <c r="CL25" i="15"/>
  <c r="CL24" i="15"/>
  <c r="CL23" i="15"/>
  <c r="CL22" i="15"/>
  <c r="CL21" i="15"/>
  <c r="CL20" i="15"/>
  <c r="CL19" i="15"/>
  <c r="CL18" i="15"/>
  <c r="CL17" i="15"/>
  <c r="CL16" i="15"/>
  <c r="CL15" i="15"/>
  <c r="CL14" i="15"/>
  <c r="CL13" i="15"/>
  <c r="CL12" i="15"/>
  <c r="CL11" i="15"/>
  <c r="CL10" i="15"/>
  <c r="CL9" i="15"/>
  <c r="CL8" i="15"/>
  <c r="CL7" i="15"/>
  <c r="CL5" i="15"/>
  <c r="CJ36" i="15"/>
  <c r="CJ35" i="15"/>
  <c r="CJ34" i="15"/>
  <c r="CJ33" i="15"/>
  <c r="CJ32" i="15"/>
  <c r="CJ31" i="15"/>
  <c r="CJ30" i="15"/>
  <c r="CJ29" i="15"/>
  <c r="CJ28" i="15"/>
  <c r="CJ27" i="15"/>
  <c r="CJ26" i="15"/>
  <c r="CJ25" i="15"/>
  <c r="CJ24" i="15"/>
  <c r="CJ23" i="15"/>
  <c r="CJ22" i="15"/>
  <c r="CJ21" i="15"/>
  <c r="CJ20" i="15"/>
  <c r="CJ19" i="15"/>
  <c r="CJ18" i="15"/>
  <c r="CJ17" i="15"/>
  <c r="CJ16" i="15"/>
  <c r="CJ15" i="15"/>
  <c r="CJ14" i="15"/>
  <c r="CJ13" i="15"/>
  <c r="CJ12" i="15"/>
  <c r="CJ11" i="15"/>
  <c r="CJ10" i="15"/>
  <c r="CJ9" i="15"/>
  <c r="CJ8" i="15"/>
  <c r="CJ7" i="15"/>
  <c r="CJ5" i="15"/>
  <c r="CF36" i="15"/>
  <c r="CF35" i="15"/>
  <c r="CF34" i="15"/>
  <c r="CF33" i="15"/>
  <c r="CF32" i="15"/>
  <c r="CF31" i="15"/>
  <c r="CF30" i="15"/>
  <c r="CF29" i="15"/>
  <c r="CF28" i="15"/>
  <c r="CF27" i="15"/>
  <c r="CF26" i="15"/>
  <c r="CF25" i="15"/>
  <c r="CF24" i="15"/>
  <c r="CF23" i="15"/>
  <c r="CF22" i="15"/>
  <c r="CF21" i="15"/>
  <c r="CF20" i="15"/>
  <c r="CF19" i="15"/>
  <c r="CF18" i="15"/>
  <c r="CF17" i="15"/>
  <c r="CF16" i="15"/>
  <c r="CF15" i="15"/>
  <c r="CF14" i="15"/>
  <c r="CF13" i="15"/>
  <c r="CF12" i="15"/>
  <c r="CF11" i="15"/>
  <c r="CF10" i="15"/>
  <c r="CF9" i="15"/>
  <c r="CF8" i="15"/>
  <c r="CF7" i="15"/>
  <c r="CF5" i="15"/>
  <c r="CD36" i="15"/>
  <c r="CD35" i="15"/>
  <c r="CD34" i="15"/>
  <c r="CD33" i="15"/>
  <c r="CD32" i="15"/>
  <c r="CD31" i="15"/>
  <c r="CD30" i="15"/>
  <c r="CD29" i="15"/>
  <c r="CD28" i="15"/>
  <c r="CD27" i="15"/>
  <c r="CD26" i="15"/>
  <c r="CD25" i="15"/>
  <c r="CD24" i="15"/>
  <c r="CD23" i="15"/>
  <c r="CD22" i="15"/>
  <c r="CD21" i="15"/>
  <c r="CD20" i="15"/>
  <c r="CD19" i="15"/>
  <c r="CD18" i="15"/>
  <c r="CD17" i="15"/>
  <c r="CD16" i="15"/>
  <c r="CD15" i="15"/>
  <c r="CD14" i="15"/>
  <c r="CD13" i="15"/>
  <c r="CD12" i="15"/>
  <c r="CD11" i="15"/>
  <c r="CD10" i="15"/>
  <c r="CD9" i="15"/>
  <c r="CD8" i="15"/>
  <c r="CD7" i="15"/>
  <c r="CD5" i="15"/>
  <c r="CB36" i="15"/>
  <c r="CB35" i="15"/>
  <c r="CB34" i="15"/>
  <c r="CB33" i="15"/>
  <c r="CB32" i="15"/>
  <c r="CB31" i="15"/>
  <c r="CB30" i="15"/>
  <c r="CB29" i="15"/>
  <c r="CB28" i="15"/>
  <c r="CB27" i="15"/>
  <c r="CB26" i="15"/>
  <c r="CB25" i="15"/>
  <c r="CB24" i="15"/>
  <c r="CB23" i="15"/>
  <c r="CB22" i="15"/>
  <c r="CB21" i="15"/>
  <c r="CB20" i="15"/>
  <c r="CB19" i="15"/>
  <c r="CB18" i="15"/>
  <c r="CB17" i="15"/>
  <c r="CB16" i="15"/>
  <c r="CB15" i="15"/>
  <c r="CB14" i="15"/>
  <c r="CB13" i="15"/>
  <c r="CB12" i="15"/>
  <c r="CB11" i="15"/>
  <c r="CB10" i="15"/>
  <c r="CB9" i="15"/>
  <c r="CB8" i="15"/>
  <c r="CB7" i="15"/>
  <c r="CB5" i="15"/>
  <c r="BZ36" i="15"/>
  <c r="BZ35" i="15"/>
  <c r="BZ34" i="15"/>
  <c r="BZ33" i="15"/>
  <c r="BZ32" i="15"/>
  <c r="BZ31" i="15"/>
  <c r="BZ30" i="15"/>
  <c r="BZ29" i="15"/>
  <c r="BZ28" i="15"/>
  <c r="BZ27" i="15"/>
  <c r="BZ26" i="15"/>
  <c r="BZ25" i="15"/>
  <c r="BZ24" i="15"/>
  <c r="BZ23" i="15"/>
  <c r="BZ22" i="15"/>
  <c r="BZ21" i="15"/>
  <c r="BZ20" i="15"/>
  <c r="BZ19" i="15"/>
  <c r="BZ18" i="15"/>
  <c r="BZ17" i="15"/>
  <c r="BZ16" i="15"/>
  <c r="BZ15" i="15"/>
  <c r="BZ14" i="15"/>
  <c r="BZ13" i="15"/>
  <c r="BZ12" i="15"/>
  <c r="BZ11" i="15"/>
  <c r="BZ10" i="15"/>
  <c r="BZ9" i="15"/>
  <c r="BZ8" i="15"/>
  <c r="BZ7" i="15"/>
  <c r="BZ5" i="15"/>
  <c r="BX36" i="15"/>
  <c r="BX35" i="15"/>
  <c r="BX34" i="15"/>
  <c r="BX33" i="15"/>
  <c r="BX32" i="15"/>
  <c r="BX31" i="15"/>
  <c r="BX30" i="15"/>
  <c r="BX29" i="15"/>
  <c r="BX28" i="15"/>
  <c r="BX27" i="15"/>
  <c r="BX26" i="15"/>
  <c r="BX25" i="15"/>
  <c r="BX24" i="15"/>
  <c r="BX23" i="15"/>
  <c r="BX22" i="15"/>
  <c r="BX21" i="15"/>
  <c r="BX20" i="15"/>
  <c r="BX19" i="15"/>
  <c r="BX18" i="15"/>
  <c r="BX17" i="15"/>
  <c r="BX16" i="15"/>
  <c r="BX15" i="15"/>
  <c r="BX14" i="15"/>
  <c r="BX13" i="15"/>
  <c r="BX12" i="15"/>
  <c r="BX11" i="15"/>
  <c r="BX10" i="15"/>
  <c r="BX9" i="15"/>
  <c r="BX8" i="15"/>
  <c r="BX7" i="15"/>
  <c r="BX5" i="15"/>
  <c r="BV36" i="15"/>
  <c r="BV35" i="15"/>
  <c r="BV34" i="15"/>
  <c r="BV33" i="15"/>
  <c r="BV32" i="15"/>
  <c r="BV31" i="15"/>
  <c r="BV30" i="15"/>
  <c r="BV29" i="15"/>
  <c r="BV28" i="15"/>
  <c r="BV27" i="15"/>
  <c r="BV26" i="15"/>
  <c r="BV25" i="15"/>
  <c r="BV24" i="15"/>
  <c r="BV23" i="15"/>
  <c r="BV22" i="15"/>
  <c r="BV21" i="15"/>
  <c r="BV20" i="15"/>
  <c r="BV19" i="15"/>
  <c r="BV18" i="15"/>
  <c r="BV17" i="15"/>
  <c r="BV16" i="15"/>
  <c r="BV15" i="15"/>
  <c r="BV14" i="15"/>
  <c r="BV13" i="15"/>
  <c r="BV12" i="15"/>
  <c r="BV11" i="15"/>
  <c r="BV10" i="15"/>
  <c r="BV9" i="15"/>
  <c r="BV8" i="15"/>
  <c r="BV7" i="15"/>
  <c r="BV5" i="15"/>
  <c r="BR36" i="15"/>
  <c r="BR35" i="15"/>
  <c r="BR34" i="15"/>
  <c r="BR33" i="15"/>
  <c r="BR32" i="15"/>
  <c r="BR31" i="15"/>
  <c r="BR30" i="15"/>
  <c r="BR29" i="15"/>
  <c r="BR28" i="15"/>
  <c r="BR27" i="15"/>
  <c r="BR26" i="15"/>
  <c r="BR25" i="15"/>
  <c r="BR24" i="15"/>
  <c r="BR23" i="15"/>
  <c r="BR22" i="15"/>
  <c r="BR21" i="15"/>
  <c r="BR20" i="15"/>
  <c r="BR19" i="15"/>
  <c r="BR18" i="15"/>
  <c r="BR17" i="15"/>
  <c r="BR16" i="15"/>
  <c r="BR15" i="15"/>
  <c r="BR14" i="15"/>
  <c r="BR13" i="15"/>
  <c r="BR12" i="15"/>
  <c r="BR11" i="15"/>
  <c r="BR10" i="15"/>
  <c r="BR9" i="15"/>
  <c r="BR8" i="15"/>
  <c r="BR7" i="15"/>
  <c r="BR5" i="15"/>
  <c r="BP36" i="15"/>
  <c r="BP35" i="15"/>
  <c r="BP34" i="15"/>
  <c r="BP33" i="15"/>
  <c r="BP32" i="15"/>
  <c r="BP31" i="15"/>
  <c r="BP30" i="15"/>
  <c r="BP29" i="15"/>
  <c r="BP28" i="15"/>
  <c r="BP27" i="15"/>
  <c r="BP26" i="15"/>
  <c r="BP25" i="15"/>
  <c r="BP24" i="15"/>
  <c r="BP23" i="15"/>
  <c r="BP22" i="15"/>
  <c r="BP21" i="15"/>
  <c r="BP20" i="15"/>
  <c r="BP19" i="15"/>
  <c r="BP18" i="15"/>
  <c r="BP17" i="15"/>
  <c r="BP16" i="15"/>
  <c r="BP15" i="15"/>
  <c r="BP14" i="15"/>
  <c r="BP13" i="15"/>
  <c r="BP12" i="15"/>
  <c r="BP11" i="15"/>
  <c r="BP10" i="15"/>
  <c r="BP9" i="15"/>
  <c r="BP8" i="15"/>
  <c r="BP7" i="15"/>
  <c r="BP5" i="15"/>
  <c r="BN36" i="15"/>
  <c r="BN35" i="15"/>
  <c r="BN34" i="15"/>
  <c r="BN33" i="15"/>
  <c r="BN32" i="15"/>
  <c r="BN31" i="15"/>
  <c r="BN30" i="15"/>
  <c r="BN29" i="15"/>
  <c r="BN28" i="15"/>
  <c r="BN27" i="15"/>
  <c r="BN26" i="15"/>
  <c r="BN25" i="15"/>
  <c r="BN24" i="15"/>
  <c r="BN23" i="15"/>
  <c r="BN22" i="15"/>
  <c r="BN21" i="15"/>
  <c r="BN20" i="15"/>
  <c r="BN19" i="15"/>
  <c r="BN18" i="15"/>
  <c r="BN17" i="15"/>
  <c r="BN16" i="15"/>
  <c r="BN15" i="15"/>
  <c r="BN14" i="15"/>
  <c r="BN13" i="15"/>
  <c r="BN12" i="15"/>
  <c r="BN11" i="15"/>
  <c r="BN10" i="15"/>
  <c r="BN9" i="15"/>
  <c r="BN8" i="15"/>
  <c r="BN7" i="15"/>
  <c r="BN5" i="15"/>
  <c r="BL36" i="15"/>
  <c r="BL35" i="15"/>
  <c r="BL34" i="15"/>
  <c r="BL33" i="15"/>
  <c r="BL32" i="15"/>
  <c r="BL31" i="15"/>
  <c r="BL30" i="15"/>
  <c r="BL29" i="15"/>
  <c r="BL28" i="15"/>
  <c r="BL27" i="15"/>
  <c r="BL26" i="15"/>
  <c r="BL25" i="15"/>
  <c r="BL24" i="15"/>
  <c r="BL23" i="15"/>
  <c r="BL22" i="15"/>
  <c r="BL21" i="15"/>
  <c r="BL20" i="15"/>
  <c r="BL19" i="15"/>
  <c r="BL18" i="15"/>
  <c r="BL17" i="15"/>
  <c r="BL16" i="15"/>
  <c r="BL15" i="15"/>
  <c r="BL14" i="15"/>
  <c r="BL13" i="15"/>
  <c r="BL12" i="15"/>
  <c r="BL11" i="15"/>
  <c r="BL10" i="15"/>
  <c r="BL9" i="15"/>
  <c r="BL8" i="15"/>
  <c r="BL7" i="15"/>
  <c r="BL5" i="15"/>
  <c r="BJ36" i="15"/>
  <c r="BJ35" i="15"/>
  <c r="BJ34" i="15"/>
  <c r="BJ33" i="15"/>
  <c r="BJ32" i="15"/>
  <c r="BJ31" i="15"/>
  <c r="BJ30" i="15"/>
  <c r="BJ29" i="15"/>
  <c r="BJ28" i="15"/>
  <c r="BJ27" i="15"/>
  <c r="BJ26" i="15"/>
  <c r="BJ25" i="15"/>
  <c r="BJ24" i="15"/>
  <c r="BJ23" i="15"/>
  <c r="BJ22" i="15"/>
  <c r="BJ21" i="15"/>
  <c r="BJ20" i="15"/>
  <c r="BJ19" i="15"/>
  <c r="BJ18" i="15"/>
  <c r="BJ17" i="15"/>
  <c r="BJ16" i="15"/>
  <c r="BJ15" i="15"/>
  <c r="BJ14" i="15"/>
  <c r="BJ13" i="15"/>
  <c r="BJ12" i="15"/>
  <c r="BJ11" i="15"/>
  <c r="BJ10" i="15"/>
  <c r="BJ9" i="15"/>
  <c r="BJ8" i="15"/>
  <c r="BJ7" i="15"/>
  <c r="BJ5" i="15"/>
  <c r="BH36" i="15"/>
  <c r="BH35" i="15"/>
  <c r="BH34" i="15"/>
  <c r="BH33" i="15"/>
  <c r="BH32" i="15"/>
  <c r="BH31" i="15"/>
  <c r="BH30" i="15"/>
  <c r="BH29" i="15"/>
  <c r="BH28" i="15"/>
  <c r="BH27" i="15"/>
  <c r="BH26" i="15"/>
  <c r="BH25" i="15"/>
  <c r="BH24" i="15"/>
  <c r="BH23" i="15"/>
  <c r="BH22" i="15"/>
  <c r="BH21" i="15"/>
  <c r="BH20" i="15"/>
  <c r="BH19" i="15"/>
  <c r="BH18" i="15"/>
  <c r="BH17" i="15"/>
  <c r="BH16" i="15"/>
  <c r="BH15" i="15"/>
  <c r="BH14" i="15"/>
  <c r="BH13" i="15"/>
  <c r="BH12" i="15"/>
  <c r="BH11" i="15"/>
  <c r="BH10" i="15"/>
  <c r="BH9" i="15"/>
  <c r="BH8" i="15"/>
  <c r="BH7" i="15"/>
  <c r="BH5" i="15"/>
  <c r="BD36" i="15"/>
  <c r="BD35" i="15"/>
  <c r="BD34" i="15"/>
  <c r="BD33" i="15"/>
  <c r="BD32" i="15"/>
  <c r="BD31" i="15"/>
  <c r="BD30" i="15"/>
  <c r="BD29" i="15"/>
  <c r="BD28" i="15"/>
  <c r="BD27" i="15"/>
  <c r="BD26" i="15"/>
  <c r="BD25" i="15"/>
  <c r="BD24" i="15"/>
  <c r="BD23" i="15"/>
  <c r="BD22" i="15"/>
  <c r="BD21" i="15"/>
  <c r="BD20" i="15"/>
  <c r="BD19" i="15"/>
  <c r="BD18" i="15"/>
  <c r="BD17" i="15"/>
  <c r="BD16" i="15"/>
  <c r="BD15" i="15"/>
  <c r="BD14" i="15"/>
  <c r="BD13" i="15"/>
  <c r="BD12" i="15"/>
  <c r="BD11" i="15"/>
  <c r="BD10" i="15"/>
  <c r="BD9" i="15"/>
  <c r="BD8" i="15"/>
  <c r="BD7" i="15"/>
  <c r="BD5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8" i="15"/>
  <c r="BB7" i="15"/>
  <c r="BB5" i="15"/>
  <c r="AZ36" i="15"/>
  <c r="AZ35" i="15"/>
  <c r="AZ34" i="15"/>
  <c r="AZ33" i="15"/>
  <c r="AZ32" i="15"/>
  <c r="AZ31" i="15"/>
  <c r="AZ30" i="15"/>
  <c r="AZ29" i="15"/>
  <c r="AZ28" i="15"/>
  <c r="AZ27" i="15"/>
  <c r="AZ26" i="15"/>
  <c r="AZ25" i="15"/>
  <c r="AZ24" i="15"/>
  <c r="AZ23" i="15"/>
  <c r="AZ22" i="15"/>
  <c r="AZ21" i="15"/>
  <c r="AZ20" i="15"/>
  <c r="AZ19" i="15"/>
  <c r="AZ18" i="15"/>
  <c r="AZ17" i="15"/>
  <c r="AZ16" i="15"/>
  <c r="AZ15" i="15"/>
  <c r="AZ14" i="15"/>
  <c r="AZ13" i="15"/>
  <c r="AZ12" i="15"/>
  <c r="AZ11" i="15"/>
  <c r="AZ10" i="15"/>
  <c r="AZ9" i="15"/>
  <c r="AZ8" i="15"/>
  <c r="AZ7" i="15"/>
  <c r="AZ5" i="15"/>
  <c r="AX36" i="15"/>
  <c r="AX35" i="15"/>
  <c r="AX34" i="15"/>
  <c r="AX33" i="15"/>
  <c r="AX32" i="15"/>
  <c r="AX31" i="15"/>
  <c r="AX30" i="15"/>
  <c r="AX29" i="15"/>
  <c r="AX28" i="15"/>
  <c r="AX27" i="15"/>
  <c r="AX26" i="15"/>
  <c r="AX25" i="15"/>
  <c r="AX24" i="15"/>
  <c r="AX23" i="15"/>
  <c r="AX22" i="15"/>
  <c r="AX21" i="15"/>
  <c r="AX20" i="15"/>
  <c r="AX19" i="15"/>
  <c r="AX18" i="15"/>
  <c r="AX17" i="15"/>
  <c r="AX16" i="15"/>
  <c r="AX15" i="15"/>
  <c r="AX14" i="15"/>
  <c r="AX13" i="15"/>
  <c r="AX12" i="15"/>
  <c r="AX11" i="15"/>
  <c r="AX10" i="15"/>
  <c r="AX9" i="15"/>
  <c r="AX8" i="15"/>
  <c r="AX7" i="15"/>
  <c r="AX5" i="15"/>
  <c r="AV36" i="15"/>
  <c r="AV35" i="15"/>
  <c r="AV34" i="15"/>
  <c r="AV33" i="15"/>
  <c r="AV32" i="15"/>
  <c r="AV31" i="15"/>
  <c r="AV30" i="15"/>
  <c r="AV29" i="15"/>
  <c r="AV28" i="15"/>
  <c r="AV27" i="15"/>
  <c r="AV26" i="15"/>
  <c r="AV25" i="15"/>
  <c r="AV24" i="15"/>
  <c r="AV23" i="15"/>
  <c r="AV22" i="15"/>
  <c r="AV21" i="15"/>
  <c r="AV20" i="15"/>
  <c r="AV19" i="15"/>
  <c r="AV18" i="15"/>
  <c r="AV17" i="15"/>
  <c r="AV16" i="15"/>
  <c r="AV15" i="15"/>
  <c r="AV14" i="15"/>
  <c r="AV13" i="15"/>
  <c r="AV12" i="15"/>
  <c r="AV11" i="15"/>
  <c r="AV10" i="15"/>
  <c r="AV9" i="15"/>
  <c r="AV8" i="15"/>
  <c r="AV7" i="15"/>
  <c r="AV5" i="15"/>
  <c r="AT36" i="15"/>
  <c r="AT35" i="15"/>
  <c r="AT34" i="15"/>
  <c r="AT33" i="15"/>
  <c r="AT32" i="15"/>
  <c r="AT31" i="15"/>
  <c r="AT30" i="15"/>
  <c r="AT29" i="15"/>
  <c r="AT28" i="15"/>
  <c r="AT27" i="15"/>
  <c r="AT26" i="15"/>
  <c r="AT25" i="15"/>
  <c r="AT24" i="15"/>
  <c r="AT23" i="15"/>
  <c r="AT22" i="15"/>
  <c r="AT21" i="15"/>
  <c r="AT20" i="15"/>
  <c r="AT19" i="15"/>
  <c r="AT18" i="15"/>
  <c r="AT17" i="15"/>
  <c r="AT16" i="15"/>
  <c r="AT15" i="15"/>
  <c r="AT14" i="15"/>
  <c r="AT13" i="15"/>
  <c r="AT12" i="15"/>
  <c r="AT11" i="15"/>
  <c r="AT10" i="15"/>
  <c r="AT9" i="15"/>
  <c r="AT8" i="15"/>
  <c r="AT7" i="15"/>
  <c r="AT5" i="15"/>
  <c r="AP36" i="15"/>
  <c r="AP35" i="15"/>
  <c r="AP34" i="15"/>
  <c r="AP33" i="15"/>
  <c r="AP32" i="15"/>
  <c r="AP31" i="15"/>
  <c r="AP30" i="15"/>
  <c r="AP29" i="15"/>
  <c r="AP28" i="15"/>
  <c r="AP27" i="15"/>
  <c r="AP26" i="15"/>
  <c r="AP25" i="15"/>
  <c r="AP24" i="15"/>
  <c r="AP23" i="15"/>
  <c r="AP22" i="15"/>
  <c r="AP21" i="15"/>
  <c r="AP20" i="15"/>
  <c r="AP19" i="15"/>
  <c r="AP18" i="15"/>
  <c r="AP17" i="15"/>
  <c r="AP16" i="15"/>
  <c r="AP15" i="15"/>
  <c r="AP14" i="15"/>
  <c r="AP13" i="15"/>
  <c r="AP12" i="15"/>
  <c r="AP11" i="15"/>
  <c r="AP10" i="15"/>
  <c r="AP9" i="15"/>
  <c r="AP8" i="15"/>
  <c r="AP7" i="15"/>
  <c r="AP5" i="15"/>
  <c r="AN36" i="15"/>
  <c r="AN35" i="15"/>
  <c r="AN34" i="15"/>
  <c r="AN33" i="15"/>
  <c r="AN32" i="15"/>
  <c r="AN31" i="15"/>
  <c r="AN30" i="15"/>
  <c r="AN29" i="15"/>
  <c r="AN28" i="15"/>
  <c r="AN27" i="15"/>
  <c r="AN26" i="15"/>
  <c r="AN25" i="15"/>
  <c r="AN24" i="15"/>
  <c r="AN23" i="15"/>
  <c r="AN22" i="15"/>
  <c r="AN21" i="15"/>
  <c r="AN20" i="15"/>
  <c r="AN19" i="15"/>
  <c r="AN18" i="15"/>
  <c r="AN17" i="15"/>
  <c r="AN16" i="15"/>
  <c r="AN15" i="15"/>
  <c r="AN14" i="15"/>
  <c r="AN13" i="15"/>
  <c r="AN12" i="15"/>
  <c r="AN11" i="15"/>
  <c r="AN10" i="15"/>
  <c r="AN9" i="15"/>
  <c r="AN8" i="15"/>
  <c r="AN7" i="15"/>
  <c r="AN5" i="15"/>
  <c r="AL36" i="15"/>
  <c r="AL35" i="15"/>
  <c r="AL34" i="15"/>
  <c r="AL33" i="15"/>
  <c r="AL32" i="15"/>
  <c r="AL31" i="15"/>
  <c r="AL30" i="15"/>
  <c r="AL29" i="15"/>
  <c r="AL28" i="15"/>
  <c r="AL27" i="15"/>
  <c r="AL26" i="15"/>
  <c r="AL25" i="15"/>
  <c r="AL24" i="15"/>
  <c r="AL23" i="15"/>
  <c r="AL22" i="15"/>
  <c r="AL21" i="15"/>
  <c r="AL20" i="15"/>
  <c r="AL19" i="15"/>
  <c r="AL18" i="15"/>
  <c r="AL17" i="15"/>
  <c r="AL16" i="15"/>
  <c r="AL15" i="15"/>
  <c r="AL14" i="15"/>
  <c r="AL13" i="15"/>
  <c r="AL12" i="15"/>
  <c r="AL11" i="15"/>
  <c r="AL10" i="15"/>
  <c r="AL9" i="15"/>
  <c r="AL8" i="15"/>
  <c r="AL7" i="15"/>
  <c r="AL5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5" i="15"/>
  <c r="AH36" i="15"/>
  <c r="AH35" i="15"/>
  <c r="AH34" i="15"/>
  <c r="AH33" i="15"/>
  <c r="AH32" i="15"/>
  <c r="AH31" i="15"/>
  <c r="AH30" i="15"/>
  <c r="AH29" i="15"/>
  <c r="AH28" i="15"/>
  <c r="AH27" i="15"/>
  <c r="AH26" i="15"/>
  <c r="AH25" i="15"/>
  <c r="AH24" i="15"/>
  <c r="AH23" i="15"/>
  <c r="AH22" i="15"/>
  <c r="AH21" i="15"/>
  <c r="AH20" i="15"/>
  <c r="AH19" i="15"/>
  <c r="AH18" i="15"/>
  <c r="AH17" i="15"/>
  <c r="AH16" i="15"/>
  <c r="AH15" i="15"/>
  <c r="AH14" i="15"/>
  <c r="AH13" i="15"/>
  <c r="AH12" i="15"/>
  <c r="AH11" i="15"/>
  <c r="AH10" i="15"/>
  <c r="AH9" i="15"/>
  <c r="AH8" i="15"/>
  <c r="AH7" i="15"/>
  <c r="AH5" i="15"/>
  <c r="AF36" i="15"/>
  <c r="AF35" i="15"/>
  <c r="AF34" i="15"/>
  <c r="AF33" i="15"/>
  <c r="AF32" i="15"/>
  <c r="AF31" i="15"/>
  <c r="AF30" i="15"/>
  <c r="AF29" i="15"/>
  <c r="AF28" i="15"/>
  <c r="AF27" i="15"/>
  <c r="AF26" i="15"/>
  <c r="AF25" i="15"/>
  <c r="AF24" i="15"/>
  <c r="AF23" i="15"/>
  <c r="AF22" i="15"/>
  <c r="AF21" i="15"/>
  <c r="AF20" i="15"/>
  <c r="AF19" i="15"/>
  <c r="AF18" i="15"/>
  <c r="AF17" i="15"/>
  <c r="AF16" i="15"/>
  <c r="AF15" i="15"/>
  <c r="AF14" i="15"/>
  <c r="AF13" i="15"/>
  <c r="AF12" i="15"/>
  <c r="AF11" i="15"/>
  <c r="AF10" i="15"/>
  <c r="AF9" i="15"/>
  <c r="AF8" i="15"/>
  <c r="AF7" i="15"/>
  <c r="AF5" i="15"/>
  <c r="AB36" i="15"/>
  <c r="AB35" i="15"/>
  <c r="AB34" i="15"/>
  <c r="AB33" i="15"/>
  <c r="AB32" i="15"/>
  <c r="AB31" i="15"/>
  <c r="AB30" i="15"/>
  <c r="AB29" i="15"/>
  <c r="AB28" i="15"/>
  <c r="AB27" i="15"/>
  <c r="AB26" i="15"/>
  <c r="AB25" i="15"/>
  <c r="AB24" i="15"/>
  <c r="AB23" i="15"/>
  <c r="AB22" i="15"/>
  <c r="AB21" i="15"/>
  <c r="AB20" i="15"/>
  <c r="AB19" i="15"/>
  <c r="AB18" i="15"/>
  <c r="AB17" i="15"/>
  <c r="AB16" i="15"/>
  <c r="AB15" i="15"/>
  <c r="AB14" i="15"/>
  <c r="AB13" i="15"/>
  <c r="AB12" i="15"/>
  <c r="AB11" i="15"/>
  <c r="AB10" i="15"/>
  <c r="AB9" i="15"/>
  <c r="AB8" i="15"/>
  <c r="AB7" i="15"/>
  <c r="AB5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5" i="15"/>
  <c r="X36" i="15"/>
  <c r="X35" i="15"/>
  <c r="X34" i="15"/>
  <c r="X33" i="15"/>
  <c r="X32" i="15"/>
  <c r="X31" i="15"/>
  <c r="X30" i="15"/>
  <c r="X29" i="15"/>
  <c r="X28" i="15"/>
  <c r="X27" i="15"/>
  <c r="X26" i="15"/>
  <c r="X25" i="15"/>
  <c r="X24" i="15"/>
  <c r="X23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X8" i="15"/>
  <c r="X7" i="15"/>
  <c r="X5" i="15"/>
  <c r="V54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7" i="15"/>
  <c r="V5" i="15"/>
  <c r="AG62" i="15"/>
  <c r="AI62" i="15"/>
  <c r="AK62" i="15"/>
  <c r="T53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5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5" i="15"/>
  <c r="CU61" i="15"/>
  <c r="CG61" i="15"/>
  <c r="BS61" i="15"/>
  <c r="BE61" i="15"/>
  <c r="AQ61" i="15"/>
  <c r="AC61" i="15"/>
  <c r="CU60" i="15"/>
  <c r="CG60" i="15"/>
  <c r="BS60" i="15"/>
  <c r="BE60" i="15"/>
  <c r="AQ60" i="15"/>
  <c r="AC60" i="15"/>
  <c r="S74" i="15"/>
  <c r="U74" i="15" s="1"/>
  <c r="W74" i="15" s="1"/>
  <c r="Y74" i="15" s="1"/>
  <c r="AA74" i="15" s="1"/>
  <c r="O79" i="15"/>
  <c r="O78" i="15"/>
  <c r="O77" i="15"/>
  <c r="CS62" i="15"/>
  <c r="CQ62" i="15"/>
  <c r="CO62" i="15"/>
  <c r="CM62" i="15"/>
  <c r="CK62" i="15"/>
  <c r="CI62" i="15"/>
  <c r="CE62" i="15"/>
  <c r="CC62" i="15"/>
  <c r="CA62" i="15"/>
  <c r="BY62" i="15"/>
  <c r="BW62" i="15"/>
  <c r="BU62" i="15"/>
  <c r="BQ62" i="15"/>
  <c r="BO62" i="15"/>
  <c r="BM62" i="15"/>
  <c r="BK62" i="15"/>
  <c r="BI62" i="15"/>
  <c r="BG62" i="15"/>
  <c r="BC62" i="15"/>
  <c r="BA62" i="15"/>
  <c r="AY62" i="15"/>
  <c r="AW62" i="15"/>
  <c r="AU62" i="15"/>
  <c r="AS62" i="15"/>
  <c r="AO62" i="15"/>
  <c r="AM62" i="15"/>
  <c r="AE62" i="15"/>
  <c r="AA62" i="15"/>
  <c r="Y62" i="15"/>
  <c r="W62" i="15"/>
  <c r="U62" i="15"/>
  <c r="S62" i="15"/>
  <c r="Q62" i="15"/>
  <c r="CU59" i="15"/>
  <c r="CG59" i="15"/>
  <c r="BS59" i="15"/>
  <c r="CU58" i="15"/>
  <c r="CG58" i="15"/>
  <c r="BS58" i="15"/>
  <c r="CU57" i="15"/>
  <c r="CG57" i="15"/>
  <c r="BS57" i="15"/>
  <c r="CU56" i="15"/>
  <c r="CG56" i="15"/>
  <c r="BS56" i="15"/>
  <c r="CU55" i="15"/>
  <c r="CG55" i="15"/>
  <c r="BS55" i="15"/>
  <c r="CU54" i="15"/>
  <c r="CG54" i="15"/>
  <c r="BS54" i="15"/>
  <c r="CU53" i="15"/>
  <c r="CG53" i="15"/>
  <c r="BS53" i="15"/>
  <c r="CU52" i="15"/>
  <c r="CG52" i="15"/>
  <c r="BS52" i="15"/>
  <c r="CU51" i="15"/>
  <c r="CG51" i="15"/>
  <c r="BS51" i="15"/>
  <c r="CU50" i="15"/>
  <c r="CG50" i="15"/>
  <c r="BS50" i="15"/>
  <c r="CU49" i="15"/>
  <c r="CG49" i="15"/>
  <c r="BS49" i="15"/>
  <c r="CU48" i="15"/>
  <c r="CG48" i="15"/>
  <c r="BS48" i="15"/>
  <c r="CU47" i="15"/>
  <c r="CG47" i="15"/>
  <c r="BS47" i="15"/>
  <c r="CU46" i="15"/>
  <c r="CG46" i="15"/>
  <c r="BS46" i="15"/>
  <c r="CU45" i="15"/>
  <c r="CG45" i="15"/>
  <c r="BS45" i="15"/>
  <c r="CU44" i="15"/>
  <c r="CG44" i="15"/>
  <c r="BS44" i="15"/>
  <c r="CU43" i="15"/>
  <c r="CG43" i="15"/>
  <c r="BS43" i="15"/>
  <c r="CU42" i="15"/>
  <c r="CG42" i="15"/>
  <c r="BS42" i="15"/>
  <c r="CU41" i="15"/>
  <c r="CG41" i="15"/>
  <c r="BS41" i="15"/>
  <c r="CU40" i="15"/>
  <c r="CG40" i="15"/>
  <c r="BS40" i="15"/>
  <c r="CU39" i="15"/>
  <c r="CG39" i="15"/>
  <c r="BS39" i="15"/>
  <c r="CU38" i="15"/>
  <c r="CG38" i="15"/>
  <c r="BS38" i="15"/>
  <c r="CU37" i="15"/>
  <c r="CG37" i="15"/>
  <c r="BS37" i="15"/>
  <c r="CU36" i="15"/>
  <c r="CG36" i="15"/>
  <c r="BS36" i="15"/>
  <c r="CU35" i="15"/>
  <c r="CG35" i="15"/>
  <c r="CH35" i="15" s="1"/>
  <c r="BS35" i="15"/>
  <c r="CU34" i="15"/>
  <c r="CG34" i="15"/>
  <c r="BS34" i="15"/>
  <c r="CU33" i="15"/>
  <c r="CG33" i="15"/>
  <c r="BS33" i="15"/>
  <c r="CU32" i="15"/>
  <c r="CG32" i="15"/>
  <c r="BS32" i="15"/>
  <c r="CU31" i="15"/>
  <c r="CG31" i="15"/>
  <c r="BS31" i="15"/>
  <c r="CU30" i="15"/>
  <c r="CG30" i="15"/>
  <c r="BS30" i="15"/>
  <c r="CU29" i="15"/>
  <c r="CG29" i="15"/>
  <c r="BS29" i="15"/>
  <c r="CU28" i="15"/>
  <c r="CG28" i="15"/>
  <c r="BS28" i="15"/>
  <c r="CU27" i="15"/>
  <c r="CG27" i="15"/>
  <c r="BS27" i="15"/>
  <c r="CU26" i="15"/>
  <c r="CG26" i="15"/>
  <c r="BS26" i="15"/>
  <c r="CU25" i="15"/>
  <c r="CG25" i="15"/>
  <c r="BS25" i="15"/>
  <c r="CU24" i="15"/>
  <c r="CG24" i="15"/>
  <c r="BS24" i="15"/>
  <c r="CU23" i="15"/>
  <c r="CG23" i="15"/>
  <c r="BS23" i="15"/>
  <c r="CU22" i="15"/>
  <c r="CG22" i="15"/>
  <c r="BS22" i="15"/>
  <c r="CU21" i="15"/>
  <c r="CG21" i="15"/>
  <c r="BS21" i="15"/>
  <c r="CU20" i="15"/>
  <c r="CG20" i="15"/>
  <c r="BS20" i="15"/>
  <c r="CU19" i="15"/>
  <c r="CG19" i="15"/>
  <c r="BS19" i="15"/>
  <c r="CU18" i="15"/>
  <c r="CG18" i="15"/>
  <c r="BS18" i="15"/>
  <c r="CU17" i="15"/>
  <c r="CG17" i="15"/>
  <c r="BS17" i="15"/>
  <c r="CU16" i="15"/>
  <c r="CG16" i="15"/>
  <c r="BS16" i="15"/>
  <c r="CU15" i="15"/>
  <c r="CG15" i="15"/>
  <c r="BS15" i="15"/>
  <c r="CU14" i="15"/>
  <c r="CG14" i="15"/>
  <c r="BS14" i="15"/>
  <c r="CU13" i="15"/>
  <c r="CG13" i="15"/>
  <c r="BS13" i="15"/>
  <c r="CU12" i="15"/>
  <c r="CG12" i="15"/>
  <c r="BS12" i="15"/>
  <c r="CU11" i="15"/>
  <c r="CG11" i="15"/>
  <c r="BS11" i="15"/>
  <c r="CU10" i="15"/>
  <c r="CG10" i="15"/>
  <c r="BS10" i="15"/>
  <c r="CU9" i="15"/>
  <c r="CG9" i="15"/>
  <c r="BS9" i="15"/>
  <c r="CU8" i="15"/>
  <c r="CG8" i="15"/>
  <c r="BS8" i="15"/>
  <c r="CU7" i="15"/>
  <c r="CG7" i="15"/>
  <c r="BS7" i="15"/>
  <c r="CU6" i="15"/>
  <c r="CG6" i="15"/>
  <c r="BS6" i="15"/>
  <c r="CU5" i="15"/>
  <c r="CG5" i="15"/>
  <c r="BS5" i="15"/>
  <c r="BE59" i="15"/>
  <c r="BE58" i="15"/>
  <c r="BE57" i="15"/>
  <c r="BE56" i="15"/>
  <c r="BE55" i="15"/>
  <c r="BE54" i="15"/>
  <c r="BE53" i="15"/>
  <c r="BE52" i="15"/>
  <c r="BE51" i="15"/>
  <c r="BE50" i="15"/>
  <c r="BE49" i="15"/>
  <c r="BE48" i="15"/>
  <c r="BE47" i="15"/>
  <c r="BE46" i="15"/>
  <c r="BE45" i="15"/>
  <c r="BE44" i="15"/>
  <c r="BE43" i="15"/>
  <c r="BE42" i="15"/>
  <c r="BE41" i="15"/>
  <c r="BE40" i="15"/>
  <c r="BE39" i="15"/>
  <c r="BE38" i="15"/>
  <c r="BE37" i="15"/>
  <c r="BE36" i="15"/>
  <c r="BE35" i="15"/>
  <c r="BE34" i="15"/>
  <c r="BE33" i="15"/>
  <c r="BE32" i="15"/>
  <c r="BE31" i="15"/>
  <c r="BE30" i="15"/>
  <c r="BE29" i="15"/>
  <c r="BE28" i="15"/>
  <c r="BE27" i="15"/>
  <c r="BE26" i="15"/>
  <c r="BE25" i="15"/>
  <c r="BE24" i="15"/>
  <c r="BE23" i="15"/>
  <c r="BE22" i="15"/>
  <c r="BE21" i="15"/>
  <c r="BE20" i="15"/>
  <c r="BE19" i="15"/>
  <c r="BE18" i="15"/>
  <c r="BE17" i="15"/>
  <c r="BE16" i="15"/>
  <c r="BE15" i="15"/>
  <c r="BE14" i="15"/>
  <c r="BE13" i="15"/>
  <c r="BE12" i="15"/>
  <c r="BE11" i="15"/>
  <c r="BE10" i="15"/>
  <c r="BE9" i="15"/>
  <c r="BE8" i="15"/>
  <c r="BE7" i="15"/>
  <c r="BE6" i="15"/>
  <c r="BE5" i="15"/>
  <c r="AQ59" i="15"/>
  <c r="AQ58" i="15"/>
  <c r="AQ57" i="15"/>
  <c r="AQ56" i="15"/>
  <c r="AQ55" i="15"/>
  <c r="AQ54" i="15"/>
  <c r="AQ53" i="15"/>
  <c r="AQ52" i="15"/>
  <c r="AQ51" i="15"/>
  <c r="AQ50" i="15"/>
  <c r="AQ49" i="15"/>
  <c r="AQ48" i="15"/>
  <c r="AQ47" i="15"/>
  <c r="AQ46" i="15"/>
  <c r="AQ45" i="15"/>
  <c r="AQ44" i="15"/>
  <c r="AQ43" i="15"/>
  <c r="AQ42" i="15"/>
  <c r="AQ41" i="15"/>
  <c r="AQ40" i="15"/>
  <c r="AQ39" i="15"/>
  <c r="AQ38" i="15"/>
  <c r="AQ37" i="15"/>
  <c r="AQ36" i="15"/>
  <c r="AQ35" i="15"/>
  <c r="AQ34" i="15"/>
  <c r="AQ33" i="15"/>
  <c r="AQ32" i="15"/>
  <c r="AQ31" i="15"/>
  <c r="AQ30" i="15"/>
  <c r="AQ29" i="15"/>
  <c r="AQ28" i="15"/>
  <c r="AQ27" i="15"/>
  <c r="AQ26" i="15"/>
  <c r="AQ25" i="15"/>
  <c r="AQ24" i="15"/>
  <c r="AQ23" i="15"/>
  <c r="AQ22" i="15"/>
  <c r="AQ21" i="15"/>
  <c r="AQ20" i="15"/>
  <c r="AQ19" i="15"/>
  <c r="AQ18" i="15"/>
  <c r="AQ17" i="15"/>
  <c r="AQ16" i="15"/>
  <c r="AQ15" i="15"/>
  <c r="AQ14" i="15"/>
  <c r="AQ13" i="15"/>
  <c r="AQ12" i="15"/>
  <c r="AQ11" i="15"/>
  <c r="AQ10" i="15"/>
  <c r="AQ9" i="15"/>
  <c r="AQ8" i="15"/>
  <c r="AQ7" i="15"/>
  <c r="AQ6" i="15"/>
  <c r="AQ5" i="15"/>
  <c r="AC31" i="15"/>
  <c r="AC34" i="15"/>
  <c r="AC35" i="15"/>
  <c r="AC43" i="15"/>
  <c r="AC54" i="15"/>
  <c r="AC55" i="15"/>
  <c r="AC58" i="15"/>
  <c r="AC59" i="15"/>
  <c r="S3" i="15"/>
  <c r="U3" i="15" s="1"/>
  <c r="W3" i="15" s="1"/>
  <c r="Y3" i="15" s="1"/>
  <c r="AA3" i="15" s="1"/>
  <c r="AE3" i="15" s="1"/>
  <c r="AG3" i="15" s="1"/>
  <c r="AI3" i="15" s="1"/>
  <c r="AK3" i="15" s="1"/>
  <c r="AM3" i="15" s="1"/>
  <c r="AO3" i="15" s="1"/>
  <c r="AS3" i="15" s="1"/>
  <c r="AU3" i="15" s="1"/>
  <c r="AW3" i="15" s="1"/>
  <c r="AY3" i="15" s="1"/>
  <c r="BA3" i="15" s="1"/>
  <c r="BC3" i="15" s="1"/>
  <c r="BG3" i="15" s="1"/>
  <c r="BI3" i="15" s="1"/>
  <c r="BK3" i="15" s="1"/>
  <c r="BM3" i="15" s="1"/>
  <c r="BO3" i="15" s="1"/>
  <c r="BQ3" i="15" s="1"/>
  <c r="BU3" i="15" s="1"/>
  <c r="BW3" i="15" s="1"/>
  <c r="BY3" i="15" s="1"/>
  <c r="CA3" i="15" s="1"/>
  <c r="CC3" i="15" s="1"/>
  <c r="CE3" i="15" s="1"/>
  <c r="CI3" i="15" s="1"/>
  <c r="CK3" i="15" s="1"/>
  <c r="CM3" i="15" s="1"/>
  <c r="CO3" i="15" s="1"/>
  <c r="CQ3" i="15" s="1"/>
  <c r="CS3" i="15" s="1"/>
  <c r="AC24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F7" i="14"/>
  <c r="AE68" i="14" s="1"/>
  <c r="E73" i="8"/>
  <c r="E72" i="8"/>
  <c r="E71" i="8"/>
  <c r="E64" i="8"/>
  <c r="B7" i="14"/>
  <c r="AE70" i="14"/>
  <c r="AF71" i="14"/>
  <c r="F3" i="14"/>
  <c r="J3" i="14"/>
  <c r="R69" i="5"/>
  <c r="N69" i="5"/>
  <c r="M74" i="15"/>
  <c r="M72" i="15"/>
  <c r="K61" i="15"/>
  <c r="G60" i="15"/>
  <c r="O60" i="15" s="1"/>
  <c r="AJ60" i="15" s="1"/>
  <c r="G59" i="15"/>
  <c r="N59" i="15" s="1"/>
  <c r="K58" i="15"/>
  <c r="K55" i="15"/>
  <c r="G54" i="15"/>
  <c r="O54" i="15" s="1"/>
  <c r="AT54" i="15" s="1"/>
  <c r="G53" i="15"/>
  <c r="N53" i="15" s="1"/>
  <c r="AL53" i="15" s="1"/>
  <c r="K52" i="15"/>
  <c r="K49" i="15"/>
  <c r="G49" i="15"/>
  <c r="K47" i="15"/>
  <c r="K45" i="15"/>
  <c r="G45" i="15"/>
  <c r="G42" i="15"/>
  <c r="O42" i="15" s="1"/>
  <c r="BV42" i="15" s="1"/>
  <c r="G41" i="15"/>
  <c r="N41" i="15" s="1"/>
  <c r="X41" i="15" s="1"/>
  <c r="K40" i="15"/>
  <c r="K39" i="15"/>
  <c r="K38" i="15"/>
  <c r="G37" i="15"/>
  <c r="O37" i="15" s="1"/>
  <c r="X37" i="15" s="1"/>
  <c r="G36" i="15"/>
  <c r="N36" i="15" s="1"/>
  <c r="K34" i="15"/>
  <c r="K31" i="15"/>
  <c r="K29" i="15"/>
  <c r="G27" i="15"/>
  <c r="N27" i="15" s="1"/>
  <c r="P27" i="15" s="1"/>
  <c r="G26" i="15"/>
  <c r="L26" i="15" s="1"/>
  <c r="P26" i="15" s="1"/>
  <c r="G25" i="15"/>
  <c r="O25" i="15" s="1"/>
  <c r="P25" i="15" s="1"/>
  <c r="K24" i="15"/>
  <c r="G24" i="15"/>
  <c r="G23" i="15"/>
  <c r="L23" i="15" s="1"/>
  <c r="P23" i="15" s="1"/>
  <c r="K22" i="15"/>
  <c r="G22" i="15"/>
  <c r="K21" i="15"/>
  <c r="G20" i="15"/>
  <c r="O20" i="15" s="1"/>
  <c r="P20" i="15" s="1"/>
  <c r="G19" i="15"/>
  <c r="N19" i="15" s="1"/>
  <c r="P19" i="15" s="1"/>
  <c r="K18" i="15"/>
  <c r="G17" i="15"/>
  <c r="O17" i="15" s="1"/>
  <c r="P17" i="15" s="1"/>
  <c r="G16" i="15"/>
  <c r="N16" i="15" s="1"/>
  <c r="P16" i="15" s="1"/>
  <c r="K15" i="15"/>
  <c r="F14" i="15"/>
  <c r="F63" i="15" s="1"/>
  <c r="F65" i="15" s="1"/>
  <c r="K13" i="15"/>
  <c r="G13" i="15"/>
  <c r="G12" i="15"/>
  <c r="L12" i="15" s="1"/>
  <c r="P12" i="15" s="1"/>
  <c r="E11" i="15"/>
  <c r="G11" i="15" s="1"/>
  <c r="L11" i="15" s="1"/>
  <c r="P11" i="15" s="1"/>
  <c r="E10" i="15"/>
  <c r="G10" i="15" s="1"/>
  <c r="L10" i="15" s="1"/>
  <c r="P10" i="15" s="1"/>
  <c r="G9" i="15"/>
  <c r="L9" i="15" s="1"/>
  <c r="K8" i="15"/>
  <c r="G8" i="15"/>
  <c r="K7" i="15"/>
  <c r="P6" i="15"/>
  <c r="K6" i="15"/>
  <c r="K5" i="15"/>
  <c r="E5" i="15"/>
  <c r="E58" i="15" s="1"/>
  <c r="G58" i="15" s="1"/>
  <c r="L15" i="14"/>
  <c r="L7" i="14"/>
  <c r="AE71" i="14" s="1"/>
  <c r="L3" i="14"/>
  <c r="AV59" i="15" l="1"/>
  <c r="AH41" i="15"/>
  <c r="T41" i="15"/>
  <c r="Z41" i="15"/>
  <c r="BJ53" i="15"/>
  <c r="CL53" i="15"/>
  <c r="X59" i="15"/>
  <c r="R59" i="15"/>
  <c r="BH37" i="15"/>
  <c r="AJ41" i="15"/>
  <c r="T37" i="15"/>
  <c r="T54" i="15"/>
  <c r="Z42" i="15"/>
  <c r="BB37" i="15"/>
  <c r="BF41" i="15"/>
  <c r="T42" i="15"/>
  <c r="R54" i="15"/>
  <c r="R42" i="15"/>
  <c r="AH53" i="15"/>
  <c r="AL41" i="15"/>
  <c r="BH60" i="15"/>
  <c r="CJ60" i="15"/>
  <c r="BF53" i="15"/>
  <c r="R53" i="15"/>
  <c r="R41" i="15"/>
  <c r="AF60" i="15"/>
  <c r="AJ53" i="15"/>
  <c r="X60" i="15"/>
  <c r="V59" i="15"/>
  <c r="AH60" i="15"/>
  <c r="AT42" i="15"/>
  <c r="AX42" i="15"/>
  <c r="V60" i="15"/>
  <c r="X53" i="15"/>
  <c r="AZ59" i="15"/>
  <c r="BX59" i="15"/>
  <c r="AR59" i="15"/>
  <c r="CP37" i="15"/>
  <c r="BN37" i="15"/>
  <c r="AL37" i="15"/>
  <c r="CH37" i="15"/>
  <c r="BZ37" i="15"/>
  <c r="AX37" i="15"/>
  <c r="BF37" i="15"/>
  <c r="CL37" i="15"/>
  <c r="BJ37" i="15"/>
  <c r="AH37" i="15"/>
  <c r="BV37" i="15"/>
  <c r="AT37" i="15"/>
  <c r="CF37" i="15"/>
  <c r="BD37" i="15"/>
  <c r="CR37" i="15"/>
  <c r="BP37" i="15"/>
  <c r="AN37" i="15"/>
  <c r="CV37" i="15"/>
  <c r="CB37" i="15"/>
  <c r="AZ37" i="15"/>
  <c r="BT37" i="15"/>
  <c r="CN37" i="15"/>
  <c r="BL37" i="15"/>
  <c r="AJ37" i="15"/>
  <c r="AR37" i="15"/>
  <c r="BX37" i="15"/>
  <c r="AV37" i="15"/>
  <c r="CJ37" i="15"/>
  <c r="AD37" i="15"/>
  <c r="CT37" i="15"/>
  <c r="BR37" i="15"/>
  <c r="AP37" i="15"/>
  <c r="BV53" i="15"/>
  <c r="AT53" i="15"/>
  <c r="AD53" i="15"/>
  <c r="CF53" i="15"/>
  <c r="BD53" i="15"/>
  <c r="AB53" i="15"/>
  <c r="CR53" i="15"/>
  <c r="BP53" i="15"/>
  <c r="AN53" i="15"/>
  <c r="CV53" i="15"/>
  <c r="CB53" i="15"/>
  <c r="AZ53" i="15"/>
  <c r="BT53" i="15"/>
  <c r="CN53" i="15"/>
  <c r="BL53" i="15"/>
  <c r="AR53" i="15"/>
  <c r="BX53" i="15"/>
  <c r="AV53" i="15"/>
  <c r="CJ53" i="15"/>
  <c r="BH53" i="15"/>
  <c r="AF53" i="15"/>
  <c r="CT53" i="15"/>
  <c r="BR53" i="15"/>
  <c r="AP53" i="15"/>
  <c r="CD53" i="15"/>
  <c r="BB53" i="15"/>
  <c r="Z53" i="15"/>
  <c r="CP53" i="15"/>
  <c r="BN53" i="15"/>
  <c r="CH53" i="15"/>
  <c r="BZ53" i="15"/>
  <c r="AX53" i="15"/>
  <c r="R37" i="15"/>
  <c r="T59" i="15"/>
  <c r="X42" i="15"/>
  <c r="X54" i="15"/>
  <c r="AX54" i="15"/>
  <c r="CT60" i="15"/>
  <c r="BR60" i="15"/>
  <c r="AP60" i="15"/>
  <c r="CD60" i="15"/>
  <c r="BB60" i="15"/>
  <c r="Z60" i="15"/>
  <c r="CP60" i="15"/>
  <c r="BN60" i="15"/>
  <c r="AL60" i="15"/>
  <c r="CH60" i="15"/>
  <c r="BZ60" i="15"/>
  <c r="AX60" i="15"/>
  <c r="BF60" i="15"/>
  <c r="CL60" i="15"/>
  <c r="BJ60" i="15"/>
  <c r="BV60" i="15"/>
  <c r="AT60" i="15"/>
  <c r="CF60" i="15"/>
  <c r="BD60" i="15"/>
  <c r="AB60" i="15"/>
  <c r="CR60" i="15"/>
  <c r="BP60" i="15"/>
  <c r="AN60" i="15"/>
  <c r="CV60" i="15"/>
  <c r="AD60" i="15"/>
  <c r="CB60" i="15"/>
  <c r="AZ60" i="15"/>
  <c r="BT60" i="15"/>
  <c r="CN60" i="15"/>
  <c r="BL60" i="15"/>
  <c r="AR60" i="15"/>
  <c r="BX60" i="15"/>
  <c r="AV60" i="15"/>
  <c r="AB37" i="15"/>
  <c r="CD37" i="15"/>
  <c r="CF42" i="15"/>
  <c r="BD42" i="15"/>
  <c r="AB42" i="15"/>
  <c r="CR42" i="15"/>
  <c r="BP42" i="15"/>
  <c r="AN42" i="15"/>
  <c r="CV42" i="15"/>
  <c r="AD42" i="15"/>
  <c r="CB42" i="15"/>
  <c r="AZ42" i="15"/>
  <c r="BT42" i="15"/>
  <c r="CN42" i="15"/>
  <c r="BL42" i="15"/>
  <c r="AJ42" i="15"/>
  <c r="AR42" i="15"/>
  <c r="BX42" i="15"/>
  <c r="AV42" i="15"/>
  <c r="CJ42" i="15"/>
  <c r="BH42" i="15"/>
  <c r="AF42" i="15"/>
  <c r="CT42" i="15"/>
  <c r="BR42" i="15"/>
  <c r="AP42" i="15"/>
  <c r="CD42" i="15"/>
  <c r="BB42" i="15"/>
  <c r="CP42" i="15"/>
  <c r="BN42" i="15"/>
  <c r="AL42" i="15"/>
  <c r="CH42" i="15"/>
  <c r="BZ42" i="15"/>
  <c r="BF42" i="15"/>
  <c r="CL42" i="15"/>
  <c r="BJ42" i="15"/>
  <c r="AH42" i="15"/>
  <c r="CF54" i="15"/>
  <c r="BD54" i="15"/>
  <c r="AB54" i="15"/>
  <c r="CR54" i="15"/>
  <c r="BP54" i="15"/>
  <c r="AN54" i="15"/>
  <c r="CV54" i="15"/>
  <c r="AD54" i="15"/>
  <c r="CB54" i="15"/>
  <c r="AZ54" i="15"/>
  <c r="BT54" i="15"/>
  <c r="CN54" i="15"/>
  <c r="BL54" i="15"/>
  <c r="AJ54" i="15"/>
  <c r="AR54" i="15"/>
  <c r="BX54" i="15"/>
  <c r="AV54" i="15"/>
  <c r="CJ54" i="15"/>
  <c r="BH54" i="15"/>
  <c r="AF54" i="15"/>
  <c r="CT54" i="15"/>
  <c r="BR54" i="15"/>
  <c r="AP54" i="15"/>
  <c r="CD54" i="15"/>
  <c r="BB54" i="15"/>
  <c r="CP54" i="15"/>
  <c r="BN54" i="15"/>
  <c r="AL54" i="15"/>
  <c r="CH54" i="15"/>
  <c r="BZ54" i="15"/>
  <c r="BF54" i="15"/>
  <c r="CL54" i="15"/>
  <c r="BJ54" i="15"/>
  <c r="AH54" i="15"/>
  <c r="T60" i="15"/>
  <c r="V37" i="15"/>
  <c r="R60" i="15"/>
  <c r="BV54" i="15"/>
  <c r="Z37" i="15"/>
  <c r="V42" i="15"/>
  <c r="BV41" i="15"/>
  <c r="AT41" i="15"/>
  <c r="AD41" i="15"/>
  <c r="CF41" i="15"/>
  <c r="BD41" i="15"/>
  <c r="AB41" i="15"/>
  <c r="CR41" i="15"/>
  <c r="BP41" i="15"/>
  <c r="AN41" i="15"/>
  <c r="CV41" i="15"/>
  <c r="CB41" i="15"/>
  <c r="AZ41" i="15"/>
  <c r="BT41" i="15"/>
  <c r="CN41" i="15"/>
  <c r="BL41" i="15"/>
  <c r="AR41" i="15"/>
  <c r="BX41" i="15"/>
  <c r="AV41" i="15"/>
  <c r="CJ41" i="15"/>
  <c r="BH41" i="15"/>
  <c r="AF41" i="15"/>
  <c r="CT41" i="15"/>
  <c r="BR41" i="15"/>
  <c r="AP41" i="15"/>
  <c r="CD41" i="15"/>
  <c r="BB41" i="15"/>
  <c r="CP41" i="15"/>
  <c r="BN41" i="15"/>
  <c r="CH41" i="15"/>
  <c r="BZ41" i="15"/>
  <c r="AX41" i="15"/>
  <c r="CJ59" i="15"/>
  <c r="BH59" i="15"/>
  <c r="AF59" i="15"/>
  <c r="CT59" i="15"/>
  <c r="BR59" i="15"/>
  <c r="AP59" i="15"/>
  <c r="CD59" i="15"/>
  <c r="BB59" i="15"/>
  <c r="Z59" i="15"/>
  <c r="CP59" i="15"/>
  <c r="BN59" i="15"/>
  <c r="AL59" i="15"/>
  <c r="CH59" i="15"/>
  <c r="BZ59" i="15"/>
  <c r="AX59" i="15"/>
  <c r="BF59" i="15"/>
  <c r="CL59" i="15"/>
  <c r="BJ59" i="15"/>
  <c r="AH59" i="15"/>
  <c r="BV59" i="15"/>
  <c r="AT59" i="15"/>
  <c r="AD59" i="15"/>
  <c r="CF59" i="15"/>
  <c r="BD59" i="15"/>
  <c r="AB59" i="15"/>
  <c r="CR59" i="15"/>
  <c r="BP59" i="15"/>
  <c r="AN59" i="15"/>
  <c r="CV59" i="15"/>
  <c r="CB59" i="15"/>
  <c r="BT59" i="15"/>
  <c r="CN59" i="15"/>
  <c r="BL59" i="15"/>
  <c r="AJ59" i="15"/>
  <c r="V41" i="15"/>
  <c r="V53" i="15"/>
  <c r="Z54" i="15"/>
  <c r="AF37" i="15"/>
  <c r="BJ41" i="15"/>
  <c r="CL41" i="15"/>
  <c r="CE81" i="15"/>
  <c r="CP13" i="16"/>
  <c r="AZ13" i="16"/>
  <c r="CN13" i="16"/>
  <c r="AX13" i="16"/>
  <c r="CJ13" i="16"/>
  <c r="BP13" i="16"/>
  <c r="AT13" i="16"/>
  <c r="BN13" i="16"/>
  <c r="X13" i="16"/>
  <c r="CF13" i="16"/>
  <c r="BJ13" i="16"/>
  <c r="AP13" i="16"/>
  <c r="CR13" i="16"/>
  <c r="CL13" i="16"/>
  <c r="AB13" i="16"/>
  <c r="BR13" i="16"/>
  <c r="BD13" i="16"/>
  <c r="Z13" i="16"/>
  <c r="CD13" i="16"/>
  <c r="BB13" i="16"/>
  <c r="V13" i="16"/>
  <c r="AH13" i="16"/>
  <c r="CB13" i="16"/>
  <c r="AV13" i="16"/>
  <c r="T13" i="16"/>
  <c r="BZ13" i="16"/>
  <c r="R13" i="16"/>
  <c r="CV13" i="16"/>
  <c r="BX13" i="16"/>
  <c r="AN13" i="16"/>
  <c r="BV13" i="16"/>
  <c r="AL13" i="16"/>
  <c r="AJ13" i="16"/>
  <c r="BL13" i="16"/>
  <c r="AF13" i="16"/>
  <c r="CV22" i="16"/>
  <c r="CH8" i="16"/>
  <c r="CL20" i="16"/>
  <c r="BR20" i="16"/>
  <c r="AV20" i="16"/>
  <c r="AB20" i="16"/>
  <c r="CJ20" i="16"/>
  <c r="BP20" i="16"/>
  <c r="AT20" i="16"/>
  <c r="Z20" i="16"/>
  <c r="CH20" i="16"/>
  <c r="BN20" i="16"/>
  <c r="AR20" i="16"/>
  <c r="X20" i="16"/>
  <c r="BL20" i="16"/>
  <c r="V20" i="16"/>
  <c r="CF20" i="16"/>
  <c r="BJ20" i="16"/>
  <c r="AP20" i="16"/>
  <c r="T20" i="16"/>
  <c r="CB20" i="16"/>
  <c r="AL20" i="16"/>
  <c r="CN20" i="16"/>
  <c r="AZ20" i="16"/>
  <c r="AX20" i="16"/>
  <c r="CD20" i="16"/>
  <c r="R20" i="16"/>
  <c r="BZ20" i="16"/>
  <c r="AN20" i="16"/>
  <c r="BX20" i="16"/>
  <c r="AJ20" i="16"/>
  <c r="CT20" i="16"/>
  <c r="BV20" i="16"/>
  <c r="AH20" i="16"/>
  <c r="AF20" i="16"/>
  <c r="BH20" i="16"/>
  <c r="CR20" i="16"/>
  <c r="BD20" i="16"/>
  <c r="CP20" i="16"/>
  <c r="BB20" i="16"/>
  <c r="CH21" i="16"/>
  <c r="CV26" i="16"/>
  <c r="CV8" i="16"/>
  <c r="CJ10" i="16"/>
  <c r="BP10" i="16"/>
  <c r="AT10" i="16"/>
  <c r="Z10" i="16"/>
  <c r="AD10" i="16"/>
  <c r="CH10" i="16"/>
  <c r="BN10" i="16"/>
  <c r="AR10" i="16"/>
  <c r="X10" i="16"/>
  <c r="BL10" i="16"/>
  <c r="V10" i="16"/>
  <c r="CF10" i="16"/>
  <c r="BJ10" i="16"/>
  <c r="AP10" i="16"/>
  <c r="T10" i="16"/>
  <c r="CD10" i="16"/>
  <c r="BH10" i="16"/>
  <c r="AN10" i="16"/>
  <c r="R10" i="16"/>
  <c r="CP10" i="16"/>
  <c r="CB10" i="16"/>
  <c r="AL10" i="16"/>
  <c r="AZ10" i="16"/>
  <c r="BZ10" i="16"/>
  <c r="AJ10" i="16"/>
  <c r="BT10" i="16"/>
  <c r="CT10" i="16"/>
  <c r="BX10" i="16"/>
  <c r="BD10" i="16"/>
  <c r="AH10" i="16"/>
  <c r="CR10" i="16"/>
  <c r="BV10" i="16"/>
  <c r="BB10" i="16"/>
  <c r="AF10" i="16"/>
  <c r="CN10" i="16"/>
  <c r="AX10" i="16"/>
  <c r="CD11" i="16"/>
  <c r="BH11" i="16"/>
  <c r="AN11" i="16"/>
  <c r="R11" i="16"/>
  <c r="CV11" i="16"/>
  <c r="CB11" i="16"/>
  <c r="BF11" i="16"/>
  <c r="AL11" i="16"/>
  <c r="X11" i="16"/>
  <c r="BZ11" i="16"/>
  <c r="AJ11" i="16"/>
  <c r="BN11" i="16"/>
  <c r="CT11" i="16"/>
  <c r="BX11" i="16"/>
  <c r="BD11" i="16"/>
  <c r="AH11" i="16"/>
  <c r="CH11" i="16"/>
  <c r="CR11" i="16"/>
  <c r="BV11" i="16"/>
  <c r="BB11" i="16"/>
  <c r="AF11" i="16"/>
  <c r="CP11" i="16"/>
  <c r="AZ11" i="16"/>
  <c r="CN11" i="16"/>
  <c r="AX11" i="16"/>
  <c r="CL11" i="16"/>
  <c r="BR11" i="16"/>
  <c r="AV11" i="16"/>
  <c r="AB11" i="16"/>
  <c r="CJ11" i="16"/>
  <c r="BP11" i="16"/>
  <c r="AT11" i="16"/>
  <c r="Z11" i="16"/>
  <c r="AR11" i="16"/>
  <c r="BL11" i="16"/>
  <c r="V11" i="16"/>
  <c r="CT12" i="16"/>
  <c r="BX12" i="16"/>
  <c r="BD12" i="16"/>
  <c r="AH12" i="16"/>
  <c r="AN12" i="16"/>
  <c r="CR12" i="16"/>
  <c r="BV12" i="16"/>
  <c r="BB12" i="16"/>
  <c r="AF12" i="16"/>
  <c r="CP12" i="16"/>
  <c r="AZ12" i="16"/>
  <c r="CN12" i="16"/>
  <c r="AX12" i="16"/>
  <c r="CL12" i="16"/>
  <c r="BR12" i="16"/>
  <c r="AV12" i="16"/>
  <c r="AB12" i="16"/>
  <c r="CJ12" i="16"/>
  <c r="BP12" i="16"/>
  <c r="AT12" i="16"/>
  <c r="Z12" i="16"/>
  <c r="R12" i="16"/>
  <c r="BN12" i="16"/>
  <c r="X12" i="16"/>
  <c r="CD12" i="16"/>
  <c r="BL12" i="16"/>
  <c r="V12" i="16"/>
  <c r="BH12" i="16"/>
  <c r="CF12" i="16"/>
  <c r="BJ12" i="16"/>
  <c r="AP12" i="16"/>
  <c r="T12" i="16"/>
  <c r="CB12" i="16"/>
  <c r="AL12" i="16"/>
  <c r="AD13" i="16"/>
  <c r="CJ17" i="16"/>
  <c r="BP17" i="16"/>
  <c r="AT17" i="16"/>
  <c r="Z17" i="16"/>
  <c r="BN17" i="16"/>
  <c r="X17" i="16"/>
  <c r="BL17" i="16"/>
  <c r="V17" i="16"/>
  <c r="CF17" i="16"/>
  <c r="BJ17" i="16"/>
  <c r="AP17" i="16"/>
  <c r="T17" i="16"/>
  <c r="CD17" i="16"/>
  <c r="BH17" i="16"/>
  <c r="AN17" i="16"/>
  <c r="R17" i="16"/>
  <c r="BZ17" i="16"/>
  <c r="AJ17" i="16"/>
  <c r="CT17" i="16"/>
  <c r="BF17" i="16"/>
  <c r="CR17" i="16"/>
  <c r="AB17" i="16"/>
  <c r="CP17" i="16"/>
  <c r="BD17" i="16"/>
  <c r="CN17" i="16"/>
  <c r="BB17" i="16"/>
  <c r="CL17" i="16"/>
  <c r="AZ17" i="16"/>
  <c r="AX17" i="16"/>
  <c r="AH17" i="16"/>
  <c r="CB17" i="16"/>
  <c r="AV17" i="16"/>
  <c r="BX17" i="16"/>
  <c r="BV17" i="16"/>
  <c r="AL17" i="16"/>
  <c r="BT17" i="16"/>
  <c r="CV17" i="16"/>
  <c r="AF17" i="16"/>
  <c r="AD20" i="16"/>
  <c r="CJ27" i="16"/>
  <c r="BP27" i="16"/>
  <c r="AT27" i="16"/>
  <c r="Z27" i="16"/>
  <c r="BN27" i="16"/>
  <c r="X27" i="16"/>
  <c r="BL27" i="16"/>
  <c r="V27" i="16"/>
  <c r="CD27" i="16"/>
  <c r="CL27" i="16"/>
  <c r="BF27" i="16"/>
  <c r="AH27" i="16"/>
  <c r="AF27" i="16"/>
  <c r="CF27" i="16"/>
  <c r="BD27" i="16"/>
  <c r="AD27" i="16"/>
  <c r="CB27" i="16"/>
  <c r="BB27" i="16"/>
  <c r="BZ27" i="16"/>
  <c r="AZ27" i="16"/>
  <c r="AB27" i="16"/>
  <c r="BV27" i="16"/>
  <c r="AV27" i="16"/>
  <c r="R27" i="16"/>
  <c r="CT27" i="16"/>
  <c r="AX27" i="16"/>
  <c r="CR27" i="16"/>
  <c r="CP27" i="16"/>
  <c r="AP27" i="16"/>
  <c r="BR27" i="16"/>
  <c r="CN27" i="16"/>
  <c r="AN27" i="16"/>
  <c r="AL27" i="16"/>
  <c r="BX27" i="16"/>
  <c r="AJ27" i="16"/>
  <c r="T27" i="16"/>
  <c r="BJ27" i="16"/>
  <c r="BH27" i="16"/>
  <c r="CP26" i="16"/>
  <c r="CN26" i="16"/>
  <c r="CT26" i="16"/>
  <c r="BT26" i="16"/>
  <c r="AZ26" i="16"/>
  <c r="AD26" i="16"/>
  <c r="CR26" i="16"/>
  <c r="AX26" i="16"/>
  <c r="CL26" i="16"/>
  <c r="BR26" i="16"/>
  <c r="AV26" i="16"/>
  <c r="AB26" i="16"/>
  <c r="CJ26" i="16"/>
  <c r="BP26" i="16"/>
  <c r="AT26" i="16"/>
  <c r="Z26" i="16"/>
  <c r="BN26" i="16"/>
  <c r="X26" i="16"/>
  <c r="CF26" i="16"/>
  <c r="BJ26" i="16"/>
  <c r="AP26" i="16"/>
  <c r="T26" i="16"/>
  <c r="BD26" i="16"/>
  <c r="BB26" i="16"/>
  <c r="CD26" i="16"/>
  <c r="CB26" i="16"/>
  <c r="AN26" i="16"/>
  <c r="BZ26" i="16"/>
  <c r="AL26" i="16"/>
  <c r="BL26" i="16"/>
  <c r="BX26" i="16"/>
  <c r="AJ26" i="16"/>
  <c r="BV26" i="16"/>
  <c r="AH26" i="16"/>
  <c r="AF26" i="16"/>
  <c r="BH26" i="16"/>
  <c r="V26" i="16"/>
  <c r="BF26" i="16"/>
  <c r="R26" i="16"/>
  <c r="BL33" i="16"/>
  <c r="V33" i="16"/>
  <c r="CF33" i="16"/>
  <c r="BJ33" i="16"/>
  <c r="AP33" i="16"/>
  <c r="T33" i="16"/>
  <c r="CD33" i="16"/>
  <c r="BH33" i="16"/>
  <c r="AN33" i="16"/>
  <c r="R33" i="16"/>
  <c r="BZ33" i="16"/>
  <c r="AJ33" i="16"/>
  <c r="CT33" i="16"/>
  <c r="BX33" i="16"/>
  <c r="BD33" i="16"/>
  <c r="AH33" i="16"/>
  <c r="CR33" i="16"/>
  <c r="BV33" i="16"/>
  <c r="BB33" i="16"/>
  <c r="CP33" i="16"/>
  <c r="CJ33" i="16"/>
  <c r="BP33" i="16"/>
  <c r="AT33" i="16"/>
  <c r="Z33" i="16"/>
  <c r="CH33" i="16"/>
  <c r="AL33" i="16"/>
  <c r="CB33" i="16"/>
  <c r="AF33" i="16"/>
  <c r="BR33" i="16"/>
  <c r="BF33" i="16"/>
  <c r="X33" i="16"/>
  <c r="CL33" i="16"/>
  <c r="BN33" i="16"/>
  <c r="AZ33" i="16"/>
  <c r="AX33" i="16"/>
  <c r="CV33" i="16"/>
  <c r="AV33" i="16"/>
  <c r="AR33" i="16"/>
  <c r="CN33" i="16"/>
  <c r="AB33" i="16"/>
  <c r="CB8" i="16"/>
  <c r="AL8" i="16"/>
  <c r="BZ8" i="16"/>
  <c r="AJ8" i="16"/>
  <c r="CT8" i="16"/>
  <c r="BX8" i="16"/>
  <c r="BD8" i="16"/>
  <c r="AH8" i="16"/>
  <c r="CR8" i="16"/>
  <c r="BV8" i="16"/>
  <c r="BB8" i="16"/>
  <c r="AF8" i="16"/>
  <c r="V8" i="16"/>
  <c r="CP8" i="16"/>
  <c r="BT8" i="16"/>
  <c r="AZ8" i="16"/>
  <c r="AD8" i="16"/>
  <c r="CN8" i="16"/>
  <c r="AX8" i="16"/>
  <c r="CL8" i="16"/>
  <c r="BR8" i="16"/>
  <c r="AV8" i="16"/>
  <c r="AB8" i="16"/>
  <c r="BL8" i="16"/>
  <c r="CJ8" i="16"/>
  <c r="BP8" i="16"/>
  <c r="AT8" i="16"/>
  <c r="Z8" i="16"/>
  <c r="BN8" i="16"/>
  <c r="X8" i="16"/>
  <c r="CF8" i="16"/>
  <c r="BJ8" i="16"/>
  <c r="AP8" i="16"/>
  <c r="T8" i="16"/>
  <c r="P9" i="16"/>
  <c r="CH9" i="16" s="1"/>
  <c r="AD11" i="16"/>
  <c r="AJ12" i="16"/>
  <c r="BF13" i="16"/>
  <c r="AD17" i="16"/>
  <c r="CH18" i="16"/>
  <c r="CV32" i="16"/>
  <c r="CP16" i="16"/>
  <c r="BT16" i="16"/>
  <c r="AZ16" i="16"/>
  <c r="CN16" i="16"/>
  <c r="AX16" i="16"/>
  <c r="CL16" i="16"/>
  <c r="BR16" i="16"/>
  <c r="AV16" i="16"/>
  <c r="AB16" i="16"/>
  <c r="CJ16" i="16"/>
  <c r="BP16" i="16"/>
  <c r="AT16" i="16"/>
  <c r="Z16" i="16"/>
  <c r="BN16" i="16"/>
  <c r="X16" i="16"/>
  <c r="CF16" i="16"/>
  <c r="BJ16" i="16"/>
  <c r="AP16" i="16"/>
  <c r="T16" i="16"/>
  <c r="BX16" i="16"/>
  <c r="AJ16" i="16"/>
  <c r="BV16" i="16"/>
  <c r="AH16" i="16"/>
  <c r="AF16" i="16"/>
  <c r="BL16" i="16"/>
  <c r="CV16" i="16"/>
  <c r="BH16" i="16"/>
  <c r="V16" i="16"/>
  <c r="R16" i="16"/>
  <c r="CT16" i="16"/>
  <c r="CR16" i="16"/>
  <c r="BD16" i="16"/>
  <c r="CD16" i="16"/>
  <c r="BB16" i="16"/>
  <c r="CB16" i="16"/>
  <c r="AN16" i="16"/>
  <c r="CR22" i="16"/>
  <c r="BV22" i="16"/>
  <c r="BB22" i="16"/>
  <c r="AF22" i="16"/>
  <c r="CP22" i="16"/>
  <c r="AZ22" i="16"/>
  <c r="CN22" i="16"/>
  <c r="AX22" i="16"/>
  <c r="CL22" i="16"/>
  <c r="BR22" i="16"/>
  <c r="AV22" i="16"/>
  <c r="AB22" i="16"/>
  <c r="CJ22" i="16"/>
  <c r="BP22" i="16"/>
  <c r="AT22" i="16"/>
  <c r="Z22" i="16"/>
  <c r="BL22" i="16"/>
  <c r="V22" i="16"/>
  <c r="CD22" i="16"/>
  <c r="CB22" i="16"/>
  <c r="AP22" i="16"/>
  <c r="CH22" i="16"/>
  <c r="BZ22" i="16"/>
  <c r="AN22" i="16"/>
  <c r="BX22" i="16"/>
  <c r="AL22" i="16"/>
  <c r="AJ22" i="16"/>
  <c r="BN22" i="16"/>
  <c r="AH22" i="16"/>
  <c r="R22" i="16"/>
  <c r="BJ22" i="16"/>
  <c r="BH22" i="16"/>
  <c r="X22" i="16"/>
  <c r="CT22" i="16"/>
  <c r="T22" i="16"/>
  <c r="BD22" i="16"/>
  <c r="CF22" i="16"/>
  <c r="AR22" i="16"/>
  <c r="AR9" i="16"/>
  <c r="AV10" i="16"/>
  <c r="BF12" i="16"/>
  <c r="CR19" i="16"/>
  <c r="BV19" i="16"/>
  <c r="BB19" i="16"/>
  <c r="AF19" i="16"/>
  <c r="CP19" i="16"/>
  <c r="AZ19" i="16"/>
  <c r="CN19" i="16"/>
  <c r="AX19" i="16"/>
  <c r="CL19" i="16"/>
  <c r="BR19" i="16"/>
  <c r="AV19" i="16"/>
  <c r="AB19" i="16"/>
  <c r="CJ19" i="16"/>
  <c r="BP19" i="16"/>
  <c r="AT19" i="16"/>
  <c r="Z19" i="16"/>
  <c r="BL19" i="16"/>
  <c r="V19" i="16"/>
  <c r="BJ19" i="16"/>
  <c r="BX19" i="16"/>
  <c r="BH19" i="16"/>
  <c r="X19" i="16"/>
  <c r="CT19" i="16"/>
  <c r="T19" i="16"/>
  <c r="CH19" i="16"/>
  <c r="R19" i="16"/>
  <c r="BD19" i="16"/>
  <c r="CF19" i="16"/>
  <c r="AR19" i="16"/>
  <c r="CD19" i="16"/>
  <c r="CB19" i="16"/>
  <c r="AP19" i="16"/>
  <c r="BZ19" i="16"/>
  <c r="AN19" i="16"/>
  <c r="AL19" i="16"/>
  <c r="AJ19" i="16"/>
  <c r="BN19" i="16"/>
  <c r="AH19" i="16"/>
  <c r="BT27" i="16"/>
  <c r="AR31" i="16"/>
  <c r="CV39" i="16"/>
  <c r="AC62" i="16"/>
  <c r="BS62" i="16"/>
  <c r="BT19" i="16"/>
  <c r="AD33" i="16"/>
  <c r="CF53" i="16"/>
  <c r="BJ53" i="16"/>
  <c r="AP53" i="16"/>
  <c r="CD53" i="16"/>
  <c r="BH53" i="16"/>
  <c r="AN53" i="16"/>
  <c r="BZ53" i="16"/>
  <c r="CR53" i="16"/>
  <c r="BV53" i="16"/>
  <c r="BB53" i="16"/>
  <c r="CT53" i="16"/>
  <c r="BP53" i="16"/>
  <c r="AL53" i="16"/>
  <c r="CP53" i="16"/>
  <c r="BN53" i="16"/>
  <c r="AJ53" i="16"/>
  <c r="CN53" i="16"/>
  <c r="BL53" i="16"/>
  <c r="AH53" i="16"/>
  <c r="CL53" i="16"/>
  <c r="BF53" i="16"/>
  <c r="AF53" i="16"/>
  <c r="CJ53" i="16"/>
  <c r="AD53" i="16"/>
  <c r="BD53" i="16"/>
  <c r="AZ53" i="16"/>
  <c r="AB53" i="16"/>
  <c r="CB53" i="16"/>
  <c r="AX53" i="16"/>
  <c r="Z53" i="16"/>
  <c r="CV53" i="16"/>
  <c r="T53" i="16"/>
  <c r="BT53" i="16"/>
  <c r="BR53" i="16"/>
  <c r="AV53" i="16"/>
  <c r="AT53" i="16"/>
  <c r="R53" i="16"/>
  <c r="BX53" i="16"/>
  <c r="X53" i="16"/>
  <c r="V53" i="16"/>
  <c r="AA81" i="16"/>
  <c r="AC76" i="16"/>
  <c r="BT13" i="16"/>
  <c r="F63" i="16"/>
  <c r="F65" i="16" s="1"/>
  <c r="G14" i="16"/>
  <c r="O14" i="16" s="1"/>
  <c r="CH16" i="16"/>
  <c r="CV20" i="16"/>
  <c r="BL36" i="16"/>
  <c r="V36" i="16"/>
  <c r="CF36" i="16"/>
  <c r="BJ36" i="16"/>
  <c r="AP36" i="16"/>
  <c r="T36" i="16"/>
  <c r="CD36" i="16"/>
  <c r="BH36" i="16"/>
  <c r="AN36" i="16"/>
  <c r="R36" i="16"/>
  <c r="CV36" i="16"/>
  <c r="CB36" i="16"/>
  <c r="BF36" i="16"/>
  <c r="AL36" i="16"/>
  <c r="BZ36" i="16"/>
  <c r="AJ36" i="16"/>
  <c r="CT36" i="16"/>
  <c r="BX36" i="16"/>
  <c r="BD36" i="16"/>
  <c r="AH36" i="16"/>
  <c r="CR36" i="16"/>
  <c r="BV36" i="16"/>
  <c r="BB36" i="16"/>
  <c r="AF36" i="16"/>
  <c r="CP36" i="16"/>
  <c r="AZ36" i="16"/>
  <c r="CJ36" i="16"/>
  <c r="BP36" i="16"/>
  <c r="AT36" i="16"/>
  <c r="Z36" i="16"/>
  <c r="AX36" i="16"/>
  <c r="AV36" i="16"/>
  <c r="AR36" i="16"/>
  <c r="CN36" i="16"/>
  <c r="CH36" i="16"/>
  <c r="X36" i="16"/>
  <c r="E38" i="16"/>
  <c r="G38" i="16" s="1"/>
  <c r="L38" i="16" s="1"/>
  <c r="P38" i="16" s="1"/>
  <c r="E7" i="16"/>
  <c r="K63" i="16"/>
  <c r="AR17" i="16"/>
  <c r="E21" i="16"/>
  <c r="G21" i="16" s="1"/>
  <c r="L21" i="16" s="1"/>
  <c r="P21" i="16" s="1"/>
  <c r="AR21" i="16" s="1"/>
  <c r="BZ25" i="16"/>
  <c r="AJ25" i="16"/>
  <c r="CT25" i="16"/>
  <c r="BX25" i="16"/>
  <c r="BD25" i="16"/>
  <c r="AH25" i="16"/>
  <c r="CR25" i="16"/>
  <c r="BV25" i="16"/>
  <c r="BB25" i="16"/>
  <c r="AF25" i="16"/>
  <c r="CP25" i="16"/>
  <c r="BT25" i="16"/>
  <c r="AZ25" i="16"/>
  <c r="AD25" i="16"/>
  <c r="CN25" i="16"/>
  <c r="AX25" i="16"/>
  <c r="CJ25" i="16"/>
  <c r="BP25" i="16"/>
  <c r="AT25" i="16"/>
  <c r="Z25" i="16"/>
  <c r="AV25" i="16"/>
  <c r="CV29" i="16"/>
  <c r="AB36" i="16"/>
  <c r="AR45" i="16"/>
  <c r="BE79" i="16"/>
  <c r="BF20" i="16"/>
  <c r="BE62" i="16"/>
  <c r="CU62" i="16"/>
  <c r="AD22" i="16"/>
  <c r="AZ23" i="16"/>
  <c r="CN23" i="16"/>
  <c r="R25" i="16"/>
  <c r="E30" i="16"/>
  <c r="G30" i="16" s="1"/>
  <c r="L30" i="16" s="1"/>
  <c r="P30" i="16" s="1"/>
  <c r="AD39" i="16"/>
  <c r="AR13" i="16"/>
  <c r="CH17" i="16"/>
  <c r="BB23" i="16"/>
  <c r="T25" i="16"/>
  <c r="BF25" i="16"/>
  <c r="CL25" i="16"/>
  <c r="BF21" i="16"/>
  <c r="BT22" i="16"/>
  <c r="CL23" i="16"/>
  <c r="BR23" i="16"/>
  <c r="AV23" i="16"/>
  <c r="AB23" i="16"/>
  <c r="CJ23" i="16"/>
  <c r="BP23" i="16"/>
  <c r="AT23" i="16"/>
  <c r="Z23" i="16"/>
  <c r="CH23" i="16"/>
  <c r="BN23" i="16"/>
  <c r="AR23" i="16"/>
  <c r="X23" i="16"/>
  <c r="BL23" i="16"/>
  <c r="V23" i="16"/>
  <c r="CF23" i="16"/>
  <c r="BJ23" i="16"/>
  <c r="AP23" i="16"/>
  <c r="T23" i="16"/>
  <c r="CB23" i="16"/>
  <c r="AL23" i="16"/>
  <c r="BD23" i="16"/>
  <c r="CR23" i="16"/>
  <c r="V25" i="16"/>
  <c r="BH25" i="16"/>
  <c r="BN49" i="16"/>
  <c r="X49" i="16"/>
  <c r="BL49" i="16"/>
  <c r="V49" i="16"/>
  <c r="CF49" i="16"/>
  <c r="BJ49" i="16"/>
  <c r="AP49" i="16"/>
  <c r="T49" i="16"/>
  <c r="CD49" i="16"/>
  <c r="BH49" i="16"/>
  <c r="AN49" i="16"/>
  <c r="R49" i="16"/>
  <c r="CV49" i="16"/>
  <c r="CB49" i="16"/>
  <c r="BF49" i="16"/>
  <c r="AL49" i="16"/>
  <c r="BZ49" i="16"/>
  <c r="AJ49" i="16"/>
  <c r="CT49" i="16"/>
  <c r="BX49" i="16"/>
  <c r="BD49" i="16"/>
  <c r="AH49" i="16"/>
  <c r="CR49" i="16"/>
  <c r="BV49" i="16"/>
  <c r="BB49" i="16"/>
  <c r="AF49" i="16"/>
  <c r="CL49" i="16"/>
  <c r="BR49" i="16"/>
  <c r="AV49" i="16"/>
  <c r="AB49" i="16"/>
  <c r="AZ49" i="16"/>
  <c r="AX49" i="16"/>
  <c r="AT49" i="16"/>
  <c r="CP49" i="16"/>
  <c r="CN49" i="16"/>
  <c r="CJ49" i="16"/>
  <c r="Z49" i="16"/>
  <c r="BT49" i="16"/>
  <c r="BP49" i="16"/>
  <c r="CR45" i="16"/>
  <c r="BV45" i="16"/>
  <c r="BB45" i="16"/>
  <c r="AF45" i="16"/>
  <c r="CP45" i="16"/>
  <c r="AZ45" i="16"/>
  <c r="CN45" i="16"/>
  <c r="AX45" i="16"/>
  <c r="CL45" i="16"/>
  <c r="BR45" i="16"/>
  <c r="AV45" i="16"/>
  <c r="AB45" i="16"/>
  <c r="CJ45" i="16"/>
  <c r="BP45" i="16"/>
  <c r="AT45" i="16"/>
  <c r="Z45" i="16"/>
  <c r="BN45" i="16"/>
  <c r="X45" i="16"/>
  <c r="BZ45" i="16"/>
  <c r="AJ45" i="16"/>
  <c r="CF45" i="16"/>
  <c r="AP45" i="16"/>
  <c r="CD45" i="16"/>
  <c r="AN45" i="16"/>
  <c r="CB45" i="16"/>
  <c r="AL45" i="16"/>
  <c r="BX45" i="16"/>
  <c r="AH45" i="16"/>
  <c r="BL45" i="16"/>
  <c r="V45" i="16"/>
  <c r="BJ45" i="16"/>
  <c r="T45" i="16"/>
  <c r="BH45" i="16"/>
  <c r="R45" i="16"/>
  <c r="CT45" i="16"/>
  <c r="BD45" i="16"/>
  <c r="CV45" i="16"/>
  <c r="BF45" i="16"/>
  <c r="AD16" i="16"/>
  <c r="AD18" i="16"/>
  <c r="X25" i="16"/>
  <c r="BJ25" i="16"/>
  <c r="CV25" i="16"/>
  <c r="AR26" i="16"/>
  <c r="BN36" i="16"/>
  <c r="AR16" i="16"/>
  <c r="G5" i="16"/>
  <c r="AQ62" i="16"/>
  <c r="CG62" i="16"/>
  <c r="CH13" i="16"/>
  <c r="BT18" i="16"/>
  <c r="CV21" i="16"/>
  <c r="BH23" i="16"/>
  <c r="CV23" i="16"/>
  <c r="AV24" i="16"/>
  <c r="AB25" i="16"/>
  <c r="BL25" i="16"/>
  <c r="CH26" i="16"/>
  <c r="AR27" i="16"/>
  <c r="E31" i="16"/>
  <c r="G31" i="16" s="1"/>
  <c r="L31" i="16" s="1"/>
  <c r="P31" i="16" s="1"/>
  <c r="BR36" i="16"/>
  <c r="BZ54" i="16"/>
  <c r="AJ54" i="16"/>
  <c r="CT54" i="16"/>
  <c r="BX54" i="16"/>
  <c r="BD54" i="16"/>
  <c r="AH54" i="16"/>
  <c r="CR54" i="16"/>
  <c r="BV54" i="16"/>
  <c r="BB54" i="16"/>
  <c r="CP54" i="16"/>
  <c r="AZ54" i="16"/>
  <c r="CL54" i="16"/>
  <c r="BR54" i="16"/>
  <c r="AV54" i="16"/>
  <c r="AB54" i="16"/>
  <c r="BN54" i="16"/>
  <c r="AL54" i="16"/>
  <c r="CV54" i="16"/>
  <c r="BL54" i="16"/>
  <c r="AF54" i="16"/>
  <c r="BJ54" i="16"/>
  <c r="CN54" i="16"/>
  <c r="BH54" i="16"/>
  <c r="Z54" i="16"/>
  <c r="CJ54" i="16"/>
  <c r="BF54" i="16"/>
  <c r="X54" i="16"/>
  <c r="V54" i="16"/>
  <c r="AX54" i="16"/>
  <c r="T54" i="16"/>
  <c r="CF54" i="16"/>
  <c r="AT54" i="16"/>
  <c r="R54" i="16"/>
  <c r="AP54" i="16"/>
  <c r="BP54" i="16"/>
  <c r="AR54" i="16"/>
  <c r="AN54" i="16"/>
  <c r="CD54" i="16"/>
  <c r="CB54" i="16"/>
  <c r="AD23" i="16"/>
  <c r="CF24" i="16"/>
  <c r="BJ24" i="16"/>
  <c r="AP24" i="16"/>
  <c r="T24" i="16"/>
  <c r="CD24" i="16"/>
  <c r="BH24" i="16"/>
  <c r="AN24" i="16"/>
  <c r="R24" i="16"/>
  <c r="CV24" i="16"/>
  <c r="CB24" i="16"/>
  <c r="BF24" i="16"/>
  <c r="AL24" i="16"/>
  <c r="BZ24" i="16"/>
  <c r="AJ24" i="16"/>
  <c r="CT24" i="16"/>
  <c r="BX24" i="16"/>
  <c r="BD24" i="16"/>
  <c r="AH24" i="16"/>
  <c r="CP24" i="16"/>
  <c r="AZ24" i="16"/>
  <c r="AX24" i="16"/>
  <c r="CL24" i="16"/>
  <c r="BN25" i="16"/>
  <c r="BT36" i="16"/>
  <c r="AR43" i="16"/>
  <c r="E57" i="16"/>
  <c r="G57" i="16" s="1"/>
  <c r="N57" i="16" s="1"/>
  <c r="P57" i="16" s="1"/>
  <c r="E56" i="16"/>
  <c r="G56" i="16" s="1"/>
  <c r="M56" i="16" s="1"/>
  <c r="P56" i="16" s="1"/>
  <c r="E61" i="16"/>
  <c r="G61" i="16" s="1"/>
  <c r="M61" i="16" s="1"/>
  <c r="P61" i="16" s="1"/>
  <c r="E55" i="16"/>
  <c r="G55" i="16" s="1"/>
  <c r="M55" i="16" s="1"/>
  <c r="P55" i="16" s="1"/>
  <c r="E50" i="16"/>
  <c r="G50" i="16" s="1"/>
  <c r="N50" i="16" s="1"/>
  <c r="P50" i="16" s="1"/>
  <c r="E47" i="16"/>
  <c r="G47" i="16" s="1"/>
  <c r="L47" i="16" s="1"/>
  <c r="P47" i="16" s="1"/>
  <c r="E44" i="16"/>
  <c r="G44" i="16" s="1"/>
  <c r="N44" i="16" s="1"/>
  <c r="P44" i="16" s="1"/>
  <c r="E52" i="16"/>
  <c r="G52" i="16" s="1"/>
  <c r="M52" i="16" s="1"/>
  <c r="P52" i="16" s="1"/>
  <c r="AD52" i="16" s="1"/>
  <c r="E29" i="16"/>
  <c r="G29" i="16" s="1"/>
  <c r="L29" i="16" s="1"/>
  <c r="P29" i="16" s="1"/>
  <c r="BF29" i="16" s="1"/>
  <c r="E28" i="16"/>
  <c r="G28" i="16" s="1"/>
  <c r="N28" i="16" s="1"/>
  <c r="P28" i="16" s="1"/>
  <c r="E39" i="16"/>
  <c r="G39" i="16" s="1"/>
  <c r="L39" i="16" s="1"/>
  <c r="P39" i="16" s="1"/>
  <c r="AR39" i="16" s="1"/>
  <c r="E58" i="16"/>
  <c r="G58" i="16" s="1"/>
  <c r="N58" i="16" s="1"/>
  <c r="P58" i="16" s="1"/>
  <c r="CV58" i="16" s="1"/>
  <c r="E46" i="16"/>
  <c r="G46" i="16" s="1"/>
  <c r="L46" i="16" s="1"/>
  <c r="P46" i="16" s="1"/>
  <c r="E32" i="16"/>
  <c r="G32" i="16" s="1"/>
  <c r="L32" i="16" s="1"/>
  <c r="P32" i="16" s="1"/>
  <c r="E43" i="16"/>
  <c r="G43" i="16" s="1"/>
  <c r="N43" i="16" s="1"/>
  <c r="P43" i="16" s="1"/>
  <c r="E35" i="16"/>
  <c r="G35" i="16" s="1"/>
  <c r="L35" i="16" s="1"/>
  <c r="P35" i="16" s="1"/>
  <c r="CV35" i="16" s="1"/>
  <c r="E51" i="16"/>
  <c r="G51" i="16" s="1"/>
  <c r="N51" i="16" s="1"/>
  <c r="P51" i="16" s="1"/>
  <c r="E15" i="16"/>
  <c r="G15" i="16" s="1"/>
  <c r="M15" i="16" s="1"/>
  <c r="E18" i="16"/>
  <c r="G18" i="16" s="1"/>
  <c r="M18" i="16" s="1"/>
  <c r="P18" i="16" s="1"/>
  <c r="AD35" i="16"/>
  <c r="AD19" i="16"/>
  <c r="AF23" i="16"/>
  <c r="BB24" i="16"/>
  <c r="CN24" i="16"/>
  <c r="AL25" i="16"/>
  <c r="BR25" i="16"/>
  <c r="CV27" i="16"/>
  <c r="BF39" i="16"/>
  <c r="BF44" i="16"/>
  <c r="AD49" i="16"/>
  <c r="BF50" i="16"/>
  <c r="CV47" i="16"/>
  <c r="CV51" i="16"/>
  <c r="AD36" i="16"/>
  <c r="BL37" i="16"/>
  <c r="CH45" i="16"/>
  <c r="CH50" i="16"/>
  <c r="BT33" i="16"/>
  <c r="BT35" i="16"/>
  <c r="CV38" i="16"/>
  <c r="CH54" i="16"/>
  <c r="CV37" i="16"/>
  <c r="CB37" i="16"/>
  <c r="BF37" i="16"/>
  <c r="AL37" i="16"/>
  <c r="BZ37" i="16"/>
  <c r="AJ37" i="16"/>
  <c r="CT37" i="16"/>
  <c r="BX37" i="16"/>
  <c r="BD37" i="16"/>
  <c r="AH37" i="16"/>
  <c r="CR37" i="16"/>
  <c r="BV37" i="16"/>
  <c r="BB37" i="16"/>
  <c r="AF37" i="16"/>
  <c r="CP37" i="16"/>
  <c r="AZ37" i="16"/>
  <c r="CN37" i="16"/>
  <c r="AX37" i="16"/>
  <c r="CL37" i="16"/>
  <c r="BR37" i="16"/>
  <c r="AV37" i="16"/>
  <c r="AB37" i="16"/>
  <c r="CJ37" i="16"/>
  <c r="BP37" i="16"/>
  <c r="AT37" i="16"/>
  <c r="Z37" i="16"/>
  <c r="CF37" i="16"/>
  <c r="BJ37" i="16"/>
  <c r="AP37" i="16"/>
  <c r="T37" i="16"/>
  <c r="BT37" i="16"/>
  <c r="BT39" i="16"/>
  <c r="CR42" i="16"/>
  <c r="BV42" i="16"/>
  <c r="BB42" i="16"/>
  <c r="AF42" i="16"/>
  <c r="CP42" i="16"/>
  <c r="AZ42" i="16"/>
  <c r="CN42" i="16"/>
  <c r="AX42" i="16"/>
  <c r="CJ42" i="16"/>
  <c r="BP42" i="16"/>
  <c r="AT42" i="16"/>
  <c r="Z42" i="16"/>
  <c r="BN42" i="16"/>
  <c r="X42" i="16"/>
  <c r="CL42" i="16"/>
  <c r="V42" i="16"/>
  <c r="T42" i="16"/>
  <c r="CF42" i="16"/>
  <c r="BD42" i="16"/>
  <c r="R42" i="16"/>
  <c r="CD42" i="16"/>
  <c r="AV42" i="16"/>
  <c r="CB42" i="16"/>
  <c r="BZ42" i="16"/>
  <c r="AP42" i="16"/>
  <c r="BX42" i="16"/>
  <c r="AN42" i="16"/>
  <c r="AL42" i="16"/>
  <c r="BJ42" i="16"/>
  <c r="CT42" i="16"/>
  <c r="CH27" i="16"/>
  <c r="BF30" i="16"/>
  <c r="R37" i="16"/>
  <c r="CD37" i="16"/>
  <c r="CH39" i="16"/>
  <c r="AB42" i="16"/>
  <c r="CV44" i="16"/>
  <c r="CH49" i="16"/>
  <c r="AD51" i="16"/>
  <c r="BF38" i="16"/>
  <c r="AD42" i="16"/>
  <c r="AR46" i="16"/>
  <c r="CH53" i="16"/>
  <c r="BT42" i="16"/>
  <c r="CI81" i="16"/>
  <c r="CU76" i="16"/>
  <c r="CH43" i="16"/>
  <c r="AD44" i="16"/>
  <c r="BF47" i="16"/>
  <c r="AR53" i="16"/>
  <c r="CB41" i="16"/>
  <c r="AL41" i="16"/>
  <c r="BZ41" i="16"/>
  <c r="AJ41" i="16"/>
  <c r="CT41" i="16"/>
  <c r="BX41" i="16"/>
  <c r="BD41" i="16"/>
  <c r="AH41" i="16"/>
  <c r="CP41" i="16"/>
  <c r="CN41" i="16"/>
  <c r="AX41" i="16"/>
  <c r="BR41" i="16"/>
  <c r="BF46" i="16"/>
  <c r="CV46" i="16"/>
  <c r="BZ60" i="16"/>
  <c r="AJ60" i="16"/>
  <c r="CT60" i="16"/>
  <c r="BX60" i="16"/>
  <c r="BD60" i="16"/>
  <c r="AH60" i="16"/>
  <c r="CR60" i="16"/>
  <c r="BV60" i="16"/>
  <c r="BB60" i="16"/>
  <c r="AF60" i="16"/>
  <c r="CP60" i="16"/>
  <c r="AZ60" i="16"/>
  <c r="CN60" i="16"/>
  <c r="AX60" i="16"/>
  <c r="CL60" i="16"/>
  <c r="BR60" i="16"/>
  <c r="AV60" i="16"/>
  <c r="AB60" i="16"/>
  <c r="BN60" i="16"/>
  <c r="X60" i="16"/>
  <c r="CD60" i="16"/>
  <c r="BH60" i="16"/>
  <c r="AN60" i="16"/>
  <c r="R60" i="16"/>
  <c r="BJ60" i="16"/>
  <c r="BF60" i="16"/>
  <c r="CV60" i="16"/>
  <c r="AT60" i="16"/>
  <c r="CJ60" i="16"/>
  <c r="AP60" i="16"/>
  <c r="AL60" i="16"/>
  <c r="CF60" i="16"/>
  <c r="BP60" i="16"/>
  <c r="T60" i="16"/>
  <c r="AD61" i="16"/>
  <c r="AO81" i="16"/>
  <c r="BM81" i="16"/>
  <c r="R41" i="16"/>
  <c r="AR42" i="16"/>
  <c r="AD45" i="16"/>
  <c r="BT45" i="16"/>
  <c r="AR49" i="16"/>
  <c r="V60" i="16"/>
  <c r="AR56" i="16"/>
  <c r="V41" i="16"/>
  <c r="AV41" i="16"/>
  <c r="BV41" i="16"/>
  <c r="X41" i="16"/>
  <c r="AZ41" i="16"/>
  <c r="CD41" i="16"/>
  <c r="CH42" i="16"/>
  <c r="BF57" i="16"/>
  <c r="Z41" i="16"/>
  <c r="BB41" i="16"/>
  <c r="CF41" i="16"/>
  <c r="CV43" i="16"/>
  <c r="CV50" i="16"/>
  <c r="BT51" i="16"/>
  <c r="BT54" i="16"/>
  <c r="CF59" i="16"/>
  <c r="BJ59" i="16"/>
  <c r="AP59" i="16"/>
  <c r="T59" i="16"/>
  <c r="CD59" i="16"/>
  <c r="BH59" i="16"/>
  <c r="AN59" i="16"/>
  <c r="R59" i="16"/>
  <c r="CV59" i="16"/>
  <c r="CB59" i="16"/>
  <c r="BF59" i="16"/>
  <c r="AL59" i="16"/>
  <c r="BZ59" i="16"/>
  <c r="AJ59" i="16"/>
  <c r="CT59" i="16"/>
  <c r="BX59" i="16"/>
  <c r="BD59" i="16"/>
  <c r="AH59" i="16"/>
  <c r="CR59" i="16"/>
  <c r="BV59" i="16"/>
  <c r="BB59" i="16"/>
  <c r="AF59" i="16"/>
  <c r="CN59" i="16"/>
  <c r="AX59" i="16"/>
  <c r="BN59" i="16"/>
  <c r="X59" i="16"/>
  <c r="BP59" i="16"/>
  <c r="BK81" i="16"/>
  <c r="AQ78" i="16"/>
  <c r="AD60" i="16"/>
  <c r="CH60" i="16"/>
  <c r="AD59" i="16"/>
  <c r="CJ59" i="16"/>
  <c r="AY81" i="16"/>
  <c r="AQ79" i="16"/>
  <c r="CK81" i="16"/>
  <c r="AR59" i="16"/>
  <c r="CL59" i="16"/>
  <c r="AR60" i="16"/>
  <c r="AI81" i="16"/>
  <c r="CH58" i="16"/>
  <c r="AT59" i="16"/>
  <c r="CP59" i="16"/>
  <c r="BW81" i="16"/>
  <c r="AD54" i="16"/>
  <c r="AR58" i="16"/>
  <c r="AV59" i="16"/>
  <c r="AK81" i="16"/>
  <c r="BS76" i="16"/>
  <c r="CS81" i="16"/>
  <c r="AC79" i="16"/>
  <c r="BA81" i="16"/>
  <c r="AZ59" i="16"/>
  <c r="BT61" i="16"/>
  <c r="BE78" i="16"/>
  <c r="AM81" i="16"/>
  <c r="BI81" i="16"/>
  <c r="CG76" i="16"/>
  <c r="U81" i="16"/>
  <c r="AG81" i="16"/>
  <c r="AS81" i="16"/>
  <c r="BQ81" i="16"/>
  <c r="CC81" i="16"/>
  <c r="CO81" i="16"/>
  <c r="CU77" i="16"/>
  <c r="CG78" i="16"/>
  <c r="BS79" i="16"/>
  <c r="BG81" i="16"/>
  <c r="AQ76" i="16"/>
  <c r="AC77" i="16"/>
  <c r="CU78" i="16"/>
  <c r="CG79" i="16"/>
  <c r="BE76" i="16"/>
  <c r="AQ77" i="16"/>
  <c r="AC78" i="16"/>
  <c r="AC76" i="15"/>
  <c r="AD76" i="15" s="1"/>
  <c r="T76" i="15"/>
  <c r="CU76" i="15"/>
  <c r="CM81" i="15"/>
  <c r="CJ76" i="15"/>
  <c r="CU77" i="15"/>
  <c r="CV77" i="15" s="1"/>
  <c r="CL76" i="15"/>
  <c r="CJ78" i="15"/>
  <c r="CU79" i="15"/>
  <c r="CS81" i="15"/>
  <c r="CG76" i="15"/>
  <c r="BV76" i="15"/>
  <c r="CG77" i="15"/>
  <c r="CH77" i="15" s="1"/>
  <c r="CG78" i="15"/>
  <c r="CH78" i="15" s="1"/>
  <c r="CC81" i="15"/>
  <c r="CG79" i="15"/>
  <c r="BX76" i="15"/>
  <c r="BH76" i="15"/>
  <c r="BP78" i="15"/>
  <c r="BS78" i="15"/>
  <c r="BT78" i="15" s="1"/>
  <c r="BS79" i="15"/>
  <c r="BQ81" i="15"/>
  <c r="BS76" i="15"/>
  <c r="BE77" i="15"/>
  <c r="BF77" i="15" s="1"/>
  <c r="AV76" i="15"/>
  <c r="BE76" i="15"/>
  <c r="AT76" i="15"/>
  <c r="BA81" i="15"/>
  <c r="BC81" i="15"/>
  <c r="BE78" i="15"/>
  <c r="BF78" i="15" s="1"/>
  <c r="AQ76" i="15"/>
  <c r="AF76" i="15"/>
  <c r="AH76" i="15"/>
  <c r="AQ78" i="15"/>
  <c r="AR78" i="15" s="1"/>
  <c r="AM81" i="15"/>
  <c r="AQ79" i="15"/>
  <c r="AO81" i="15"/>
  <c r="D11" i="14"/>
  <c r="AF67" i="14" s="1"/>
  <c r="AE67" i="14"/>
  <c r="AQ62" i="15"/>
  <c r="CG62" i="15"/>
  <c r="BE62" i="15"/>
  <c r="BS62" i="15"/>
  <c r="CU62" i="15"/>
  <c r="AC29" i="15"/>
  <c r="AC50" i="15"/>
  <c r="AC25" i="15"/>
  <c r="AC51" i="15"/>
  <c r="AC39" i="15"/>
  <c r="AC46" i="15"/>
  <c r="AC38" i="15"/>
  <c r="AC47" i="15"/>
  <c r="AC42" i="15"/>
  <c r="AC40" i="15"/>
  <c r="AC48" i="15"/>
  <c r="AC32" i="15"/>
  <c r="AC56" i="15"/>
  <c r="AC52" i="15"/>
  <c r="AC36" i="15"/>
  <c r="AC44" i="15"/>
  <c r="AC57" i="15"/>
  <c r="AC53" i="15"/>
  <c r="AC49" i="15"/>
  <c r="AC45" i="15"/>
  <c r="AC41" i="15"/>
  <c r="AC37" i="15"/>
  <c r="AC33" i="15"/>
  <c r="AC23" i="15"/>
  <c r="AC27" i="15"/>
  <c r="AC26" i="15"/>
  <c r="AC22" i="15"/>
  <c r="AC30" i="15"/>
  <c r="AC28" i="15"/>
  <c r="E76" i="8"/>
  <c r="L77" i="8"/>
  <c r="B3" i="14"/>
  <c r="B11" i="14" s="1"/>
  <c r="AF66" i="14" s="1"/>
  <c r="L11" i="14"/>
  <c r="F11" i="14"/>
  <c r="AF68" i="14" s="1"/>
  <c r="L22" i="15"/>
  <c r="P22" i="15" s="1"/>
  <c r="N45" i="15"/>
  <c r="N58" i="15"/>
  <c r="L24" i="15"/>
  <c r="P24" i="15" s="1"/>
  <c r="L13" i="15"/>
  <c r="P13" i="15" s="1"/>
  <c r="N49" i="15"/>
  <c r="N8" i="15"/>
  <c r="P8" i="15" s="1"/>
  <c r="K63" i="15"/>
  <c r="P9" i="15"/>
  <c r="G5" i="15"/>
  <c r="N5" i="15" s="1"/>
  <c r="P5" i="15" s="1"/>
  <c r="P76" i="15" s="1"/>
  <c r="E56" i="15"/>
  <c r="G56" i="15" s="1"/>
  <c r="M56" i="15" s="1"/>
  <c r="E44" i="15"/>
  <c r="G44" i="15" s="1"/>
  <c r="N44" i="15" s="1"/>
  <c r="E51" i="15"/>
  <c r="G51" i="15" s="1"/>
  <c r="N51" i="15" s="1"/>
  <c r="E61" i="15"/>
  <c r="G61" i="15" s="1"/>
  <c r="M61" i="15" s="1"/>
  <c r="E21" i="15"/>
  <c r="G21" i="15" s="1"/>
  <c r="L21" i="15" s="1"/>
  <c r="P21" i="15" s="1"/>
  <c r="E28" i="15"/>
  <c r="G28" i="15" s="1"/>
  <c r="N28" i="15" s="1"/>
  <c r="P28" i="15" s="1"/>
  <c r="E30" i="15"/>
  <c r="G30" i="15" s="1"/>
  <c r="L30" i="15" s="1"/>
  <c r="P30" i="15" s="1"/>
  <c r="E32" i="15"/>
  <c r="G32" i="15" s="1"/>
  <c r="L32" i="15" s="1"/>
  <c r="P32" i="15" s="1"/>
  <c r="E47" i="15"/>
  <c r="G47" i="15" s="1"/>
  <c r="E52" i="15"/>
  <c r="G52" i="15" s="1"/>
  <c r="M52" i="15" s="1"/>
  <c r="G14" i="15"/>
  <c r="O14" i="15" s="1"/>
  <c r="E29" i="15"/>
  <c r="G29" i="15" s="1"/>
  <c r="L29" i="15" s="1"/>
  <c r="P29" i="15" s="1"/>
  <c r="E31" i="15"/>
  <c r="G31" i="15" s="1"/>
  <c r="L31" i="15" s="1"/>
  <c r="P31" i="15" s="1"/>
  <c r="E33" i="15"/>
  <c r="G33" i="15" s="1"/>
  <c r="L33" i="15" s="1"/>
  <c r="P33" i="15" s="1"/>
  <c r="E43" i="15"/>
  <c r="G43" i="15" s="1"/>
  <c r="N43" i="15" s="1"/>
  <c r="E50" i="15"/>
  <c r="G50" i="15" s="1"/>
  <c r="N50" i="15" s="1"/>
  <c r="E57" i="15"/>
  <c r="G57" i="15" s="1"/>
  <c r="N57" i="15" s="1"/>
  <c r="E38" i="15"/>
  <c r="G38" i="15" s="1"/>
  <c r="E39" i="15"/>
  <c r="G39" i="15" s="1"/>
  <c r="E55" i="15"/>
  <c r="G55" i="15" s="1"/>
  <c r="M55" i="15" s="1"/>
  <c r="E35" i="15"/>
  <c r="G35" i="15" s="1"/>
  <c r="L35" i="15" s="1"/>
  <c r="E7" i="15"/>
  <c r="E15" i="15"/>
  <c r="G15" i="15" s="1"/>
  <c r="M15" i="15" s="1"/>
  <c r="E18" i="15"/>
  <c r="G18" i="15" s="1"/>
  <c r="M18" i="15" s="1"/>
  <c r="P18" i="15" s="1"/>
  <c r="E46" i="15"/>
  <c r="G46" i="15" s="1"/>
  <c r="CP50" i="15" l="1"/>
  <c r="BN50" i="15"/>
  <c r="AL50" i="15"/>
  <c r="CH50" i="15"/>
  <c r="BZ50" i="15"/>
  <c r="AX50" i="15"/>
  <c r="BF50" i="15"/>
  <c r="CL50" i="15"/>
  <c r="BJ50" i="15"/>
  <c r="AH50" i="15"/>
  <c r="BV50" i="15"/>
  <c r="AT50" i="15"/>
  <c r="CF50" i="15"/>
  <c r="BD50" i="15"/>
  <c r="CR50" i="15"/>
  <c r="BP50" i="15"/>
  <c r="AN50" i="15"/>
  <c r="CV50" i="15"/>
  <c r="CB50" i="15"/>
  <c r="AZ50" i="15"/>
  <c r="BT50" i="15"/>
  <c r="CN50" i="15"/>
  <c r="BL50" i="15"/>
  <c r="AJ50" i="15"/>
  <c r="AR50" i="15"/>
  <c r="BX50" i="15"/>
  <c r="AV50" i="15"/>
  <c r="CJ50" i="15"/>
  <c r="AD50" i="15"/>
  <c r="CT50" i="15"/>
  <c r="BR50" i="15"/>
  <c r="AP50" i="15"/>
  <c r="T50" i="15"/>
  <c r="CD50" i="15"/>
  <c r="V50" i="15"/>
  <c r="Z50" i="15"/>
  <c r="R50" i="15"/>
  <c r="BB50" i="15"/>
  <c r="AB50" i="15"/>
  <c r="X50" i="15"/>
  <c r="BH50" i="15"/>
  <c r="AF50" i="15"/>
  <c r="CD61" i="15"/>
  <c r="BB61" i="15"/>
  <c r="Z61" i="15"/>
  <c r="CP61" i="15"/>
  <c r="BN61" i="15"/>
  <c r="AL61" i="15"/>
  <c r="CH61" i="15"/>
  <c r="BZ61" i="15"/>
  <c r="AX61" i="15"/>
  <c r="BF61" i="15"/>
  <c r="CL61" i="15"/>
  <c r="BJ61" i="15"/>
  <c r="AH61" i="15"/>
  <c r="BV61" i="15"/>
  <c r="AT61" i="15"/>
  <c r="CF61" i="15"/>
  <c r="BD61" i="15"/>
  <c r="AB61" i="15"/>
  <c r="CR61" i="15"/>
  <c r="BP61" i="15"/>
  <c r="AN61" i="15"/>
  <c r="CV61" i="15"/>
  <c r="CB61" i="15"/>
  <c r="AZ61" i="15"/>
  <c r="BT61" i="15"/>
  <c r="CN61" i="15"/>
  <c r="BL61" i="15"/>
  <c r="AJ61" i="15"/>
  <c r="AD61" i="15"/>
  <c r="BX61" i="15"/>
  <c r="CJ61" i="15"/>
  <c r="BH61" i="15"/>
  <c r="AF61" i="15"/>
  <c r="AP61" i="15"/>
  <c r="T61" i="15"/>
  <c r="R61" i="15"/>
  <c r="AV61" i="15"/>
  <c r="V61" i="15"/>
  <c r="CT61" i="15"/>
  <c r="X61" i="15"/>
  <c r="BR61" i="15"/>
  <c r="BT45" i="15"/>
  <c r="CN45" i="15"/>
  <c r="BL45" i="15"/>
  <c r="AJ45" i="15"/>
  <c r="AR45" i="15"/>
  <c r="BX45" i="15"/>
  <c r="AV45" i="15"/>
  <c r="CJ45" i="15"/>
  <c r="BH45" i="15"/>
  <c r="AF45" i="15"/>
  <c r="CT45" i="15"/>
  <c r="BR45" i="15"/>
  <c r="AP45" i="15"/>
  <c r="CD45" i="15"/>
  <c r="BB45" i="15"/>
  <c r="AD45" i="15"/>
  <c r="CP45" i="15"/>
  <c r="BN45" i="15"/>
  <c r="AL45" i="15"/>
  <c r="CH45" i="15"/>
  <c r="BZ45" i="15"/>
  <c r="AX45" i="15"/>
  <c r="BF45" i="15"/>
  <c r="CL45" i="15"/>
  <c r="BJ45" i="15"/>
  <c r="AH45" i="15"/>
  <c r="BV45" i="15"/>
  <c r="AT45" i="15"/>
  <c r="CF45" i="15"/>
  <c r="CR45" i="15"/>
  <c r="BP45" i="15"/>
  <c r="AN45" i="15"/>
  <c r="CB45" i="15"/>
  <c r="AB45" i="15"/>
  <c r="X45" i="15"/>
  <c r="Z45" i="15"/>
  <c r="T45" i="15"/>
  <c r="R45" i="15"/>
  <c r="CV45" i="15"/>
  <c r="AZ45" i="15"/>
  <c r="V45" i="15"/>
  <c r="BD45" i="15"/>
  <c r="CR43" i="15"/>
  <c r="BP43" i="15"/>
  <c r="AN43" i="15"/>
  <c r="CV43" i="15"/>
  <c r="CB43" i="15"/>
  <c r="AZ43" i="15"/>
  <c r="BT43" i="15"/>
  <c r="CN43" i="15"/>
  <c r="BL43" i="15"/>
  <c r="AJ43" i="15"/>
  <c r="AR43" i="15"/>
  <c r="AD43" i="15"/>
  <c r="BX43" i="15"/>
  <c r="AV43" i="15"/>
  <c r="CJ43" i="15"/>
  <c r="BH43" i="15"/>
  <c r="CT43" i="15"/>
  <c r="BR43" i="15"/>
  <c r="AP43" i="15"/>
  <c r="CD43" i="15"/>
  <c r="BB43" i="15"/>
  <c r="CP43" i="15"/>
  <c r="BN43" i="15"/>
  <c r="AL43" i="15"/>
  <c r="CH43" i="15"/>
  <c r="BZ43" i="15"/>
  <c r="AX43" i="15"/>
  <c r="BF43" i="15"/>
  <c r="CL43" i="15"/>
  <c r="BJ43" i="15"/>
  <c r="BV43" i="15"/>
  <c r="AT43" i="15"/>
  <c r="AB43" i="15"/>
  <c r="X43" i="15"/>
  <c r="CF43" i="15"/>
  <c r="BD43" i="15"/>
  <c r="V43" i="15"/>
  <c r="Z43" i="15"/>
  <c r="T43" i="15"/>
  <c r="R43" i="15"/>
  <c r="AH43" i="15"/>
  <c r="AF43" i="15"/>
  <c r="CH51" i="15"/>
  <c r="BZ51" i="15"/>
  <c r="AX51" i="15"/>
  <c r="BF51" i="15"/>
  <c r="CL51" i="15"/>
  <c r="BJ51" i="15"/>
  <c r="AH51" i="15"/>
  <c r="BV51" i="15"/>
  <c r="AT51" i="15"/>
  <c r="CF51" i="15"/>
  <c r="BD51" i="15"/>
  <c r="AB51" i="15"/>
  <c r="CR51" i="15"/>
  <c r="BP51" i="15"/>
  <c r="CV51" i="15"/>
  <c r="CB51" i="15"/>
  <c r="AZ51" i="15"/>
  <c r="BT51" i="15"/>
  <c r="CN51" i="15"/>
  <c r="BL51" i="15"/>
  <c r="AJ51" i="15"/>
  <c r="AR51" i="15"/>
  <c r="BX51" i="15"/>
  <c r="AV51" i="15"/>
  <c r="CJ51" i="15"/>
  <c r="BH51" i="15"/>
  <c r="AF51" i="15"/>
  <c r="CT51" i="15"/>
  <c r="BR51" i="15"/>
  <c r="CD51" i="15"/>
  <c r="BB51" i="15"/>
  <c r="T51" i="15"/>
  <c r="Z51" i="15"/>
  <c r="V51" i="15"/>
  <c r="AP51" i="15"/>
  <c r="CP51" i="15"/>
  <c r="BN51" i="15"/>
  <c r="AN51" i="15"/>
  <c r="R51" i="15"/>
  <c r="AL51" i="15"/>
  <c r="X51" i="15"/>
  <c r="AD51" i="15"/>
  <c r="BT57" i="15"/>
  <c r="CN57" i="15"/>
  <c r="BL57" i="15"/>
  <c r="AJ57" i="15"/>
  <c r="AR57" i="15"/>
  <c r="BX57" i="15"/>
  <c r="AV57" i="15"/>
  <c r="CJ57" i="15"/>
  <c r="BH57" i="15"/>
  <c r="AF57" i="15"/>
  <c r="CT57" i="15"/>
  <c r="BR57" i="15"/>
  <c r="AP57" i="15"/>
  <c r="CD57" i="15"/>
  <c r="BB57" i="15"/>
  <c r="AD57" i="15"/>
  <c r="CP57" i="15"/>
  <c r="BN57" i="15"/>
  <c r="AL57" i="15"/>
  <c r="CH57" i="15"/>
  <c r="BZ57" i="15"/>
  <c r="AX57" i="15"/>
  <c r="BF57" i="15"/>
  <c r="CL57" i="15"/>
  <c r="BJ57" i="15"/>
  <c r="AH57" i="15"/>
  <c r="BV57" i="15"/>
  <c r="AT57" i="15"/>
  <c r="CF57" i="15"/>
  <c r="CR57" i="15"/>
  <c r="BP57" i="15"/>
  <c r="AN57" i="15"/>
  <c r="X57" i="15"/>
  <c r="R57" i="15"/>
  <c r="CB57" i="15"/>
  <c r="CV57" i="15"/>
  <c r="AZ57" i="15"/>
  <c r="T57" i="15"/>
  <c r="BD57" i="15"/>
  <c r="AB57" i="15"/>
  <c r="V57" i="15"/>
  <c r="Z57" i="15"/>
  <c r="CV44" i="15"/>
  <c r="CB44" i="15"/>
  <c r="AZ44" i="15"/>
  <c r="BT44" i="15"/>
  <c r="CN44" i="15"/>
  <c r="BL44" i="15"/>
  <c r="AJ44" i="15"/>
  <c r="AR44" i="15"/>
  <c r="BX44" i="15"/>
  <c r="AV44" i="15"/>
  <c r="CJ44" i="15"/>
  <c r="BH44" i="15"/>
  <c r="AF44" i="15"/>
  <c r="AD44" i="15"/>
  <c r="CT44" i="15"/>
  <c r="BR44" i="15"/>
  <c r="CD44" i="15"/>
  <c r="BB44" i="15"/>
  <c r="CP44" i="15"/>
  <c r="BN44" i="15"/>
  <c r="AL44" i="15"/>
  <c r="CH44" i="15"/>
  <c r="BZ44" i="15"/>
  <c r="AX44" i="15"/>
  <c r="BF44" i="15"/>
  <c r="CL44" i="15"/>
  <c r="BJ44" i="15"/>
  <c r="AH44" i="15"/>
  <c r="BV44" i="15"/>
  <c r="CF44" i="15"/>
  <c r="BD44" i="15"/>
  <c r="AB44" i="15"/>
  <c r="X44" i="15"/>
  <c r="AT44" i="15"/>
  <c r="AP44" i="15"/>
  <c r="AN44" i="15"/>
  <c r="Z44" i="15"/>
  <c r="T44" i="15"/>
  <c r="CR44" i="15"/>
  <c r="BP44" i="15"/>
  <c r="V44" i="15"/>
  <c r="R44" i="15"/>
  <c r="AR61" i="15"/>
  <c r="AR46" i="15"/>
  <c r="BX46" i="15"/>
  <c r="AV46" i="15"/>
  <c r="CJ46" i="15"/>
  <c r="BH46" i="15"/>
  <c r="AF46" i="15"/>
  <c r="CT46" i="15"/>
  <c r="BR46" i="15"/>
  <c r="AP46" i="15"/>
  <c r="CD46" i="15"/>
  <c r="BB46" i="15"/>
  <c r="CP46" i="15"/>
  <c r="BN46" i="15"/>
  <c r="CH46" i="15"/>
  <c r="BZ46" i="15"/>
  <c r="AX46" i="15"/>
  <c r="BF46" i="15"/>
  <c r="AD46" i="15"/>
  <c r="CL46" i="15"/>
  <c r="BJ46" i="15"/>
  <c r="AH46" i="15"/>
  <c r="BV46" i="15"/>
  <c r="AT46" i="15"/>
  <c r="CF46" i="15"/>
  <c r="BD46" i="15"/>
  <c r="AB46" i="15"/>
  <c r="CR46" i="15"/>
  <c r="BP46" i="15"/>
  <c r="CV46" i="15"/>
  <c r="CB46" i="15"/>
  <c r="AZ46" i="15"/>
  <c r="BT46" i="15"/>
  <c r="X46" i="15"/>
  <c r="R46" i="15"/>
  <c r="CN46" i="15"/>
  <c r="BL46" i="15"/>
  <c r="Z46" i="15"/>
  <c r="T46" i="15"/>
  <c r="AN46" i="15"/>
  <c r="AL46" i="15"/>
  <c r="V46" i="15"/>
  <c r="AJ46" i="15"/>
  <c r="BF52" i="15"/>
  <c r="AD52" i="15"/>
  <c r="CL52" i="15"/>
  <c r="BJ52" i="15"/>
  <c r="AH52" i="15"/>
  <c r="BV52" i="15"/>
  <c r="AT52" i="15"/>
  <c r="CF52" i="15"/>
  <c r="BD52" i="15"/>
  <c r="AB52" i="15"/>
  <c r="CR52" i="15"/>
  <c r="BP52" i="15"/>
  <c r="AN52" i="15"/>
  <c r="CV52" i="15"/>
  <c r="CB52" i="15"/>
  <c r="AZ52" i="15"/>
  <c r="BT52" i="15"/>
  <c r="CN52" i="15"/>
  <c r="BL52" i="15"/>
  <c r="AJ52" i="15"/>
  <c r="AR52" i="15"/>
  <c r="BX52" i="15"/>
  <c r="AV52" i="15"/>
  <c r="CJ52" i="15"/>
  <c r="BH52" i="15"/>
  <c r="AF52" i="15"/>
  <c r="CT52" i="15"/>
  <c r="BR52" i="15"/>
  <c r="AP52" i="15"/>
  <c r="CD52" i="15"/>
  <c r="CP52" i="15"/>
  <c r="BN52" i="15"/>
  <c r="AL52" i="15"/>
  <c r="Z52" i="15"/>
  <c r="V52" i="15"/>
  <c r="T52" i="15"/>
  <c r="CH52" i="15"/>
  <c r="AX52" i="15"/>
  <c r="BB52" i="15"/>
  <c r="X52" i="15"/>
  <c r="R52" i="15"/>
  <c r="BZ52" i="15"/>
  <c r="CH38" i="15"/>
  <c r="BZ38" i="15"/>
  <c r="AX38" i="15"/>
  <c r="BF38" i="15"/>
  <c r="CL38" i="15"/>
  <c r="BJ38" i="15"/>
  <c r="AH38" i="15"/>
  <c r="BV38" i="15"/>
  <c r="AT38" i="15"/>
  <c r="CF38" i="15"/>
  <c r="BD38" i="15"/>
  <c r="AB38" i="15"/>
  <c r="CR38" i="15"/>
  <c r="BP38" i="15"/>
  <c r="CV38" i="15"/>
  <c r="CB38" i="15"/>
  <c r="AZ38" i="15"/>
  <c r="BT38" i="15"/>
  <c r="CN38" i="15"/>
  <c r="BL38" i="15"/>
  <c r="AJ38" i="15"/>
  <c r="AR38" i="15"/>
  <c r="BX38" i="15"/>
  <c r="AV38" i="15"/>
  <c r="CJ38" i="15"/>
  <c r="BH38" i="15"/>
  <c r="AF38" i="15"/>
  <c r="CT38" i="15"/>
  <c r="BR38" i="15"/>
  <c r="CD38" i="15"/>
  <c r="BB38" i="15"/>
  <c r="Z38" i="15"/>
  <c r="T38" i="15"/>
  <c r="V38" i="15"/>
  <c r="R38" i="15"/>
  <c r="CP38" i="15"/>
  <c r="BN38" i="15"/>
  <c r="AP38" i="15"/>
  <c r="X38" i="15"/>
  <c r="AD38" i="15"/>
  <c r="AN38" i="15"/>
  <c r="AL38" i="15"/>
  <c r="CJ47" i="15"/>
  <c r="BH47" i="15"/>
  <c r="AF47" i="15"/>
  <c r="CT47" i="15"/>
  <c r="BR47" i="15"/>
  <c r="AP47" i="15"/>
  <c r="CD47" i="15"/>
  <c r="BB47" i="15"/>
  <c r="CP47" i="15"/>
  <c r="BN47" i="15"/>
  <c r="AL47" i="15"/>
  <c r="CH47" i="15"/>
  <c r="BZ47" i="15"/>
  <c r="AX47" i="15"/>
  <c r="BF47" i="15"/>
  <c r="CL47" i="15"/>
  <c r="BJ47" i="15"/>
  <c r="AH47" i="15"/>
  <c r="BV47" i="15"/>
  <c r="AT47" i="15"/>
  <c r="AD47" i="15"/>
  <c r="CF47" i="15"/>
  <c r="BD47" i="15"/>
  <c r="AB47" i="15"/>
  <c r="CR47" i="15"/>
  <c r="BP47" i="15"/>
  <c r="AN47" i="15"/>
  <c r="CV47" i="15"/>
  <c r="CB47" i="15"/>
  <c r="BT47" i="15"/>
  <c r="CN47" i="15"/>
  <c r="BL47" i="15"/>
  <c r="AJ47" i="15"/>
  <c r="R47" i="15"/>
  <c r="Z47" i="15"/>
  <c r="T47" i="15"/>
  <c r="AR47" i="15"/>
  <c r="BX47" i="15"/>
  <c r="AV47" i="15"/>
  <c r="V47" i="15"/>
  <c r="AZ47" i="15"/>
  <c r="X47" i="15"/>
  <c r="AR58" i="15"/>
  <c r="BX58" i="15"/>
  <c r="AV58" i="15"/>
  <c r="CJ58" i="15"/>
  <c r="BH58" i="15"/>
  <c r="AF58" i="15"/>
  <c r="CT58" i="15"/>
  <c r="BR58" i="15"/>
  <c r="AP58" i="15"/>
  <c r="CD58" i="15"/>
  <c r="BB58" i="15"/>
  <c r="Z58" i="15"/>
  <c r="CP58" i="15"/>
  <c r="BN58" i="15"/>
  <c r="CH58" i="15"/>
  <c r="BZ58" i="15"/>
  <c r="AX58" i="15"/>
  <c r="BF58" i="15"/>
  <c r="AD58" i="15"/>
  <c r="CL58" i="15"/>
  <c r="BJ58" i="15"/>
  <c r="AH58" i="15"/>
  <c r="BV58" i="15"/>
  <c r="AT58" i="15"/>
  <c r="CF58" i="15"/>
  <c r="BD58" i="15"/>
  <c r="AB58" i="15"/>
  <c r="CR58" i="15"/>
  <c r="BP58" i="15"/>
  <c r="CV58" i="15"/>
  <c r="CB58" i="15"/>
  <c r="AZ58" i="15"/>
  <c r="X58" i="15"/>
  <c r="R58" i="15"/>
  <c r="CN58" i="15"/>
  <c r="BL58" i="15"/>
  <c r="BT58" i="15"/>
  <c r="AN58" i="15"/>
  <c r="AL58" i="15"/>
  <c r="T58" i="15"/>
  <c r="AJ58" i="15"/>
  <c r="V58" i="15"/>
  <c r="CV56" i="15"/>
  <c r="CB56" i="15"/>
  <c r="AZ56" i="15"/>
  <c r="BT56" i="15"/>
  <c r="CN56" i="15"/>
  <c r="BL56" i="15"/>
  <c r="AJ56" i="15"/>
  <c r="AR56" i="15"/>
  <c r="BX56" i="15"/>
  <c r="AV56" i="15"/>
  <c r="CJ56" i="15"/>
  <c r="BH56" i="15"/>
  <c r="AF56" i="15"/>
  <c r="AD56" i="15"/>
  <c r="CT56" i="15"/>
  <c r="BR56" i="15"/>
  <c r="CD56" i="15"/>
  <c r="BB56" i="15"/>
  <c r="Z56" i="15"/>
  <c r="CP56" i="15"/>
  <c r="BN56" i="15"/>
  <c r="AL56" i="15"/>
  <c r="CH56" i="15"/>
  <c r="BZ56" i="15"/>
  <c r="AX56" i="15"/>
  <c r="BF56" i="15"/>
  <c r="CL56" i="15"/>
  <c r="BJ56" i="15"/>
  <c r="AH56" i="15"/>
  <c r="BV56" i="15"/>
  <c r="CF56" i="15"/>
  <c r="BD56" i="15"/>
  <c r="AT56" i="15"/>
  <c r="X56" i="15"/>
  <c r="AP56" i="15"/>
  <c r="AN56" i="15"/>
  <c r="R56" i="15"/>
  <c r="T56" i="15"/>
  <c r="CR56" i="15"/>
  <c r="BP56" i="15"/>
  <c r="AB56" i="15"/>
  <c r="V56" i="15"/>
  <c r="CR55" i="15"/>
  <c r="BP55" i="15"/>
  <c r="AN55" i="15"/>
  <c r="CV55" i="15"/>
  <c r="CB55" i="15"/>
  <c r="AZ55" i="15"/>
  <c r="BT55" i="15"/>
  <c r="CN55" i="15"/>
  <c r="BL55" i="15"/>
  <c r="AJ55" i="15"/>
  <c r="AR55" i="15"/>
  <c r="AD55" i="15"/>
  <c r="BX55" i="15"/>
  <c r="AV55" i="15"/>
  <c r="CJ55" i="15"/>
  <c r="BH55" i="15"/>
  <c r="CT55" i="15"/>
  <c r="BR55" i="15"/>
  <c r="AP55" i="15"/>
  <c r="CD55" i="15"/>
  <c r="BB55" i="15"/>
  <c r="Z55" i="15"/>
  <c r="CP55" i="15"/>
  <c r="BN55" i="15"/>
  <c r="AL55" i="15"/>
  <c r="CH55" i="15"/>
  <c r="BZ55" i="15"/>
  <c r="AX55" i="15"/>
  <c r="BF55" i="15"/>
  <c r="CL55" i="15"/>
  <c r="BJ55" i="15"/>
  <c r="BV55" i="15"/>
  <c r="AT55" i="15"/>
  <c r="X55" i="15"/>
  <c r="CF55" i="15"/>
  <c r="V55" i="15"/>
  <c r="AH55" i="15"/>
  <c r="AB55" i="15"/>
  <c r="BD55" i="15"/>
  <c r="AF55" i="15"/>
  <c r="T55" i="15"/>
  <c r="R55" i="15"/>
  <c r="CD49" i="15"/>
  <c r="BB49" i="15"/>
  <c r="Z49" i="15"/>
  <c r="CP49" i="15"/>
  <c r="BN49" i="15"/>
  <c r="AL49" i="15"/>
  <c r="CH49" i="15"/>
  <c r="BZ49" i="15"/>
  <c r="AX49" i="15"/>
  <c r="BF49" i="15"/>
  <c r="CL49" i="15"/>
  <c r="BJ49" i="15"/>
  <c r="AH49" i="15"/>
  <c r="BV49" i="15"/>
  <c r="CF49" i="15"/>
  <c r="BD49" i="15"/>
  <c r="AB49" i="15"/>
  <c r="CR49" i="15"/>
  <c r="BP49" i="15"/>
  <c r="AN49" i="15"/>
  <c r="CV49" i="15"/>
  <c r="CB49" i="15"/>
  <c r="AZ49" i="15"/>
  <c r="BT49" i="15"/>
  <c r="CN49" i="15"/>
  <c r="BL49" i="15"/>
  <c r="AJ49" i="15"/>
  <c r="AR49" i="15"/>
  <c r="AD49" i="15"/>
  <c r="BX49" i="15"/>
  <c r="CJ49" i="15"/>
  <c r="BH49" i="15"/>
  <c r="AF49" i="15"/>
  <c r="CT49" i="15"/>
  <c r="BR49" i="15"/>
  <c r="T49" i="15"/>
  <c r="R49" i="15"/>
  <c r="AT49" i="15"/>
  <c r="V49" i="15"/>
  <c r="AV49" i="15"/>
  <c r="AP49" i="15"/>
  <c r="X49" i="15"/>
  <c r="BF39" i="15"/>
  <c r="AD39" i="15"/>
  <c r="CL39" i="15"/>
  <c r="BJ39" i="15"/>
  <c r="AH39" i="15"/>
  <c r="BV39" i="15"/>
  <c r="AT39" i="15"/>
  <c r="CF39" i="15"/>
  <c r="BD39" i="15"/>
  <c r="AB39" i="15"/>
  <c r="CR39" i="15"/>
  <c r="BP39" i="15"/>
  <c r="AN39" i="15"/>
  <c r="CV39" i="15"/>
  <c r="CB39" i="15"/>
  <c r="AZ39" i="15"/>
  <c r="BT39" i="15"/>
  <c r="CN39" i="15"/>
  <c r="BL39" i="15"/>
  <c r="AJ39" i="15"/>
  <c r="AR39" i="15"/>
  <c r="BX39" i="15"/>
  <c r="AV39" i="15"/>
  <c r="CJ39" i="15"/>
  <c r="BH39" i="15"/>
  <c r="AF39" i="15"/>
  <c r="CT39" i="15"/>
  <c r="BR39" i="15"/>
  <c r="AP39" i="15"/>
  <c r="CD39" i="15"/>
  <c r="CP39" i="15"/>
  <c r="BN39" i="15"/>
  <c r="AL39" i="15"/>
  <c r="V39" i="15"/>
  <c r="CH39" i="15"/>
  <c r="X39" i="15"/>
  <c r="R39" i="15"/>
  <c r="Z39" i="15"/>
  <c r="AX39" i="15"/>
  <c r="BB39" i="15"/>
  <c r="T39" i="15"/>
  <c r="BZ39" i="15"/>
  <c r="CD28" i="16"/>
  <c r="BH28" i="16"/>
  <c r="AN28" i="16"/>
  <c r="R28" i="16"/>
  <c r="CV28" i="16"/>
  <c r="CB28" i="16"/>
  <c r="AL28" i="16"/>
  <c r="BZ28" i="16"/>
  <c r="AJ28" i="16"/>
  <c r="CR28" i="16"/>
  <c r="BV28" i="16"/>
  <c r="BB28" i="16"/>
  <c r="AF28" i="16"/>
  <c r="CJ28" i="16"/>
  <c r="AB28" i="16"/>
  <c r="BD28" i="16"/>
  <c r="Z28" i="16"/>
  <c r="AZ28" i="16"/>
  <c r="X28" i="16"/>
  <c r="CF28" i="16"/>
  <c r="AX28" i="16"/>
  <c r="V28" i="16"/>
  <c r="BX28" i="16"/>
  <c r="AV28" i="16"/>
  <c r="T28" i="16"/>
  <c r="BP28" i="16"/>
  <c r="BN28" i="16"/>
  <c r="BL28" i="16"/>
  <c r="BJ28" i="16"/>
  <c r="BT28" i="16"/>
  <c r="CT28" i="16"/>
  <c r="CP28" i="16"/>
  <c r="AT28" i="16"/>
  <c r="CN28" i="16"/>
  <c r="CL28" i="16"/>
  <c r="AP28" i="16"/>
  <c r="AH28" i="16"/>
  <c r="AD28" i="16"/>
  <c r="BR28" i="16"/>
  <c r="AR29" i="16"/>
  <c r="AQ81" i="16"/>
  <c r="BF58" i="16"/>
  <c r="AD58" i="16"/>
  <c r="CV18" i="16"/>
  <c r="CB18" i="16"/>
  <c r="BF18" i="16"/>
  <c r="AL18" i="16"/>
  <c r="BZ18" i="16"/>
  <c r="AJ18" i="16"/>
  <c r="CT18" i="16"/>
  <c r="BX18" i="16"/>
  <c r="BD18" i="16"/>
  <c r="AH18" i="16"/>
  <c r="CR18" i="16"/>
  <c r="BV18" i="16"/>
  <c r="BB18" i="16"/>
  <c r="AF18" i="16"/>
  <c r="CP18" i="16"/>
  <c r="AZ18" i="16"/>
  <c r="CL18" i="16"/>
  <c r="BR18" i="16"/>
  <c r="AV18" i="16"/>
  <c r="AB18" i="16"/>
  <c r="CF18" i="16"/>
  <c r="CD18" i="16"/>
  <c r="AP18" i="16"/>
  <c r="AN18" i="16"/>
  <c r="BP18" i="16"/>
  <c r="AX18" i="16"/>
  <c r="BN18" i="16"/>
  <c r="Z18" i="16"/>
  <c r="BL18" i="16"/>
  <c r="X18" i="16"/>
  <c r="CJ18" i="16"/>
  <c r="BJ18" i="16"/>
  <c r="V18" i="16"/>
  <c r="BH18" i="16"/>
  <c r="T18" i="16"/>
  <c r="CN18" i="16"/>
  <c r="R18" i="16"/>
  <c r="AT18" i="16"/>
  <c r="AR18" i="16"/>
  <c r="CD44" i="16"/>
  <c r="BH44" i="16"/>
  <c r="AN44" i="16"/>
  <c r="R44" i="16"/>
  <c r="CB44" i="16"/>
  <c r="AL44" i="16"/>
  <c r="BZ44" i="16"/>
  <c r="AJ44" i="16"/>
  <c r="CT44" i="16"/>
  <c r="BX44" i="16"/>
  <c r="BD44" i="16"/>
  <c r="AH44" i="16"/>
  <c r="CR44" i="16"/>
  <c r="BV44" i="16"/>
  <c r="BB44" i="16"/>
  <c r="AF44" i="16"/>
  <c r="CP44" i="16"/>
  <c r="AZ44" i="16"/>
  <c r="BL44" i="16"/>
  <c r="CN44" i="16"/>
  <c r="AX44" i="16"/>
  <c r="CL44" i="16"/>
  <c r="AV44" i="16"/>
  <c r="CJ44" i="16"/>
  <c r="AT44" i="16"/>
  <c r="CH44" i="16"/>
  <c r="AR44" i="16"/>
  <c r="CF44" i="16"/>
  <c r="AP44" i="16"/>
  <c r="BR44" i="16"/>
  <c r="AB44" i="16"/>
  <c r="BJ44" i="16"/>
  <c r="V44" i="16"/>
  <c r="T44" i="16"/>
  <c r="BP44" i="16"/>
  <c r="BN44" i="16"/>
  <c r="Z44" i="16"/>
  <c r="X44" i="16"/>
  <c r="CN38" i="16"/>
  <c r="AX38" i="16"/>
  <c r="CL38" i="16"/>
  <c r="BR38" i="16"/>
  <c r="AV38" i="16"/>
  <c r="AB38" i="16"/>
  <c r="CJ38" i="16"/>
  <c r="BP38" i="16"/>
  <c r="AT38" i="16"/>
  <c r="Z38" i="16"/>
  <c r="CH38" i="16"/>
  <c r="BN38" i="16"/>
  <c r="AR38" i="16"/>
  <c r="X38" i="16"/>
  <c r="BL38" i="16"/>
  <c r="V38" i="16"/>
  <c r="CF38" i="16"/>
  <c r="BJ38" i="16"/>
  <c r="AP38" i="16"/>
  <c r="T38" i="16"/>
  <c r="CD38" i="16"/>
  <c r="BH38" i="16"/>
  <c r="AN38" i="16"/>
  <c r="R38" i="16"/>
  <c r="CB38" i="16"/>
  <c r="AL38" i="16"/>
  <c r="CR38" i="16"/>
  <c r="BV38" i="16"/>
  <c r="BB38" i="16"/>
  <c r="AF38" i="16"/>
  <c r="BD38" i="16"/>
  <c r="AZ38" i="16"/>
  <c r="AJ38" i="16"/>
  <c r="CT38" i="16"/>
  <c r="AH38" i="16"/>
  <c r="CP38" i="16"/>
  <c r="BT38" i="16"/>
  <c r="AD38" i="16"/>
  <c r="BZ38" i="16"/>
  <c r="BX38" i="16"/>
  <c r="CU81" i="16"/>
  <c r="O64" i="16"/>
  <c r="O69" i="16" s="1"/>
  <c r="P15" i="16"/>
  <c r="CB47" i="16"/>
  <c r="AL47" i="16"/>
  <c r="BZ47" i="16"/>
  <c r="AJ47" i="16"/>
  <c r="CT47" i="16"/>
  <c r="BX47" i="16"/>
  <c r="BD47" i="16"/>
  <c r="AH47" i="16"/>
  <c r="CR47" i="16"/>
  <c r="BV47" i="16"/>
  <c r="BB47" i="16"/>
  <c r="AF47" i="16"/>
  <c r="CP47" i="16"/>
  <c r="BT47" i="16"/>
  <c r="AZ47" i="16"/>
  <c r="AD47" i="16"/>
  <c r="CN47" i="16"/>
  <c r="AX47" i="16"/>
  <c r="CJ47" i="16"/>
  <c r="BP47" i="16"/>
  <c r="AT47" i="16"/>
  <c r="Z47" i="16"/>
  <c r="CF47" i="16"/>
  <c r="BJ47" i="16"/>
  <c r="AP47" i="16"/>
  <c r="T47" i="16"/>
  <c r="CD47" i="16"/>
  <c r="AB47" i="16"/>
  <c r="X47" i="16"/>
  <c r="BR47" i="16"/>
  <c r="V47" i="16"/>
  <c r="BN47" i="16"/>
  <c r="R47" i="16"/>
  <c r="BL47" i="16"/>
  <c r="BH47" i="16"/>
  <c r="AV47" i="16"/>
  <c r="AN47" i="16"/>
  <c r="CL47" i="16"/>
  <c r="AR47" i="16"/>
  <c r="CH28" i="16"/>
  <c r="BT52" i="16"/>
  <c r="CP51" i="16"/>
  <c r="AZ51" i="16"/>
  <c r="CN51" i="16"/>
  <c r="AX51" i="16"/>
  <c r="CL51" i="16"/>
  <c r="BR51" i="16"/>
  <c r="AV51" i="16"/>
  <c r="AB51" i="16"/>
  <c r="CJ51" i="16"/>
  <c r="BP51" i="16"/>
  <c r="AT51" i="16"/>
  <c r="Z51" i="16"/>
  <c r="CH51" i="16"/>
  <c r="BN51" i="16"/>
  <c r="AR51" i="16"/>
  <c r="X51" i="16"/>
  <c r="BL51" i="16"/>
  <c r="V51" i="16"/>
  <c r="CF51" i="16"/>
  <c r="BJ51" i="16"/>
  <c r="AP51" i="16"/>
  <c r="T51" i="16"/>
  <c r="CD51" i="16"/>
  <c r="BH51" i="16"/>
  <c r="AN51" i="16"/>
  <c r="R51" i="16"/>
  <c r="CT51" i="16"/>
  <c r="BX51" i="16"/>
  <c r="BD51" i="16"/>
  <c r="AH51" i="16"/>
  <c r="BB51" i="16"/>
  <c r="AL51" i="16"/>
  <c r="AJ51" i="16"/>
  <c r="CR51" i="16"/>
  <c r="AF51" i="16"/>
  <c r="BZ51" i="16"/>
  <c r="CB51" i="16"/>
  <c r="BV51" i="16"/>
  <c r="CB50" i="16"/>
  <c r="AL50" i="16"/>
  <c r="BZ50" i="16"/>
  <c r="AJ50" i="16"/>
  <c r="CT50" i="16"/>
  <c r="BX50" i="16"/>
  <c r="BD50" i="16"/>
  <c r="AH50" i="16"/>
  <c r="CR50" i="16"/>
  <c r="BV50" i="16"/>
  <c r="BB50" i="16"/>
  <c r="AF50" i="16"/>
  <c r="CP50" i="16"/>
  <c r="BT50" i="16"/>
  <c r="AZ50" i="16"/>
  <c r="AD50" i="16"/>
  <c r="CN50" i="16"/>
  <c r="AX50" i="16"/>
  <c r="CL50" i="16"/>
  <c r="BR50" i="16"/>
  <c r="AV50" i="16"/>
  <c r="AB50" i="16"/>
  <c r="CJ50" i="16"/>
  <c r="BP50" i="16"/>
  <c r="AT50" i="16"/>
  <c r="Z50" i="16"/>
  <c r="CF50" i="16"/>
  <c r="BJ50" i="16"/>
  <c r="AP50" i="16"/>
  <c r="T50" i="16"/>
  <c r="X50" i="16"/>
  <c r="V50" i="16"/>
  <c r="CD50" i="16"/>
  <c r="R50" i="16"/>
  <c r="BN50" i="16"/>
  <c r="BL50" i="16"/>
  <c r="BH50" i="16"/>
  <c r="AR50" i="16"/>
  <c r="AN50" i="16"/>
  <c r="BZ31" i="16"/>
  <c r="AJ31" i="16"/>
  <c r="CT31" i="16"/>
  <c r="BX31" i="16"/>
  <c r="BD31" i="16"/>
  <c r="AH31" i="16"/>
  <c r="CR31" i="16"/>
  <c r="BV31" i="16"/>
  <c r="BB31" i="16"/>
  <c r="AF31" i="16"/>
  <c r="CN31" i="16"/>
  <c r="AX31" i="16"/>
  <c r="CL31" i="16"/>
  <c r="BR31" i="16"/>
  <c r="AV31" i="16"/>
  <c r="AB31" i="16"/>
  <c r="CD31" i="16"/>
  <c r="BH31" i="16"/>
  <c r="AN31" i="16"/>
  <c r="R31" i="16"/>
  <c r="BT31" i="16"/>
  <c r="AP31" i="16"/>
  <c r="AL31" i="16"/>
  <c r="BP31" i="16"/>
  <c r="AD31" i="16"/>
  <c r="BN31" i="16"/>
  <c r="CV31" i="16"/>
  <c r="BL31" i="16"/>
  <c r="Z31" i="16"/>
  <c r="CP31" i="16"/>
  <c r="BF31" i="16"/>
  <c r="V31" i="16"/>
  <c r="CF31" i="16"/>
  <c r="CB31" i="16"/>
  <c r="CJ31" i="16"/>
  <c r="BJ31" i="16"/>
  <c r="AZ31" i="16"/>
  <c r="AT31" i="16"/>
  <c r="X31" i="16"/>
  <c r="T31" i="16"/>
  <c r="CP29" i="16"/>
  <c r="BT29" i="16"/>
  <c r="AZ29" i="16"/>
  <c r="AD29" i="16"/>
  <c r="CN29" i="16"/>
  <c r="AX29" i="16"/>
  <c r="CL29" i="16"/>
  <c r="BR29" i="16"/>
  <c r="AV29" i="16"/>
  <c r="AB29" i="16"/>
  <c r="BN29" i="16"/>
  <c r="X29" i="16"/>
  <c r="BL29" i="16"/>
  <c r="CF29" i="16"/>
  <c r="BD29" i="16"/>
  <c r="V29" i="16"/>
  <c r="CD29" i="16"/>
  <c r="BB29" i="16"/>
  <c r="T29" i="16"/>
  <c r="CB29" i="16"/>
  <c r="AT29" i="16"/>
  <c r="R29" i="16"/>
  <c r="BZ29" i="16"/>
  <c r="BX29" i="16"/>
  <c r="AP29" i="16"/>
  <c r="AL29" i="16"/>
  <c r="BV29" i="16"/>
  <c r="Z29" i="16"/>
  <c r="BP29" i="16"/>
  <c r="CR29" i="16"/>
  <c r="BJ29" i="16"/>
  <c r="BH29" i="16"/>
  <c r="AJ29" i="16"/>
  <c r="CT29" i="16"/>
  <c r="AN29" i="16"/>
  <c r="CJ29" i="16"/>
  <c r="AH29" i="16"/>
  <c r="AF29" i="16"/>
  <c r="BL52" i="16"/>
  <c r="V52" i="16"/>
  <c r="CF52" i="16"/>
  <c r="BJ52" i="16"/>
  <c r="AP52" i="16"/>
  <c r="T52" i="16"/>
  <c r="CD52" i="16"/>
  <c r="BH52" i="16"/>
  <c r="AN52" i="16"/>
  <c r="R52" i="16"/>
  <c r="CV52" i="16"/>
  <c r="CB52" i="16"/>
  <c r="BF52" i="16"/>
  <c r="AL52" i="16"/>
  <c r="BZ52" i="16"/>
  <c r="AJ52" i="16"/>
  <c r="CT52" i="16"/>
  <c r="BX52" i="16"/>
  <c r="BD52" i="16"/>
  <c r="AH52" i="16"/>
  <c r="CR52" i="16"/>
  <c r="BV52" i="16"/>
  <c r="BB52" i="16"/>
  <c r="AF52" i="16"/>
  <c r="CP52" i="16"/>
  <c r="AZ52" i="16"/>
  <c r="CJ52" i="16"/>
  <c r="BP52" i="16"/>
  <c r="AT52" i="16"/>
  <c r="Z52" i="16"/>
  <c r="CN52" i="16"/>
  <c r="CL52" i="16"/>
  <c r="AB52" i="16"/>
  <c r="CH52" i="16"/>
  <c r="X52" i="16"/>
  <c r="BR52" i="16"/>
  <c r="BN52" i="16"/>
  <c r="AV52" i="16"/>
  <c r="AX52" i="16"/>
  <c r="AR52" i="16"/>
  <c r="E34" i="16"/>
  <c r="G34" i="16" s="1"/>
  <c r="L34" i="16" s="1"/>
  <c r="P34" i="16" s="1"/>
  <c r="E48" i="16"/>
  <c r="G48" i="16" s="1"/>
  <c r="L48" i="16" s="1"/>
  <c r="P48" i="16" s="1"/>
  <c r="G7" i="16"/>
  <c r="N7" i="16" s="1"/>
  <c r="P7" i="16" s="1"/>
  <c r="CH47" i="16"/>
  <c r="CL35" i="16"/>
  <c r="BR35" i="16"/>
  <c r="AV35" i="16"/>
  <c r="AB35" i="16"/>
  <c r="CJ35" i="16"/>
  <c r="BP35" i="16"/>
  <c r="AT35" i="16"/>
  <c r="Z35" i="16"/>
  <c r="BN35" i="16"/>
  <c r="X35" i="16"/>
  <c r="BL35" i="16"/>
  <c r="V35" i="16"/>
  <c r="CF35" i="16"/>
  <c r="BJ35" i="16"/>
  <c r="AP35" i="16"/>
  <c r="T35" i="16"/>
  <c r="CD35" i="16"/>
  <c r="BH35" i="16"/>
  <c r="AN35" i="16"/>
  <c r="R35" i="16"/>
  <c r="CB35" i="16"/>
  <c r="AL35" i="16"/>
  <c r="BZ35" i="16"/>
  <c r="AJ35" i="16"/>
  <c r="CP35" i="16"/>
  <c r="AZ35" i="16"/>
  <c r="BX35" i="16"/>
  <c r="BV35" i="16"/>
  <c r="BB35" i="16"/>
  <c r="CN35" i="16"/>
  <c r="BD35" i="16"/>
  <c r="AX35" i="16"/>
  <c r="AH35" i="16"/>
  <c r="AF35" i="16"/>
  <c r="CT35" i="16"/>
  <c r="CR35" i="16"/>
  <c r="CL55" i="16"/>
  <c r="BR55" i="16"/>
  <c r="AV55" i="16"/>
  <c r="AB55" i="16"/>
  <c r="CJ55" i="16"/>
  <c r="BP55" i="16"/>
  <c r="AT55" i="16"/>
  <c r="Z55" i="16"/>
  <c r="CH55" i="16"/>
  <c r="BN55" i="16"/>
  <c r="AR55" i="16"/>
  <c r="X55" i="16"/>
  <c r="BL55" i="16"/>
  <c r="V55" i="16"/>
  <c r="CF55" i="16"/>
  <c r="BJ55" i="16"/>
  <c r="AP55" i="16"/>
  <c r="T55" i="16"/>
  <c r="CD55" i="16"/>
  <c r="BH55" i="16"/>
  <c r="AN55" i="16"/>
  <c r="R55" i="16"/>
  <c r="AX55" i="16"/>
  <c r="CB55" i="16"/>
  <c r="BZ55" i="16"/>
  <c r="AL55" i="16"/>
  <c r="BX55" i="16"/>
  <c r="AJ55" i="16"/>
  <c r="BV55" i="16"/>
  <c r="AH55" i="16"/>
  <c r="AF55" i="16"/>
  <c r="CV55" i="16"/>
  <c r="AD55" i="16"/>
  <c r="CP55" i="16"/>
  <c r="BB55" i="16"/>
  <c r="BD55" i="16"/>
  <c r="AZ55" i="16"/>
  <c r="CT55" i="16"/>
  <c r="CR55" i="16"/>
  <c r="CN55" i="16"/>
  <c r="N5" i="16"/>
  <c r="BF51" i="16"/>
  <c r="CH35" i="16"/>
  <c r="CJ43" i="16"/>
  <c r="BP43" i="16"/>
  <c r="AT43" i="16"/>
  <c r="Z43" i="16"/>
  <c r="BN43" i="16"/>
  <c r="X43" i="16"/>
  <c r="BL43" i="16"/>
  <c r="V43" i="16"/>
  <c r="CD43" i="16"/>
  <c r="BH43" i="16"/>
  <c r="AN43" i="16"/>
  <c r="R43" i="16"/>
  <c r="CB43" i="16"/>
  <c r="AL43" i="16"/>
  <c r="AH43" i="16"/>
  <c r="CT43" i="16"/>
  <c r="BR43" i="16"/>
  <c r="AF43" i="16"/>
  <c r="CR43" i="16"/>
  <c r="BJ43" i="16"/>
  <c r="CP43" i="16"/>
  <c r="CN43" i="16"/>
  <c r="BD43" i="16"/>
  <c r="AB43" i="16"/>
  <c r="CL43" i="16"/>
  <c r="BB43" i="16"/>
  <c r="T43" i="16"/>
  <c r="AZ43" i="16"/>
  <c r="CF43" i="16"/>
  <c r="AX43" i="16"/>
  <c r="BV43" i="16"/>
  <c r="AP43" i="16"/>
  <c r="BZ43" i="16"/>
  <c r="BX43" i="16"/>
  <c r="BT43" i="16"/>
  <c r="AV43" i="16"/>
  <c r="AJ43" i="16"/>
  <c r="CL61" i="16"/>
  <c r="BR61" i="16"/>
  <c r="AV61" i="16"/>
  <c r="AB61" i="16"/>
  <c r="CJ61" i="16"/>
  <c r="BP61" i="16"/>
  <c r="AT61" i="16"/>
  <c r="Z61" i="16"/>
  <c r="CH61" i="16"/>
  <c r="BN61" i="16"/>
  <c r="AR61" i="16"/>
  <c r="X61" i="16"/>
  <c r="BL61" i="16"/>
  <c r="V61" i="16"/>
  <c r="CF61" i="16"/>
  <c r="BJ61" i="16"/>
  <c r="AP61" i="16"/>
  <c r="T61" i="16"/>
  <c r="CD61" i="16"/>
  <c r="BH61" i="16"/>
  <c r="AN61" i="16"/>
  <c r="R61" i="16"/>
  <c r="BZ61" i="16"/>
  <c r="AJ61" i="16"/>
  <c r="CP61" i="16"/>
  <c r="AZ61" i="16"/>
  <c r="BV61" i="16"/>
  <c r="BF61" i="16"/>
  <c r="CV61" i="16"/>
  <c r="BD61" i="16"/>
  <c r="BB61" i="16"/>
  <c r="CT61" i="16"/>
  <c r="AX61" i="16"/>
  <c r="CR61" i="16"/>
  <c r="CB61" i="16"/>
  <c r="AF61" i="16"/>
  <c r="AL61" i="16"/>
  <c r="AH61" i="16"/>
  <c r="CN61" i="16"/>
  <c r="BX61" i="16"/>
  <c r="Q64" i="16"/>
  <c r="Q69" i="16" s="1"/>
  <c r="P14" i="16"/>
  <c r="CG81" i="16"/>
  <c r="BF28" i="16"/>
  <c r="CN32" i="16"/>
  <c r="AX32" i="16"/>
  <c r="CL32" i="16"/>
  <c r="BR32" i="16"/>
  <c r="AV32" i="16"/>
  <c r="AB32" i="16"/>
  <c r="CJ32" i="16"/>
  <c r="BP32" i="16"/>
  <c r="AT32" i="16"/>
  <c r="Z32" i="16"/>
  <c r="BL32" i="16"/>
  <c r="V32" i="16"/>
  <c r="CF32" i="16"/>
  <c r="BJ32" i="16"/>
  <c r="AP32" i="16"/>
  <c r="T32" i="16"/>
  <c r="CR32" i="16"/>
  <c r="BV32" i="16"/>
  <c r="BB32" i="16"/>
  <c r="AF32" i="16"/>
  <c r="CP32" i="16"/>
  <c r="R32" i="16"/>
  <c r="CH32" i="16"/>
  <c r="BD32" i="16"/>
  <c r="AZ32" i="16"/>
  <c r="CD32" i="16"/>
  <c r="AR32" i="16"/>
  <c r="CB32" i="16"/>
  <c r="BX32" i="16"/>
  <c r="AL32" i="16"/>
  <c r="AN32" i="16"/>
  <c r="AJ32" i="16"/>
  <c r="CT32" i="16"/>
  <c r="AH32" i="16"/>
  <c r="AD32" i="16"/>
  <c r="BZ32" i="16"/>
  <c r="BT32" i="16"/>
  <c r="X32" i="16"/>
  <c r="BN32" i="16"/>
  <c r="BH32" i="16"/>
  <c r="BF32" i="16"/>
  <c r="CF56" i="16"/>
  <c r="BJ56" i="16"/>
  <c r="AP56" i="16"/>
  <c r="T56" i="16"/>
  <c r="CD56" i="16"/>
  <c r="BH56" i="16"/>
  <c r="AN56" i="16"/>
  <c r="R56" i="16"/>
  <c r="CV56" i="16"/>
  <c r="CB56" i="16"/>
  <c r="BF56" i="16"/>
  <c r="AL56" i="16"/>
  <c r="BZ56" i="16"/>
  <c r="AJ56" i="16"/>
  <c r="CT56" i="16"/>
  <c r="BX56" i="16"/>
  <c r="BD56" i="16"/>
  <c r="AH56" i="16"/>
  <c r="CR56" i="16"/>
  <c r="BV56" i="16"/>
  <c r="BB56" i="16"/>
  <c r="AF56" i="16"/>
  <c r="AD56" i="16"/>
  <c r="BR56" i="16"/>
  <c r="BP56" i="16"/>
  <c r="AB56" i="16"/>
  <c r="BN56" i="16"/>
  <c r="Z56" i="16"/>
  <c r="BL56" i="16"/>
  <c r="X56" i="16"/>
  <c r="CP56" i="16"/>
  <c r="V56" i="16"/>
  <c r="CN56" i="16"/>
  <c r="AZ56" i="16"/>
  <c r="CL56" i="16"/>
  <c r="AX56" i="16"/>
  <c r="AV56" i="16"/>
  <c r="AT56" i="16"/>
  <c r="CJ56" i="16"/>
  <c r="BT56" i="16"/>
  <c r="CH56" i="16"/>
  <c r="CR9" i="16"/>
  <c r="BV9" i="16"/>
  <c r="BB9" i="16"/>
  <c r="AF9" i="16"/>
  <c r="CP9" i="16"/>
  <c r="BT9" i="16"/>
  <c r="AZ9" i="16"/>
  <c r="AD9" i="16"/>
  <c r="CN9" i="16"/>
  <c r="AX9" i="16"/>
  <c r="AL9" i="16"/>
  <c r="CL9" i="16"/>
  <c r="BR9" i="16"/>
  <c r="AV9" i="16"/>
  <c r="AB9" i="16"/>
  <c r="CB9" i="16"/>
  <c r="CJ9" i="16"/>
  <c r="BP9" i="16"/>
  <c r="AT9" i="16"/>
  <c r="Z9" i="16"/>
  <c r="BN9" i="16"/>
  <c r="X9" i="16"/>
  <c r="BL9" i="16"/>
  <c r="V9" i="16"/>
  <c r="CF9" i="16"/>
  <c r="BJ9" i="16"/>
  <c r="AP9" i="16"/>
  <c r="T9" i="16"/>
  <c r="CV9" i="16"/>
  <c r="CD9" i="16"/>
  <c r="BH9" i="16"/>
  <c r="AN9" i="16"/>
  <c r="R9" i="16"/>
  <c r="BF9" i="16"/>
  <c r="BZ9" i="16"/>
  <c r="AJ9" i="16"/>
  <c r="AH9" i="16"/>
  <c r="CT9" i="16"/>
  <c r="BX9" i="16"/>
  <c r="BD9" i="16"/>
  <c r="BT55" i="16"/>
  <c r="BF35" i="16"/>
  <c r="CJ46" i="16"/>
  <c r="BP46" i="16"/>
  <c r="AT46" i="16"/>
  <c r="Z46" i="16"/>
  <c r="BN46" i="16"/>
  <c r="X46" i="16"/>
  <c r="BL46" i="16"/>
  <c r="V46" i="16"/>
  <c r="CF46" i="16"/>
  <c r="BJ46" i="16"/>
  <c r="AP46" i="16"/>
  <c r="T46" i="16"/>
  <c r="CD46" i="16"/>
  <c r="BH46" i="16"/>
  <c r="AN46" i="16"/>
  <c r="R46" i="16"/>
  <c r="CB46" i="16"/>
  <c r="AL46" i="16"/>
  <c r="CN46" i="16"/>
  <c r="AX46" i="16"/>
  <c r="BX46" i="16"/>
  <c r="AH46" i="16"/>
  <c r="BV46" i="16"/>
  <c r="AF46" i="16"/>
  <c r="BT46" i="16"/>
  <c r="AD46" i="16"/>
  <c r="BR46" i="16"/>
  <c r="AB46" i="16"/>
  <c r="CT46" i="16"/>
  <c r="BD46" i="16"/>
  <c r="CR46" i="16"/>
  <c r="BB46" i="16"/>
  <c r="AJ46" i="16"/>
  <c r="CP46" i="16"/>
  <c r="CL46" i="16"/>
  <c r="BZ46" i="16"/>
  <c r="AV46" i="16"/>
  <c r="AZ46" i="16"/>
  <c r="CT57" i="16"/>
  <c r="BX57" i="16"/>
  <c r="BD57" i="16"/>
  <c r="AH57" i="16"/>
  <c r="CR57" i="16"/>
  <c r="BV57" i="16"/>
  <c r="BB57" i="16"/>
  <c r="AF57" i="16"/>
  <c r="CP57" i="16"/>
  <c r="BT57" i="16"/>
  <c r="AZ57" i="16"/>
  <c r="AD57" i="16"/>
  <c r="CN57" i="16"/>
  <c r="AX57" i="16"/>
  <c r="CL57" i="16"/>
  <c r="BR57" i="16"/>
  <c r="AV57" i="16"/>
  <c r="AB57" i="16"/>
  <c r="CJ57" i="16"/>
  <c r="BP57" i="16"/>
  <c r="AT57" i="16"/>
  <c r="Z57" i="16"/>
  <c r="CV57" i="16"/>
  <c r="BH57" i="16"/>
  <c r="T57" i="16"/>
  <c r="R57" i="16"/>
  <c r="AR57" i="16"/>
  <c r="CF57" i="16"/>
  <c r="CD57" i="16"/>
  <c r="AP57" i="16"/>
  <c r="CB57" i="16"/>
  <c r="AN57" i="16"/>
  <c r="BZ57" i="16"/>
  <c r="AL57" i="16"/>
  <c r="BL57" i="16"/>
  <c r="X57" i="16"/>
  <c r="BJ57" i="16"/>
  <c r="AJ57" i="16"/>
  <c r="V57" i="16"/>
  <c r="BN57" i="16"/>
  <c r="AD43" i="16"/>
  <c r="AR35" i="16"/>
  <c r="BS81" i="16"/>
  <c r="CH30" i="16"/>
  <c r="BN30" i="16"/>
  <c r="AR30" i="16"/>
  <c r="X30" i="16"/>
  <c r="BL30" i="16"/>
  <c r="V30" i="16"/>
  <c r="CF30" i="16"/>
  <c r="BJ30" i="16"/>
  <c r="AP30" i="16"/>
  <c r="T30" i="16"/>
  <c r="CB30" i="16"/>
  <c r="AL30" i="16"/>
  <c r="BZ30" i="16"/>
  <c r="AJ30" i="16"/>
  <c r="CL30" i="16"/>
  <c r="BR30" i="16"/>
  <c r="AV30" i="16"/>
  <c r="CT30" i="16"/>
  <c r="BH30" i="16"/>
  <c r="CR30" i="16"/>
  <c r="AB30" i="16"/>
  <c r="CP30" i="16"/>
  <c r="BD30" i="16"/>
  <c r="Z30" i="16"/>
  <c r="CN30" i="16"/>
  <c r="BB30" i="16"/>
  <c r="R30" i="16"/>
  <c r="CJ30" i="16"/>
  <c r="AZ30" i="16"/>
  <c r="CD30" i="16"/>
  <c r="AT30" i="16"/>
  <c r="AN30" i="16"/>
  <c r="AH30" i="16"/>
  <c r="AF30" i="16"/>
  <c r="AD30" i="16"/>
  <c r="BX30" i="16"/>
  <c r="BV30" i="16"/>
  <c r="BP30" i="16"/>
  <c r="AX30" i="16"/>
  <c r="CD21" i="16"/>
  <c r="BH21" i="16"/>
  <c r="AN21" i="16"/>
  <c r="R21" i="16"/>
  <c r="CB21" i="16"/>
  <c r="AL21" i="16"/>
  <c r="BZ21" i="16"/>
  <c r="AJ21" i="16"/>
  <c r="CT21" i="16"/>
  <c r="BX21" i="16"/>
  <c r="BD21" i="16"/>
  <c r="AH21" i="16"/>
  <c r="CR21" i="16"/>
  <c r="BV21" i="16"/>
  <c r="BB21" i="16"/>
  <c r="AF21" i="16"/>
  <c r="CN21" i="16"/>
  <c r="AX21" i="16"/>
  <c r="BP21" i="16"/>
  <c r="BN21" i="16"/>
  <c r="AB21" i="16"/>
  <c r="BL21" i="16"/>
  <c r="Z21" i="16"/>
  <c r="CP21" i="16"/>
  <c r="BJ21" i="16"/>
  <c r="X21" i="16"/>
  <c r="CL21" i="16"/>
  <c r="V21" i="16"/>
  <c r="CJ21" i="16"/>
  <c r="AZ21" i="16"/>
  <c r="T21" i="16"/>
  <c r="AV21" i="16"/>
  <c r="AT21" i="16"/>
  <c r="CF21" i="16"/>
  <c r="BT21" i="16"/>
  <c r="AP21" i="16"/>
  <c r="BR21" i="16"/>
  <c r="AD21" i="16"/>
  <c r="AC81" i="16"/>
  <c r="BT30" i="16"/>
  <c r="CH29" i="16"/>
  <c r="CJ58" i="16"/>
  <c r="BP58" i="16"/>
  <c r="AT58" i="16"/>
  <c r="Z58" i="16"/>
  <c r="BN58" i="16"/>
  <c r="X58" i="16"/>
  <c r="BL58" i="16"/>
  <c r="V58" i="16"/>
  <c r="CF58" i="16"/>
  <c r="BJ58" i="16"/>
  <c r="AP58" i="16"/>
  <c r="T58" i="16"/>
  <c r="CD58" i="16"/>
  <c r="BH58" i="16"/>
  <c r="AN58" i="16"/>
  <c r="R58" i="16"/>
  <c r="CB58" i="16"/>
  <c r="AL58" i="16"/>
  <c r="CT58" i="16"/>
  <c r="BX58" i="16"/>
  <c r="BD58" i="16"/>
  <c r="AH58" i="16"/>
  <c r="CN58" i="16"/>
  <c r="CR58" i="16"/>
  <c r="AX58" i="16"/>
  <c r="CP58" i="16"/>
  <c r="AV58" i="16"/>
  <c r="CL58" i="16"/>
  <c r="AJ58" i="16"/>
  <c r="BZ58" i="16"/>
  <c r="AF58" i="16"/>
  <c r="BV58" i="16"/>
  <c r="BT58" i="16"/>
  <c r="AB58" i="16"/>
  <c r="BB58" i="16"/>
  <c r="BR58" i="16"/>
  <c r="AZ58" i="16"/>
  <c r="BE81" i="16"/>
  <c r="BF43" i="16"/>
  <c r="BT44" i="16"/>
  <c r="CH46" i="16"/>
  <c r="CH57" i="16"/>
  <c r="CF39" i="16"/>
  <c r="BJ39" i="16"/>
  <c r="AP39" i="16"/>
  <c r="T39" i="16"/>
  <c r="CD39" i="16"/>
  <c r="BH39" i="16"/>
  <c r="AN39" i="16"/>
  <c r="R39" i="16"/>
  <c r="CB39" i="16"/>
  <c r="AL39" i="16"/>
  <c r="BZ39" i="16"/>
  <c r="AJ39" i="16"/>
  <c r="CT39" i="16"/>
  <c r="BX39" i="16"/>
  <c r="BD39" i="16"/>
  <c r="AH39" i="16"/>
  <c r="CR39" i="16"/>
  <c r="BV39" i="16"/>
  <c r="BB39" i="16"/>
  <c r="AF39" i="16"/>
  <c r="CP39" i="16"/>
  <c r="AZ39" i="16"/>
  <c r="CN39" i="16"/>
  <c r="AX39" i="16"/>
  <c r="BN39" i="16"/>
  <c r="X39" i="16"/>
  <c r="CL39" i="16"/>
  <c r="AB39" i="16"/>
  <c r="CJ39" i="16"/>
  <c r="Z39" i="16"/>
  <c r="V39" i="16"/>
  <c r="BR39" i="16"/>
  <c r="BP39" i="16"/>
  <c r="BL39" i="16"/>
  <c r="AV39" i="16"/>
  <c r="AT39" i="16"/>
  <c r="CV30" i="16"/>
  <c r="BF55" i="16"/>
  <c r="AR28" i="16"/>
  <c r="CH31" i="16"/>
  <c r="AC81" i="15"/>
  <c r="CU81" i="15"/>
  <c r="CV76" i="15"/>
  <c r="CG81" i="15"/>
  <c r="H7" i="14" s="1"/>
  <c r="AE69" i="14" s="1"/>
  <c r="CH76" i="15"/>
  <c r="BS81" i="15"/>
  <c r="BT76" i="15"/>
  <c r="BF76" i="15"/>
  <c r="BE81" i="15"/>
  <c r="AQ81" i="15"/>
  <c r="AR76" i="15"/>
  <c r="AC62" i="15"/>
  <c r="AE66" i="14"/>
  <c r="P14" i="15"/>
  <c r="Q64" i="15"/>
  <c r="Q69" i="15" s="1"/>
  <c r="G7" i="15"/>
  <c r="N7" i="15" s="1"/>
  <c r="P7" i="15" s="1"/>
  <c r="E48" i="15"/>
  <c r="G48" i="15" s="1"/>
  <c r="E34" i="15"/>
  <c r="G34" i="15" s="1"/>
  <c r="L34" i="15" s="1"/>
  <c r="P34" i="15" s="1"/>
  <c r="P15" i="15"/>
  <c r="O64" i="15"/>
  <c r="O69" i="15" s="1"/>
  <c r="CT62" i="15" l="1"/>
  <c r="AF62" i="15"/>
  <c r="AX62" i="15"/>
  <c r="BH62" i="15"/>
  <c r="BP62" i="15"/>
  <c r="BR62" i="15"/>
  <c r="BX62" i="15"/>
  <c r="BD62" i="15"/>
  <c r="V62" i="15"/>
  <c r="CF62" i="15"/>
  <c r="BV62" i="15"/>
  <c r="CN62" i="15"/>
  <c r="AH62" i="15"/>
  <c r="AL62" i="15"/>
  <c r="CD62" i="15"/>
  <c r="BJ62" i="15"/>
  <c r="P79" i="15"/>
  <c r="CT48" i="15"/>
  <c r="BR48" i="15"/>
  <c r="AP48" i="15"/>
  <c r="AP62" i="15" s="1"/>
  <c r="CD48" i="15"/>
  <c r="BB48" i="15"/>
  <c r="BB62" i="15" s="1"/>
  <c r="Z48" i="15"/>
  <c r="Z62" i="15" s="1"/>
  <c r="CP48" i="15"/>
  <c r="CP62" i="15" s="1"/>
  <c r="BN48" i="15"/>
  <c r="BN62" i="15" s="1"/>
  <c r="AL48" i="15"/>
  <c r="CH48" i="15"/>
  <c r="BZ48" i="15"/>
  <c r="BZ62" i="15" s="1"/>
  <c r="AX48" i="15"/>
  <c r="BF48" i="15"/>
  <c r="CL48" i="15"/>
  <c r="CL62" i="15" s="1"/>
  <c r="BJ48" i="15"/>
  <c r="BV48" i="15"/>
  <c r="AT48" i="15"/>
  <c r="AT62" i="15" s="1"/>
  <c r="CF48" i="15"/>
  <c r="BD48" i="15"/>
  <c r="AB48" i="15"/>
  <c r="AB62" i="15" s="1"/>
  <c r="CR48" i="15"/>
  <c r="CR62" i="15" s="1"/>
  <c r="BP48" i="15"/>
  <c r="AN48" i="15"/>
  <c r="AN62" i="15" s="1"/>
  <c r="CV48" i="15"/>
  <c r="AD48" i="15"/>
  <c r="CB48" i="15"/>
  <c r="CB62" i="15" s="1"/>
  <c r="AZ48" i="15"/>
  <c r="AZ62" i="15" s="1"/>
  <c r="BT48" i="15"/>
  <c r="CN48" i="15"/>
  <c r="BL48" i="15"/>
  <c r="BL62" i="15" s="1"/>
  <c r="AR48" i="15"/>
  <c r="BX48" i="15"/>
  <c r="AV48" i="15"/>
  <c r="AV62" i="15" s="1"/>
  <c r="R48" i="15"/>
  <c r="R62" i="15" s="1"/>
  <c r="T48" i="15"/>
  <c r="T62" i="15" s="1"/>
  <c r="V48" i="15"/>
  <c r="AJ48" i="15"/>
  <c r="AJ62" i="15" s="1"/>
  <c r="AF48" i="15"/>
  <c r="X48" i="15"/>
  <c r="X62" i="15" s="1"/>
  <c r="CJ48" i="15"/>
  <c r="CJ62" i="15" s="1"/>
  <c r="AH48" i="15"/>
  <c r="BH48" i="15"/>
  <c r="CT34" i="16"/>
  <c r="BX34" i="16"/>
  <c r="BD34" i="16"/>
  <c r="AH34" i="16"/>
  <c r="CR34" i="16"/>
  <c r="BV34" i="16"/>
  <c r="BB34" i="16"/>
  <c r="AF34" i="16"/>
  <c r="CP34" i="16"/>
  <c r="AZ34" i="16"/>
  <c r="CN34" i="16"/>
  <c r="AX34" i="16"/>
  <c r="CL34" i="16"/>
  <c r="BR34" i="16"/>
  <c r="AV34" i="16"/>
  <c r="AB34" i="16"/>
  <c r="CJ34" i="16"/>
  <c r="BP34" i="16"/>
  <c r="AT34" i="16"/>
  <c r="Z34" i="16"/>
  <c r="BN34" i="16"/>
  <c r="X34" i="16"/>
  <c r="BL34" i="16"/>
  <c r="V34" i="16"/>
  <c r="CB34" i="16"/>
  <c r="AL34" i="16"/>
  <c r="AP34" i="16"/>
  <c r="AN34" i="16"/>
  <c r="AJ34" i="16"/>
  <c r="CF34" i="16"/>
  <c r="T34" i="16"/>
  <c r="BZ34" i="16"/>
  <c r="CD34" i="16"/>
  <c r="BJ34" i="16"/>
  <c r="BH34" i="16"/>
  <c r="R34" i="16"/>
  <c r="CH34" i="16"/>
  <c r="AR34" i="16"/>
  <c r="BT34" i="16"/>
  <c r="CV34" i="16"/>
  <c r="AD34" i="16"/>
  <c r="BF34" i="16"/>
  <c r="P78" i="16"/>
  <c r="P64" i="16"/>
  <c r="P69" i="16" s="1"/>
  <c r="P5" i="16"/>
  <c r="BN14" i="16"/>
  <c r="X14" i="16"/>
  <c r="BL14" i="16"/>
  <c r="V14" i="16"/>
  <c r="CF14" i="16"/>
  <c r="BJ14" i="16"/>
  <c r="CD14" i="16"/>
  <c r="BH14" i="16"/>
  <c r="AN14" i="16"/>
  <c r="R14" i="16"/>
  <c r="CB14" i="16"/>
  <c r="AL14" i="16"/>
  <c r="CT14" i="16"/>
  <c r="BX14" i="16"/>
  <c r="BD14" i="16"/>
  <c r="AH14" i="16"/>
  <c r="AJ14" i="16"/>
  <c r="AF14" i="16"/>
  <c r="BR14" i="16"/>
  <c r="BP14" i="16"/>
  <c r="CR14" i="16"/>
  <c r="AB14" i="16"/>
  <c r="CP14" i="16"/>
  <c r="BB14" i="16"/>
  <c r="Z14" i="16"/>
  <c r="CN14" i="16"/>
  <c r="AZ14" i="16"/>
  <c r="T14" i="16"/>
  <c r="CL14" i="16"/>
  <c r="AX14" i="16"/>
  <c r="CJ14" i="16"/>
  <c r="AV14" i="16"/>
  <c r="AT14" i="16"/>
  <c r="BZ14" i="16"/>
  <c r="BV14" i="16"/>
  <c r="AP14" i="16"/>
  <c r="AR14" i="16"/>
  <c r="AD14" i="16"/>
  <c r="BT14" i="16"/>
  <c r="CH14" i="16"/>
  <c r="BF14" i="16"/>
  <c r="CV14" i="16"/>
  <c r="G64" i="16"/>
  <c r="CP48" i="16"/>
  <c r="AZ48" i="16"/>
  <c r="CN48" i="16"/>
  <c r="AX48" i="16"/>
  <c r="CL48" i="16"/>
  <c r="BR48" i="16"/>
  <c r="AV48" i="16"/>
  <c r="AB48" i="16"/>
  <c r="CJ48" i="16"/>
  <c r="BP48" i="16"/>
  <c r="AT48" i="16"/>
  <c r="Z48" i="16"/>
  <c r="CH48" i="16"/>
  <c r="BN48" i="16"/>
  <c r="AR48" i="16"/>
  <c r="X48" i="16"/>
  <c r="BL48" i="16"/>
  <c r="V48" i="16"/>
  <c r="CF48" i="16"/>
  <c r="CD48" i="16"/>
  <c r="BH48" i="16"/>
  <c r="AN48" i="16"/>
  <c r="R48" i="16"/>
  <c r="CT48" i="16"/>
  <c r="BX48" i="16"/>
  <c r="BD48" i="16"/>
  <c r="AH48" i="16"/>
  <c r="CR48" i="16"/>
  <c r="AL48" i="16"/>
  <c r="AJ48" i="16"/>
  <c r="CB48" i="16"/>
  <c r="AF48" i="16"/>
  <c r="BZ48" i="16"/>
  <c r="BV48" i="16"/>
  <c r="T48" i="16"/>
  <c r="BJ48" i="16"/>
  <c r="BB48" i="16"/>
  <c r="AP48" i="16"/>
  <c r="AD48" i="16"/>
  <c r="CV48" i="16"/>
  <c r="BF48" i="16"/>
  <c r="BT48" i="16"/>
  <c r="P79" i="16"/>
  <c r="BZ15" i="16"/>
  <c r="AJ15" i="16"/>
  <c r="CT15" i="16"/>
  <c r="BX15" i="16"/>
  <c r="BD15" i="16"/>
  <c r="AH15" i="16"/>
  <c r="CR15" i="16"/>
  <c r="BV15" i="16"/>
  <c r="BB15" i="16"/>
  <c r="AF15" i="16"/>
  <c r="CP15" i="16"/>
  <c r="AZ15" i="16"/>
  <c r="CN15" i="16"/>
  <c r="AX15" i="16"/>
  <c r="CJ15" i="16"/>
  <c r="BP15" i="16"/>
  <c r="AT15" i="16"/>
  <c r="Z15" i="16"/>
  <c r="R15" i="16"/>
  <c r="X15" i="16"/>
  <c r="AV15" i="16"/>
  <c r="CF15" i="16"/>
  <c r="CD15" i="16"/>
  <c r="CV15" i="16"/>
  <c r="CB15" i="16"/>
  <c r="AP15" i="16"/>
  <c r="AN15" i="16"/>
  <c r="BR15" i="16"/>
  <c r="AL15" i="16"/>
  <c r="BJ15" i="16"/>
  <c r="BN15" i="16"/>
  <c r="BL15" i="16"/>
  <c r="AB15" i="16"/>
  <c r="BH15" i="16"/>
  <c r="V15" i="16"/>
  <c r="CL15" i="16"/>
  <c r="T15" i="16"/>
  <c r="BF15" i="16"/>
  <c r="AR15" i="16"/>
  <c r="AD15" i="16"/>
  <c r="CH15" i="16"/>
  <c r="BT15" i="16"/>
  <c r="N64" i="16"/>
  <c r="P77" i="16"/>
  <c r="BN7" i="16"/>
  <c r="X7" i="16"/>
  <c r="CN7" i="16"/>
  <c r="BL7" i="16"/>
  <c r="V7" i="16"/>
  <c r="CF7" i="16"/>
  <c r="BJ7" i="16"/>
  <c r="AP7" i="16"/>
  <c r="T7" i="16"/>
  <c r="CD7" i="16"/>
  <c r="BH7" i="16"/>
  <c r="AN7" i="16"/>
  <c r="R7" i="16"/>
  <c r="CV7" i="16"/>
  <c r="CB7" i="16"/>
  <c r="BF7" i="16"/>
  <c r="AL7" i="16"/>
  <c r="BZ7" i="16"/>
  <c r="AJ7" i="16"/>
  <c r="CT7" i="16"/>
  <c r="BX7" i="16"/>
  <c r="BD7" i="16"/>
  <c r="AH7" i="16"/>
  <c r="CR7" i="16"/>
  <c r="BV7" i="16"/>
  <c r="BB7" i="16"/>
  <c r="AF7" i="16"/>
  <c r="AX7" i="16"/>
  <c r="CP7" i="16"/>
  <c r="AZ7" i="16"/>
  <c r="CL7" i="16"/>
  <c r="BR7" i="16"/>
  <c r="AV7" i="16"/>
  <c r="AB7" i="16"/>
  <c r="Z7" i="16"/>
  <c r="CJ7" i="16"/>
  <c r="BP7" i="16"/>
  <c r="AT7" i="16"/>
  <c r="AD7" i="16"/>
  <c r="BT7" i="16"/>
  <c r="CH7" i="16"/>
  <c r="AR7" i="16"/>
  <c r="P78" i="15"/>
  <c r="N64" i="15"/>
  <c r="G64" i="15"/>
  <c r="P64" i="15"/>
  <c r="P69" i="15" s="1"/>
  <c r="AT79" i="15" l="1"/>
  <c r="T79" i="15"/>
  <c r="AB79" i="15"/>
  <c r="BP79" i="15"/>
  <c r="CL79" i="15"/>
  <c r="V79" i="15"/>
  <c r="AD79" i="15"/>
  <c r="X79" i="15"/>
  <c r="Z79" i="15"/>
  <c r="R79" i="15"/>
  <c r="BZ79" i="15"/>
  <c r="CD79" i="15"/>
  <c r="CJ79" i="15"/>
  <c r="BX79" i="15"/>
  <c r="AZ79" i="15"/>
  <c r="CT79" i="15"/>
  <c r="AF79" i="15"/>
  <c r="BB79" i="15"/>
  <c r="AJ79" i="15"/>
  <c r="AV79" i="15"/>
  <c r="CN79" i="15"/>
  <c r="BH79" i="15"/>
  <c r="BL79" i="15"/>
  <c r="AN79" i="15"/>
  <c r="CP79" i="15"/>
  <c r="BV79" i="15"/>
  <c r="CF79" i="15"/>
  <c r="BR79" i="15"/>
  <c r="AX79" i="15"/>
  <c r="CR79" i="15"/>
  <c r="CB79" i="15"/>
  <c r="BN79" i="15"/>
  <c r="BD79" i="15"/>
  <c r="AH79" i="15"/>
  <c r="AL79" i="15"/>
  <c r="BJ79" i="15"/>
  <c r="AP79" i="15"/>
  <c r="BF79" i="15"/>
  <c r="CH79" i="15"/>
  <c r="BT79" i="15"/>
  <c r="AR79" i="15"/>
  <c r="CV79" i="15"/>
  <c r="P76" i="16"/>
  <c r="R64" i="16"/>
  <c r="CJ5" i="16"/>
  <c r="CJ62" i="16" s="1"/>
  <c r="BP5" i="16"/>
  <c r="BP62" i="16" s="1"/>
  <c r="AT5" i="16"/>
  <c r="AT62" i="16" s="1"/>
  <c r="Z5" i="16"/>
  <c r="Z62" i="16" s="1"/>
  <c r="CH5" i="16"/>
  <c r="BN5" i="16"/>
  <c r="BN62" i="16" s="1"/>
  <c r="AR5" i="16"/>
  <c r="X5" i="16"/>
  <c r="X62" i="16" s="1"/>
  <c r="BT5" i="16"/>
  <c r="BL5" i="16"/>
  <c r="BL62" i="16" s="1"/>
  <c r="V5" i="16"/>
  <c r="V62" i="16" s="1"/>
  <c r="CF5" i="16"/>
  <c r="CF62" i="16" s="1"/>
  <c r="BJ5" i="16"/>
  <c r="BJ62" i="16" s="1"/>
  <c r="AP5" i="16"/>
  <c r="AP62" i="16" s="1"/>
  <c r="T5" i="16"/>
  <c r="T62" i="16" s="1"/>
  <c r="CP5" i="16"/>
  <c r="CP62" i="16" s="1"/>
  <c r="CD5" i="16"/>
  <c r="CD62" i="16" s="1"/>
  <c r="BH5" i="16"/>
  <c r="BH62" i="16" s="1"/>
  <c r="AN5" i="16"/>
  <c r="AN62" i="16" s="1"/>
  <c r="R5" i="16"/>
  <c r="R62" i="16" s="1"/>
  <c r="AF5" i="16"/>
  <c r="AF62" i="16" s="1"/>
  <c r="CB5" i="16"/>
  <c r="CB62" i="16" s="1"/>
  <c r="AL5" i="16"/>
  <c r="AL62" i="16" s="1"/>
  <c r="BV5" i="16"/>
  <c r="BV62" i="16" s="1"/>
  <c r="AZ5" i="16"/>
  <c r="AZ62" i="16" s="1"/>
  <c r="BZ5" i="16"/>
  <c r="BZ62" i="16" s="1"/>
  <c r="AJ5" i="16"/>
  <c r="AJ62" i="16" s="1"/>
  <c r="BB5" i="16"/>
  <c r="BB62" i="16" s="1"/>
  <c r="CT5" i="16"/>
  <c r="CT62" i="16" s="1"/>
  <c r="BX5" i="16"/>
  <c r="BX62" i="16" s="1"/>
  <c r="BD5" i="16"/>
  <c r="BD62" i="16" s="1"/>
  <c r="AH5" i="16"/>
  <c r="AH62" i="16" s="1"/>
  <c r="CR5" i="16"/>
  <c r="CR62" i="16" s="1"/>
  <c r="AD5" i="16"/>
  <c r="CN5" i="16"/>
  <c r="CN62" i="16" s="1"/>
  <c r="AX5" i="16"/>
  <c r="AX62" i="16" s="1"/>
  <c r="CL5" i="16"/>
  <c r="CL62" i="16" s="1"/>
  <c r="BR5" i="16"/>
  <c r="BR62" i="16" s="1"/>
  <c r="AV5" i="16"/>
  <c r="AV62" i="16" s="1"/>
  <c r="AB5" i="16"/>
  <c r="AB62" i="16" s="1"/>
  <c r="BF5" i="16"/>
  <c r="CV5" i="16"/>
  <c r="N69" i="16"/>
  <c r="R69" i="16" s="1"/>
  <c r="N65" i="16"/>
  <c r="G67" i="16"/>
  <c r="AT78" i="16"/>
  <c r="CD78" i="16"/>
  <c r="V78" i="16"/>
  <c r="CB78" i="16"/>
  <c r="T78" i="16"/>
  <c r="CP78" i="16"/>
  <c r="BD78" i="16"/>
  <c r="AH78" i="16"/>
  <c r="AF78" i="16"/>
  <c r="BR78" i="16"/>
  <c r="CN78" i="16"/>
  <c r="BP78" i="16"/>
  <c r="AV78" i="16"/>
  <c r="BB78" i="16"/>
  <c r="BX78" i="16"/>
  <c r="CR78" i="16"/>
  <c r="AN78" i="16"/>
  <c r="BZ78" i="16"/>
  <c r="AB78" i="16"/>
  <c r="BV78" i="16"/>
  <c r="BH78" i="16"/>
  <c r="AP78" i="16"/>
  <c r="CT78" i="16"/>
  <c r="X78" i="16"/>
  <c r="R78" i="16"/>
  <c r="BJ78" i="16"/>
  <c r="BT78" i="16"/>
  <c r="AX78" i="16"/>
  <c r="AZ78" i="16"/>
  <c r="Z78" i="16"/>
  <c r="CL78" i="16"/>
  <c r="BL78" i="16"/>
  <c r="CF78" i="16"/>
  <c r="CJ78" i="16"/>
  <c r="BN78" i="16"/>
  <c r="AL78" i="16"/>
  <c r="AJ78" i="16"/>
  <c r="CH78" i="16"/>
  <c r="BF78" i="16"/>
  <c r="AD78" i="16"/>
  <c r="AR78" i="16"/>
  <c r="CV78" i="16"/>
  <c r="AH77" i="16"/>
  <c r="BR77" i="16"/>
  <c r="AV77" i="16"/>
  <c r="CF77" i="16"/>
  <c r="AT77" i="16"/>
  <c r="X77" i="16"/>
  <c r="CD77" i="16"/>
  <c r="V77" i="16"/>
  <c r="AJ77" i="16"/>
  <c r="CP77" i="16"/>
  <c r="BH77" i="16"/>
  <c r="CR77" i="16"/>
  <c r="AP77" i="16"/>
  <c r="CH77" i="16"/>
  <c r="AB77" i="16"/>
  <c r="R77" i="16"/>
  <c r="BJ77" i="16"/>
  <c r="CJ77" i="16"/>
  <c r="CT77" i="16"/>
  <c r="BZ77" i="16"/>
  <c r="AF77" i="16"/>
  <c r="AZ77" i="16"/>
  <c r="BN77" i="16"/>
  <c r="BX77" i="16"/>
  <c r="BT77" i="16"/>
  <c r="AX77" i="16"/>
  <c r="BB77" i="16"/>
  <c r="Z77" i="16"/>
  <c r="CB77" i="16"/>
  <c r="AL77" i="16"/>
  <c r="BF77" i="16"/>
  <c r="CL77" i="16"/>
  <c r="CN77" i="16"/>
  <c r="BV77" i="16"/>
  <c r="BL77" i="16"/>
  <c r="AN77" i="16"/>
  <c r="BP77" i="16"/>
  <c r="T77" i="16"/>
  <c r="BD77" i="16"/>
  <c r="CV77" i="16"/>
  <c r="AR77" i="16"/>
  <c r="AD77" i="16"/>
  <c r="CJ79" i="16"/>
  <c r="BZ79" i="16"/>
  <c r="BD79" i="16"/>
  <c r="R79" i="16"/>
  <c r="CN79" i="16"/>
  <c r="BB79" i="16"/>
  <c r="AF79" i="16"/>
  <c r="CL79" i="16"/>
  <c r="BP79" i="16"/>
  <c r="BN79" i="16"/>
  <c r="CB79" i="16"/>
  <c r="AP79" i="16"/>
  <c r="T79" i="16"/>
  <c r="X79" i="16"/>
  <c r="BH79" i="16"/>
  <c r="AX79" i="16"/>
  <c r="CR79" i="16"/>
  <c r="AT79" i="16"/>
  <c r="AZ79" i="16"/>
  <c r="BJ79" i="16"/>
  <c r="AN79" i="16"/>
  <c r="AB79" i="16"/>
  <c r="CD79" i="16"/>
  <c r="CF79" i="16"/>
  <c r="AV79" i="16"/>
  <c r="BR79" i="16"/>
  <c r="AH79" i="16"/>
  <c r="CV79" i="16"/>
  <c r="BV79" i="16"/>
  <c r="BL79" i="16"/>
  <c r="V79" i="16"/>
  <c r="AJ79" i="16"/>
  <c r="CP79" i="16"/>
  <c r="Z79" i="16"/>
  <c r="BX79" i="16"/>
  <c r="AL79" i="16"/>
  <c r="CT79" i="16"/>
  <c r="CH79" i="16"/>
  <c r="BT79" i="16"/>
  <c r="AD79" i="16"/>
  <c r="BF79" i="16"/>
  <c r="AR79" i="16"/>
  <c r="P81" i="15"/>
  <c r="H3" i="14"/>
  <c r="H11" i="14" s="1"/>
  <c r="AF69" i="14" s="1"/>
  <c r="CH62" i="15"/>
  <c r="AR62" i="15"/>
  <c r="BT62" i="15"/>
  <c r="BF62" i="15"/>
  <c r="CV62" i="15"/>
  <c r="N65" i="15"/>
  <c r="H65" i="15" s="1"/>
  <c r="M65" i="15" s="1"/>
  <c r="N69" i="15"/>
  <c r="R69" i="15" s="1"/>
  <c r="G67" i="15"/>
  <c r="AB81" i="15" l="1"/>
  <c r="Z81" i="15"/>
  <c r="X81" i="15"/>
  <c r="V81" i="15"/>
  <c r="R81" i="15"/>
  <c r="BL81" i="15"/>
  <c r="BV81" i="15"/>
  <c r="T81" i="15"/>
  <c r="AX81" i="15"/>
  <c r="AH81" i="15"/>
  <c r="BJ81" i="15"/>
  <c r="AT81" i="15"/>
  <c r="CB81" i="15"/>
  <c r="CJ81" i="15"/>
  <c r="BP81" i="15"/>
  <c r="AL81" i="15"/>
  <c r="BX81" i="15"/>
  <c r="AJ81" i="15"/>
  <c r="CR81" i="15"/>
  <c r="BN81" i="15"/>
  <c r="AF81" i="15"/>
  <c r="AZ81" i="15"/>
  <c r="CP81" i="15"/>
  <c r="AV81" i="15"/>
  <c r="BH81" i="15"/>
  <c r="CL81" i="15"/>
  <c r="BZ81" i="15"/>
  <c r="AN81" i="15"/>
  <c r="AP81" i="15"/>
  <c r="CD81" i="15"/>
  <c r="CF81" i="15"/>
  <c r="BD81" i="15"/>
  <c r="CN81" i="15"/>
  <c r="CT81" i="15"/>
  <c r="BR81" i="15"/>
  <c r="BB81" i="15"/>
  <c r="AC82" i="15"/>
  <c r="CH81" i="15"/>
  <c r="BT81" i="15"/>
  <c r="BF81" i="15"/>
  <c r="AR81" i="15"/>
  <c r="CV81" i="15"/>
  <c r="AD81" i="15"/>
  <c r="F69" i="16"/>
  <c r="G68" i="16"/>
  <c r="M76" i="16"/>
  <c r="AR62" i="16"/>
  <c r="BF62" i="16"/>
  <c r="CH62" i="16"/>
  <c r="CV62" i="16"/>
  <c r="BT62" i="16"/>
  <c r="G69" i="16"/>
  <c r="H65" i="16"/>
  <c r="M65" i="16" s="1"/>
  <c r="P81" i="16"/>
  <c r="CT76" i="16"/>
  <c r="BH76" i="16"/>
  <c r="AL76" i="16"/>
  <c r="CR76" i="16"/>
  <c r="AJ76" i="16"/>
  <c r="BV76" i="16"/>
  <c r="AX76" i="16"/>
  <c r="CF76" i="16"/>
  <c r="Z76" i="16"/>
  <c r="AV76" i="16"/>
  <c r="X76" i="16"/>
  <c r="BJ76" i="16"/>
  <c r="AB76" i="16"/>
  <c r="BL76" i="16"/>
  <c r="BZ76" i="16"/>
  <c r="AN76" i="16"/>
  <c r="V76" i="16"/>
  <c r="BP76" i="16"/>
  <c r="CB76" i="16"/>
  <c r="CD76" i="16"/>
  <c r="AP76" i="16"/>
  <c r="BD76" i="16"/>
  <c r="BX76" i="16"/>
  <c r="AH76" i="16"/>
  <c r="BR76" i="16"/>
  <c r="CL76" i="16"/>
  <c r="CJ76" i="16"/>
  <c r="AZ76" i="16"/>
  <c r="AF76" i="16"/>
  <c r="BN76" i="16"/>
  <c r="AT76" i="16"/>
  <c r="CN76" i="16"/>
  <c r="CP76" i="16"/>
  <c r="BB76" i="16"/>
  <c r="R76" i="16"/>
  <c r="T76" i="16"/>
  <c r="CV76" i="16"/>
  <c r="BT76" i="16"/>
  <c r="CH76" i="16"/>
  <c r="AD76" i="16"/>
  <c r="AR76" i="16"/>
  <c r="BF76" i="16"/>
  <c r="M76" i="15"/>
  <c r="G68" i="15"/>
  <c r="G69" i="15" s="1"/>
  <c r="F69" i="15"/>
  <c r="AD82" i="15" l="1"/>
  <c r="AQ82" i="15"/>
  <c r="AC82" i="16"/>
  <c r="CN81" i="16"/>
  <c r="AF81" i="16"/>
  <c r="BP81" i="16"/>
  <c r="T81" i="16"/>
  <c r="BZ81" i="16"/>
  <c r="CR81" i="16"/>
  <c r="X81" i="16"/>
  <c r="AV81" i="16"/>
  <c r="R81" i="16"/>
  <c r="CF81" i="16"/>
  <c r="BD81" i="16"/>
  <c r="AX81" i="16"/>
  <c r="Z81" i="16"/>
  <c r="BV81" i="16"/>
  <c r="CB81" i="16"/>
  <c r="AH81" i="16"/>
  <c r="CD81" i="16"/>
  <c r="CP81" i="16"/>
  <c r="BX81" i="16"/>
  <c r="AN81" i="16"/>
  <c r="CJ81" i="16"/>
  <c r="BN81" i="16"/>
  <c r="AJ81" i="16"/>
  <c r="CL81" i="16"/>
  <c r="V81" i="16"/>
  <c r="BH81" i="16"/>
  <c r="BB81" i="16"/>
  <c r="BR81" i="16"/>
  <c r="AL81" i="16"/>
  <c r="BJ81" i="16"/>
  <c r="AP81" i="16"/>
  <c r="CT81" i="16"/>
  <c r="AT81" i="16"/>
  <c r="AZ81" i="16"/>
  <c r="BL81" i="16"/>
  <c r="AB81" i="16"/>
  <c r="BF81" i="16"/>
  <c r="CV81" i="16"/>
  <c r="CH81" i="16"/>
  <c r="BT81" i="16"/>
  <c r="AR81" i="16"/>
  <c r="AD81" i="16"/>
  <c r="BE82" i="15" l="1"/>
  <c r="AR82" i="15"/>
  <c r="AD82" i="16"/>
  <c r="AQ82" i="16"/>
  <c r="BF82" i="15" l="1"/>
  <c r="BS82" i="15"/>
  <c r="BE82" i="16"/>
  <c r="AR82" i="16"/>
  <c r="CG82" i="15" l="1"/>
  <c r="BT82" i="15"/>
  <c r="BS82" i="16"/>
  <c r="BF82" i="16"/>
  <c r="CH82" i="15" l="1"/>
  <c r="CU82" i="15"/>
  <c r="CV82" i="15" s="1"/>
  <c r="CG82" i="16"/>
  <c r="BT82" i="16"/>
  <c r="CU82" i="16" l="1"/>
  <c r="CV82" i="16" s="1"/>
  <c r="CH82" i="16"/>
  <c r="F5" i="3" l="1"/>
  <c r="O21" i="12"/>
  <c r="O20" i="12"/>
  <c r="O18" i="12"/>
  <c r="E33" i="12"/>
  <c r="E26" i="12"/>
  <c r="E9" i="12"/>
  <c r="K9" i="12" s="1"/>
  <c r="E14" i="12"/>
  <c r="E30" i="12"/>
  <c r="E29" i="12"/>
  <c r="F37" i="10"/>
  <c r="E37" i="10"/>
  <c r="E8" i="10"/>
  <c r="G8" i="10" s="1"/>
  <c r="L8" i="10"/>
  <c r="E9" i="10"/>
  <c r="E10" i="10"/>
  <c r="E11" i="10"/>
  <c r="E12" i="10"/>
  <c r="E13" i="10"/>
  <c r="E14" i="10"/>
  <c r="E15" i="10"/>
  <c r="E16" i="10"/>
  <c r="G16" i="10" s="1"/>
  <c r="J16" i="10" s="1"/>
  <c r="K16" i="10" s="1"/>
  <c r="E17" i="10"/>
  <c r="G17" i="10" s="1"/>
  <c r="J17" i="10" s="1"/>
  <c r="K17" i="10" s="1"/>
  <c r="E18" i="10"/>
  <c r="I18" i="10" s="1"/>
  <c r="E19" i="10"/>
  <c r="I19" i="10" s="1"/>
  <c r="E20" i="10"/>
  <c r="G20" i="10" s="1"/>
  <c r="J20" i="10" s="1"/>
  <c r="K20" i="10" s="1"/>
  <c r="E21" i="10"/>
  <c r="G21" i="10" s="1"/>
  <c r="J21" i="10" s="1"/>
  <c r="K21" i="10" s="1"/>
  <c r="E22" i="10"/>
  <c r="E23" i="10"/>
  <c r="G23" i="10" s="1"/>
  <c r="J23" i="10" s="1"/>
  <c r="K23" i="10" s="1"/>
  <c r="E24" i="10"/>
  <c r="I24" i="10" s="1"/>
  <c r="E25" i="10"/>
  <c r="I25" i="10" s="1"/>
  <c r="E26" i="10"/>
  <c r="E27" i="10"/>
  <c r="G27" i="10" s="1"/>
  <c r="J27" i="10" s="1"/>
  <c r="K27" i="10" s="1"/>
  <c r="E28" i="10"/>
  <c r="G28" i="10" s="1"/>
  <c r="J28" i="10" s="1"/>
  <c r="K28" i="10" s="1"/>
  <c r="E29" i="10"/>
  <c r="G29" i="10" s="1"/>
  <c r="J29" i="10" s="1"/>
  <c r="K29" i="10" s="1"/>
  <c r="E30" i="10"/>
  <c r="E7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F72" i="8"/>
  <c r="F71" i="8"/>
  <c r="E74" i="8"/>
  <c r="H74" i="8"/>
  <c r="F74" i="8"/>
  <c r="L73" i="8"/>
  <c r="J72" i="8"/>
  <c r="L72" i="8" s="1"/>
  <c r="J71" i="8"/>
  <c r="H71" i="8"/>
  <c r="L8" i="12"/>
  <c r="L9" i="12"/>
  <c r="L10" i="12"/>
  <c r="L11" i="12"/>
  <c r="L12" i="12"/>
  <c r="J28" i="12"/>
  <c r="L28" i="12" s="1"/>
  <c r="M8" i="5"/>
  <c r="N9" i="8"/>
  <c r="N13" i="8"/>
  <c r="N14" i="8"/>
  <c r="N15" i="8"/>
  <c r="N16" i="8"/>
  <c r="N18" i="8"/>
  <c r="N19" i="8"/>
  <c r="N20" i="8"/>
  <c r="N21" i="8"/>
  <c r="N22" i="8"/>
  <c r="N23" i="8"/>
  <c r="N25" i="8"/>
  <c r="N26" i="8"/>
  <c r="N27" i="8"/>
  <c r="N28" i="8"/>
  <c r="N29" i="8"/>
  <c r="N30" i="8"/>
  <c r="O30" i="8" s="1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J10" i="8"/>
  <c r="H9" i="8"/>
  <c r="H25" i="8"/>
  <c r="H26" i="8"/>
  <c r="H24" i="8"/>
  <c r="N24" i="8" s="1"/>
  <c r="L64" i="8"/>
  <c r="M20" i="8"/>
  <c r="M21" i="8"/>
  <c r="M22" i="8"/>
  <c r="M23" i="8"/>
  <c r="M24" i="8"/>
  <c r="M27" i="8"/>
  <c r="M28" i="8"/>
  <c r="M36" i="8"/>
  <c r="M37" i="8"/>
  <c r="M38" i="8"/>
  <c r="M39" i="8"/>
  <c r="M40" i="8"/>
  <c r="M43" i="8"/>
  <c r="M44" i="8"/>
  <c r="M46" i="8"/>
  <c r="M47" i="8"/>
  <c r="M48" i="8"/>
  <c r="M52" i="8"/>
  <c r="M55" i="8"/>
  <c r="M56" i="8"/>
  <c r="M59" i="8"/>
  <c r="M60" i="8"/>
  <c r="G14" i="8"/>
  <c r="I14" i="8"/>
  <c r="I30" i="8"/>
  <c r="K30" i="8"/>
  <c r="K37" i="8"/>
  <c r="G52" i="8"/>
  <c r="I52" i="8"/>
  <c r="E9" i="8"/>
  <c r="M9" i="8" s="1"/>
  <c r="E10" i="8"/>
  <c r="G10" i="8" s="1"/>
  <c r="E11" i="8"/>
  <c r="H11" i="8" s="1"/>
  <c r="E12" i="8"/>
  <c r="G12" i="8" s="1"/>
  <c r="E13" i="8"/>
  <c r="K13" i="8" s="1"/>
  <c r="E14" i="8"/>
  <c r="K14" i="8" s="1"/>
  <c r="E15" i="8"/>
  <c r="G15" i="8" s="1"/>
  <c r="E16" i="8"/>
  <c r="I16" i="8" s="1"/>
  <c r="E17" i="8"/>
  <c r="G17" i="8" s="1"/>
  <c r="E18" i="8"/>
  <c r="M18" i="8" s="1"/>
  <c r="E19" i="8"/>
  <c r="G19" i="8" s="1"/>
  <c r="E20" i="8"/>
  <c r="K20" i="8" s="1"/>
  <c r="E21" i="8"/>
  <c r="G21" i="8" s="1"/>
  <c r="E22" i="8"/>
  <c r="I22" i="8" s="1"/>
  <c r="E23" i="8"/>
  <c r="G23" i="8" s="1"/>
  <c r="E24" i="8"/>
  <c r="G24" i="8" s="1"/>
  <c r="E25" i="8"/>
  <c r="G25" i="8" s="1"/>
  <c r="E26" i="8"/>
  <c r="K26" i="8" s="1"/>
  <c r="E27" i="8"/>
  <c r="I27" i="8" s="1"/>
  <c r="E28" i="8"/>
  <c r="G28" i="8" s="1"/>
  <c r="E29" i="8"/>
  <c r="G29" i="8" s="1"/>
  <c r="E30" i="8"/>
  <c r="G30" i="8" s="1"/>
  <c r="E31" i="8"/>
  <c r="G31" i="8" s="1"/>
  <c r="E32" i="8"/>
  <c r="G32" i="8" s="1"/>
  <c r="E33" i="8"/>
  <c r="G33" i="8" s="1"/>
  <c r="E34" i="8"/>
  <c r="G34" i="8" s="1"/>
  <c r="E35" i="8"/>
  <c r="G35" i="8" s="1"/>
  <c r="E36" i="8"/>
  <c r="E37" i="8"/>
  <c r="G37" i="8" s="1"/>
  <c r="E38" i="8"/>
  <c r="G38" i="8" s="1"/>
  <c r="E39" i="8"/>
  <c r="G39" i="8" s="1"/>
  <c r="E40" i="8"/>
  <c r="K40" i="8" s="1"/>
  <c r="E41" i="8"/>
  <c r="I41" i="8" s="1"/>
  <c r="E42" i="8"/>
  <c r="G42" i="8" s="1"/>
  <c r="E43" i="8"/>
  <c r="G43" i="8" s="1"/>
  <c r="E44" i="8"/>
  <c r="K44" i="8" s="1"/>
  <c r="E45" i="8"/>
  <c r="K45" i="8" s="1"/>
  <c r="E46" i="8"/>
  <c r="K46" i="8" s="1"/>
  <c r="E47" i="8"/>
  <c r="I47" i="8" s="1"/>
  <c r="E48" i="8"/>
  <c r="K48" i="8" s="1"/>
  <c r="E49" i="8"/>
  <c r="K49" i="8" s="1"/>
  <c r="E50" i="8"/>
  <c r="G50" i="8" s="1"/>
  <c r="E51" i="8"/>
  <c r="G51" i="8" s="1"/>
  <c r="E52" i="8"/>
  <c r="K52" i="8" s="1"/>
  <c r="E53" i="8"/>
  <c r="K53" i="8" s="1"/>
  <c r="E54" i="8"/>
  <c r="G54" i="8" s="1"/>
  <c r="E55" i="8"/>
  <c r="G55" i="8" s="1"/>
  <c r="E56" i="8"/>
  <c r="K56" i="8" s="1"/>
  <c r="E57" i="8"/>
  <c r="K57" i="8" s="1"/>
  <c r="E58" i="8"/>
  <c r="G58" i="8" s="1"/>
  <c r="E59" i="8"/>
  <c r="G59" i="8" s="1"/>
  <c r="E60" i="8"/>
  <c r="I60" i="8" s="1"/>
  <c r="E61" i="8"/>
  <c r="I61" i="8" s="1"/>
  <c r="E62" i="8"/>
  <c r="G62" i="8" s="1"/>
  <c r="E8" i="8"/>
  <c r="F8" i="8" s="1"/>
  <c r="F41" i="6"/>
  <c r="G41" i="6" s="1"/>
  <c r="D40" i="6"/>
  <c r="F40" i="6"/>
  <c r="G40" i="6" s="1"/>
  <c r="D39" i="6"/>
  <c r="F39" i="6" s="1"/>
  <c r="G39" i="6" s="1"/>
  <c r="D44" i="6"/>
  <c r="F44" i="6"/>
  <c r="G44" i="6" s="1"/>
  <c r="D38" i="6"/>
  <c r="F38" i="6" s="1"/>
  <c r="G38" i="6" s="1"/>
  <c r="H44" i="6"/>
  <c r="H42" i="6"/>
  <c r="F42" i="6"/>
  <c r="G42" i="6" s="1"/>
  <c r="H41" i="6"/>
  <c r="H40" i="6"/>
  <c r="H39" i="6"/>
  <c r="H38" i="6"/>
  <c r="H36" i="6"/>
  <c r="F36" i="6"/>
  <c r="G36" i="6" s="1"/>
  <c r="D30" i="6"/>
  <c r="F33" i="6"/>
  <c r="G33" i="6" s="1"/>
  <c r="T34" i="5"/>
  <c r="H34" i="6"/>
  <c r="F34" i="6"/>
  <c r="G34" i="6" s="1"/>
  <c r="H33" i="6"/>
  <c r="H32" i="6"/>
  <c r="D32" i="6"/>
  <c r="F32" i="6" s="1"/>
  <c r="G32" i="6" s="1"/>
  <c r="H31" i="6"/>
  <c r="F31" i="6"/>
  <c r="G31" i="6" s="1"/>
  <c r="H30" i="6"/>
  <c r="F30" i="6"/>
  <c r="G30" i="6" s="1"/>
  <c r="S25" i="5"/>
  <c r="F27" i="6"/>
  <c r="G27" i="6" s="1"/>
  <c r="H27" i="6"/>
  <c r="F28" i="6"/>
  <c r="G28" i="6" s="1"/>
  <c r="H28" i="6"/>
  <c r="H26" i="6"/>
  <c r="F26" i="6"/>
  <c r="G26" i="6" s="1"/>
  <c r="D17" i="6"/>
  <c r="F17" i="6" s="1"/>
  <c r="G17" i="6" s="1"/>
  <c r="S23" i="5"/>
  <c r="T21" i="5" s="1"/>
  <c r="D22" i="6"/>
  <c r="D11" i="6"/>
  <c r="S34" i="5"/>
  <c r="T25" i="5"/>
  <c r="H25" i="13"/>
  <c r="F25" i="13"/>
  <c r="G25" i="13" s="1"/>
  <c r="H16" i="13"/>
  <c r="F16" i="13"/>
  <c r="G16" i="13" s="1"/>
  <c r="H14" i="13"/>
  <c r="F14" i="13"/>
  <c r="G14" i="13" s="1"/>
  <c r="H11" i="13"/>
  <c r="G11" i="13"/>
  <c r="H10" i="13"/>
  <c r="F10" i="13"/>
  <c r="G10" i="13" s="1"/>
  <c r="J12" i="6"/>
  <c r="T19" i="5"/>
  <c r="T20" i="5"/>
  <c r="T24" i="5"/>
  <c r="S24" i="5"/>
  <c r="E38" i="12"/>
  <c r="E37" i="12"/>
  <c r="G37" i="12" s="1"/>
  <c r="E36" i="12"/>
  <c r="G36" i="12" s="1"/>
  <c r="E35" i="12"/>
  <c r="G35" i="12" s="1"/>
  <c r="E34" i="12"/>
  <c r="G34" i="12" s="1"/>
  <c r="J34" i="12" s="1"/>
  <c r="L34" i="12" s="1"/>
  <c r="M34" i="12" s="1"/>
  <c r="I33" i="12"/>
  <c r="E32" i="12"/>
  <c r="I32" i="12" s="1"/>
  <c r="E31" i="12"/>
  <c r="I31" i="12" s="1"/>
  <c r="G30" i="12"/>
  <c r="J30" i="12" s="1"/>
  <c r="L30" i="12" s="1"/>
  <c r="G29" i="12"/>
  <c r="J29" i="12" s="1"/>
  <c r="L29" i="12" s="1"/>
  <c r="E28" i="12"/>
  <c r="G28" i="12" s="1"/>
  <c r="E27" i="12"/>
  <c r="G27" i="12" s="1"/>
  <c r="J27" i="12" s="1"/>
  <c r="L27" i="12" s="1"/>
  <c r="G26" i="12"/>
  <c r="J26" i="12" s="1"/>
  <c r="L26" i="12" s="1"/>
  <c r="E25" i="12"/>
  <c r="E24" i="12"/>
  <c r="E23" i="12"/>
  <c r="G23" i="12" s="1"/>
  <c r="E22" i="12"/>
  <c r="I22" i="12" s="1"/>
  <c r="E21" i="12"/>
  <c r="I21" i="12" s="1"/>
  <c r="E20" i="12"/>
  <c r="G20" i="12" s="1"/>
  <c r="J20" i="12" s="1"/>
  <c r="L20" i="12" s="1"/>
  <c r="E19" i="12"/>
  <c r="I19" i="12" s="1"/>
  <c r="E18" i="12"/>
  <c r="G18" i="12" s="1"/>
  <c r="E17" i="12"/>
  <c r="I17" i="12" s="1"/>
  <c r="E16" i="12"/>
  <c r="I16" i="12" s="1"/>
  <c r="E15" i="12"/>
  <c r="I15" i="12" s="1"/>
  <c r="I14" i="12"/>
  <c r="E13" i="12"/>
  <c r="G13" i="12" s="1"/>
  <c r="J13" i="12" s="1"/>
  <c r="K13" i="12" s="1"/>
  <c r="E12" i="12"/>
  <c r="K12" i="12" s="1"/>
  <c r="E11" i="12"/>
  <c r="I11" i="12" s="1"/>
  <c r="E10" i="12"/>
  <c r="I10" i="12" s="1"/>
  <c r="E8" i="12"/>
  <c r="G8" i="12" s="1"/>
  <c r="E7" i="12"/>
  <c r="H7" i="12" s="1"/>
  <c r="L49" i="12"/>
  <c r="J48" i="12"/>
  <c r="J47" i="12"/>
  <c r="H47" i="12"/>
  <c r="H18" i="6"/>
  <c r="D18" i="6"/>
  <c r="F18" i="6" s="1"/>
  <c r="G18" i="6" s="1"/>
  <c r="D16" i="6"/>
  <c r="F16" i="6" s="1"/>
  <c r="G16" i="6" s="1"/>
  <c r="H12" i="6"/>
  <c r="F12" i="6"/>
  <c r="G12" i="6" s="1"/>
  <c r="D10" i="6"/>
  <c r="R64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5" i="5"/>
  <c r="M76" i="5"/>
  <c r="M74" i="5"/>
  <c r="M72" i="5"/>
  <c r="N10" i="5"/>
  <c r="N11" i="5"/>
  <c r="G10" i="5"/>
  <c r="G11" i="5"/>
  <c r="E11" i="5"/>
  <c r="E10" i="5"/>
  <c r="E5" i="5"/>
  <c r="E61" i="5" s="1"/>
  <c r="G61" i="5" s="1"/>
  <c r="H20" i="6"/>
  <c r="D20" i="6"/>
  <c r="F20" i="6" s="1"/>
  <c r="G20" i="6" s="1"/>
  <c r="H19" i="6"/>
  <c r="F19" i="6"/>
  <c r="G19" i="6" s="1"/>
  <c r="H17" i="6"/>
  <c r="H16" i="6"/>
  <c r="M61" i="5"/>
  <c r="L61" i="5"/>
  <c r="K61" i="5"/>
  <c r="G60" i="5"/>
  <c r="Q60" i="5" s="1"/>
  <c r="G59" i="5"/>
  <c r="P59" i="5" s="1"/>
  <c r="M58" i="5"/>
  <c r="L58" i="5"/>
  <c r="K58" i="5"/>
  <c r="G54" i="5"/>
  <c r="Q54" i="5" s="1"/>
  <c r="G53" i="5"/>
  <c r="P53" i="5" s="1"/>
  <c r="G42" i="5"/>
  <c r="Q42" i="5" s="1"/>
  <c r="G41" i="5"/>
  <c r="P41" i="5" s="1"/>
  <c r="M57" i="5"/>
  <c r="M56" i="5"/>
  <c r="M55" i="5"/>
  <c r="L55" i="5"/>
  <c r="K55" i="5"/>
  <c r="L52" i="5"/>
  <c r="K52" i="5"/>
  <c r="M52" i="5"/>
  <c r="M51" i="5"/>
  <c r="M50" i="5"/>
  <c r="M49" i="5"/>
  <c r="L49" i="5"/>
  <c r="K49" i="5"/>
  <c r="G49" i="5"/>
  <c r="P49" i="5" s="1"/>
  <c r="L47" i="5"/>
  <c r="K47" i="5"/>
  <c r="M45" i="5"/>
  <c r="L45" i="5"/>
  <c r="K45" i="5"/>
  <c r="G45" i="5"/>
  <c r="P45" i="5" s="1"/>
  <c r="M44" i="5"/>
  <c r="M43" i="5"/>
  <c r="K40" i="5"/>
  <c r="L40" i="5"/>
  <c r="M39" i="5"/>
  <c r="L39" i="5"/>
  <c r="K39" i="5"/>
  <c r="M38" i="5"/>
  <c r="L38" i="5"/>
  <c r="K38" i="5"/>
  <c r="G37" i="5"/>
  <c r="Q37" i="5" s="1"/>
  <c r="G36" i="5"/>
  <c r="P36" i="5" s="1"/>
  <c r="F7" i="12" l="1"/>
  <c r="F40" i="12" s="1"/>
  <c r="E40" i="12"/>
  <c r="G40" i="12" s="1"/>
  <c r="E50" i="12"/>
  <c r="G50" i="12" s="1"/>
  <c r="K8" i="10"/>
  <c r="M8" i="10"/>
  <c r="I8" i="10"/>
  <c r="E39" i="10"/>
  <c r="E38" i="10"/>
  <c r="E40" i="10"/>
  <c r="G24" i="10"/>
  <c r="J24" i="10" s="1"/>
  <c r="K24" i="10" s="1"/>
  <c r="M20" i="10"/>
  <c r="M16" i="10"/>
  <c r="I20" i="10"/>
  <c r="M30" i="10"/>
  <c r="M22" i="10"/>
  <c r="M29" i="10"/>
  <c r="I29" i="10"/>
  <c r="M28" i="10"/>
  <c r="I28" i="10"/>
  <c r="M26" i="10"/>
  <c r="M21" i="10"/>
  <c r="M27" i="10"/>
  <c r="I22" i="10"/>
  <c r="G22" i="10"/>
  <c r="J22" i="10" s="1"/>
  <c r="K22" i="10" s="1"/>
  <c r="I27" i="10"/>
  <c r="I21" i="10"/>
  <c r="I30" i="10"/>
  <c r="I16" i="10"/>
  <c r="M23" i="10"/>
  <c r="M19" i="10"/>
  <c r="G25" i="10"/>
  <c r="J25" i="10" s="1"/>
  <c r="K25" i="10" s="1"/>
  <c r="G30" i="10"/>
  <c r="J30" i="10" s="1"/>
  <c r="K30" i="10" s="1"/>
  <c r="G19" i="10"/>
  <c r="J19" i="10" s="1"/>
  <c r="K19" i="10" s="1"/>
  <c r="G18" i="10"/>
  <c r="J18" i="10" s="1"/>
  <c r="K18" i="10" s="1"/>
  <c r="I23" i="10"/>
  <c r="M17" i="10"/>
  <c r="I26" i="10"/>
  <c r="M24" i="10"/>
  <c r="I17" i="10"/>
  <c r="G26" i="10"/>
  <c r="J26" i="10" s="1"/>
  <c r="K26" i="10" s="1"/>
  <c r="M25" i="10"/>
  <c r="M18" i="10"/>
  <c r="F76" i="8"/>
  <c r="L71" i="8"/>
  <c r="L76" i="8" s="1"/>
  <c r="F64" i="8"/>
  <c r="N8" i="8"/>
  <c r="M72" i="8"/>
  <c r="K72" i="8"/>
  <c r="H76" i="8"/>
  <c r="H17" i="8"/>
  <c r="N17" i="8" s="1"/>
  <c r="O17" i="8" s="1"/>
  <c r="M16" i="8"/>
  <c r="G71" i="8"/>
  <c r="M62" i="8"/>
  <c r="M19" i="8"/>
  <c r="M71" i="8"/>
  <c r="M17" i="8"/>
  <c r="M35" i="8"/>
  <c r="H10" i="8"/>
  <c r="N10" i="8" s="1"/>
  <c r="J76" i="8"/>
  <c r="M53" i="8"/>
  <c r="M34" i="8"/>
  <c r="M15" i="8"/>
  <c r="M8" i="8"/>
  <c r="I11" i="8"/>
  <c r="M54" i="8"/>
  <c r="M33" i="8"/>
  <c r="M14" i="8"/>
  <c r="H12" i="8"/>
  <c r="N12" i="8" s="1"/>
  <c r="O12" i="8" s="1"/>
  <c r="M64" i="8"/>
  <c r="M51" i="8"/>
  <c r="M32" i="8"/>
  <c r="M12" i="8"/>
  <c r="I37" i="8"/>
  <c r="M50" i="8"/>
  <c r="M31" i="8"/>
  <c r="M11" i="8"/>
  <c r="J11" i="8"/>
  <c r="K11" i="8" s="1"/>
  <c r="M49" i="8"/>
  <c r="M30" i="8"/>
  <c r="J12" i="8"/>
  <c r="K12" i="8" s="1"/>
  <c r="E47" i="12"/>
  <c r="I47" i="12" s="1"/>
  <c r="K34" i="12"/>
  <c r="H40" i="12"/>
  <c r="J37" i="12"/>
  <c r="L37" i="12" s="1"/>
  <c r="J23" i="12"/>
  <c r="L23" i="12" s="1"/>
  <c r="M23" i="12" s="1"/>
  <c r="J35" i="12"/>
  <c r="L35" i="12" s="1"/>
  <c r="M35" i="12" s="1"/>
  <c r="E48" i="12"/>
  <c r="L13" i="12"/>
  <c r="E49" i="12"/>
  <c r="K20" i="12"/>
  <c r="J36" i="12"/>
  <c r="L36" i="12" s="1"/>
  <c r="M36" i="12" s="1"/>
  <c r="J18" i="12"/>
  <c r="L18" i="12" s="1"/>
  <c r="M18" i="12" s="1"/>
  <c r="I7" i="12"/>
  <c r="K26" i="12"/>
  <c r="K27" i="12"/>
  <c r="K28" i="12"/>
  <c r="K29" i="12"/>
  <c r="K30" i="12"/>
  <c r="M26" i="12"/>
  <c r="M8" i="12"/>
  <c r="I36" i="12"/>
  <c r="M28" i="12"/>
  <c r="G32" i="12"/>
  <c r="I27" i="12"/>
  <c r="M9" i="12"/>
  <c r="G38" i="12"/>
  <c r="I34" i="12"/>
  <c r="I28" i="12"/>
  <c r="G25" i="12"/>
  <c r="M37" i="12"/>
  <c r="I25" i="12"/>
  <c r="M27" i="12"/>
  <c r="O25" i="8"/>
  <c r="I13" i="8"/>
  <c r="O61" i="8"/>
  <c r="G13" i="8"/>
  <c r="G61" i="8"/>
  <c r="I20" i="8"/>
  <c r="G57" i="8"/>
  <c r="M61" i="8"/>
  <c r="M45" i="8"/>
  <c r="M29" i="8"/>
  <c r="M13" i="8"/>
  <c r="O29" i="8"/>
  <c r="M58" i="8"/>
  <c r="M42" i="8"/>
  <c r="M26" i="8"/>
  <c r="M10" i="8"/>
  <c r="K29" i="8"/>
  <c r="O37" i="8"/>
  <c r="M57" i="8"/>
  <c r="M41" i="8"/>
  <c r="M25" i="8"/>
  <c r="O43" i="8"/>
  <c r="I44" i="8"/>
  <c r="I26" i="8"/>
  <c r="G44" i="8"/>
  <c r="G26" i="8"/>
  <c r="K43" i="8"/>
  <c r="K25" i="8"/>
  <c r="I43" i="8"/>
  <c r="I25" i="8"/>
  <c r="G60" i="8"/>
  <c r="O42" i="8"/>
  <c r="O18" i="8"/>
  <c r="O59" i="8"/>
  <c r="K42" i="8"/>
  <c r="K59" i="8"/>
  <c r="I42" i="8"/>
  <c r="O23" i="8"/>
  <c r="I59" i="8"/>
  <c r="I48" i="8"/>
  <c r="O41" i="8"/>
  <c r="K23" i="8"/>
  <c r="G48" i="8"/>
  <c r="O47" i="8"/>
  <c r="I57" i="8"/>
  <c r="I29" i="8"/>
  <c r="K19" i="8"/>
  <c r="I19" i="8"/>
  <c r="O16" i="8"/>
  <c r="K16" i="8"/>
  <c r="O28" i="8"/>
  <c r="K51" i="8"/>
  <c r="G46" i="8"/>
  <c r="K41" i="8"/>
  <c r="K33" i="8"/>
  <c r="I28" i="8"/>
  <c r="K15" i="8"/>
  <c r="I15" i="8"/>
  <c r="K47" i="8"/>
  <c r="O34" i="8"/>
  <c r="G47" i="8"/>
  <c r="O46" i="8"/>
  <c r="I34" i="8"/>
  <c r="G16" i="8"/>
  <c r="O58" i="8"/>
  <c r="O51" i="8"/>
  <c r="O33" i="8"/>
  <c r="K58" i="8"/>
  <c r="I33" i="8"/>
  <c r="I58" i="8"/>
  <c r="G41" i="8"/>
  <c r="G27" i="8"/>
  <c r="K62" i="8"/>
  <c r="G45" i="8"/>
  <c r="G11" i="8"/>
  <c r="I62" i="8"/>
  <c r="O57" i="8"/>
  <c r="O44" i="8"/>
  <c r="O31" i="8"/>
  <c r="G20" i="8"/>
  <c r="O10" i="8"/>
  <c r="K34" i="8"/>
  <c r="O15" i="8"/>
  <c r="I46" i="8"/>
  <c r="O62" i="8"/>
  <c r="I51" i="8"/>
  <c r="I45" i="8"/>
  <c r="O32" i="8"/>
  <c r="O26" i="8"/>
  <c r="O14" i="8"/>
  <c r="O36" i="8"/>
  <c r="O19" i="8"/>
  <c r="K10" i="8"/>
  <c r="I56" i="8"/>
  <c r="O55" i="8"/>
  <c r="O40" i="8"/>
  <c r="K22" i="8"/>
  <c r="O54" i="8"/>
  <c r="O50" i="8"/>
  <c r="I40" i="8"/>
  <c r="K36" i="8"/>
  <c r="K54" i="8"/>
  <c r="G40" i="8"/>
  <c r="I36" i="8"/>
  <c r="G22" i="8"/>
  <c r="I54" i="8"/>
  <c r="K50" i="8"/>
  <c r="O39" i="8"/>
  <c r="G36" i="8"/>
  <c r="K32" i="8"/>
  <c r="O21" i="8"/>
  <c r="K18" i="8"/>
  <c r="K61" i="8"/>
  <c r="I50" i="8"/>
  <c r="K39" i="8"/>
  <c r="O35" i="8"/>
  <c r="I32" i="8"/>
  <c r="I18" i="8"/>
  <c r="O53" i="8"/>
  <c r="I39" i="8"/>
  <c r="K28" i="8"/>
  <c r="K21" i="8"/>
  <c r="G18" i="8"/>
  <c r="O22" i="8"/>
  <c r="K35" i="8"/>
  <c r="O24" i="8"/>
  <c r="I21" i="8"/>
  <c r="G56" i="8"/>
  <c r="I23" i="8"/>
  <c r="O49" i="8"/>
  <c r="O60" i="8"/>
  <c r="I53" i="8"/>
  <c r="O38" i="8"/>
  <c r="I35" i="8"/>
  <c r="G53" i="8"/>
  <c r="I49" i="8"/>
  <c r="O45" i="8"/>
  <c r="K38" i="8"/>
  <c r="K31" i="8"/>
  <c r="O27" i="8"/>
  <c r="K24" i="8"/>
  <c r="O20" i="8"/>
  <c r="K17" i="8"/>
  <c r="K60" i="8"/>
  <c r="O56" i="8"/>
  <c r="O52" i="8"/>
  <c r="G49" i="8"/>
  <c r="I38" i="8"/>
  <c r="I31" i="8"/>
  <c r="K27" i="8"/>
  <c r="I24" i="8"/>
  <c r="O13" i="8"/>
  <c r="I10" i="8"/>
  <c r="K55" i="8"/>
  <c r="I55" i="8"/>
  <c r="O48" i="8"/>
  <c r="I30" i="12"/>
  <c r="I26" i="12"/>
  <c r="G15" i="12"/>
  <c r="J15" i="12" s="1"/>
  <c r="I24" i="12"/>
  <c r="G24" i="12"/>
  <c r="G21" i="12"/>
  <c r="M20" i="12"/>
  <c r="I38" i="12"/>
  <c r="M29" i="12"/>
  <c r="I20" i="12"/>
  <c r="I29" i="12"/>
  <c r="I23" i="12"/>
  <c r="G31" i="12"/>
  <c r="G22" i="12"/>
  <c r="M13" i="12"/>
  <c r="M12" i="12"/>
  <c r="G33" i="12"/>
  <c r="I37" i="12"/>
  <c r="M30" i="12"/>
  <c r="I35" i="12"/>
  <c r="G19" i="12"/>
  <c r="K7" i="12"/>
  <c r="M11" i="12"/>
  <c r="I13" i="12"/>
  <c r="G17" i="12"/>
  <c r="G9" i="12"/>
  <c r="I9" i="12"/>
  <c r="H52" i="12"/>
  <c r="K10" i="12"/>
  <c r="M10" i="12"/>
  <c r="J52" i="12"/>
  <c r="G14" i="12"/>
  <c r="J14" i="12" s="1"/>
  <c r="I18" i="12"/>
  <c r="L48" i="12"/>
  <c r="I8" i="12"/>
  <c r="K8" i="12"/>
  <c r="K11" i="12"/>
  <c r="G12" i="12"/>
  <c r="I12" i="12"/>
  <c r="G11" i="12"/>
  <c r="G10" i="12"/>
  <c r="G16" i="12"/>
  <c r="O61" i="5"/>
  <c r="M35" i="5"/>
  <c r="M34" i="5"/>
  <c r="L34" i="5"/>
  <c r="K34" i="5"/>
  <c r="M33" i="5"/>
  <c r="M32" i="5"/>
  <c r="M31" i="5"/>
  <c r="L31" i="5"/>
  <c r="K31" i="5"/>
  <c r="E30" i="5"/>
  <c r="G30" i="5" s="1"/>
  <c r="N30" i="5" s="1"/>
  <c r="M30" i="5"/>
  <c r="M29" i="5"/>
  <c r="L29" i="5"/>
  <c r="K29" i="5"/>
  <c r="M28" i="5"/>
  <c r="G27" i="5"/>
  <c r="P27" i="5" s="1"/>
  <c r="G25" i="5"/>
  <c r="Q25" i="5" s="1"/>
  <c r="M26" i="5"/>
  <c r="G26" i="5"/>
  <c r="N26" i="5" s="1"/>
  <c r="M24" i="5"/>
  <c r="K24" i="5"/>
  <c r="G24" i="5"/>
  <c r="G23" i="5"/>
  <c r="N23" i="5" s="1"/>
  <c r="M22" i="5"/>
  <c r="K22" i="5"/>
  <c r="G22" i="5"/>
  <c r="M21" i="5"/>
  <c r="L21" i="5"/>
  <c r="K21" i="5"/>
  <c r="G20" i="5"/>
  <c r="Q20" i="5" s="1"/>
  <c r="G19" i="5"/>
  <c r="P19" i="5" s="1"/>
  <c r="M18" i="5"/>
  <c r="L18" i="5"/>
  <c r="K18" i="5"/>
  <c r="G17" i="5"/>
  <c r="Q17" i="5" s="1"/>
  <c r="L15" i="5"/>
  <c r="G16" i="5"/>
  <c r="P16" i="5" s="1"/>
  <c r="K15" i="5"/>
  <c r="M13" i="5"/>
  <c r="M15" i="5"/>
  <c r="G12" i="5"/>
  <c r="N12" i="5" s="1"/>
  <c r="F14" i="5"/>
  <c r="K13" i="5"/>
  <c r="G13" i="5"/>
  <c r="M12" i="5"/>
  <c r="G9" i="5"/>
  <c r="N9" i="5" s="1"/>
  <c r="K8" i="5"/>
  <c r="G8" i="5"/>
  <c r="M7" i="5"/>
  <c r="L7" i="5"/>
  <c r="K7" i="5"/>
  <c r="M5" i="5"/>
  <c r="L6" i="5"/>
  <c r="L5" i="5"/>
  <c r="K6" i="5"/>
  <c r="E58" i="5"/>
  <c r="G58" i="5" s="1"/>
  <c r="P58" i="5" s="1"/>
  <c r="H105" i="11"/>
  <c r="F105" i="11"/>
  <c r="H104" i="11"/>
  <c r="F104" i="11"/>
  <c r="L103" i="11"/>
  <c r="F103" i="11"/>
  <c r="J102" i="11"/>
  <c r="L102" i="11" s="1"/>
  <c r="J101" i="11"/>
  <c r="J107" i="11" s="1"/>
  <c r="H101" i="11"/>
  <c r="H107" i="11" s="1"/>
  <c r="L92" i="11"/>
  <c r="E92" i="11"/>
  <c r="E94" i="11" s="1"/>
  <c r="E105" i="11" s="1"/>
  <c r="K105" i="11" s="1"/>
  <c r="F90" i="11"/>
  <c r="L88" i="11"/>
  <c r="E88" i="11"/>
  <c r="I88" i="11" s="1"/>
  <c r="L87" i="11"/>
  <c r="E87" i="11"/>
  <c r="I87" i="11" s="1"/>
  <c r="L86" i="11"/>
  <c r="E86" i="11"/>
  <c r="G86" i="11" s="1"/>
  <c r="J86" i="11" s="1"/>
  <c r="K86" i="11" s="1"/>
  <c r="L85" i="11"/>
  <c r="E85" i="11"/>
  <c r="I85" i="11" s="1"/>
  <c r="L84" i="11"/>
  <c r="E84" i="11"/>
  <c r="I84" i="11" s="1"/>
  <c r="L83" i="11"/>
  <c r="M83" i="11" s="1"/>
  <c r="G83" i="11"/>
  <c r="J83" i="11" s="1"/>
  <c r="K83" i="11" s="1"/>
  <c r="E83" i="11"/>
  <c r="I83" i="11" s="1"/>
  <c r="L82" i="11"/>
  <c r="E82" i="11"/>
  <c r="I82" i="11" s="1"/>
  <c r="H80" i="11"/>
  <c r="H90" i="11" s="1"/>
  <c r="F80" i="11"/>
  <c r="L78" i="11"/>
  <c r="E78" i="11"/>
  <c r="I78" i="11" s="1"/>
  <c r="L77" i="11"/>
  <c r="E77" i="11"/>
  <c r="I77" i="11" s="1"/>
  <c r="L76" i="11"/>
  <c r="E76" i="11"/>
  <c r="I76" i="11" s="1"/>
  <c r="L75" i="11"/>
  <c r="E75" i="11"/>
  <c r="I75" i="11" s="1"/>
  <c r="L74" i="11"/>
  <c r="E74" i="11"/>
  <c r="I74" i="11" s="1"/>
  <c r="L73" i="11"/>
  <c r="E73" i="11"/>
  <c r="L72" i="11"/>
  <c r="E72" i="11"/>
  <c r="K72" i="11" s="1"/>
  <c r="L71" i="11"/>
  <c r="E71" i="11"/>
  <c r="K71" i="11" s="1"/>
  <c r="L70" i="11"/>
  <c r="E70" i="11"/>
  <c r="G70" i="11" s="1"/>
  <c r="L69" i="11"/>
  <c r="E69" i="11"/>
  <c r="I69" i="11" s="1"/>
  <c r="L68" i="11"/>
  <c r="E68" i="11"/>
  <c r="M68" i="11" s="1"/>
  <c r="L67" i="11"/>
  <c r="E67" i="11"/>
  <c r="G67" i="11" s="1"/>
  <c r="L66" i="11"/>
  <c r="E66" i="11"/>
  <c r="I66" i="11" s="1"/>
  <c r="L65" i="11"/>
  <c r="E65" i="11"/>
  <c r="L64" i="11"/>
  <c r="E64" i="11"/>
  <c r="G64" i="11" s="1"/>
  <c r="L63" i="11"/>
  <c r="E63" i="11"/>
  <c r="K63" i="11" s="1"/>
  <c r="L62" i="11"/>
  <c r="E62" i="11"/>
  <c r="K62" i="11" s="1"/>
  <c r="L61" i="11"/>
  <c r="E61" i="11"/>
  <c r="I61" i="11" s="1"/>
  <c r="L60" i="11"/>
  <c r="E60" i="11"/>
  <c r="M60" i="11" s="1"/>
  <c r="L59" i="11"/>
  <c r="E59" i="11"/>
  <c r="K59" i="11" s="1"/>
  <c r="L58" i="11"/>
  <c r="E58" i="11"/>
  <c r="I58" i="11" s="1"/>
  <c r="L57" i="11"/>
  <c r="E57" i="11"/>
  <c r="G57" i="11" s="1"/>
  <c r="L56" i="11"/>
  <c r="E56" i="11"/>
  <c r="G56" i="11" s="1"/>
  <c r="L55" i="11"/>
  <c r="E55" i="11"/>
  <c r="K55" i="11" s="1"/>
  <c r="L54" i="11"/>
  <c r="E54" i="11"/>
  <c r="K54" i="11" s="1"/>
  <c r="L53" i="11"/>
  <c r="E53" i="11"/>
  <c r="I53" i="11" s="1"/>
  <c r="L52" i="11"/>
  <c r="E52" i="11"/>
  <c r="M52" i="11" s="1"/>
  <c r="L51" i="11"/>
  <c r="E51" i="11"/>
  <c r="I51" i="11" s="1"/>
  <c r="L50" i="11"/>
  <c r="L80" i="11" s="1"/>
  <c r="E50" i="11"/>
  <c r="I50" i="11" s="1"/>
  <c r="L49" i="11"/>
  <c r="E49" i="11"/>
  <c r="L48" i="11"/>
  <c r="E48" i="11"/>
  <c r="K48" i="11" s="1"/>
  <c r="L47" i="11"/>
  <c r="E47" i="11"/>
  <c r="K47" i="11" s="1"/>
  <c r="H45" i="11"/>
  <c r="F45" i="11"/>
  <c r="L42" i="11"/>
  <c r="E42" i="11"/>
  <c r="I42" i="11" s="1"/>
  <c r="L41" i="11"/>
  <c r="E41" i="11"/>
  <c r="I41" i="11" s="1"/>
  <c r="L40" i="11"/>
  <c r="E40" i="11"/>
  <c r="I40" i="11" s="1"/>
  <c r="L39" i="11"/>
  <c r="E39" i="11"/>
  <c r="I39" i="11" s="1"/>
  <c r="L38" i="11"/>
  <c r="E38" i="11"/>
  <c r="G38" i="11" s="1"/>
  <c r="J38" i="11" s="1"/>
  <c r="K38" i="11" s="1"/>
  <c r="L37" i="11"/>
  <c r="E37" i="11"/>
  <c r="L36" i="11"/>
  <c r="L45" i="11" s="1"/>
  <c r="E36" i="11"/>
  <c r="I36" i="11" s="1"/>
  <c r="H34" i="11"/>
  <c r="F34" i="11"/>
  <c r="L32" i="11"/>
  <c r="E32" i="11"/>
  <c r="G32" i="11" s="1"/>
  <c r="J32" i="11" s="1"/>
  <c r="K32" i="11" s="1"/>
  <c r="L31" i="11"/>
  <c r="E31" i="11"/>
  <c r="G31" i="11" s="1"/>
  <c r="J31" i="11" s="1"/>
  <c r="K31" i="11" s="1"/>
  <c r="L30" i="11"/>
  <c r="E30" i="11"/>
  <c r="I30" i="11" s="1"/>
  <c r="L29" i="11"/>
  <c r="E29" i="11"/>
  <c r="I29" i="11" s="1"/>
  <c r="L28" i="11"/>
  <c r="E28" i="11"/>
  <c r="I28" i="11" s="1"/>
  <c r="L27" i="11"/>
  <c r="E27" i="11"/>
  <c r="G27" i="11" s="1"/>
  <c r="J27" i="11" s="1"/>
  <c r="K27" i="11" s="1"/>
  <c r="L26" i="11"/>
  <c r="E26" i="11"/>
  <c r="I26" i="11" s="1"/>
  <c r="L25" i="11"/>
  <c r="E25" i="11"/>
  <c r="I25" i="11" s="1"/>
  <c r="L24" i="11"/>
  <c r="E24" i="11"/>
  <c r="I24" i="11" s="1"/>
  <c r="L23" i="11"/>
  <c r="E23" i="11"/>
  <c r="I23" i="11" s="1"/>
  <c r="L22" i="11"/>
  <c r="E22" i="11"/>
  <c r="I22" i="11" s="1"/>
  <c r="L21" i="11"/>
  <c r="E21" i="11"/>
  <c r="I21" i="11" s="1"/>
  <c r="L20" i="11"/>
  <c r="E20" i="11"/>
  <c r="K20" i="11" s="1"/>
  <c r="L19" i="11"/>
  <c r="E19" i="11"/>
  <c r="M19" i="11" s="1"/>
  <c r="L18" i="11"/>
  <c r="E18" i="11"/>
  <c r="K18" i="11" s="1"/>
  <c r="L17" i="11"/>
  <c r="E17" i="11"/>
  <c r="I17" i="11" s="1"/>
  <c r="L16" i="11"/>
  <c r="E16" i="11"/>
  <c r="L15" i="11"/>
  <c r="E15" i="11"/>
  <c r="K15" i="11" s="1"/>
  <c r="L14" i="11"/>
  <c r="E14" i="11"/>
  <c r="K14" i="11" s="1"/>
  <c r="L13" i="11"/>
  <c r="E13" i="11"/>
  <c r="G13" i="11" s="1"/>
  <c r="L12" i="11"/>
  <c r="E12" i="11"/>
  <c r="G12" i="11" s="1"/>
  <c r="L11" i="11"/>
  <c r="E11" i="11"/>
  <c r="M11" i="11" s="1"/>
  <c r="L10" i="11"/>
  <c r="E10" i="11"/>
  <c r="I10" i="11" s="1"/>
  <c r="L9" i="11"/>
  <c r="E9" i="11"/>
  <c r="I9" i="11" s="1"/>
  <c r="L8" i="11"/>
  <c r="E8" i="11"/>
  <c r="M8" i="11" s="1"/>
  <c r="L7" i="11"/>
  <c r="L34" i="11" s="1"/>
  <c r="E7" i="11"/>
  <c r="I7" i="11" s="1"/>
  <c r="J38" i="10"/>
  <c r="L38" i="10" s="1"/>
  <c r="J37" i="10"/>
  <c r="H37" i="10"/>
  <c r="L15" i="10"/>
  <c r="M15" i="10" s="1"/>
  <c r="L14" i="10"/>
  <c r="I14" i="10"/>
  <c r="L13" i="10"/>
  <c r="G13" i="10"/>
  <c r="L12" i="10"/>
  <c r="I12" i="10"/>
  <c r="L11" i="10"/>
  <c r="I11" i="10"/>
  <c r="L10" i="10"/>
  <c r="G10" i="10"/>
  <c r="L9" i="10"/>
  <c r="G9" i="10"/>
  <c r="L7" i="10"/>
  <c r="D18" i="3"/>
  <c r="Q19" i="3"/>
  <c r="P19" i="3"/>
  <c r="O19" i="3"/>
  <c r="N19" i="3"/>
  <c r="M19" i="3"/>
  <c r="L19" i="3"/>
  <c r="AT19" i="3" s="1"/>
  <c r="D19" i="3"/>
  <c r="L18" i="3"/>
  <c r="M18" i="3"/>
  <c r="N18" i="3"/>
  <c r="O18" i="3"/>
  <c r="P18" i="3"/>
  <c r="Q18" i="3"/>
  <c r="AT18" i="3"/>
  <c r="D16" i="3"/>
  <c r="D14" i="3"/>
  <c r="D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AH15" i="3" s="1"/>
  <c r="AH21" i="3" s="1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F21" i="3"/>
  <c r="H105" i="9"/>
  <c r="L105" i="9" s="1"/>
  <c r="F105" i="9"/>
  <c r="H104" i="9"/>
  <c r="F104" i="9"/>
  <c r="F103" i="9"/>
  <c r="L102" i="9"/>
  <c r="J102" i="9"/>
  <c r="J101" i="9"/>
  <c r="J107" i="9" s="1"/>
  <c r="H101" i="9"/>
  <c r="F94" i="9"/>
  <c r="L92" i="9"/>
  <c r="E92" i="9"/>
  <c r="E94" i="9" s="1"/>
  <c r="E105" i="9" s="1"/>
  <c r="F90" i="9"/>
  <c r="L88" i="9"/>
  <c r="E88" i="9"/>
  <c r="G88" i="9" s="1"/>
  <c r="J88" i="9" s="1"/>
  <c r="K88" i="9" s="1"/>
  <c r="L87" i="9"/>
  <c r="E87" i="9"/>
  <c r="L86" i="9"/>
  <c r="E86" i="9"/>
  <c r="G86" i="9" s="1"/>
  <c r="J86" i="9" s="1"/>
  <c r="K86" i="9" s="1"/>
  <c r="L85" i="9"/>
  <c r="E85" i="9"/>
  <c r="G85" i="9" s="1"/>
  <c r="J85" i="9" s="1"/>
  <c r="K85" i="9" s="1"/>
  <c r="L84" i="9"/>
  <c r="E84" i="9"/>
  <c r="I84" i="9" s="1"/>
  <c r="L83" i="9"/>
  <c r="E83" i="9"/>
  <c r="I83" i="9" s="1"/>
  <c r="L82" i="9"/>
  <c r="E82" i="9"/>
  <c r="L80" i="9"/>
  <c r="H80" i="9"/>
  <c r="H90" i="9" s="1"/>
  <c r="F80" i="9"/>
  <c r="L78" i="9"/>
  <c r="E78" i="9"/>
  <c r="I78" i="9" s="1"/>
  <c r="L77" i="9"/>
  <c r="E77" i="9"/>
  <c r="G77" i="9" s="1"/>
  <c r="J77" i="9" s="1"/>
  <c r="L76" i="9"/>
  <c r="E76" i="9"/>
  <c r="G76" i="9" s="1"/>
  <c r="L75" i="9"/>
  <c r="E75" i="9"/>
  <c r="G75" i="9" s="1"/>
  <c r="L74" i="9"/>
  <c r="E74" i="9"/>
  <c r="I74" i="9" s="1"/>
  <c r="L73" i="9"/>
  <c r="E73" i="9"/>
  <c r="L72" i="9"/>
  <c r="E72" i="9"/>
  <c r="L71" i="9"/>
  <c r="E71" i="9"/>
  <c r="K71" i="9" s="1"/>
  <c r="L70" i="9"/>
  <c r="E70" i="9"/>
  <c r="L69" i="9"/>
  <c r="E69" i="9"/>
  <c r="G69" i="9" s="1"/>
  <c r="L68" i="9"/>
  <c r="E68" i="9"/>
  <c r="L67" i="9"/>
  <c r="E67" i="9"/>
  <c r="G67" i="9" s="1"/>
  <c r="L66" i="9"/>
  <c r="E66" i="9"/>
  <c r="I66" i="9" s="1"/>
  <c r="L65" i="9"/>
  <c r="E65" i="9"/>
  <c r="K65" i="9" s="1"/>
  <c r="L64" i="9"/>
  <c r="E64" i="9"/>
  <c r="L63" i="9"/>
  <c r="E63" i="9"/>
  <c r="K63" i="9" s="1"/>
  <c r="L62" i="9"/>
  <c r="E62" i="9"/>
  <c r="L61" i="9"/>
  <c r="E61" i="9"/>
  <c r="K61" i="9" s="1"/>
  <c r="L60" i="9"/>
  <c r="E60" i="9"/>
  <c r="G60" i="9" s="1"/>
  <c r="L59" i="9"/>
  <c r="E59" i="9"/>
  <c r="L58" i="9"/>
  <c r="E58" i="9"/>
  <c r="I58" i="9" s="1"/>
  <c r="L57" i="9"/>
  <c r="E57" i="9"/>
  <c r="G57" i="9" s="1"/>
  <c r="L56" i="9"/>
  <c r="E56" i="9"/>
  <c r="L55" i="9"/>
  <c r="E55" i="9"/>
  <c r="K55" i="9" s="1"/>
  <c r="L54" i="9"/>
  <c r="E54" i="9"/>
  <c r="I54" i="9" s="1"/>
  <c r="L53" i="9"/>
  <c r="E53" i="9"/>
  <c r="I53" i="9" s="1"/>
  <c r="L52" i="9"/>
  <c r="E52" i="9"/>
  <c r="G52" i="9" s="1"/>
  <c r="L51" i="9"/>
  <c r="E51" i="9"/>
  <c r="L50" i="9"/>
  <c r="E50" i="9"/>
  <c r="I50" i="9" s="1"/>
  <c r="L49" i="9"/>
  <c r="E49" i="9"/>
  <c r="K49" i="9" s="1"/>
  <c r="L48" i="9"/>
  <c r="E48" i="9"/>
  <c r="K48" i="9" s="1"/>
  <c r="L47" i="9"/>
  <c r="E47" i="9"/>
  <c r="K47" i="9" s="1"/>
  <c r="H45" i="9"/>
  <c r="F45" i="9"/>
  <c r="L42" i="9"/>
  <c r="E42" i="9"/>
  <c r="G42" i="9" s="1"/>
  <c r="J42" i="9" s="1"/>
  <c r="K42" i="9" s="1"/>
  <c r="L41" i="9"/>
  <c r="E41" i="9"/>
  <c r="I41" i="9" s="1"/>
  <c r="L40" i="9"/>
  <c r="E40" i="9"/>
  <c r="I40" i="9" s="1"/>
  <c r="L39" i="9"/>
  <c r="E39" i="9"/>
  <c r="G39" i="9" s="1"/>
  <c r="J39" i="9" s="1"/>
  <c r="K39" i="9" s="1"/>
  <c r="L38" i="9"/>
  <c r="E38" i="9"/>
  <c r="M38" i="9" s="1"/>
  <c r="L37" i="9"/>
  <c r="E37" i="9"/>
  <c r="I37" i="9" s="1"/>
  <c r="L36" i="9"/>
  <c r="E36" i="9"/>
  <c r="G36" i="9" s="1"/>
  <c r="J36" i="9" s="1"/>
  <c r="K36" i="9" s="1"/>
  <c r="H34" i="9"/>
  <c r="F34" i="9"/>
  <c r="L32" i="9"/>
  <c r="E32" i="9"/>
  <c r="G32" i="9" s="1"/>
  <c r="J32" i="9" s="1"/>
  <c r="K32" i="9" s="1"/>
  <c r="L31" i="9"/>
  <c r="E31" i="9"/>
  <c r="M31" i="9" s="1"/>
  <c r="L30" i="9"/>
  <c r="E30" i="9"/>
  <c r="G30" i="9" s="1"/>
  <c r="J30" i="9" s="1"/>
  <c r="K30" i="9" s="1"/>
  <c r="L29" i="9"/>
  <c r="E29" i="9"/>
  <c r="I29" i="9" s="1"/>
  <c r="L28" i="9"/>
  <c r="E28" i="9"/>
  <c r="L27" i="9"/>
  <c r="E27" i="9"/>
  <c r="G27" i="9" s="1"/>
  <c r="J27" i="9" s="1"/>
  <c r="K27" i="9" s="1"/>
  <c r="L26" i="9"/>
  <c r="E26" i="9"/>
  <c r="L25" i="9"/>
  <c r="E25" i="9"/>
  <c r="I25" i="9" s="1"/>
  <c r="L24" i="9"/>
  <c r="E24" i="9"/>
  <c r="L23" i="9"/>
  <c r="E23" i="9"/>
  <c r="G23" i="9" s="1"/>
  <c r="J23" i="9" s="1"/>
  <c r="K23" i="9" s="1"/>
  <c r="L22" i="9"/>
  <c r="E22" i="9"/>
  <c r="G22" i="9" s="1"/>
  <c r="J22" i="9" s="1"/>
  <c r="J80" i="9" s="1"/>
  <c r="L21" i="9"/>
  <c r="E21" i="9"/>
  <c r="G21" i="9" s="1"/>
  <c r="L20" i="9"/>
  <c r="E20" i="9"/>
  <c r="K20" i="9" s="1"/>
  <c r="L19" i="9"/>
  <c r="E19" i="9"/>
  <c r="L18" i="9"/>
  <c r="E18" i="9"/>
  <c r="I18" i="9" s="1"/>
  <c r="L17" i="9"/>
  <c r="E17" i="9"/>
  <c r="K17" i="9" s="1"/>
  <c r="L16" i="9"/>
  <c r="E16" i="9"/>
  <c r="L15" i="9"/>
  <c r="E15" i="9"/>
  <c r="G15" i="9" s="1"/>
  <c r="L14" i="9"/>
  <c r="E14" i="9"/>
  <c r="K14" i="9" s="1"/>
  <c r="L13" i="9"/>
  <c r="E13" i="9"/>
  <c r="L12" i="9"/>
  <c r="E12" i="9"/>
  <c r="K12" i="9" s="1"/>
  <c r="L11" i="9"/>
  <c r="E11" i="9"/>
  <c r="G11" i="9" s="1"/>
  <c r="L10" i="9"/>
  <c r="E10" i="9"/>
  <c r="M10" i="9" s="1"/>
  <c r="L9" i="9"/>
  <c r="E9" i="9"/>
  <c r="L8" i="9"/>
  <c r="E8" i="9"/>
  <c r="G8" i="9" s="1"/>
  <c r="L7" i="9"/>
  <c r="E7" i="9"/>
  <c r="G7" i="9" s="1"/>
  <c r="H116" i="8"/>
  <c r="F116" i="8"/>
  <c r="H115" i="8"/>
  <c r="F115" i="8"/>
  <c r="F114" i="8"/>
  <c r="N114" i="8" s="1"/>
  <c r="J113" i="8"/>
  <c r="N113" i="8" s="1"/>
  <c r="J112" i="8"/>
  <c r="H112" i="8"/>
  <c r="G9" i="8"/>
  <c r="E14" i="7"/>
  <c r="H24" i="6"/>
  <c r="F24" i="6"/>
  <c r="G24" i="6" s="1"/>
  <c r="H22" i="6"/>
  <c r="F22" i="6"/>
  <c r="G22" i="6" s="1"/>
  <c r="H14" i="6"/>
  <c r="F14" i="6"/>
  <c r="G14" i="6" s="1"/>
  <c r="H13" i="6"/>
  <c r="F13" i="6"/>
  <c r="G13" i="6" s="1"/>
  <c r="H11" i="6"/>
  <c r="F11" i="6"/>
  <c r="G11" i="6" s="1"/>
  <c r="H10" i="6"/>
  <c r="F10" i="6"/>
  <c r="G10" i="6" s="1"/>
  <c r="K5" i="5"/>
  <c r="F44" i="4"/>
  <c r="T41" i="4"/>
  <c r="L41" i="4"/>
  <c r="AS35" i="4"/>
  <c r="AP35" i="4"/>
  <c r="AN35" i="4"/>
  <c r="AN41" i="4" s="1"/>
  <c r="AK35" i="4"/>
  <c r="AH35" i="4"/>
  <c r="AG35" i="4"/>
  <c r="AG41" i="4" s="1"/>
  <c r="AF35" i="4"/>
  <c r="Z35" i="4"/>
  <c r="Y35" i="4"/>
  <c r="W35" i="4"/>
  <c r="V35" i="4"/>
  <c r="T35" i="4"/>
  <c r="S35" i="4"/>
  <c r="L35" i="4"/>
  <c r="J35" i="4"/>
  <c r="I35" i="4"/>
  <c r="H35" i="4"/>
  <c r="G35" i="4"/>
  <c r="F35" i="4"/>
  <c r="AT31" i="4"/>
  <c r="AS31" i="4"/>
  <c r="AR31" i="4"/>
  <c r="AQ31" i="4"/>
  <c r="AP31" i="4"/>
  <c r="AO31" i="4"/>
  <c r="AM31" i="4"/>
  <c r="AL31" i="4"/>
  <c r="AK31" i="4"/>
  <c r="AJ31" i="4"/>
  <c r="AI31" i="4"/>
  <c r="AH31" i="4"/>
  <c r="AF31" i="4"/>
  <c r="AE31" i="4"/>
  <c r="AD31" i="4"/>
  <c r="AC31" i="4"/>
  <c r="AC35" i="4" s="1"/>
  <c r="AB31" i="4"/>
  <c r="AA31" i="4"/>
  <c r="AA35" i="4" s="1"/>
  <c r="Y31" i="4"/>
  <c r="X31" i="4"/>
  <c r="W31" i="4"/>
  <c r="V31" i="4"/>
  <c r="U31" i="4"/>
  <c r="T31" i="4"/>
  <c r="R31" i="4"/>
  <c r="Q31" i="4"/>
  <c r="P31" i="4"/>
  <c r="O31" i="4"/>
  <c r="N31" i="4"/>
  <c r="M31" i="4"/>
  <c r="M35" i="4" s="1"/>
  <c r="M41" i="4" s="1"/>
  <c r="K31" i="4"/>
  <c r="J31" i="4"/>
  <c r="I31" i="4"/>
  <c r="H31" i="4"/>
  <c r="G31" i="4"/>
  <c r="F31" i="4"/>
  <c r="AU31" i="4" s="1"/>
  <c r="AT30" i="4"/>
  <c r="AS30" i="4"/>
  <c r="AR30" i="4"/>
  <c r="AR35" i="4" s="1"/>
  <c r="AQ30" i="4"/>
  <c r="AP30" i="4"/>
  <c r="AO30" i="4"/>
  <c r="AO35" i="4" s="1"/>
  <c r="AM30" i="4"/>
  <c r="AM35" i="4" s="1"/>
  <c r="AL30" i="4"/>
  <c r="AL35" i="4" s="1"/>
  <c r="AK30" i="4"/>
  <c r="AJ30" i="4"/>
  <c r="AJ35" i="4" s="1"/>
  <c r="AI30" i="4"/>
  <c r="AI35" i="4" s="1"/>
  <c r="AH30" i="4"/>
  <c r="AF30" i="4"/>
  <c r="AE30" i="4"/>
  <c r="AD30" i="4"/>
  <c r="AC30" i="4"/>
  <c r="AB30" i="4"/>
  <c r="Y30" i="4"/>
  <c r="X30" i="4"/>
  <c r="X35" i="4" s="1"/>
  <c r="W30" i="4"/>
  <c r="V30" i="4"/>
  <c r="U30" i="4"/>
  <c r="U35" i="4" s="1"/>
  <c r="T30" i="4"/>
  <c r="R30" i="4"/>
  <c r="R35" i="4" s="1"/>
  <c r="Q30" i="4"/>
  <c r="Q35" i="4" s="1"/>
  <c r="P30" i="4"/>
  <c r="P35" i="4" s="1"/>
  <c r="O30" i="4"/>
  <c r="O35" i="4" s="1"/>
  <c r="N30" i="4"/>
  <c r="M30" i="4"/>
  <c r="K30" i="4"/>
  <c r="J30" i="4"/>
  <c r="I30" i="4"/>
  <c r="H30" i="4"/>
  <c r="G30" i="4"/>
  <c r="F30" i="4"/>
  <c r="AN22" i="4"/>
  <c r="AG22" i="4"/>
  <c r="Z22" i="4"/>
  <c r="W22" i="4"/>
  <c r="U22" i="4"/>
  <c r="T22" i="4"/>
  <c r="S22" i="4"/>
  <c r="R22" i="4"/>
  <c r="L22" i="4"/>
  <c r="AT18" i="4"/>
  <c r="AS18" i="4"/>
  <c r="AR18" i="4"/>
  <c r="AQ18" i="4"/>
  <c r="AP18" i="4"/>
  <c r="AO18" i="4"/>
  <c r="AM18" i="4"/>
  <c r="AL18" i="4"/>
  <c r="AK18" i="4"/>
  <c r="AJ18" i="4"/>
  <c r="AI18" i="4"/>
  <c r="AH18" i="4"/>
  <c r="AB18" i="4"/>
  <c r="AA18" i="4"/>
  <c r="Y18" i="4"/>
  <c r="X18" i="4"/>
  <c r="W18" i="4"/>
  <c r="V18" i="4"/>
  <c r="U18" i="4"/>
  <c r="T18" i="4"/>
  <c r="R18" i="4"/>
  <c r="Q18" i="4"/>
  <c r="P18" i="4"/>
  <c r="O18" i="4"/>
  <c r="N18" i="4"/>
  <c r="M18" i="4"/>
  <c r="K18" i="4"/>
  <c r="J18" i="4"/>
  <c r="I18" i="4"/>
  <c r="H18" i="4"/>
  <c r="G18" i="4"/>
  <c r="F18" i="4"/>
  <c r="AU18" i="4" s="1"/>
  <c r="AT17" i="4"/>
  <c r="AS17" i="4"/>
  <c r="AR17" i="4"/>
  <c r="AQ17" i="4"/>
  <c r="AP17" i="4"/>
  <c r="AO17" i="4"/>
  <c r="AM17" i="4"/>
  <c r="AL17" i="4"/>
  <c r="AK17" i="4"/>
  <c r="AJ17" i="4"/>
  <c r="AI17" i="4"/>
  <c r="AH17" i="4"/>
  <c r="AB17" i="4"/>
  <c r="AA17" i="4"/>
  <c r="Y17" i="4"/>
  <c r="X17" i="4"/>
  <c r="W17" i="4"/>
  <c r="V17" i="4"/>
  <c r="U17" i="4"/>
  <c r="T17" i="4"/>
  <c r="R17" i="4"/>
  <c r="Q17" i="4"/>
  <c r="P17" i="4"/>
  <c r="O17" i="4"/>
  <c r="N17" i="4"/>
  <c r="M17" i="4"/>
  <c r="K17" i="4"/>
  <c r="J17" i="4"/>
  <c r="I17" i="4"/>
  <c r="H17" i="4"/>
  <c r="G17" i="4"/>
  <c r="F17" i="4"/>
  <c r="AU17" i="4" s="1"/>
  <c r="AT16" i="4"/>
  <c r="AS16" i="4"/>
  <c r="AR16" i="4"/>
  <c r="AQ16" i="4"/>
  <c r="AP16" i="4"/>
  <c r="AP22" i="4" s="1"/>
  <c r="AO16" i="4"/>
  <c r="AK16" i="4"/>
  <c r="AF16" i="4"/>
  <c r="AC16" i="4"/>
  <c r="AB16" i="4"/>
  <c r="Y16" i="4"/>
  <c r="X16" i="4"/>
  <c r="W16" i="4"/>
  <c r="V16" i="4"/>
  <c r="V22" i="4" s="1"/>
  <c r="V41" i="4" s="1"/>
  <c r="U16" i="4"/>
  <c r="T16" i="4"/>
  <c r="R16" i="4"/>
  <c r="Q16" i="4"/>
  <c r="P16" i="4"/>
  <c r="O16" i="4"/>
  <c r="N16" i="4"/>
  <c r="M16" i="4"/>
  <c r="K16" i="4"/>
  <c r="J16" i="4"/>
  <c r="I16" i="4"/>
  <c r="H16" i="4"/>
  <c r="G16" i="4"/>
  <c r="F16" i="4"/>
  <c r="AT15" i="4"/>
  <c r="AS15" i="4"/>
  <c r="AR15" i="4"/>
  <c r="AQ15" i="4"/>
  <c r="AP15" i="4"/>
  <c r="AO15" i="4"/>
  <c r="AM15" i="4"/>
  <c r="AL15" i="4"/>
  <c r="AK15" i="4"/>
  <c r="AJ15" i="4"/>
  <c r="AI15" i="4"/>
  <c r="AH15" i="4"/>
  <c r="AF15" i="4"/>
  <c r="AE15" i="4"/>
  <c r="AD15" i="4"/>
  <c r="AC15" i="4"/>
  <c r="AB15" i="4"/>
  <c r="AA15" i="4"/>
  <c r="Y15" i="4"/>
  <c r="X15" i="4"/>
  <c r="W15" i="4"/>
  <c r="V15" i="4"/>
  <c r="U15" i="4"/>
  <c r="T15" i="4"/>
  <c r="R15" i="4"/>
  <c r="Q15" i="4"/>
  <c r="P15" i="4"/>
  <c r="O15" i="4"/>
  <c r="N15" i="4"/>
  <c r="M15" i="4"/>
  <c r="K15" i="4"/>
  <c r="J15" i="4"/>
  <c r="I15" i="4"/>
  <c r="H15" i="4"/>
  <c r="G15" i="4"/>
  <c r="F15" i="4"/>
  <c r="AT14" i="4"/>
  <c r="AS14" i="4"/>
  <c r="AR14" i="4"/>
  <c r="AQ14" i="4"/>
  <c r="AP14" i="4"/>
  <c r="AO14" i="4"/>
  <c r="AM14" i="4"/>
  <c r="AL14" i="4"/>
  <c r="AK14" i="4"/>
  <c r="AJ14" i="4"/>
  <c r="AI14" i="4"/>
  <c r="AH14" i="4"/>
  <c r="AF14" i="4"/>
  <c r="AE14" i="4"/>
  <c r="AD14" i="4"/>
  <c r="AC14" i="4"/>
  <c r="AB14" i="4"/>
  <c r="AA14" i="4"/>
  <c r="Y14" i="4"/>
  <c r="X14" i="4"/>
  <c r="W14" i="4"/>
  <c r="V14" i="4"/>
  <c r="U14" i="4"/>
  <c r="T14" i="4"/>
  <c r="R14" i="4"/>
  <c r="Q14" i="4"/>
  <c r="P14" i="4"/>
  <c r="O14" i="4"/>
  <c r="N14" i="4"/>
  <c r="M14" i="4"/>
  <c r="AT10" i="4"/>
  <c r="AT22" i="4" s="1"/>
  <c r="AS10" i="4"/>
  <c r="AR10" i="4"/>
  <c r="AQ10" i="4"/>
  <c r="AP10" i="4"/>
  <c r="AO10" i="4"/>
  <c r="AM10" i="4"/>
  <c r="AL10" i="4"/>
  <c r="AK10" i="4"/>
  <c r="AJ10" i="4"/>
  <c r="AI10" i="4"/>
  <c r="AH10" i="4"/>
  <c r="AF10" i="4"/>
  <c r="AE10" i="4"/>
  <c r="AD10" i="4"/>
  <c r="AC10" i="4"/>
  <c r="AB10" i="4"/>
  <c r="AA10" i="4"/>
  <c r="Y10" i="4"/>
  <c r="X10" i="4"/>
  <c r="W10" i="4"/>
  <c r="V10" i="4"/>
  <c r="U10" i="4"/>
  <c r="T10" i="4"/>
  <c r="R10" i="4"/>
  <c r="Q10" i="4"/>
  <c r="P10" i="4"/>
  <c r="O10" i="4"/>
  <c r="N10" i="4"/>
  <c r="M10" i="4"/>
  <c r="K10" i="4"/>
  <c r="J10" i="4"/>
  <c r="I10" i="4"/>
  <c r="H10" i="4"/>
  <c r="G10" i="4"/>
  <c r="AT9" i="4"/>
  <c r="AS9" i="4"/>
  <c r="AR9" i="4"/>
  <c r="AQ9" i="4"/>
  <c r="AP9" i="4"/>
  <c r="AO9" i="4"/>
  <c r="AM9" i="4"/>
  <c r="AL9" i="4"/>
  <c r="AK9" i="4"/>
  <c r="AJ9" i="4"/>
  <c r="AI9" i="4"/>
  <c r="AH9" i="4"/>
  <c r="AF9" i="4"/>
  <c r="AE9" i="4"/>
  <c r="AD9" i="4"/>
  <c r="AC9" i="4"/>
  <c r="AC22" i="4" s="1"/>
  <c r="AB9" i="4"/>
  <c r="Y9" i="4"/>
  <c r="X9" i="4"/>
  <c r="W9" i="4"/>
  <c r="V9" i="4"/>
  <c r="U9" i="4"/>
  <c r="T9" i="4"/>
  <c r="R9" i="4"/>
  <c r="Q9" i="4"/>
  <c r="P9" i="4"/>
  <c r="O9" i="4"/>
  <c r="N9" i="4"/>
  <c r="M9" i="4"/>
  <c r="M22" i="4" s="1"/>
  <c r="K9" i="4"/>
  <c r="J9" i="4"/>
  <c r="I9" i="4"/>
  <c r="H9" i="4"/>
  <c r="G9" i="4"/>
  <c r="AM21" i="3"/>
  <c r="AF21" i="3"/>
  <c r="Y21" i="3"/>
  <c r="R21" i="3"/>
  <c r="K21" i="3"/>
  <c r="E21" i="3"/>
  <c r="F14" i="4" s="1"/>
  <c r="R11" i="3"/>
  <c r="K11" i="3"/>
  <c r="D10" i="3"/>
  <c r="F10" i="3" s="1"/>
  <c r="D9" i="3"/>
  <c r="F9" i="3" s="1"/>
  <c r="C65" i="2"/>
  <c r="C64" i="2"/>
  <c r="D7" i="3" s="1"/>
  <c r="F7" i="3" s="1"/>
  <c r="C61" i="2"/>
  <c r="C60" i="2"/>
  <c r="C59" i="2"/>
  <c r="C54" i="2"/>
  <c r="C53" i="2"/>
  <c r="C51" i="2"/>
  <c r="C50" i="2"/>
  <c r="C49" i="2"/>
  <c r="C48" i="2"/>
  <c r="C47" i="2"/>
  <c r="C33" i="2"/>
  <c r="C58" i="2" s="1"/>
  <c r="C23" i="2"/>
  <c r="C18" i="2"/>
  <c r="C28" i="2" s="1"/>
  <c r="C16" i="2"/>
  <c r="C15" i="2"/>
  <c r="C13" i="2"/>
  <c r="C14" i="2" s="1"/>
  <c r="C6" i="2"/>
  <c r="K36" i="12" l="1"/>
  <c r="G7" i="12"/>
  <c r="K18" i="12"/>
  <c r="K47" i="12"/>
  <c r="L7" i="12"/>
  <c r="I40" i="12"/>
  <c r="K74" i="8"/>
  <c r="G74" i="8"/>
  <c r="M74" i="8"/>
  <c r="H64" i="8"/>
  <c r="I64" i="8" s="1"/>
  <c r="I74" i="8"/>
  <c r="I17" i="8"/>
  <c r="G64" i="8"/>
  <c r="M73" i="8"/>
  <c r="K73" i="8"/>
  <c r="I73" i="8"/>
  <c r="G73" i="8"/>
  <c r="I12" i="8"/>
  <c r="J64" i="8"/>
  <c r="K64" i="8" s="1"/>
  <c r="I72" i="8"/>
  <c r="G72" i="8"/>
  <c r="I71" i="8"/>
  <c r="K76" i="8"/>
  <c r="K71" i="8"/>
  <c r="N11" i="8"/>
  <c r="J25" i="12"/>
  <c r="L25" i="12" s="1"/>
  <c r="M25" i="12" s="1"/>
  <c r="J31" i="12"/>
  <c r="L31" i="12" s="1"/>
  <c r="M31" i="12" s="1"/>
  <c r="J38" i="12"/>
  <c r="L38" i="12" s="1"/>
  <c r="M38" i="12" s="1"/>
  <c r="J32" i="12"/>
  <c r="L32" i="12" s="1"/>
  <c r="M32" i="12" s="1"/>
  <c r="K23" i="12"/>
  <c r="J17" i="12"/>
  <c r="L17" i="12" s="1"/>
  <c r="M17" i="12" s="1"/>
  <c r="J22" i="12"/>
  <c r="L22" i="12" s="1"/>
  <c r="M22" i="12" s="1"/>
  <c r="J24" i="12"/>
  <c r="L24" i="12" s="1"/>
  <c r="M24" i="12" s="1"/>
  <c r="K35" i="12"/>
  <c r="K37" i="12"/>
  <c r="J33" i="12"/>
  <c r="L33" i="12" s="1"/>
  <c r="M33" i="12" s="1"/>
  <c r="K14" i="12"/>
  <c r="L14" i="12"/>
  <c r="M14" i="12" s="1"/>
  <c r="K15" i="12"/>
  <c r="L15" i="12"/>
  <c r="M15" i="12" s="1"/>
  <c r="J19" i="12"/>
  <c r="L19" i="12" s="1"/>
  <c r="M19" i="12" s="1"/>
  <c r="J16" i="12"/>
  <c r="L16" i="12" s="1"/>
  <c r="M16" i="12" s="1"/>
  <c r="J21" i="12"/>
  <c r="L21" i="12" s="1"/>
  <c r="M21" i="12" s="1"/>
  <c r="J118" i="8"/>
  <c r="I50" i="12"/>
  <c r="M50" i="12"/>
  <c r="K50" i="12"/>
  <c r="K48" i="12"/>
  <c r="M48" i="12"/>
  <c r="I48" i="12"/>
  <c r="G48" i="12"/>
  <c r="K67" i="11"/>
  <c r="I92" i="11"/>
  <c r="M92" i="11"/>
  <c r="G9" i="11"/>
  <c r="K9" i="11"/>
  <c r="M9" i="11"/>
  <c r="M63" i="11"/>
  <c r="M39" i="11"/>
  <c r="M57" i="9"/>
  <c r="K56" i="11"/>
  <c r="M85" i="11"/>
  <c r="K69" i="11"/>
  <c r="M47" i="9"/>
  <c r="K57" i="9"/>
  <c r="I56" i="11"/>
  <c r="M18" i="9"/>
  <c r="M47" i="11"/>
  <c r="M23" i="11"/>
  <c r="G17" i="11"/>
  <c r="G40" i="11"/>
  <c r="J40" i="11" s="1"/>
  <c r="K40" i="11" s="1"/>
  <c r="M14" i="10"/>
  <c r="G15" i="10"/>
  <c r="J15" i="10" s="1"/>
  <c r="K15" i="10" s="1"/>
  <c r="K17" i="11"/>
  <c r="M31" i="11"/>
  <c r="M40" i="11"/>
  <c r="M64" i="11"/>
  <c r="I70" i="11"/>
  <c r="M86" i="11"/>
  <c r="I15" i="10"/>
  <c r="M70" i="11"/>
  <c r="M17" i="11"/>
  <c r="M87" i="11"/>
  <c r="M58" i="11"/>
  <c r="I12" i="11"/>
  <c r="K66" i="11"/>
  <c r="M71" i="11"/>
  <c r="M17" i="9"/>
  <c r="M11" i="10"/>
  <c r="K53" i="11"/>
  <c r="M66" i="11"/>
  <c r="I69" i="9"/>
  <c r="I27" i="11"/>
  <c r="K18" i="9"/>
  <c r="M27" i="11"/>
  <c r="I67" i="11"/>
  <c r="G92" i="11"/>
  <c r="J92" i="11" s="1"/>
  <c r="K92" i="11" s="1"/>
  <c r="E116" i="8"/>
  <c r="G116" i="8" s="1"/>
  <c r="G12" i="9"/>
  <c r="I38" i="11"/>
  <c r="M74" i="11"/>
  <c r="K7" i="9"/>
  <c r="I86" i="11"/>
  <c r="M85" i="9"/>
  <c r="M29" i="11"/>
  <c r="M38" i="11"/>
  <c r="M55" i="11"/>
  <c r="G14" i="5"/>
  <c r="Q14" i="5" s="1"/>
  <c r="F63" i="5"/>
  <c r="F65" i="5" s="1"/>
  <c r="E57" i="5"/>
  <c r="G57" i="5" s="1"/>
  <c r="P57" i="5" s="1"/>
  <c r="E52" i="5"/>
  <c r="G52" i="5" s="1"/>
  <c r="O52" i="5" s="1"/>
  <c r="E56" i="5"/>
  <c r="G56" i="5" s="1"/>
  <c r="O56" i="5" s="1"/>
  <c r="E55" i="5"/>
  <c r="G55" i="5" s="1"/>
  <c r="O55" i="5" s="1"/>
  <c r="K63" i="5"/>
  <c r="L63" i="5"/>
  <c r="L69" i="5" s="1"/>
  <c r="M63" i="5"/>
  <c r="M69" i="5" s="1"/>
  <c r="E47" i="5"/>
  <c r="G47" i="5" s="1"/>
  <c r="N47" i="5" s="1"/>
  <c r="E51" i="5"/>
  <c r="G51" i="5" s="1"/>
  <c r="P51" i="5" s="1"/>
  <c r="E50" i="5"/>
  <c r="G50" i="5" s="1"/>
  <c r="P50" i="5" s="1"/>
  <c r="E46" i="5"/>
  <c r="G46" i="5" s="1"/>
  <c r="N46" i="5" s="1"/>
  <c r="E44" i="5"/>
  <c r="G44" i="5" s="1"/>
  <c r="P44" i="5" s="1"/>
  <c r="E43" i="5"/>
  <c r="G43" i="5" s="1"/>
  <c r="P43" i="5" s="1"/>
  <c r="E7" i="5"/>
  <c r="E39" i="5"/>
  <c r="G39" i="5" s="1"/>
  <c r="N39" i="5" s="1"/>
  <c r="E38" i="5"/>
  <c r="G38" i="5" s="1"/>
  <c r="N38" i="5" s="1"/>
  <c r="E35" i="5"/>
  <c r="G35" i="5" s="1"/>
  <c r="N35" i="5" s="1"/>
  <c r="M86" i="9"/>
  <c r="K12" i="10"/>
  <c r="I42" i="9"/>
  <c r="I71" i="9"/>
  <c r="M12" i="10"/>
  <c r="K12" i="11"/>
  <c r="M21" i="11"/>
  <c r="M61" i="11"/>
  <c r="M77" i="11"/>
  <c r="I27" i="9"/>
  <c r="I36" i="9"/>
  <c r="M51" i="9"/>
  <c r="M12" i="11"/>
  <c r="G18" i="11"/>
  <c r="M51" i="11"/>
  <c r="M56" i="11"/>
  <c r="M67" i="11"/>
  <c r="M72" i="11"/>
  <c r="M42" i="9"/>
  <c r="K66" i="9"/>
  <c r="M71" i="9"/>
  <c r="I10" i="10"/>
  <c r="M13" i="10"/>
  <c r="I18" i="11"/>
  <c r="M22" i="11"/>
  <c r="G28" i="11"/>
  <c r="J28" i="11" s="1"/>
  <c r="K28" i="11" s="1"/>
  <c r="M42" i="11"/>
  <c r="M36" i="9"/>
  <c r="I88" i="9"/>
  <c r="K10" i="10"/>
  <c r="M88" i="11"/>
  <c r="I105" i="11"/>
  <c r="M18" i="11"/>
  <c r="I22" i="9"/>
  <c r="K67" i="9"/>
  <c r="M10" i="10"/>
  <c r="M28" i="11"/>
  <c r="G53" i="11"/>
  <c r="G58" i="11"/>
  <c r="G69" i="11"/>
  <c r="G74" i="11"/>
  <c r="I47" i="9"/>
  <c r="M67" i="9"/>
  <c r="M14" i="11"/>
  <c r="M24" i="11"/>
  <c r="K58" i="11"/>
  <c r="K74" i="11"/>
  <c r="M15" i="11"/>
  <c r="G20" i="11"/>
  <c r="G25" i="11"/>
  <c r="J25" i="11" s="1"/>
  <c r="K25" i="11" s="1"/>
  <c r="M53" i="11"/>
  <c r="M69" i="11"/>
  <c r="M23" i="9"/>
  <c r="M30" i="9"/>
  <c r="I39" i="9"/>
  <c r="I55" i="9"/>
  <c r="K9" i="10"/>
  <c r="I20" i="11"/>
  <c r="M48" i="11"/>
  <c r="M59" i="11"/>
  <c r="M75" i="11"/>
  <c r="K7" i="11"/>
  <c r="K21" i="11"/>
  <c r="K61" i="11"/>
  <c r="I30" i="9"/>
  <c r="M61" i="9"/>
  <c r="I9" i="10"/>
  <c r="K10" i="11"/>
  <c r="M39" i="9"/>
  <c r="M10" i="11"/>
  <c r="M55" i="9"/>
  <c r="K69" i="9"/>
  <c r="M9" i="10"/>
  <c r="M20" i="11"/>
  <c r="M25" i="11"/>
  <c r="M49" i="11"/>
  <c r="G66" i="11"/>
  <c r="K70" i="11"/>
  <c r="G12" i="10"/>
  <c r="G7" i="11"/>
  <c r="G21" i="11"/>
  <c r="G50" i="11"/>
  <c r="G61" i="11"/>
  <c r="G77" i="11"/>
  <c r="J77" i="11" s="1"/>
  <c r="J94" i="11" s="1"/>
  <c r="K94" i="11" s="1"/>
  <c r="K50" i="9"/>
  <c r="M64" i="9"/>
  <c r="I77" i="9"/>
  <c r="I86" i="9"/>
  <c r="M32" i="11"/>
  <c r="K50" i="11"/>
  <c r="E29" i="5"/>
  <c r="G29" i="5" s="1"/>
  <c r="N29" i="5" s="1"/>
  <c r="E32" i="5"/>
  <c r="G32" i="5" s="1"/>
  <c r="N32" i="5" s="1"/>
  <c r="E31" i="5"/>
  <c r="G31" i="5" s="1"/>
  <c r="N31" i="5" s="1"/>
  <c r="E33" i="5"/>
  <c r="G33" i="5" s="1"/>
  <c r="N33" i="5" s="1"/>
  <c r="E28" i="5"/>
  <c r="G28" i="5" s="1"/>
  <c r="P28" i="5" s="1"/>
  <c r="N24" i="5"/>
  <c r="N13" i="5"/>
  <c r="N22" i="5"/>
  <c r="E21" i="5"/>
  <c r="G21" i="5" s="1"/>
  <c r="N21" i="5" s="1"/>
  <c r="E18" i="5"/>
  <c r="G18" i="5" s="1"/>
  <c r="O18" i="5" s="1"/>
  <c r="P8" i="5"/>
  <c r="E15" i="5"/>
  <c r="G15" i="5" s="1"/>
  <c r="O15" i="5" s="1"/>
  <c r="G5" i="5"/>
  <c r="T62" i="5"/>
  <c r="Q64" i="5"/>
  <c r="Q69" i="5" s="1"/>
  <c r="M36" i="11"/>
  <c r="M7" i="11"/>
  <c r="M37" i="11"/>
  <c r="I37" i="11"/>
  <c r="G37" i="11"/>
  <c r="J37" i="11" s="1"/>
  <c r="K37" i="11" s="1"/>
  <c r="I64" i="11"/>
  <c r="G78" i="11"/>
  <c r="J78" i="11" s="1"/>
  <c r="K78" i="11" s="1"/>
  <c r="K8" i="11"/>
  <c r="I8" i="11"/>
  <c r="G75" i="11"/>
  <c r="M78" i="11"/>
  <c r="G8" i="11"/>
  <c r="M50" i="11"/>
  <c r="K75" i="11"/>
  <c r="G84" i="11"/>
  <c r="J84" i="11" s="1"/>
  <c r="K84" i="11" s="1"/>
  <c r="G23" i="11"/>
  <c r="J23" i="11" s="1"/>
  <c r="K23" i="11" s="1"/>
  <c r="G41" i="11"/>
  <c r="J41" i="11" s="1"/>
  <c r="K41" i="11" s="1"/>
  <c r="I72" i="11"/>
  <c r="I80" i="11"/>
  <c r="G30" i="11"/>
  <c r="J30" i="11" s="1"/>
  <c r="K30" i="11" s="1"/>
  <c r="M54" i="11"/>
  <c r="M84" i="11"/>
  <c r="K51" i="11"/>
  <c r="M41" i="11"/>
  <c r="I62" i="11"/>
  <c r="K73" i="11"/>
  <c r="I73" i="11"/>
  <c r="I13" i="11"/>
  <c r="L105" i="11"/>
  <c r="M105" i="11" s="1"/>
  <c r="G10" i="11"/>
  <c r="K13" i="11"/>
  <c r="M30" i="11"/>
  <c r="G36" i="11"/>
  <c r="J36" i="11" s="1"/>
  <c r="K36" i="11" s="1"/>
  <c r="G39" i="11"/>
  <c r="J39" i="11" s="1"/>
  <c r="K39" i="11" s="1"/>
  <c r="I59" i="11"/>
  <c r="M62" i="11"/>
  <c r="M73" i="11"/>
  <c r="G82" i="11"/>
  <c r="J82" i="11" s="1"/>
  <c r="K82" i="11" s="1"/>
  <c r="G15" i="11"/>
  <c r="I15" i="11"/>
  <c r="K64" i="11"/>
  <c r="G72" i="11"/>
  <c r="G88" i="11"/>
  <c r="J88" i="11" s="1"/>
  <c r="K88" i="11" s="1"/>
  <c r="K65" i="11"/>
  <c r="I65" i="11"/>
  <c r="E34" i="11"/>
  <c r="E104" i="11" s="1"/>
  <c r="G51" i="11"/>
  <c r="G105" i="11"/>
  <c r="M65" i="11"/>
  <c r="M16" i="11"/>
  <c r="G48" i="11"/>
  <c r="G62" i="11"/>
  <c r="I48" i="11"/>
  <c r="G59" i="11"/>
  <c r="G73" i="11"/>
  <c r="E90" i="11"/>
  <c r="E101" i="11" s="1"/>
  <c r="L101" i="11"/>
  <c r="M13" i="11"/>
  <c r="L94" i="11"/>
  <c r="M94" i="11" s="1"/>
  <c r="I32" i="11"/>
  <c r="K57" i="11"/>
  <c r="I57" i="11"/>
  <c r="G54" i="11"/>
  <c r="I16" i="11"/>
  <c r="K16" i="11"/>
  <c r="G65" i="11"/>
  <c r="E45" i="11"/>
  <c r="I45" i="11" s="1"/>
  <c r="K49" i="11"/>
  <c r="I49" i="11"/>
  <c r="F107" i="11"/>
  <c r="M57" i="11"/>
  <c r="H94" i="11"/>
  <c r="I94" i="11" s="1"/>
  <c r="G26" i="11"/>
  <c r="J26" i="11" s="1"/>
  <c r="K26" i="11" s="1"/>
  <c r="I54" i="11"/>
  <c r="M26" i="11"/>
  <c r="G16" i="11"/>
  <c r="G49" i="11"/>
  <c r="L90" i="11"/>
  <c r="F94" i="11"/>
  <c r="G94" i="11" s="1"/>
  <c r="G11" i="11"/>
  <c r="G24" i="11"/>
  <c r="J24" i="11" s="1"/>
  <c r="K24" i="11" s="1"/>
  <c r="G52" i="11"/>
  <c r="G68" i="11"/>
  <c r="G87" i="11"/>
  <c r="J87" i="11" s="1"/>
  <c r="K87" i="11" s="1"/>
  <c r="I60" i="11"/>
  <c r="K11" i="11"/>
  <c r="G14" i="11"/>
  <c r="K19" i="11"/>
  <c r="G22" i="11"/>
  <c r="J22" i="11" s="1"/>
  <c r="I31" i="11"/>
  <c r="G42" i="11"/>
  <c r="J42" i="11" s="1"/>
  <c r="K42" i="11" s="1"/>
  <c r="G47" i="11"/>
  <c r="K52" i="11"/>
  <c r="G55" i="11"/>
  <c r="K60" i="11"/>
  <c r="G63" i="11"/>
  <c r="K68" i="11"/>
  <c r="G71" i="11"/>
  <c r="K76" i="11"/>
  <c r="M82" i="11"/>
  <c r="G85" i="11"/>
  <c r="J85" i="11" s="1"/>
  <c r="K85" i="11" s="1"/>
  <c r="I14" i="11"/>
  <c r="G29" i="11"/>
  <c r="J29" i="11" s="1"/>
  <c r="K29" i="11" s="1"/>
  <c r="I47" i="11"/>
  <c r="I55" i="11"/>
  <c r="I63" i="11"/>
  <c r="I71" i="11"/>
  <c r="E80" i="11"/>
  <c r="E102" i="11" s="1"/>
  <c r="K102" i="11" s="1"/>
  <c r="G19" i="11"/>
  <c r="M76" i="11"/>
  <c r="G60" i="11"/>
  <c r="G76" i="11"/>
  <c r="I11" i="11"/>
  <c r="I19" i="11"/>
  <c r="I52" i="11"/>
  <c r="I68" i="11"/>
  <c r="K7" i="10"/>
  <c r="I7" i="10"/>
  <c r="G7" i="10"/>
  <c r="L39" i="10"/>
  <c r="F42" i="10"/>
  <c r="G14" i="10"/>
  <c r="J14" i="10" s="1"/>
  <c r="K14" i="10" s="1"/>
  <c r="M7" i="10"/>
  <c r="K13" i="10"/>
  <c r="H42" i="10"/>
  <c r="J42" i="10"/>
  <c r="K11" i="10"/>
  <c r="L37" i="10"/>
  <c r="I13" i="10"/>
  <c r="G11" i="10"/>
  <c r="I37" i="10"/>
  <c r="AJ15" i="3"/>
  <c r="AJ21" i="3" s="1"/>
  <c r="K22" i="3"/>
  <c r="AI15" i="3"/>
  <c r="AI21" i="3" s="1"/>
  <c r="AP15" i="3"/>
  <c r="AP21" i="3" s="1"/>
  <c r="X15" i="3"/>
  <c r="X21" i="3" s="1"/>
  <c r="AB15" i="3"/>
  <c r="AB21" i="3" s="1"/>
  <c r="AD16" i="3"/>
  <c r="T15" i="3"/>
  <c r="T21" i="3" s="1"/>
  <c r="AO15" i="3"/>
  <c r="AO21" i="3" s="1"/>
  <c r="AQ15" i="3"/>
  <c r="AQ21" i="3" s="1"/>
  <c r="AE16" i="3"/>
  <c r="AL15" i="3"/>
  <c r="AL21" i="3" s="1"/>
  <c r="AN15" i="3"/>
  <c r="AN21" i="3" s="1"/>
  <c r="Z15" i="3"/>
  <c r="Z21" i="3" s="1"/>
  <c r="AR15" i="3"/>
  <c r="AR21" i="3" s="1"/>
  <c r="AA15" i="3"/>
  <c r="AA21" i="3" s="1"/>
  <c r="AD15" i="3"/>
  <c r="AG16" i="3"/>
  <c r="V15" i="3"/>
  <c r="V21" i="3" s="1"/>
  <c r="AS15" i="3"/>
  <c r="AS21" i="3" s="1"/>
  <c r="AE15" i="3"/>
  <c r="AC15" i="3"/>
  <c r="AC21" i="3" s="1"/>
  <c r="AG15" i="3"/>
  <c r="AK15" i="3"/>
  <c r="AK21" i="3" s="1"/>
  <c r="U15" i="3"/>
  <c r="U21" i="3" s="1"/>
  <c r="W15" i="3"/>
  <c r="W21" i="3" s="1"/>
  <c r="G29" i="9"/>
  <c r="J29" i="9" s="1"/>
  <c r="K29" i="9" s="1"/>
  <c r="G48" i="9"/>
  <c r="G20" i="9"/>
  <c r="K58" i="9"/>
  <c r="E114" i="8"/>
  <c r="K114" i="8" s="1"/>
  <c r="I20" i="9"/>
  <c r="I9" i="8"/>
  <c r="I65" i="9"/>
  <c r="M69" i="9"/>
  <c r="M88" i="9"/>
  <c r="G53" i="9"/>
  <c r="M48" i="9"/>
  <c r="K9" i="8"/>
  <c r="I21" i="9"/>
  <c r="G38" i="9"/>
  <c r="J38" i="9" s="1"/>
  <c r="K38" i="9" s="1"/>
  <c r="O9" i="8"/>
  <c r="K21" i="9"/>
  <c r="I38" i="9"/>
  <c r="E45" i="9"/>
  <c r="E103" i="9" s="1"/>
  <c r="K103" i="9" s="1"/>
  <c r="M60" i="9"/>
  <c r="M70" i="9"/>
  <c r="O8" i="8"/>
  <c r="M14" i="9"/>
  <c r="M20" i="9"/>
  <c r="M21" i="9"/>
  <c r="I12" i="9"/>
  <c r="G61" i="9"/>
  <c r="M76" i="9"/>
  <c r="M83" i="9"/>
  <c r="I92" i="9"/>
  <c r="G78" i="9"/>
  <c r="J78" i="9" s="1"/>
  <c r="K78" i="9" s="1"/>
  <c r="M29" i="9"/>
  <c r="I48" i="9"/>
  <c r="G18" i="9"/>
  <c r="J45" i="9"/>
  <c r="M50" i="9"/>
  <c r="I61" i="9"/>
  <c r="M92" i="9"/>
  <c r="M19" i="9"/>
  <c r="M9" i="9"/>
  <c r="M37" i="9"/>
  <c r="I7" i="9"/>
  <c r="M12" i="9"/>
  <c r="M22" i="9"/>
  <c r="M27" i="9"/>
  <c r="M66" i="9"/>
  <c r="M84" i="9"/>
  <c r="I14" i="9"/>
  <c r="M40" i="9"/>
  <c r="I23" i="9"/>
  <c r="I57" i="9"/>
  <c r="I67" i="9"/>
  <c r="I85" i="9"/>
  <c r="G37" i="9"/>
  <c r="J37" i="9" s="1"/>
  <c r="K37" i="9" s="1"/>
  <c r="M41" i="9"/>
  <c r="K53" i="9"/>
  <c r="M58" i="9"/>
  <c r="M63" i="9"/>
  <c r="K74" i="9"/>
  <c r="I63" i="9"/>
  <c r="M15" i="9"/>
  <c r="M53" i="9"/>
  <c r="M74" i="9"/>
  <c r="D15" i="3"/>
  <c r="Q41" i="4"/>
  <c r="I16" i="3"/>
  <c r="G16" i="3"/>
  <c r="J16" i="3"/>
  <c r="H16" i="3"/>
  <c r="D17" i="3"/>
  <c r="C73" i="2"/>
  <c r="D8" i="3"/>
  <c r="F8" i="3" s="1"/>
  <c r="N116" i="8"/>
  <c r="I28" i="9"/>
  <c r="G28" i="9"/>
  <c r="J28" i="9" s="1"/>
  <c r="K28" i="9" s="1"/>
  <c r="I32" i="9"/>
  <c r="AF41" i="4"/>
  <c r="M28" i="9"/>
  <c r="I8" i="9"/>
  <c r="AF22" i="4"/>
  <c r="E112" i="8"/>
  <c r="K8" i="9"/>
  <c r="K13" i="9"/>
  <c r="I13" i="9"/>
  <c r="G13" i="9"/>
  <c r="I49" i="9"/>
  <c r="G54" i="9"/>
  <c r="K59" i="9"/>
  <c r="I59" i="9"/>
  <c r="G59" i="9"/>
  <c r="N22" i="4"/>
  <c r="F22" i="4"/>
  <c r="F36" i="4"/>
  <c r="G36" i="4" s="1"/>
  <c r="H36" i="4" s="1"/>
  <c r="I36" i="4" s="1"/>
  <c r="J36" i="4" s="1"/>
  <c r="M8" i="9"/>
  <c r="G105" i="9"/>
  <c r="K105" i="9"/>
  <c r="O22" i="4"/>
  <c r="O41" i="4" s="1"/>
  <c r="F118" i="8"/>
  <c r="I9" i="9"/>
  <c r="G9" i="9"/>
  <c r="K9" i="9"/>
  <c r="L45" i="9"/>
  <c r="M59" i="9"/>
  <c r="K64" i="9"/>
  <c r="G64" i="9"/>
  <c r="I64" i="9"/>
  <c r="G92" i="9"/>
  <c r="J92" i="9" s="1"/>
  <c r="K92" i="9" s="1"/>
  <c r="K70" i="9"/>
  <c r="I70" i="9"/>
  <c r="K11" i="9"/>
  <c r="I11" i="9"/>
  <c r="G70" i="9"/>
  <c r="R22" i="3"/>
  <c r="N112" i="8"/>
  <c r="H118" i="8"/>
  <c r="M24" i="9"/>
  <c r="I24" i="9"/>
  <c r="G24" i="9"/>
  <c r="J24" i="9" s="1"/>
  <c r="K24" i="9" s="1"/>
  <c r="L103" i="9"/>
  <c r="F107" i="9"/>
  <c r="R41" i="4"/>
  <c r="G49" i="9"/>
  <c r="K54" i="9"/>
  <c r="M54" i="9"/>
  <c r="G84" i="9"/>
  <c r="J84" i="9" s="1"/>
  <c r="K84" i="9" s="1"/>
  <c r="AU10" i="4"/>
  <c r="P22" i="4"/>
  <c r="P41" i="4" s="1"/>
  <c r="AJ22" i="4"/>
  <c r="AJ41" i="4" s="1"/>
  <c r="AE22" i="4"/>
  <c r="AU15" i="4"/>
  <c r="S41" i="4"/>
  <c r="K15" i="9"/>
  <c r="I15" i="9"/>
  <c r="C70" i="2"/>
  <c r="K16" i="9"/>
  <c r="I16" i="9"/>
  <c r="L101" i="9"/>
  <c r="C71" i="2"/>
  <c r="D13" i="3"/>
  <c r="AS22" i="4"/>
  <c r="AS41" i="4" s="1"/>
  <c r="AC41" i="4"/>
  <c r="G16" i="9"/>
  <c r="D5" i="3"/>
  <c r="M16" i="9"/>
  <c r="G25" i="9"/>
  <c r="J25" i="9" s="1"/>
  <c r="K25" i="9" s="1"/>
  <c r="K62" i="9"/>
  <c r="I62" i="9"/>
  <c r="G62" i="9"/>
  <c r="AU9" i="4"/>
  <c r="E34" i="9"/>
  <c r="E104" i="9" s="1"/>
  <c r="I104" i="9" s="1"/>
  <c r="M62" i="9"/>
  <c r="Q22" i="4"/>
  <c r="AK22" i="4"/>
  <c r="AK41" i="4" s="1"/>
  <c r="AU30" i="4"/>
  <c r="X41" i="4"/>
  <c r="AR41" i="4"/>
  <c r="C72" i="2"/>
  <c r="AO22" i="4"/>
  <c r="J94" i="9"/>
  <c r="K94" i="9" s="1"/>
  <c r="J90" i="9"/>
  <c r="M13" i="9"/>
  <c r="M32" i="9"/>
  <c r="K68" i="9"/>
  <c r="I68" i="9"/>
  <c r="K72" i="9"/>
  <c r="I72" i="9"/>
  <c r="G72" i="9"/>
  <c r="K22" i="9"/>
  <c r="J34" i="9"/>
  <c r="G26" i="9"/>
  <c r="J26" i="9" s="1"/>
  <c r="K26" i="9" s="1"/>
  <c r="I26" i="9"/>
  <c r="M56" i="9"/>
  <c r="M68" i="9"/>
  <c r="I73" i="9"/>
  <c r="G73" i="9"/>
  <c r="L90" i="9"/>
  <c r="M87" i="9"/>
  <c r="I87" i="9"/>
  <c r="W41" i="4"/>
  <c r="AQ22" i="4"/>
  <c r="AD35" i="4"/>
  <c r="M25" i="9"/>
  <c r="K56" i="9"/>
  <c r="I56" i="9"/>
  <c r="G56" i="9"/>
  <c r="G68" i="9"/>
  <c r="K77" i="9"/>
  <c r="Y22" i="4"/>
  <c r="Y41" i="4" s="1"/>
  <c r="Z41" i="4"/>
  <c r="M52" i="9"/>
  <c r="K73" i="9"/>
  <c r="M77" i="9"/>
  <c r="G87" i="9"/>
  <c r="J87" i="9" s="1"/>
  <c r="K87" i="9" s="1"/>
  <c r="G94" i="9"/>
  <c r="E90" i="9"/>
  <c r="E101" i="9" s="1"/>
  <c r="K101" i="9" s="1"/>
  <c r="I82" i="9"/>
  <c r="G82" i="9"/>
  <c r="J82" i="9" s="1"/>
  <c r="K82" i="9" s="1"/>
  <c r="K8" i="8"/>
  <c r="I8" i="8"/>
  <c r="G8" i="8"/>
  <c r="K52" i="9"/>
  <c r="I52" i="9"/>
  <c r="M72" i="9"/>
  <c r="C62" i="2"/>
  <c r="AB22" i="4"/>
  <c r="N35" i="4"/>
  <c r="N41" i="4" s="1"/>
  <c r="M26" i="9"/>
  <c r="G65" i="9"/>
  <c r="M73" i="9"/>
  <c r="L34" i="9"/>
  <c r="M11" i="9"/>
  <c r="K19" i="9"/>
  <c r="I19" i="9"/>
  <c r="I51" i="9"/>
  <c r="G51" i="9"/>
  <c r="M105" i="9"/>
  <c r="AM16" i="4"/>
  <c r="AM22" i="4" s="1"/>
  <c r="AM41" i="4" s="1"/>
  <c r="AL16" i="4"/>
  <c r="AL22" i="4" s="1"/>
  <c r="AL41" i="4" s="1"/>
  <c r="AJ16" i="4"/>
  <c r="AI16" i="4"/>
  <c r="AI22" i="4" s="1"/>
  <c r="AI41" i="4" s="1"/>
  <c r="AH16" i="4"/>
  <c r="AH22" i="4" s="1"/>
  <c r="AH41" i="4" s="1"/>
  <c r="AE16" i="4"/>
  <c r="AD16" i="4"/>
  <c r="AD22" i="4" s="1"/>
  <c r="AA16" i="4"/>
  <c r="AQ35" i="4"/>
  <c r="AP41" i="4"/>
  <c r="M7" i="9"/>
  <c r="G19" i="9"/>
  <c r="G41" i="9"/>
  <c r="J41" i="9" s="1"/>
  <c r="K41" i="9" s="1"/>
  <c r="K51" i="9"/>
  <c r="M75" i="9"/>
  <c r="K75" i="9"/>
  <c r="I75" i="9"/>
  <c r="H94" i="9"/>
  <c r="I94" i="9" s="1"/>
  <c r="I105" i="9"/>
  <c r="I10" i="9"/>
  <c r="G10" i="9"/>
  <c r="X22" i="4"/>
  <c r="AR22" i="4"/>
  <c r="U41" i="4"/>
  <c r="AO41" i="4"/>
  <c r="K10" i="9"/>
  <c r="E80" i="9"/>
  <c r="AB35" i="4"/>
  <c r="AT35" i="4"/>
  <c r="AT41" i="4" s="1"/>
  <c r="M49" i="9"/>
  <c r="M65" i="9"/>
  <c r="AA22" i="4"/>
  <c r="AA41" i="4" s="1"/>
  <c r="I31" i="9"/>
  <c r="G31" i="9"/>
  <c r="J31" i="9" s="1"/>
  <c r="K31" i="9" s="1"/>
  <c r="H107" i="9"/>
  <c r="M78" i="9"/>
  <c r="K35" i="4"/>
  <c r="AU35" i="4" s="1"/>
  <c r="AE35" i="4"/>
  <c r="I17" i="9"/>
  <c r="G17" i="9"/>
  <c r="K60" i="9"/>
  <c r="I60" i="9"/>
  <c r="K76" i="9"/>
  <c r="I76" i="9"/>
  <c r="G14" i="9"/>
  <c r="G47" i="9"/>
  <c r="G55" i="9"/>
  <c r="G63" i="9"/>
  <c r="G71" i="9"/>
  <c r="M82" i="9"/>
  <c r="G40" i="9"/>
  <c r="J40" i="9" s="1"/>
  <c r="K40" i="9" s="1"/>
  <c r="G50" i="9"/>
  <c r="G58" i="9"/>
  <c r="G66" i="9"/>
  <c r="G74" i="9"/>
  <c r="G83" i="9"/>
  <c r="J83" i="9" s="1"/>
  <c r="K83" i="9" s="1"/>
  <c r="I45" i="9" l="1"/>
  <c r="F47" i="12"/>
  <c r="M7" i="12"/>
  <c r="K21" i="12"/>
  <c r="M76" i="8"/>
  <c r="N64" i="8"/>
  <c r="O64" i="8" s="1"/>
  <c r="O11" i="8"/>
  <c r="M77" i="8"/>
  <c r="G76" i="8"/>
  <c r="I76" i="8"/>
  <c r="K24" i="12"/>
  <c r="K22" i="12"/>
  <c r="K17" i="12"/>
  <c r="K32" i="12"/>
  <c r="K38" i="12"/>
  <c r="K31" i="12"/>
  <c r="K16" i="12"/>
  <c r="K19" i="12"/>
  <c r="J40" i="12"/>
  <c r="K40" i="12" s="1"/>
  <c r="K33" i="12"/>
  <c r="K25" i="12"/>
  <c r="O116" i="8"/>
  <c r="K116" i="8"/>
  <c r="K49" i="12"/>
  <c r="I49" i="12"/>
  <c r="G49" i="12"/>
  <c r="M49" i="12"/>
  <c r="E52" i="12"/>
  <c r="I116" i="8"/>
  <c r="G34" i="9"/>
  <c r="I90" i="11"/>
  <c r="K34" i="9"/>
  <c r="J90" i="11"/>
  <c r="K90" i="11" s="1"/>
  <c r="K37" i="10"/>
  <c r="K77" i="11"/>
  <c r="K45" i="9"/>
  <c r="P5" i="5"/>
  <c r="G7" i="5"/>
  <c r="P7" i="5" s="1"/>
  <c r="E48" i="5"/>
  <c r="G48" i="5" s="1"/>
  <c r="N48" i="5" s="1"/>
  <c r="E34" i="5"/>
  <c r="G34" i="5" s="1"/>
  <c r="N34" i="5" s="1"/>
  <c r="I114" i="8"/>
  <c r="M102" i="11"/>
  <c r="M80" i="11"/>
  <c r="G114" i="8"/>
  <c r="G80" i="11"/>
  <c r="I90" i="9"/>
  <c r="K104" i="11"/>
  <c r="M104" i="11"/>
  <c r="G101" i="11"/>
  <c r="E103" i="11"/>
  <c r="E107" i="11" s="1"/>
  <c r="G45" i="11"/>
  <c r="K101" i="11"/>
  <c r="M45" i="11"/>
  <c r="K22" i="11"/>
  <c r="J34" i="11"/>
  <c r="K34" i="11" s="1"/>
  <c r="J80" i="11"/>
  <c r="K80" i="11" s="1"/>
  <c r="J45" i="11"/>
  <c r="K45" i="11" s="1"/>
  <c r="L107" i="11"/>
  <c r="M101" i="11"/>
  <c r="G34" i="11"/>
  <c r="I102" i="11"/>
  <c r="G102" i="11"/>
  <c r="G90" i="11"/>
  <c r="I104" i="11"/>
  <c r="M90" i="11"/>
  <c r="I101" i="11"/>
  <c r="G104" i="11"/>
  <c r="I34" i="11"/>
  <c r="M34" i="11"/>
  <c r="L42" i="10"/>
  <c r="M37" i="10"/>
  <c r="K39" i="10"/>
  <c r="I39" i="10"/>
  <c r="M39" i="10"/>
  <c r="G37" i="10"/>
  <c r="G39" i="10"/>
  <c r="AG21" i="3"/>
  <c r="AD21" i="3"/>
  <c r="AT15" i="3"/>
  <c r="AE21" i="3"/>
  <c r="AT16" i="3"/>
  <c r="I34" i="9"/>
  <c r="M45" i="9"/>
  <c r="G103" i="9"/>
  <c r="O114" i="8"/>
  <c r="G45" i="9"/>
  <c r="M103" i="9"/>
  <c r="I103" i="9"/>
  <c r="G80" i="9"/>
  <c r="E102" i="9"/>
  <c r="E107" i="9" s="1"/>
  <c r="I107" i="9" s="1"/>
  <c r="I80" i="9"/>
  <c r="E113" i="8"/>
  <c r="G13" i="3"/>
  <c r="H13" i="3"/>
  <c r="J13" i="3"/>
  <c r="I13" i="3"/>
  <c r="N12" i="3"/>
  <c r="L12" i="3"/>
  <c r="J12" i="3"/>
  <c r="Q12" i="3"/>
  <c r="P12" i="3"/>
  <c r="O12" i="3"/>
  <c r="H12" i="3"/>
  <c r="G12" i="3"/>
  <c r="M12" i="3"/>
  <c r="M21" i="3" s="1"/>
  <c r="I12" i="3"/>
  <c r="AT9" i="3"/>
  <c r="G112" i="8"/>
  <c r="M104" i="9"/>
  <c r="K104" i="9"/>
  <c r="K112" i="8"/>
  <c r="AT14" i="3"/>
  <c r="G104" i="9"/>
  <c r="O64" i="5"/>
  <c r="O69" i="5" s="1"/>
  <c r="G101" i="9"/>
  <c r="AD41" i="4"/>
  <c r="E115" i="8"/>
  <c r="AT10" i="3"/>
  <c r="K36" i="4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F23" i="4"/>
  <c r="AU16" i="4"/>
  <c r="G90" i="9"/>
  <c r="M90" i="9"/>
  <c r="L107" i="9"/>
  <c r="M101" i="9"/>
  <c r="K90" i="9"/>
  <c r="D6" i="3"/>
  <c r="F6" i="3" s="1"/>
  <c r="O112" i="8"/>
  <c r="N118" i="8"/>
  <c r="AB41" i="4"/>
  <c r="AQ41" i="4"/>
  <c r="M34" i="9"/>
  <c r="I112" i="8"/>
  <c r="M80" i="9"/>
  <c r="K80" i="9"/>
  <c r="F41" i="4"/>
  <c r="AE41" i="4"/>
  <c r="L94" i="9"/>
  <c r="M94" i="9" s="1"/>
  <c r="I101" i="9"/>
  <c r="F52" i="12" l="1"/>
  <c r="G52" i="12" s="1"/>
  <c r="G47" i="12"/>
  <c r="L47" i="12"/>
  <c r="I52" i="12"/>
  <c r="K52" i="12"/>
  <c r="E42" i="10"/>
  <c r="I42" i="10" s="1"/>
  <c r="P64" i="5"/>
  <c r="P69" i="5" s="1"/>
  <c r="G64" i="5"/>
  <c r="G67" i="5" s="1"/>
  <c r="L108" i="11"/>
  <c r="M108" i="11" s="1"/>
  <c r="K107" i="11"/>
  <c r="I107" i="11"/>
  <c r="G107" i="11"/>
  <c r="I103" i="11"/>
  <c r="K103" i="11"/>
  <c r="G103" i="11"/>
  <c r="M103" i="11"/>
  <c r="M107" i="11"/>
  <c r="M40" i="10"/>
  <c r="K40" i="10"/>
  <c r="G40" i="10"/>
  <c r="I40" i="10"/>
  <c r="K38" i="10"/>
  <c r="I38" i="10"/>
  <c r="G38" i="10"/>
  <c r="M38" i="10"/>
  <c r="AT7" i="3"/>
  <c r="F11" i="3"/>
  <c r="F22" i="3" s="1"/>
  <c r="I21" i="3"/>
  <c r="J14" i="4" s="1"/>
  <c r="J22" i="4" s="1"/>
  <c r="J41" i="4" s="1"/>
  <c r="AT13" i="3"/>
  <c r="G21" i="3"/>
  <c r="H14" i="4" s="1"/>
  <c r="H22" i="4" s="1"/>
  <c r="H41" i="4" s="1"/>
  <c r="M107" i="9"/>
  <c r="F42" i="4"/>
  <c r="J11" i="3"/>
  <c r="I11" i="3"/>
  <c r="E11" i="3"/>
  <c r="E22" i="3" s="1"/>
  <c r="Q11" i="3"/>
  <c r="K115" i="8"/>
  <c r="O115" i="8"/>
  <c r="G115" i="8"/>
  <c r="I115" i="8"/>
  <c r="O21" i="3"/>
  <c r="L108" i="9"/>
  <c r="M108" i="9" s="1"/>
  <c r="K107" i="9"/>
  <c r="AT12" i="3"/>
  <c r="G107" i="9"/>
  <c r="AT8" i="3"/>
  <c r="L21" i="3"/>
  <c r="I113" i="8"/>
  <c r="G113" i="8"/>
  <c r="K113" i="8"/>
  <c r="O113" i="8"/>
  <c r="S21" i="3"/>
  <c r="H21" i="3"/>
  <c r="I14" i="4" s="1"/>
  <c r="I22" i="4" s="1"/>
  <c r="I41" i="4" s="1"/>
  <c r="AT17" i="3"/>
  <c r="P21" i="3"/>
  <c r="Q21" i="3"/>
  <c r="G14" i="4"/>
  <c r="N64" i="5"/>
  <c r="J21" i="3"/>
  <c r="K14" i="4" s="1"/>
  <c r="K22" i="4" s="1"/>
  <c r="K41" i="4" s="1"/>
  <c r="G102" i="9"/>
  <c r="I102" i="9"/>
  <c r="K102" i="9"/>
  <c r="M102" i="9"/>
  <c r="E118" i="8"/>
  <c r="O118" i="8" s="1"/>
  <c r="M47" i="12" l="1"/>
  <c r="L52" i="12"/>
  <c r="M42" i="10"/>
  <c r="L43" i="10"/>
  <c r="M43" i="10" s="1"/>
  <c r="K42" i="10"/>
  <c r="G42" i="10"/>
  <c r="Q22" i="3"/>
  <c r="H11" i="3"/>
  <c r="H22" i="3" s="1"/>
  <c r="AT6" i="3"/>
  <c r="G11" i="3"/>
  <c r="G22" i="3" s="1"/>
  <c r="I22" i="3"/>
  <c r="N21" i="3"/>
  <c r="AT21" i="3" s="1"/>
  <c r="N65" i="5"/>
  <c r="J22" i="3"/>
  <c r="AU14" i="4"/>
  <c r="G22" i="4"/>
  <c r="O11" i="3"/>
  <c r="O22" i="3" s="1"/>
  <c r="L11" i="3"/>
  <c r="L22" i="3" s="1"/>
  <c r="P11" i="3"/>
  <c r="P22" i="3" s="1"/>
  <c r="S11" i="3"/>
  <c r="S22" i="3" s="1"/>
  <c r="N119" i="8"/>
  <c r="O119" i="8" s="1"/>
  <c r="K118" i="8"/>
  <c r="G118" i="8"/>
  <c r="I118" i="8"/>
  <c r="M11" i="3"/>
  <c r="M22" i="3" s="1"/>
  <c r="N11" i="3"/>
  <c r="N22" i="3" s="1"/>
  <c r="AT5" i="3"/>
  <c r="L53" i="12" l="1"/>
  <c r="M53" i="12" s="1"/>
  <c r="M52" i="12"/>
  <c r="F69" i="5"/>
  <c r="G68" i="5"/>
  <c r="G69" i="5" s="1"/>
  <c r="H65" i="5"/>
  <c r="M65" i="5" s="1"/>
  <c r="AT20" i="3"/>
  <c r="G41" i="4"/>
  <c r="AU22" i="4"/>
  <c r="G23" i="4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U41" i="4" l="1"/>
  <c r="G42" i="4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Q42" i="4" s="1"/>
  <c r="AR42" i="4" s="1"/>
  <c r="AS42" i="4" s="1"/>
  <c r="AT42" i="4" s="1"/>
  <c r="AU42" i="4" l="1"/>
</calcChain>
</file>

<file path=xl/sharedStrings.xml><?xml version="1.0" encoding="utf-8"?>
<sst xmlns="http://schemas.openxmlformats.org/spreadsheetml/2006/main" count="1656" uniqueCount="311">
  <si>
    <t xml:space="preserve">ANÁLISIS DEL COSTO REAL DEL SALARIO </t>
  </si>
  <si>
    <t>DATOS DE ENTRADA</t>
  </si>
  <si>
    <t>SALARIO MINIMO MENSUAL VIGENTE 2025</t>
  </si>
  <si>
    <t>SUBSIDIO DE TRANSPORTE 2025</t>
  </si>
  <si>
    <t>DOTACIÓN 3 VECES AL AÑO</t>
  </si>
  <si>
    <t>ANÁLISIS DEL COSTO REAL DEL SALARIO</t>
  </si>
  <si>
    <t>FACTOR PRESTACIONAL &gt; 2 SMMLV</t>
  </si>
  <si>
    <t xml:space="preserve">CONCEPTO </t>
  </si>
  <si>
    <t>PORCENTAJE</t>
  </si>
  <si>
    <t>PRESTACIONES SOCIALES</t>
  </si>
  <si>
    <t xml:space="preserve">Cesantias </t>
  </si>
  <si>
    <t>Intereses a las cesantias</t>
  </si>
  <si>
    <t>Vacaciones</t>
  </si>
  <si>
    <t>Prima anual</t>
  </si>
  <si>
    <t>SEGURIDAD SOCIAL</t>
  </si>
  <si>
    <t>Fondo de pensiones (A.F.P)</t>
  </si>
  <si>
    <t>Medicina familiar (E.P.S)</t>
  </si>
  <si>
    <t>Riesgos Laborales (A.R.L)</t>
  </si>
  <si>
    <t>APORTE PARAFISCALES</t>
  </si>
  <si>
    <t>SENA</t>
  </si>
  <si>
    <t>ICBF</t>
  </si>
  <si>
    <t>Caja de compensación familiar</t>
  </si>
  <si>
    <t>PORCENTAJE PRESTACIONAL</t>
  </si>
  <si>
    <t>SEGURIDAD SOCIAL X MES</t>
  </si>
  <si>
    <t>SEGURIDAD SOCIAL X DÍA</t>
  </si>
  <si>
    <t>SALARIO SEMANAL NETO</t>
  </si>
  <si>
    <t>OFICIAL III</t>
  </si>
  <si>
    <t>OFICIAL II</t>
  </si>
  <si>
    <t>OFICIAL I</t>
  </si>
  <si>
    <t>PRÁCTICO</t>
  </si>
  <si>
    <t xml:space="preserve">AYUDANTE </t>
  </si>
  <si>
    <t>RESIDENTE DE OBRA</t>
  </si>
  <si>
    <t>PROFESIONAL SST</t>
  </si>
  <si>
    <t>SALARIO DIARIO NETO</t>
  </si>
  <si>
    <t xml:space="preserve">SALARIO DIARIO INCLUYENDO PRESTACIONES </t>
  </si>
  <si>
    <t>VALOR CUADRILLA POR DÍA</t>
  </si>
  <si>
    <t>CUADRILLA</t>
  </si>
  <si>
    <t>VALOR</t>
  </si>
  <si>
    <t>CUADRILLA 1: 1 Oficial II, 1 Oficial l y 1 Práctico</t>
  </si>
  <si>
    <t>CUADRILLA 2: 1 Oficial II, 2 Oficial l y 1 Práctico</t>
  </si>
  <si>
    <t>CUADRILLA 2: 2 Oficial II, 4 Oficial l y 1 Práctico</t>
  </si>
  <si>
    <t>CUADRILLA 5: 2 Oficial l y 1 Práctico</t>
  </si>
  <si>
    <t>LUNES</t>
  </si>
  <si>
    <t>MARTES</t>
  </si>
  <si>
    <t>MIÉRCOLES</t>
  </si>
  <si>
    <t>JUEVES</t>
  </si>
  <si>
    <t>VIERNES</t>
  </si>
  <si>
    <t>SÁBADO</t>
  </si>
  <si>
    <t>DOMINGO</t>
  </si>
  <si>
    <t>NOMBRE</t>
  </si>
  <si>
    <t>CARGO</t>
  </si>
  <si>
    <t>DEDICACIÓN</t>
  </si>
  <si>
    <t>SALARIO DÍA</t>
  </si>
  <si>
    <t>RENSO MONTOYA</t>
  </si>
  <si>
    <t>GERENTE</t>
  </si>
  <si>
    <t>FELIPE MONTOYA</t>
  </si>
  <si>
    <t>ALEXIS BETANCOURT</t>
  </si>
  <si>
    <t>RESIDENTE</t>
  </si>
  <si>
    <t>LISETH GONZÁLEZ</t>
  </si>
  <si>
    <t>PROF SST</t>
  </si>
  <si>
    <t>JONATHAN ARANGO</t>
  </si>
  <si>
    <t>WILLIAN BETANCOURT</t>
  </si>
  <si>
    <t>FLUJO DE CAJA - EDIFICIO HEBRÓN</t>
  </si>
  <si>
    <t>EGRESOS</t>
  </si>
  <si>
    <t>CONCEPTO</t>
  </si>
  <si>
    <t>COSTO INDIRECTOS</t>
  </si>
  <si>
    <t>OFICINA</t>
  </si>
  <si>
    <t>PAPELERIA</t>
  </si>
  <si>
    <t>NÓMINA ADMINISTRATIVOS</t>
  </si>
  <si>
    <t>COSTO DIRECTOS</t>
  </si>
  <si>
    <t>NÓMINA DE TRABAJADORES</t>
  </si>
  <si>
    <t>MATERIALES</t>
  </si>
  <si>
    <t>HERRAMIENTAS</t>
  </si>
  <si>
    <t>ALQUILER DE EQUIPOS</t>
  </si>
  <si>
    <t>ALQUILER DE EQUIPOS ALTURAS</t>
  </si>
  <si>
    <t>IMPREVISTOS</t>
  </si>
  <si>
    <t>TOTAL EGRESOS</t>
  </si>
  <si>
    <t>ACUMULADO DE EGRESOS</t>
  </si>
  <si>
    <t>INGRESOS</t>
  </si>
  <si>
    <t>ANTICIPO (INICIO DE OBRA)</t>
  </si>
  <si>
    <t>PRESTAMO FRESHOUSE 1</t>
  </si>
  <si>
    <t>PRESTAMO FRESHOUSE 2</t>
  </si>
  <si>
    <t>TOTAL INGRESOS</t>
  </si>
  <si>
    <t>ACUMULADO DE INGRESOS</t>
  </si>
  <si>
    <t>SALDOS</t>
  </si>
  <si>
    <t>TOTAL SALDO</t>
  </si>
  <si>
    <t>ACUMULADO DE SALDOS</t>
  </si>
  <si>
    <t>EDIFICIO HEBRÓN</t>
  </si>
  <si>
    <t>DIMENSIONES</t>
  </si>
  <si>
    <t>DESCUENTOS</t>
  </si>
  <si>
    <t>TORRE</t>
  </si>
  <si>
    <t>FACHADA</t>
  </si>
  <si>
    <t>SECCIÓN</t>
  </si>
  <si>
    <t>DESCRIPCIÓN</t>
  </si>
  <si>
    <t>ALTO</t>
  </si>
  <si>
    <t>ANCHO</t>
  </si>
  <si>
    <t>TOTAL
(M2)</t>
  </si>
  <si>
    <t>CANTIDAD</t>
  </si>
  <si>
    <t>CARTERAS
(ML)</t>
  </si>
  <si>
    <t>DILATACIÓN
(ML)</t>
  </si>
  <si>
    <t>CIELO RASO</t>
  </si>
  <si>
    <t>FRONTAL</t>
  </si>
  <si>
    <t>Muro con ventana (Blanco)</t>
  </si>
  <si>
    <t>Muro con ventana (Piedra)</t>
  </si>
  <si>
    <t>Muro con balcón (Blanco)</t>
  </si>
  <si>
    <t>Muro con balcón (Piedra)</t>
  </si>
  <si>
    <t>Muro interior balcón</t>
  </si>
  <si>
    <t>Cielo raso balcón</t>
  </si>
  <si>
    <t>Muro sin ventana (Colores)</t>
  </si>
  <si>
    <t>Muro con ventana (Colores)</t>
  </si>
  <si>
    <t>Antepechos con ventana (Blanco)</t>
  </si>
  <si>
    <t>Muro con reja metálica (Blanco)</t>
  </si>
  <si>
    <t>Cartera de colores</t>
  </si>
  <si>
    <t>Mampara de colores</t>
  </si>
  <si>
    <t>Muro sin ventana (Negro)</t>
  </si>
  <si>
    <t>Cartera negra</t>
  </si>
  <si>
    <t>POSTERIOR</t>
  </si>
  <si>
    <t>Antepechos con balcones (Blanco)</t>
  </si>
  <si>
    <t>Muro con balcón (Colores)</t>
  </si>
  <si>
    <t>Muro con balcón (Negro)</t>
  </si>
  <si>
    <t>Cielo raso balcones</t>
  </si>
  <si>
    <t>Muro sin ventanas (Negro)</t>
  </si>
  <si>
    <t>Muro con ventanas (Blanco)</t>
  </si>
  <si>
    <t>Muro sin ventana (Blanco)</t>
  </si>
  <si>
    <t>Muro con ventana (Negro)</t>
  </si>
  <si>
    <t>TOTAL M2 DE FACHADA SIN DESCUENTOS</t>
  </si>
  <si>
    <t>TOTAL M2 DE FACHADA CON DESCUENTOS</t>
  </si>
  <si>
    <t>PROYECTO EDIFICIO HEBRÓN</t>
  </si>
  <si>
    <t>LISTADO DE SECUENCIALIDAD</t>
  </si>
  <si>
    <t>Item</t>
  </si>
  <si>
    <t>Descripción</t>
  </si>
  <si>
    <t>UM</t>
  </si>
  <si>
    <t>Cantidad</t>
  </si>
  <si>
    <t>Rendiemiento</t>
  </si>
  <si>
    <t>Duración</t>
  </si>
  <si>
    <t>Duración en 
rend/min</t>
  </si>
  <si>
    <t>MANTENIMIENTO CULATAS EDIFICIO HEBRÓN</t>
  </si>
  <si>
    <t>1.1</t>
  </si>
  <si>
    <t>Reposición de revoques y empastado de superficie en fachada incluye aplicación de imprimante</t>
  </si>
  <si>
    <t>M2</t>
  </si>
  <si>
    <t>1.2</t>
  </si>
  <si>
    <t>Reparación de filos y carteras</t>
  </si>
  <si>
    <t>ML</t>
  </si>
  <si>
    <t>1.3</t>
  </si>
  <si>
    <t>Aplicación de graniplast en fachadas</t>
  </si>
  <si>
    <t>1.4</t>
  </si>
  <si>
    <t>Sellamiento de ventanas</t>
  </si>
  <si>
    <t>UND</t>
  </si>
  <si>
    <t>Acabado de pintura</t>
  </si>
  <si>
    <t>2.1</t>
  </si>
  <si>
    <t>2.2</t>
  </si>
  <si>
    <t>Aplicación de pintura en superficie de fachada</t>
  </si>
  <si>
    <t>Terminado / Limpieza</t>
  </si>
  <si>
    <t>Aseo general y retiro de material</t>
  </si>
  <si>
    <t>GLB</t>
  </si>
  <si>
    <t>Alistamiento de superficie</t>
  </si>
  <si>
    <t>LAVADO E INSPECCIÓN DE FACHADAS</t>
  </si>
  <si>
    <t>CANTIDAD EJECUTADA</t>
  </si>
  <si>
    <t>TOTAL EJECUTADO</t>
  </si>
  <si>
    <t>SEMANA 1</t>
  </si>
  <si>
    <t>SEMANA 2</t>
  </si>
  <si>
    <t>SEMANA 3</t>
  </si>
  <si>
    <t>BLOQUE</t>
  </si>
  <si>
    <t>%</t>
  </si>
  <si>
    <t>LATERAL DER</t>
  </si>
  <si>
    <t>LATERAL IZQ</t>
  </si>
  <si>
    <t>SÓTANO</t>
  </si>
  <si>
    <t>EDIFICIO VÉRTICE</t>
  </si>
  <si>
    <t xml:space="preserve">SEMANA 1 </t>
  </si>
  <si>
    <t>APLICACIÓN DE PINTURA EN SUPERFICIE DE FACHADA</t>
  </si>
  <si>
    <t>AUX GERENCIA</t>
  </si>
  <si>
    <t>GLORIA COLORADO</t>
  </si>
  <si>
    <t>SUPERVISOR</t>
  </si>
  <si>
    <t>DIEGO LÓPEZ</t>
  </si>
  <si>
    <t>ADMINIST</t>
  </si>
  <si>
    <t>BRAYAN MEJÍA</t>
  </si>
  <si>
    <t>CIPRIANO CARDENAS</t>
  </si>
  <si>
    <t>JUAN CARLOS</t>
  </si>
  <si>
    <t>JEISON PORTAL</t>
  </si>
  <si>
    <t>GREGORIO GONZÁLEZ</t>
  </si>
  <si>
    <t>DUBERNEY TORO</t>
  </si>
  <si>
    <t>EDIFICIO TORRE VERDE</t>
  </si>
  <si>
    <t>B</t>
  </si>
  <si>
    <t>ÁREA TOTAL
(NEGRO)</t>
  </si>
  <si>
    <t>ÁREA TOTAL
(BLANCO)</t>
  </si>
  <si>
    <t>ÁREA TOTAL
(VERDE)</t>
  </si>
  <si>
    <t>BANCO DE PINTURAS</t>
  </si>
  <si>
    <t>BLANCO</t>
  </si>
  <si>
    <t>NEGRO</t>
  </si>
  <si>
    <t>VERDE</t>
  </si>
  <si>
    <t>REN/M2</t>
  </si>
  <si>
    <t>Muro escaleras (Negro)</t>
  </si>
  <si>
    <t>Muro escaleras (Blanco)</t>
  </si>
  <si>
    <t>Cielo raso escaleras (X14)</t>
  </si>
  <si>
    <t>Antepecho poseta PF (Blanco) (X14)</t>
  </si>
  <si>
    <t>Muro con ventana (Verde)</t>
  </si>
  <si>
    <t>PINTUCO 
FILL</t>
  </si>
  <si>
    <t>SOUDAFLEX</t>
  </si>
  <si>
    <t>BANCO DE MATERIALES</t>
  </si>
  <si>
    <t>BLANCO
INTERIOR</t>
  </si>
  <si>
    <t>Placa de balcón (Negro) (x14)</t>
  </si>
  <si>
    <t>8.1</t>
  </si>
  <si>
    <t>Cielo raso balcón (X14)</t>
  </si>
  <si>
    <t>10.1</t>
  </si>
  <si>
    <t>CULATA IZQ</t>
  </si>
  <si>
    <t>CULATA DER</t>
  </si>
  <si>
    <t>Muro sin ventanas (Blanco)</t>
  </si>
  <si>
    <t>Antepecho balcones (Negro) (X14)</t>
  </si>
  <si>
    <t>REALIZADO POR: ARQ ALEXIS BETANCOURT</t>
  </si>
  <si>
    <t>Muro sin ventanas (Verde)</t>
  </si>
  <si>
    <t>Muro Ascensor (Blanco)</t>
  </si>
  <si>
    <t>Muro con ventanas (Negro)</t>
  </si>
  <si>
    <t>Muro con balcón (Verde)</t>
  </si>
  <si>
    <t>Muro con ventanas (Verde)</t>
  </si>
  <si>
    <t>PROYECTO EDIFICIO TORRE VERDE</t>
  </si>
  <si>
    <t>MANTENIMIENTO EDIFICIO TORRE VERDE</t>
  </si>
  <si>
    <t>Lavado e inspección en superfice de fachada</t>
  </si>
  <si>
    <t>Empastado de superficie para (Resane)</t>
  </si>
  <si>
    <t>Tratamiento de dilataciones | Imprimación de paños a resanar</t>
  </si>
  <si>
    <t>Acabado de pintura - Culata Izquierda</t>
  </si>
  <si>
    <t>Alistamiento de superficie - Culata Izquierda</t>
  </si>
  <si>
    <t>12.1</t>
  </si>
  <si>
    <t>16.1</t>
  </si>
  <si>
    <t>27.1</t>
  </si>
  <si>
    <t>30.1</t>
  </si>
  <si>
    <t>41.1</t>
  </si>
  <si>
    <t>46.1</t>
  </si>
  <si>
    <t>Empastado de superficie para (Resane) e Imprimación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</si>
  <si>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</si>
  <si>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</si>
  <si>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</si>
  <si>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</si>
  <si>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</si>
  <si>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</si>
  <si>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</si>
  <si>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</si>
  <si>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</si>
  <si>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1.2.5</t>
  </si>
  <si>
    <t>2.1.1</t>
  </si>
  <si>
    <t>3.1</t>
  </si>
  <si>
    <t>3.1.1</t>
  </si>
  <si>
    <t>Duración 
(Día)</t>
  </si>
  <si>
    <t>Tratamiento de dilataciones | Imprimación de paños a resanar | Sellamiento de ventanas</t>
  </si>
  <si>
    <t>Revoques en carateras y filos</t>
  </si>
  <si>
    <t xml:space="preserve">Alistamiento de superficie - Fachada Posterior </t>
  </si>
  <si>
    <t>Acabado de pintura - Fachada Posterior</t>
  </si>
  <si>
    <t>Aplicación de pintura en superficie en punto fijo 01</t>
  </si>
  <si>
    <t>Aplicación de pintura en superficie en punto fijo 02</t>
  </si>
  <si>
    <t>Alistamiento de superficie - Culata Derecha</t>
  </si>
  <si>
    <t>1.3.1</t>
  </si>
  <si>
    <t>1.3.2</t>
  </si>
  <si>
    <t>1.3.3</t>
  </si>
  <si>
    <t>1.3.4</t>
  </si>
  <si>
    <t>1.3.5</t>
  </si>
  <si>
    <t>2.3</t>
  </si>
  <si>
    <t>Acabado de pintura - Culata Derecha</t>
  </si>
  <si>
    <t>Alistamiento de superficie - Fachada Frontal</t>
  </si>
  <si>
    <t>Acabado de pintura - Fachada Frontal</t>
  </si>
  <si>
    <t>2.4</t>
  </si>
  <si>
    <t>1.4.1</t>
  </si>
  <si>
    <t>1.4.2</t>
  </si>
  <si>
    <t>1.4.3</t>
  </si>
  <si>
    <t>1.4.4</t>
  </si>
  <si>
    <t>1.4.5</t>
  </si>
  <si>
    <t>2.3.1</t>
  </si>
  <si>
    <t>2.4.1</t>
  </si>
  <si>
    <t>2.2.1</t>
  </si>
  <si>
    <t>2.2.2</t>
  </si>
  <si>
    <t>2.2.3</t>
  </si>
  <si>
    <t>SEMANA 01</t>
  </si>
  <si>
    <t xml:space="preserve"> </t>
  </si>
  <si>
    <t>TOTALES</t>
  </si>
  <si>
    <t>LAVADO</t>
  </si>
  <si>
    <t>RESANE</t>
  </si>
  <si>
    <t>SELLO</t>
  </si>
  <si>
    <t>PINTURA</t>
  </si>
  <si>
    <t>SILICONITE</t>
  </si>
  <si>
    <t>CARPINTERIA METALICA</t>
  </si>
  <si>
    <t>CIELOS BALCONES</t>
  </si>
  <si>
    <t>EJECUTADO</t>
  </si>
  <si>
    <t>PENDIENTE</t>
  </si>
  <si>
    <t>RENDIMIENTOS PROMEDIO</t>
  </si>
  <si>
    <t>MIERCOLES</t>
  </si>
  <si>
    <t>SABADO</t>
  </si>
  <si>
    <t>PERSONAL EN SITIO Y ASISTENCIA</t>
  </si>
  <si>
    <t>EDWIN TORRES</t>
  </si>
  <si>
    <t>DEIBER TORO</t>
  </si>
  <si>
    <t>GERARDO HERRERA</t>
  </si>
  <si>
    <t>CIPRIANO VALENCIA</t>
  </si>
  <si>
    <t>DIEGO DUQUE</t>
  </si>
  <si>
    <t>JHONATAN BENÍTEZ</t>
  </si>
  <si>
    <t>TRAT. DILATACIONES</t>
  </si>
  <si>
    <t>Actividad</t>
  </si>
  <si>
    <t>Ejecutado</t>
  </si>
  <si>
    <t>Pendiente</t>
  </si>
  <si>
    <t>EJECUCIÓN SEMANA ACTUAL (SEMANA 2)</t>
  </si>
  <si>
    <t>EJECUCIÓN SEMANA PASADA (SEMANA 1)</t>
  </si>
  <si>
    <t>LISETH GONZALES</t>
  </si>
  <si>
    <t>SEBASTIAN VALENCIA</t>
  </si>
  <si>
    <t>SEMANA 4</t>
  </si>
  <si>
    <t>SEMANA 5</t>
  </si>
  <si>
    <t>SEMANA 6</t>
  </si>
  <si>
    <t>CULATA IZQUIERDA</t>
  </si>
  <si>
    <t>TRATAMIENTO DILATACIONES</t>
  </si>
  <si>
    <t>Levantamiento, remoción y reposición de material desprendido | (TRATAMIENTO DE FISURAS)</t>
  </si>
  <si>
    <t xml:space="preserve">Tratamiento de dilataciones </t>
  </si>
  <si>
    <t>Aplicación de Hidrofugo Siliconite en superficie de fachada (Ladrillo a la vista)</t>
  </si>
  <si>
    <t>Lavado y limpieza de alfajias</t>
  </si>
  <si>
    <t xml:space="preserve">Alistamiento de superficie </t>
  </si>
  <si>
    <t>MANTENIMIENTO EDIFICIO EL PORTAL</t>
  </si>
  <si>
    <t>Cubierta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</si>
</sst>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&quot;$&quot;\ #,##0"/>
    <numFmt numFmtId="166" formatCode="[$-F800]dddd\,\ mmmm\ dd\,\ yyyy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XI"/>
    </font>
    <font>
      <sz val="11"/>
      <color theme="1"/>
      <name val="Swis721 BT"/>
      <family val="2"/>
    </font>
    <font>
      <sz val="12"/>
      <color theme="1"/>
      <name val="AXI"/>
    </font>
    <font>
      <b/>
      <sz val="12"/>
      <color theme="0"/>
      <name val="Swis721 BT"/>
      <family val="2"/>
    </font>
    <font>
      <sz val="11"/>
      <color rgb="FF000000"/>
      <name val="Swis721 BT"/>
      <family val="2"/>
    </font>
    <font>
      <sz val="10"/>
      <color theme="1"/>
      <name val="Swis721 BT"/>
      <family val="2"/>
    </font>
    <font>
      <b/>
      <sz val="10"/>
      <color theme="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sz val="12"/>
      <color theme="1"/>
      <name val="Swis721 BT"/>
      <family val="2"/>
    </font>
    <font>
      <b/>
      <sz val="10"/>
      <name val="Swis721 BT"/>
      <family val="2"/>
    </font>
    <font>
      <sz val="10"/>
      <color rgb="FFC00000"/>
      <name val="Swis721 BT"/>
      <family val="2"/>
    </font>
    <font>
      <b/>
      <sz val="10"/>
      <color rgb="FFC00000"/>
      <name val="Swis721 BT"/>
      <family val="2"/>
    </font>
    <font>
      <b/>
      <sz val="20"/>
      <color theme="0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color rgb="FFC00000"/>
      <name val="Swis721 BT"/>
      <family val="2"/>
    </font>
    <font>
      <sz val="11"/>
      <color rgb="FF0070C0"/>
      <name val="Swis721 BT"/>
      <family val="2"/>
    </font>
    <font>
      <b/>
      <sz val="11"/>
      <color rgb="FFC00000"/>
      <name val="Swis721 BT"/>
      <family val="2"/>
    </font>
    <font>
      <b/>
      <sz val="11"/>
      <color rgb="FF0070C0"/>
      <name val="Swis721 BT"/>
      <family val="2"/>
    </font>
    <font>
      <b/>
      <sz val="11"/>
      <name val="Swis721 BT"/>
      <family val="2"/>
    </font>
    <font>
      <sz val="11"/>
      <name val="Swis721 BT"/>
      <family val="2"/>
    </font>
    <font>
      <b/>
      <sz val="15"/>
      <name val="Swis721 BT"/>
      <family val="2"/>
    </font>
    <font>
      <b/>
      <sz val="9"/>
      <color theme="0"/>
      <name val="Swis721 BT"/>
      <family val="2"/>
    </font>
    <font>
      <b/>
      <sz val="8"/>
      <color theme="0"/>
      <name val="Swis721 BT"/>
      <family val="2"/>
    </font>
    <font>
      <sz val="8"/>
      <name val="Calibri"/>
      <family val="2"/>
      <scheme val="minor"/>
    </font>
    <font>
      <b/>
      <sz val="10"/>
      <color rgb="FFFF0000"/>
      <name val="Swis721 BT"/>
      <family val="2"/>
    </font>
    <font>
      <sz val="10"/>
      <color rgb="FF000000"/>
      <name val="Swis721 BT"/>
      <family val="2"/>
    </font>
    <font>
      <sz val="10"/>
      <color rgb="FFFF0000"/>
      <name val="Swis721 BT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7"/>
      <color theme="0"/>
      <name val="Swis721 BT"/>
      <family val="2"/>
    </font>
  </fonts>
  <fills count="16">
    <fill>
      <patternFill patternType="none"/>
    </fill>
    <fill>
      <patternFill patternType="gray125"/>
    </fill>
    <fill>
      <patternFill patternType="solid">
        <fgColor rgb="FF447684"/>
        <bgColor indexed="64"/>
      </patternFill>
    </fill>
    <fill>
      <patternFill patternType="solid">
        <fgColor rgb="FFEEEDEB"/>
        <bgColor indexed="64"/>
      </patternFill>
    </fill>
    <fill>
      <patternFill patternType="solid">
        <fgColor rgb="FFEEEBEE"/>
        <bgColor indexed="64"/>
      </patternFill>
    </fill>
    <fill>
      <patternFill patternType="solid">
        <fgColor rgb="FFA7C9D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C7AA"/>
        <bgColor indexed="64"/>
      </patternFill>
    </fill>
    <fill>
      <patternFill patternType="solid">
        <fgColor rgb="FF5797A9"/>
        <bgColor indexed="64"/>
      </patternFill>
    </fill>
    <fill>
      <patternFill patternType="solid">
        <fgColor rgb="FFFFB3B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3">
    <xf numFmtId="0" fontId="0" fillId="0" borderId="0" xfId="0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44" fontId="3" fillId="0" borderId="5" xfId="2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4" fontId="3" fillId="0" borderId="6" xfId="2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44" fontId="3" fillId="0" borderId="7" xfId="2" applyFont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44" fontId="3" fillId="3" borderId="8" xfId="2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44" fontId="3" fillId="0" borderId="2" xfId="2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4" fontId="3" fillId="0" borderId="10" xfId="2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4" fontId="3" fillId="0" borderId="4" xfId="2" applyFont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44" fontId="3" fillId="3" borderId="7" xfId="2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44" fontId="3" fillId="3" borderId="6" xfId="2" applyFont="1" applyFill="1" applyBorder="1" applyAlignment="1">
      <alignment vertical="center"/>
    </xf>
    <xf numFmtId="15" fontId="3" fillId="0" borderId="0" xfId="0" applyNumberFormat="1" applyFont="1" applyAlignment="1">
      <alignment vertical="center"/>
    </xf>
    <xf numFmtId="0" fontId="3" fillId="4" borderId="6" xfId="0" applyFont="1" applyFill="1" applyBorder="1" applyAlignment="1">
      <alignment vertical="center"/>
    </xf>
    <xf numFmtId="44" fontId="3" fillId="4" borderId="6" xfId="2" applyFont="1" applyFill="1" applyBorder="1" applyAlignment="1">
      <alignment vertical="center"/>
    </xf>
    <xf numFmtId="6" fontId="3" fillId="0" borderId="0" xfId="0" applyNumberFormat="1" applyFont="1" applyAlignment="1">
      <alignment vertical="center"/>
    </xf>
    <xf numFmtId="0" fontId="3" fillId="0" borderId="0" xfId="0" applyFont="1"/>
    <xf numFmtId="0" fontId="6" fillId="0" borderId="0" xfId="0" applyFont="1"/>
    <xf numFmtId="44" fontId="3" fillId="0" borderId="0" xfId="2" applyFont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44" fontId="3" fillId="4" borderId="6" xfId="2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9" fontId="10" fillId="0" borderId="0" xfId="3" applyFont="1" applyFill="1" applyAlignment="1">
      <alignment horizontal="center" vertical="center"/>
    </xf>
    <xf numFmtId="44" fontId="10" fillId="4" borderId="0" xfId="2" applyFont="1" applyFill="1" applyAlignment="1">
      <alignment horizontal="center" vertical="center"/>
    </xf>
    <xf numFmtId="44" fontId="7" fillId="0" borderId="0" xfId="2" applyFont="1" applyAlignment="1">
      <alignment horizontal="center" vertical="center"/>
    </xf>
    <xf numFmtId="44" fontId="7" fillId="4" borderId="0" xfId="2" applyFont="1" applyFill="1" applyAlignment="1">
      <alignment horizontal="center" vertical="center"/>
    </xf>
    <xf numFmtId="44" fontId="7" fillId="6" borderId="0" xfId="2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9" fontId="10" fillId="5" borderId="0" xfId="3" applyFont="1" applyFill="1" applyAlignment="1">
      <alignment horizontal="center" vertical="center"/>
    </xf>
    <xf numFmtId="44" fontId="10" fillId="5" borderId="0" xfId="2" applyFont="1" applyFill="1" applyAlignment="1">
      <alignment horizontal="center" vertical="center"/>
    </xf>
    <xf numFmtId="44" fontId="8" fillId="5" borderId="0" xfId="2" applyFont="1" applyFill="1" applyAlignment="1">
      <alignment horizontal="center" vertical="center"/>
    </xf>
    <xf numFmtId="44" fontId="7" fillId="5" borderId="0" xfId="2" applyFont="1" applyFill="1" applyAlignment="1">
      <alignment horizontal="center" vertical="center"/>
    </xf>
    <xf numFmtId="44" fontId="10" fillId="0" borderId="0" xfId="2" applyFont="1" applyFill="1" applyAlignment="1">
      <alignment horizontal="center" vertical="center"/>
    </xf>
    <xf numFmtId="44" fontId="8" fillId="6" borderId="0" xfId="2" applyFont="1" applyFill="1" applyAlignment="1">
      <alignment horizontal="center" vertical="center"/>
    </xf>
    <xf numFmtId="44" fontId="8" fillId="0" borderId="0" xfId="2" applyFont="1" applyAlignment="1">
      <alignment horizontal="center" vertical="center"/>
    </xf>
    <xf numFmtId="44" fontId="3" fillId="5" borderId="0" xfId="2" applyFont="1" applyFill="1"/>
    <xf numFmtId="0" fontId="7" fillId="0" borderId="0" xfId="0" applyFont="1" applyAlignment="1">
      <alignment horizontal="left" vertical="center" indent="2"/>
    </xf>
    <xf numFmtId="0" fontId="5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 wrapText="1" indent="2"/>
    </xf>
    <xf numFmtId="0" fontId="9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 indent="2"/>
    </xf>
    <xf numFmtId="0" fontId="8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2"/>
    </xf>
    <xf numFmtId="0" fontId="12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indent="2"/>
    </xf>
    <xf numFmtId="44" fontId="13" fillId="0" borderId="0" xfId="2" applyFont="1" applyAlignment="1">
      <alignment horizontal="center" vertical="center"/>
    </xf>
    <xf numFmtId="44" fontId="13" fillId="0" borderId="0" xfId="2" applyFont="1" applyFill="1" applyAlignment="1">
      <alignment horizontal="center" vertical="center"/>
    </xf>
    <xf numFmtId="44" fontId="13" fillId="4" borderId="0" xfId="2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indent="2"/>
    </xf>
    <xf numFmtId="9" fontId="10" fillId="4" borderId="0" xfId="3" applyFont="1" applyFill="1" applyAlignment="1">
      <alignment horizontal="center" vertical="center"/>
    </xf>
    <xf numFmtId="0" fontId="12" fillId="0" borderId="0" xfId="0" applyFont="1" applyAlignment="1">
      <alignment horizontal="left" vertical="center" indent="2"/>
    </xf>
    <xf numFmtId="44" fontId="14" fillId="0" borderId="0" xfId="2" applyFont="1" applyFill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0" fontId="9" fillId="2" borderId="0" xfId="0" applyFont="1" applyFill="1" applyAlignment="1">
      <alignment horizontal="left" vertical="center" wrapText="1" indent="2"/>
    </xf>
    <xf numFmtId="0" fontId="8" fillId="2" borderId="0" xfId="0" applyFont="1" applyFill="1" applyAlignment="1">
      <alignment horizontal="center" vertical="center" wrapText="1"/>
    </xf>
    <xf numFmtId="44" fontId="10" fillId="0" borderId="0" xfId="2" applyFont="1" applyAlignment="1">
      <alignment horizontal="center" vertical="center"/>
    </xf>
    <xf numFmtId="44" fontId="12" fillId="0" borderId="0" xfId="2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44" fontId="12" fillId="4" borderId="0" xfId="2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44" fontId="7" fillId="0" borderId="0" xfId="2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/>
    </xf>
    <xf numFmtId="0" fontId="17" fillId="0" borderId="0" xfId="0" applyFont="1"/>
    <xf numFmtId="1" fontId="17" fillId="5" borderId="13" xfId="0" applyNumberFormat="1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1" fontId="22" fillId="5" borderId="14" xfId="2" applyNumberFormat="1" applyFont="1" applyFill="1" applyBorder="1" applyAlignment="1">
      <alignment horizontal="center" vertical="center"/>
    </xf>
    <xf numFmtId="1" fontId="17" fillId="4" borderId="14" xfId="0" applyNumberFormat="1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left" vertical="center" wrapText="1"/>
    </xf>
    <xf numFmtId="1" fontId="22" fillId="4" borderId="14" xfId="2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" fontId="23" fillId="0" borderId="14" xfId="2" applyNumberFormat="1" applyFont="1" applyFill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9" fontId="3" fillId="4" borderId="0" xfId="3" applyFont="1" applyFill="1" applyAlignment="1">
      <alignment horizontal="center" vertical="center"/>
    </xf>
    <xf numFmtId="9" fontId="3" fillId="8" borderId="0" xfId="3" applyFont="1" applyFill="1" applyAlignment="1">
      <alignment horizontal="center" vertical="center"/>
    </xf>
    <xf numFmtId="0" fontId="17" fillId="5" borderId="0" xfId="0" applyFont="1" applyFill="1" applyAlignment="1">
      <alignment vertical="center"/>
    </xf>
    <xf numFmtId="2" fontId="17" fillId="5" borderId="0" xfId="0" applyNumberFormat="1" applyFont="1" applyFill="1" applyAlignment="1">
      <alignment horizontal="center" vertical="center"/>
    </xf>
    <xf numFmtId="2" fontId="17" fillId="4" borderId="0" xfId="0" applyNumberFormat="1" applyFont="1" applyFill="1" applyAlignment="1">
      <alignment horizontal="center" vertical="center"/>
    </xf>
    <xf numFmtId="10" fontId="17" fillId="4" borderId="0" xfId="3" applyNumberFormat="1" applyFont="1" applyFill="1" applyAlignment="1">
      <alignment horizontal="center" vertical="center"/>
    </xf>
    <xf numFmtId="2" fontId="17" fillId="6" borderId="0" xfId="0" applyNumberFormat="1" applyFont="1" applyFill="1" applyAlignment="1">
      <alignment horizontal="center" vertical="center"/>
    </xf>
    <xf numFmtId="10" fontId="17" fillId="6" borderId="0" xfId="3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9" fontId="17" fillId="4" borderId="0" xfId="3" applyFont="1" applyFill="1" applyAlignment="1">
      <alignment horizontal="center" vertical="center"/>
    </xf>
    <xf numFmtId="10" fontId="17" fillId="5" borderId="0" xfId="3" applyNumberFormat="1" applyFont="1" applyFill="1" applyAlignment="1">
      <alignment horizontal="center" vertical="center"/>
    </xf>
    <xf numFmtId="2" fontId="22" fillId="6" borderId="0" xfId="0" applyNumberFormat="1" applyFont="1" applyFill="1" applyAlignment="1">
      <alignment horizontal="center" vertical="center"/>
    </xf>
    <xf numFmtId="10" fontId="22" fillId="6" borderId="0" xfId="3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17" fillId="5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/>
    </xf>
    <xf numFmtId="2" fontId="17" fillId="4" borderId="0" xfId="0" applyNumberFormat="1" applyFont="1" applyFill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8" fillId="5" borderId="13" xfId="2" applyNumberFormat="1" applyFont="1" applyFill="1" applyBorder="1" applyAlignment="1">
      <alignment horizontal="center" vertical="center"/>
    </xf>
    <xf numFmtId="0" fontId="12" fillId="5" borderId="13" xfId="2" applyNumberFormat="1" applyFont="1" applyFill="1" applyBorder="1" applyAlignment="1">
      <alignment horizontal="center" vertical="center"/>
    </xf>
    <xf numFmtId="2" fontId="12" fillId="5" borderId="14" xfId="2" applyNumberFormat="1" applyFont="1" applyFill="1" applyBorder="1" applyAlignment="1">
      <alignment horizontal="center" vertical="center"/>
    </xf>
    <xf numFmtId="1" fontId="12" fillId="5" borderId="14" xfId="2" applyNumberFormat="1" applyFont="1" applyFill="1" applyBorder="1" applyAlignment="1">
      <alignment horizontal="center" vertical="center"/>
    </xf>
    <xf numFmtId="1" fontId="28" fillId="5" borderId="14" xfId="2" applyNumberFormat="1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left" vertical="center" wrapText="1"/>
    </xf>
    <xf numFmtId="0" fontId="8" fillId="4" borderId="14" xfId="2" applyNumberFormat="1" applyFont="1" applyFill="1" applyBorder="1" applyAlignment="1">
      <alignment horizontal="center" vertical="center"/>
    </xf>
    <xf numFmtId="2" fontId="12" fillId="4" borderId="14" xfId="2" applyNumberFormat="1" applyFont="1" applyFill="1" applyBorder="1" applyAlignment="1">
      <alignment horizontal="center" vertical="center"/>
    </xf>
    <xf numFmtId="1" fontId="12" fillId="4" borderId="14" xfId="2" applyNumberFormat="1" applyFont="1" applyFill="1" applyBorder="1" applyAlignment="1">
      <alignment horizontal="center" vertical="center"/>
    </xf>
    <xf numFmtId="1" fontId="28" fillId="4" borderId="14" xfId="2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43" fontId="7" fillId="0" borderId="6" xfId="1" applyFont="1" applyFill="1" applyBorder="1" applyAlignment="1">
      <alignment vertical="center" wrapText="1"/>
    </xf>
    <xf numFmtId="1" fontId="10" fillId="0" borderId="14" xfId="2" applyNumberFormat="1" applyFont="1" applyFill="1" applyBorder="1" applyAlignment="1">
      <alignment horizontal="center" vertical="center"/>
    </xf>
    <xf numFmtId="2" fontId="10" fillId="0" borderId="14" xfId="2" applyNumberFormat="1" applyFont="1" applyFill="1" applyBorder="1" applyAlignment="1">
      <alignment horizontal="center" vertical="center"/>
    </xf>
    <xf numFmtId="1" fontId="30" fillId="0" borderId="14" xfId="2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43" fontId="7" fillId="0" borderId="16" xfId="1" applyFont="1" applyFill="1" applyBorder="1" applyAlignment="1">
      <alignment vertical="center" wrapText="1"/>
    </xf>
    <xf numFmtId="43" fontId="7" fillId="0" borderId="0" xfId="0" applyNumberFormat="1" applyFont="1"/>
    <xf numFmtId="44" fontId="3" fillId="0" borderId="0" xfId="2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2" fontId="16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0" fontId="17" fillId="0" borderId="0" xfId="3" applyNumberFormat="1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10" fontId="3" fillId="5" borderId="0" xfId="3" applyNumberFormat="1" applyFont="1" applyFill="1" applyAlignment="1">
      <alignment horizontal="center" vertical="center"/>
    </xf>
    <xf numFmtId="10" fontId="16" fillId="2" borderId="0" xfId="3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0" fillId="0" borderId="18" xfId="0" applyBorder="1"/>
    <xf numFmtId="0" fontId="33" fillId="0" borderId="19" xfId="0" applyFont="1" applyBorder="1"/>
    <xf numFmtId="0" fontId="33" fillId="0" borderId="18" xfId="0" applyFont="1" applyBorder="1"/>
    <xf numFmtId="0" fontId="33" fillId="0" borderId="21" xfId="0" applyFont="1" applyBorder="1"/>
    <xf numFmtId="43" fontId="33" fillId="0" borderId="19" xfId="0" applyNumberFormat="1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22" xfId="0" applyFont="1" applyBorder="1"/>
    <xf numFmtId="43" fontId="33" fillId="0" borderId="22" xfId="0" applyNumberFormat="1" applyFont="1" applyBorder="1"/>
    <xf numFmtId="0" fontId="33" fillId="0" borderId="23" xfId="0" applyFont="1" applyBorder="1"/>
    <xf numFmtId="0" fontId="0" fillId="0" borderId="21" xfId="0" applyBorder="1"/>
    <xf numFmtId="0" fontId="0" fillId="0" borderId="19" xfId="0" applyBorder="1"/>
    <xf numFmtId="0" fontId="0" fillId="0" borderId="22" xfId="0" applyBorder="1"/>
    <xf numFmtId="0" fontId="0" fillId="0" borderId="20" xfId="0" applyBorder="1"/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3" fontId="0" fillId="0" borderId="0" xfId="0" applyNumberFormat="1" applyAlignment="1">
      <alignment vertical="center" wrapText="1"/>
    </xf>
    <xf numFmtId="9" fontId="3" fillId="0" borderId="0" xfId="0" applyNumberFormat="1" applyFont="1" applyAlignment="1">
      <alignment vertical="center"/>
    </xf>
    <xf numFmtId="43" fontId="33" fillId="0" borderId="17" xfId="0" applyNumberFormat="1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2" fillId="11" borderId="24" xfId="0" applyFont="1" applyFill="1" applyBorder="1" applyAlignment="1">
      <alignment horizontal="center"/>
    </xf>
    <xf numFmtId="0" fontId="32" fillId="11" borderId="25" xfId="0" applyFont="1" applyFill="1" applyBorder="1" applyAlignment="1">
      <alignment horizontal="center"/>
    </xf>
    <xf numFmtId="0" fontId="32" fillId="11" borderId="26" xfId="0" applyFont="1" applyFill="1" applyBorder="1" applyAlignment="1">
      <alignment horizontal="center"/>
    </xf>
    <xf numFmtId="0" fontId="32" fillId="12" borderId="24" xfId="0" applyFont="1" applyFill="1" applyBorder="1" applyAlignment="1">
      <alignment horizontal="center"/>
    </xf>
    <xf numFmtId="0" fontId="32" fillId="12" borderId="25" xfId="0" applyFont="1" applyFill="1" applyBorder="1" applyAlignment="1">
      <alignment horizontal="center"/>
    </xf>
    <xf numFmtId="0" fontId="32" fillId="12" borderId="26" xfId="0" applyFont="1" applyFill="1" applyBorder="1" applyAlignment="1">
      <alignment horizontal="center"/>
    </xf>
    <xf numFmtId="0" fontId="32" fillId="13" borderId="24" xfId="0" applyFont="1" applyFill="1" applyBorder="1" applyAlignment="1">
      <alignment horizontal="center"/>
    </xf>
    <xf numFmtId="0" fontId="32" fillId="13" borderId="25" xfId="0" applyFont="1" applyFill="1" applyBorder="1" applyAlignment="1">
      <alignment horizontal="center"/>
    </xf>
    <xf numFmtId="0" fontId="32" fillId="13" borderId="26" xfId="0" applyFont="1" applyFill="1" applyBorder="1" applyAlignment="1">
      <alignment horizontal="center"/>
    </xf>
    <xf numFmtId="0" fontId="32" fillId="14" borderId="24" xfId="0" applyFont="1" applyFill="1" applyBorder="1" applyAlignment="1">
      <alignment horizontal="center"/>
    </xf>
    <xf numFmtId="0" fontId="32" fillId="14" borderId="25" xfId="0" applyFont="1" applyFill="1" applyBorder="1" applyAlignment="1">
      <alignment horizontal="center"/>
    </xf>
    <xf numFmtId="0" fontId="32" fillId="14" borderId="26" xfId="0" applyFont="1" applyFill="1" applyBorder="1" applyAlignment="1">
      <alignment horizontal="center"/>
    </xf>
    <xf numFmtId="43" fontId="33" fillId="15" borderId="24" xfId="0" applyNumberFormat="1" applyFont="1" applyFill="1" applyBorder="1" applyAlignment="1">
      <alignment horizontal="center"/>
    </xf>
    <xf numFmtId="43" fontId="33" fillId="15" borderId="26" xfId="0" applyNumberFormat="1" applyFont="1" applyFill="1" applyBorder="1" applyAlignment="1">
      <alignment horizontal="center"/>
    </xf>
    <xf numFmtId="43" fontId="33" fillId="14" borderId="24" xfId="0" applyNumberFormat="1" applyFont="1" applyFill="1" applyBorder="1" applyAlignment="1">
      <alignment horizontal="center" vertical="center"/>
    </xf>
    <xf numFmtId="43" fontId="33" fillId="14" borderId="26" xfId="0" applyNumberFormat="1" applyFont="1" applyFill="1" applyBorder="1" applyAlignment="1">
      <alignment horizontal="center" vertical="center"/>
    </xf>
    <xf numFmtId="43" fontId="33" fillId="14" borderId="24" xfId="0" applyNumberFormat="1" applyFont="1" applyFill="1" applyBorder="1" applyAlignment="1">
      <alignment horizontal="center"/>
    </xf>
    <xf numFmtId="43" fontId="33" fillId="14" borderId="26" xfId="0" applyNumberFormat="1" applyFont="1" applyFill="1" applyBorder="1" applyAlignment="1">
      <alignment horizontal="center"/>
    </xf>
    <xf numFmtId="0" fontId="33" fillId="14" borderId="24" xfId="0" applyFont="1" applyFill="1" applyBorder="1" applyAlignment="1">
      <alignment horizontal="center"/>
    </xf>
    <xf numFmtId="0" fontId="33" fillId="14" borderId="26" xfId="0" applyFont="1" applyFill="1" applyBorder="1" applyAlignment="1">
      <alignment horizontal="center"/>
    </xf>
    <xf numFmtId="0" fontId="33" fillId="15" borderId="24" xfId="0" applyFont="1" applyFill="1" applyBorder="1" applyAlignment="1">
      <alignment horizontal="center"/>
    </xf>
    <xf numFmtId="0" fontId="33" fillId="15" borderId="26" xfId="0" applyFont="1" applyFill="1" applyBorder="1" applyAlignment="1">
      <alignment horizontal="center"/>
    </xf>
    <xf numFmtId="43" fontId="33" fillId="13" borderId="24" xfId="0" applyNumberFormat="1" applyFont="1" applyFill="1" applyBorder="1" applyAlignment="1">
      <alignment horizontal="center"/>
    </xf>
    <xf numFmtId="43" fontId="33" fillId="13" borderId="26" xfId="0" applyNumberFormat="1" applyFont="1" applyFill="1" applyBorder="1" applyAlignment="1">
      <alignment horizontal="center"/>
    </xf>
    <xf numFmtId="0" fontId="33" fillId="13" borderId="24" xfId="0" applyFont="1" applyFill="1" applyBorder="1" applyAlignment="1">
      <alignment horizontal="center"/>
    </xf>
    <xf numFmtId="0" fontId="33" fillId="13" borderId="26" xfId="0" applyFont="1" applyFill="1" applyBorder="1" applyAlignment="1">
      <alignment horizontal="center"/>
    </xf>
    <xf numFmtId="43" fontId="33" fillId="12" borderId="24" xfId="0" applyNumberFormat="1" applyFont="1" applyFill="1" applyBorder="1" applyAlignment="1">
      <alignment horizontal="center"/>
    </xf>
    <xf numFmtId="43" fontId="33" fillId="12" borderId="26" xfId="0" applyNumberFormat="1" applyFont="1" applyFill="1" applyBorder="1" applyAlignment="1">
      <alignment horizontal="center"/>
    </xf>
    <xf numFmtId="0" fontId="33" fillId="11" borderId="24" xfId="0" applyFont="1" applyFill="1" applyBorder="1" applyAlignment="1">
      <alignment horizontal="center"/>
    </xf>
    <xf numFmtId="0" fontId="33" fillId="11" borderId="26" xfId="0" applyFont="1" applyFill="1" applyBorder="1" applyAlignment="1">
      <alignment horizontal="center"/>
    </xf>
    <xf numFmtId="0" fontId="33" fillId="12" borderId="24" xfId="0" applyFont="1" applyFill="1" applyBorder="1" applyAlignment="1">
      <alignment horizontal="center"/>
    </xf>
    <xf numFmtId="0" fontId="33" fillId="12" borderId="26" xfId="0" applyFont="1" applyFill="1" applyBorder="1" applyAlignment="1">
      <alignment horizontal="center"/>
    </xf>
    <xf numFmtId="43" fontId="33" fillId="11" borderId="24" xfId="0" applyNumberFormat="1" applyFont="1" applyFill="1" applyBorder="1" applyAlignment="1">
      <alignment horizontal="center"/>
    </xf>
    <xf numFmtId="43" fontId="33" fillId="11" borderId="26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6" fontId="34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2" fontId="7" fillId="0" borderId="6" xfId="1" applyNumberFormat="1" applyFont="1" applyFill="1" applyBorder="1" applyAlignment="1">
      <alignment horizontal="righ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">
    <dxf>
      <font>
        <color rgb="FFC00000"/>
      </font>
    </dxf>
  </dxfs>
  <tableStyles count="0" defaultTableStyle="TableStyleMedium2" defaultPivotStyle="PivotStyleLight16"/>
  <colors>
    <mruColors>
      <color rgb="FF5797A9"/>
      <color rgb="FFFF7B89"/>
      <color rgb="FFA7C9D2"/>
      <color rgb="FF447684"/>
      <color rgb="FFEEEBEE"/>
      <color rgb="FFFFB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2-4E92-B178-8C17F6658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2-4E92-B178-8C17F6658A4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DASHBOARD!$AE$66:$AF$66</c:f>
              <c:numCache>
                <c:formatCode>#,##0.00</c:formatCode>
                <c:ptCount val="2"/>
                <c:pt idx="0">
                  <c:v>4308.1620000000003</c:v>
                </c:pt>
                <c:pt idx="1">
                  <c:v>3017.3020000000001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5-4C06-BB28-01488C035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B-45E4-BCB7-B2FA2345D8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B-45E4-BCB7-B2FA2345D8B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DASHBOARD!$AE$67:$AF$67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B-45E4-BCB7-B2FA2345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8-4340-96D6-75C7628B5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78-4340-96D6-75C7628B5D0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DASHBOARD!$AE$68:$AF$68</c:f>
              <c:numCache>
                <c:formatCode>#,##0.00</c:formatCode>
                <c:ptCount val="2"/>
                <c:pt idx="0">
                  <c:v>42.84</c:v>
                </c:pt>
                <c:pt idx="1">
                  <c:v>1229.76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78-4340-96D6-75C7628B5D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PINTURA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B-4727-8224-E0A044F6D4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B-4727-8224-E0A044F6D44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DASHBOARD!$AE$69:$AF$69</c:f>
              <c:numCache>
                <c:formatCode>_(* #,##0.00_);_(* \(#,##0.00\);_(* "-"??_);_(@_)</c:formatCode>
                <c:ptCount val="2"/>
                <c:pt idx="0">
                  <c:v>1000</c:v>
                </c:pt>
                <c:pt idx="1">
                  <c:v>1447.3559999999998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EB-4727-8224-E0A044F6D44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TRATAMIENTO DILATACIONES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0-4C24-B437-DAAB635C6E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0-4C24-B437-DAAB635C6E9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DASHBOARD!$AE$70:$AF$70</c:f>
              <c:numCache>
                <c:formatCode>_(* #,##0.00_);_(* \(#,##0.00\);_(* "-"??_);_(@_)</c:formatCode>
                <c:ptCount val="2"/>
                <c:pt idx="0">
                  <c:v>135.79999999999998</c:v>
                </c:pt>
                <c:pt idx="1">
                  <c:v>1066.0439999999999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0-4C24-B437-DAAB635C6E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CARPINTERIA</a:t>
            </a:r>
            <a:r>
              <a:rPr lang="en-US" b="1" baseline="0"/>
              <a:t> METALICA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DASHBOARD!$AD$66</c:f>
              <c:strCache>
                <c:ptCount val="1"/>
                <c:pt idx="0">
                  <c:v>LAVADO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76-4124-9264-26F61BD7CF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76-4124-9264-26F61BD7CF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DASHBOARD!$AE$65:$AF$65</c:f>
              <c:strCache>
                <c:ptCount val="2"/>
                <c:pt idx="0">
                  <c:v>Ejecutado</c:v>
                </c:pt>
                <c:pt idx="1">
                  <c:v>Pendiente</c:v>
                </c:pt>
              </c:strCache>
            </c:strRef>
          </c:cat>
          <c:val>
            <c:numRef>
              <c:f>DASHBOARD!$AE$71:$AF$71</c:f>
              <c:numCache>
                <c:formatCode>#,##0.00</c:formatCode>
                <c:ptCount val="2"/>
                <c:pt idx="0">
                  <c:v>0</c:v>
                </c:pt>
                <c:pt idx="1">
                  <c:v>1066.0439999999999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6-4124-9264-26F61BD7CF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9780</xdr:colOff>
      <xdr:row>0</xdr:row>
      <xdr:rowOff>8965</xdr:rowOff>
    </xdr:from>
    <xdr:to>
      <xdr:col>20</xdr:col>
      <xdr:colOff>179293</xdr:colOff>
      <xdr:row>20</xdr:row>
      <xdr:rowOff>53789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5F4E850-D4F9-8288-4DF5-C34AB76B0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179292</xdr:colOff>
      <xdr:row>0</xdr:row>
      <xdr:rowOff>8965</xdr:rowOff>
    </xdr:from>
    <xdr:to>
      <xdr:col>25</xdr:col>
      <xdr:colOff>348804</xdr:colOff>
      <xdr:row>20</xdr:row>
      <xdr:rowOff>53789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02A8A29-347A-4C7F-ADD1-9FD1A9053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8965</xdr:colOff>
      <xdr:row>20</xdr:row>
      <xdr:rowOff>53790</xdr:rowOff>
    </xdr:from>
    <xdr:to>
      <xdr:col>20</xdr:col>
      <xdr:colOff>178478</xdr:colOff>
      <xdr:row>40</xdr:row>
      <xdr:rowOff>98613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646060A-74A6-4873-88DC-2692B987C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179298</xdr:colOff>
      <xdr:row>20</xdr:row>
      <xdr:rowOff>53790</xdr:rowOff>
    </xdr:from>
    <xdr:to>
      <xdr:col>25</xdr:col>
      <xdr:colOff>348810</xdr:colOff>
      <xdr:row>40</xdr:row>
      <xdr:rowOff>98613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7864DE0-6BC6-465E-A56E-EAF1D2432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10886</xdr:colOff>
      <xdr:row>40</xdr:row>
      <xdr:rowOff>97969</xdr:rowOff>
    </xdr:from>
    <xdr:to>
      <xdr:col>20</xdr:col>
      <xdr:colOff>180399</xdr:colOff>
      <xdr:row>60</xdr:row>
      <xdr:rowOff>142792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C6DC4E6-6BFB-4D63-9A9F-2E4132CEE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177807</xdr:colOff>
      <xdr:row>40</xdr:row>
      <xdr:rowOff>101604</xdr:rowOff>
    </xdr:from>
    <xdr:to>
      <xdr:col>25</xdr:col>
      <xdr:colOff>347319</xdr:colOff>
      <xdr:row>60</xdr:row>
      <xdr:rowOff>146427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44CB66D-6BC0-4C60-8953-F8A94B3BA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SI\Downloads\CONTROL%20DE%20EJECUCI&#211;N%20DE%20OBRA%20(PORCENTAJES)%20-%20EDIFICIO%20HEBR&#211;N.xlsx" TargetMode="External"/><Relationship Id="rId1" Type="http://schemas.openxmlformats.org/officeDocument/2006/relationships/externalLinkPath" Target="CONTROL%20DE%20EJECUCI&#211;N%20DE%20OBRA%20(PORCENTAJES)%20-%20EDIFICIO%20HEBR&#211;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SI\Downloads\CORTES%20DE%20OBRA.xlsx" TargetMode="External"/><Relationship Id="rId1" Type="http://schemas.openxmlformats.org/officeDocument/2006/relationships/externalLinkPath" Target="CORTES%20DE%20OB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%20PC/Desktop/FRESH%20HOUSE/PLANTILLAS%20COSTOS/COSTOS%20DE%20OBRA%20V&#201;RTIC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%20PC/Desktop/FRESH%20HOUSE/RESERVA%20DE%20LA%20COLINA/BASE%20DE%20DATOS%20-%20RESERVA%20DE%20LA%20COL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OS"/>
      <sheetName val="% EJECUCIÓN DE OBRA"/>
      <sheetName val="CANTIDAD DE OBRA (T2)"/>
      <sheetName val="(1) LAVADO (T2)"/>
      <sheetName val="(2) RESANES (T2)"/>
      <sheetName val="(3) SELLADO VENTANAS (T2)"/>
      <sheetName val="(4A) PINTURA CARP MET"/>
      <sheetName val="(4) PINTURA1ra-2da-aseo(T2)"/>
      <sheetName val="CANTIDAD DE OBRA (T1)"/>
      <sheetName val="(5) LAVADO (T1)"/>
      <sheetName val="(6) RESANES (T1))"/>
      <sheetName val="(7) SELLADO VENTANAS (T1)"/>
      <sheetName val="(8) PINTURA 1ra y 2da (T1)"/>
      <sheetName val="RENDIMIENTO  PERSO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H40"/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ALISIS"/>
      <sheetName val="COTIZACIÓN (2)"/>
      <sheetName val="COTIZACIÓN"/>
      <sheetName val="APU I"/>
      <sheetName val="C. OBRA"/>
      <sheetName val="SALARIOS"/>
      <sheetName val="NÓMINA"/>
      <sheetName val="COST_REAL"/>
      <sheetName val="COST_REAL_SEM"/>
      <sheetName val="LAV"/>
      <sheetName val="SELLO "/>
      <sheetName val="RES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D S4"/>
      <sheetName val="REND S6"/>
      <sheetName val="SALARIOS"/>
      <sheetName val="MATERIALES"/>
      <sheetName val="CALENDARIO"/>
      <sheetName val="APU (2-3)"/>
      <sheetName val="APU (4)"/>
      <sheetName val="APU (5)"/>
    </sheetNames>
    <sheetDataSet>
      <sheetData sheetId="0"/>
      <sheetData sheetId="1"/>
      <sheetData sheetId="2">
        <row r="64">
          <cell r="C64">
            <v>118166.66666666667</v>
          </cell>
        </row>
        <row r="65">
          <cell r="C65">
            <v>97333.333333333328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TIDAD DE OBRA"/>
    </sheetNames>
    <sheetDataSet>
      <sheetData sheetId="0">
        <row r="5">
          <cell r="G5">
            <v>30.928399999999996</v>
          </cell>
          <cell r="N5">
            <v>30.928399999999996</v>
          </cell>
        </row>
        <row r="7">
          <cell r="N7">
            <v>39.484000000000002</v>
          </cell>
        </row>
        <row r="9">
          <cell r="N9">
            <v>20.387999999999998</v>
          </cell>
        </row>
        <row r="11">
          <cell r="N11">
            <v>6.18</v>
          </cell>
        </row>
        <row r="17">
          <cell r="O17"/>
        </row>
        <row r="18">
          <cell r="N18"/>
        </row>
        <row r="25">
          <cell r="N25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6D31-E6EE-4873-BD6C-C70D07527649}">
  <dimension ref="A1:BF173"/>
  <sheetViews>
    <sheetView topLeftCell="H1" zoomScale="80" zoomScaleNormal="80" workbookViewId="0">
      <selection activeCell="AC28" sqref="AC28"/>
    </sheetView>
  </sheetViews>
  <sheetFormatPr baseColWidth="10" defaultRowHeight="14.4"/>
  <cols>
    <col min="30" max="30" width="16.21875" customWidth="1"/>
  </cols>
  <sheetData>
    <row r="1" spans="1:58">
      <c r="A1" s="190"/>
      <c r="B1" s="210" t="s">
        <v>271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2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2"/>
      <c r="BF1" s="192"/>
    </row>
    <row r="2" spans="1:58">
      <c r="A2" s="190"/>
      <c r="B2" s="238" t="s">
        <v>272</v>
      </c>
      <c r="C2" s="239"/>
      <c r="D2" s="238" t="s">
        <v>273</v>
      </c>
      <c r="E2" s="239"/>
      <c r="F2" s="238" t="s">
        <v>274</v>
      </c>
      <c r="G2" s="239"/>
      <c r="H2" s="238" t="s">
        <v>275</v>
      </c>
      <c r="I2" s="239"/>
      <c r="J2" s="238" t="s">
        <v>291</v>
      </c>
      <c r="K2" s="239"/>
      <c r="L2" s="230" t="s">
        <v>277</v>
      </c>
      <c r="M2" s="231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</row>
    <row r="3" spans="1:58">
      <c r="A3" s="192"/>
      <c r="B3" s="242">
        <f>LAVADO!E76</f>
        <v>4308.1620000000003</v>
      </c>
      <c r="C3" s="243"/>
      <c r="D3" s="242">
        <v>85</v>
      </c>
      <c r="E3" s="243"/>
      <c r="F3" s="242">
        <f>SELLO!E42</f>
        <v>1272.5999999999999</v>
      </c>
      <c r="G3" s="243"/>
      <c r="H3" s="242">
        <f>'PINTURA T.VERDE'!R64</f>
        <v>2447.3559999999998</v>
      </c>
      <c r="I3" s="243"/>
      <c r="J3" s="242">
        <f>'TRT DIL'!E40</f>
        <v>1201.8439999999998</v>
      </c>
      <c r="K3" s="243"/>
      <c r="L3" s="222">
        <f>'[1](4A) PINTURA CARP MET'!H40</f>
        <v>0</v>
      </c>
      <c r="M3" s="223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</row>
    <row r="4" spans="1:58">
      <c r="A4" s="192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</row>
    <row r="5" spans="1:58">
      <c r="A5" s="192"/>
      <c r="B5" s="213" t="s">
        <v>279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5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</row>
    <row r="6" spans="1:58">
      <c r="A6" s="192"/>
      <c r="B6" s="240" t="s">
        <v>272</v>
      </c>
      <c r="C6" s="241"/>
      <c r="D6" s="240" t="s">
        <v>273</v>
      </c>
      <c r="E6" s="241"/>
      <c r="F6" s="240" t="s">
        <v>274</v>
      </c>
      <c r="G6" s="241"/>
      <c r="H6" s="240" t="s">
        <v>275</v>
      </c>
      <c r="I6" s="241"/>
      <c r="J6" s="240" t="s">
        <v>291</v>
      </c>
      <c r="K6" s="241"/>
      <c r="L6" s="230" t="s">
        <v>277</v>
      </c>
      <c r="M6" s="231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</row>
    <row r="7" spans="1:58">
      <c r="A7" s="192"/>
      <c r="B7" s="236">
        <f>LAVADO!L76</f>
        <v>1290.8600000000001</v>
      </c>
      <c r="C7" s="237"/>
      <c r="D7" s="236">
        <f>RESANE!AC81+RESANE!AQ81+RESANE!BE81+RESANE!BS81+RESANE!CG81+RESANE!CU81</f>
        <v>0</v>
      </c>
      <c r="E7" s="237"/>
      <c r="F7" s="236">
        <f>SELLO!L42</f>
        <v>42.84</v>
      </c>
      <c r="G7" s="237"/>
      <c r="H7" s="236">
        <f>'PINTURA T.VERDE'!AC81+'PINTURA T.VERDE'!AQ81+'PINTURA T.VERDE'!BE81+'PINTURA T.VERDE'!BS81+'PINTURA T.VERDE'!CG81+'PINTURA T.VERDE'!CU81</f>
        <v>1000</v>
      </c>
      <c r="I7" s="237"/>
      <c r="J7" s="236">
        <f>'TRT DIL'!L52</f>
        <v>135.79999999999998</v>
      </c>
      <c r="K7" s="237"/>
      <c r="L7" s="222">
        <f>'[1](4A) PINTURA CARP MET'!H40</f>
        <v>0</v>
      </c>
      <c r="M7" s="223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</row>
    <row r="8" spans="1:58">
      <c r="A8" s="192"/>
      <c r="B8" s="194"/>
      <c r="C8" s="194"/>
      <c r="D8" s="194"/>
      <c r="E8" s="194"/>
      <c r="F8" s="194"/>
      <c r="G8" s="194"/>
      <c r="H8" s="194"/>
      <c r="I8" s="194"/>
      <c r="J8" s="194"/>
      <c r="K8" s="195"/>
      <c r="L8" s="194"/>
      <c r="M8" s="195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</row>
    <row r="9" spans="1:58">
      <c r="A9" s="192"/>
      <c r="B9" s="216" t="s">
        <v>280</v>
      </c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8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</row>
    <row r="10" spans="1:58">
      <c r="A10" s="192"/>
      <c r="B10" s="234" t="s">
        <v>272</v>
      </c>
      <c r="C10" s="235"/>
      <c r="D10" s="234" t="s">
        <v>273</v>
      </c>
      <c r="E10" s="235"/>
      <c r="F10" s="234" t="s">
        <v>274</v>
      </c>
      <c r="G10" s="235"/>
      <c r="H10" s="234" t="s">
        <v>275</v>
      </c>
      <c r="I10" s="235"/>
      <c r="J10" s="234" t="s">
        <v>291</v>
      </c>
      <c r="K10" s="235"/>
      <c r="L10" s="230" t="s">
        <v>277</v>
      </c>
      <c r="M10" s="231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</row>
    <row r="11" spans="1:58">
      <c r="A11" s="192"/>
      <c r="B11" s="232">
        <f>B3-B7</f>
        <v>3017.3020000000001</v>
      </c>
      <c r="C11" s="233"/>
      <c r="D11" s="232">
        <f t="shared" ref="D11" si="0">D3-D7</f>
        <v>85</v>
      </c>
      <c r="E11" s="233"/>
      <c r="F11" s="232">
        <f t="shared" ref="F11" si="1">F3-F7</f>
        <v>1229.76</v>
      </c>
      <c r="G11" s="233"/>
      <c r="H11" s="232">
        <f t="shared" ref="H11" si="2">H3-H7</f>
        <v>1447.3559999999998</v>
      </c>
      <c r="I11" s="233"/>
      <c r="J11" s="232">
        <f>J3-J7</f>
        <v>1066.0439999999999</v>
      </c>
      <c r="K11" s="233"/>
      <c r="L11" s="222">
        <f t="shared" ref="L11" si="3">L3-L7</f>
        <v>0</v>
      </c>
      <c r="M11" s="223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</row>
    <row r="12" spans="1:58">
      <c r="A12" s="192"/>
      <c r="B12" s="194"/>
      <c r="C12" s="194"/>
      <c r="D12" s="194"/>
      <c r="E12" s="194"/>
      <c r="F12" s="194"/>
      <c r="G12" s="194"/>
      <c r="H12" s="194"/>
      <c r="I12" s="194"/>
      <c r="J12" s="194"/>
      <c r="K12" s="195"/>
      <c r="L12" s="194"/>
      <c r="M12" s="195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</row>
    <row r="13" spans="1:58">
      <c r="A13" s="192"/>
      <c r="B13" s="219" t="s">
        <v>281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1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3"/>
      <c r="BF13" s="196"/>
    </row>
    <row r="14" spans="1:58">
      <c r="A14" s="192"/>
      <c r="B14" s="228" t="s">
        <v>272</v>
      </c>
      <c r="C14" s="229"/>
      <c r="D14" s="228" t="s">
        <v>273</v>
      </c>
      <c r="E14" s="229"/>
      <c r="F14" s="228" t="s">
        <v>274</v>
      </c>
      <c r="G14" s="229"/>
      <c r="H14" s="228" t="s">
        <v>275</v>
      </c>
      <c r="I14" s="229"/>
      <c r="J14" s="228" t="s">
        <v>291</v>
      </c>
      <c r="K14" s="229"/>
      <c r="L14" s="230" t="s">
        <v>277</v>
      </c>
      <c r="M14" s="231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Z14" s="196"/>
      <c r="AA14" s="193"/>
      <c r="AB14" s="196"/>
      <c r="AC14" s="193"/>
      <c r="AD14" s="193"/>
      <c r="AE14" s="196"/>
      <c r="AF14" s="193"/>
      <c r="AG14" s="193"/>
      <c r="AH14" s="196"/>
      <c r="AI14" s="193"/>
      <c r="AJ14" s="193"/>
      <c r="AK14" s="196"/>
      <c r="AL14" s="193"/>
      <c r="AM14" s="193"/>
      <c r="AN14" s="196"/>
      <c r="AO14" s="193"/>
      <c r="AP14" s="193"/>
      <c r="AQ14" s="196"/>
      <c r="AR14" s="193"/>
      <c r="AS14" s="193"/>
      <c r="AT14" s="196"/>
      <c r="AU14" s="193"/>
      <c r="AV14" s="193"/>
      <c r="AW14" s="196"/>
      <c r="AX14" s="193"/>
      <c r="AY14" s="193"/>
      <c r="AZ14" s="196"/>
      <c r="BA14" s="193"/>
      <c r="BB14" s="193"/>
      <c r="BC14" s="196"/>
      <c r="BD14" s="193"/>
      <c r="BE14" s="193"/>
      <c r="BF14" s="198"/>
    </row>
    <row r="15" spans="1:58">
      <c r="A15" s="192"/>
      <c r="B15" s="224"/>
      <c r="C15" s="225"/>
      <c r="D15" s="226"/>
      <c r="E15" s="227"/>
      <c r="F15" s="226"/>
      <c r="G15" s="227"/>
      <c r="H15" s="226"/>
      <c r="I15" s="227"/>
      <c r="J15" s="226"/>
      <c r="K15" s="227"/>
      <c r="L15" s="222">
        <f>'[2]COTIZACIÓN (2)'!O15</f>
        <v>0</v>
      </c>
      <c r="M15" s="223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Z15" s="198"/>
      <c r="AA15" s="193"/>
      <c r="AB15" s="198"/>
      <c r="AC15" s="193"/>
      <c r="AD15" s="193"/>
      <c r="AE15" s="198"/>
      <c r="AF15" s="193"/>
      <c r="AG15" s="193"/>
      <c r="AH15" s="198"/>
      <c r="AI15" s="193"/>
      <c r="AJ15" s="193"/>
      <c r="AK15" s="198"/>
      <c r="AL15" s="193"/>
      <c r="AM15" s="193"/>
      <c r="AN15" s="198"/>
      <c r="AO15" s="193"/>
      <c r="AP15" s="193"/>
      <c r="AQ15" s="198"/>
      <c r="AR15" s="193"/>
      <c r="AS15" s="193"/>
      <c r="AT15" s="198"/>
      <c r="AU15" s="193"/>
      <c r="AV15" s="193"/>
      <c r="AW15" s="198"/>
      <c r="AX15" s="193"/>
      <c r="AY15" s="193"/>
      <c r="AZ15" s="198"/>
      <c r="BA15" s="193"/>
      <c r="BB15" s="193"/>
      <c r="BC15" s="198"/>
      <c r="BD15" s="193"/>
      <c r="BE15" s="190"/>
      <c r="BF15" s="190"/>
    </row>
    <row r="16" spans="1:58">
      <c r="A16" s="192"/>
      <c r="B16" s="196"/>
      <c r="C16" s="196"/>
      <c r="D16" s="196"/>
      <c r="E16" s="196"/>
      <c r="F16" s="196"/>
      <c r="G16" s="196"/>
      <c r="H16" s="197"/>
      <c r="I16" s="196"/>
      <c r="J16" s="196"/>
      <c r="K16" s="196"/>
      <c r="L16" s="196"/>
      <c r="M16" s="196"/>
      <c r="N16" s="196"/>
      <c r="O16" s="193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2"/>
      <c r="BF16" s="192"/>
    </row>
    <row r="17" spans="1:58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3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</row>
    <row r="18" spans="1:58">
      <c r="A18" s="209" t="s">
        <v>295</v>
      </c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193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</row>
    <row r="19" spans="1:58">
      <c r="A19" s="209"/>
      <c r="B19" s="209"/>
      <c r="C19" s="209" t="s">
        <v>42</v>
      </c>
      <c r="D19" s="209"/>
      <c r="E19" s="209" t="s">
        <v>43</v>
      </c>
      <c r="F19" s="209"/>
      <c r="G19" s="209" t="s">
        <v>282</v>
      </c>
      <c r="H19" s="209"/>
      <c r="I19" s="209" t="s">
        <v>45</v>
      </c>
      <c r="J19" s="209"/>
      <c r="K19" s="209" t="s">
        <v>46</v>
      </c>
      <c r="L19" s="209"/>
      <c r="M19" s="209" t="s">
        <v>283</v>
      </c>
      <c r="N19" s="209"/>
      <c r="O19" s="193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2"/>
      <c r="BF19" s="192"/>
    </row>
    <row r="20" spans="1:58">
      <c r="A20" s="208" t="s">
        <v>272</v>
      </c>
      <c r="B20" s="209"/>
      <c r="C20" s="208"/>
      <c r="D20" s="209"/>
      <c r="E20" s="208"/>
      <c r="F20" s="209"/>
      <c r="G20" s="208"/>
      <c r="H20" s="209"/>
      <c r="I20" s="208"/>
      <c r="J20" s="209"/>
      <c r="K20" s="208"/>
      <c r="L20" s="209"/>
      <c r="M20" s="208"/>
      <c r="N20" s="209"/>
      <c r="O20" s="193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</row>
    <row r="21" spans="1:58">
      <c r="A21" s="208" t="s">
        <v>273</v>
      </c>
      <c r="B21" s="209"/>
      <c r="C21" s="208"/>
      <c r="D21" s="209"/>
      <c r="E21" s="208"/>
      <c r="F21" s="209"/>
      <c r="G21" s="208"/>
      <c r="H21" s="209"/>
      <c r="I21" s="208"/>
      <c r="J21" s="209"/>
      <c r="K21" s="208"/>
      <c r="L21" s="209"/>
      <c r="M21" s="208"/>
      <c r="N21" s="209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</row>
    <row r="22" spans="1:58">
      <c r="A22" s="208" t="s">
        <v>274</v>
      </c>
      <c r="B22" s="209"/>
      <c r="C22" s="208"/>
      <c r="D22" s="209"/>
      <c r="E22" s="208"/>
      <c r="F22" s="209"/>
      <c r="G22" s="208"/>
      <c r="H22" s="209"/>
      <c r="I22" s="208"/>
      <c r="J22" s="209"/>
      <c r="K22" s="208"/>
      <c r="L22" s="209"/>
      <c r="M22" s="208"/>
      <c r="N22" s="209"/>
      <c r="O22" s="193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</row>
    <row r="23" spans="1:58">
      <c r="A23" s="208" t="s">
        <v>275</v>
      </c>
      <c r="B23" s="209"/>
      <c r="C23" s="208"/>
      <c r="D23" s="209"/>
      <c r="E23" s="208"/>
      <c r="F23" s="209"/>
      <c r="G23" s="208"/>
      <c r="H23" s="209"/>
      <c r="I23" s="208"/>
      <c r="J23" s="209"/>
      <c r="K23" s="208"/>
      <c r="L23" s="209"/>
      <c r="M23" s="208"/>
      <c r="N23" s="209"/>
      <c r="O23" s="193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</row>
    <row r="24" spans="1:58">
      <c r="A24" s="208" t="s">
        <v>276</v>
      </c>
      <c r="B24" s="209"/>
      <c r="C24" s="208"/>
      <c r="D24" s="209"/>
      <c r="E24" s="208"/>
      <c r="F24" s="209"/>
      <c r="G24" s="208"/>
      <c r="H24" s="209"/>
      <c r="I24" s="208"/>
      <c r="J24" s="209"/>
      <c r="K24" s="208"/>
      <c r="L24" s="209"/>
      <c r="M24" s="208"/>
      <c r="N24" s="209"/>
      <c r="O24" s="199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</row>
    <row r="25" spans="1:58">
      <c r="A25" s="208" t="s">
        <v>277</v>
      </c>
      <c r="B25" s="209"/>
      <c r="C25" s="208"/>
      <c r="D25" s="209"/>
      <c r="E25" s="208"/>
      <c r="F25" s="209"/>
      <c r="G25" s="208"/>
      <c r="H25" s="209"/>
      <c r="I25" s="208"/>
      <c r="J25" s="209"/>
      <c r="K25" s="208"/>
      <c r="L25" s="209"/>
      <c r="M25" s="208"/>
      <c r="N25" s="209"/>
      <c r="O25" s="199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</row>
    <row r="26" spans="1:58">
      <c r="A26" s="208" t="s">
        <v>278</v>
      </c>
      <c r="B26" s="209"/>
      <c r="C26" s="208"/>
      <c r="D26" s="209"/>
      <c r="E26" s="208"/>
      <c r="F26" s="209"/>
      <c r="G26" s="208"/>
      <c r="H26" s="209"/>
      <c r="I26" s="208"/>
      <c r="J26" s="209"/>
      <c r="K26" s="208"/>
      <c r="L26" s="209"/>
      <c r="M26" s="208"/>
      <c r="N26" s="209"/>
      <c r="O26" s="199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</row>
    <row r="27" spans="1:58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9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</row>
    <row r="28" spans="1:58">
      <c r="A28" s="209" t="s">
        <v>296</v>
      </c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199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</row>
    <row r="29" spans="1:58">
      <c r="A29" s="209"/>
      <c r="B29" s="209"/>
      <c r="C29" s="209" t="s">
        <v>42</v>
      </c>
      <c r="D29" s="209"/>
      <c r="E29" s="209" t="s">
        <v>43</v>
      </c>
      <c r="F29" s="209"/>
      <c r="G29" s="209" t="s">
        <v>282</v>
      </c>
      <c r="H29" s="209"/>
      <c r="I29" s="209" t="s">
        <v>45</v>
      </c>
      <c r="J29" s="209"/>
      <c r="K29" s="209" t="s">
        <v>46</v>
      </c>
      <c r="L29" s="209"/>
      <c r="M29" s="209" t="s">
        <v>283</v>
      </c>
      <c r="N29" s="209"/>
      <c r="O29" s="199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3"/>
      <c r="AB29" s="196"/>
      <c r="AC29" s="193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</row>
    <row r="30" spans="1:58">
      <c r="A30" s="208" t="s">
        <v>272</v>
      </c>
      <c r="B30" s="209"/>
      <c r="C30" s="208"/>
      <c r="D30" s="209"/>
      <c r="E30" s="208"/>
      <c r="F30" s="209"/>
      <c r="G30" s="208"/>
      <c r="H30" s="209"/>
      <c r="I30" s="208"/>
      <c r="J30" s="209"/>
      <c r="K30" s="208"/>
      <c r="L30" s="209"/>
      <c r="M30" s="208"/>
      <c r="N30" s="209"/>
      <c r="O30" s="199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3"/>
      <c r="AB30" s="198"/>
      <c r="AC30" s="193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</row>
    <row r="31" spans="1:58">
      <c r="A31" s="208" t="s">
        <v>273</v>
      </c>
      <c r="B31" s="209"/>
      <c r="C31" s="208"/>
      <c r="D31" s="209"/>
      <c r="E31" s="208"/>
      <c r="F31" s="209"/>
      <c r="G31" s="208"/>
      <c r="H31" s="209"/>
      <c r="I31" s="208"/>
      <c r="J31" s="209"/>
      <c r="K31" s="208"/>
      <c r="L31" s="209"/>
      <c r="M31" s="208"/>
      <c r="N31" s="209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</row>
    <row r="32" spans="1:58">
      <c r="A32" s="208" t="s">
        <v>274</v>
      </c>
      <c r="B32" s="209"/>
      <c r="C32" s="208"/>
      <c r="D32" s="209"/>
      <c r="E32" s="208"/>
      <c r="F32" s="209"/>
      <c r="G32" s="208"/>
      <c r="H32" s="209"/>
      <c r="I32" s="208"/>
      <c r="J32" s="209"/>
      <c r="K32" s="208"/>
      <c r="L32" s="209"/>
      <c r="M32" s="208"/>
      <c r="N32" s="209"/>
      <c r="O32" s="199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2"/>
      <c r="AB32" s="192"/>
      <c r="AC32" s="192"/>
      <c r="AD32" s="193"/>
      <c r="AE32" s="196"/>
      <c r="AF32" s="193"/>
      <c r="AG32" s="193"/>
      <c r="AH32" s="196"/>
      <c r="AI32" s="193"/>
      <c r="AJ32" s="193"/>
      <c r="AK32" s="196"/>
      <c r="AL32" s="193"/>
      <c r="AM32" s="193"/>
      <c r="AN32" s="196"/>
      <c r="AO32" s="193"/>
      <c r="AP32" s="193"/>
      <c r="AQ32" s="196"/>
      <c r="AR32" s="193"/>
      <c r="AS32" s="193"/>
      <c r="AT32" s="196"/>
      <c r="AU32" s="193"/>
      <c r="AV32" s="193"/>
      <c r="AW32" s="196"/>
      <c r="AX32" s="193"/>
      <c r="AY32" s="193"/>
      <c r="AZ32" s="196"/>
      <c r="BA32" s="193"/>
      <c r="BB32" s="193"/>
      <c r="BC32" s="196"/>
      <c r="BD32" s="193"/>
      <c r="BE32" s="193"/>
      <c r="BF32" s="196"/>
    </row>
    <row r="33" spans="1:58">
      <c r="A33" s="208" t="s">
        <v>275</v>
      </c>
      <c r="B33" s="209"/>
      <c r="C33" s="208"/>
      <c r="D33" s="209"/>
      <c r="E33" s="208"/>
      <c r="F33" s="209"/>
      <c r="G33" s="208"/>
      <c r="H33" s="209"/>
      <c r="I33" s="208"/>
      <c r="J33" s="209"/>
      <c r="K33" s="208"/>
      <c r="L33" s="209"/>
      <c r="M33" s="208"/>
      <c r="N33" s="209"/>
      <c r="O33" s="199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2"/>
      <c r="AB33" s="192"/>
      <c r="AC33" s="192"/>
      <c r="AD33" s="193"/>
      <c r="AE33" s="198"/>
      <c r="AF33" s="193"/>
      <c r="AG33" s="193"/>
      <c r="AH33" s="198"/>
      <c r="AI33" s="193"/>
      <c r="AJ33" s="193"/>
      <c r="AK33" s="198"/>
      <c r="AL33" s="193"/>
      <c r="AM33" s="193"/>
      <c r="AN33" s="198"/>
      <c r="AO33" s="193"/>
      <c r="AP33" s="193"/>
      <c r="AQ33" s="198"/>
      <c r="AR33" s="193"/>
      <c r="AS33" s="193"/>
      <c r="AT33" s="198"/>
      <c r="AU33" s="193"/>
      <c r="AV33" s="193"/>
      <c r="AW33" s="198"/>
      <c r="AX33" s="193"/>
      <c r="AY33" s="193"/>
      <c r="AZ33" s="198"/>
      <c r="BA33" s="193"/>
      <c r="BB33" s="193"/>
      <c r="BC33" s="198"/>
      <c r="BD33" s="193"/>
      <c r="BE33" s="193"/>
      <c r="BF33" s="198"/>
    </row>
    <row r="34" spans="1:58">
      <c r="A34" s="208" t="s">
        <v>276</v>
      </c>
      <c r="B34" s="209"/>
      <c r="C34" s="208"/>
      <c r="D34" s="209"/>
      <c r="E34" s="208"/>
      <c r="F34" s="209"/>
      <c r="G34" s="208"/>
      <c r="H34" s="209"/>
      <c r="I34" s="208"/>
      <c r="J34" s="209"/>
      <c r="K34" s="208"/>
      <c r="L34" s="209"/>
      <c r="M34" s="208"/>
      <c r="N34" s="209"/>
      <c r="O34" s="199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2"/>
      <c r="AB34" s="192"/>
      <c r="AC34" s="192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</row>
    <row r="35" spans="1:58">
      <c r="A35" s="208" t="s">
        <v>277</v>
      </c>
      <c r="B35" s="209"/>
      <c r="C35" s="208"/>
      <c r="D35" s="209"/>
      <c r="E35" s="208"/>
      <c r="F35" s="209"/>
      <c r="G35" s="208"/>
      <c r="H35" s="209"/>
      <c r="I35" s="208"/>
      <c r="J35" s="209"/>
      <c r="K35" s="208"/>
      <c r="L35" s="209"/>
      <c r="M35" s="208"/>
      <c r="N35" s="209"/>
      <c r="O35" s="199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</row>
    <row r="36" spans="1:58">
      <c r="A36" s="208" t="s">
        <v>278</v>
      </c>
      <c r="B36" s="209"/>
      <c r="C36" s="208"/>
      <c r="D36" s="209"/>
      <c r="E36" s="208"/>
      <c r="F36" s="209"/>
      <c r="G36" s="208"/>
      <c r="H36" s="209"/>
      <c r="I36" s="208"/>
      <c r="J36" s="209"/>
      <c r="K36" s="208"/>
      <c r="L36" s="209"/>
      <c r="M36" s="208"/>
      <c r="N36" s="209"/>
      <c r="O36" s="199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</row>
    <row r="37" spans="1:58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199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</row>
    <row r="38" spans="1:58">
      <c r="A38" s="209" t="s">
        <v>284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199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</row>
    <row r="39" spans="1:58">
      <c r="A39" s="209"/>
      <c r="B39" s="209"/>
      <c r="C39" s="209" t="s">
        <v>42</v>
      </c>
      <c r="D39" s="209"/>
      <c r="E39" s="209" t="s">
        <v>43</v>
      </c>
      <c r="F39" s="209"/>
      <c r="G39" s="209" t="s">
        <v>282</v>
      </c>
      <c r="H39" s="209"/>
      <c r="I39" s="209" t="s">
        <v>45</v>
      </c>
      <c r="J39" s="209"/>
      <c r="K39" s="209" t="s">
        <v>46</v>
      </c>
      <c r="L39" s="209"/>
      <c r="M39" s="209" t="s">
        <v>283</v>
      </c>
      <c r="N39" s="209"/>
      <c r="O39" s="199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</row>
    <row r="40" spans="1:58">
      <c r="A40" s="209" t="s">
        <v>56</v>
      </c>
      <c r="B40" s="209" t="s">
        <v>285</v>
      </c>
      <c r="C40" s="208"/>
      <c r="D40" s="209"/>
      <c r="E40" s="208"/>
      <c r="F40" s="209"/>
      <c r="G40" s="208"/>
      <c r="H40" s="209"/>
      <c r="I40" s="208"/>
      <c r="J40" s="209"/>
      <c r="K40" s="208"/>
      <c r="L40" s="209"/>
      <c r="M40" s="208"/>
      <c r="N40" s="209"/>
      <c r="O40" s="199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</row>
    <row r="41" spans="1:58">
      <c r="A41" s="209" t="s">
        <v>297</v>
      </c>
      <c r="B41" s="209" t="s">
        <v>286</v>
      </c>
      <c r="C41" s="208"/>
      <c r="D41" s="209"/>
      <c r="E41" s="208"/>
      <c r="F41" s="209"/>
      <c r="G41" s="208"/>
      <c r="H41" s="209"/>
      <c r="I41" s="208"/>
      <c r="J41" s="209"/>
      <c r="K41" s="208"/>
      <c r="L41" s="209"/>
      <c r="M41" s="208"/>
      <c r="N41" s="209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</row>
    <row r="42" spans="1:58">
      <c r="A42" s="209" t="s">
        <v>288</v>
      </c>
      <c r="B42" s="209" t="s">
        <v>287</v>
      </c>
      <c r="C42" s="208"/>
      <c r="D42" s="209"/>
      <c r="E42" s="208"/>
      <c r="F42" s="209"/>
      <c r="G42" s="208"/>
      <c r="H42" s="209"/>
      <c r="I42" s="208"/>
      <c r="J42" s="209"/>
      <c r="K42" s="208"/>
      <c r="L42" s="209"/>
      <c r="M42" s="208"/>
      <c r="N42" s="209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</row>
    <row r="43" spans="1:58">
      <c r="A43" s="209" t="s">
        <v>298</v>
      </c>
      <c r="B43" s="209" t="s">
        <v>288</v>
      </c>
      <c r="C43" s="208"/>
      <c r="D43" s="209"/>
      <c r="E43" s="208"/>
      <c r="F43" s="209"/>
      <c r="G43" s="208"/>
      <c r="H43" s="209"/>
      <c r="I43" s="208"/>
      <c r="J43" s="209"/>
      <c r="K43" s="208"/>
      <c r="L43" s="209"/>
      <c r="M43" s="208"/>
      <c r="N43" s="209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</row>
    <row r="44" spans="1:58">
      <c r="A44" s="209"/>
      <c r="B44" s="209" t="s">
        <v>289</v>
      </c>
      <c r="C44" s="208"/>
      <c r="D44" s="209"/>
      <c r="E44" s="208"/>
      <c r="F44" s="209"/>
      <c r="G44" s="208"/>
      <c r="H44" s="209"/>
      <c r="I44" s="208"/>
      <c r="J44" s="209"/>
      <c r="K44" s="208"/>
      <c r="L44" s="209"/>
      <c r="M44" s="208"/>
      <c r="N44" s="209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3"/>
      <c r="AB44" s="196"/>
      <c r="AC44" s="193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</row>
    <row r="45" spans="1:58">
      <c r="A45" s="209"/>
      <c r="B45" s="209" t="s">
        <v>290</v>
      </c>
      <c r="C45" s="208"/>
      <c r="D45" s="209"/>
      <c r="E45" s="208"/>
      <c r="F45" s="209"/>
      <c r="G45" s="208"/>
      <c r="H45" s="209"/>
      <c r="I45" s="208"/>
      <c r="J45" s="209"/>
      <c r="K45" s="208"/>
      <c r="L45" s="209"/>
      <c r="M45" s="208"/>
      <c r="N45" s="209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3"/>
      <c r="AB45" s="198"/>
      <c r="AC45" s="193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</row>
    <row r="46" spans="1:58">
      <c r="A46" s="208"/>
      <c r="B46" s="209"/>
      <c r="C46" s="208"/>
      <c r="D46" s="209"/>
      <c r="E46" s="208"/>
      <c r="F46" s="209"/>
      <c r="G46" s="208"/>
      <c r="H46" s="209"/>
      <c r="I46" s="208"/>
      <c r="J46" s="209"/>
      <c r="K46" s="208"/>
      <c r="L46" s="209"/>
      <c r="M46" s="208"/>
      <c r="N46" s="209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</row>
    <row r="47" spans="1:58">
      <c r="A47" s="200"/>
      <c r="B47" s="200"/>
      <c r="C47" s="200"/>
      <c r="D47" s="200"/>
      <c r="E47" s="200"/>
      <c r="F47" s="200"/>
      <c r="G47" s="200"/>
      <c r="H47" s="201"/>
      <c r="I47" s="201"/>
      <c r="J47" s="201"/>
      <c r="K47" s="201"/>
      <c r="L47" s="201"/>
      <c r="M47" s="201"/>
      <c r="N47" s="201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2"/>
      <c r="AB47" s="192"/>
      <c r="AC47" s="192"/>
      <c r="AD47" s="193"/>
      <c r="AE47" s="196"/>
      <c r="AF47" s="193"/>
      <c r="AG47" s="193"/>
      <c r="AH47" s="196"/>
      <c r="AI47" s="193"/>
      <c r="AJ47" s="193"/>
      <c r="AK47" s="196"/>
      <c r="AL47" s="193"/>
      <c r="AM47" s="193"/>
      <c r="AN47" s="196"/>
      <c r="AO47" s="193"/>
      <c r="AP47" s="193"/>
      <c r="AQ47" s="196"/>
      <c r="AR47" s="193"/>
      <c r="AS47" s="193"/>
      <c r="AT47" s="196"/>
      <c r="AU47" s="193"/>
      <c r="AV47" s="193"/>
      <c r="AW47" s="196"/>
      <c r="AX47" s="193"/>
      <c r="AY47" s="193"/>
      <c r="AZ47" s="196"/>
      <c r="BA47" s="193"/>
      <c r="BB47" s="193"/>
      <c r="BC47" s="196"/>
      <c r="BD47" s="193"/>
      <c r="BE47" s="193"/>
      <c r="BF47" s="196"/>
    </row>
    <row r="48" spans="1:58">
      <c r="A48" s="199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202"/>
      <c r="W48" s="190"/>
      <c r="X48" s="190"/>
      <c r="Y48" s="190"/>
      <c r="Z48" s="190"/>
      <c r="AA48" s="192"/>
      <c r="AB48" s="192"/>
      <c r="AC48" s="192"/>
      <c r="AD48" s="193"/>
      <c r="AE48" s="198"/>
      <c r="AF48" s="193"/>
      <c r="AG48" s="193"/>
      <c r="AH48" s="198"/>
      <c r="AI48" s="193"/>
      <c r="AJ48" s="193"/>
      <c r="AK48" s="198"/>
      <c r="AL48" s="193"/>
      <c r="AM48" s="193"/>
      <c r="AN48" s="198"/>
      <c r="AO48" s="193"/>
      <c r="AP48" s="193"/>
      <c r="AQ48" s="198"/>
      <c r="AR48" s="193"/>
      <c r="AS48" s="193"/>
      <c r="AT48" s="198"/>
      <c r="AU48" s="193"/>
      <c r="AV48" s="193"/>
      <c r="AW48" s="198"/>
      <c r="AX48" s="193"/>
      <c r="AY48" s="193"/>
      <c r="AZ48" s="198"/>
      <c r="BA48" s="193"/>
      <c r="BB48" s="193"/>
      <c r="BC48" s="198"/>
      <c r="BD48" s="193"/>
      <c r="BE48" s="193"/>
      <c r="BF48" s="198"/>
    </row>
    <row r="49" spans="1:58">
      <c r="A49" s="199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202"/>
      <c r="W49" s="190"/>
      <c r="X49" s="190"/>
      <c r="Y49" s="190"/>
      <c r="Z49" s="190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  <c r="BD49" s="192"/>
      <c r="BE49" s="192"/>
      <c r="BF49" s="192"/>
    </row>
    <row r="50" spans="1:58">
      <c r="A50" s="199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202"/>
      <c r="W50" s="190"/>
      <c r="X50" s="190"/>
      <c r="Y50" s="190"/>
      <c r="Z50" s="190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</row>
    <row r="51" spans="1:58">
      <c r="A51" s="199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202"/>
      <c r="W51" s="190"/>
      <c r="X51" s="190"/>
      <c r="Y51" s="190"/>
      <c r="Z51" s="190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</row>
    <row r="52" spans="1:58">
      <c r="A52" s="199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202"/>
      <c r="W52" s="190"/>
      <c r="X52" s="190"/>
      <c r="Y52" s="190"/>
      <c r="Z52" s="190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</row>
    <row r="53" spans="1:58">
      <c r="A53" s="199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202"/>
      <c r="W53" s="190"/>
      <c r="X53" s="190"/>
      <c r="Y53" s="190"/>
      <c r="Z53" s="190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</row>
    <row r="54" spans="1:58">
      <c r="A54" s="199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202"/>
      <c r="W54" s="190"/>
      <c r="X54" s="190"/>
      <c r="Y54" s="190"/>
      <c r="Z54" s="190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</row>
    <row r="55" spans="1:58">
      <c r="A55" s="199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202"/>
      <c r="W55" s="190"/>
      <c r="X55" s="190"/>
      <c r="Y55" s="190"/>
      <c r="Z55" s="190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</row>
    <row r="56" spans="1:58">
      <c r="A56" s="199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202"/>
      <c r="W56" s="190"/>
      <c r="X56" s="190"/>
      <c r="Y56" s="190"/>
      <c r="Z56" s="190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</row>
    <row r="57" spans="1:58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202"/>
      <c r="W57" s="190"/>
      <c r="X57" s="190"/>
      <c r="Y57" s="190"/>
      <c r="Z57" s="190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</row>
    <row r="58" spans="1:58">
      <c r="A58" s="199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202"/>
      <c r="W58" s="190"/>
      <c r="X58" s="190"/>
      <c r="Y58" s="190"/>
      <c r="Z58" s="190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</row>
    <row r="59" spans="1:58">
      <c r="A59" s="199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202"/>
      <c r="W59" s="190"/>
      <c r="X59" s="190"/>
      <c r="Y59" s="190"/>
      <c r="Z59" s="190"/>
      <c r="AA59" s="193"/>
      <c r="AB59" s="196"/>
      <c r="AC59" s="193"/>
      <c r="AD59" s="193"/>
      <c r="AE59" s="196"/>
      <c r="AF59" s="193"/>
      <c r="AG59" s="193"/>
      <c r="AH59" s="196"/>
      <c r="AI59" s="193"/>
      <c r="AJ59" s="193"/>
      <c r="AK59" s="196"/>
      <c r="AL59" s="193"/>
      <c r="AM59" s="193"/>
      <c r="AN59" s="196"/>
      <c r="AO59" s="193"/>
      <c r="AP59" s="193"/>
      <c r="AQ59" s="196"/>
      <c r="AR59" s="193"/>
      <c r="AS59" s="193"/>
      <c r="AT59" s="196"/>
      <c r="AU59" s="193"/>
      <c r="AV59" s="193"/>
      <c r="AW59" s="196"/>
      <c r="AX59" s="193"/>
      <c r="AY59" s="193"/>
      <c r="AZ59" s="196"/>
      <c r="BA59" s="193"/>
      <c r="BB59" s="193"/>
      <c r="BC59" s="196"/>
      <c r="BD59" s="193"/>
      <c r="BE59" s="193"/>
      <c r="BF59" s="196"/>
    </row>
    <row r="60" spans="1:58">
      <c r="A60" s="199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202"/>
      <c r="W60" s="190"/>
      <c r="X60" s="190"/>
      <c r="Y60" s="190"/>
      <c r="Z60" s="190"/>
      <c r="AA60" s="193"/>
      <c r="AB60" s="198"/>
      <c r="AC60" s="193"/>
      <c r="AD60" s="193"/>
      <c r="AE60" s="198"/>
      <c r="AF60" s="193"/>
      <c r="AG60" s="193"/>
      <c r="AH60" s="198"/>
      <c r="AI60" s="193"/>
      <c r="AJ60" s="193"/>
      <c r="AK60" s="198"/>
      <c r="AL60" s="193"/>
      <c r="AM60" s="193"/>
      <c r="AN60" s="198"/>
      <c r="AO60" s="193"/>
      <c r="AP60" s="193"/>
      <c r="AQ60" s="198"/>
      <c r="AR60" s="193"/>
      <c r="AS60" s="193"/>
      <c r="AT60" s="198"/>
      <c r="AU60" s="193"/>
      <c r="AV60" s="193"/>
      <c r="AW60" s="198"/>
      <c r="AX60" s="193"/>
      <c r="AY60" s="193"/>
      <c r="AZ60" s="198"/>
      <c r="BA60" s="193"/>
      <c r="BB60" s="193"/>
      <c r="BC60" s="198"/>
      <c r="BD60" s="193"/>
      <c r="BE60" s="193"/>
      <c r="BF60" s="198"/>
    </row>
    <row r="61" spans="1:58">
      <c r="A61" s="199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202"/>
      <c r="W61" s="190"/>
      <c r="X61" s="190"/>
      <c r="Y61" s="190"/>
      <c r="Z61" s="190"/>
      <c r="AA61" s="190"/>
      <c r="AB61" s="190"/>
      <c r="AC61" s="190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  <c r="BD61" s="192"/>
      <c r="BE61" s="192"/>
      <c r="BF61" s="192"/>
    </row>
    <row r="62" spans="1:58">
      <c r="A62" s="199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202"/>
      <c r="W62" s="190"/>
      <c r="X62" s="190"/>
      <c r="Y62" s="190"/>
      <c r="Z62" s="190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</row>
    <row r="63" spans="1:58">
      <c r="A63" s="199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9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</row>
    <row r="64" spans="1:58">
      <c r="A64" s="199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9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</row>
    <row r="65" spans="1:58">
      <c r="A65" s="199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9"/>
      <c r="AA65" s="192"/>
      <c r="AB65" s="192"/>
      <c r="AC65" s="192"/>
      <c r="AD65" s="203" t="s">
        <v>292</v>
      </c>
      <c r="AE65" s="203" t="s">
        <v>293</v>
      </c>
      <c r="AF65" s="203" t="s">
        <v>294</v>
      </c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</row>
    <row r="66" spans="1:58">
      <c r="A66" s="19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9"/>
      <c r="AA66" s="192"/>
      <c r="AB66" s="192"/>
      <c r="AC66" s="192"/>
      <c r="AD66" s="204" t="s">
        <v>272</v>
      </c>
      <c r="AE66" s="205">
        <f>B3</f>
        <v>4308.1620000000003</v>
      </c>
      <c r="AF66" s="205">
        <f>B11</f>
        <v>3017.3020000000001</v>
      </c>
      <c r="AG66" s="193"/>
      <c r="AH66" s="196"/>
      <c r="AI66" s="193"/>
      <c r="AJ66" s="193"/>
      <c r="AK66" s="196"/>
      <c r="AL66" s="193"/>
      <c r="AM66" s="193"/>
      <c r="AN66" s="196"/>
      <c r="AO66" s="193"/>
      <c r="AP66" s="193"/>
      <c r="AQ66" s="196"/>
      <c r="AR66" s="193"/>
      <c r="AS66" s="193"/>
      <c r="AT66" s="196"/>
      <c r="AU66" s="193"/>
      <c r="AV66" s="193"/>
      <c r="AW66" s="196"/>
      <c r="AX66" s="193"/>
      <c r="AY66" s="193"/>
      <c r="AZ66" s="196"/>
      <c r="BA66" s="193"/>
      <c r="BB66" s="193"/>
      <c r="BC66" s="196"/>
      <c r="BD66" s="193"/>
      <c r="BE66" s="193"/>
      <c r="BF66" s="196"/>
    </row>
    <row r="67" spans="1:58">
      <c r="A67" s="201"/>
      <c r="B67" s="201"/>
      <c r="C67" s="201"/>
      <c r="D67" s="201"/>
      <c r="E67" s="201"/>
      <c r="F67" s="201"/>
      <c r="G67" s="201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2"/>
      <c r="AB67" s="192"/>
      <c r="AC67" s="192"/>
      <c r="AD67" s="204" t="s">
        <v>273</v>
      </c>
      <c r="AE67" s="206">
        <f>D7</f>
        <v>0</v>
      </c>
      <c r="AF67" s="206">
        <f>D11</f>
        <v>85</v>
      </c>
      <c r="AG67" s="193"/>
      <c r="AH67" s="198"/>
      <c r="AI67" s="193"/>
      <c r="AJ67" s="193"/>
      <c r="AK67" s="198"/>
      <c r="AL67" s="193"/>
      <c r="AM67" s="193"/>
      <c r="AN67" s="198"/>
      <c r="AO67" s="193"/>
      <c r="AP67" s="193"/>
      <c r="AQ67" s="198"/>
      <c r="AR67" s="193"/>
      <c r="AS67" s="193"/>
      <c r="AT67" s="198"/>
      <c r="AU67" s="193"/>
      <c r="AV67" s="193"/>
      <c r="AW67" s="198"/>
      <c r="AX67" s="193"/>
      <c r="AY67" s="193"/>
      <c r="AZ67" s="198"/>
      <c r="BA67" s="193"/>
      <c r="BB67" s="193"/>
      <c r="BC67" s="198"/>
      <c r="BD67" s="193"/>
      <c r="BE67" s="193"/>
      <c r="BF67" s="198"/>
    </row>
    <row r="68" spans="1:58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2"/>
      <c r="AB68" s="192"/>
      <c r="AC68" s="192"/>
      <c r="AD68" s="204" t="s">
        <v>274</v>
      </c>
      <c r="AE68" s="205">
        <f>F7</f>
        <v>42.84</v>
      </c>
      <c r="AF68" s="205">
        <f>F11</f>
        <v>1229.76</v>
      </c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</row>
    <row r="69" spans="1:58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2"/>
      <c r="AB69" s="192"/>
      <c r="AC69" s="192"/>
      <c r="AD69" s="204" t="s">
        <v>275</v>
      </c>
      <c r="AE69" s="206">
        <f>H7</f>
        <v>1000</v>
      </c>
      <c r="AF69" s="206">
        <f>H11</f>
        <v>1447.3559999999998</v>
      </c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</row>
    <row r="70" spans="1:58" ht="28.8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2"/>
      <c r="AB70" s="192"/>
      <c r="AC70" s="192"/>
      <c r="AD70" s="204" t="s">
        <v>303</v>
      </c>
      <c r="AE70" s="206">
        <f>J7</f>
        <v>135.79999999999998</v>
      </c>
      <c r="AF70" s="206">
        <f>J11</f>
        <v>1066.0439999999999</v>
      </c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</row>
    <row r="71" spans="1:58" ht="28.8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2"/>
      <c r="AB71" s="192"/>
      <c r="AC71" s="192"/>
      <c r="AD71" s="206" t="s">
        <v>277</v>
      </c>
      <c r="AE71" s="205">
        <f>L7</f>
        <v>0</v>
      </c>
      <c r="AF71" s="205">
        <f>J11</f>
        <v>1066.0439999999999</v>
      </c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 s="190"/>
      <c r="AX71" s="190"/>
      <c r="AY71" s="190"/>
      <c r="AZ71" s="190"/>
      <c r="BA71" s="190"/>
      <c r="BB71" s="190"/>
      <c r="BC71" s="190"/>
      <c r="BD71" s="190"/>
      <c r="BE71" s="190"/>
      <c r="BF71" s="190"/>
    </row>
    <row r="72" spans="1:58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</row>
    <row r="73" spans="1:58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</row>
    <row r="74" spans="1:58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3"/>
      <c r="AB74" s="196"/>
      <c r="AC74" s="193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</row>
    <row r="75" spans="1:58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3"/>
      <c r="AB75" s="198"/>
      <c r="AC75" s="193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</row>
    <row r="76" spans="1:58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  <c r="BD76" s="192"/>
      <c r="BE76" s="192"/>
      <c r="BF76" s="192"/>
    </row>
    <row r="77" spans="1:58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</row>
    <row r="78" spans="1:58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</row>
    <row r="79" spans="1:58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</row>
    <row r="80" spans="1:58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</row>
    <row r="81" spans="1:58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  <c r="BD81" s="192"/>
      <c r="BE81" s="192"/>
      <c r="BF81" s="192"/>
    </row>
    <row r="82" spans="1:58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  <c r="BD82" s="192"/>
      <c r="BE82" s="192"/>
      <c r="BF82" s="192"/>
    </row>
    <row r="83" spans="1:58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2"/>
      <c r="AB83" s="192"/>
      <c r="AC83" s="192"/>
      <c r="AD83" s="193"/>
      <c r="AE83" s="196"/>
      <c r="AF83" s="193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/>
    </row>
    <row r="84" spans="1:58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3"/>
      <c r="AE84" s="198"/>
      <c r="AF84" s="193"/>
      <c r="AG84" s="193"/>
      <c r="AH84" s="196"/>
      <c r="AI84" s="193"/>
      <c r="AJ84" s="193"/>
      <c r="AK84" s="196"/>
      <c r="AL84" s="193"/>
      <c r="AM84" s="193"/>
      <c r="AN84" s="196"/>
      <c r="AO84" s="193"/>
      <c r="AP84" s="193"/>
      <c r="AQ84" s="196"/>
      <c r="AR84" s="193"/>
      <c r="AS84" s="193"/>
      <c r="AT84" s="196"/>
      <c r="AU84" s="193"/>
      <c r="AV84" s="193"/>
      <c r="AW84" s="196"/>
      <c r="AX84" s="193"/>
      <c r="AY84" s="193"/>
      <c r="AZ84" s="196"/>
      <c r="BA84" s="193"/>
      <c r="BB84" s="193"/>
      <c r="BC84" s="196"/>
      <c r="BD84" s="193"/>
      <c r="BE84" s="193"/>
      <c r="BF84" s="196"/>
    </row>
    <row r="85" spans="1:58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0"/>
      <c r="AE85" s="190"/>
      <c r="AF85" s="190"/>
      <c r="AG85" s="193"/>
      <c r="AH85" s="198"/>
      <c r="AI85" s="193"/>
      <c r="AJ85" s="193"/>
      <c r="AK85" s="198"/>
      <c r="AL85" s="193"/>
      <c r="AM85" s="193"/>
      <c r="AN85" s="198"/>
      <c r="AO85" s="193"/>
      <c r="AP85" s="193"/>
      <c r="AQ85" s="198"/>
      <c r="AR85" s="193"/>
      <c r="AS85" s="193"/>
      <c r="AT85" s="198"/>
      <c r="AU85" s="193"/>
      <c r="AV85" s="193"/>
      <c r="AW85" s="198"/>
      <c r="AX85" s="193"/>
      <c r="AY85" s="193"/>
      <c r="AZ85" s="198"/>
      <c r="BA85" s="193"/>
      <c r="BB85" s="193"/>
      <c r="BC85" s="198"/>
      <c r="BD85" s="193"/>
      <c r="BE85" s="193"/>
      <c r="BF85" s="198"/>
    </row>
    <row r="86" spans="1:58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0"/>
      <c r="AU86" s="190"/>
      <c r="AV86" s="190"/>
      <c r="AW86" s="190"/>
      <c r="AX86" s="190"/>
      <c r="AY86" s="190"/>
      <c r="AZ86" s="190"/>
      <c r="BA86" s="190"/>
      <c r="BB86" s="190"/>
      <c r="BC86" s="190"/>
      <c r="BD86" s="190"/>
      <c r="BE86" s="190"/>
      <c r="BF86" s="190"/>
    </row>
    <row r="87" spans="1:58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/>
    </row>
    <row r="88" spans="1:5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  <c r="BD88" s="192"/>
      <c r="BE88" s="192"/>
      <c r="BF88" s="192"/>
    </row>
    <row r="89" spans="1:58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</row>
    <row r="90" spans="1:58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/>
    </row>
    <row r="91" spans="1:58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  <c r="BD91" s="192"/>
      <c r="BE91" s="192"/>
      <c r="BF91" s="192"/>
    </row>
    <row r="92" spans="1:58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  <c r="BD92" s="192"/>
      <c r="BE92" s="192"/>
      <c r="BF92" s="192"/>
    </row>
    <row r="93" spans="1:58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</row>
    <row r="94" spans="1:58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  <c r="BD94" s="192"/>
      <c r="BE94" s="192"/>
      <c r="BF94" s="192"/>
    </row>
    <row r="95" spans="1:58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  <c r="BD95" s="192"/>
      <c r="BE95" s="192"/>
      <c r="BF95" s="192"/>
    </row>
    <row r="96" spans="1:58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</row>
    <row r="97" spans="1:58">
      <c r="A97" s="193"/>
      <c r="B97" s="196"/>
      <c r="C97" s="193"/>
      <c r="D97" s="193"/>
      <c r="E97" s="196"/>
      <c r="F97" s="193"/>
      <c r="G97" s="193"/>
      <c r="H97" s="196"/>
      <c r="I97" s="193"/>
      <c r="J97" s="193"/>
      <c r="K97" s="196"/>
      <c r="L97" s="193"/>
      <c r="M97" s="193"/>
      <c r="N97" s="196"/>
      <c r="O97" s="193"/>
      <c r="P97" s="193"/>
      <c r="Q97" s="196"/>
      <c r="R97" s="193"/>
      <c r="S97" s="193"/>
      <c r="T97" s="196"/>
      <c r="U97" s="193"/>
      <c r="V97" s="193"/>
      <c r="W97" s="196"/>
      <c r="X97" s="193"/>
      <c r="Y97" s="193"/>
      <c r="Z97" s="196"/>
      <c r="AA97" s="193"/>
      <c r="AB97" s="193"/>
      <c r="AC97" s="196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  <c r="BD97" s="192"/>
      <c r="BE97" s="192"/>
      <c r="BF97" s="192"/>
    </row>
    <row r="98" spans="1:58">
      <c r="A98" s="193"/>
      <c r="B98" s="198"/>
      <c r="C98" s="193"/>
      <c r="D98" s="193"/>
      <c r="E98" s="198"/>
      <c r="F98" s="193"/>
      <c r="G98" s="193"/>
      <c r="H98" s="198"/>
      <c r="I98" s="193"/>
      <c r="J98" s="193"/>
      <c r="K98" s="198"/>
      <c r="L98" s="193"/>
      <c r="M98" s="193"/>
      <c r="N98" s="198"/>
      <c r="O98" s="193"/>
      <c r="P98" s="193"/>
      <c r="Q98" s="198"/>
      <c r="R98" s="193"/>
      <c r="S98" s="193"/>
      <c r="T98" s="198"/>
      <c r="U98" s="193"/>
      <c r="V98" s="193"/>
      <c r="W98" s="198"/>
      <c r="X98" s="193"/>
      <c r="Y98" s="193"/>
      <c r="Z98" s="198"/>
      <c r="AA98" s="193"/>
      <c r="AB98" s="193"/>
      <c r="AC98" s="198"/>
      <c r="AD98" s="193"/>
      <c r="AE98" s="196"/>
      <c r="AF98" s="193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  <c r="BD98" s="192"/>
      <c r="BE98" s="192"/>
      <c r="BF98" s="192"/>
    </row>
    <row r="99" spans="1:58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3"/>
      <c r="AE99" s="198"/>
      <c r="AF99" s="193"/>
      <c r="AG99" s="193"/>
      <c r="AH99" s="196"/>
      <c r="AI99" s="193"/>
      <c r="AJ99" s="193"/>
      <c r="AK99" s="196"/>
      <c r="AL99" s="193"/>
      <c r="AM99" s="193"/>
      <c r="AN99" s="196"/>
      <c r="AO99" s="193"/>
      <c r="AP99" s="193"/>
      <c r="AQ99" s="196"/>
      <c r="AR99" s="193"/>
      <c r="AS99" s="193"/>
      <c r="AT99" s="196"/>
      <c r="AU99" s="193"/>
      <c r="AV99" s="193"/>
      <c r="AW99" s="196"/>
      <c r="AX99" s="193"/>
      <c r="AY99" s="193"/>
      <c r="AZ99" s="196"/>
      <c r="BA99" s="193"/>
      <c r="BB99" s="193"/>
      <c r="BC99" s="196"/>
      <c r="BD99" s="193"/>
      <c r="BE99" s="193"/>
      <c r="BF99" s="196"/>
    </row>
    <row r="100" spans="1:58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3"/>
      <c r="AH100" s="198"/>
      <c r="AI100" s="193"/>
      <c r="AJ100" s="193"/>
      <c r="AK100" s="198"/>
      <c r="AL100" s="193"/>
      <c r="AM100" s="193"/>
      <c r="AN100" s="198"/>
      <c r="AO100" s="193"/>
      <c r="AP100" s="193"/>
      <c r="AQ100" s="198"/>
      <c r="AR100" s="193"/>
      <c r="AS100" s="193"/>
      <c r="AT100" s="198"/>
      <c r="AU100" s="193"/>
      <c r="AV100" s="193"/>
      <c r="AW100" s="198"/>
      <c r="AX100" s="193"/>
      <c r="AY100" s="193"/>
      <c r="AZ100" s="198"/>
      <c r="BA100" s="193"/>
      <c r="BB100" s="193"/>
      <c r="BC100" s="198"/>
      <c r="BD100" s="193"/>
      <c r="BE100" s="193"/>
      <c r="BF100" s="198"/>
    </row>
    <row r="101" spans="1:58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  <c r="BD101" s="192"/>
      <c r="BE101" s="192"/>
      <c r="BF101" s="192"/>
    </row>
    <row r="102" spans="1:58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92"/>
    </row>
    <row r="103" spans="1:58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92"/>
    </row>
    <row r="104" spans="1:58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  <c r="BD104" s="192"/>
      <c r="BE104" s="192"/>
      <c r="BF104" s="192"/>
    </row>
    <row r="105" spans="1:58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</row>
    <row r="106" spans="1:58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  <c r="BD106" s="192"/>
      <c r="BE106" s="192"/>
      <c r="BF106" s="192"/>
    </row>
    <row r="107" spans="1:58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  <c r="BD107" s="192"/>
      <c r="BE107" s="192"/>
      <c r="BF107" s="192"/>
    </row>
    <row r="108" spans="1:5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</row>
    <row r="109" spans="1:58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  <c r="BD109" s="192"/>
      <c r="BE109" s="192"/>
      <c r="BF109" s="192"/>
    </row>
    <row r="110" spans="1:58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3"/>
      <c r="AE110" s="196"/>
      <c r="AF110" s="193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  <c r="BD110" s="192"/>
      <c r="BE110" s="192"/>
      <c r="BF110" s="192"/>
    </row>
    <row r="111" spans="1:58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3"/>
      <c r="AE111" s="198"/>
      <c r="AF111" s="193"/>
      <c r="AG111" s="193"/>
      <c r="AH111" s="196"/>
      <c r="AI111" s="193"/>
      <c r="AJ111" s="193"/>
      <c r="AK111" s="196"/>
      <c r="AL111" s="193"/>
      <c r="AM111" s="193"/>
      <c r="AN111" s="196"/>
      <c r="AO111" s="193"/>
      <c r="AP111" s="193"/>
      <c r="AQ111" s="196"/>
      <c r="AR111" s="193"/>
      <c r="AS111" s="193"/>
      <c r="AT111" s="196"/>
      <c r="AU111" s="193"/>
      <c r="AV111" s="193"/>
      <c r="AW111" s="196"/>
      <c r="AX111" s="193"/>
      <c r="AY111" s="193"/>
      <c r="AZ111" s="196"/>
      <c r="BA111" s="193"/>
      <c r="BB111" s="193"/>
      <c r="BC111" s="196"/>
      <c r="BD111" s="193"/>
      <c r="BE111" s="193"/>
      <c r="BF111" s="196"/>
    </row>
    <row r="112" spans="1:58">
      <c r="A112" s="193"/>
      <c r="B112" s="196"/>
      <c r="C112" s="193"/>
      <c r="D112" s="193"/>
      <c r="E112" s="196"/>
      <c r="F112" s="193"/>
      <c r="G112" s="193"/>
      <c r="H112" s="196"/>
      <c r="I112" s="193"/>
      <c r="J112" s="193"/>
      <c r="K112" s="196"/>
      <c r="L112" s="193"/>
      <c r="M112" s="193"/>
      <c r="N112" s="196"/>
      <c r="O112" s="193"/>
      <c r="P112" s="193"/>
      <c r="Q112" s="196"/>
      <c r="R112" s="193"/>
      <c r="S112" s="193"/>
      <c r="T112" s="196"/>
      <c r="U112" s="193"/>
      <c r="V112" s="193"/>
      <c r="W112" s="196"/>
      <c r="X112" s="193"/>
      <c r="Y112" s="193"/>
      <c r="Z112" s="196"/>
      <c r="AA112" s="193"/>
      <c r="AB112" s="193"/>
      <c r="AC112" s="196"/>
      <c r="AD112" s="190"/>
      <c r="AE112" s="190"/>
      <c r="AF112" s="190"/>
      <c r="AG112" s="193"/>
      <c r="AH112" s="198"/>
      <c r="AI112" s="193"/>
      <c r="AJ112" s="193"/>
      <c r="AK112" s="198"/>
      <c r="AL112" s="193"/>
      <c r="AM112" s="193"/>
      <c r="AN112" s="198"/>
      <c r="AO112" s="193"/>
      <c r="AP112" s="193"/>
      <c r="AQ112" s="198"/>
      <c r="AR112" s="193"/>
      <c r="AS112" s="193"/>
      <c r="AT112" s="198"/>
      <c r="AU112" s="193"/>
      <c r="AV112" s="193"/>
      <c r="AW112" s="198"/>
      <c r="AX112" s="193"/>
      <c r="AY112" s="193"/>
      <c r="AZ112" s="198"/>
      <c r="BA112" s="193"/>
      <c r="BB112" s="193"/>
      <c r="BC112" s="198"/>
      <c r="BD112" s="193"/>
      <c r="BE112" s="193"/>
      <c r="BF112" s="198"/>
    </row>
    <row r="113" spans="1:58">
      <c r="A113" s="193"/>
      <c r="B113" s="198"/>
      <c r="C113" s="193"/>
      <c r="D113" s="193"/>
      <c r="E113" s="198"/>
      <c r="F113" s="193"/>
      <c r="G113" s="193"/>
      <c r="H113" s="198"/>
      <c r="I113" s="193"/>
      <c r="J113" s="193"/>
      <c r="K113" s="198"/>
      <c r="L113" s="193"/>
      <c r="M113" s="193"/>
      <c r="N113" s="198"/>
      <c r="O113" s="193"/>
      <c r="P113" s="193"/>
      <c r="Q113" s="198"/>
      <c r="R113" s="193"/>
      <c r="S113" s="193"/>
      <c r="T113" s="198"/>
      <c r="U113" s="193"/>
      <c r="V113" s="193"/>
      <c r="W113" s="198"/>
      <c r="X113" s="193"/>
      <c r="Y113" s="193"/>
      <c r="Z113" s="198"/>
      <c r="AA113" s="193"/>
      <c r="AB113" s="193"/>
      <c r="AC113" s="198"/>
      <c r="AD113" s="192"/>
      <c r="AE113" s="192"/>
      <c r="AF113" s="192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 s="190"/>
      <c r="AX113" s="190"/>
      <c r="AY113" s="190"/>
      <c r="AZ113" s="190"/>
      <c r="BA113" s="190"/>
      <c r="BB113" s="190"/>
      <c r="BC113" s="190"/>
      <c r="BD113" s="190"/>
      <c r="BE113" s="190"/>
      <c r="BF113" s="190"/>
    </row>
    <row r="114" spans="1:58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</row>
    <row r="115" spans="1:58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  <c r="BD115" s="192"/>
      <c r="BE115" s="192"/>
      <c r="BF115" s="192"/>
    </row>
    <row r="116" spans="1:58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</row>
    <row r="117" spans="1:58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</row>
    <row r="118" spans="1:5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  <c r="BD118" s="192"/>
      <c r="BE118" s="192"/>
      <c r="BF118" s="192"/>
    </row>
    <row r="119" spans="1:58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  <c r="BD119" s="192"/>
      <c r="BE119" s="192"/>
      <c r="BF119" s="192"/>
    </row>
    <row r="120" spans="1:58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  <c r="BD120" s="192"/>
      <c r="BE120" s="192"/>
      <c r="BF120" s="192"/>
    </row>
    <row r="121" spans="1:58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92"/>
    </row>
    <row r="122" spans="1:58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92"/>
    </row>
    <row r="123" spans="1:58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  <c r="BD123" s="192"/>
      <c r="BE123" s="192"/>
      <c r="BF123" s="192"/>
    </row>
    <row r="124" spans="1:58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  <c r="BD124" s="192"/>
      <c r="BE124" s="192"/>
      <c r="BF124" s="192"/>
    </row>
    <row r="125" spans="1:58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3"/>
      <c r="AE125" s="196"/>
      <c r="AF125" s="193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  <c r="BD125" s="192"/>
      <c r="BE125" s="192"/>
      <c r="BF125" s="192"/>
    </row>
    <row r="126" spans="1:58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3"/>
      <c r="AE126" s="198"/>
      <c r="AF126" s="193"/>
      <c r="AG126" s="193"/>
      <c r="AH126" s="196"/>
      <c r="AI126" s="193"/>
      <c r="AJ126" s="193"/>
      <c r="AK126" s="196"/>
      <c r="AL126" s="193"/>
      <c r="AM126" s="193"/>
      <c r="AN126" s="196"/>
      <c r="AO126" s="193"/>
      <c r="AP126" s="193"/>
      <c r="AQ126" s="196"/>
      <c r="AR126" s="193"/>
      <c r="AS126" s="193"/>
      <c r="AT126" s="196"/>
      <c r="AU126" s="193"/>
      <c r="AV126" s="193"/>
      <c r="AW126" s="196"/>
      <c r="AX126" s="193"/>
      <c r="AY126" s="193"/>
      <c r="AZ126" s="196"/>
      <c r="BA126" s="193"/>
      <c r="BB126" s="193"/>
      <c r="BC126" s="196"/>
      <c r="BD126" s="193"/>
      <c r="BE126" s="193"/>
      <c r="BF126" s="196"/>
    </row>
    <row r="127" spans="1:58">
      <c r="A127" s="193"/>
      <c r="B127" s="196"/>
      <c r="C127" s="193"/>
      <c r="D127" s="193"/>
      <c r="E127" s="196"/>
      <c r="F127" s="193"/>
      <c r="G127" s="193"/>
      <c r="H127" s="196"/>
      <c r="I127" s="193"/>
      <c r="J127" s="193"/>
      <c r="K127" s="196"/>
      <c r="L127" s="193"/>
      <c r="M127" s="193"/>
      <c r="N127" s="196"/>
      <c r="O127" s="193"/>
      <c r="P127" s="193"/>
      <c r="Q127" s="196"/>
      <c r="R127" s="193"/>
      <c r="S127" s="193"/>
      <c r="T127" s="196"/>
      <c r="U127" s="193"/>
      <c r="V127" s="193"/>
      <c r="W127" s="196"/>
      <c r="X127" s="193"/>
      <c r="Y127" s="193"/>
      <c r="Z127" s="196"/>
      <c r="AA127" s="193"/>
      <c r="AB127" s="193"/>
      <c r="AC127" s="196"/>
      <c r="AD127" s="192"/>
      <c r="AE127" s="192"/>
      <c r="AF127" s="192"/>
      <c r="AG127" s="193"/>
      <c r="AH127" s="198"/>
      <c r="AI127" s="193"/>
      <c r="AJ127" s="193"/>
      <c r="AK127" s="198"/>
      <c r="AL127" s="193"/>
      <c r="AM127" s="193"/>
      <c r="AN127" s="198"/>
      <c r="AO127" s="193"/>
      <c r="AP127" s="193"/>
      <c r="AQ127" s="198"/>
      <c r="AR127" s="193"/>
      <c r="AS127" s="193"/>
      <c r="AT127" s="198"/>
      <c r="AU127" s="193"/>
      <c r="AV127" s="193"/>
      <c r="AW127" s="198"/>
      <c r="AX127" s="193"/>
      <c r="AY127" s="193"/>
      <c r="AZ127" s="198"/>
      <c r="BA127" s="193"/>
      <c r="BB127" s="193"/>
      <c r="BC127" s="198"/>
      <c r="BD127" s="193"/>
      <c r="BE127" s="193"/>
      <c r="BF127" s="198"/>
    </row>
    <row r="128" spans="1:58">
      <c r="A128" s="193"/>
      <c r="B128" s="198"/>
      <c r="C128" s="193"/>
      <c r="D128" s="193"/>
      <c r="E128" s="198"/>
      <c r="F128" s="193"/>
      <c r="G128" s="193"/>
      <c r="H128" s="198"/>
      <c r="I128" s="193"/>
      <c r="J128" s="193"/>
      <c r="K128" s="198"/>
      <c r="L128" s="193"/>
      <c r="M128" s="193"/>
      <c r="N128" s="198"/>
      <c r="O128" s="193"/>
      <c r="P128" s="193"/>
      <c r="Q128" s="198"/>
      <c r="R128" s="193"/>
      <c r="S128" s="193"/>
      <c r="T128" s="198"/>
      <c r="U128" s="193"/>
      <c r="V128" s="193"/>
      <c r="W128" s="198"/>
      <c r="X128" s="193"/>
      <c r="Y128" s="193"/>
      <c r="Z128" s="198"/>
      <c r="AA128" s="193"/>
      <c r="AB128" s="193"/>
      <c r="AC128" s="198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  <c r="BD128" s="192"/>
      <c r="BE128" s="192"/>
      <c r="BF128" s="192"/>
    </row>
    <row r="129" spans="1:58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  <c r="BD129" s="192"/>
      <c r="BE129" s="192"/>
      <c r="BF129" s="192"/>
    </row>
    <row r="130" spans="1:58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  <c r="BD130" s="192"/>
      <c r="BE130" s="192"/>
      <c r="BF130" s="192"/>
    </row>
    <row r="131" spans="1:58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  <c r="BD131" s="192"/>
      <c r="BE131" s="192"/>
      <c r="BF131" s="192"/>
    </row>
    <row r="132" spans="1:58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  <c r="BD132" s="192"/>
      <c r="BE132" s="192"/>
      <c r="BF132" s="192"/>
    </row>
    <row r="133" spans="1:58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3"/>
      <c r="AE133" s="196"/>
      <c r="AF133" s="193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  <c r="BD133" s="192"/>
      <c r="BE133" s="192"/>
      <c r="BF133" s="192"/>
    </row>
    <row r="134" spans="1:58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3"/>
      <c r="AE134" s="198"/>
      <c r="AF134" s="193"/>
      <c r="AG134" s="193"/>
      <c r="AH134" s="196"/>
      <c r="AI134" s="193"/>
      <c r="AJ134" s="193"/>
      <c r="AK134" s="196"/>
      <c r="AL134" s="193"/>
      <c r="AM134" s="193"/>
      <c r="AN134" s="196"/>
      <c r="AO134" s="193"/>
      <c r="AP134" s="193"/>
      <c r="AQ134" s="196"/>
      <c r="AR134" s="193"/>
      <c r="AS134" s="193"/>
      <c r="AT134" s="196"/>
      <c r="AU134" s="193"/>
      <c r="AV134" s="193"/>
      <c r="AW134" s="196"/>
      <c r="AX134" s="193"/>
      <c r="AY134" s="193"/>
      <c r="AZ134" s="196"/>
      <c r="BA134" s="193"/>
      <c r="BB134" s="193"/>
      <c r="BC134" s="196"/>
      <c r="BD134" s="193"/>
      <c r="BE134" s="193"/>
      <c r="BF134" s="196"/>
    </row>
    <row r="135" spans="1:58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0"/>
      <c r="AE135" s="190"/>
      <c r="AF135" s="190"/>
      <c r="AG135" s="193"/>
      <c r="AH135" s="198"/>
      <c r="AI135" s="193"/>
      <c r="AJ135" s="193"/>
      <c r="AK135" s="198"/>
      <c r="AL135" s="193"/>
      <c r="AM135" s="193"/>
      <c r="AN135" s="198"/>
      <c r="AO135" s="193"/>
      <c r="AP135" s="193"/>
      <c r="AQ135" s="198"/>
      <c r="AR135" s="193"/>
      <c r="AS135" s="193"/>
      <c r="AT135" s="198"/>
      <c r="AU135" s="193"/>
      <c r="AV135" s="193"/>
      <c r="AW135" s="198"/>
      <c r="AX135" s="193"/>
      <c r="AY135" s="193"/>
      <c r="AZ135" s="198"/>
      <c r="BA135" s="193"/>
      <c r="BB135" s="193"/>
      <c r="BC135" s="198"/>
      <c r="BD135" s="193"/>
      <c r="BE135" s="193"/>
      <c r="BF135" s="198"/>
    </row>
    <row r="136" spans="1:58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0"/>
      <c r="AH136" s="190"/>
      <c r="AI136" s="190"/>
      <c r="AJ136" s="190"/>
      <c r="AK136" s="190"/>
      <c r="AL136" s="190"/>
      <c r="AM136" s="190"/>
      <c r="AN136" s="190"/>
      <c r="AO136" s="190"/>
      <c r="AP136" s="190"/>
      <c r="AQ136" s="190"/>
      <c r="AR136" s="190"/>
      <c r="AS136" s="190"/>
      <c r="AT136" s="190"/>
      <c r="AU136" s="190"/>
      <c r="AV136" s="190"/>
      <c r="AW136" s="190"/>
      <c r="AX136" s="190"/>
      <c r="AY136" s="190"/>
      <c r="AZ136" s="190"/>
      <c r="BA136" s="190"/>
      <c r="BB136" s="190"/>
      <c r="BC136" s="190"/>
      <c r="BD136" s="190"/>
      <c r="BE136" s="190"/>
      <c r="BF136" s="190"/>
    </row>
    <row r="137" spans="1:58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  <c r="BD137" s="192"/>
      <c r="BE137" s="192"/>
      <c r="BF137" s="192"/>
    </row>
    <row r="138" spans="1:5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  <c r="BD138" s="192"/>
      <c r="BE138" s="192"/>
      <c r="BF138" s="192"/>
    </row>
    <row r="139" spans="1:58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  <c r="BD139" s="192"/>
      <c r="BE139" s="192"/>
      <c r="BF139" s="192"/>
    </row>
    <row r="140" spans="1:58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  <c r="BD140" s="192"/>
      <c r="BE140" s="192"/>
      <c r="BF140" s="192"/>
    </row>
    <row r="141" spans="1:58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  <c r="BD141" s="192"/>
      <c r="BE141" s="192"/>
      <c r="BF141" s="192"/>
    </row>
    <row r="142" spans="1:58">
      <c r="A142" s="193"/>
      <c r="B142" s="196"/>
      <c r="C142" s="193"/>
      <c r="D142" s="193"/>
      <c r="E142" s="196"/>
      <c r="F142" s="193"/>
      <c r="G142" s="193"/>
      <c r="H142" s="196"/>
      <c r="I142" s="193"/>
      <c r="J142" s="193"/>
      <c r="K142" s="196"/>
      <c r="L142" s="193"/>
      <c r="M142" s="193"/>
      <c r="N142" s="196"/>
      <c r="O142" s="193"/>
      <c r="P142" s="193"/>
      <c r="Q142" s="196"/>
      <c r="R142" s="193"/>
      <c r="S142" s="193"/>
      <c r="T142" s="196"/>
      <c r="U142" s="193"/>
      <c r="V142" s="193"/>
      <c r="W142" s="196"/>
      <c r="X142" s="193"/>
      <c r="Y142" s="193"/>
      <c r="Z142" s="196"/>
      <c r="AA142" s="193"/>
      <c r="AB142" s="193"/>
      <c r="AC142" s="196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  <c r="BD142" s="192"/>
      <c r="BE142" s="192"/>
      <c r="BF142" s="192"/>
    </row>
    <row r="143" spans="1:58">
      <c r="A143" s="193"/>
      <c r="B143" s="198"/>
      <c r="C143" s="193"/>
      <c r="D143" s="193"/>
      <c r="E143" s="198"/>
      <c r="F143" s="193"/>
      <c r="G143" s="193"/>
      <c r="H143" s="198"/>
      <c r="I143" s="193"/>
      <c r="J143" s="193"/>
      <c r="K143" s="198"/>
      <c r="L143" s="193"/>
      <c r="M143" s="193"/>
      <c r="N143" s="198"/>
      <c r="O143" s="193"/>
      <c r="P143" s="193"/>
      <c r="Q143" s="198"/>
      <c r="R143" s="193"/>
      <c r="S143" s="193"/>
      <c r="T143" s="198"/>
      <c r="U143" s="193"/>
      <c r="V143" s="193"/>
      <c r="W143" s="198"/>
      <c r="X143" s="193"/>
      <c r="Y143" s="193"/>
      <c r="Z143" s="198"/>
      <c r="AA143" s="193"/>
      <c r="AB143" s="193"/>
      <c r="AC143" s="198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  <c r="BD143" s="192"/>
      <c r="BE143" s="192"/>
      <c r="BF143" s="192"/>
    </row>
    <row r="144" spans="1:58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  <c r="BD144" s="192"/>
      <c r="BE144" s="192"/>
      <c r="BF144" s="192"/>
    </row>
    <row r="145" spans="1:58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  <c r="BD145" s="192"/>
      <c r="BE145" s="192"/>
      <c r="BF145" s="192"/>
    </row>
    <row r="146" spans="1:58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  <c r="BD146" s="192"/>
      <c r="BE146" s="192"/>
      <c r="BF146" s="192"/>
    </row>
    <row r="147" spans="1:58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  <c r="BD147" s="192"/>
      <c r="BE147" s="192"/>
      <c r="BF147" s="192"/>
    </row>
    <row r="148" spans="1:5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3"/>
      <c r="AE148" s="196"/>
      <c r="AF148" s="193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  <c r="BD148" s="192"/>
      <c r="BE148" s="192"/>
      <c r="BF148" s="192"/>
    </row>
    <row r="149" spans="1:58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3"/>
      <c r="AE149" s="198"/>
      <c r="AF149" s="193"/>
      <c r="AG149" s="193"/>
      <c r="AH149" s="196"/>
      <c r="AI149" s="193"/>
      <c r="AJ149" s="193"/>
      <c r="AK149" s="196"/>
      <c r="AL149" s="193"/>
      <c r="AM149" s="193"/>
      <c r="AN149" s="196"/>
      <c r="AO149" s="193"/>
      <c r="AP149" s="193"/>
      <c r="AQ149" s="196"/>
      <c r="AR149" s="193"/>
      <c r="AS149" s="193"/>
      <c r="AT149" s="196"/>
      <c r="AU149" s="193"/>
      <c r="AV149" s="193"/>
      <c r="AW149" s="196"/>
      <c r="AX149" s="193"/>
      <c r="AY149" s="193"/>
      <c r="AZ149" s="196"/>
      <c r="BA149" s="193"/>
      <c r="BB149" s="193"/>
      <c r="BC149" s="196"/>
      <c r="BD149" s="193"/>
      <c r="BE149" s="193"/>
      <c r="BF149" s="196"/>
    </row>
    <row r="150" spans="1:58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3"/>
      <c r="AH150" s="198"/>
      <c r="AI150" s="193"/>
      <c r="AJ150" s="193"/>
      <c r="AK150" s="198"/>
      <c r="AL150" s="193"/>
      <c r="AM150" s="193"/>
      <c r="AN150" s="198"/>
      <c r="AO150" s="193"/>
      <c r="AP150" s="193"/>
      <c r="AQ150" s="198"/>
      <c r="AR150" s="193"/>
      <c r="AS150" s="193"/>
      <c r="AT150" s="198"/>
      <c r="AU150" s="193"/>
      <c r="AV150" s="193"/>
      <c r="AW150" s="198"/>
      <c r="AX150" s="193"/>
      <c r="AY150" s="193"/>
      <c r="AZ150" s="198"/>
      <c r="BA150" s="193"/>
      <c r="BB150" s="193"/>
      <c r="BC150" s="198"/>
      <c r="BD150" s="193"/>
      <c r="BE150" s="193"/>
      <c r="BF150" s="198"/>
    </row>
    <row r="151" spans="1:58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</row>
    <row r="152" spans="1:58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</row>
    <row r="153" spans="1:58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</row>
    <row r="154" spans="1:58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</row>
    <row r="155" spans="1:58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  <c r="BD155" s="192"/>
      <c r="BE155" s="192"/>
      <c r="BF155" s="192"/>
    </row>
    <row r="156" spans="1:58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3"/>
      <c r="AE156" s="196"/>
      <c r="AF156" s="193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  <c r="BD156" s="192"/>
      <c r="BE156" s="192"/>
      <c r="BF156" s="192"/>
    </row>
    <row r="157" spans="1:58">
      <c r="A157" s="193"/>
      <c r="B157" s="196"/>
      <c r="C157" s="193"/>
      <c r="D157" s="193"/>
      <c r="E157" s="196"/>
      <c r="F157" s="193"/>
      <c r="G157" s="193"/>
      <c r="H157" s="196"/>
      <c r="I157" s="193"/>
      <c r="J157" s="193"/>
      <c r="K157" s="196"/>
      <c r="L157" s="193"/>
      <c r="M157" s="193"/>
      <c r="N157" s="196"/>
      <c r="O157" s="193"/>
      <c r="P157" s="193"/>
      <c r="Q157" s="196"/>
      <c r="R157" s="193"/>
      <c r="S157" s="193"/>
      <c r="T157" s="196"/>
      <c r="U157" s="193"/>
      <c r="V157" s="193"/>
      <c r="W157" s="196"/>
      <c r="X157" s="193"/>
      <c r="Y157" s="193"/>
      <c r="Z157" s="196"/>
      <c r="AA157" s="193"/>
      <c r="AB157" s="193"/>
      <c r="AC157" s="196"/>
      <c r="AD157" s="193"/>
      <c r="AE157" s="198"/>
      <c r="AF157" s="193"/>
      <c r="AG157" s="193"/>
      <c r="AH157" s="196"/>
      <c r="AI157" s="193"/>
      <c r="AJ157" s="193"/>
      <c r="AK157" s="196"/>
      <c r="AL157" s="193"/>
      <c r="AM157" s="193"/>
      <c r="AN157" s="196"/>
      <c r="AO157" s="193"/>
      <c r="AP157" s="193"/>
      <c r="AQ157" s="196"/>
      <c r="AR157" s="193"/>
      <c r="AS157" s="193"/>
      <c r="AT157" s="196"/>
      <c r="AU157" s="193"/>
      <c r="AV157" s="193"/>
      <c r="AW157" s="196"/>
      <c r="AX157" s="193"/>
      <c r="AY157" s="193"/>
      <c r="AZ157" s="196"/>
      <c r="BA157" s="193"/>
      <c r="BB157" s="193"/>
      <c r="BC157" s="196"/>
      <c r="BD157" s="193"/>
      <c r="BE157" s="193"/>
      <c r="BF157" s="196"/>
    </row>
    <row r="158" spans="1:58">
      <c r="A158" s="193"/>
      <c r="B158" s="198"/>
      <c r="C158" s="193"/>
      <c r="D158" s="193"/>
      <c r="E158" s="198"/>
      <c r="F158" s="193"/>
      <c r="G158" s="193"/>
      <c r="H158" s="198"/>
      <c r="I158" s="193"/>
      <c r="J158" s="193"/>
      <c r="K158" s="198"/>
      <c r="L158" s="193"/>
      <c r="M158" s="193"/>
      <c r="N158" s="198"/>
      <c r="O158" s="193"/>
      <c r="P158" s="193"/>
      <c r="Q158" s="198"/>
      <c r="R158" s="193"/>
      <c r="S158" s="193"/>
      <c r="T158" s="198"/>
      <c r="U158" s="193"/>
      <c r="V158" s="193"/>
      <c r="W158" s="198"/>
      <c r="X158" s="193"/>
      <c r="Y158" s="193"/>
      <c r="Z158" s="198"/>
      <c r="AA158" s="193"/>
      <c r="AB158" s="193"/>
      <c r="AC158" s="198"/>
      <c r="AD158" s="190"/>
      <c r="AE158" s="190"/>
      <c r="AF158" s="190"/>
      <c r="AG158" s="193"/>
      <c r="AH158" s="198"/>
      <c r="AI158" s="193"/>
      <c r="AJ158" s="193"/>
      <c r="AK158" s="198"/>
      <c r="AL158" s="193"/>
      <c r="AM158" s="193"/>
      <c r="AN158" s="198"/>
      <c r="AO158" s="193"/>
      <c r="AP158" s="193"/>
      <c r="AQ158" s="198"/>
      <c r="AR158" s="193"/>
      <c r="AS158" s="193"/>
      <c r="AT158" s="198"/>
      <c r="AU158" s="193"/>
      <c r="AV158" s="193"/>
      <c r="AW158" s="198"/>
      <c r="AX158" s="193"/>
      <c r="AY158" s="193"/>
      <c r="AZ158" s="198"/>
      <c r="BA158" s="193"/>
      <c r="BB158" s="193"/>
      <c r="BC158" s="198"/>
      <c r="BD158" s="193"/>
      <c r="BE158" s="193"/>
      <c r="BF158" s="198"/>
    </row>
    <row r="159" spans="1:58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2"/>
      <c r="AE159" s="192"/>
      <c r="AF159" s="192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0"/>
      <c r="AR159" s="190"/>
      <c r="AS159" s="190"/>
      <c r="AT159" s="190"/>
      <c r="AU159" s="190"/>
      <c r="AV159" s="190"/>
      <c r="AW159" s="190"/>
      <c r="AX159" s="190"/>
      <c r="AY159" s="190"/>
      <c r="AZ159" s="190"/>
      <c r="BA159" s="190"/>
      <c r="BB159" s="190"/>
      <c r="BC159" s="190"/>
      <c r="BD159" s="190"/>
      <c r="BE159" s="190"/>
      <c r="BF159" s="190"/>
    </row>
    <row r="160" spans="1:58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  <c r="BD160" s="192"/>
      <c r="BE160" s="192"/>
      <c r="BF160" s="192"/>
    </row>
    <row r="161" spans="1:58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  <c r="BD161" s="192"/>
      <c r="BE161" s="192"/>
      <c r="BF161" s="192"/>
    </row>
    <row r="162" spans="1:58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  <c r="BD162" s="192"/>
      <c r="BE162" s="192"/>
      <c r="BF162" s="192"/>
    </row>
    <row r="163" spans="1:58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  <c r="BD163" s="192"/>
      <c r="BE163" s="192"/>
      <c r="BF163" s="192"/>
    </row>
    <row r="164" spans="1:58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  <c r="BD164" s="192"/>
      <c r="BE164" s="192"/>
      <c r="BF164" s="192"/>
    </row>
    <row r="165" spans="1:58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  <c r="BD165" s="192"/>
      <c r="BE165" s="192"/>
      <c r="BF165" s="192"/>
    </row>
    <row r="166" spans="1:58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  <c r="BD166" s="192"/>
      <c r="BE166" s="192"/>
      <c r="BF166" s="192"/>
    </row>
    <row r="167" spans="1:58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  <c r="BD167" s="192"/>
      <c r="BE167" s="192"/>
      <c r="BF167" s="192"/>
    </row>
    <row r="168" spans="1:5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  <c r="BD168" s="192"/>
      <c r="BE168" s="192"/>
      <c r="BF168" s="192"/>
    </row>
    <row r="169" spans="1:58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  <c r="BD169" s="192"/>
      <c r="BE169" s="192"/>
      <c r="BF169" s="192"/>
    </row>
    <row r="170" spans="1:58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  <c r="BD170" s="192"/>
      <c r="BE170" s="192"/>
      <c r="BF170" s="192"/>
    </row>
    <row r="171" spans="1:58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3"/>
      <c r="AE171" s="196"/>
      <c r="AF171" s="193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  <c r="BD171" s="192"/>
      <c r="BE171" s="192"/>
      <c r="BF171" s="192"/>
    </row>
    <row r="172" spans="1:58">
      <c r="A172" s="193"/>
      <c r="B172" s="196"/>
      <c r="C172" s="193"/>
      <c r="D172" s="193"/>
      <c r="E172" s="196"/>
      <c r="F172" s="193"/>
      <c r="G172" s="193"/>
      <c r="H172" s="196"/>
      <c r="I172" s="193"/>
      <c r="J172" s="193"/>
      <c r="K172" s="196"/>
      <c r="L172" s="193"/>
      <c r="M172" s="193"/>
      <c r="N172" s="196"/>
      <c r="O172" s="193"/>
      <c r="P172" s="193"/>
      <c r="Q172" s="196"/>
      <c r="R172" s="193"/>
      <c r="S172" s="193"/>
      <c r="T172" s="196"/>
      <c r="U172" s="193"/>
      <c r="V172" s="193"/>
      <c r="W172" s="196"/>
      <c r="X172" s="193"/>
      <c r="Y172" s="193"/>
      <c r="Z172" s="196"/>
      <c r="AA172" s="193"/>
      <c r="AB172" s="193"/>
      <c r="AC172" s="196"/>
      <c r="AD172" s="193"/>
      <c r="AE172" s="198"/>
      <c r="AF172" s="193"/>
      <c r="AG172" s="193"/>
      <c r="AH172" s="196"/>
      <c r="AI172" s="193"/>
      <c r="AJ172" s="193"/>
      <c r="AK172" s="196"/>
      <c r="AL172" s="193"/>
      <c r="AM172" s="193"/>
      <c r="AN172" s="196"/>
      <c r="AO172" s="193"/>
      <c r="AP172" s="193"/>
      <c r="AQ172" s="196"/>
      <c r="AR172" s="193"/>
      <c r="AS172" s="193"/>
      <c r="AT172" s="196"/>
      <c r="AU172" s="193"/>
      <c r="AV172" s="193"/>
      <c r="AW172" s="196"/>
      <c r="AX172" s="193"/>
      <c r="AY172" s="193"/>
      <c r="AZ172" s="196"/>
      <c r="BA172" s="193"/>
      <c r="BB172" s="193"/>
      <c r="BC172" s="196"/>
      <c r="BD172" s="193"/>
      <c r="BE172" s="193"/>
      <c r="BF172" s="196"/>
    </row>
    <row r="173" spans="1:58">
      <c r="A173" s="193"/>
      <c r="B173" s="198"/>
      <c r="C173" s="193"/>
      <c r="D173" s="193"/>
      <c r="E173" s="198"/>
      <c r="F173" s="193"/>
      <c r="G173" s="193"/>
      <c r="H173" s="198"/>
      <c r="I173" s="193"/>
      <c r="J173" s="193"/>
      <c r="K173" s="198"/>
      <c r="L173" s="193"/>
      <c r="M173" s="193"/>
      <c r="N173" s="198"/>
      <c r="O173" s="193"/>
      <c r="P173" s="193"/>
      <c r="Q173" s="198"/>
      <c r="R173" s="193"/>
      <c r="S173" s="193"/>
      <c r="T173" s="198"/>
      <c r="U173" s="193"/>
      <c r="V173" s="193"/>
      <c r="W173" s="198"/>
      <c r="X173" s="193"/>
      <c r="Y173" s="193"/>
      <c r="Z173" s="198"/>
      <c r="AA173" s="193"/>
      <c r="AB173" s="193"/>
      <c r="AC173" s="198"/>
      <c r="AG173" s="193"/>
      <c r="AH173" s="198"/>
      <c r="AI173" s="193"/>
      <c r="AJ173" s="193"/>
      <c r="AK173" s="198"/>
      <c r="AL173" s="193"/>
      <c r="AM173" s="193"/>
      <c r="AN173" s="198"/>
      <c r="AO173" s="193"/>
      <c r="AP173" s="193"/>
      <c r="AQ173" s="198"/>
      <c r="AR173" s="193"/>
      <c r="AS173" s="193"/>
      <c r="AT173" s="198"/>
      <c r="AU173" s="193"/>
      <c r="AV173" s="193"/>
      <c r="AW173" s="198"/>
      <c r="AX173" s="193"/>
      <c r="AY173" s="193"/>
      <c r="AZ173" s="198"/>
      <c r="BA173" s="193"/>
      <c r="BB173" s="193"/>
      <c r="BC173" s="198"/>
      <c r="BD173" s="193"/>
      <c r="BE173" s="193"/>
      <c r="BF173" s="198"/>
    </row>
  </sheetData>
  <mergeCells count="223">
    <mergeCell ref="B2:C2"/>
    <mergeCell ref="D2:E2"/>
    <mergeCell ref="F2:G2"/>
    <mergeCell ref="H2:I2"/>
    <mergeCell ref="J2:K2"/>
    <mergeCell ref="L2:M2"/>
    <mergeCell ref="L3:M3"/>
    <mergeCell ref="B6:C6"/>
    <mergeCell ref="D6:E6"/>
    <mergeCell ref="F6:G6"/>
    <mergeCell ref="H6:I6"/>
    <mergeCell ref="J6:K6"/>
    <mergeCell ref="L6:M6"/>
    <mergeCell ref="B3:C3"/>
    <mergeCell ref="D3:E3"/>
    <mergeCell ref="F3:G3"/>
    <mergeCell ref="H3:I3"/>
    <mergeCell ref="J3:K3"/>
    <mergeCell ref="L7:M7"/>
    <mergeCell ref="B10:C10"/>
    <mergeCell ref="D10:E10"/>
    <mergeCell ref="F10:G10"/>
    <mergeCell ref="H10:I10"/>
    <mergeCell ref="J10:K10"/>
    <mergeCell ref="L10:M10"/>
    <mergeCell ref="B7:C7"/>
    <mergeCell ref="D7:E7"/>
    <mergeCell ref="F7:G7"/>
    <mergeCell ref="H7:I7"/>
    <mergeCell ref="J7:K7"/>
    <mergeCell ref="L11:M11"/>
    <mergeCell ref="B14:C14"/>
    <mergeCell ref="D14:E14"/>
    <mergeCell ref="F14:G14"/>
    <mergeCell ref="H14:I14"/>
    <mergeCell ref="J14:K14"/>
    <mergeCell ref="L14:M14"/>
    <mergeCell ref="B11:C11"/>
    <mergeCell ref="D11:E11"/>
    <mergeCell ref="F11:G11"/>
    <mergeCell ref="H11:I11"/>
    <mergeCell ref="J11:K11"/>
    <mergeCell ref="L15:M15"/>
    <mergeCell ref="A18:N18"/>
    <mergeCell ref="A19:B19"/>
    <mergeCell ref="C19:D19"/>
    <mergeCell ref="E19:F19"/>
    <mergeCell ref="G19:H19"/>
    <mergeCell ref="I19:J19"/>
    <mergeCell ref="K19:L19"/>
    <mergeCell ref="M19:N19"/>
    <mergeCell ref="B15:C15"/>
    <mergeCell ref="D15:E15"/>
    <mergeCell ref="F15:G15"/>
    <mergeCell ref="H15:I15"/>
    <mergeCell ref="J15:K15"/>
    <mergeCell ref="M20:N20"/>
    <mergeCell ref="A21:B21"/>
    <mergeCell ref="C21:D21"/>
    <mergeCell ref="E21:F21"/>
    <mergeCell ref="G21:H21"/>
    <mergeCell ref="I21:J21"/>
    <mergeCell ref="K21:L21"/>
    <mergeCell ref="M21:N21"/>
    <mergeCell ref="A20:B20"/>
    <mergeCell ref="C20:D20"/>
    <mergeCell ref="E20:F20"/>
    <mergeCell ref="G20:H20"/>
    <mergeCell ref="I20:J20"/>
    <mergeCell ref="K20:L20"/>
    <mergeCell ref="M22:N22"/>
    <mergeCell ref="A23:B23"/>
    <mergeCell ref="C23:D23"/>
    <mergeCell ref="E23:F23"/>
    <mergeCell ref="G23:H23"/>
    <mergeCell ref="I23:J23"/>
    <mergeCell ref="K23:L23"/>
    <mergeCell ref="M23:N23"/>
    <mergeCell ref="A22:B22"/>
    <mergeCell ref="C22:D22"/>
    <mergeCell ref="E22:F22"/>
    <mergeCell ref="G22:H22"/>
    <mergeCell ref="I22:J22"/>
    <mergeCell ref="K22:L22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6:N26"/>
    <mergeCell ref="A28:N28"/>
    <mergeCell ref="A29:B29"/>
    <mergeCell ref="C29:D29"/>
    <mergeCell ref="E29:F29"/>
    <mergeCell ref="G29:H29"/>
    <mergeCell ref="I29:J29"/>
    <mergeCell ref="K29:L29"/>
    <mergeCell ref="M29:N29"/>
    <mergeCell ref="A26:B26"/>
    <mergeCell ref="C26:D26"/>
    <mergeCell ref="E26:F26"/>
    <mergeCell ref="G26:H26"/>
    <mergeCell ref="I26:J26"/>
    <mergeCell ref="K26:L26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6:N36"/>
    <mergeCell ref="A38:N38"/>
    <mergeCell ref="A39:B39"/>
    <mergeCell ref="C39:D39"/>
    <mergeCell ref="E39:F39"/>
    <mergeCell ref="G39:H39"/>
    <mergeCell ref="I39:J39"/>
    <mergeCell ref="K39:L39"/>
    <mergeCell ref="M39:N39"/>
    <mergeCell ref="A36:B36"/>
    <mergeCell ref="C36:D36"/>
    <mergeCell ref="E36:F36"/>
    <mergeCell ref="G36:H36"/>
    <mergeCell ref="I36:J36"/>
    <mergeCell ref="K36:L36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6:N46"/>
    <mergeCell ref="B1:M1"/>
    <mergeCell ref="B5:M5"/>
    <mergeCell ref="B9:M9"/>
    <mergeCell ref="B13:M13"/>
    <mergeCell ref="A46:B46"/>
    <mergeCell ref="C46:D46"/>
    <mergeCell ref="E46:F46"/>
    <mergeCell ref="G46:H46"/>
    <mergeCell ref="I46:J46"/>
    <mergeCell ref="K46:L46"/>
    <mergeCell ref="M44:N44"/>
    <mergeCell ref="A45:B45"/>
    <mergeCell ref="C45:D45"/>
    <mergeCell ref="E45:F45"/>
    <mergeCell ref="G45:H45"/>
    <mergeCell ref="I45:J45"/>
    <mergeCell ref="K45:L45"/>
    <mergeCell ref="M45:N45"/>
    <mergeCell ref="A44:B44"/>
    <mergeCell ref="C44:D44"/>
    <mergeCell ref="E44:F44"/>
    <mergeCell ref="G44:H44"/>
    <mergeCell ref="I44:J44"/>
  </mergeCells>
  <conditionalFormatting sqref="B7:M8">
    <cfRule type="colorScale" priority="1">
      <colorScale>
        <cfvo type="num" val="0"/>
        <cfvo type="num" val="1"/>
        <color rgb="FFFFD5D5"/>
        <color theme="0"/>
      </colorScale>
    </cfRule>
  </conditionalFormatting>
  <conditionalFormatting sqref="B11:M12">
    <cfRule type="colorScale" priority="2">
      <colorScale>
        <cfvo type="num" val="0"/>
        <cfvo type="num" val="1"/>
        <color rgb="FFFFD5D5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852B-E094-4A80-B516-B6E622987FE3}">
  <sheetPr>
    <tabColor rgb="FFFF7B89"/>
  </sheetPr>
  <dimension ref="B2:I73"/>
  <sheetViews>
    <sheetView topLeftCell="A46" zoomScaleNormal="100" workbookViewId="0">
      <selection activeCell="C19" sqref="C19"/>
    </sheetView>
  </sheetViews>
  <sheetFormatPr baseColWidth="10" defaultRowHeight="18" customHeight="1"/>
  <cols>
    <col min="1" max="1" width="11.5546875" style="1"/>
    <col min="2" max="2" width="50.109375" style="1" customWidth="1"/>
    <col min="3" max="3" width="24.33203125" style="26" customWidth="1"/>
    <col min="4" max="16384" width="11.5546875" style="1"/>
  </cols>
  <sheetData>
    <row r="2" spans="2:3" ht="18" customHeight="1">
      <c r="B2" s="246" t="s">
        <v>0</v>
      </c>
      <c r="C2" s="247"/>
    </row>
    <row r="3" spans="2:3" ht="18" customHeight="1">
      <c r="B3" s="248" t="s">
        <v>1</v>
      </c>
      <c r="C3" s="249"/>
    </row>
    <row r="4" spans="2:3" ht="18" customHeight="1">
      <c r="B4" s="2" t="s">
        <v>2</v>
      </c>
      <c r="C4" s="3">
        <v>1423500</v>
      </c>
    </row>
    <row r="5" spans="2:3" ht="18" customHeight="1">
      <c r="B5" s="4" t="s">
        <v>3</v>
      </c>
      <c r="C5" s="5">
        <v>200000</v>
      </c>
    </row>
    <row r="6" spans="2:3" ht="18" customHeight="1">
      <c r="B6" s="4" t="s">
        <v>4</v>
      </c>
      <c r="C6" s="5">
        <f>150000*3</f>
        <v>450000</v>
      </c>
    </row>
    <row r="9" spans="2:3" ht="18" customHeight="1">
      <c r="B9" s="250" t="s">
        <v>5</v>
      </c>
      <c r="C9" s="251"/>
    </row>
    <row r="10" spans="2:3" ht="18" customHeight="1">
      <c r="B10" s="252" t="s">
        <v>6</v>
      </c>
      <c r="C10" s="253"/>
    </row>
    <row r="11" spans="2:3" ht="18" customHeight="1">
      <c r="B11" s="6" t="s">
        <v>7</v>
      </c>
      <c r="C11" s="7" t="s">
        <v>8</v>
      </c>
    </row>
    <row r="12" spans="2:3" ht="18" customHeight="1">
      <c r="B12" s="8" t="s">
        <v>9</v>
      </c>
      <c r="C12" s="9">
        <v>0</v>
      </c>
    </row>
    <row r="13" spans="2:3" ht="18" customHeight="1">
      <c r="B13" s="10" t="s">
        <v>10</v>
      </c>
      <c r="C13" s="11">
        <f>100/12</f>
        <v>8.3333333333333339</v>
      </c>
    </row>
    <row r="14" spans="2:3" ht="18" customHeight="1">
      <c r="B14" s="12" t="s">
        <v>11</v>
      </c>
      <c r="C14" s="13">
        <f>C13*0.01</f>
        <v>8.3333333333333343E-2</v>
      </c>
    </row>
    <row r="15" spans="2:3" ht="18" customHeight="1">
      <c r="B15" s="12" t="s">
        <v>12</v>
      </c>
      <c r="C15" s="13">
        <f>100/24</f>
        <v>4.166666666666667</v>
      </c>
    </row>
    <row r="16" spans="2:3" ht="18" customHeight="1">
      <c r="B16" s="12" t="s">
        <v>13</v>
      </c>
      <c r="C16" s="13">
        <f>100/12</f>
        <v>8.3333333333333339</v>
      </c>
    </row>
    <row r="17" spans="2:3" ht="18" customHeight="1">
      <c r="B17" s="14"/>
      <c r="C17" s="15"/>
    </row>
    <row r="18" spans="2:3" ht="18" customHeight="1">
      <c r="B18" s="16" t="s">
        <v>14</v>
      </c>
      <c r="C18" s="17">
        <f>SUM(C19:C21)</f>
        <v>35.46</v>
      </c>
    </row>
    <row r="19" spans="2:3" ht="18" customHeight="1">
      <c r="B19" s="10" t="s">
        <v>15</v>
      </c>
      <c r="C19" s="11">
        <v>16</v>
      </c>
    </row>
    <row r="20" spans="2:3" ht="18" customHeight="1">
      <c r="B20" s="12" t="s">
        <v>16</v>
      </c>
      <c r="C20" s="13">
        <v>12.5</v>
      </c>
    </row>
    <row r="21" spans="2:3" ht="18" customHeight="1">
      <c r="B21" s="12" t="s">
        <v>17</v>
      </c>
      <c r="C21" s="13">
        <v>6.96</v>
      </c>
    </row>
    <row r="22" spans="2:3" ht="18" customHeight="1">
      <c r="B22" s="14"/>
      <c r="C22" s="15"/>
    </row>
    <row r="23" spans="2:3" ht="18" customHeight="1">
      <c r="B23" s="16" t="s">
        <v>18</v>
      </c>
      <c r="C23" s="17">
        <f>SUM(C24:C26)</f>
        <v>9</v>
      </c>
    </row>
    <row r="24" spans="2:3" ht="18" customHeight="1">
      <c r="B24" s="10" t="s">
        <v>19</v>
      </c>
      <c r="C24" s="11">
        <v>2</v>
      </c>
    </row>
    <row r="25" spans="2:3" ht="18" customHeight="1">
      <c r="B25" s="12" t="s">
        <v>20</v>
      </c>
      <c r="C25" s="13">
        <v>3</v>
      </c>
    </row>
    <row r="26" spans="2:3" ht="18" customHeight="1">
      <c r="B26" s="12" t="s">
        <v>21</v>
      </c>
      <c r="C26" s="13">
        <v>4</v>
      </c>
    </row>
    <row r="27" spans="2:3" ht="18" customHeight="1">
      <c r="B27" s="14"/>
      <c r="C27" s="15"/>
    </row>
    <row r="28" spans="2:3" ht="18" customHeight="1">
      <c r="B28" s="18" t="s">
        <v>22</v>
      </c>
      <c r="C28" s="19">
        <f>C12+C18+C23</f>
        <v>44.46</v>
      </c>
    </row>
    <row r="31" spans="2:3" ht="18" customHeight="1">
      <c r="B31" s="244" t="s">
        <v>14</v>
      </c>
      <c r="C31" s="245"/>
    </row>
    <row r="32" spans="2:3" ht="18" customHeight="1">
      <c r="B32" s="4" t="s">
        <v>23</v>
      </c>
      <c r="C32" s="5">
        <v>430000</v>
      </c>
    </row>
    <row r="33" spans="2:6" ht="18" customHeight="1">
      <c r="B33" s="4" t="s">
        <v>24</v>
      </c>
      <c r="C33" s="5">
        <f>C32/30</f>
        <v>14333.333333333334</v>
      </c>
    </row>
    <row r="35" spans="2:6" ht="18" customHeight="1">
      <c r="B35" s="244" t="s">
        <v>25</v>
      </c>
      <c r="C35" s="245"/>
      <c r="F35" s="20"/>
    </row>
    <row r="36" spans="2:6" ht="18" customHeight="1">
      <c r="B36" s="4" t="s">
        <v>26</v>
      </c>
      <c r="C36" s="5">
        <v>700000</v>
      </c>
    </row>
    <row r="37" spans="2:6" ht="18" customHeight="1">
      <c r="B37" s="4" t="s">
        <v>27</v>
      </c>
      <c r="C37" s="5">
        <v>650000</v>
      </c>
    </row>
    <row r="38" spans="2:6" ht="18" customHeight="1">
      <c r="B38" s="4" t="s">
        <v>28</v>
      </c>
      <c r="C38" s="5">
        <v>600000</v>
      </c>
    </row>
    <row r="39" spans="2:6" ht="18" customHeight="1">
      <c r="B39" s="4" t="s">
        <v>29</v>
      </c>
      <c r="C39" s="5">
        <v>450000</v>
      </c>
    </row>
    <row r="40" spans="2:6" ht="18" customHeight="1">
      <c r="B40" s="4" t="s">
        <v>30</v>
      </c>
      <c r="C40" s="5">
        <v>400000</v>
      </c>
    </row>
    <row r="41" spans="2:6" ht="18" customHeight="1">
      <c r="B41" s="21"/>
      <c r="C41" s="22"/>
    </row>
    <row r="42" spans="2:6" ht="18" customHeight="1">
      <c r="B42" s="4" t="s">
        <v>31</v>
      </c>
      <c r="C42" s="5">
        <v>625000</v>
      </c>
    </row>
    <row r="43" spans="2:6" ht="18" customHeight="1">
      <c r="B43" s="4" t="s">
        <v>32</v>
      </c>
      <c r="C43" s="5">
        <v>500000</v>
      </c>
    </row>
    <row r="46" spans="2:6" ht="18" customHeight="1">
      <c r="B46" s="244" t="s">
        <v>33</v>
      </c>
      <c r="C46" s="245"/>
    </row>
    <row r="47" spans="2:6" ht="18" customHeight="1">
      <c r="B47" s="4" t="s">
        <v>26</v>
      </c>
      <c r="C47" s="5">
        <f>C36/6</f>
        <v>116666.66666666667</v>
      </c>
      <c r="F47" s="23"/>
    </row>
    <row r="48" spans="2:6" ht="18" customHeight="1">
      <c r="B48" s="4" t="s">
        <v>27</v>
      </c>
      <c r="C48" s="5">
        <f>C37/6</f>
        <v>108333.33333333333</v>
      </c>
      <c r="F48" s="23"/>
    </row>
    <row r="49" spans="2:9" ht="18" customHeight="1">
      <c r="B49" s="4" t="s">
        <v>28</v>
      </c>
      <c r="C49" s="5">
        <f>C38/6</f>
        <v>100000</v>
      </c>
      <c r="F49" s="23"/>
    </row>
    <row r="50" spans="2:9" ht="18" customHeight="1">
      <c r="B50" s="4" t="s">
        <v>29</v>
      </c>
      <c r="C50" s="5">
        <f>C39/6</f>
        <v>75000</v>
      </c>
    </row>
    <row r="51" spans="2:9" ht="18" customHeight="1">
      <c r="B51" s="4" t="s">
        <v>30</v>
      </c>
      <c r="C51" s="5">
        <f>C40/6</f>
        <v>66666.666666666672</v>
      </c>
    </row>
    <row r="52" spans="2:9" ht="18" customHeight="1">
      <c r="B52" s="21"/>
      <c r="C52" s="22"/>
    </row>
    <row r="53" spans="2:9" ht="18" customHeight="1">
      <c r="B53" s="4" t="s">
        <v>31</v>
      </c>
      <c r="C53" s="5">
        <f>C42/6</f>
        <v>104166.66666666667</v>
      </c>
    </row>
    <row r="54" spans="2:9" ht="18" customHeight="1">
      <c r="B54" s="4" t="s">
        <v>32</v>
      </c>
      <c r="C54" s="5">
        <f>C43/6</f>
        <v>83333.333333333328</v>
      </c>
    </row>
    <row r="57" spans="2:9" ht="18" customHeight="1">
      <c r="B57" s="244" t="s">
        <v>34</v>
      </c>
      <c r="C57" s="245"/>
    </row>
    <row r="58" spans="2:9" ht="18" customHeight="1">
      <c r="B58" s="4" t="s">
        <v>26</v>
      </c>
      <c r="C58" s="5">
        <f>C47+$C$33</f>
        <v>131000</v>
      </c>
    </row>
    <row r="59" spans="2:9" ht="18" customHeight="1">
      <c r="B59" s="4" t="s">
        <v>26</v>
      </c>
      <c r="C59" s="5">
        <f>C48+$C$33</f>
        <v>122666.66666666666</v>
      </c>
    </row>
    <row r="60" spans="2:9" ht="18" customHeight="1">
      <c r="B60" s="4" t="s">
        <v>28</v>
      </c>
      <c r="C60" s="5">
        <f t="shared" ref="C60:C65" si="0">C49+$C$33</f>
        <v>114333.33333333333</v>
      </c>
    </row>
    <row r="61" spans="2:9" ht="18" customHeight="1">
      <c r="B61" s="4" t="s">
        <v>29</v>
      </c>
      <c r="C61" s="5">
        <f t="shared" si="0"/>
        <v>89333.333333333328</v>
      </c>
      <c r="E61" s="24"/>
      <c r="F61" s="24"/>
      <c r="G61" s="24"/>
      <c r="H61" s="24"/>
      <c r="I61" s="24"/>
    </row>
    <row r="62" spans="2:9" ht="18" customHeight="1">
      <c r="B62" s="4" t="s">
        <v>30</v>
      </c>
      <c r="C62" s="5">
        <f t="shared" si="0"/>
        <v>81000</v>
      </c>
      <c r="E62" s="24"/>
      <c r="F62" s="24"/>
      <c r="G62" s="25"/>
      <c r="H62" s="25"/>
      <c r="I62" s="25"/>
    </row>
    <row r="63" spans="2:9" ht="18" customHeight="1">
      <c r="B63" s="21"/>
      <c r="C63" s="22"/>
      <c r="E63" s="24"/>
      <c r="F63" s="24"/>
      <c r="G63" s="25"/>
      <c r="H63" s="25"/>
      <c r="I63" s="25"/>
    </row>
    <row r="64" spans="2:9" ht="18" customHeight="1">
      <c r="B64" s="4" t="s">
        <v>31</v>
      </c>
      <c r="C64" s="5">
        <f t="shared" si="0"/>
        <v>118500</v>
      </c>
      <c r="E64" s="24"/>
      <c r="F64" s="24"/>
      <c r="G64" s="25"/>
      <c r="H64" s="25"/>
      <c r="I64" s="25"/>
    </row>
    <row r="65" spans="2:9" ht="18" customHeight="1">
      <c r="B65" s="4" t="s">
        <v>32</v>
      </c>
      <c r="C65" s="5">
        <f t="shared" si="0"/>
        <v>97666.666666666657</v>
      </c>
      <c r="G65" s="25"/>
      <c r="H65" s="25"/>
      <c r="I65" s="25"/>
    </row>
    <row r="66" spans="2:9" ht="18" customHeight="1">
      <c r="H66" s="25"/>
      <c r="I66" s="25"/>
    </row>
    <row r="68" spans="2:9" ht="18" customHeight="1">
      <c r="B68" s="244" t="s">
        <v>35</v>
      </c>
      <c r="C68" s="245"/>
    </row>
    <row r="69" spans="2:9" ht="18" customHeight="1">
      <c r="B69" s="27" t="s">
        <v>36</v>
      </c>
      <c r="C69" s="28" t="s">
        <v>37</v>
      </c>
    </row>
    <row r="70" spans="2:9" ht="18" customHeight="1">
      <c r="B70" s="4" t="s">
        <v>38</v>
      </c>
      <c r="C70" s="5">
        <f>(C58)+(C60)+C61</f>
        <v>334666.66666666663</v>
      </c>
    </row>
    <row r="71" spans="2:9" ht="18" customHeight="1">
      <c r="B71" s="4" t="s">
        <v>39</v>
      </c>
      <c r="C71" s="5">
        <f>(C58)+(C60*2)+C61</f>
        <v>448999.99999999994</v>
      </c>
    </row>
    <row r="72" spans="2:9" ht="18" customHeight="1">
      <c r="B72" s="4" t="s">
        <v>40</v>
      </c>
      <c r="C72" s="5">
        <f>(C58*2)+(C60*4)+C61</f>
        <v>808666.66666666663</v>
      </c>
    </row>
    <row r="73" spans="2:9" ht="18" customHeight="1">
      <c r="B73" s="4" t="s">
        <v>41</v>
      </c>
      <c r="C73" s="5">
        <f>(C60*2)+C61</f>
        <v>318000</v>
      </c>
    </row>
  </sheetData>
  <mergeCells count="9">
    <mergeCell ref="B46:C46"/>
    <mergeCell ref="B57:C57"/>
    <mergeCell ref="B68:C68"/>
    <mergeCell ref="B2:C2"/>
    <mergeCell ref="B3:C3"/>
    <mergeCell ref="B9:C9"/>
    <mergeCell ref="B10:C10"/>
    <mergeCell ref="B31:C31"/>
    <mergeCell ref="B35:C35"/>
  </mergeCells>
  <pageMargins left="0.7" right="0.7" top="0.75" bottom="0.75" header="0.3" footer="0.3"/>
  <pageSetup paperSize="9" scale="8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8BDA-10B5-4F8F-9BA8-35B215F888C5}">
  <sheetPr>
    <tabColor rgb="FFFF7B89"/>
  </sheetPr>
  <dimension ref="A2:AT22"/>
  <sheetViews>
    <sheetView view="pageBreakPreview" zoomScale="90" zoomScaleNormal="90" zoomScaleSheetLayoutView="90" workbookViewId="0">
      <pane xSplit="4" ySplit="4" topLeftCell="E5" activePane="bottomRight" state="frozen"/>
      <selection activeCell="C19" sqref="C19"/>
      <selection pane="topRight" activeCell="C19" sqref="C19"/>
      <selection pane="bottomLeft" activeCell="C19" sqref="C19"/>
      <selection pane="bottomRight" activeCell="G7" sqref="G7"/>
    </sheetView>
  </sheetViews>
  <sheetFormatPr baseColWidth="10" defaultRowHeight="13.2"/>
  <cols>
    <col min="1" max="1" width="25.21875" style="29" customWidth="1"/>
    <col min="2" max="4" width="14.77734375" style="30" customWidth="1"/>
    <col min="5" max="45" width="15.77734375" style="29" customWidth="1"/>
    <col min="46" max="46" width="16.77734375" style="29" customWidth="1"/>
    <col min="47" max="16384" width="11.5546875" style="29"/>
  </cols>
  <sheetData>
    <row r="2" spans="1:46">
      <c r="E2" s="30">
        <v>2</v>
      </c>
      <c r="F2" s="30">
        <v>3</v>
      </c>
      <c r="G2" s="30">
        <v>4</v>
      </c>
      <c r="H2" s="30">
        <v>5</v>
      </c>
      <c r="I2" s="30">
        <v>6</v>
      </c>
      <c r="J2" s="30">
        <v>7</v>
      </c>
      <c r="K2" s="30">
        <v>8</v>
      </c>
      <c r="L2" s="30">
        <v>9</v>
      </c>
      <c r="M2" s="30">
        <v>10</v>
      </c>
      <c r="N2" s="30">
        <v>11</v>
      </c>
      <c r="O2" s="30">
        <v>12</v>
      </c>
      <c r="P2" s="30">
        <v>13</v>
      </c>
      <c r="Q2" s="30">
        <v>14</v>
      </c>
      <c r="R2" s="30">
        <v>15</v>
      </c>
      <c r="S2" s="30">
        <v>16</v>
      </c>
      <c r="T2" s="30">
        <v>17</v>
      </c>
      <c r="U2" s="30">
        <v>18</v>
      </c>
      <c r="V2" s="30">
        <v>19</v>
      </c>
      <c r="W2" s="30">
        <v>20</v>
      </c>
      <c r="X2" s="30">
        <v>21</v>
      </c>
      <c r="Y2" s="30">
        <v>22</v>
      </c>
      <c r="Z2" s="30">
        <v>23</v>
      </c>
      <c r="AA2" s="30">
        <v>24</v>
      </c>
      <c r="AB2" s="30">
        <v>25</v>
      </c>
      <c r="AC2" s="30">
        <v>26</v>
      </c>
      <c r="AD2" s="30">
        <v>27</v>
      </c>
      <c r="AE2" s="30">
        <v>28</v>
      </c>
      <c r="AF2" s="30">
        <v>29</v>
      </c>
      <c r="AG2" s="30">
        <v>30</v>
      </c>
      <c r="AH2" s="30">
        <v>31</v>
      </c>
      <c r="AI2" s="30">
        <v>1</v>
      </c>
      <c r="AJ2" s="30">
        <v>2</v>
      </c>
      <c r="AK2" s="30">
        <v>3</v>
      </c>
      <c r="AL2" s="30">
        <v>4</v>
      </c>
      <c r="AM2" s="30">
        <v>5</v>
      </c>
      <c r="AN2" s="30">
        <v>6</v>
      </c>
      <c r="AO2" s="30">
        <v>7</v>
      </c>
      <c r="AP2" s="30">
        <v>8</v>
      </c>
      <c r="AQ2" s="30">
        <v>9</v>
      </c>
      <c r="AR2" s="30">
        <v>10</v>
      </c>
      <c r="AS2" s="30">
        <v>11</v>
      </c>
      <c r="AT2" s="30"/>
    </row>
    <row r="3" spans="1:46" ht="19.95" customHeight="1">
      <c r="A3" s="31"/>
      <c r="B3" s="31"/>
      <c r="C3" s="31"/>
      <c r="D3" s="31"/>
      <c r="E3" s="32" t="s">
        <v>42</v>
      </c>
      <c r="F3" s="32" t="s">
        <v>43</v>
      </c>
      <c r="G3" s="32" t="s">
        <v>44</v>
      </c>
      <c r="H3" s="32" t="s">
        <v>45</v>
      </c>
      <c r="I3" s="32" t="s">
        <v>46</v>
      </c>
      <c r="J3" s="32" t="s">
        <v>47</v>
      </c>
      <c r="K3" s="32" t="s">
        <v>48</v>
      </c>
      <c r="L3" s="32" t="s">
        <v>42</v>
      </c>
      <c r="M3" s="32" t="s">
        <v>43</v>
      </c>
      <c r="N3" s="32" t="s">
        <v>44</v>
      </c>
      <c r="O3" s="32" t="s">
        <v>45</v>
      </c>
      <c r="P3" s="32" t="s">
        <v>46</v>
      </c>
      <c r="Q3" s="32" t="s">
        <v>47</v>
      </c>
      <c r="R3" s="32" t="s">
        <v>48</v>
      </c>
      <c r="S3" s="32" t="s">
        <v>42</v>
      </c>
      <c r="T3" s="32" t="s">
        <v>43</v>
      </c>
      <c r="U3" s="32" t="s">
        <v>44</v>
      </c>
      <c r="V3" s="32" t="s">
        <v>45</v>
      </c>
      <c r="W3" s="32" t="s">
        <v>46</v>
      </c>
      <c r="X3" s="32" t="s">
        <v>47</v>
      </c>
      <c r="Y3" s="32" t="s">
        <v>48</v>
      </c>
      <c r="Z3" s="32" t="s">
        <v>42</v>
      </c>
      <c r="AA3" s="32" t="s">
        <v>43</v>
      </c>
      <c r="AB3" s="32" t="s">
        <v>44</v>
      </c>
      <c r="AC3" s="32" t="s">
        <v>45</v>
      </c>
      <c r="AD3" s="32" t="s">
        <v>46</v>
      </c>
      <c r="AE3" s="32" t="s">
        <v>47</v>
      </c>
      <c r="AF3" s="32" t="s">
        <v>48</v>
      </c>
      <c r="AG3" s="32" t="s">
        <v>42</v>
      </c>
      <c r="AH3" s="32" t="s">
        <v>43</v>
      </c>
      <c r="AI3" s="132" t="s">
        <v>44</v>
      </c>
      <c r="AJ3" s="132" t="s">
        <v>45</v>
      </c>
      <c r="AK3" s="132" t="s">
        <v>46</v>
      </c>
      <c r="AL3" s="132" t="s">
        <v>47</v>
      </c>
      <c r="AM3" s="132" t="s">
        <v>48</v>
      </c>
      <c r="AN3" s="132" t="s">
        <v>42</v>
      </c>
      <c r="AO3" s="132" t="s">
        <v>43</v>
      </c>
      <c r="AP3" s="132" t="s">
        <v>44</v>
      </c>
      <c r="AQ3" s="132" t="s">
        <v>45</v>
      </c>
      <c r="AR3" s="132" t="s">
        <v>46</v>
      </c>
      <c r="AS3" s="132" t="s">
        <v>47</v>
      </c>
      <c r="AT3" s="32"/>
    </row>
    <row r="4" spans="1:46" ht="19.95" customHeight="1">
      <c r="A4" s="32" t="s">
        <v>49</v>
      </c>
      <c r="B4" s="32" t="s">
        <v>50</v>
      </c>
      <c r="C4" s="32" t="s">
        <v>51</v>
      </c>
      <c r="D4" s="32" t="s">
        <v>52</v>
      </c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</row>
    <row r="5" spans="1:46" ht="19.95" customHeight="1">
      <c r="A5" s="34" t="s">
        <v>53</v>
      </c>
      <c r="B5" s="35" t="s">
        <v>54</v>
      </c>
      <c r="C5" s="36">
        <v>0.34</v>
      </c>
      <c r="D5" s="37">
        <f>SALARIOS!C64</f>
        <v>118500</v>
      </c>
      <c r="E5" s="38">
        <v>0</v>
      </c>
      <c r="F5" s="38">
        <f>D5*C5</f>
        <v>40290</v>
      </c>
      <c r="G5" s="38">
        <v>0</v>
      </c>
      <c r="H5" s="38">
        <v>0</v>
      </c>
      <c r="I5" s="38">
        <v>0</v>
      </c>
      <c r="J5" s="38">
        <v>0</v>
      </c>
      <c r="K5" s="39"/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7"/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7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9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39">
        <v>0</v>
      </c>
      <c r="AN5" s="38">
        <v>0</v>
      </c>
      <c r="AO5" s="38">
        <v>0</v>
      </c>
      <c r="AP5" s="38">
        <v>0</v>
      </c>
      <c r="AQ5" s="38">
        <v>0</v>
      </c>
      <c r="AR5" s="38">
        <v>0</v>
      </c>
      <c r="AS5" s="38">
        <v>0</v>
      </c>
      <c r="AT5" s="40">
        <f t="shared" ref="AT5:AT10" si="0">SUM(E5:AS5)</f>
        <v>40290</v>
      </c>
    </row>
    <row r="6" spans="1:46" ht="19.95" customHeight="1">
      <c r="A6" s="34" t="s">
        <v>171</v>
      </c>
      <c r="B6" s="35" t="s">
        <v>174</v>
      </c>
      <c r="C6" s="36">
        <v>0.34</v>
      </c>
      <c r="D6" s="37">
        <f>D5</f>
        <v>118500</v>
      </c>
      <c r="E6" s="38">
        <v>0</v>
      </c>
      <c r="F6" s="38">
        <f t="shared" ref="F6:F10" si="1">D6*C6</f>
        <v>40290</v>
      </c>
      <c r="G6" s="38">
        <v>0</v>
      </c>
      <c r="H6" s="38">
        <v>0</v>
      </c>
      <c r="I6" s="38">
        <v>0</v>
      </c>
      <c r="J6" s="38">
        <v>0</v>
      </c>
      <c r="K6" s="39"/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7"/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7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9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9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40">
        <f t="shared" si="0"/>
        <v>40290</v>
      </c>
    </row>
    <row r="7" spans="1:46" ht="19.95" customHeight="1">
      <c r="A7" s="34" t="s">
        <v>56</v>
      </c>
      <c r="B7" s="35" t="s">
        <v>57</v>
      </c>
      <c r="C7" s="36">
        <v>1</v>
      </c>
      <c r="D7" s="37">
        <f>SALARIOS!C64</f>
        <v>118500</v>
      </c>
      <c r="E7" s="38">
        <v>0</v>
      </c>
      <c r="F7" s="38">
        <f t="shared" si="1"/>
        <v>118500</v>
      </c>
      <c r="G7" s="38">
        <v>0</v>
      </c>
      <c r="H7" s="38">
        <v>0</v>
      </c>
      <c r="I7" s="38">
        <v>0</v>
      </c>
      <c r="J7" s="38">
        <v>0</v>
      </c>
      <c r="K7" s="39"/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7"/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7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9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9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40">
        <f t="shared" si="0"/>
        <v>118500</v>
      </c>
    </row>
    <row r="8" spans="1:46" ht="19.95" customHeight="1">
      <c r="A8" s="34" t="s">
        <v>55</v>
      </c>
      <c r="B8" s="35" t="s">
        <v>170</v>
      </c>
      <c r="C8" s="36">
        <v>0.34</v>
      </c>
      <c r="D8" s="37">
        <f>D7</f>
        <v>118500</v>
      </c>
      <c r="E8" s="38">
        <v>0</v>
      </c>
      <c r="F8" s="38">
        <f t="shared" si="1"/>
        <v>40290</v>
      </c>
      <c r="G8" s="38">
        <v>0</v>
      </c>
      <c r="H8" s="38">
        <v>0</v>
      </c>
      <c r="I8" s="38">
        <v>0</v>
      </c>
      <c r="J8" s="38">
        <v>0</v>
      </c>
      <c r="K8" s="39"/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7"/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7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9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9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40">
        <f t="shared" si="0"/>
        <v>40290</v>
      </c>
    </row>
    <row r="9" spans="1:46" ht="19.95" customHeight="1">
      <c r="A9" s="34" t="s">
        <v>173</v>
      </c>
      <c r="B9" s="35" t="s">
        <v>172</v>
      </c>
      <c r="C9" s="36">
        <v>0.5</v>
      </c>
      <c r="D9" s="37">
        <f>[3]SALARIOS!C64</f>
        <v>118166.66666666667</v>
      </c>
      <c r="E9" s="38">
        <v>0</v>
      </c>
      <c r="F9" s="38">
        <f t="shared" si="1"/>
        <v>59083.333333333336</v>
      </c>
      <c r="G9" s="38">
        <v>0</v>
      </c>
      <c r="H9" s="38">
        <v>0</v>
      </c>
      <c r="I9" s="38">
        <v>0</v>
      </c>
      <c r="J9" s="38">
        <v>0</v>
      </c>
      <c r="K9" s="39"/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7"/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7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9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9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40">
        <f t="shared" si="0"/>
        <v>59083.333333333336</v>
      </c>
    </row>
    <row r="10" spans="1:46" ht="19.95" customHeight="1">
      <c r="A10" s="34" t="s">
        <v>58</v>
      </c>
      <c r="B10" s="35" t="s">
        <v>59</v>
      </c>
      <c r="C10" s="36">
        <v>0.34</v>
      </c>
      <c r="D10" s="37">
        <f>[3]SALARIOS!C65</f>
        <v>97333.333333333328</v>
      </c>
      <c r="E10" s="38">
        <v>0</v>
      </c>
      <c r="F10" s="38">
        <f t="shared" si="1"/>
        <v>33093.333333333336</v>
      </c>
      <c r="G10" s="38">
        <v>0</v>
      </c>
      <c r="H10" s="38">
        <v>0</v>
      </c>
      <c r="I10" s="38">
        <v>0</v>
      </c>
      <c r="J10" s="38">
        <v>0</v>
      </c>
      <c r="K10" s="39"/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7"/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7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9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9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40">
        <f t="shared" si="0"/>
        <v>33093.333333333336</v>
      </c>
    </row>
    <row r="11" spans="1:46" ht="19.95" customHeight="1">
      <c r="A11" s="41"/>
      <c r="B11" s="42"/>
      <c r="C11" s="43"/>
      <c r="D11" s="44"/>
      <c r="E11" s="45">
        <f>SUM(E5:E10)</f>
        <v>0</v>
      </c>
      <c r="F11" s="45">
        <f>SUM(F5:F10)</f>
        <v>331546.66666666663</v>
      </c>
      <c r="G11" s="45">
        <f t="shared" ref="G11:S11" si="2">SUM(G5:G10)</f>
        <v>0</v>
      </c>
      <c r="H11" s="45">
        <f t="shared" si="2"/>
        <v>0</v>
      </c>
      <c r="I11" s="45">
        <f t="shared" si="2"/>
        <v>0</v>
      </c>
      <c r="J11" s="45">
        <f t="shared" si="2"/>
        <v>0</v>
      </c>
      <c r="K11" s="45">
        <f t="shared" si="2"/>
        <v>0</v>
      </c>
      <c r="L11" s="45">
        <f t="shared" si="2"/>
        <v>0</v>
      </c>
      <c r="M11" s="45">
        <f t="shared" si="2"/>
        <v>0</v>
      </c>
      <c r="N11" s="45">
        <f t="shared" si="2"/>
        <v>0</v>
      </c>
      <c r="O11" s="45">
        <f t="shared" si="2"/>
        <v>0</v>
      </c>
      <c r="P11" s="45">
        <f t="shared" si="2"/>
        <v>0</v>
      </c>
      <c r="Q11" s="45">
        <f t="shared" si="2"/>
        <v>0</v>
      </c>
      <c r="R11" s="45">
        <f t="shared" si="2"/>
        <v>0</v>
      </c>
      <c r="S11" s="45">
        <f t="shared" si="2"/>
        <v>0</v>
      </c>
      <c r="T11" s="46"/>
      <c r="U11" s="46"/>
      <c r="V11" s="46"/>
      <c r="W11" s="46"/>
      <c r="X11" s="46"/>
      <c r="Y11" s="44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0"/>
    </row>
    <row r="12" spans="1:46" ht="19.95" customHeight="1">
      <c r="A12" s="34" t="s">
        <v>60</v>
      </c>
      <c r="B12" s="35" t="s">
        <v>27</v>
      </c>
      <c r="C12" s="36">
        <v>1</v>
      </c>
      <c r="D12" s="37">
        <f>SALARIOS!C59</f>
        <v>122666.66666666666</v>
      </c>
      <c r="E12" s="38">
        <v>0</v>
      </c>
      <c r="F12" s="38">
        <v>0</v>
      </c>
      <c r="G12" s="38">
        <f>$F$12</f>
        <v>0</v>
      </c>
      <c r="H12" s="38">
        <f t="shared" ref="H12:Q19" si="3">$F$12</f>
        <v>0</v>
      </c>
      <c r="I12" s="38">
        <f t="shared" si="3"/>
        <v>0</v>
      </c>
      <c r="J12" s="38">
        <f t="shared" si="3"/>
        <v>0</v>
      </c>
      <c r="K12" s="39">
        <v>0</v>
      </c>
      <c r="L12" s="38">
        <f t="shared" si="3"/>
        <v>0</v>
      </c>
      <c r="M12" s="38">
        <f t="shared" si="3"/>
        <v>0</v>
      </c>
      <c r="N12" s="38">
        <f t="shared" si="3"/>
        <v>0</v>
      </c>
      <c r="O12" s="38">
        <f t="shared" si="3"/>
        <v>0</v>
      </c>
      <c r="P12" s="38">
        <f t="shared" si="3"/>
        <v>0</v>
      </c>
      <c r="Q12" s="38">
        <f t="shared" si="3"/>
        <v>0</v>
      </c>
      <c r="R12" s="37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7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7">
        <v>0</v>
      </c>
      <c r="AG12" s="38">
        <v>0</v>
      </c>
      <c r="AH12" s="38">
        <v>0</v>
      </c>
      <c r="AI12" s="38">
        <v>0</v>
      </c>
      <c r="AJ12" s="38">
        <v>0</v>
      </c>
      <c r="AK12" s="38">
        <v>0</v>
      </c>
      <c r="AL12" s="38">
        <v>0</v>
      </c>
      <c r="AM12" s="37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40">
        <f>SUM(E12:AS12)</f>
        <v>0</v>
      </c>
    </row>
    <row r="13" spans="1:46" ht="19.95" customHeight="1">
      <c r="A13" s="34" t="s">
        <v>176</v>
      </c>
      <c r="B13" s="35" t="s">
        <v>26</v>
      </c>
      <c r="C13" s="36">
        <v>1</v>
      </c>
      <c r="D13" s="37">
        <f>D12</f>
        <v>122666.66666666666</v>
      </c>
      <c r="E13" s="38">
        <v>0</v>
      </c>
      <c r="F13" s="38">
        <v>0</v>
      </c>
      <c r="G13" s="38">
        <f>$F$13</f>
        <v>0</v>
      </c>
      <c r="H13" s="38">
        <f t="shared" ref="H13:J13" si="4">$F$13</f>
        <v>0</v>
      </c>
      <c r="I13" s="38">
        <f t="shared" si="4"/>
        <v>0</v>
      </c>
      <c r="J13" s="38">
        <f t="shared" si="4"/>
        <v>0</v>
      </c>
      <c r="K13" s="39">
        <v>0</v>
      </c>
      <c r="L13" s="38">
        <f t="shared" si="3"/>
        <v>0</v>
      </c>
      <c r="M13" s="38">
        <f t="shared" si="3"/>
        <v>0</v>
      </c>
      <c r="N13" s="38">
        <f t="shared" si="3"/>
        <v>0</v>
      </c>
      <c r="O13" s="38">
        <f t="shared" si="3"/>
        <v>0</v>
      </c>
      <c r="P13" s="38">
        <f t="shared" si="3"/>
        <v>0</v>
      </c>
      <c r="Q13" s="38">
        <f t="shared" si="3"/>
        <v>0</v>
      </c>
      <c r="R13" s="37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7">
        <v>0</v>
      </c>
      <c r="Z13" s="38">
        <v>0</v>
      </c>
      <c r="AA13" s="38">
        <v>0</v>
      </c>
      <c r="AB13" s="38">
        <v>0</v>
      </c>
      <c r="AC13" s="38">
        <v>0</v>
      </c>
      <c r="AD13" s="38">
        <v>0</v>
      </c>
      <c r="AE13" s="38">
        <v>0</v>
      </c>
      <c r="AF13" s="37">
        <v>0</v>
      </c>
      <c r="AG13" s="38">
        <v>0</v>
      </c>
      <c r="AH13" s="38">
        <v>0</v>
      </c>
      <c r="AI13" s="38">
        <v>0</v>
      </c>
      <c r="AJ13" s="38">
        <v>0</v>
      </c>
      <c r="AK13" s="38">
        <v>0</v>
      </c>
      <c r="AL13" s="38">
        <v>0</v>
      </c>
      <c r="AM13" s="37">
        <v>0</v>
      </c>
      <c r="AN13" s="38">
        <v>0</v>
      </c>
      <c r="AO13" s="38">
        <v>0</v>
      </c>
      <c r="AP13" s="38">
        <v>0</v>
      </c>
      <c r="AQ13" s="38">
        <v>0</v>
      </c>
      <c r="AR13" s="38">
        <v>0</v>
      </c>
      <c r="AS13" s="38">
        <v>0</v>
      </c>
      <c r="AT13" s="40">
        <f t="shared" ref="AT13:AT17" si="5">SUM(E13:AS13)</f>
        <v>0</v>
      </c>
    </row>
    <row r="14" spans="1:46" ht="19.95" customHeight="1">
      <c r="A14" s="34" t="s">
        <v>175</v>
      </c>
      <c r="B14" s="35" t="s">
        <v>27</v>
      </c>
      <c r="C14" s="36">
        <v>1</v>
      </c>
      <c r="D14" s="37">
        <f>SALARIOS!C60</f>
        <v>114333.33333333333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9">
        <v>0</v>
      </c>
      <c r="L14" s="38">
        <f t="shared" si="3"/>
        <v>0</v>
      </c>
      <c r="M14" s="38">
        <f t="shared" si="3"/>
        <v>0</v>
      </c>
      <c r="N14" s="38">
        <f t="shared" si="3"/>
        <v>0</v>
      </c>
      <c r="O14" s="38">
        <f t="shared" si="3"/>
        <v>0</v>
      </c>
      <c r="P14" s="38">
        <f t="shared" si="3"/>
        <v>0</v>
      </c>
      <c r="Q14" s="38">
        <f t="shared" si="3"/>
        <v>0</v>
      </c>
      <c r="R14" s="37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7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  <c r="AF14" s="37">
        <v>0</v>
      </c>
      <c r="AG14" s="38">
        <v>0</v>
      </c>
      <c r="AH14" s="38">
        <v>0</v>
      </c>
      <c r="AI14" s="38">
        <v>0</v>
      </c>
      <c r="AJ14" s="38">
        <v>0</v>
      </c>
      <c r="AK14" s="38">
        <v>0</v>
      </c>
      <c r="AL14" s="38">
        <v>0</v>
      </c>
      <c r="AM14" s="37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40">
        <f t="shared" si="5"/>
        <v>0</v>
      </c>
    </row>
    <row r="15" spans="1:46" ht="19.95" customHeight="1">
      <c r="A15" s="34" t="s">
        <v>177</v>
      </c>
      <c r="B15" s="35" t="s">
        <v>27</v>
      </c>
      <c r="C15" s="36">
        <v>1</v>
      </c>
      <c r="D15" s="37">
        <f>D14</f>
        <v>114333.33333333333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9">
        <v>0</v>
      </c>
      <c r="L15" s="38">
        <f t="shared" si="3"/>
        <v>0</v>
      </c>
      <c r="M15" s="38">
        <f t="shared" si="3"/>
        <v>0</v>
      </c>
      <c r="N15" s="38">
        <f t="shared" si="3"/>
        <v>0</v>
      </c>
      <c r="O15" s="38">
        <f t="shared" si="3"/>
        <v>0</v>
      </c>
      <c r="P15" s="38">
        <f t="shared" si="3"/>
        <v>0</v>
      </c>
      <c r="Q15" s="38">
        <f t="shared" si="3"/>
        <v>0</v>
      </c>
      <c r="R15" s="37">
        <v>0</v>
      </c>
      <c r="S15" s="38">
        <v>0</v>
      </c>
      <c r="T15" s="38">
        <f t="shared" ref="T15:X15" si="6">$N$15*$C$15</f>
        <v>0</v>
      </c>
      <c r="U15" s="38">
        <f t="shared" si="6"/>
        <v>0</v>
      </c>
      <c r="V15" s="38">
        <f t="shared" si="6"/>
        <v>0</v>
      </c>
      <c r="W15" s="38">
        <f t="shared" si="6"/>
        <v>0</v>
      </c>
      <c r="X15" s="38">
        <f t="shared" si="6"/>
        <v>0</v>
      </c>
      <c r="Y15" s="37">
        <v>0</v>
      </c>
      <c r="Z15" s="38">
        <f t="shared" ref="Z15:AE15" si="7">$N$15*$C$15</f>
        <v>0</v>
      </c>
      <c r="AA15" s="38">
        <f t="shared" si="7"/>
        <v>0</v>
      </c>
      <c r="AB15" s="38">
        <f t="shared" si="7"/>
        <v>0</v>
      </c>
      <c r="AC15" s="38">
        <f t="shared" si="7"/>
        <v>0</v>
      </c>
      <c r="AD15" s="38">
        <f t="shared" si="7"/>
        <v>0</v>
      </c>
      <c r="AE15" s="38">
        <f t="shared" si="7"/>
        <v>0</v>
      </c>
      <c r="AF15" s="37">
        <v>0</v>
      </c>
      <c r="AG15" s="38">
        <f t="shared" ref="AG15:AL15" si="8">$N$15*$C$15</f>
        <v>0</v>
      </c>
      <c r="AH15" s="38">
        <f t="shared" si="8"/>
        <v>0</v>
      </c>
      <c r="AI15" s="38">
        <f t="shared" si="8"/>
        <v>0</v>
      </c>
      <c r="AJ15" s="38">
        <f t="shared" si="8"/>
        <v>0</v>
      </c>
      <c r="AK15" s="38">
        <f t="shared" si="8"/>
        <v>0</v>
      </c>
      <c r="AL15" s="38">
        <f t="shared" si="8"/>
        <v>0</v>
      </c>
      <c r="AM15" s="37">
        <v>0</v>
      </c>
      <c r="AN15" s="38">
        <f t="shared" ref="AN15:AS15" si="9">$N$15*$C$15</f>
        <v>0</v>
      </c>
      <c r="AO15" s="38">
        <f t="shared" si="9"/>
        <v>0</v>
      </c>
      <c r="AP15" s="38">
        <f t="shared" si="9"/>
        <v>0</v>
      </c>
      <c r="AQ15" s="38">
        <f t="shared" si="9"/>
        <v>0</v>
      </c>
      <c r="AR15" s="38">
        <f t="shared" si="9"/>
        <v>0</v>
      </c>
      <c r="AS15" s="38">
        <f t="shared" si="9"/>
        <v>0</v>
      </c>
      <c r="AT15" s="40">
        <f t="shared" si="5"/>
        <v>0</v>
      </c>
    </row>
    <row r="16" spans="1:46" ht="19.95" customHeight="1">
      <c r="A16" s="34" t="s">
        <v>178</v>
      </c>
      <c r="B16" s="35" t="s">
        <v>28</v>
      </c>
      <c r="C16" s="36">
        <v>1</v>
      </c>
      <c r="D16" s="37">
        <f>SALARIOS!C60</f>
        <v>114333.33333333333</v>
      </c>
      <c r="E16" s="38">
        <v>0</v>
      </c>
      <c r="F16" s="38">
        <v>0</v>
      </c>
      <c r="G16" s="38">
        <f>$F$16</f>
        <v>0</v>
      </c>
      <c r="H16" s="38">
        <f t="shared" ref="H16:J16" si="10">$F$16</f>
        <v>0</v>
      </c>
      <c r="I16" s="38">
        <f t="shared" si="10"/>
        <v>0</v>
      </c>
      <c r="J16" s="38">
        <f t="shared" si="10"/>
        <v>0</v>
      </c>
      <c r="K16" s="39">
        <v>0</v>
      </c>
      <c r="L16" s="38">
        <f t="shared" si="3"/>
        <v>0</v>
      </c>
      <c r="M16" s="38">
        <f t="shared" si="3"/>
        <v>0</v>
      </c>
      <c r="N16" s="38">
        <f t="shared" si="3"/>
        <v>0</v>
      </c>
      <c r="O16" s="38">
        <f t="shared" si="3"/>
        <v>0</v>
      </c>
      <c r="P16" s="38">
        <f t="shared" si="3"/>
        <v>0</v>
      </c>
      <c r="Q16" s="38">
        <f t="shared" si="3"/>
        <v>0</v>
      </c>
      <c r="R16" s="37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7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f>$N$15*$C$15</f>
        <v>0</v>
      </c>
      <c r="AE16" s="38">
        <f>$N$15*$C$15</f>
        <v>0</v>
      </c>
      <c r="AF16" s="37">
        <v>0</v>
      </c>
      <c r="AG16" s="38">
        <f>$N$15*$C$15</f>
        <v>0</v>
      </c>
      <c r="AH16" s="38">
        <v>0</v>
      </c>
      <c r="AI16" s="38">
        <v>0</v>
      </c>
      <c r="AJ16" s="38">
        <v>0</v>
      </c>
      <c r="AK16" s="38">
        <v>0</v>
      </c>
      <c r="AL16" s="38">
        <v>0</v>
      </c>
      <c r="AM16" s="37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40">
        <f t="shared" si="5"/>
        <v>0</v>
      </c>
    </row>
    <row r="17" spans="1:46" ht="19.95" customHeight="1">
      <c r="A17" s="34" t="s">
        <v>180</v>
      </c>
      <c r="B17" s="35" t="s">
        <v>28</v>
      </c>
      <c r="C17" s="36">
        <v>1</v>
      </c>
      <c r="D17" s="37">
        <f>SALARIOS!C60</f>
        <v>114333.33333333333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9">
        <v>0</v>
      </c>
      <c r="L17" s="38">
        <f t="shared" si="3"/>
        <v>0</v>
      </c>
      <c r="M17" s="38">
        <f t="shared" si="3"/>
        <v>0</v>
      </c>
      <c r="N17" s="38">
        <f t="shared" si="3"/>
        <v>0</v>
      </c>
      <c r="O17" s="38">
        <f t="shared" si="3"/>
        <v>0</v>
      </c>
      <c r="P17" s="38">
        <f t="shared" si="3"/>
        <v>0</v>
      </c>
      <c r="Q17" s="38">
        <f t="shared" si="3"/>
        <v>0</v>
      </c>
      <c r="R17" s="37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7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7">
        <v>0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38">
        <v>0</v>
      </c>
      <c r="AM17" s="37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40">
        <f t="shared" si="5"/>
        <v>0</v>
      </c>
    </row>
    <row r="18" spans="1:46" ht="19.95" customHeight="1">
      <c r="A18" s="34" t="s">
        <v>179</v>
      </c>
      <c r="B18" s="35" t="s">
        <v>27</v>
      </c>
      <c r="C18" s="36">
        <v>1</v>
      </c>
      <c r="D18" s="37">
        <f>SALARIOS!C59</f>
        <v>122666.66666666666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9">
        <v>0</v>
      </c>
      <c r="L18" s="38">
        <f t="shared" si="3"/>
        <v>0</v>
      </c>
      <c r="M18" s="38">
        <f t="shared" si="3"/>
        <v>0</v>
      </c>
      <c r="N18" s="38">
        <f t="shared" si="3"/>
        <v>0</v>
      </c>
      <c r="O18" s="38">
        <f t="shared" si="3"/>
        <v>0</v>
      </c>
      <c r="P18" s="38">
        <f t="shared" si="3"/>
        <v>0</v>
      </c>
      <c r="Q18" s="38">
        <f t="shared" si="3"/>
        <v>0</v>
      </c>
      <c r="R18" s="37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7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7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38">
        <v>0</v>
      </c>
      <c r="AM18" s="37">
        <v>0</v>
      </c>
      <c r="AN18" s="38">
        <v>0</v>
      </c>
      <c r="AO18" s="38">
        <v>0</v>
      </c>
      <c r="AP18" s="38">
        <v>0</v>
      </c>
      <c r="AQ18" s="38">
        <v>0</v>
      </c>
      <c r="AR18" s="38">
        <v>0</v>
      </c>
      <c r="AS18" s="38">
        <v>0</v>
      </c>
      <c r="AT18" s="40">
        <f t="shared" ref="AT18" si="11">SUM(E18:AS18)</f>
        <v>0</v>
      </c>
    </row>
    <row r="19" spans="1:46" ht="19.95" customHeight="1">
      <c r="A19" s="34" t="s">
        <v>61</v>
      </c>
      <c r="B19" s="35" t="s">
        <v>29</v>
      </c>
      <c r="C19" s="36">
        <v>1</v>
      </c>
      <c r="D19" s="37">
        <f>SALARIOS!C62</f>
        <v>81000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9">
        <v>0</v>
      </c>
      <c r="L19" s="38">
        <f t="shared" si="3"/>
        <v>0</v>
      </c>
      <c r="M19" s="38">
        <f t="shared" si="3"/>
        <v>0</v>
      </c>
      <c r="N19" s="38">
        <f t="shared" si="3"/>
        <v>0</v>
      </c>
      <c r="O19" s="38">
        <f t="shared" si="3"/>
        <v>0</v>
      </c>
      <c r="P19" s="38">
        <f t="shared" si="3"/>
        <v>0</v>
      </c>
      <c r="Q19" s="38">
        <f t="shared" si="3"/>
        <v>0</v>
      </c>
      <c r="R19" s="37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7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7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38">
        <v>0</v>
      </c>
      <c r="AM19" s="37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40">
        <f t="shared" ref="AT19" si="12">SUM(E19:AS19)</f>
        <v>0</v>
      </c>
    </row>
    <row r="20" spans="1:46" ht="19.95" customHeight="1">
      <c r="A20" s="34"/>
      <c r="B20" s="35"/>
      <c r="C20" s="35"/>
      <c r="D20" s="47"/>
      <c r="E20" s="38"/>
      <c r="F20" s="38"/>
      <c r="G20" s="38"/>
      <c r="H20" s="38"/>
      <c r="I20" s="38"/>
      <c r="J20" s="38"/>
      <c r="K20" s="39"/>
      <c r="L20" s="38"/>
      <c r="M20" s="38"/>
      <c r="N20" s="38"/>
      <c r="O20" s="38"/>
      <c r="P20" s="38"/>
      <c r="Q20" s="38"/>
      <c r="R20" s="37"/>
      <c r="S20" s="38"/>
      <c r="T20" s="38"/>
      <c r="U20" s="38"/>
      <c r="V20" s="38"/>
      <c r="W20" s="38"/>
      <c r="X20" s="38"/>
      <c r="Y20" s="37"/>
      <c r="Z20" s="38"/>
      <c r="AA20" s="38"/>
      <c r="AB20" s="38"/>
      <c r="AC20" s="38"/>
      <c r="AD20" s="38"/>
      <c r="AE20" s="38"/>
      <c r="AF20" s="39"/>
      <c r="AG20" s="38"/>
      <c r="AH20" s="38"/>
      <c r="AI20" s="38"/>
      <c r="AJ20" s="38"/>
      <c r="AK20" s="38"/>
      <c r="AL20" s="38"/>
      <c r="AM20" s="39"/>
      <c r="AN20" s="38"/>
      <c r="AO20" s="38"/>
      <c r="AP20" s="38"/>
      <c r="AQ20" s="38"/>
      <c r="AR20" s="38"/>
      <c r="AS20" s="38"/>
      <c r="AT20" s="48">
        <f>SUM(AT5:AT18)</f>
        <v>331546.66666666663</v>
      </c>
    </row>
    <row r="21" spans="1:46" ht="19.95" customHeight="1">
      <c r="A21" s="34"/>
      <c r="B21" s="35"/>
      <c r="C21" s="35"/>
      <c r="D21" s="47"/>
      <c r="E21" s="49">
        <f t="shared" ref="E21:AS21" si="13">SUM(E12:E20)</f>
        <v>0</v>
      </c>
      <c r="F21" s="49">
        <f t="shared" si="13"/>
        <v>0</v>
      </c>
      <c r="G21" s="49">
        <f t="shared" si="13"/>
        <v>0</v>
      </c>
      <c r="H21" s="49">
        <f t="shared" si="13"/>
        <v>0</v>
      </c>
      <c r="I21" s="49">
        <f t="shared" si="13"/>
        <v>0</v>
      </c>
      <c r="J21" s="49">
        <f t="shared" si="13"/>
        <v>0</v>
      </c>
      <c r="K21" s="49">
        <f t="shared" si="13"/>
        <v>0</v>
      </c>
      <c r="L21" s="49">
        <f t="shared" si="13"/>
        <v>0</v>
      </c>
      <c r="M21" s="49">
        <f t="shared" si="13"/>
        <v>0</v>
      </c>
      <c r="N21" s="49">
        <f t="shared" si="13"/>
        <v>0</v>
      </c>
      <c r="O21" s="49">
        <f t="shared" si="13"/>
        <v>0</v>
      </c>
      <c r="P21" s="49">
        <f t="shared" si="13"/>
        <v>0</v>
      </c>
      <c r="Q21" s="49">
        <f t="shared" si="13"/>
        <v>0</v>
      </c>
      <c r="R21" s="49">
        <f t="shared" si="13"/>
        <v>0</v>
      </c>
      <c r="S21" s="49">
        <f t="shared" si="13"/>
        <v>0</v>
      </c>
      <c r="T21" s="49">
        <f t="shared" si="13"/>
        <v>0</v>
      </c>
      <c r="U21" s="49">
        <f t="shared" si="13"/>
        <v>0</v>
      </c>
      <c r="V21" s="49">
        <f t="shared" si="13"/>
        <v>0</v>
      </c>
      <c r="W21" s="49">
        <f t="shared" si="13"/>
        <v>0</v>
      </c>
      <c r="X21" s="49">
        <f t="shared" si="13"/>
        <v>0</v>
      </c>
      <c r="Y21" s="49">
        <f t="shared" si="13"/>
        <v>0</v>
      </c>
      <c r="Z21" s="49">
        <f t="shared" si="13"/>
        <v>0</v>
      </c>
      <c r="AA21" s="49">
        <f t="shared" si="13"/>
        <v>0</v>
      </c>
      <c r="AB21" s="49">
        <f t="shared" si="13"/>
        <v>0</v>
      </c>
      <c r="AC21" s="49">
        <f t="shared" si="13"/>
        <v>0</v>
      </c>
      <c r="AD21" s="49">
        <f t="shared" si="13"/>
        <v>0</v>
      </c>
      <c r="AE21" s="49">
        <f t="shared" si="13"/>
        <v>0</v>
      </c>
      <c r="AF21" s="49">
        <f t="shared" si="13"/>
        <v>0</v>
      </c>
      <c r="AG21" s="49">
        <f t="shared" si="13"/>
        <v>0</v>
      </c>
      <c r="AH21" s="49">
        <f t="shared" si="13"/>
        <v>0</v>
      </c>
      <c r="AI21" s="49">
        <f t="shared" si="13"/>
        <v>0</v>
      </c>
      <c r="AJ21" s="49">
        <f t="shared" si="13"/>
        <v>0</v>
      </c>
      <c r="AK21" s="49">
        <f t="shared" si="13"/>
        <v>0</v>
      </c>
      <c r="AL21" s="49">
        <f t="shared" si="13"/>
        <v>0</v>
      </c>
      <c r="AM21" s="49">
        <f t="shared" si="13"/>
        <v>0</v>
      </c>
      <c r="AN21" s="49">
        <f t="shared" si="13"/>
        <v>0</v>
      </c>
      <c r="AO21" s="49">
        <f t="shared" si="13"/>
        <v>0</v>
      </c>
      <c r="AP21" s="49">
        <f t="shared" si="13"/>
        <v>0</v>
      </c>
      <c r="AQ21" s="49">
        <f t="shared" si="13"/>
        <v>0</v>
      </c>
      <c r="AR21" s="49">
        <f t="shared" si="13"/>
        <v>0</v>
      </c>
      <c r="AS21" s="49">
        <f t="shared" si="13"/>
        <v>0</v>
      </c>
      <c r="AT21" s="48">
        <f>SUM(E21:AS21)</f>
        <v>0</v>
      </c>
    </row>
    <row r="22" spans="1:46" ht="19.95" customHeight="1">
      <c r="A22" s="41"/>
      <c r="B22" s="42"/>
      <c r="C22" s="42"/>
      <c r="D22" s="44"/>
      <c r="E22" s="45">
        <f>E11</f>
        <v>0</v>
      </c>
      <c r="F22" s="45">
        <f t="shared" ref="F22:S22" si="14">F11+F21</f>
        <v>331546.66666666663</v>
      </c>
      <c r="G22" s="45">
        <f t="shared" si="14"/>
        <v>0</v>
      </c>
      <c r="H22" s="45">
        <f t="shared" si="14"/>
        <v>0</v>
      </c>
      <c r="I22" s="45">
        <f t="shared" si="14"/>
        <v>0</v>
      </c>
      <c r="J22" s="45">
        <f t="shared" si="14"/>
        <v>0</v>
      </c>
      <c r="K22" s="45">
        <f t="shared" si="14"/>
        <v>0</v>
      </c>
      <c r="L22" s="45">
        <f t="shared" si="14"/>
        <v>0</v>
      </c>
      <c r="M22" s="45">
        <f t="shared" si="14"/>
        <v>0</v>
      </c>
      <c r="N22" s="45">
        <f t="shared" si="14"/>
        <v>0</v>
      </c>
      <c r="O22" s="45">
        <f t="shared" si="14"/>
        <v>0</v>
      </c>
      <c r="P22" s="45">
        <f t="shared" si="14"/>
        <v>0</v>
      </c>
      <c r="Q22" s="45">
        <f t="shared" si="14"/>
        <v>0</v>
      </c>
      <c r="R22" s="45">
        <f t="shared" si="14"/>
        <v>0</v>
      </c>
      <c r="S22" s="45">
        <f t="shared" si="14"/>
        <v>0</v>
      </c>
      <c r="T22" s="46"/>
      <c r="U22" s="46"/>
      <c r="V22" s="46"/>
      <c r="W22" s="46"/>
      <c r="X22" s="46"/>
      <c r="Y22" s="44"/>
      <c r="Z22" s="46"/>
      <c r="AA22" s="46"/>
      <c r="AB22" s="46"/>
      <c r="AC22" s="46"/>
      <c r="AD22" s="46"/>
      <c r="AE22" s="46"/>
      <c r="AF22" s="46"/>
      <c r="AG22" s="50"/>
      <c r="AH22" s="50"/>
      <c r="AI22" s="50"/>
      <c r="AJ22" s="50"/>
      <c r="AK22" s="50"/>
      <c r="AL22" s="50"/>
      <c r="AM22" s="46"/>
      <c r="AN22" s="50"/>
      <c r="AO22" s="50"/>
      <c r="AP22" s="50"/>
      <c r="AQ22" s="50"/>
      <c r="AR22" s="50"/>
      <c r="AS22" s="50"/>
      <c r="AT22" s="49"/>
    </row>
  </sheetData>
  <pageMargins left="0.25" right="0.25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2453-465A-48CA-9AA8-CD8372F947C8}">
  <sheetPr>
    <tabColor rgb="FFFF7B89"/>
  </sheetPr>
  <dimension ref="B1:AV78"/>
  <sheetViews>
    <sheetView zoomScale="80" zoomScaleNormal="80" zoomScaleSheetLayoutView="80" workbookViewId="0">
      <pane xSplit="4" ySplit="7" topLeftCell="E8" activePane="bottomRight" state="frozen"/>
      <selection activeCell="C19" sqref="C19"/>
      <selection pane="topRight" activeCell="C19" sqref="C19"/>
      <selection pane="bottomLeft" activeCell="C19" sqref="C19"/>
      <selection pane="bottomRight" activeCell="C19" sqref="C19"/>
    </sheetView>
  </sheetViews>
  <sheetFormatPr baseColWidth="10" defaultRowHeight="13.2"/>
  <cols>
    <col min="1" max="1" width="4.88671875" style="29" customWidth="1"/>
    <col min="2" max="2" width="32.5546875" style="51" customWidth="1"/>
    <col min="3" max="3" width="14.77734375" style="30" customWidth="1"/>
    <col min="4" max="4" width="20.77734375" style="30" customWidth="1"/>
    <col min="5" max="5" width="4.6640625" style="30" customWidth="1"/>
    <col min="6" max="46" width="15.77734375" style="29" customWidth="1"/>
    <col min="47" max="47" width="16.77734375" style="29" customWidth="1"/>
    <col min="48" max="16384" width="11.5546875" style="29"/>
  </cols>
  <sheetData>
    <row r="1" spans="2:47" ht="19.95" customHeight="1">
      <c r="F1" s="52" t="s">
        <v>62</v>
      </c>
      <c r="G1" s="53"/>
      <c r="H1" s="53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</row>
    <row r="3" spans="2:47">
      <c r="F3" s="30">
        <v>21</v>
      </c>
      <c r="G3" s="30">
        <v>22</v>
      </c>
      <c r="H3" s="30">
        <v>23</v>
      </c>
      <c r="I3" s="30">
        <v>24</v>
      </c>
      <c r="J3" s="30">
        <v>25</v>
      </c>
      <c r="K3" s="30">
        <v>26</v>
      </c>
      <c r="L3" s="30">
        <v>27</v>
      </c>
      <c r="M3" s="30">
        <v>28</v>
      </c>
      <c r="N3" s="30">
        <v>29</v>
      </c>
      <c r="O3" s="30">
        <v>30</v>
      </c>
      <c r="P3" s="30">
        <v>1</v>
      </c>
      <c r="Q3" s="30">
        <v>2</v>
      </c>
      <c r="R3" s="30">
        <v>3</v>
      </c>
      <c r="S3" s="30">
        <v>4</v>
      </c>
      <c r="T3" s="30">
        <v>5</v>
      </c>
      <c r="U3" s="30">
        <v>6</v>
      </c>
      <c r="V3" s="30">
        <v>7</v>
      </c>
      <c r="W3" s="30">
        <v>8</v>
      </c>
      <c r="X3" s="30">
        <v>9</v>
      </c>
      <c r="Y3" s="30">
        <v>10</v>
      </c>
      <c r="Z3" s="30">
        <v>11</v>
      </c>
      <c r="AA3" s="30">
        <v>12</v>
      </c>
      <c r="AB3" s="30">
        <v>13</v>
      </c>
      <c r="AC3" s="30">
        <v>14</v>
      </c>
      <c r="AD3" s="30">
        <v>15</v>
      </c>
      <c r="AE3" s="30">
        <v>16</v>
      </c>
      <c r="AF3" s="30">
        <v>17</v>
      </c>
      <c r="AG3" s="30">
        <v>18</v>
      </c>
      <c r="AH3" s="30">
        <v>19</v>
      </c>
      <c r="AI3" s="30">
        <v>20</v>
      </c>
      <c r="AJ3" s="30">
        <v>21</v>
      </c>
      <c r="AK3" s="30">
        <v>22</v>
      </c>
      <c r="AL3" s="30">
        <v>23</v>
      </c>
      <c r="AM3" s="30">
        <v>24</v>
      </c>
      <c r="AN3" s="30">
        <v>25</v>
      </c>
      <c r="AO3" s="30">
        <v>26</v>
      </c>
      <c r="AP3" s="30">
        <v>27</v>
      </c>
      <c r="AQ3" s="30">
        <v>28</v>
      </c>
      <c r="AR3" s="30">
        <v>29</v>
      </c>
      <c r="AS3" s="30">
        <v>30</v>
      </c>
      <c r="AT3" s="30">
        <v>31</v>
      </c>
      <c r="AU3" s="30"/>
    </row>
    <row r="4" spans="2:47" ht="19.95" customHeight="1">
      <c r="B4" s="55"/>
      <c r="C4" s="31"/>
      <c r="D4" s="31"/>
      <c r="E4" s="31"/>
      <c r="F4" s="56" t="s">
        <v>42</v>
      </c>
      <c r="G4" s="56" t="s">
        <v>43</v>
      </c>
      <c r="H4" s="56" t="s">
        <v>44</v>
      </c>
      <c r="I4" s="56" t="s">
        <v>45</v>
      </c>
      <c r="J4" s="56" t="s">
        <v>46</v>
      </c>
      <c r="K4" s="56" t="s">
        <v>47</v>
      </c>
      <c r="L4" s="56" t="s">
        <v>48</v>
      </c>
      <c r="M4" s="56" t="s">
        <v>42</v>
      </c>
      <c r="N4" s="56" t="s">
        <v>43</v>
      </c>
      <c r="O4" s="56" t="s">
        <v>44</v>
      </c>
      <c r="P4" s="56" t="s">
        <v>45</v>
      </c>
      <c r="Q4" s="56" t="s">
        <v>46</v>
      </c>
      <c r="R4" s="56" t="s">
        <v>47</v>
      </c>
      <c r="S4" s="56" t="s">
        <v>48</v>
      </c>
      <c r="T4" s="56" t="s">
        <v>42</v>
      </c>
      <c r="U4" s="56" t="s">
        <v>43</v>
      </c>
      <c r="V4" s="56" t="s">
        <v>44</v>
      </c>
      <c r="W4" s="56" t="s">
        <v>45</v>
      </c>
      <c r="X4" s="56" t="s">
        <v>46</v>
      </c>
      <c r="Y4" s="56" t="s">
        <v>47</v>
      </c>
      <c r="Z4" s="56" t="s">
        <v>48</v>
      </c>
      <c r="AA4" s="56" t="s">
        <v>42</v>
      </c>
      <c r="AB4" s="56" t="s">
        <v>43</v>
      </c>
      <c r="AC4" s="56" t="s">
        <v>44</v>
      </c>
      <c r="AD4" s="56" t="s">
        <v>45</v>
      </c>
      <c r="AE4" s="56" t="s">
        <v>46</v>
      </c>
      <c r="AF4" s="56" t="s">
        <v>47</v>
      </c>
      <c r="AG4" s="56" t="s">
        <v>48</v>
      </c>
      <c r="AH4" s="56" t="s">
        <v>42</v>
      </c>
      <c r="AI4" s="56" t="s">
        <v>43</v>
      </c>
      <c r="AJ4" s="56" t="s">
        <v>44</v>
      </c>
      <c r="AK4" s="56" t="s">
        <v>45</v>
      </c>
      <c r="AL4" s="56" t="s">
        <v>46</v>
      </c>
      <c r="AM4" s="56" t="s">
        <v>47</v>
      </c>
      <c r="AN4" s="56" t="s">
        <v>48</v>
      </c>
      <c r="AO4" s="56" t="s">
        <v>42</v>
      </c>
      <c r="AP4" s="56" t="s">
        <v>43</v>
      </c>
      <c r="AQ4" s="56" t="s">
        <v>44</v>
      </c>
      <c r="AR4" s="56" t="s">
        <v>45</v>
      </c>
      <c r="AS4" s="56" t="s">
        <v>46</v>
      </c>
      <c r="AT4" s="56" t="s">
        <v>47</v>
      </c>
      <c r="AU4" s="56"/>
    </row>
    <row r="5" spans="2:47" ht="19.95" customHeight="1">
      <c r="B5" s="57" t="s">
        <v>63</v>
      </c>
      <c r="C5" s="58"/>
      <c r="D5" s="58"/>
      <c r="E5" s="58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</row>
    <row r="6" spans="2:47" ht="19.95" customHeight="1">
      <c r="C6" s="29"/>
      <c r="D6" s="29"/>
      <c r="E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 spans="2:47" ht="19.95" customHeight="1">
      <c r="B7" s="59" t="s">
        <v>64</v>
      </c>
      <c r="C7" s="33" t="s">
        <v>51</v>
      </c>
      <c r="D7" s="33" t="s">
        <v>37</v>
      </c>
      <c r="E7" s="60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</row>
    <row r="8" spans="2:47" ht="19.95" customHeight="1">
      <c r="B8" s="61" t="s">
        <v>65</v>
      </c>
      <c r="C8" s="62"/>
      <c r="D8" s="62"/>
    </row>
    <row r="9" spans="2:47" ht="19.95" customHeight="1">
      <c r="B9" s="63" t="s">
        <v>66</v>
      </c>
      <c r="C9" s="36">
        <v>0.25</v>
      </c>
      <c r="D9" s="47"/>
      <c r="E9" s="47"/>
      <c r="F9" s="64">
        <v>50000</v>
      </c>
      <c r="G9" s="64">
        <f>$F$9</f>
        <v>50000</v>
      </c>
      <c r="H9" s="64">
        <f>$F$9</f>
        <v>50000</v>
      </c>
      <c r="I9" s="64">
        <f>$F$9</f>
        <v>50000</v>
      </c>
      <c r="J9" s="64">
        <f>$F$9</f>
        <v>50000</v>
      </c>
      <c r="K9" s="65">
        <f>$F$9</f>
        <v>50000</v>
      </c>
      <c r="L9" s="65">
        <v>0</v>
      </c>
      <c r="M9" s="65">
        <f t="shared" ref="M9:R9" si="0">$F$9</f>
        <v>50000</v>
      </c>
      <c r="N9" s="65">
        <f t="shared" si="0"/>
        <v>50000</v>
      </c>
      <c r="O9" s="65">
        <f t="shared" si="0"/>
        <v>50000</v>
      </c>
      <c r="P9" s="65">
        <f t="shared" si="0"/>
        <v>50000</v>
      </c>
      <c r="Q9" s="65">
        <f t="shared" si="0"/>
        <v>50000</v>
      </c>
      <c r="R9" s="65">
        <f t="shared" si="0"/>
        <v>50000</v>
      </c>
      <c r="S9" s="65">
        <v>0</v>
      </c>
      <c r="T9" s="65">
        <f t="shared" ref="T9:Y9" si="1">$F$9</f>
        <v>50000</v>
      </c>
      <c r="U9" s="65">
        <f t="shared" si="1"/>
        <v>50000</v>
      </c>
      <c r="V9" s="65">
        <f t="shared" si="1"/>
        <v>50000</v>
      </c>
      <c r="W9" s="65">
        <f t="shared" si="1"/>
        <v>50000</v>
      </c>
      <c r="X9" s="65">
        <f t="shared" si="1"/>
        <v>50000</v>
      </c>
      <c r="Y9" s="65">
        <f t="shared" si="1"/>
        <v>50000</v>
      </c>
      <c r="Z9" s="65">
        <v>0</v>
      </c>
      <c r="AA9" s="65">
        <v>0</v>
      </c>
      <c r="AB9" s="65">
        <f>$F$9</f>
        <v>50000</v>
      </c>
      <c r="AC9" s="65">
        <f>$F$9</f>
        <v>50000</v>
      </c>
      <c r="AD9" s="65">
        <f>$F$9</f>
        <v>50000</v>
      </c>
      <c r="AE9" s="65">
        <f>$F$9</f>
        <v>50000</v>
      </c>
      <c r="AF9" s="65">
        <f>$F$9</f>
        <v>50000</v>
      </c>
      <c r="AG9" s="65">
        <v>0</v>
      </c>
      <c r="AH9" s="65">
        <f t="shared" ref="AH9:AM9" si="2">$F$9</f>
        <v>50000</v>
      </c>
      <c r="AI9" s="65">
        <f t="shared" si="2"/>
        <v>50000</v>
      </c>
      <c r="AJ9" s="65">
        <f t="shared" si="2"/>
        <v>50000</v>
      </c>
      <c r="AK9" s="65">
        <f t="shared" si="2"/>
        <v>50000</v>
      </c>
      <c r="AL9" s="65">
        <f t="shared" si="2"/>
        <v>50000</v>
      </c>
      <c r="AM9" s="65">
        <f t="shared" si="2"/>
        <v>50000</v>
      </c>
      <c r="AN9" s="65">
        <v>0</v>
      </c>
      <c r="AO9" s="65">
        <f t="shared" ref="AO9:AT9" si="3">$F$9</f>
        <v>50000</v>
      </c>
      <c r="AP9" s="65">
        <f t="shared" si="3"/>
        <v>50000</v>
      </c>
      <c r="AQ9" s="65">
        <f t="shared" si="3"/>
        <v>50000</v>
      </c>
      <c r="AR9" s="65">
        <f t="shared" si="3"/>
        <v>50000</v>
      </c>
      <c r="AS9" s="65">
        <f t="shared" si="3"/>
        <v>50000</v>
      </c>
      <c r="AT9" s="65">
        <f t="shared" si="3"/>
        <v>50000</v>
      </c>
      <c r="AU9" s="66">
        <f>SUM(F9:AT9)</f>
        <v>1750000</v>
      </c>
    </row>
    <row r="10" spans="2:47" ht="19.95" customHeight="1">
      <c r="B10" s="63" t="s">
        <v>67</v>
      </c>
      <c r="C10" s="36">
        <v>0.5</v>
      </c>
      <c r="D10" s="47"/>
      <c r="E10" s="47"/>
      <c r="F10" s="64">
        <v>5000</v>
      </c>
      <c r="G10" s="64">
        <f>$F$10</f>
        <v>5000</v>
      </c>
      <c r="H10" s="64">
        <f t="shared" ref="H10:K10" si="4">$F$10</f>
        <v>5000</v>
      </c>
      <c r="I10" s="64">
        <f t="shared" si="4"/>
        <v>5000</v>
      </c>
      <c r="J10" s="64">
        <f t="shared" si="4"/>
        <v>5000</v>
      </c>
      <c r="K10" s="64">
        <f t="shared" si="4"/>
        <v>5000</v>
      </c>
      <c r="L10" s="65">
        <v>0</v>
      </c>
      <c r="M10" s="65">
        <f t="shared" ref="M10:R10" si="5">$D$10*$C$10</f>
        <v>0</v>
      </c>
      <c r="N10" s="65">
        <f t="shared" si="5"/>
        <v>0</v>
      </c>
      <c r="O10" s="65">
        <f t="shared" si="5"/>
        <v>0</v>
      </c>
      <c r="P10" s="65">
        <f t="shared" si="5"/>
        <v>0</v>
      </c>
      <c r="Q10" s="65">
        <f t="shared" si="5"/>
        <v>0</v>
      </c>
      <c r="R10" s="65">
        <f t="shared" si="5"/>
        <v>0</v>
      </c>
      <c r="S10" s="65">
        <v>0</v>
      </c>
      <c r="T10" s="65">
        <f t="shared" ref="T10:Y10" si="6">$D$10*$C$10</f>
        <v>0</v>
      </c>
      <c r="U10" s="65">
        <f t="shared" si="6"/>
        <v>0</v>
      </c>
      <c r="V10" s="65">
        <f t="shared" si="6"/>
        <v>0</v>
      </c>
      <c r="W10" s="65">
        <f t="shared" si="6"/>
        <v>0</v>
      </c>
      <c r="X10" s="65">
        <f t="shared" si="6"/>
        <v>0</v>
      </c>
      <c r="Y10" s="65">
        <f t="shared" si="6"/>
        <v>0</v>
      </c>
      <c r="Z10" s="65">
        <v>0</v>
      </c>
      <c r="AA10" s="65">
        <f>$D$10*$C$10</f>
        <v>0</v>
      </c>
      <c r="AB10" s="65">
        <f>$D$10*$C$10</f>
        <v>0</v>
      </c>
      <c r="AC10" s="65">
        <f>$D$10*$C$10</f>
        <v>0</v>
      </c>
      <c r="AD10" s="65">
        <f>$D$9*$C$10</f>
        <v>0</v>
      </c>
      <c r="AE10" s="65">
        <f>$D$10*$C$10</f>
        <v>0</v>
      </c>
      <c r="AF10" s="65">
        <f>$D$10*$C$10</f>
        <v>0</v>
      </c>
      <c r="AG10" s="65">
        <v>0</v>
      </c>
      <c r="AH10" s="65">
        <f t="shared" ref="AH10:AM10" si="7">$D$10*$C$10</f>
        <v>0</v>
      </c>
      <c r="AI10" s="65">
        <f t="shared" si="7"/>
        <v>0</v>
      </c>
      <c r="AJ10" s="65">
        <f t="shared" si="7"/>
        <v>0</v>
      </c>
      <c r="AK10" s="65">
        <f t="shared" si="7"/>
        <v>0</v>
      </c>
      <c r="AL10" s="65">
        <f t="shared" si="7"/>
        <v>0</v>
      </c>
      <c r="AM10" s="65">
        <f t="shared" si="7"/>
        <v>0</v>
      </c>
      <c r="AN10" s="65">
        <v>0</v>
      </c>
      <c r="AO10" s="65">
        <f t="shared" ref="AO10:AT10" si="8">$D$10*$C$10</f>
        <v>0</v>
      </c>
      <c r="AP10" s="65">
        <f t="shared" si="8"/>
        <v>0</v>
      </c>
      <c r="AQ10" s="65">
        <f t="shared" si="8"/>
        <v>0</v>
      </c>
      <c r="AR10" s="65">
        <f t="shared" si="8"/>
        <v>0</v>
      </c>
      <c r="AS10" s="65">
        <f t="shared" si="8"/>
        <v>0</v>
      </c>
      <c r="AT10" s="65">
        <f t="shared" si="8"/>
        <v>0</v>
      </c>
      <c r="AU10" s="66">
        <f>SUM(F10:AT10)</f>
        <v>30000</v>
      </c>
    </row>
    <row r="11" spans="2:47" ht="19.95" customHeight="1">
      <c r="B11" s="63" t="s">
        <v>68</v>
      </c>
      <c r="C11" s="36"/>
      <c r="D11" s="47"/>
      <c r="E11" s="47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6"/>
    </row>
    <row r="12" spans="2:47" ht="19.95" customHeight="1">
      <c r="B12" s="63"/>
      <c r="C12" s="36"/>
      <c r="D12" s="47"/>
      <c r="E12" s="47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6"/>
    </row>
    <row r="13" spans="2:47" ht="19.95" customHeight="1">
      <c r="B13" s="67" t="s">
        <v>69</v>
      </c>
      <c r="C13" s="68"/>
      <c r="D13" s="37"/>
      <c r="E13" s="47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6"/>
    </row>
    <row r="14" spans="2:47" ht="19.95" customHeight="1">
      <c r="B14" s="63" t="s">
        <v>70</v>
      </c>
      <c r="C14" s="36">
        <v>1</v>
      </c>
      <c r="D14" s="47"/>
      <c r="E14" s="47"/>
      <c r="F14" s="65">
        <f>NÓMINA!E21</f>
        <v>0</v>
      </c>
      <c r="G14" s="65">
        <f>NÓMINA!F21</f>
        <v>0</v>
      </c>
      <c r="H14" s="65">
        <f>NÓMINA!G21</f>
        <v>0</v>
      </c>
      <c r="I14" s="65">
        <f>NÓMINA!H21</f>
        <v>0</v>
      </c>
      <c r="J14" s="65">
        <f>NÓMINA!I21</f>
        <v>0</v>
      </c>
      <c r="K14" s="65">
        <f>NÓMINA!J21</f>
        <v>0</v>
      </c>
      <c r="L14" s="65">
        <v>0</v>
      </c>
      <c r="M14" s="65">
        <f t="shared" ref="M14:R15" si="9">$D$14*$C$14</f>
        <v>0</v>
      </c>
      <c r="N14" s="65">
        <f t="shared" si="9"/>
        <v>0</v>
      </c>
      <c r="O14" s="65">
        <f t="shared" si="9"/>
        <v>0</v>
      </c>
      <c r="P14" s="65">
        <f t="shared" si="9"/>
        <v>0</v>
      </c>
      <c r="Q14" s="65">
        <f t="shared" si="9"/>
        <v>0</v>
      </c>
      <c r="R14" s="65">
        <f t="shared" si="9"/>
        <v>0</v>
      </c>
      <c r="S14" s="65">
        <v>0</v>
      </c>
      <c r="T14" s="65">
        <f t="shared" ref="T14:Y15" si="10">$D$14*$C$14</f>
        <v>0</v>
      </c>
      <c r="U14" s="65">
        <f t="shared" si="10"/>
        <v>0</v>
      </c>
      <c r="V14" s="65">
        <f t="shared" si="10"/>
        <v>0</v>
      </c>
      <c r="W14" s="65">
        <f t="shared" si="10"/>
        <v>0</v>
      </c>
      <c r="X14" s="65">
        <f t="shared" si="10"/>
        <v>0</v>
      </c>
      <c r="Y14" s="65">
        <f t="shared" si="10"/>
        <v>0</v>
      </c>
      <c r="Z14" s="65">
        <v>0</v>
      </c>
      <c r="AA14" s="65">
        <f>$D$10*$C$10</f>
        <v>0</v>
      </c>
      <c r="AB14" s="65">
        <f t="shared" ref="AB14:AF15" si="11">$D$14*$C$14</f>
        <v>0</v>
      </c>
      <c r="AC14" s="65">
        <f t="shared" si="11"/>
        <v>0</v>
      </c>
      <c r="AD14" s="65">
        <f t="shared" si="11"/>
        <v>0</v>
      </c>
      <c r="AE14" s="65">
        <f t="shared" si="11"/>
        <v>0</v>
      </c>
      <c r="AF14" s="65">
        <f t="shared" si="11"/>
        <v>0</v>
      </c>
      <c r="AG14" s="65">
        <v>0</v>
      </c>
      <c r="AH14" s="65">
        <f t="shared" ref="AH14:AM15" si="12">$D$14*$C$14</f>
        <v>0</v>
      </c>
      <c r="AI14" s="65">
        <f t="shared" si="12"/>
        <v>0</v>
      </c>
      <c r="AJ14" s="65">
        <f t="shared" si="12"/>
        <v>0</v>
      </c>
      <c r="AK14" s="65">
        <f t="shared" si="12"/>
        <v>0</v>
      </c>
      <c r="AL14" s="65">
        <f t="shared" si="12"/>
        <v>0</v>
      </c>
      <c r="AM14" s="65">
        <f t="shared" si="12"/>
        <v>0</v>
      </c>
      <c r="AN14" s="65">
        <v>0</v>
      </c>
      <c r="AO14" s="65">
        <f t="shared" ref="AO14:AT15" si="13">$D$14*$C$14</f>
        <v>0</v>
      </c>
      <c r="AP14" s="65">
        <f t="shared" si="13"/>
        <v>0</v>
      </c>
      <c r="AQ14" s="65">
        <f t="shared" si="13"/>
        <v>0</v>
      </c>
      <c r="AR14" s="65">
        <f t="shared" si="13"/>
        <v>0</v>
      </c>
      <c r="AS14" s="65">
        <f t="shared" si="13"/>
        <v>0</v>
      </c>
      <c r="AT14" s="65">
        <f t="shared" si="13"/>
        <v>0</v>
      </c>
      <c r="AU14" s="66">
        <f>SUM(F14:AT14)</f>
        <v>0</v>
      </c>
    </row>
    <row r="15" spans="2:47" ht="19.95" customHeight="1">
      <c r="B15" s="63" t="s">
        <v>71</v>
      </c>
      <c r="C15" s="36">
        <v>1</v>
      </c>
      <c r="D15" s="47"/>
      <c r="E15" s="47"/>
      <c r="F15" s="65">
        <f>D15</f>
        <v>0</v>
      </c>
      <c r="G15" s="65">
        <f>$D$14*$C$14</f>
        <v>0</v>
      </c>
      <c r="H15" s="65">
        <f>$D$14*$C$14</f>
        <v>0</v>
      </c>
      <c r="I15" s="65">
        <f>$D$14*$C$14</f>
        <v>0</v>
      </c>
      <c r="J15" s="65">
        <f>$D$14*$C$14</f>
        <v>0</v>
      </c>
      <c r="K15" s="65">
        <f>$D$14*$C$14</f>
        <v>0</v>
      </c>
      <c r="L15" s="65">
        <v>0</v>
      </c>
      <c r="M15" s="65">
        <f t="shared" si="9"/>
        <v>0</v>
      </c>
      <c r="N15" s="65">
        <f t="shared" si="9"/>
        <v>0</v>
      </c>
      <c r="O15" s="65">
        <f t="shared" si="9"/>
        <v>0</v>
      </c>
      <c r="P15" s="65">
        <f t="shared" si="9"/>
        <v>0</v>
      </c>
      <c r="Q15" s="65">
        <f t="shared" si="9"/>
        <v>0</v>
      </c>
      <c r="R15" s="65">
        <f t="shared" si="9"/>
        <v>0</v>
      </c>
      <c r="S15" s="65">
        <v>0</v>
      </c>
      <c r="T15" s="65">
        <f t="shared" si="10"/>
        <v>0</v>
      </c>
      <c r="U15" s="65">
        <f t="shared" si="10"/>
        <v>0</v>
      </c>
      <c r="V15" s="65">
        <f t="shared" si="10"/>
        <v>0</v>
      </c>
      <c r="W15" s="65">
        <f t="shared" si="10"/>
        <v>0</v>
      </c>
      <c r="X15" s="65">
        <f t="shared" si="10"/>
        <v>0</v>
      </c>
      <c r="Y15" s="65">
        <f t="shared" si="10"/>
        <v>0</v>
      </c>
      <c r="Z15" s="65">
        <v>0</v>
      </c>
      <c r="AA15" s="65">
        <f>$D$10*$C$10</f>
        <v>0</v>
      </c>
      <c r="AB15" s="65">
        <f t="shared" si="11"/>
        <v>0</v>
      </c>
      <c r="AC15" s="65">
        <f t="shared" si="11"/>
        <v>0</v>
      </c>
      <c r="AD15" s="65">
        <f t="shared" si="11"/>
        <v>0</v>
      </c>
      <c r="AE15" s="65">
        <f t="shared" si="11"/>
        <v>0</v>
      </c>
      <c r="AF15" s="65">
        <f t="shared" si="11"/>
        <v>0</v>
      </c>
      <c r="AG15" s="65">
        <v>0</v>
      </c>
      <c r="AH15" s="65">
        <f t="shared" si="12"/>
        <v>0</v>
      </c>
      <c r="AI15" s="65">
        <f t="shared" si="12"/>
        <v>0</v>
      </c>
      <c r="AJ15" s="65">
        <f t="shared" si="12"/>
        <v>0</v>
      </c>
      <c r="AK15" s="65">
        <f t="shared" si="12"/>
        <v>0</v>
      </c>
      <c r="AL15" s="65">
        <f t="shared" si="12"/>
        <v>0</v>
      </c>
      <c r="AM15" s="65">
        <f t="shared" si="12"/>
        <v>0</v>
      </c>
      <c r="AN15" s="65">
        <v>0</v>
      </c>
      <c r="AO15" s="65">
        <f t="shared" si="13"/>
        <v>0</v>
      </c>
      <c r="AP15" s="65">
        <f t="shared" si="13"/>
        <v>0</v>
      </c>
      <c r="AQ15" s="65">
        <f t="shared" si="13"/>
        <v>0</v>
      </c>
      <c r="AR15" s="65">
        <f t="shared" si="13"/>
        <v>0</v>
      </c>
      <c r="AS15" s="65">
        <f t="shared" si="13"/>
        <v>0</v>
      </c>
      <c r="AT15" s="65">
        <f t="shared" si="13"/>
        <v>0</v>
      </c>
      <c r="AU15" s="66">
        <f>SUM(F15:AT15)</f>
        <v>0</v>
      </c>
    </row>
    <row r="16" spans="2:47" ht="19.95" customHeight="1">
      <c r="B16" s="63" t="s">
        <v>72</v>
      </c>
      <c r="C16" s="36">
        <v>1</v>
      </c>
      <c r="D16" s="47"/>
      <c r="E16" s="47"/>
      <c r="F16" s="65">
        <f>D16</f>
        <v>0</v>
      </c>
      <c r="G16" s="65">
        <f>$D$16*$C$16</f>
        <v>0</v>
      </c>
      <c r="H16" s="65">
        <f>$D$16*$C$16</f>
        <v>0</v>
      </c>
      <c r="I16" s="65">
        <f>$D$16*$C$16</f>
        <v>0</v>
      </c>
      <c r="J16" s="65">
        <f>$D$16*$C$16</f>
        <v>0</v>
      </c>
      <c r="K16" s="65">
        <f>$D$16*$C$16</f>
        <v>0</v>
      </c>
      <c r="L16" s="65">
        <v>0</v>
      </c>
      <c r="M16" s="65">
        <f t="shared" ref="M16:R16" si="14">$D$16*$C$16</f>
        <v>0</v>
      </c>
      <c r="N16" s="65">
        <f t="shared" si="14"/>
        <v>0</v>
      </c>
      <c r="O16" s="65">
        <f t="shared" si="14"/>
        <v>0</v>
      </c>
      <c r="P16" s="65">
        <f t="shared" si="14"/>
        <v>0</v>
      </c>
      <c r="Q16" s="65">
        <f t="shared" si="14"/>
        <v>0</v>
      </c>
      <c r="R16" s="65">
        <f t="shared" si="14"/>
        <v>0</v>
      </c>
      <c r="S16" s="65">
        <v>0</v>
      </c>
      <c r="T16" s="65">
        <f t="shared" ref="T16:Y16" si="15">$D$16*$C$16</f>
        <v>0</v>
      </c>
      <c r="U16" s="65">
        <f t="shared" si="15"/>
        <v>0</v>
      </c>
      <c r="V16" s="65">
        <f t="shared" si="15"/>
        <v>0</v>
      </c>
      <c r="W16" s="65">
        <f t="shared" si="15"/>
        <v>0</v>
      </c>
      <c r="X16" s="65">
        <f t="shared" si="15"/>
        <v>0</v>
      </c>
      <c r="Y16" s="65">
        <f t="shared" si="15"/>
        <v>0</v>
      </c>
      <c r="Z16" s="65">
        <v>0</v>
      </c>
      <c r="AA16" s="65">
        <f t="shared" ref="AA16:AF16" si="16">$F$16*$C$16</f>
        <v>0</v>
      </c>
      <c r="AB16" s="65">
        <f t="shared" si="16"/>
        <v>0</v>
      </c>
      <c r="AC16" s="65">
        <f t="shared" si="16"/>
        <v>0</v>
      </c>
      <c r="AD16" s="65">
        <f t="shared" si="16"/>
        <v>0</v>
      </c>
      <c r="AE16" s="65">
        <f t="shared" si="16"/>
        <v>0</v>
      </c>
      <c r="AF16" s="65">
        <f t="shared" si="16"/>
        <v>0</v>
      </c>
      <c r="AG16" s="65">
        <v>0</v>
      </c>
      <c r="AH16" s="65">
        <f t="shared" ref="AH16:AM16" si="17">$F$16*$C$16</f>
        <v>0</v>
      </c>
      <c r="AI16" s="65">
        <f t="shared" si="17"/>
        <v>0</v>
      </c>
      <c r="AJ16" s="65">
        <f t="shared" si="17"/>
        <v>0</v>
      </c>
      <c r="AK16" s="65">
        <f t="shared" si="17"/>
        <v>0</v>
      </c>
      <c r="AL16" s="65">
        <f t="shared" si="17"/>
        <v>0</v>
      </c>
      <c r="AM16" s="65">
        <f t="shared" si="17"/>
        <v>0</v>
      </c>
      <c r="AN16" s="65">
        <v>0</v>
      </c>
      <c r="AO16" s="65">
        <f t="shared" ref="AO16:AT16" si="18">$F$16*$C$16</f>
        <v>0</v>
      </c>
      <c r="AP16" s="65">
        <f t="shared" si="18"/>
        <v>0</v>
      </c>
      <c r="AQ16" s="65">
        <f t="shared" si="18"/>
        <v>0</v>
      </c>
      <c r="AR16" s="65">
        <f t="shared" si="18"/>
        <v>0</v>
      </c>
      <c r="AS16" s="65">
        <f t="shared" si="18"/>
        <v>0</v>
      </c>
      <c r="AT16" s="65">
        <f t="shared" si="18"/>
        <v>0</v>
      </c>
      <c r="AU16" s="66">
        <f>SUM(F16:AT16)</f>
        <v>0</v>
      </c>
    </row>
    <row r="17" spans="2:48" ht="19.95" customHeight="1">
      <c r="B17" s="63" t="s">
        <v>73</v>
      </c>
      <c r="C17" s="36">
        <v>1</v>
      </c>
      <c r="D17" s="47"/>
      <c r="E17" s="47"/>
      <c r="F17" s="65">
        <f>D17*C17</f>
        <v>0</v>
      </c>
      <c r="G17" s="65">
        <f t="shared" ref="G17:K18" si="19">$D$17*$C$17</f>
        <v>0</v>
      </c>
      <c r="H17" s="65">
        <f t="shared" si="19"/>
        <v>0</v>
      </c>
      <c r="I17" s="65">
        <f t="shared" si="19"/>
        <v>0</v>
      </c>
      <c r="J17" s="65">
        <f t="shared" si="19"/>
        <v>0</v>
      </c>
      <c r="K17" s="65">
        <f t="shared" si="19"/>
        <v>0</v>
      </c>
      <c r="L17" s="65">
        <v>0</v>
      </c>
      <c r="M17" s="65">
        <f t="shared" ref="M17:R18" si="20">$D$17*$C$17</f>
        <v>0</v>
      </c>
      <c r="N17" s="65">
        <f t="shared" si="20"/>
        <v>0</v>
      </c>
      <c r="O17" s="65">
        <f t="shared" si="20"/>
        <v>0</v>
      </c>
      <c r="P17" s="65">
        <f t="shared" si="20"/>
        <v>0</v>
      </c>
      <c r="Q17" s="65">
        <f t="shared" si="20"/>
        <v>0</v>
      </c>
      <c r="R17" s="65">
        <f t="shared" si="20"/>
        <v>0</v>
      </c>
      <c r="S17" s="65">
        <v>0</v>
      </c>
      <c r="T17" s="65">
        <f t="shared" ref="T17:Y18" si="21">$D$17*$C$17</f>
        <v>0</v>
      </c>
      <c r="U17" s="65">
        <f t="shared" si="21"/>
        <v>0</v>
      </c>
      <c r="V17" s="65">
        <f t="shared" si="21"/>
        <v>0</v>
      </c>
      <c r="W17" s="65">
        <f t="shared" si="21"/>
        <v>0</v>
      </c>
      <c r="X17" s="65">
        <f t="shared" si="21"/>
        <v>0</v>
      </c>
      <c r="Y17" s="65">
        <f t="shared" si="21"/>
        <v>0</v>
      </c>
      <c r="Z17" s="65">
        <v>0</v>
      </c>
      <c r="AA17" s="65">
        <f>$D$17*$C$17</f>
        <v>0</v>
      </c>
      <c r="AB17" s="65">
        <f>$D$17*$C$17</f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f t="shared" ref="AH17:AM18" si="22">$D$17*$C$17</f>
        <v>0</v>
      </c>
      <c r="AI17" s="65">
        <f t="shared" si="22"/>
        <v>0</v>
      </c>
      <c r="AJ17" s="65">
        <f t="shared" si="22"/>
        <v>0</v>
      </c>
      <c r="AK17" s="65">
        <f t="shared" si="22"/>
        <v>0</v>
      </c>
      <c r="AL17" s="65">
        <f t="shared" si="22"/>
        <v>0</v>
      </c>
      <c r="AM17" s="65">
        <f t="shared" si="22"/>
        <v>0</v>
      </c>
      <c r="AN17" s="65">
        <v>0</v>
      </c>
      <c r="AO17" s="65">
        <f t="shared" ref="AO17:AT18" si="23">$D$17*$C$17</f>
        <v>0</v>
      </c>
      <c r="AP17" s="65">
        <f t="shared" si="23"/>
        <v>0</v>
      </c>
      <c r="AQ17" s="65">
        <f t="shared" si="23"/>
        <v>0</v>
      </c>
      <c r="AR17" s="65">
        <f t="shared" si="23"/>
        <v>0</v>
      </c>
      <c r="AS17" s="65">
        <f t="shared" si="23"/>
        <v>0</v>
      </c>
      <c r="AT17" s="65">
        <f t="shared" si="23"/>
        <v>0</v>
      </c>
      <c r="AU17" s="66">
        <f>SUM(F17:AT17)</f>
        <v>0</v>
      </c>
    </row>
    <row r="18" spans="2:48" ht="19.95" customHeight="1">
      <c r="B18" s="63" t="s">
        <v>74</v>
      </c>
      <c r="C18" s="36">
        <v>1</v>
      </c>
      <c r="D18" s="47"/>
      <c r="E18" s="47"/>
      <c r="F18" s="65">
        <f>D18*C18</f>
        <v>0</v>
      </c>
      <c r="G18" s="65">
        <f t="shared" si="19"/>
        <v>0</v>
      </c>
      <c r="H18" s="65">
        <f t="shared" si="19"/>
        <v>0</v>
      </c>
      <c r="I18" s="65">
        <f t="shared" si="19"/>
        <v>0</v>
      </c>
      <c r="J18" s="65">
        <f t="shared" si="19"/>
        <v>0</v>
      </c>
      <c r="K18" s="65">
        <f t="shared" si="19"/>
        <v>0</v>
      </c>
      <c r="L18" s="65">
        <v>0</v>
      </c>
      <c r="M18" s="65">
        <f t="shared" si="20"/>
        <v>0</v>
      </c>
      <c r="N18" s="65">
        <f t="shared" si="20"/>
        <v>0</v>
      </c>
      <c r="O18" s="65">
        <f t="shared" si="20"/>
        <v>0</v>
      </c>
      <c r="P18" s="65">
        <f t="shared" si="20"/>
        <v>0</v>
      </c>
      <c r="Q18" s="65">
        <f t="shared" si="20"/>
        <v>0</v>
      </c>
      <c r="R18" s="65">
        <f t="shared" si="20"/>
        <v>0</v>
      </c>
      <c r="S18" s="65">
        <v>0</v>
      </c>
      <c r="T18" s="65">
        <f t="shared" si="21"/>
        <v>0</v>
      </c>
      <c r="U18" s="65">
        <f t="shared" si="21"/>
        <v>0</v>
      </c>
      <c r="V18" s="65">
        <f t="shared" si="21"/>
        <v>0</v>
      </c>
      <c r="W18" s="65">
        <f t="shared" si="21"/>
        <v>0</v>
      </c>
      <c r="X18" s="65">
        <f t="shared" si="21"/>
        <v>0</v>
      </c>
      <c r="Y18" s="65">
        <f t="shared" si="21"/>
        <v>0</v>
      </c>
      <c r="Z18" s="65">
        <v>0</v>
      </c>
      <c r="AA18" s="65">
        <f>$D$17*$C$17</f>
        <v>0</v>
      </c>
      <c r="AB18" s="65">
        <f>$D$17*$C$17</f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f t="shared" si="22"/>
        <v>0</v>
      </c>
      <c r="AI18" s="65">
        <f t="shared" si="22"/>
        <v>0</v>
      </c>
      <c r="AJ18" s="65">
        <f t="shared" si="22"/>
        <v>0</v>
      </c>
      <c r="AK18" s="65">
        <f t="shared" si="22"/>
        <v>0</v>
      </c>
      <c r="AL18" s="65">
        <f t="shared" si="22"/>
        <v>0</v>
      </c>
      <c r="AM18" s="65">
        <f t="shared" si="22"/>
        <v>0</v>
      </c>
      <c r="AN18" s="65">
        <v>0</v>
      </c>
      <c r="AO18" s="65">
        <f t="shared" si="23"/>
        <v>0</v>
      </c>
      <c r="AP18" s="65">
        <f t="shared" si="23"/>
        <v>0</v>
      </c>
      <c r="AQ18" s="65">
        <f t="shared" si="23"/>
        <v>0</v>
      </c>
      <c r="AR18" s="65">
        <f t="shared" si="23"/>
        <v>0</v>
      </c>
      <c r="AS18" s="65">
        <f t="shared" si="23"/>
        <v>0</v>
      </c>
      <c r="AT18" s="65">
        <f t="shared" si="23"/>
        <v>0</v>
      </c>
      <c r="AU18" s="66">
        <f t="shared" ref="AU18" si="24">SUM(F18:AT18)</f>
        <v>0</v>
      </c>
    </row>
    <row r="19" spans="2:48" ht="19.95" customHeight="1">
      <c r="B19" s="63"/>
      <c r="C19" s="36"/>
      <c r="D19" s="47"/>
      <c r="E19" s="47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6"/>
    </row>
    <row r="20" spans="2:48" ht="19.95" customHeight="1">
      <c r="B20" s="63" t="s">
        <v>75</v>
      </c>
      <c r="C20" s="36"/>
      <c r="D20" s="47"/>
      <c r="E20" s="47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6"/>
    </row>
    <row r="21" spans="2:48" ht="19.95" customHeight="1">
      <c r="B21" s="63"/>
      <c r="C21" s="35"/>
      <c r="D21" s="47"/>
      <c r="E21" s="47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4"/>
      <c r="AV21" s="64"/>
    </row>
    <row r="22" spans="2:48" ht="19.95" customHeight="1">
      <c r="B22" s="69" t="s">
        <v>76</v>
      </c>
      <c r="C22" s="35"/>
      <c r="D22" s="47"/>
      <c r="E22" s="47"/>
      <c r="F22" s="70">
        <f t="shared" ref="F22:R22" si="25">SUM(F9:F21)</f>
        <v>55000</v>
      </c>
      <c r="G22" s="70">
        <f t="shared" si="25"/>
        <v>55000</v>
      </c>
      <c r="H22" s="70">
        <f t="shared" si="25"/>
        <v>55000</v>
      </c>
      <c r="I22" s="70">
        <f t="shared" si="25"/>
        <v>55000</v>
      </c>
      <c r="J22" s="70">
        <f t="shared" si="25"/>
        <v>55000</v>
      </c>
      <c r="K22" s="70">
        <f t="shared" si="25"/>
        <v>55000</v>
      </c>
      <c r="L22" s="70">
        <f t="shared" si="25"/>
        <v>0</v>
      </c>
      <c r="M22" s="70">
        <f t="shared" si="25"/>
        <v>50000</v>
      </c>
      <c r="N22" s="70">
        <f t="shared" si="25"/>
        <v>50000</v>
      </c>
      <c r="O22" s="70">
        <f t="shared" si="25"/>
        <v>50000</v>
      </c>
      <c r="P22" s="70">
        <f t="shared" si="25"/>
        <v>50000</v>
      </c>
      <c r="Q22" s="70">
        <f t="shared" si="25"/>
        <v>50000</v>
      </c>
      <c r="R22" s="70">
        <f t="shared" si="25"/>
        <v>50000</v>
      </c>
      <c r="S22" s="70">
        <f>SUM(S16:S21)</f>
        <v>0</v>
      </c>
      <c r="T22" s="70">
        <f t="shared" ref="T22:Y22" si="26">SUM(T9:T21)</f>
        <v>50000</v>
      </c>
      <c r="U22" s="70">
        <f t="shared" si="26"/>
        <v>50000</v>
      </c>
      <c r="V22" s="70">
        <f t="shared" si="26"/>
        <v>50000</v>
      </c>
      <c r="W22" s="70">
        <f t="shared" si="26"/>
        <v>50000</v>
      </c>
      <c r="X22" s="70">
        <f t="shared" si="26"/>
        <v>50000</v>
      </c>
      <c r="Y22" s="70">
        <f t="shared" si="26"/>
        <v>50000</v>
      </c>
      <c r="Z22" s="70">
        <f>SUM(Z16:Z21)</f>
        <v>0</v>
      </c>
      <c r="AA22" s="70">
        <f t="shared" ref="AA22:AF22" si="27">SUM(AA9:AA21)</f>
        <v>0</v>
      </c>
      <c r="AB22" s="70">
        <f t="shared" si="27"/>
        <v>50000</v>
      </c>
      <c r="AC22" s="70">
        <f t="shared" si="27"/>
        <v>50000</v>
      </c>
      <c r="AD22" s="70">
        <f t="shared" si="27"/>
        <v>50000</v>
      </c>
      <c r="AE22" s="70">
        <f t="shared" si="27"/>
        <v>50000</v>
      </c>
      <c r="AF22" s="70">
        <f t="shared" si="27"/>
        <v>50000</v>
      </c>
      <c r="AG22" s="70">
        <f>SUM(AG16:AG21)</f>
        <v>0</v>
      </c>
      <c r="AH22" s="70">
        <f t="shared" ref="AH22:AM22" si="28">SUM(AH9:AH21)</f>
        <v>50000</v>
      </c>
      <c r="AI22" s="70">
        <f t="shared" si="28"/>
        <v>50000</v>
      </c>
      <c r="AJ22" s="70">
        <f t="shared" si="28"/>
        <v>50000</v>
      </c>
      <c r="AK22" s="70">
        <f t="shared" si="28"/>
        <v>50000</v>
      </c>
      <c r="AL22" s="70">
        <f t="shared" si="28"/>
        <v>50000</v>
      </c>
      <c r="AM22" s="70">
        <f t="shared" si="28"/>
        <v>50000</v>
      </c>
      <c r="AN22" s="70">
        <f t="shared" ref="AN22" si="29">SUM(AN16:AN21)</f>
        <v>0</v>
      </c>
      <c r="AO22" s="70">
        <f t="shared" ref="AO22:AT22" si="30">SUM(AO9:AO21)</f>
        <v>50000</v>
      </c>
      <c r="AP22" s="70">
        <f t="shared" si="30"/>
        <v>50000</v>
      </c>
      <c r="AQ22" s="70">
        <f t="shared" si="30"/>
        <v>50000</v>
      </c>
      <c r="AR22" s="70">
        <f t="shared" si="30"/>
        <v>50000</v>
      </c>
      <c r="AS22" s="70">
        <f t="shared" si="30"/>
        <v>50000</v>
      </c>
      <c r="AT22" s="70">
        <f t="shared" si="30"/>
        <v>50000</v>
      </c>
      <c r="AU22" s="70">
        <f>SUM(F22:AT22)</f>
        <v>1780000</v>
      </c>
    </row>
    <row r="23" spans="2:48" ht="19.95" customHeight="1">
      <c r="B23" s="71" t="s">
        <v>77</v>
      </c>
      <c r="C23" s="29"/>
      <c r="D23" s="29"/>
      <c r="E23" s="29"/>
      <c r="F23" s="65">
        <f>F22</f>
        <v>55000</v>
      </c>
      <c r="G23" s="65">
        <f>F23+G22</f>
        <v>110000</v>
      </c>
      <c r="H23" s="65">
        <f t="shared" ref="H23:AU23" si="31">G23+H22</f>
        <v>165000</v>
      </c>
      <c r="I23" s="65">
        <f t="shared" si="31"/>
        <v>220000</v>
      </c>
      <c r="J23" s="65">
        <f t="shared" si="31"/>
        <v>275000</v>
      </c>
      <c r="K23" s="65">
        <f t="shared" si="31"/>
        <v>330000</v>
      </c>
      <c r="L23" s="65">
        <f t="shared" si="31"/>
        <v>330000</v>
      </c>
      <c r="M23" s="65">
        <f t="shared" si="31"/>
        <v>380000</v>
      </c>
      <c r="N23" s="65">
        <f t="shared" si="31"/>
        <v>430000</v>
      </c>
      <c r="O23" s="65">
        <f t="shared" si="31"/>
        <v>480000</v>
      </c>
      <c r="P23" s="65">
        <f t="shared" si="31"/>
        <v>530000</v>
      </c>
      <c r="Q23" s="65">
        <f t="shared" si="31"/>
        <v>580000</v>
      </c>
      <c r="R23" s="65">
        <f t="shared" si="31"/>
        <v>630000</v>
      </c>
      <c r="S23" s="65">
        <f t="shared" si="31"/>
        <v>630000</v>
      </c>
      <c r="T23" s="65">
        <f t="shared" si="31"/>
        <v>680000</v>
      </c>
      <c r="U23" s="65">
        <f t="shared" si="31"/>
        <v>730000</v>
      </c>
      <c r="V23" s="65">
        <f t="shared" si="31"/>
        <v>780000</v>
      </c>
      <c r="W23" s="65">
        <f t="shared" si="31"/>
        <v>830000</v>
      </c>
      <c r="X23" s="65">
        <f t="shared" si="31"/>
        <v>880000</v>
      </c>
      <c r="Y23" s="65">
        <f t="shared" si="31"/>
        <v>930000</v>
      </c>
      <c r="Z23" s="65">
        <f t="shared" si="31"/>
        <v>930000</v>
      </c>
      <c r="AA23" s="65">
        <f t="shared" si="31"/>
        <v>930000</v>
      </c>
      <c r="AB23" s="65">
        <f t="shared" si="31"/>
        <v>980000</v>
      </c>
      <c r="AC23" s="65">
        <f t="shared" si="31"/>
        <v>1030000</v>
      </c>
      <c r="AD23" s="65">
        <f t="shared" si="31"/>
        <v>1080000</v>
      </c>
      <c r="AE23" s="65">
        <f t="shared" si="31"/>
        <v>1130000</v>
      </c>
      <c r="AF23" s="65">
        <f t="shared" si="31"/>
        <v>1180000</v>
      </c>
      <c r="AG23" s="65">
        <f t="shared" si="31"/>
        <v>1180000</v>
      </c>
      <c r="AH23" s="65">
        <f t="shared" si="31"/>
        <v>1230000</v>
      </c>
      <c r="AI23" s="65">
        <f t="shared" si="31"/>
        <v>1280000</v>
      </c>
      <c r="AJ23" s="65">
        <f t="shared" si="31"/>
        <v>1330000</v>
      </c>
      <c r="AK23" s="65">
        <f t="shared" si="31"/>
        <v>1380000</v>
      </c>
      <c r="AL23" s="65">
        <f t="shared" si="31"/>
        <v>1430000</v>
      </c>
      <c r="AM23" s="65">
        <f t="shared" si="31"/>
        <v>1480000</v>
      </c>
      <c r="AN23" s="65">
        <f t="shared" si="31"/>
        <v>1480000</v>
      </c>
      <c r="AO23" s="65">
        <f t="shared" si="31"/>
        <v>1530000</v>
      </c>
      <c r="AP23" s="65">
        <f t="shared" si="31"/>
        <v>1580000</v>
      </c>
      <c r="AQ23" s="65">
        <f t="shared" si="31"/>
        <v>1630000</v>
      </c>
      <c r="AR23" s="65">
        <f t="shared" si="31"/>
        <v>1680000</v>
      </c>
      <c r="AS23" s="65">
        <f t="shared" si="31"/>
        <v>1730000</v>
      </c>
      <c r="AT23" s="65">
        <f t="shared" si="31"/>
        <v>1780000</v>
      </c>
      <c r="AU23" s="65">
        <f t="shared" si="31"/>
        <v>3560000</v>
      </c>
    </row>
    <row r="24" spans="2:48" ht="19.95" customHeight="1"/>
    <row r="25" spans="2:48" ht="19.95" customHeight="1"/>
    <row r="26" spans="2:48" ht="19.95" customHeight="1">
      <c r="B26" s="72" t="s">
        <v>78</v>
      </c>
      <c r="C26" s="73"/>
      <c r="D26" s="73"/>
      <c r="E26" s="73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</row>
    <row r="27" spans="2:48" ht="19.95" customHeight="1">
      <c r="C27" s="29"/>
      <c r="D27" s="29"/>
      <c r="E27" s="29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</row>
    <row r="28" spans="2:48" ht="19.95" customHeight="1">
      <c r="B28" s="59" t="s">
        <v>64</v>
      </c>
      <c r="C28" s="33"/>
      <c r="D28" s="33"/>
      <c r="E28" s="60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</row>
    <row r="29" spans="2:48" ht="19.95" customHeight="1">
      <c r="B29" s="61" t="s">
        <v>65</v>
      </c>
      <c r="C29" s="62"/>
      <c r="D29" s="62"/>
    </row>
    <row r="30" spans="2:48" ht="19.95" customHeight="1">
      <c r="B30" s="63" t="s">
        <v>79</v>
      </c>
      <c r="C30" s="36">
        <v>0.2</v>
      </c>
      <c r="D30" s="47">
        <v>60000000</v>
      </c>
      <c r="E30" s="47"/>
      <c r="F30" s="47">
        <f>D30</f>
        <v>60000000</v>
      </c>
      <c r="G30" s="47">
        <f>$F$9</f>
        <v>50000</v>
      </c>
      <c r="H30" s="47">
        <f>$F$9</f>
        <v>50000</v>
      </c>
      <c r="I30" s="47">
        <f>$F$9</f>
        <v>50000</v>
      </c>
      <c r="J30" s="47">
        <f>$F$9</f>
        <v>50000</v>
      </c>
      <c r="K30" s="47">
        <f>$F$9</f>
        <v>50000</v>
      </c>
      <c r="L30" s="47">
        <v>0</v>
      </c>
      <c r="M30" s="47">
        <f t="shared" ref="M30:R30" si="32">$F$9</f>
        <v>50000</v>
      </c>
      <c r="N30" s="47">
        <f t="shared" si="32"/>
        <v>50000</v>
      </c>
      <c r="O30" s="47">
        <f t="shared" si="32"/>
        <v>50000</v>
      </c>
      <c r="P30" s="47">
        <f t="shared" si="32"/>
        <v>50000</v>
      </c>
      <c r="Q30" s="47">
        <f t="shared" si="32"/>
        <v>50000</v>
      </c>
      <c r="R30" s="47">
        <f t="shared" si="32"/>
        <v>50000</v>
      </c>
      <c r="S30" s="47">
        <v>0</v>
      </c>
      <c r="T30" s="47">
        <f t="shared" ref="T30:Y30" si="33">$F$9</f>
        <v>50000</v>
      </c>
      <c r="U30" s="47">
        <f t="shared" si="33"/>
        <v>50000</v>
      </c>
      <c r="V30" s="47">
        <f t="shared" si="33"/>
        <v>50000</v>
      </c>
      <c r="W30" s="47">
        <f t="shared" si="33"/>
        <v>50000</v>
      </c>
      <c r="X30" s="47">
        <f t="shared" si="33"/>
        <v>50000</v>
      </c>
      <c r="Y30" s="47">
        <f t="shared" si="33"/>
        <v>50000</v>
      </c>
      <c r="Z30" s="47">
        <v>0</v>
      </c>
      <c r="AA30" s="47">
        <v>0</v>
      </c>
      <c r="AB30" s="47">
        <f>$F$9</f>
        <v>50000</v>
      </c>
      <c r="AC30" s="47">
        <f>$F$9</f>
        <v>50000</v>
      </c>
      <c r="AD30" s="47">
        <f>$F$9</f>
        <v>50000</v>
      </c>
      <c r="AE30" s="47">
        <f>$F$9</f>
        <v>50000</v>
      </c>
      <c r="AF30" s="47">
        <f>$F$9</f>
        <v>50000</v>
      </c>
      <c r="AG30" s="47">
        <v>0</v>
      </c>
      <c r="AH30" s="47">
        <f t="shared" ref="AH30:AM30" si="34">$F$9</f>
        <v>50000</v>
      </c>
      <c r="AI30" s="47">
        <f t="shared" si="34"/>
        <v>50000</v>
      </c>
      <c r="AJ30" s="47">
        <f t="shared" si="34"/>
        <v>50000</v>
      </c>
      <c r="AK30" s="47">
        <f t="shared" si="34"/>
        <v>50000</v>
      </c>
      <c r="AL30" s="47">
        <f t="shared" si="34"/>
        <v>50000</v>
      </c>
      <c r="AM30" s="47">
        <f t="shared" si="34"/>
        <v>50000</v>
      </c>
      <c r="AN30" s="47">
        <v>0</v>
      </c>
      <c r="AO30" s="47">
        <f t="shared" ref="AO30:AT30" si="35">$F$9</f>
        <v>50000</v>
      </c>
      <c r="AP30" s="47">
        <f t="shared" si="35"/>
        <v>50000</v>
      </c>
      <c r="AQ30" s="47">
        <f t="shared" si="35"/>
        <v>50000</v>
      </c>
      <c r="AR30" s="47">
        <f t="shared" si="35"/>
        <v>50000</v>
      </c>
      <c r="AS30" s="47">
        <f t="shared" si="35"/>
        <v>50000</v>
      </c>
      <c r="AT30" s="47">
        <f t="shared" si="35"/>
        <v>50000</v>
      </c>
      <c r="AU30" s="37">
        <f>SUM(F30:AT30)</f>
        <v>61700000</v>
      </c>
    </row>
    <row r="31" spans="2:48" ht="19.95" customHeight="1">
      <c r="B31" s="63" t="s">
        <v>80</v>
      </c>
      <c r="C31" s="36">
        <v>0.5</v>
      </c>
      <c r="D31" s="47"/>
      <c r="E31" s="47"/>
      <c r="F31" s="47">
        <f>D31</f>
        <v>0</v>
      </c>
      <c r="G31" s="47">
        <f>$D$10*$C$10</f>
        <v>0</v>
      </c>
      <c r="H31" s="47">
        <f>$D$10*$C$10</f>
        <v>0</v>
      </c>
      <c r="I31" s="47">
        <f>$D$10*$C$10</f>
        <v>0</v>
      </c>
      <c r="J31" s="47">
        <f>$D$10*$C$10</f>
        <v>0</v>
      </c>
      <c r="K31" s="47">
        <f>$D$10*$C$10</f>
        <v>0</v>
      </c>
      <c r="L31" s="47">
        <v>0</v>
      </c>
      <c r="M31" s="47">
        <f t="shared" ref="M31:R31" si="36">$D$10*$C$10</f>
        <v>0</v>
      </c>
      <c r="N31" s="47">
        <f t="shared" si="36"/>
        <v>0</v>
      </c>
      <c r="O31" s="47">
        <f t="shared" si="36"/>
        <v>0</v>
      </c>
      <c r="P31" s="47">
        <f t="shared" si="36"/>
        <v>0</v>
      </c>
      <c r="Q31" s="47">
        <f t="shared" si="36"/>
        <v>0</v>
      </c>
      <c r="R31" s="47">
        <f t="shared" si="36"/>
        <v>0</v>
      </c>
      <c r="S31" s="47">
        <v>0</v>
      </c>
      <c r="T31" s="47">
        <f t="shared" ref="T31:Y31" si="37">$D$10*$C$10</f>
        <v>0</v>
      </c>
      <c r="U31" s="47">
        <f t="shared" si="37"/>
        <v>0</v>
      </c>
      <c r="V31" s="47">
        <f t="shared" si="37"/>
        <v>0</v>
      </c>
      <c r="W31" s="47">
        <f t="shared" si="37"/>
        <v>0</v>
      </c>
      <c r="X31" s="47">
        <f t="shared" si="37"/>
        <v>0</v>
      </c>
      <c r="Y31" s="47">
        <f t="shared" si="37"/>
        <v>0</v>
      </c>
      <c r="Z31" s="47">
        <v>0</v>
      </c>
      <c r="AA31" s="47">
        <f>$D$10*$C$10</f>
        <v>0</v>
      </c>
      <c r="AB31" s="47">
        <f>$D$10*$C$10</f>
        <v>0</v>
      </c>
      <c r="AC31" s="47">
        <f>$D$10*$C$10</f>
        <v>0</v>
      </c>
      <c r="AD31" s="47">
        <f>$D$9*$C$10</f>
        <v>0</v>
      </c>
      <c r="AE31" s="47">
        <f>$D$10*$C$10</f>
        <v>0</v>
      </c>
      <c r="AF31" s="47">
        <f>$D$10*$C$10</f>
        <v>0</v>
      </c>
      <c r="AG31" s="47">
        <v>0</v>
      </c>
      <c r="AH31" s="47">
        <f t="shared" ref="AH31:AM31" si="38">$D$10*$C$10</f>
        <v>0</v>
      </c>
      <c r="AI31" s="47">
        <f t="shared" si="38"/>
        <v>0</v>
      </c>
      <c r="AJ31" s="47">
        <f t="shared" si="38"/>
        <v>0</v>
      </c>
      <c r="AK31" s="47">
        <f t="shared" si="38"/>
        <v>0</v>
      </c>
      <c r="AL31" s="47">
        <f t="shared" si="38"/>
        <v>0</v>
      </c>
      <c r="AM31" s="47">
        <f t="shared" si="38"/>
        <v>0</v>
      </c>
      <c r="AN31" s="47">
        <v>0</v>
      </c>
      <c r="AO31" s="47">
        <f t="shared" ref="AO31:AT31" si="39">$D$10*$C$10</f>
        <v>0</v>
      </c>
      <c r="AP31" s="47">
        <f t="shared" si="39"/>
        <v>0</v>
      </c>
      <c r="AQ31" s="47">
        <f t="shared" si="39"/>
        <v>0</v>
      </c>
      <c r="AR31" s="47">
        <f t="shared" si="39"/>
        <v>0</v>
      </c>
      <c r="AS31" s="47">
        <f t="shared" si="39"/>
        <v>0</v>
      </c>
      <c r="AT31" s="47">
        <f t="shared" si="39"/>
        <v>0</v>
      </c>
      <c r="AU31" s="37">
        <f>SUM(F31:AT31)</f>
        <v>0</v>
      </c>
    </row>
    <row r="32" spans="2:48" ht="19.95" customHeight="1">
      <c r="B32" s="63" t="s">
        <v>81</v>
      </c>
      <c r="C32" s="36">
        <v>1.5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37"/>
    </row>
    <row r="33" spans="2:48" ht="19.95" customHeight="1">
      <c r="B33" s="63"/>
      <c r="C33" s="3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37"/>
    </row>
    <row r="34" spans="2:48" ht="19.95" customHeight="1">
      <c r="B34" s="63"/>
      <c r="C34" s="35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74"/>
    </row>
    <row r="35" spans="2:48" ht="19.95" customHeight="1">
      <c r="B35" s="69" t="s">
        <v>82</v>
      </c>
      <c r="C35" s="35"/>
      <c r="D35" s="47"/>
      <c r="E35" s="47"/>
      <c r="F35" s="75">
        <f t="shared" ref="F35:R35" si="40">SUM(F30:F34)</f>
        <v>60000000</v>
      </c>
      <c r="G35" s="75">
        <f t="shared" si="40"/>
        <v>50000</v>
      </c>
      <c r="H35" s="75">
        <f t="shared" si="40"/>
        <v>50000</v>
      </c>
      <c r="I35" s="75">
        <f t="shared" si="40"/>
        <v>50000</v>
      </c>
      <c r="J35" s="75">
        <f t="shared" si="40"/>
        <v>50000</v>
      </c>
      <c r="K35" s="75">
        <f t="shared" si="40"/>
        <v>50000</v>
      </c>
      <c r="L35" s="75">
        <f t="shared" si="40"/>
        <v>0</v>
      </c>
      <c r="M35" s="75">
        <f t="shared" si="40"/>
        <v>50000</v>
      </c>
      <c r="N35" s="75">
        <f t="shared" si="40"/>
        <v>50000</v>
      </c>
      <c r="O35" s="75">
        <f t="shared" si="40"/>
        <v>50000</v>
      </c>
      <c r="P35" s="75">
        <f t="shared" si="40"/>
        <v>50000</v>
      </c>
      <c r="Q35" s="75">
        <f t="shared" si="40"/>
        <v>50000</v>
      </c>
      <c r="R35" s="75">
        <f t="shared" si="40"/>
        <v>50000</v>
      </c>
      <c r="S35" s="75">
        <f>SUM(S34:S34)</f>
        <v>0</v>
      </c>
      <c r="T35" s="75">
        <f t="shared" ref="T35:Y35" si="41">SUM(T30:T34)</f>
        <v>50000</v>
      </c>
      <c r="U35" s="75">
        <f t="shared" si="41"/>
        <v>50000</v>
      </c>
      <c r="V35" s="75">
        <f t="shared" si="41"/>
        <v>50000</v>
      </c>
      <c r="W35" s="75">
        <f t="shared" si="41"/>
        <v>50000</v>
      </c>
      <c r="X35" s="75">
        <f t="shared" si="41"/>
        <v>50000</v>
      </c>
      <c r="Y35" s="75">
        <f t="shared" si="41"/>
        <v>50000</v>
      </c>
      <c r="Z35" s="75">
        <f>SUM(Z34:Z34)</f>
        <v>0</v>
      </c>
      <c r="AA35" s="75">
        <f t="shared" ref="AA35:AF35" si="42">SUM(AA30:AA34)</f>
        <v>0</v>
      </c>
      <c r="AB35" s="75">
        <f t="shared" si="42"/>
        <v>50000</v>
      </c>
      <c r="AC35" s="75">
        <f t="shared" si="42"/>
        <v>50000</v>
      </c>
      <c r="AD35" s="75">
        <f t="shared" si="42"/>
        <v>50000</v>
      </c>
      <c r="AE35" s="75">
        <f t="shared" si="42"/>
        <v>50000</v>
      </c>
      <c r="AF35" s="75">
        <f t="shared" si="42"/>
        <v>50000</v>
      </c>
      <c r="AG35" s="75">
        <f>SUM(AG34:AG34)</f>
        <v>0</v>
      </c>
      <c r="AH35" s="75">
        <f t="shared" ref="AH35:AM35" si="43">SUM(AH30:AH34)</f>
        <v>50000</v>
      </c>
      <c r="AI35" s="75">
        <f t="shared" si="43"/>
        <v>50000</v>
      </c>
      <c r="AJ35" s="75">
        <f t="shared" si="43"/>
        <v>50000</v>
      </c>
      <c r="AK35" s="75">
        <f t="shared" si="43"/>
        <v>50000</v>
      </c>
      <c r="AL35" s="75">
        <f t="shared" si="43"/>
        <v>50000</v>
      </c>
      <c r="AM35" s="75">
        <f t="shared" si="43"/>
        <v>50000</v>
      </c>
      <c r="AN35" s="75">
        <f>SUM(AN34:AN34)</f>
        <v>0</v>
      </c>
      <c r="AO35" s="75">
        <f t="shared" ref="AO35:AT35" si="44">SUM(AO30:AO34)</f>
        <v>50000</v>
      </c>
      <c r="AP35" s="75">
        <f t="shared" si="44"/>
        <v>50000</v>
      </c>
      <c r="AQ35" s="75">
        <f t="shared" si="44"/>
        <v>50000</v>
      </c>
      <c r="AR35" s="75">
        <f t="shared" si="44"/>
        <v>50000</v>
      </c>
      <c r="AS35" s="75">
        <f t="shared" si="44"/>
        <v>50000</v>
      </c>
      <c r="AT35" s="75">
        <f t="shared" si="44"/>
        <v>50000</v>
      </c>
      <c r="AU35" s="75">
        <f>SUM(F35:AT35)</f>
        <v>61700000</v>
      </c>
    </row>
    <row r="36" spans="2:48" ht="19.95" customHeight="1">
      <c r="B36" s="71" t="s">
        <v>83</v>
      </c>
      <c r="C36" s="29"/>
      <c r="D36" s="29"/>
      <c r="E36" s="29"/>
      <c r="F36" s="47">
        <f>F35</f>
        <v>60000000</v>
      </c>
      <c r="G36" s="47">
        <f>F36+G35</f>
        <v>60050000</v>
      </c>
      <c r="H36" s="47">
        <f t="shared" ref="H36:AU36" si="45">G36+H35</f>
        <v>60100000</v>
      </c>
      <c r="I36" s="47">
        <f t="shared" si="45"/>
        <v>60150000</v>
      </c>
      <c r="J36" s="47">
        <f t="shared" si="45"/>
        <v>60200000</v>
      </c>
      <c r="K36" s="47">
        <f t="shared" si="45"/>
        <v>60250000</v>
      </c>
      <c r="L36" s="47">
        <f t="shared" si="45"/>
        <v>60250000</v>
      </c>
      <c r="M36" s="47">
        <f t="shared" si="45"/>
        <v>60300000</v>
      </c>
      <c r="N36" s="47">
        <f t="shared" si="45"/>
        <v>60350000</v>
      </c>
      <c r="O36" s="47">
        <f t="shared" si="45"/>
        <v>60400000</v>
      </c>
      <c r="P36" s="47">
        <f t="shared" si="45"/>
        <v>60450000</v>
      </c>
      <c r="Q36" s="47">
        <f t="shared" si="45"/>
        <v>60500000</v>
      </c>
      <c r="R36" s="47">
        <f t="shared" si="45"/>
        <v>60550000</v>
      </c>
      <c r="S36" s="47">
        <f t="shared" si="45"/>
        <v>60550000</v>
      </c>
      <c r="T36" s="47">
        <f t="shared" si="45"/>
        <v>60600000</v>
      </c>
      <c r="U36" s="47">
        <f t="shared" si="45"/>
        <v>60650000</v>
      </c>
      <c r="V36" s="47">
        <f t="shared" si="45"/>
        <v>60700000</v>
      </c>
      <c r="W36" s="47">
        <f t="shared" si="45"/>
        <v>60750000</v>
      </c>
      <c r="X36" s="47">
        <f t="shared" si="45"/>
        <v>60800000</v>
      </c>
      <c r="Y36" s="47">
        <f t="shared" si="45"/>
        <v>60850000</v>
      </c>
      <c r="Z36" s="47">
        <f t="shared" si="45"/>
        <v>60850000</v>
      </c>
      <c r="AA36" s="47">
        <f t="shared" si="45"/>
        <v>60850000</v>
      </c>
      <c r="AB36" s="47">
        <f t="shared" si="45"/>
        <v>60900000</v>
      </c>
      <c r="AC36" s="47">
        <f t="shared" si="45"/>
        <v>60950000</v>
      </c>
      <c r="AD36" s="47">
        <f t="shared" si="45"/>
        <v>61000000</v>
      </c>
      <c r="AE36" s="47">
        <f t="shared" si="45"/>
        <v>61050000</v>
      </c>
      <c r="AF36" s="47">
        <f t="shared" si="45"/>
        <v>61100000</v>
      </c>
      <c r="AG36" s="47">
        <f t="shared" si="45"/>
        <v>61100000</v>
      </c>
      <c r="AH36" s="47">
        <f t="shared" si="45"/>
        <v>61150000</v>
      </c>
      <c r="AI36" s="47">
        <f t="shared" si="45"/>
        <v>61200000</v>
      </c>
      <c r="AJ36" s="47">
        <f t="shared" si="45"/>
        <v>61250000</v>
      </c>
      <c r="AK36" s="47">
        <f t="shared" si="45"/>
        <v>61300000</v>
      </c>
      <c r="AL36" s="47">
        <f t="shared" si="45"/>
        <v>61350000</v>
      </c>
      <c r="AM36" s="47">
        <f t="shared" si="45"/>
        <v>61400000</v>
      </c>
      <c r="AN36" s="47">
        <f t="shared" si="45"/>
        <v>61400000</v>
      </c>
      <c r="AO36" s="47">
        <f t="shared" si="45"/>
        <v>61450000</v>
      </c>
      <c r="AP36" s="47">
        <f t="shared" si="45"/>
        <v>61500000</v>
      </c>
      <c r="AQ36" s="47">
        <f t="shared" si="45"/>
        <v>61550000</v>
      </c>
      <c r="AR36" s="47">
        <f t="shared" si="45"/>
        <v>61600000</v>
      </c>
      <c r="AS36" s="47">
        <f t="shared" si="45"/>
        <v>61650000</v>
      </c>
      <c r="AT36" s="47">
        <f t="shared" si="45"/>
        <v>61700000</v>
      </c>
      <c r="AU36" s="47">
        <f t="shared" si="45"/>
        <v>123400000</v>
      </c>
    </row>
    <row r="37" spans="2:48" ht="19.95" customHeight="1"/>
    <row r="38" spans="2:48" ht="19.95" customHeight="1"/>
    <row r="39" spans="2:48" ht="19.95" customHeight="1">
      <c r="B39" s="59" t="s">
        <v>84</v>
      </c>
      <c r="C39" s="76"/>
      <c r="D39" s="76"/>
      <c r="E39" s="76"/>
    </row>
    <row r="40" spans="2:48" ht="19.95" customHeight="1"/>
    <row r="41" spans="2:48" ht="19.95" customHeight="1">
      <c r="B41" s="67" t="s">
        <v>85</v>
      </c>
      <c r="C41" s="77"/>
      <c r="D41" s="37"/>
      <c r="E41" s="37"/>
      <c r="F41" s="78">
        <f>F35-F22</f>
        <v>59945000</v>
      </c>
      <c r="G41" s="78">
        <f>G35-G22</f>
        <v>-5000</v>
      </c>
      <c r="H41" s="78">
        <f t="shared" ref="H41:AT41" si="46">H35-H22</f>
        <v>-5000</v>
      </c>
      <c r="I41" s="78">
        <f t="shared" si="46"/>
        <v>-5000</v>
      </c>
      <c r="J41" s="78">
        <f t="shared" si="46"/>
        <v>-5000</v>
      </c>
      <c r="K41" s="78">
        <f t="shared" si="46"/>
        <v>-5000</v>
      </c>
      <c r="L41" s="78">
        <f t="shared" si="46"/>
        <v>0</v>
      </c>
      <c r="M41" s="78">
        <f t="shared" si="46"/>
        <v>0</v>
      </c>
      <c r="N41" s="78">
        <f t="shared" si="46"/>
        <v>0</v>
      </c>
      <c r="O41" s="78">
        <f t="shared" si="46"/>
        <v>0</v>
      </c>
      <c r="P41" s="78">
        <f t="shared" si="46"/>
        <v>0</v>
      </c>
      <c r="Q41" s="78">
        <f t="shared" si="46"/>
        <v>0</v>
      </c>
      <c r="R41" s="78">
        <f t="shared" si="46"/>
        <v>0</v>
      </c>
      <c r="S41" s="78">
        <f t="shared" si="46"/>
        <v>0</v>
      </c>
      <c r="T41" s="78">
        <f t="shared" si="46"/>
        <v>0</v>
      </c>
      <c r="U41" s="78">
        <f t="shared" si="46"/>
        <v>0</v>
      </c>
      <c r="V41" s="78">
        <f t="shared" si="46"/>
        <v>0</v>
      </c>
      <c r="W41" s="78">
        <f t="shared" si="46"/>
        <v>0</v>
      </c>
      <c r="X41" s="78">
        <f t="shared" si="46"/>
        <v>0</v>
      </c>
      <c r="Y41" s="78">
        <f t="shared" si="46"/>
        <v>0</v>
      </c>
      <c r="Z41" s="78">
        <f t="shared" si="46"/>
        <v>0</v>
      </c>
      <c r="AA41" s="78">
        <f t="shared" si="46"/>
        <v>0</v>
      </c>
      <c r="AB41" s="78">
        <f t="shared" si="46"/>
        <v>0</v>
      </c>
      <c r="AC41" s="78">
        <f t="shared" si="46"/>
        <v>0</v>
      </c>
      <c r="AD41" s="78">
        <f t="shared" si="46"/>
        <v>0</v>
      </c>
      <c r="AE41" s="78">
        <f t="shared" si="46"/>
        <v>0</v>
      </c>
      <c r="AF41" s="78">
        <f t="shared" si="46"/>
        <v>0</v>
      </c>
      <c r="AG41" s="78">
        <f t="shared" si="46"/>
        <v>0</v>
      </c>
      <c r="AH41" s="78">
        <f t="shared" si="46"/>
        <v>0</v>
      </c>
      <c r="AI41" s="78">
        <f t="shared" si="46"/>
        <v>0</v>
      </c>
      <c r="AJ41" s="78">
        <f t="shared" si="46"/>
        <v>0</v>
      </c>
      <c r="AK41" s="78">
        <f t="shared" si="46"/>
        <v>0</v>
      </c>
      <c r="AL41" s="78">
        <f t="shared" si="46"/>
        <v>0</v>
      </c>
      <c r="AM41" s="78">
        <f t="shared" si="46"/>
        <v>0</v>
      </c>
      <c r="AN41" s="78">
        <f t="shared" si="46"/>
        <v>0</v>
      </c>
      <c r="AO41" s="78">
        <f t="shared" si="46"/>
        <v>0</v>
      </c>
      <c r="AP41" s="78">
        <f t="shared" si="46"/>
        <v>0</v>
      </c>
      <c r="AQ41" s="78">
        <f t="shared" si="46"/>
        <v>0</v>
      </c>
      <c r="AR41" s="78">
        <f t="shared" si="46"/>
        <v>0</v>
      </c>
      <c r="AS41" s="78">
        <f t="shared" si="46"/>
        <v>0</v>
      </c>
      <c r="AT41" s="78">
        <f t="shared" si="46"/>
        <v>0</v>
      </c>
      <c r="AU41" s="78">
        <f>SUM(F41:AT41)</f>
        <v>59920000</v>
      </c>
    </row>
    <row r="42" spans="2:48" ht="19.95" customHeight="1">
      <c r="B42" s="61" t="s">
        <v>86</v>
      </c>
      <c r="C42" s="79"/>
      <c r="D42" s="79"/>
      <c r="E42" s="79"/>
      <c r="F42" s="37">
        <f>F41</f>
        <v>59945000</v>
      </c>
      <c r="G42" s="37">
        <f>F42+G41</f>
        <v>59940000</v>
      </c>
      <c r="H42" s="37">
        <f t="shared" ref="H42:AU42" si="47">G42+H41</f>
        <v>59935000</v>
      </c>
      <c r="I42" s="37">
        <f t="shared" si="47"/>
        <v>59930000</v>
      </c>
      <c r="J42" s="37">
        <f t="shared" si="47"/>
        <v>59925000</v>
      </c>
      <c r="K42" s="37">
        <f t="shared" si="47"/>
        <v>59920000</v>
      </c>
      <c r="L42" s="37">
        <f t="shared" si="47"/>
        <v>59920000</v>
      </c>
      <c r="M42" s="37">
        <f t="shared" si="47"/>
        <v>59920000</v>
      </c>
      <c r="N42" s="37">
        <f t="shared" si="47"/>
        <v>59920000</v>
      </c>
      <c r="O42" s="37">
        <f t="shared" si="47"/>
        <v>59920000</v>
      </c>
      <c r="P42" s="37">
        <f t="shared" si="47"/>
        <v>59920000</v>
      </c>
      <c r="Q42" s="37">
        <f t="shared" si="47"/>
        <v>59920000</v>
      </c>
      <c r="R42" s="37">
        <f t="shared" si="47"/>
        <v>59920000</v>
      </c>
      <c r="S42" s="37">
        <f t="shared" si="47"/>
        <v>59920000</v>
      </c>
      <c r="T42" s="37">
        <f t="shared" si="47"/>
        <v>59920000</v>
      </c>
      <c r="U42" s="37">
        <f t="shared" si="47"/>
        <v>59920000</v>
      </c>
      <c r="V42" s="37">
        <f t="shared" si="47"/>
        <v>59920000</v>
      </c>
      <c r="W42" s="37">
        <f t="shared" si="47"/>
        <v>59920000</v>
      </c>
      <c r="X42" s="37">
        <f t="shared" si="47"/>
        <v>59920000</v>
      </c>
      <c r="Y42" s="37">
        <f t="shared" si="47"/>
        <v>59920000</v>
      </c>
      <c r="Z42" s="37">
        <f t="shared" si="47"/>
        <v>59920000</v>
      </c>
      <c r="AA42" s="37">
        <f t="shared" si="47"/>
        <v>59920000</v>
      </c>
      <c r="AB42" s="37">
        <f t="shared" si="47"/>
        <v>59920000</v>
      </c>
      <c r="AC42" s="37">
        <f t="shared" si="47"/>
        <v>59920000</v>
      </c>
      <c r="AD42" s="37">
        <f t="shared" si="47"/>
        <v>59920000</v>
      </c>
      <c r="AE42" s="37">
        <f t="shared" si="47"/>
        <v>59920000</v>
      </c>
      <c r="AF42" s="37">
        <f t="shared" si="47"/>
        <v>59920000</v>
      </c>
      <c r="AG42" s="37">
        <f t="shared" si="47"/>
        <v>59920000</v>
      </c>
      <c r="AH42" s="37">
        <f t="shared" si="47"/>
        <v>59920000</v>
      </c>
      <c r="AI42" s="37">
        <f t="shared" si="47"/>
        <v>59920000</v>
      </c>
      <c r="AJ42" s="37">
        <f t="shared" si="47"/>
        <v>59920000</v>
      </c>
      <c r="AK42" s="37">
        <f t="shared" si="47"/>
        <v>59920000</v>
      </c>
      <c r="AL42" s="37">
        <f t="shared" si="47"/>
        <v>59920000</v>
      </c>
      <c r="AM42" s="37">
        <f t="shared" si="47"/>
        <v>59920000</v>
      </c>
      <c r="AN42" s="37">
        <f t="shared" si="47"/>
        <v>59920000</v>
      </c>
      <c r="AO42" s="37">
        <f t="shared" si="47"/>
        <v>59920000</v>
      </c>
      <c r="AP42" s="37">
        <f t="shared" si="47"/>
        <v>59920000</v>
      </c>
      <c r="AQ42" s="37">
        <f t="shared" si="47"/>
        <v>59920000</v>
      </c>
      <c r="AR42" s="37">
        <f t="shared" si="47"/>
        <v>59920000</v>
      </c>
      <c r="AS42" s="37">
        <f t="shared" si="47"/>
        <v>59920000</v>
      </c>
      <c r="AT42" s="37">
        <f t="shared" si="47"/>
        <v>59920000</v>
      </c>
      <c r="AU42" s="37">
        <f t="shared" si="47"/>
        <v>119840000</v>
      </c>
    </row>
    <row r="43" spans="2:48" ht="19.95" customHeight="1"/>
    <row r="44" spans="2:48" ht="19.95" customHeight="1">
      <c r="F44" s="80">
        <f>420000/65</f>
        <v>6461.5384615384619</v>
      </c>
    </row>
    <row r="45" spans="2:48" ht="19.95" customHeight="1"/>
    <row r="46" spans="2:48" ht="19.95" customHeight="1"/>
    <row r="47" spans="2:48" ht="19.95" customHeight="1"/>
    <row r="48" spans="2: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</sheetData>
  <conditionalFormatting sqref="F41:AU42">
    <cfRule type="cellIs" dxfId="0" priority="1" operator="lessThan">
      <formula>$F$43</formula>
    </cfRule>
  </conditionalFormatting>
  <pageMargins left="0.25" right="0.25" top="0.75" bottom="0.75" header="0.3" footer="0.3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125B-7515-423C-9D82-1B907A0CA3B9}">
  <sheetPr>
    <tabColor rgb="FFA7C9D2"/>
  </sheetPr>
  <dimension ref="A2:DB82"/>
  <sheetViews>
    <sheetView topLeftCell="CA61" zoomScale="70" zoomScaleNormal="70" workbookViewId="0">
      <selection activeCell="L51" sqref="L51"/>
    </sheetView>
  </sheetViews>
  <sheetFormatPr baseColWidth="10" defaultRowHeight="13.8"/>
  <cols>
    <col min="1" max="1" width="11.5546875" style="88"/>
    <col min="2" max="2" width="14.77734375" style="88" customWidth="1"/>
    <col min="3" max="3" width="11.5546875" style="88"/>
    <col min="4" max="4" width="36.109375" style="1" customWidth="1"/>
    <col min="5" max="11" width="12.77734375" style="88" customWidth="1"/>
    <col min="12" max="17" width="15.77734375" style="88" customWidth="1"/>
    <col min="18" max="18" width="23.21875" style="1" customWidth="1"/>
    <col min="19" max="19" width="12.77734375" style="1" customWidth="1"/>
    <col min="20" max="16384" width="11.5546875" style="1"/>
  </cols>
  <sheetData>
    <row r="2" spans="1:100" ht="25.05" customHeight="1">
      <c r="A2" s="259" t="s">
        <v>181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122"/>
      <c r="Q2" s="257" t="s">
        <v>157</v>
      </c>
      <c r="R2" s="257"/>
      <c r="S2" s="257"/>
      <c r="T2" s="257"/>
      <c r="U2" s="111"/>
      <c r="V2" s="111"/>
      <c r="W2" s="111"/>
      <c r="X2" s="111"/>
      <c r="Y2" s="111"/>
      <c r="Z2" s="111"/>
      <c r="AA2" s="111"/>
      <c r="AB2" s="111"/>
      <c r="AC2" s="256" t="s">
        <v>158</v>
      </c>
      <c r="AD2" s="256"/>
      <c r="AE2" s="257"/>
      <c r="AF2" s="257"/>
      <c r="AG2" s="257"/>
      <c r="AH2" s="257"/>
      <c r="AI2" s="111"/>
      <c r="AJ2" s="111"/>
      <c r="AK2" s="111"/>
      <c r="AL2" s="111"/>
      <c r="AM2" s="111"/>
      <c r="AN2" s="111"/>
      <c r="AO2" s="111"/>
      <c r="AP2" s="111"/>
      <c r="AQ2" s="256" t="s">
        <v>158</v>
      </c>
      <c r="AR2" s="256"/>
      <c r="AS2" s="257"/>
      <c r="AT2" s="257"/>
      <c r="AU2" s="257"/>
      <c r="AV2" s="257"/>
      <c r="AW2" s="111"/>
      <c r="AX2" s="111"/>
      <c r="AY2" s="111"/>
      <c r="AZ2" s="111"/>
      <c r="BA2" s="111"/>
      <c r="BB2" s="111"/>
      <c r="BC2" s="111"/>
      <c r="BD2" s="111"/>
      <c r="BE2" s="256" t="s">
        <v>158</v>
      </c>
      <c r="BF2" s="256"/>
      <c r="BG2" s="257" t="s">
        <v>157</v>
      </c>
      <c r="BH2" s="257"/>
      <c r="BI2" s="257"/>
      <c r="BJ2" s="257"/>
      <c r="BK2" s="111"/>
      <c r="BL2" s="111"/>
      <c r="BM2" s="111"/>
      <c r="BN2" s="111"/>
      <c r="BO2" s="111"/>
      <c r="BP2" s="111"/>
      <c r="BQ2" s="111"/>
      <c r="BR2" s="111"/>
      <c r="BS2" s="256" t="s">
        <v>158</v>
      </c>
      <c r="BT2" s="256"/>
      <c r="BU2" s="257"/>
      <c r="BV2" s="257"/>
      <c r="BW2" s="257"/>
      <c r="BX2" s="257"/>
      <c r="BY2" s="111"/>
      <c r="BZ2" s="111"/>
      <c r="CA2" s="111"/>
      <c r="CB2" s="111"/>
      <c r="CC2" s="111"/>
      <c r="CD2" s="111"/>
      <c r="CE2" s="111"/>
      <c r="CF2" s="111"/>
      <c r="CG2" s="256" t="s">
        <v>158</v>
      </c>
      <c r="CH2" s="256"/>
      <c r="CI2" s="257"/>
      <c r="CJ2" s="257"/>
      <c r="CK2" s="257"/>
      <c r="CL2" s="257"/>
      <c r="CM2" s="111"/>
      <c r="CN2" s="111"/>
      <c r="CO2" s="111"/>
      <c r="CP2" s="111"/>
      <c r="CQ2" s="111"/>
      <c r="CR2" s="111"/>
      <c r="CS2" s="111"/>
      <c r="CT2" s="111"/>
      <c r="CU2" s="256" t="s">
        <v>158</v>
      </c>
      <c r="CV2" s="256"/>
    </row>
    <row r="3" spans="1:100" ht="19.95" customHeight="1">
      <c r="A3" s="147" t="s">
        <v>208</v>
      </c>
      <c r="B3" s="82"/>
      <c r="C3" s="82"/>
      <c r="D3" s="83"/>
      <c r="E3" s="255" t="s">
        <v>88</v>
      </c>
      <c r="F3" s="255"/>
      <c r="G3" s="255"/>
      <c r="H3" s="258" t="s">
        <v>89</v>
      </c>
      <c r="I3" s="258"/>
      <c r="J3" s="258"/>
      <c r="K3" s="258"/>
      <c r="L3" s="82"/>
      <c r="M3" s="82"/>
      <c r="N3" s="99"/>
      <c r="O3" s="148"/>
      <c r="P3" s="149"/>
      <c r="Q3" s="254">
        <v>45817</v>
      </c>
      <c r="R3" s="254"/>
      <c r="S3" s="254">
        <f>+Q3+1</f>
        <v>45818</v>
      </c>
      <c r="T3" s="254"/>
      <c r="U3" s="254">
        <f>+S3+1</f>
        <v>45819</v>
      </c>
      <c r="V3" s="254"/>
      <c r="W3" s="254">
        <f>+U3+1</f>
        <v>45820</v>
      </c>
      <c r="X3" s="254"/>
      <c r="Y3" s="254">
        <f>+W3+1</f>
        <v>45821</v>
      </c>
      <c r="Z3" s="254"/>
      <c r="AA3" s="254">
        <f>+Y3+1</f>
        <v>45822</v>
      </c>
      <c r="AB3" s="254"/>
      <c r="AC3" s="255" t="s">
        <v>159</v>
      </c>
      <c r="AD3" s="255"/>
      <c r="AE3" s="254">
        <f>AA3+2</f>
        <v>45824</v>
      </c>
      <c r="AF3" s="254"/>
      <c r="AG3" s="254">
        <f>+AE3+1</f>
        <v>45825</v>
      </c>
      <c r="AH3" s="254"/>
      <c r="AI3" s="254">
        <f>+AG3+1</f>
        <v>45826</v>
      </c>
      <c r="AJ3" s="254"/>
      <c r="AK3" s="254">
        <f>+AI3+1</f>
        <v>45827</v>
      </c>
      <c r="AL3" s="254"/>
      <c r="AM3" s="254">
        <f>+AK3+1</f>
        <v>45828</v>
      </c>
      <c r="AN3" s="254"/>
      <c r="AO3" s="254">
        <f>+AM3+1</f>
        <v>45829</v>
      </c>
      <c r="AP3" s="254"/>
      <c r="AQ3" s="255" t="s">
        <v>160</v>
      </c>
      <c r="AR3" s="255"/>
      <c r="AS3" s="254">
        <f>AO3+2</f>
        <v>45831</v>
      </c>
      <c r="AT3" s="254"/>
      <c r="AU3" s="254">
        <f>+AS3+1</f>
        <v>45832</v>
      </c>
      <c r="AV3" s="254"/>
      <c r="AW3" s="254">
        <f>+AU3+1</f>
        <v>45833</v>
      </c>
      <c r="AX3" s="254"/>
      <c r="AY3" s="254">
        <f>+AW3+1</f>
        <v>45834</v>
      </c>
      <c r="AZ3" s="254"/>
      <c r="BA3" s="254">
        <f>+AY3+1</f>
        <v>45835</v>
      </c>
      <c r="BB3" s="254"/>
      <c r="BC3" s="254">
        <f>+BA3+1</f>
        <v>45836</v>
      </c>
      <c r="BD3" s="254"/>
      <c r="BE3" s="255" t="s">
        <v>161</v>
      </c>
      <c r="BF3" s="255"/>
      <c r="BG3" s="254">
        <f>BC3+2</f>
        <v>45838</v>
      </c>
      <c r="BH3" s="254"/>
      <c r="BI3" s="254">
        <f>+BG3+1</f>
        <v>45839</v>
      </c>
      <c r="BJ3" s="254"/>
      <c r="BK3" s="254">
        <f>+BI3+1</f>
        <v>45840</v>
      </c>
      <c r="BL3" s="254"/>
      <c r="BM3" s="254">
        <f>+BK3+1</f>
        <v>45841</v>
      </c>
      <c r="BN3" s="254"/>
      <c r="BO3" s="254">
        <f>+BM3+1</f>
        <v>45842</v>
      </c>
      <c r="BP3" s="254"/>
      <c r="BQ3" s="254">
        <f>+BO3+1</f>
        <v>45843</v>
      </c>
      <c r="BR3" s="254"/>
      <c r="BS3" s="255" t="s">
        <v>299</v>
      </c>
      <c r="BT3" s="255"/>
      <c r="BU3" s="254">
        <f>BQ3+2</f>
        <v>45845</v>
      </c>
      <c r="BV3" s="254"/>
      <c r="BW3" s="254">
        <f>+BU3+1</f>
        <v>45846</v>
      </c>
      <c r="BX3" s="254"/>
      <c r="BY3" s="254">
        <f>+BW3+1</f>
        <v>45847</v>
      </c>
      <c r="BZ3" s="254"/>
      <c r="CA3" s="254">
        <f>+BY3+1</f>
        <v>45848</v>
      </c>
      <c r="CB3" s="254"/>
      <c r="CC3" s="254">
        <f>+CA3+1</f>
        <v>45849</v>
      </c>
      <c r="CD3" s="254"/>
      <c r="CE3" s="254">
        <f>+CC3+1</f>
        <v>45850</v>
      </c>
      <c r="CF3" s="254"/>
      <c r="CG3" s="255" t="s">
        <v>300</v>
      </c>
      <c r="CH3" s="255"/>
      <c r="CI3" s="254">
        <f>CE3+2</f>
        <v>45852</v>
      </c>
      <c r="CJ3" s="254"/>
      <c r="CK3" s="254">
        <f>+CI3+1</f>
        <v>45853</v>
      </c>
      <c r="CL3" s="254"/>
      <c r="CM3" s="254">
        <f>+CK3+1</f>
        <v>45854</v>
      </c>
      <c r="CN3" s="254"/>
      <c r="CO3" s="254">
        <f>+CM3+1</f>
        <v>45855</v>
      </c>
      <c r="CP3" s="254"/>
      <c r="CQ3" s="254">
        <f>+CO3+1</f>
        <v>45856</v>
      </c>
      <c r="CR3" s="254"/>
      <c r="CS3" s="254">
        <f>+CQ3+1</f>
        <v>45857</v>
      </c>
      <c r="CT3" s="254"/>
      <c r="CU3" s="255" t="s">
        <v>301</v>
      </c>
      <c r="CV3" s="255"/>
    </row>
    <row r="4" spans="1:100" ht="34.950000000000003" customHeight="1">
      <c r="A4" s="82" t="s">
        <v>90</v>
      </c>
      <c r="B4" s="82" t="s">
        <v>91</v>
      </c>
      <c r="C4" s="82" t="s">
        <v>92</v>
      </c>
      <c r="D4" s="82" t="s">
        <v>93</v>
      </c>
      <c r="E4" s="82" t="s">
        <v>94</v>
      </c>
      <c r="F4" s="82" t="s">
        <v>95</v>
      </c>
      <c r="G4" s="84" t="s">
        <v>96</v>
      </c>
      <c r="H4" s="134" t="s">
        <v>94</v>
      </c>
      <c r="I4" s="134" t="s">
        <v>95</v>
      </c>
      <c r="J4" s="134" t="s">
        <v>97</v>
      </c>
      <c r="K4" s="135" t="s">
        <v>96</v>
      </c>
      <c r="L4" s="136" t="s">
        <v>184</v>
      </c>
      <c r="M4" s="136" t="s">
        <v>185</v>
      </c>
      <c r="N4" s="136" t="s">
        <v>183</v>
      </c>
      <c r="O4" s="136" t="s">
        <v>100</v>
      </c>
      <c r="P4" s="136"/>
      <c r="Q4" s="82" t="s">
        <v>139</v>
      </c>
      <c r="R4" s="84" t="s">
        <v>163</v>
      </c>
      <c r="S4" s="82" t="s">
        <v>139</v>
      </c>
      <c r="T4" s="84" t="s">
        <v>163</v>
      </c>
      <c r="U4" s="82" t="s">
        <v>139</v>
      </c>
      <c r="V4" s="84" t="s">
        <v>163</v>
      </c>
      <c r="W4" s="82" t="s">
        <v>139</v>
      </c>
      <c r="X4" s="84" t="s">
        <v>163</v>
      </c>
      <c r="Y4" s="82" t="s">
        <v>139</v>
      </c>
      <c r="Z4" s="84" t="s">
        <v>163</v>
      </c>
      <c r="AA4" s="84"/>
      <c r="AB4" s="84" t="s">
        <v>163</v>
      </c>
      <c r="AC4" s="82" t="s">
        <v>139</v>
      </c>
      <c r="AD4" s="84" t="s">
        <v>163</v>
      </c>
      <c r="AE4" s="82" t="s">
        <v>139</v>
      </c>
      <c r="AF4" s="84" t="s">
        <v>163</v>
      </c>
      <c r="AG4" s="82" t="s">
        <v>139</v>
      </c>
      <c r="AH4" s="84" t="s">
        <v>163</v>
      </c>
      <c r="AI4" s="82" t="s">
        <v>139</v>
      </c>
      <c r="AJ4" s="84" t="s">
        <v>163</v>
      </c>
      <c r="AK4" s="82" t="s">
        <v>139</v>
      </c>
      <c r="AL4" s="84" t="s">
        <v>163</v>
      </c>
      <c r="AM4" s="82" t="s">
        <v>139</v>
      </c>
      <c r="AN4" s="84" t="s">
        <v>163</v>
      </c>
      <c r="AO4" s="84"/>
      <c r="AP4" s="84" t="s">
        <v>163</v>
      </c>
      <c r="AQ4" s="82" t="s">
        <v>139</v>
      </c>
      <c r="AR4" s="84" t="s">
        <v>163</v>
      </c>
      <c r="AS4" s="82" t="s">
        <v>139</v>
      </c>
      <c r="AT4" s="84" t="s">
        <v>163</v>
      </c>
      <c r="AU4" s="82" t="s">
        <v>139</v>
      </c>
      <c r="AV4" s="84" t="s">
        <v>163</v>
      </c>
      <c r="AW4" s="82" t="s">
        <v>139</v>
      </c>
      <c r="AX4" s="84" t="s">
        <v>163</v>
      </c>
      <c r="AY4" s="82" t="s">
        <v>139</v>
      </c>
      <c r="AZ4" s="84" t="s">
        <v>163</v>
      </c>
      <c r="BA4" s="82" t="s">
        <v>139</v>
      </c>
      <c r="BB4" s="84" t="s">
        <v>163</v>
      </c>
      <c r="BC4" s="84"/>
      <c r="BD4" s="84" t="s">
        <v>163</v>
      </c>
      <c r="BE4" s="82" t="s">
        <v>139</v>
      </c>
      <c r="BF4" s="84" t="s">
        <v>163</v>
      </c>
      <c r="BG4" s="82" t="s">
        <v>139</v>
      </c>
      <c r="BH4" s="84" t="s">
        <v>163</v>
      </c>
      <c r="BI4" s="82" t="s">
        <v>139</v>
      </c>
      <c r="BJ4" s="84" t="s">
        <v>163</v>
      </c>
      <c r="BK4" s="82" t="s">
        <v>139</v>
      </c>
      <c r="BL4" s="84" t="s">
        <v>163</v>
      </c>
      <c r="BM4" s="82" t="s">
        <v>139</v>
      </c>
      <c r="BN4" s="84" t="s">
        <v>163</v>
      </c>
      <c r="BO4" s="82" t="s">
        <v>139</v>
      </c>
      <c r="BP4" s="84" t="s">
        <v>163</v>
      </c>
      <c r="BQ4" s="84"/>
      <c r="BR4" s="84" t="s">
        <v>163</v>
      </c>
      <c r="BS4" s="82" t="s">
        <v>139</v>
      </c>
      <c r="BT4" s="84" t="s">
        <v>163</v>
      </c>
      <c r="BU4" s="82" t="s">
        <v>139</v>
      </c>
      <c r="BV4" s="84" t="s">
        <v>163</v>
      </c>
      <c r="BW4" s="82" t="s">
        <v>139</v>
      </c>
      <c r="BX4" s="84" t="s">
        <v>163</v>
      </c>
      <c r="BY4" s="82" t="s">
        <v>139</v>
      </c>
      <c r="BZ4" s="84" t="s">
        <v>163</v>
      </c>
      <c r="CA4" s="82" t="s">
        <v>139</v>
      </c>
      <c r="CB4" s="84" t="s">
        <v>163</v>
      </c>
      <c r="CC4" s="82" t="s">
        <v>139</v>
      </c>
      <c r="CD4" s="84" t="s">
        <v>163</v>
      </c>
      <c r="CE4" s="84"/>
      <c r="CF4" s="84" t="s">
        <v>163</v>
      </c>
      <c r="CG4" s="82" t="s">
        <v>139</v>
      </c>
      <c r="CH4" s="84" t="s">
        <v>163</v>
      </c>
      <c r="CI4" s="82" t="s">
        <v>139</v>
      </c>
      <c r="CJ4" s="84" t="s">
        <v>163</v>
      </c>
      <c r="CK4" s="82" t="s">
        <v>139</v>
      </c>
      <c r="CL4" s="84" t="s">
        <v>163</v>
      </c>
      <c r="CM4" s="82" t="s">
        <v>139</v>
      </c>
      <c r="CN4" s="84" t="s">
        <v>163</v>
      </c>
      <c r="CO4" s="82" t="s">
        <v>139</v>
      </c>
      <c r="CP4" s="84" t="s">
        <v>163</v>
      </c>
      <c r="CQ4" s="82" t="s">
        <v>139</v>
      </c>
      <c r="CR4" s="84" t="s">
        <v>163</v>
      </c>
      <c r="CS4" s="84"/>
      <c r="CT4" s="84" t="s">
        <v>163</v>
      </c>
      <c r="CU4" s="82" t="s">
        <v>139</v>
      </c>
      <c r="CV4" s="84" t="s">
        <v>163</v>
      </c>
    </row>
    <row r="5" spans="1:100" ht="19.95" customHeight="1">
      <c r="A5" s="86" t="s">
        <v>182</v>
      </c>
      <c r="B5" s="87" t="s">
        <v>204</v>
      </c>
      <c r="C5" s="88">
        <v>1</v>
      </c>
      <c r="D5" s="1" t="s">
        <v>124</v>
      </c>
      <c r="E5" s="88">
        <f>(2.5*14)+0.6</f>
        <v>35.6</v>
      </c>
      <c r="F5" s="88">
        <v>9.6999999999999993</v>
      </c>
      <c r="G5" s="89">
        <f>E5*F5</f>
        <v>345.32</v>
      </c>
      <c r="H5" s="90">
        <v>1.5</v>
      </c>
      <c r="I5" s="90">
        <v>1.2</v>
      </c>
      <c r="J5" s="90">
        <v>14</v>
      </c>
      <c r="K5" s="91">
        <f>(H5*I5)*J5</f>
        <v>25.199999999999996</v>
      </c>
      <c r="M5" s="89"/>
      <c r="N5" s="95">
        <f>G5-(K5+K6)</f>
        <v>318.86</v>
      </c>
      <c r="O5" s="89"/>
      <c r="P5" s="89">
        <f>SUM(L5:O5)</f>
        <v>318.86</v>
      </c>
      <c r="Q5" s="89">
        <v>0</v>
      </c>
      <c r="R5" s="112">
        <f>Q5/$P5</f>
        <v>0</v>
      </c>
      <c r="S5" s="89">
        <v>0</v>
      </c>
      <c r="T5" s="112">
        <f>S5/$P5</f>
        <v>0</v>
      </c>
      <c r="U5" s="89">
        <v>0</v>
      </c>
      <c r="V5" s="112">
        <f>U5/$P5</f>
        <v>0</v>
      </c>
      <c r="W5" s="89">
        <v>0</v>
      </c>
      <c r="X5" s="112">
        <f>W5/$P5</f>
        <v>0</v>
      </c>
      <c r="Y5" s="89">
        <v>0</v>
      </c>
      <c r="Z5" s="112">
        <f>Y5/$P5</f>
        <v>0</v>
      </c>
      <c r="AA5" s="89">
        <v>0</v>
      </c>
      <c r="AB5" s="112">
        <f>AA5/$P5</f>
        <v>0</v>
      </c>
      <c r="AC5" s="89">
        <f>Q5+S5+U5+W5+Y5+AA5</f>
        <v>0</v>
      </c>
      <c r="AD5" s="113">
        <f>AC5/$P5</f>
        <v>0</v>
      </c>
      <c r="AE5" s="89">
        <v>0</v>
      </c>
      <c r="AF5" s="112">
        <f>AE5/$P5</f>
        <v>0</v>
      </c>
      <c r="AG5" s="89">
        <v>0</v>
      </c>
      <c r="AH5" s="112">
        <f>AG5/$P5</f>
        <v>0</v>
      </c>
      <c r="AI5" s="89">
        <v>0</v>
      </c>
      <c r="AJ5" s="112">
        <f>AI5/$P5</f>
        <v>0</v>
      </c>
      <c r="AK5" s="89">
        <v>0</v>
      </c>
      <c r="AL5" s="112">
        <f>AK5/$P5</f>
        <v>0</v>
      </c>
      <c r="AM5" s="89">
        <v>0</v>
      </c>
      <c r="AN5" s="112">
        <f>AM5/$P5</f>
        <v>0</v>
      </c>
      <c r="AO5" s="89">
        <v>0</v>
      </c>
      <c r="AP5" s="112">
        <f>AO5/$P5</f>
        <v>0</v>
      </c>
      <c r="AQ5" s="89">
        <f>AE5+AG5+AI5+AK5+AM5+AO5</f>
        <v>0</v>
      </c>
      <c r="AR5" s="113">
        <f>AQ5/$P5</f>
        <v>0</v>
      </c>
      <c r="AS5" s="89">
        <v>0</v>
      </c>
      <c r="AT5" s="112">
        <f>AS5/$P5</f>
        <v>0</v>
      </c>
      <c r="AU5" s="89">
        <v>0</v>
      </c>
      <c r="AV5" s="112">
        <f>AU5/$P5</f>
        <v>0</v>
      </c>
      <c r="AW5" s="89">
        <v>0</v>
      </c>
      <c r="AX5" s="112">
        <f>AW5/$P5</f>
        <v>0</v>
      </c>
      <c r="AY5" s="89">
        <v>0</v>
      </c>
      <c r="AZ5" s="112">
        <f>AY5/$P5</f>
        <v>0</v>
      </c>
      <c r="BA5" s="89">
        <v>0</v>
      </c>
      <c r="BB5" s="112">
        <f>BA5/$P5</f>
        <v>0</v>
      </c>
      <c r="BC5" s="89">
        <v>0</v>
      </c>
      <c r="BD5" s="112">
        <f>BC5/$P5</f>
        <v>0</v>
      </c>
      <c r="BE5" s="89">
        <f>AS5+AU5+AW5+AY5+BA5+BC5</f>
        <v>0</v>
      </c>
      <c r="BF5" s="113">
        <f>BE5/$P5</f>
        <v>0</v>
      </c>
      <c r="BG5" s="89">
        <v>0</v>
      </c>
      <c r="BH5" s="112">
        <f>BG5/$P5</f>
        <v>0</v>
      </c>
      <c r="BI5" s="89">
        <v>0</v>
      </c>
      <c r="BJ5" s="112">
        <f>BI5/$P5</f>
        <v>0</v>
      </c>
      <c r="BK5" s="89">
        <v>0</v>
      </c>
      <c r="BL5" s="112">
        <f>BK5/$P5</f>
        <v>0</v>
      </c>
      <c r="BM5" s="89">
        <v>0</v>
      </c>
      <c r="BN5" s="112">
        <f>BM5/$P5</f>
        <v>0</v>
      </c>
      <c r="BO5" s="89">
        <v>0</v>
      </c>
      <c r="BP5" s="112">
        <f>BO5/$P5</f>
        <v>0</v>
      </c>
      <c r="BQ5" s="89">
        <v>0</v>
      </c>
      <c r="BR5" s="112">
        <f>BQ5/$P5</f>
        <v>0</v>
      </c>
      <c r="BS5" s="89">
        <f>BG5+BI5+BK5+BM5+BO5+BQ5</f>
        <v>0</v>
      </c>
      <c r="BT5" s="113">
        <f>BS5/$P5</f>
        <v>0</v>
      </c>
      <c r="BU5" s="89">
        <v>0</v>
      </c>
      <c r="BV5" s="112">
        <f>BU5/$P5</f>
        <v>0</v>
      </c>
      <c r="BW5" s="89">
        <v>0</v>
      </c>
      <c r="BX5" s="112">
        <f>BW5/$P5</f>
        <v>0</v>
      </c>
      <c r="BY5" s="89">
        <v>0</v>
      </c>
      <c r="BZ5" s="112">
        <f>BY5/$P5</f>
        <v>0</v>
      </c>
      <c r="CA5" s="89">
        <v>0</v>
      </c>
      <c r="CB5" s="112">
        <f>CA5/$P5</f>
        <v>0</v>
      </c>
      <c r="CC5" s="89">
        <v>0</v>
      </c>
      <c r="CD5" s="112">
        <f>CC5/$P5</f>
        <v>0</v>
      </c>
      <c r="CE5" s="89">
        <v>0</v>
      </c>
      <c r="CF5" s="112">
        <f>CE5/$P5</f>
        <v>0</v>
      </c>
      <c r="CG5" s="89">
        <f>BU5+BW5+BY5+CA5+CC5+CE5</f>
        <v>0</v>
      </c>
      <c r="CH5" s="113">
        <f>CG5/$P5</f>
        <v>0</v>
      </c>
      <c r="CI5" s="89">
        <v>0</v>
      </c>
      <c r="CJ5" s="112">
        <f>CI5/$P5</f>
        <v>0</v>
      </c>
      <c r="CK5" s="89">
        <v>0</v>
      </c>
      <c r="CL5" s="112">
        <f>CK5/$P5</f>
        <v>0</v>
      </c>
      <c r="CM5" s="89">
        <v>0</v>
      </c>
      <c r="CN5" s="112">
        <f>CM5/$P5</f>
        <v>0</v>
      </c>
      <c r="CO5" s="89">
        <v>0</v>
      </c>
      <c r="CP5" s="112">
        <f>CO5/$P5</f>
        <v>0</v>
      </c>
      <c r="CQ5" s="89">
        <v>0</v>
      </c>
      <c r="CR5" s="112">
        <f>CQ5/$P5</f>
        <v>0</v>
      </c>
      <c r="CS5" s="89">
        <v>0</v>
      </c>
      <c r="CT5" s="112">
        <f>CS5/$P5</f>
        <v>0</v>
      </c>
      <c r="CU5" s="89">
        <f>CI5+CK5+CM5+CO5+CQ5+CS5</f>
        <v>0</v>
      </c>
      <c r="CV5" s="113">
        <f>CU5/$P5</f>
        <v>0</v>
      </c>
    </row>
    <row r="6" spans="1:100" ht="19.95" customHeight="1">
      <c r="A6" s="86"/>
      <c r="B6" s="87"/>
      <c r="G6" s="89"/>
      <c r="H6" s="90">
        <v>0.3</v>
      </c>
      <c r="I6" s="90">
        <v>0.3</v>
      </c>
      <c r="J6" s="90">
        <v>14</v>
      </c>
      <c r="K6" s="91">
        <f>(H6*I6)*J6</f>
        <v>1.26</v>
      </c>
      <c r="L6" s="89"/>
      <c r="M6" s="89"/>
      <c r="N6" s="89"/>
      <c r="O6" s="89"/>
      <c r="P6" s="89">
        <f t="shared" ref="P6:P61" si="0">SUM(L6:O6)</f>
        <v>0</v>
      </c>
      <c r="Q6" s="89">
        <v>0</v>
      </c>
      <c r="R6" s="112"/>
      <c r="S6" s="89">
        <v>0</v>
      </c>
      <c r="T6" s="112"/>
      <c r="U6" s="89">
        <v>0</v>
      </c>
      <c r="V6" s="112"/>
      <c r="W6" s="89">
        <v>0</v>
      </c>
      <c r="X6" s="112"/>
      <c r="Y6" s="89">
        <v>0</v>
      </c>
      <c r="Z6" s="112"/>
      <c r="AA6" s="89">
        <v>0</v>
      </c>
      <c r="AB6" s="112"/>
      <c r="AC6" s="89">
        <f t="shared" ref="AC6:AC61" si="1">Q6+S6+U6+W6+Y6+AA6</f>
        <v>0</v>
      </c>
      <c r="AD6" s="113"/>
      <c r="AE6" s="89">
        <v>0</v>
      </c>
      <c r="AF6" s="112"/>
      <c r="AG6" s="89">
        <v>0</v>
      </c>
      <c r="AH6" s="112"/>
      <c r="AI6" s="89">
        <v>0</v>
      </c>
      <c r="AJ6" s="112"/>
      <c r="AK6" s="89">
        <v>0</v>
      </c>
      <c r="AL6" s="112"/>
      <c r="AM6" s="89">
        <v>0</v>
      </c>
      <c r="AN6" s="112"/>
      <c r="AO6" s="89">
        <v>0</v>
      </c>
      <c r="AP6" s="112"/>
      <c r="AQ6" s="89">
        <f t="shared" ref="AQ6:AQ61" si="2">AE6+AG6+AI6+AK6+AM6+AO6</f>
        <v>0</v>
      </c>
      <c r="AR6" s="113"/>
      <c r="AS6" s="89">
        <v>0</v>
      </c>
      <c r="AT6" s="112"/>
      <c r="AU6" s="89">
        <v>0</v>
      </c>
      <c r="AV6" s="112"/>
      <c r="AW6" s="89">
        <v>0</v>
      </c>
      <c r="AX6" s="112"/>
      <c r="AY6" s="89">
        <v>0</v>
      </c>
      <c r="AZ6" s="112"/>
      <c r="BA6" s="89">
        <v>0</v>
      </c>
      <c r="BB6" s="112"/>
      <c r="BC6" s="89">
        <v>0</v>
      </c>
      <c r="BD6" s="112"/>
      <c r="BE6" s="89">
        <f t="shared" ref="BE6:BE61" si="3">AS6+AU6+AW6+AY6+BA6+BC6</f>
        <v>0</v>
      </c>
      <c r="BF6" s="113"/>
      <c r="BG6" s="89">
        <v>0</v>
      </c>
      <c r="BH6" s="112"/>
      <c r="BI6" s="89">
        <v>0</v>
      </c>
      <c r="BJ6" s="112"/>
      <c r="BK6" s="89">
        <v>0</v>
      </c>
      <c r="BL6" s="112"/>
      <c r="BM6" s="89">
        <v>0</v>
      </c>
      <c r="BN6" s="112"/>
      <c r="BO6" s="89">
        <v>0</v>
      </c>
      <c r="BP6" s="112"/>
      <c r="BQ6" s="89">
        <v>0</v>
      </c>
      <c r="BR6" s="112"/>
      <c r="BS6" s="89">
        <f t="shared" ref="BS6:BS61" si="4">BG6+BI6+BK6+BM6+BO6+BQ6</f>
        <v>0</v>
      </c>
      <c r="BT6" s="113"/>
      <c r="BU6" s="89">
        <v>0</v>
      </c>
      <c r="BV6" s="112"/>
      <c r="BW6" s="89">
        <v>0</v>
      </c>
      <c r="BX6" s="112"/>
      <c r="BY6" s="89">
        <v>0</v>
      </c>
      <c r="BZ6" s="112"/>
      <c r="CA6" s="89">
        <v>0</v>
      </c>
      <c r="CB6" s="112"/>
      <c r="CC6" s="89">
        <v>0</v>
      </c>
      <c r="CD6" s="112"/>
      <c r="CE6" s="89">
        <v>0</v>
      </c>
      <c r="CF6" s="112"/>
      <c r="CG6" s="89">
        <f t="shared" ref="CG6:CG61" si="5">BU6+BW6+BY6+CA6+CC6+CE6</f>
        <v>0</v>
      </c>
      <c r="CH6" s="113"/>
      <c r="CI6" s="89">
        <v>0</v>
      </c>
      <c r="CJ6" s="112"/>
      <c r="CK6" s="89">
        <v>0</v>
      </c>
      <c r="CL6" s="112"/>
      <c r="CM6" s="89">
        <v>0</v>
      </c>
      <c r="CN6" s="112"/>
      <c r="CO6" s="89">
        <v>0</v>
      </c>
      <c r="CP6" s="112"/>
      <c r="CQ6" s="89">
        <v>0</v>
      </c>
      <c r="CR6" s="112"/>
      <c r="CS6" s="89">
        <v>0</v>
      </c>
      <c r="CT6" s="112"/>
      <c r="CU6" s="89">
        <f t="shared" ref="CU6:CU61" si="6">CI6+CK6+CM6+CO6+CQ6+CS6</f>
        <v>0</v>
      </c>
      <c r="CV6" s="113"/>
    </row>
    <row r="7" spans="1:100" ht="19.95" customHeight="1">
      <c r="A7" s="86"/>
      <c r="B7" s="87" t="s">
        <v>116</v>
      </c>
      <c r="C7" s="88">
        <v>2</v>
      </c>
      <c r="D7" s="1" t="s">
        <v>124</v>
      </c>
      <c r="E7" s="88">
        <f>E5</f>
        <v>35.6</v>
      </c>
      <c r="F7" s="89">
        <v>6.1</v>
      </c>
      <c r="G7" s="89">
        <f>E7*F7</f>
        <v>217.16</v>
      </c>
      <c r="H7" s="90">
        <v>1.5</v>
      </c>
      <c r="I7" s="90">
        <v>1.2</v>
      </c>
      <c r="J7" s="90">
        <v>28</v>
      </c>
      <c r="K7" s="91">
        <f>(H7*I7)*J7</f>
        <v>50.399999999999991</v>
      </c>
      <c r="M7" s="89"/>
      <c r="N7" s="95">
        <f>G7-K7</f>
        <v>166.76</v>
      </c>
      <c r="O7" s="89"/>
      <c r="P7" s="89">
        <f t="shared" si="0"/>
        <v>166.76</v>
      </c>
      <c r="Q7" s="89">
        <v>0</v>
      </c>
      <c r="R7" s="112">
        <f t="shared" ref="R7:T22" si="7">Q7/$P7</f>
        <v>0</v>
      </c>
      <c r="S7" s="89">
        <v>0</v>
      </c>
      <c r="T7" s="112">
        <f t="shared" si="7"/>
        <v>0</v>
      </c>
      <c r="U7" s="89">
        <v>0</v>
      </c>
      <c r="V7" s="112">
        <f t="shared" ref="V7:V39" si="8">U7/$P7</f>
        <v>0</v>
      </c>
      <c r="W7" s="89">
        <v>0</v>
      </c>
      <c r="X7" s="112">
        <f t="shared" ref="X7:X39" si="9">W7/$P7</f>
        <v>0</v>
      </c>
      <c r="Y7" s="89">
        <v>0</v>
      </c>
      <c r="Z7" s="112">
        <f t="shared" ref="Z7:Z39" si="10">Y7/$P7</f>
        <v>0</v>
      </c>
      <c r="AA7" s="89">
        <v>0</v>
      </c>
      <c r="AB7" s="112">
        <f t="shared" ref="AB7:AB22" si="11">AA7/$P7</f>
        <v>0</v>
      </c>
      <c r="AC7" s="89">
        <f t="shared" si="1"/>
        <v>0</v>
      </c>
      <c r="AD7" s="113">
        <f t="shared" ref="AD7:AD61" si="12">AC7/$P7</f>
        <v>0</v>
      </c>
      <c r="AE7" s="89">
        <v>0</v>
      </c>
      <c r="AF7" s="112">
        <f t="shared" ref="AF7:AF39" si="13">AE7/$P7</f>
        <v>0</v>
      </c>
      <c r="AG7" s="89">
        <v>0</v>
      </c>
      <c r="AH7" s="112">
        <f t="shared" ref="AH7:AH39" si="14">AG7/$P7</f>
        <v>0</v>
      </c>
      <c r="AI7" s="89">
        <v>0</v>
      </c>
      <c r="AJ7" s="112">
        <f t="shared" ref="AJ7:AJ39" si="15">AI7/$P7</f>
        <v>0</v>
      </c>
      <c r="AK7" s="89">
        <v>0</v>
      </c>
      <c r="AL7" s="112">
        <f t="shared" ref="AL7:AL39" si="16">AK7/$P7</f>
        <v>0</v>
      </c>
      <c r="AM7" s="89">
        <v>0</v>
      </c>
      <c r="AN7" s="112">
        <f t="shared" ref="AN7:AN39" si="17">AM7/$P7</f>
        <v>0</v>
      </c>
      <c r="AO7" s="89">
        <v>0</v>
      </c>
      <c r="AP7" s="112">
        <f t="shared" ref="AP7:AP39" si="18">AO7/$P7</f>
        <v>0</v>
      </c>
      <c r="AQ7" s="89">
        <f t="shared" si="2"/>
        <v>0</v>
      </c>
      <c r="AR7" s="113">
        <f t="shared" ref="AR7:AR61" si="19">AQ7/$P7</f>
        <v>0</v>
      </c>
      <c r="AS7" s="89">
        <v>0</v>
      </c>
      <c r="AT7" s="112">
        <f t="shared" ref="AT7:AT39" si="20">AS7/$P7</f>
        <v>0</v>
      </c>
      <c r="AU7" s="89">
        <v>0</v>
      </c>
      <c r="AV7" s="112">
        <f t="shared" ref="AV7:AV39" si="21">AU7/$P7</f>
        <v>0</v>
      </c>
      <c r="AW7" s="89">
        <v>0</v>
      </c>
      <c r="AX7" s="112">
        <f t="shared" ref="AX7:AX39" si="22">AW7/$P7</f>
        <v>0</v>
      </c>
      <c r="AY7" s="89">
        <v>0</v>
      </c>
      <c r="AZ7" s="112">
        <f t="shared" ref="AZ7:AZ39" si="23">AY7/$P7</f>
        <v>0</v>
      </c>
      <c r="BA7" s="89">
        <v>0</v>
      </c>
      <c r="BB7" s="112">
        <f t="shared" ref="BB7:BB39" si="24">BA7/$P7</f>
        <v>0</v>
      </c>
      <c r="BC7" s="89">
        <v>0</v>
      </c>
      <c r="BD7" s="112">
        <f t="shared" ref="BD7:BD39" si="25">BC7/$P7</f>
        <v>0</v>
      </c>
      <c r="BE7" s="89">
        <f t="shared" si="3"/>
        <v>0</v>
      </c>
      <c r="BF7" s="113">
        <f t="shared" ref="BF7:BF61" si="26">BE7/$P7</f>
        <v>0</v>
      </c>
      <c r="BG7" s="89">
        <v>0</v>
      </c>
      <c r="BH7" s="112">
        <f t="shared" ref="BH7:BH39" si="27">BG7/$P7</f>
        <v>0</v>
      </c>
      <c r="BI7" s="89">
        <v>0</v>
      </c>
      <c r="BJ7" s="112">
        <f t="shared" ref="BJ7:BJ39" si="28">BI7/$P7</f>
        <v>0</v>
      </c>
      <c r="BK7" s="89">
        <v>0</v>
      </c>
      <c r="BL7" s="112">
        <f t="shared" ref="BL7:BL39" si="29">BK7/$P7</f>
        <v>0</v>
      </c>
      <c r="BM7" s="89">
        <v>0</v>
      </c>
      <c r="BN7" s="112">
        <f t="shared" ref="BN7:BN39" si="30">BM7/$P7</f>
        <v>0</v>
      </c>
      <c r="BO7" s="89">
        <v>0</v>
      </c>
      <c r="BP7" s="112">
        <f t="shared" ref="BP7:BP39" si="31">BO7/$P7</f>
        <v>0</v>
      </c>
      <c r="BQ7" s="89">
        <v>0</v>
      </c>
      <c r="BR7" s="112">
        <f t="shared" ref="BR7:BR39" si="32">BQ7/$P7</f>
        <v>0</v>
      </c>
      <c r="BS7" s="89">
        <f t="shared" si="4"/>
        <v>0</v>
      </c>
      <c r="BT7" s="113">
        <f t="shared" ref="BT7:BT61" si="33">BS7/$P7</f>
        <v>0</v>
      </c>
      <c r="BU7" s="89">
        <v>0</v>
      </c>
      <c r="BV7" s="112">
        <f t="shared" ref="BV7:BV39" si="34">BU7/$P7</f>
        <v>0</v>
      </c>
      <c r="BW7" s="89">
        <v>0</v>
      </c>
      <c r="BX7" s="112">
        <f t="shared" ref="BX7:BX39" si="35">BW7/$P7</f>
        <v>0</v>
      </c>
      <c r="BY7" s="89">
        <v>0</v>
      </c>
      <c r="BZ7" s="112">
        <f t="shared" ref="BZ7:BZ39" si="36">BY7/$P7</f>
        <v>0</v>
      </c>
      <c r="CA7" s="89">
        <v>0</v>
      </c>
      <c r="CB7" s="112">
        <f t="shared" ref="CB7:CB39" si="37">CA7/$P7</f>
        <v>0</v>
      </c>
      <c r="CC7" s="89">
        <v>0</v>
      </c>
      <c r="CD7" s="112">
        <f t="shared" ref="CD7:CD39" si="38">CC7/$P7</f>
        <v>0</v>
      </c>
      <c r="CE7" s="89">
        <v>0</v>
      </c>
      <c r="CF7" s="112">
        <f t="shared" ref="CF7:CF39" si="39">CE7/$P7</f>
        <v>0</v>
      </c>
      <c r="CG7" s="89">
        <f t="shared" si="5"/>
        <v>0</v>
      </c>
      <c r="CH7" s="113">
        <f t="shared" ref="CH7:CH61" si="40">CG7/$P7</f>
        <v>0</v>
      </c>
      <c r="CI7" s="89">
        <v>0</v>
      </c>
      <c r="CJ7" s="112">
        <f t="shared" ref="CJ7:CJ39" si="41">CI7/$P7</f>
        <v>0</v>
      </c>
      <c r="CK7" s="89">
        <v>0</v>
      </c>
      <c r="CL7" s="112">
        <f t="shared" ref="CL7:CL39" si="42">CK7/$P7</f>
        <v>0</v>
      </c>
      <c r="CM7" s="89">
        <v>0</v>
      </c>
      <c r="CN7" s="112">
        <f t="shared" ref="CN7:CN39" si="43">CM7/$P7</f>
        <v>0</v>
      </c>
      <c r="CO7" s="89">
        <v>0</v>
      </c>
      <c r="CP7" s="112">
        <f t="shared" ref="CP7:CP39" si="44">CO7/$P7</f>
        <v>0</v>
      </c>
      <c r="CQ7" s="89">
        <v>0</v>
      </c>
      <c r="CR7" s="112">
        <f t="shared" ref="CR7:CR39" si="45">CQ7/$P7</f>
        <v>0</v>
      </c>
      <c r="CS7" s="89">
        <v>0</v>
      </c>
      <c r="CT7" s="112">
        <f t="shared" ref="CT7:CT39" si="46">CS7/$P7</f>
        <v>0</v>
      </c>
      <c r="CU7" s="89">
        <f t="shared" si="6"/>
        <v>0</v>
      </c>
      <c r="CV7" s="113">
        <f t="shared" ref="CV7:CV61" si="47">CU7/$P7</f>
        <v>0</v>
      </c>
    </row>
    <row r="8" spans="1:100" ht="19.95" customHeight="1">
      <c r="B8" s="87"/>
      <c r="C8" s="88">
        <v>3</v>
      </c>
      <c r="D8" s="1" t="s">
        <v>191</v>
      </c>
      <c r="E8" s="88">
        <v>35</v>
      </c>
      <c r="F8" s="89">
        <v>3.1</v>
      </c>
      <c r="G8" s="89">
        <f>E8*F8</f>
        <v>108.5</v>
      </c>
      <c r="H8" s="90">
        <v>0.25</v>
      </c>
      <c r="I8" s="90">
        <v>3.1</v>
      </c>
      <c r="J8" s="90">
        <v>14</v>
      </c>
      <c r="K8" s="91">
        <f>(H8*I8)*J8</f>
        <v>10.85</v>
      </c>
      <c r="L8" s="89"/>
      <c r="M8" s="89"/>
      <c r="N8" s="95">
        <f>G8-K8</f>
        <v>97.65</v>
      </c>
      <c r="O8" s="89"/>
      <c r="P8" s="89">
        <f t="shared" si="0"/>
        <v>97.65</v>
      </c>
      <c r="Q8" s="89">
        <v>0</v>
      </c>
      <c r="R8" s="112">
        <f t="shared" si="7"/>
        <v>0</v>
      </c>
      <c r="S8" s="89">
        <v>0</v>
      </c>
      <c r="T8" s="112">
        <f t="shared" si="7"/>
        <v>0</v>
      </c>
      <c r="U8" s="89">
        <v>0</v>
      </c>
      <c r="V8" s="112">
        <f t="shared" si="8"/>
        <v>0</v>
      </c>
      <c r="W8" s="89">
        <v>0</v>
      </c>
      <c r="X8" s="112">
        <f t="shared" si="9"/>
        <v>0</v>
      </c>
      <c r="Y8" s="89">
        <v>0</v>
      </c>
      <c r="Z8" s="112">
        <f t="shared" si="10"/>
        <v>0</v>
      </c>
      <c r="AA8" s="89">
        <v>0</v>
      </c>
      <c r="AB8" s="112">
        <f t="shared" si="11"/>
        <v>0</v>
      </c>
      <c r="AC8" s="89">
        <f t="shared" si="1"/>
        <v>0</v>
      </c>
      <c r="AD8" s="113">
        <f t="shared" si="12"/>
        <v>0</v>
      </c>
      <c r="AE8" s="89">
        <v>0</v>
      </c>
      <c r="AF8" s="112">
        <f t="shared" si="13"/>
        <v>0</v>
      </c>
      <c r="AG8" s="89">
        <v>0</v>
      </c>
      <c r="AH8" s="112">
        <f t="shared" si="14"/>
        <v>0</v>
      </c>
      <c r="AI8" s="89">
        <v>0</v>
      </c>
      <c r="AJ8" s="112">
        <f t="shared" si="15"/>
        <v>0</v>
      </c>
      <c r="AK8" s="89">
        <v>0</v>
      </c>
      <c r="AL8" s="112">
        <f t="shared" si="16"/>
        <v>0</v>
      </c>
      <c r="AM8" s="89">
        <v>0</v>
      </c>
      <c r="AN8" s="112">
        <f t="shared" si="17"/>
        <v>0</v>
      </c>
      <c r="AO8" s="89">
        <v>0</v>
      </c>
      <c r="AP8" s="112">
        <f t="shared" si="18"/>
        <v>0</v>
      </c>
      <c r="AQ8" s="89">
        <f t="shared" si="2"/>
        <v>0</v>
      </c>
      <c r="AR8" s="113">
        <f t="shared" si="19"/>
        <v>0</v>
      </c>
      <c r="AS8" s="89">
        <v>0</v>
      </c>
      <c r="AT8" s="112">
        <f t="shared" si="20"/>
        <v>0</v>
      </c>
      <c r="AU8" s="89">
        <v>0</v>
      </c>
      <c r="AV8" s="112">
        <f t="shared" si="21"/>
        <v>0</v>
      </c>
      <c r="AW8" s="89">
        <v>0</v>
      </c>
      <c r="AX8" s="112">
        <f t="shared" si="22"/>
        <v>0</v>
      </c>
      <c r="AY8" s="89">
        <v>0</v>
      </c>
      <c r="AZ8" s="112">
        <f t="shared" si="23"/>
        <v>0</v>
      </c>
      <c r="BA8" s="89">
        <v>0</v>
      </c>
      <c r="BB8" s="112">
        <f t="shared" si="24"/>
        <v>0</v>
      </c>
      <c r="BC8" s="89">
        <v>0</v>
      </c>
      <c r="BD8" s="112">
        <f t="shared" si="25"/>
        <v>0</v>
      </c>
      <c r="BE8" s="89">
        <f t="shared" si="3"/>
        <v>0</v>
      </c>
      <c r="BF8" s="113">
        <f t="shared" si="26"/>
        <v>0</v>
      </c>
      <c r="BG8" s="89">
        <v>0</v>
      </c>
      <c r="BH8" s="112">
        <f t="shared" si="27"/>
        <v>0</v>
      </c>
      <c r="BI8" s="89">
        <v>0</v>
      </c>
      <c r="BJ8" s="112">
        <f t="shared" si="28"/>
        <v>0</v>
      </c>
      <c r="BK8" s="89">
        <v>0</v>
      </c>
      <c r="BL8" s="112">
        <f t="shared" si="29"/>
        <v>0</v>
      </c>
      <c r="BM8" s="89">
        <v>0</v>
      </c>
      <c r="BN8" s="112">
        <f t="shared" si="30"/>
        <v>0</v>
      </c>
      <c r="BO8" s="89">
        <v>0</v>
      </c>
      <c r="BP8" s="112">
        <f t="shared" si="31"/>
        <v>0</v>
      </c>
      <c r="BQ8" s="89">
        <v>0</v>
      </c>
      <c r="BR8" s="112">
        <f t="shared" si="32"/>
        <v>0</v>
      </c>
      <c r="BS8" s="89">
        <f t="shared" si="4"/>
        <v>0</v>
      </c>
      <c r="BT8" s="113">
        <f t="shared" si="33"/>
        <v>0</v>
      </c>
      <c r="BU8" s="89">
        <v>0</v>
      </c>
      <c r="BV8" s="112">
        <f t="shared" si="34"/>
        <v>0</v>
      </c>
      <c r="BW8" s="89">
        <v>0</v>
      </c>
      <c r="BX8" s="112">
        <f t="shared" si="35"/>
        <v>0</v>
      </c>
      <c r="BY8" s="89">
        <v>0</v>
      </c>
      <c r="BZ8" s="112">
        <f t="shared" si="36"/>
        <v>0</v>
      </c>
      <c r="CA8" s="89">
        <v>0</v>
      </c>
      <c r="CB8" s="112">
        <f t="shared" si="37"/>
        <v>0</v>
      </c>
      <c r="CC8" s="89">
        <v>0</v>
      </c>
      <c r="CD8" s="112">
        <f t="shared" si="38"/>
        <v>0</v>
      </c>
      <c r="CE8" s="89">
        <v>0</v>
      </c>
      <c r="CF8" s="112">
        <f t="shared" si="39"/>
        <v>0</v>
      </c>
      <c r="CG8" s="89">
        <f t="shared" si="5"/>
        <v>0</v>
      </c>
      <c r="CH8" s="113">
        <f t="shared" si="40"/>
        <v>0</v>
      </c>
      <c r="CI8" s="89">
        <v>0</v>
      </c>
      <c r="CJ8" s="112">
        <f t="shared" si="41"/>
        <v>0</v>
      </c>
      <c r="CK8" s="89">
        <v>0</v>
      </c>
      <c r="CL8" s="112">
        <f t="shared" si="42"/>
        <v>0</v>
      </c>
      <c r="CM8" s="89">
        <v>0</v>
      </c>
      <c r="CN8" s="112">
        <f t="shared" si="43"/>
        <v>0</v>
      </c>
      <c r="CO8" s="89">
        <v>0</v>
      </c>
      <c r="CP8" s="112">
        <f t="shared" si="44"/>
        <v>0</v>
      </c>
      <c r="CQ8" s="89">
        <v>0</v>
      </c>
      <c r="CR8" s="112">
        <f t="shared" si="45"/>
        <v>0</v>
      </c>
      <c r="CS8" s="89">
        <v>0</v>
      </c>
      <c r="CT8" s="112">
        <f t="shared" si="46"/>
        <v>0</v>
      </c>
      <c r="CU8" s="89">
        <f t="shared" si="6"/>
        <v>0</v>
      </c>
      <c r="CV8" s="113">
        <f t="shared" si="47"/>
        <v>0</v>
      </c>
    </row>
    <row r="9" spans="1:100" ht="19.95" customHeight="1">
      <c r="B9" s="86"/>
      <c r="C9" s="88">
        <v>4</v>
      </c>
      <c r="D9" s="1" t="s">
        <v>192</v>
      </c>
      <c r="E9" s="88">
        <v>35</v>
      </c>
      <c r="F9" s="88">
        <v>2.15</v>
      </c>
      <c r="G9" s="89">
        <f>E9*F9</f>
        <v>75.25</v>
      </c>
      <c r="H9" s="90"/>
      <c r="I9" s="91"/>
      <c r="J9" s="90"/>
      <c r="K9" s="91"/>
      <c r="L9" s="95">
        <f>G9-K9</f>
        <v>75.25</v>
      </c>
      <c r="M9" s="89"/>
      <c r="N9" s="1"/>
      <c r="O9" s="89"/>
      <c r="P9" s="89">
        <f t="shared" si="0"/>
        <v>75.25</v>
      </c>
      <c r="Q9" s="89">
        <v>0</v>
      </c>
      <c r="R9" s="112">
        <f t="shared" si="7"/>
        <v>0</v>
      </c>
      <c r="S9" s="89">
        <v>0</v>
      </c>
      <c r="T9" s="112">
        <f t="shared" si="7"/>
        <v>0</v>
      </c>
      <c r="U9" s="89">
        <v>0</v>
      </c>
      <c r="V9" s="112">
        <f t="shared" si="8"/>
        <v>0</v>
      </c>
      <c r="W9" s="89">
        <v>0</v>
      </c>
      <c r="X9" s="112">
        <f t="shared" si="9"/>
        <v>0</v>
      </c>
      <c r="Y9" s="89">
        <v>0</v>
      </c>
      <c r="Z9" s="112">
        <f t="shared" si="10"/>
        <v>0</v>
      </c>
      <c r="AA9" s="89">
        <v>0</v>
      </c>
      <c r="AB9" s="112">
        <f t="shared" si="11"/>
        <v>0</v>
      </c>
      <c r="AC9" s="89">
        <f t="shared" si="1"/>
        <v>0</v>
      </c>
      <c r="AD9" s="113">
        <f t="shared" si="12"/>
        <v>0</v>
      </c>
      <c r="AE9" s="89">
        <v>0</v>
      </c>
      <c r="AF9" s="112">
        <f t="shared" si="13"/>
        <v>0</v>
      </c>
      <c r="AG9" s="89">
        <v>0</v>
      </c>
      <c r="AH9" s="112">
        <f t="shared" si="14"/>
        <v>0</v>
      </c>
      <c r="AI9" s="89">
        <v>0</v>
      </c>
      <c r="AJ9" s="112">
        <f t="shared" si="15"/>
        <v>0</v>
      </c>
      <c r="AK9" s="89">
        <v>0</v>
      </c>
      <c r="AL9" s="112">
        <f t="shared" si="16"/>
        <v>0</v>
      </c>
      <c r="AM9" s="89">
        <v>0</v>
      </c>
      <c r="AN9" s="112">
        <f t="shared" si="17"/>
        <v>0</v>
      </c>
      <c r="AO9" s="89">
        <v>0</v>
      </c>
      <c r="AP9" s="112">
        <f t="shared" si="18"/>
        <v>0</v>
      </c>
      <c r="AQ9" s="89">
        <f t="shared" si="2"/>
        <v>0</v>
      </c>
      <c r="AR9" s="113">
        <f t="shared" si="19"/>
        <v>0</v>
      </c>
      <c r="AS9" s="89">
        <v>0</v>
      </c>
      <c r="AT9" s="112">
        <f t="shared" si="20"/>
        <v>0</v>
      </c>
      <c r="AU9" s="89">
        <v>0</v>
      </c>
      <c r="AV9" s="112">
        <f t="shared" si="21"/>
        <v>0</v>
      </c>
      <c r="AW9" s="89">
        <v>0</v>
      </c>
      <c r="AX9" s="112">
        <f t="shared" si="22"/>
        <v>0</v>
      </c>
      <c r="AY9" s="89">
        <v>0</v>
      </c>
      <c r="AZ9" s="112">
        <f t="shared" si="23"/>
        <v>0</v>
      </c>
      <c r="BA9" s="89">
        <v>0</v>
      </c>
      <c r="BB9" s="112">
        <f t="shared" si="24"/>
        <v>0</v>
      </c>
      <c r="BC9" s="89">
        <v>0</v>
      </c>
      <c r="BD9" s="112">
        <f t="shared" si="25"/>
        <v>0</v>
      </c>
      <c r="BE9" s="89">
        <f t="shared" si="3"/>
        <v>0</v>
      </c>
      <c r="BF9" s="113">
        <f t="shared" si="26"/>
        <v>0</v>
      </c>
      <c r="BG9" s="89">
        <v>0</v>
      </c>
      <c r="BH9" s="112">
        <f t="shared" si="27"/>
        <v>0</v>
      </c>
      <c r="BI9" s="89">
        <v>0</v>
      </c>
      <c r="BJ9" s="112">
        <f t="shared" si="28"/>
        <v>0</v>
      </c>
      <c r="BK9" s="89">
        <v>0</v>
      </c>
      <c r="BL9" s="112">
        <f t="shared" si="29"/>
        <v>0</v>
      </c>
      <c r="BM9" s="89">
        <v>0</v>
      </c>
      <c r="BN9" s="112">
        <f t="shared" si="30"/>
        <v>0</v>
      </c>
      <c r="BO9" s="89">
        <v>0</v>
      </c>
      <c r="BP9" s="112">
        <f t="shared" si="31"/>
        <v>0</v>
      </c>
      <c r="BQ9" s="89">
        <v>0</v>
      </c>
      <c r="BR9" s="112">
        <f t="shared" si="32"/>
        <v>0</v>
      </c>
      <c r="BS9" s="89">
        <f t="shared" si="4"/>
        <v>0</v>
      </c>
      <c r="BT9" s="113">
        <f t="shared" si="33"/>
        <v>0</v>
      </c>
      <c r="BU9" s="89">
        <v>0</v>
      </c>
      <c r="BV9" s="112">
        <f t="shared" si="34"/>
        <v>0</v>
      </c>
      <c r="BW9" s="89">
        <v>0</v>
      </c>
      <c r="BX9" s="112">
        <f t="shared" si="35"/>
        <v>0</v>
      </c>
      <c r="BY9" s="89">
        <v>0</v>
      </c>
      <c r="BZ9" s="112">
        <f t="shared" si="36"/>
        <v>0</v>
      </c>
      <c r="CA9" s="89">
        <v>0</v>
      </c>
      <c r="CB9" s="112">
        <f t="shared" si="37"/>
        <v>0</v>
      </c>
      <c r="CC9" s="89">
        <v>0</v>
      </c>
      <c r="CD9" s="112">
        <f t="shared" si="38"/>
        <v>0</v>
      </c>
      <c r="CE9" s="89">
        <v>0</v>
      </c>
      <c r="CF9" s="112">
        <f t="shared" si="39"/>
        <v>0</v>
      </c>
      <c r="CG9" s="89">
        <f t="shared" si="5"/>
        <v>0</v>
      </c>
      <c r="CH9" s="113">
        <f t="shared" si="40"/>
        <v>0</v>
      </c>
      <c r="CI9" s="89">
        <v>0</v>
      </c>
      <c r="CJ9" s="112">
        <f t="shared" si="41"/>
        <v>0</v>
      </c>
      <c r="CK9" s="89">
        <v>0</v>
      </c>
      <c r="CL9" s="112">
        <f t="shared" si="42"/>
        <v>0</v>
      </c>
      <c r="CM9" s="89">
        <v>0</v>
      </c>
      <c r="CN9" s="112">
        <f t="shared" si="43"/>
        <v>0</v>
      </c>
      <c r="CO9" s="89">
        <v>0</v>
      </c>
      <c r="CP9" s="112">
        <f t="shared" si="44"/>
        <v>0</v>
      </c>
      <c r="CQ9" s="89">
        <v>0</v>
      </c>
      <c r="CR9" s="112">
        <f t="shared" si="45"/>
        <v>0</v>
      </c>
      <c r="CS9" s="89">
        <v>0</v>
      </c>
      <c r="CT9" s="112">
        <f t="shared" si="46"/>
        <v>0</v>
      </c>
      <c r="CU9" s="89">
        <f t="shared" si="6"/>
        <v>0</v>
      </c>
      <c r="CV9" s="113">
        <f t="shared" si="47"/>
        <v>0</v>
      </c>
    </row>
    <row r="10" spans="1:100" ht="19.95" customHeight="1">
      <c r="B10" s="86"/>
      <c r="C10" s="88">
        <v>5</v>
      </c>
      <c r="D10" s="1" t="s">
        <v>192</v>
      </c>
      <c r="E10" s="88">
        <f>E8</f>
        <v>35</v>
      </c>
      <c r="F10" s="88">
        <v>1.8</v>
      </c>
      <c r="G10" s="89">
        <f t="shared" ref="G10:G11" si="48">E10*F10</f>
        <v>63</v>
      </c>
      <c r="H10" s="90"/>
      <c r="I10" s="91"/>
      <c r="J10" s="90"/>
      <c r="K10" s="91"/>
      <c r="L10" s="95">
        <f>G10-K10</f>
        <v>63</v>
      </c>
      <c r="M10" s="89"/>
      <c r="N10" s="1"/>
      <c r="O10" s="89"/>
      <c r="P10" s="89">
        <f t="shared" si="0"/>
        <v>63</v>
      </c>
      <c r="Q10" s="89">
        <v>0</v>
      </c>
      <c r="R10" s="112">
        <f t="shared" si="7"/>
        <v>0</v>
      </c>
      <c r="S10" s="89">
        <v>0</v>
      </c>
      <c r="T10" s="112">
        <f t="shared" si="7"/>
        <v>0</v>
      </c>
      <c r="U10" s="89">
        <v>0</v>
      </c>
      <c r="V10" s="112">
        <f t="shared" si="8"/>
        <v>0</v>
      </c>
      <c r="W10" s="89">
        <v>0</v>
      </c>
      <c r="X10" s="112">
        <f t="shared" si="9"/>
        <v>0</v>
      </c>
      <c r="Y10" s="89">
        <v>0</v>
      </c>
      <c r="Z10" s="112">
        <f t="shared" si="10"/>
        <v>0</v>
      </c>
      <c r="AA10" s="89">
        <v>0</v>
      </c>
      <c r="AB10" s="112">
        <f t="shared" si="11"/>
        <v>0</v>
      </c>
      <c r="AC10" s="89">
        <f t="shared" si="1"/>
        <v>0</v>
      </c>
      <c r="AD10" s="113">
        <f t="shared" si="12"/>
        <v>0</v>
      </c>
      <c r="AE10" s="89">
        <v>0</v>
      </c>
      <c r="AF10" s="112">
        <f t="shared" si="13"/>
        <v>0</v>
      </c>
      <c r="AG10" s="89">
        <v>0</v>
      </c>
      <c r="AH10" s="112">
        <f t="shared" si="14"/>
        <v>0</v>
      </c>
      <c r="AI10" s="89">
        <v>0</v>
      </c>
      <c r="AJ10" s="112">
        <f t="shared" si="15"/>
        <v>0</v>
      </c>
      <c r="AK10" s="89">
        <v>0</v>
      </c>
      <c r="AL10" s="112">
        <f t="shared" si="16"/>
        <v>0</v>
      </c>
      <c r="AM10" s="89">
        <v>0</v>
      </c>
      <c r="AN10" s="112">
        <f t="shared" si="17"/>
        <v>0</v>
      </c>
      <c r="AO10" s="89">
        <v>0</v>
      </c>
      <c r="AP10" s="112">
        <f t="shared" si="18"/>
        <v>0</v>
      </c>
      <c r="AQ10" s="89">
        <f t="shared" si="2"/>
        <v>0</v>
      </c>
      <c r="AR10" s="113">
        <f t="shared" si="19"/>
        <v>0</v>
      </c>
      <c r="AS10" s="89">
        <v>0</v>
      </c>
      <c r="AT10" s="112">
        <f t="shared" si="20"/>
        <v>0</v>
      </c>
      <c r="AU10" s="89">
        <v>0</v>
      </c>
      <c r="AV10" s="112">
        <f t="shared" si="21"/>
        <v>0</v>
      </c>
      <c r="AW10" s="89">
        <v>0</v>
      </c>
      <c r="AX10" s="112">
        <f t="shared" si="22"/>
        <v>0</v>
      </c>
      <c r="AY10" s="89">
        <v>0</v>
      </c>
      <c r="AZ10" s="112">
        <f t="shared" si="23"/>
        <v>0</v>
      </c>
      <c r="BA10" s="89">
        <v>0</v>
      </c>
      <c r="BB10" s="112">
        <f t="shared" si="24"/>
        <v>0</v>
      </c>
      <c r="BC10" s="89">
        <v>0</v>
      </c>
      <c r="BD10" s="112">
        <f t="shared" si="25"/>
        <v>0</v>
      </c>
      <c r="BE10" s="89">
        <f t="shared" si="3"/>
        <v>0</v>
      </c>
      <c r="BF10" s="113">
        <f t="shared" si="26"/>
        <v>0</v>
      </c>
      <c r="BG10" s="89">
        <v>0</v>
      </c>
      <c r="BH10" s="112">
        <f t="shared" si="27"/>
        <v>0</v>
      </c>
      <c r="BI10" s="89">
        <v>0</v>
      </c>
      <c r="BJ10" s="112">
        <f t="shared" si="28"/>
        <v>0</v>
      </c>
      <c r="BK10" s="89">
        <v>0</v>
      </c>
      <c r="BL10" s="112">
        <f t="shared" si="29"/>
        <v>0</v>
      </c>
      <c r="BM10" s="89">
        <v>0</v>
      </c>
      <c r="BN10" s="112">
        <f t="shared" si="30"/>
        <v>0</v>
      </c>
      <c r="BO10" s="89">
        <v>0</v>
      </c>
      <c r="BP10" s="112">
        <f t="shared" si="31"/>
        <v>0</v>
      </c>
      <c r="BQ10" s="89">
        <v>0</v>
      </c>
      <c r="BR10" s="112">
        <f t="shared" si="32"/>
        <v>0</v>
      </c>
      <c r="BS10" s="89">
        <f t="shared" si="4"/>
        <v>0</v>
      </c>
      <c r="BT10" s="113">
        <f t="shared" si="33"/>
        <v>0</v>
      </c>
      <c r="BU10" s="89">
        <v>0</v>
      </c>
      <c r="BV10" s="112">
        <f t="shared" si="34"/>
        <v>0</v>
      </c>
      <c r="BW10" s="89">
        <v>0</v>
      </c>
      <c r="BX10" s="112">
        <f t="shared" si="35"/>
        <v>0</v>
      </c>
      <c r="BY10" s="89">
        <v>0</v>
      </c>
      <c r="BZ10" s="112">
        <f t="shared" si="36"/>
        <v>0</v>
      </c>
      <c r="CA10" s="89">
        <v>0</v>
      </c>
      <c r="CB10" s="112">
        <f t="shared" si="37"/>
        <v>0</v>
      </c>
      <c r="CC10" s="89">
        <v>0</v>
      </c>
      <c r="CD10" s="112">
        <f t="shared" si="38"/>
        <v>0</v>
      </c>
      <c r="CE10" s="89">
        <v>0</v>
      </c>
      <c r="CF10" s="112">
        <f t="shared" si="39"/>
        <v>0</v>
      </c>
      <c r="CG10" s="89">
        <f t="shared" si="5"/>
        <v>0</v>
      </c>
      <c r="CH10" s="113">
        <f t="shared" si="40"/>
        <v>0</v>
      </c>
      <c r="CI10" s="89">
        <v>0</v>
      </c>
      <c r="CJ10" s="112">
        <f t="shared" si="41"/>
        <v>0</v>
      </c>
      <c r="CK10" s="89">
        <v>0</v>
      </c>
      <c r="CL10" s="112">
        <f t="shared" si="42"/>
        <v>0</v>
      </c>
      <c r="CM10" s="89">
        <v>0</v>
      </c>
      <c r="CN10" s="112">
        <f t="shared" si="43"/>
        <v>0</v>
      </c>
      <c r="CO10" s="89">
        <v>0</v>
      </c>
      <c r="CP10" s="112">
        <f t="shared" si="44"/>
        <v>0</v>
      </c>
      <c r="CQ10" s="89">
        <v>0</v>
      </c>
      <c r="CR10" s="112">
        <f t="shared" si="45"/>
        <v>0</v>
      </c>
      <c r="CS10" s="89">
        <v>0</v>
      </c>
      <c r="CT10" s="112">
        <f t="shared" si="46"/>
        <v>0</v>
      </c>
      <c r="CU10" s="89">
        <f t="shared" si="6"/>
        <v>0</v>
      </c>
      <c r="CV10" s="113">
        <f t="shared" si="47"/>
        <v>0</v>
      </c>
    </row>
    <row r="11" spans="1:100" ht="19.95" customHeight="1">
      <c r="B11" s="86"/>
      <c r="C11" s="88">
        <v>6</v>
      </c>
      <c r="D11" s="1" t="s">
        <v>192</v>
      </c>
      <c r="E11" s="88">
        <f>E8</f>
        <v>35</v>
      </c>
      <c r="F11" s="88">
        <v>2.0499999999999998</v>
      </c>
      <c r="G11" s="89">
        <f t="shared" si="48"/>
        <v>71.75</v>
      </c>
      <c r="H11" s="90"/>
      <c r="I11" s="91"/>
      <c r="J11" s="90"/>
      <c r="K11" s="91"/>
      <c r="L11" s="95">
        <f>G11-K11</f>
        <v>71.75</v>
      </c>
      <c r="M11" s="89"/>
      <c r="N11" s="1"/>
      <c r="O11" s="89"/>
      <c r="P11" s="89">
        <f t="shared" si="0"/>
        <v>71.75</v>
      </c>
      <c r="Q11" s="89">
        <v>0</v>
      </c>
      <c r="R11" s="112">
        <f t="shared" si="7"/>
        <v>0</v>
      </c>
      <c r="S11" s="89">
        <v>0</v>
      </c>
      <c r="T11" s="112">
        <f t="shared" si="7"/>
        <v>0</v>
      </c>
      <c r="U11" s="89">
        <v>0</v>
      </c>
      <c r="V11" s="112">
        <f t="shared" si="8"/>
        <v>0</v>
      </c>
      <c r="W11" s="89">
        <v>0</v>
      </c>
      <c r="X11" s="112">
        <f t="shared" si="9"/>
        <v>0</v>
      </c>
      <c r="Y11" s="89">
        <v>0</v>
      </c>
      <c r="Z11" s="112">
        <f t="shared" si="10"/>
        <v>0</v>
      </c>
      <c r="AA11" s="89">
        <v>0</v>
      </c>
      <c r="AB11" s="112">
        <f t="shared" si="11"/>
        <v>0</v>
      </c>
      <c r="AC11" s="89">
        <f t="shared" si="1"/>
        <v>0</v>
      </c>
      <c r="AD11" s="113">
        <f t="shared" si="12"/>
        <v>0</v>
      </c>
      <c r="AE11" s="89">
        <v>0</v>
      </c>
      <c r="AF11" s="112">
        <f t="shared" si="13"/>
        <v>0</v>
      </c>
      <c r="AG11" s="89">
        <v>0</v>
      </c>
      <c r="AH11" s="112">
        <f t="shared" si="14"/>
        <v>0</v>
      </c>
      <c r="AI11" s="89">
        <v>0</v>
      </c>
      <c r="AJ11" s="112">
        <f t="shared" si="15"/>
        <v>0</v>
      </c>
      <c r="AK11" s="89">
        <v>0</v>
      </c>
      <c r="AL11" s="112">
        <f t="shared" si="16"/>
        <v>0</v>
      </c>
      <c r="AM11" s="89">
        <v>0</v>
      </c>
      <c r="AN11" s="112">
        <f t="shared" si="17"/>
        <v>0</v>
      </c>
      <c r="AO11" s="89">
        <v>0</v>
      </c>
      <c r="AP11" s="112">
        <f t="shared" si="18"/>
        <v>0</v>
      </c>
      <c r="AQ11" s="89">
        <f t="shared" si="2"/>
        <v>0</v>
      </c>
      <c r="AR11" s="113">
        <f t="shared" si="19"/>
        <v>0</v>
      </c>
      <c r="AS11" s="89">
        <v>0</v>
      </c>
      <c r="AT11" s="112">
        <f t="shared" si="20"/>
        <v>0</v>
      </c>
      <c r="AU11" s="89">
        <v>0</v>
      </c>
      <c r="AV11" s="112">
        <f t="shared" si="21"/>
        <v>0</v>
      </c>
      <c r="AW11" s="89">
        <v>0</v>
      </c>
      <c r="AX11" s="112">
        <f t="shared" si="22"/>
        <v>0</v>
      </c>
      <c r="AY11" s="89">
        <v>0</v>
      </c>
      <c r="AZ11" s="112">
        <f t="shared" si="23"/>
        <v>0</v>
      </c>
      <c r="BA11" s="89">
        <v>0</v>
      </c>
      <c r="BB11" s="112">
        <f t="shared" si="24"/>
        <v>0</v>
      </c>
      <c r="BC11" s="89">
        <v>0</v>
      </c>
      <c r="BD11" s="112">
        <f t="shared" si="25"/>
        <v>0</v>
      </c>
      <c r="BE11" s="89">
        <f t="shared" si="3"/>
        <v>0</v>
      </c>
      <c r="BF11" s="113">
        <f t="shared" si="26"/>
        <v>0</v>
      </c>
      <c r="BG11" s="89">
        <v>0</v>
      </c>
      <c r="BH11" s="112">
        <f t="shared" si="27"/>
        <v>0</v>
      </c>
      <c r="BI11" s="89">
        <v>0</v>
      </c>
      <c r="BJ11" s="112">
        <f t="shared" si="28"/>
        <v>0</v>
      </c>
      <c r="BK11" s="89">
        <v>0</v>
      </c>
      <c r="BL11" s="112">
        <f t="shared" si="29"/>
        <v>0</v>
      </c>
      <c r="BM11" s="89">
        <v>0</v>
      </c>
      <c r="BN11" s="112">
        <f t="shared" si="30"/>
        <v>0</v>
      </c>
      <c r="BO11" s="89">
        <v>0</v>
      </c>
      <c r="BP11" s="112">
        <f t="shared" si="31"/>
        <v>0</v>
      </c>
      <c r="BQ11" s="89">
        <v>0</v>
      </c>
      <c r="BR11" s="112">
        <f t="shared" si="32"/>
        <v>0</v>
      </c>
      <c r="BS11" s="89">
        <f t="shared" si="4"/>
        <v>0</v>
      </c>
      <c r="BT11" s="113">
        <f t="shared" si="33"/>
        <v>0</v>
      </c>
      <c r="BU11" s="89">
        <v>0</v>
      </c>
      <c r="BV11" s="112">
        <f t="shared" si="34"/>
        <v>0</v>
      </c>
      <c r="BW11" s="89">
        <v>0</v>
      </c>
      <c r="BX11" s="112">
        <f t="shared" si="35"/>
        <v>0</v>
      </c>
      <c r="BY11" s="89">
        <v>0</v>
      </c>
      <c r="BZ11" s="112">
        <f t="shared" si="36"/>
        <v>0</v>
      </c>
      <c r="CA11" s="89">
        <v>0</v>
      </c>
      <c r="CB11" s="112">
        <f t="shared" si="37"/>
        <v>0</v>
      </c>
      <c r="CC11" s="89">
        <v>0</v>
      </c>
      <c r="CD11" s="112">
        <f t="shared" si="38"/>
        <v>0</v>
      </c>
      <c r="CE11" s="89">
        <v>0</v>
      </c>
      <c r="CF11" s="112">
        <f t="shared" si="39"/>
        <v>0</v>
      </c>
      <c r="CG11" s="89">
        <f t="shared" si="5"/>
        <v>0</v>
      </c>
      <c r="CH11" s="113">
        <f t="shared" si="40"/>
        <v>0</v>
      </c>
      <c r="CI11" s="89">
        <v>0</v>
      </c>
      <c r="CJ11" s="112">
        <f t="shared" si="41"/>
        <v>0</v>
      </c>
      <c r="CK11" s="89">
        <v>0</v>
      </c>
      <c r="CL11" s="112">
        <f t="shared" si="42"/>
        <v>0</v>
      </c>
      <c r="CM11" s="89">
        <v>0</v>
      </c>
      <c r="CN11" s="112">
        <f t="shared" si="43"/>
        <v>0</v>
      </c>
      <c r="CO11" s="89">
        <v>0</v>
      </c>
      <c r="CP11" s="112">
        <f t="shared" si="44"/>
        <v>0</v>
      </c>
      <c r="CQ11" s="89">
        <v>0</v>
      </c>
      <c r="CR11" s="112">
        <f t="shared" si="45"/>
        <v>0</v>
      </c>
      <c r="CS11" s="89">
        <v>0</v>
      </c>
      <c r="CT11" s="112">
        <f t="shared" si="46"/>
        <v>0</v>
      </c>
      <c r="CU11" s="89">
        <f t="shared" si="6"/>
        <v>0</v>
      </c>
      <c r="CV11" s="113">
        <f t="shared" si="47"/>
        <v>0</v>
      </c>
    </row>
    <row r="12" spans="1:100" ht="19.95" customHeight="1">
      <c r="B12" s="86"/>
      <c r="C12" s="88">
        <v>7</v>
      </c>
      <c r="D12" s="1" t="s">
        <v>194</v>
      </c>
      <c r="E12" s="88">
        <v>0.5</v>
      </c>
      <c r="F12" s="88">
        <v>1.44</v>
      </c>
      <c r="G12" s="89">
        <f>E12*F12*14</f>
        <v>10.08</v>
      </c>
      <c r="H12" s="90"/>
      <c r="I12" s="90"/>
      <c r="J12" s="90"/>
      <c r="K12" s="91"/>
      <c r="L12" s="95">
        <f>G12-K12</f>
        <v>10.08</v>
      </c>
      <c r="O12" s="89"/>
      <c r="P12" s="89">
        <f t="shared" si="0"/>
        <v>10.08</v>
      </c>
      <c r="Q12" s="89">
        <v>0</v>
      </c>
      <c r="R12" s="112">
        <f t="shared" si="7"/>
        <v>0</v>
      </c>
      <c r="S12" s="89">
        <v>0</v>
      </c>
      <c r="T12" s="112">
        <f t="shared" si="7"/>
        <v>0</v>
      </c>
      <c r="U12" s="89">
        <v>0</v>
      </c>
      <c r="V12" s="112">
        <f t="shared" si="8"/>
        <v>0</v>
      </c>
      <c r="W12" s="89">
        <v>0</v>
      </c>
      <c r="X12" s="112">
        <f t="shared" si="9"/>
        <v>0</v>
      </c>
      <c r="Y12" s="89">
        <v>0</v>
      </c>
      <c r="Z12" s="112">
        <f t="shared" si="10"/>
        <v>0</v>
      </c>
      <c r="AA12" s="89">
        <v>0</v>
      </c>
      <c r="AB12" s="112">
        <f t="shared" si="11"/>
        <v>0</v>
      </c>
      <c r="AC12" s="89">
        <f t="shared" si="1"/>
        <v>0</v>
      </c>
      <c r="AD12" s="113">
        <f t="shared" si="12"/>
        <v>0</v>
      </c>
      <c r="AE12" s="89">
        <v>0</v>
      </c>
      <c r="AF12" s="112">
        <f t="shared" si="13"/>
        <v>0</v>
      </c>
      <c r="AG12" s="89">
        <v>0</v>
      </c>
      <c r="AH12" s="112">
        <f t="shared" si="14"/>
        <v>0</v>
      </c>
      <c r="AI12" s="89">
        <v>0</v>
      </c>
      <c r="AJ12" s="112">
        <f t="shared" si="15"/>
        <v>0</v>
      </c>
      <c r="AK12" s="89">
        <v>0</v>
      </c>
      <c r="AL12" s="112">
        <f t="shared" si="16"/>
        <v>0</v>
      </c>
      <c r="AM12" s="89">
        <v>0</v>
      </c>
      <c r="AN12" s="112">
        <f t="shared" si="17"/>
        <v>0</v>
      </c>
      <c r="AO12" s="89">
        <v>0</v>
      </c>
      <c r="AP12" s="112">
        <f t="shared" si="18"/>
        <v>0</v>
      </c>
      <c r="AQ12" s="89">
        <f t="shared" si="2"/>
        <v>0</v>
      </c>
      <c r="AR12" s="113">
        <f t="shared" si="19"/>
        <v>0</v>
      </c>
      <c r="AS12" s="89">
        <v>0</v>
      </c>
      <c r="AT12" s="112">
        <f t="shared" si="20"/>
        <v>0</v>
      </c>
      <c r="AU12" s="89">
        <v>0</v>
      </c>
      <c r="AV12" s="112">
        <f t="shared" si="21"/>
        <v>0</v>
      </c>
      <c r="AW12" s="89">
        <v>0</v>
      </c>
      <c r="AX12" s="112">
        <f t="shared" si="22"/>
        <v>0</v>
      </c>
      <c r="AY12" s="89">
        <v>0</v>
      </c>
      <c r="AZ12" s="112">
        <f t="shared" si="23"/>
        <v>0</v>
      </c>
      <c r="BA12" s="89">
        <v>0</v>
      </c>
      <c r="BB12" s="112">
        <f t="shared" si="24"/>
        <v>0</v>
      </c>
      <c r="BC12" s="89">
        <v>0</v>
      </c>
      <c r="BD12" s="112">
        <f t="shared" si="25"/>
        <v>0</v>
      </c>
      <c r="BE12" s="89">
        <f t="shared" si="3"/>
        <v>0</v>
      </c>
      <c r="BF12" s="113">
        <f t="shared" si="26"/>
        <v>0</v>
      </c>
      <c r="BG12" s="89">
        <v>0</v>
      </c>
      <c r="BH12" s="112">
        <f t="shared" si="27"/>
        <v>0</v>
      </c>
      <c r="BI12" s="89">
        <v>0</v>
      </c>
      <c r="BJ12" s="112">
        <f t="shared" si="28"/>
        <v>0</v>
      </c>
      <c r="BK12" s="89">
        <v>0</v>
      </c>
      <c r="BL12" s="112">
        <f t="shared" si="29"/>
        <v>0</v>
      </c>
      <c r="BM12" s="89">
        <v>0</v>
      </c>
      <c r="BN12" s="112">
        <f t="shared" si="30"/>
        <v>0</v>
      </c>
      <c r="BO12" s="89">
        <v>0</v>
      </c>
      <c r="BP12" s="112">
        <f t="shared" si="31"/>
        <v>0</v>
      </c>
      <c r="BQ12" s="89">
        <v>0</v>
      </c>
      <c r="BR12" s="112">
        <f t="shared" si="32"/>
        <v>0</v>
      </c>
      <c r="BS12" s="89">
        <f t="shared" si="4"/>
        <v>0</v>
      </c>
      <c r="BT12" s="113">
        <f t="shared" si="33"/>
        <v>0</v>
      </c>
      <c r="BU12" s="89">
        <v>0</v>
      </c>
      <c r="BV12" s="112">
        <f t="shared" si="34"/>
        <v>0</v>
      </c>
      <c r="BW12" s="89">
        <v>0</v>
      </c>
      <c r="BX12" s="112">
        <f t="shared" si="35"/>
        <v>0</v>
      </c>
      <c r="BY12" s="89">
        <v>0</v>
      </c>
      <c r="BZ12" s="112">
        <f t="shared" si="36"/>
        <v>0</v>
      </c>
      <c r="CA12" s="89">
        <v>0</v>
      </c>
      <c r="CB12" s="112">
        <f t="shared" si="37"/>
        <v>0</v>
      </c>
      <c r="CC12" s="89">
        <v>0</v>
      </c>
      <c r="CD12" s="112">
        <f t="shared" si="38"/>
        <v>0</v>
      </c>
      <c r="CE12" s="89">
        <v>0</v>
      </c>
      <c r="CF12" s="112">
        <f t="shared" si="39"/>
        <v>0</v>
      </c>
      <c r="CG12" s="89">
        <f t="shared" si="5"/>
        <v>0</v>
      </c>
      <c r="CH12" s="113">
        <f t="shared" si="40"/>
        <v>0</v>
      </c>
      <c r="CI12" s="89">
        <v>0</v>
      </c>
      <c r="CJ12" s="112">
        <f t="shared" si="41"/>
        <v>0</v>
      </c>
      <c r="CK12" s="89">
        <v>0</v>
      </c>
      <c r="CL12" s="112">
        <f t="shared" si="42"/>
        <v>0</v>
      </c>
      <c r="CM12" s="89">
        <v>0</v>
      </c>
      <c r="CN12" s="112">
        <f t="shared" si="43"/>
        <v>0</v>
      </c>
      <c r="CO12" s="89">
        <v>0</v>
      </c>
      <c r="CP12" s="112">
        <f t="shared" si="44"/>
        <v>0</v>
      </c>
      <c r="CQ12" s="89">
        <v>0</v>
      </c>
      <c r="CR12" s="112">
        <f t="shared" si="45"/>
        <v>0</v>
      </c>
      <c r="CS12" s="89">
        <v>0</v>
      </c>
      <c r="CT12" s="112">
        <f t="shared" si="46"/>
        <v>0</v>
      </c>
      <c r="CU12" s="89">
        <f t="shared" si="6"/>
        <v>0</v>
      </c>
      <c r="CV12" s="113">
        <f t="shared" si="47"/>
        <v>0</v>
      </c>
    </row>
    <row r="13" spans="1:100" ht="19.95" customHeight="1">
      <c r="B13" s="86"/>
      <c r="C13" s="88">
        <v>8</v>
      </c>
      <c r="D13" s="1" t="s">
        <v>192</v>
      </c>
      <c r="E13" s="88">
        <v>35</v>
      </c>
      <c r="F13" s="88">
        <v>5.18</v>
      </c>
      <c r="G13" s="89">
        <f>E13*F13</f>
        <v>181.29999999999998</v>
      </c>
      <c r="H13" s="90">
        <v>0.25</v>
      </c>
      <c r="I13" s="90">
        <v>3.1</v>
      </c>
      <c r="J13" s="90">
        <v>14</v>
      </c>
      <c r="K13" s="91">
        <f>(H13*I13)*J13</f>
        <v>10.85</v>
      </c>
      <c r="L13" s="95">
        <f>G13-K13</f>
        <v>170.45</v>
      </c>
      <c r="O13" s="89"/>
      <c r="P13" s="89">
        <f t="shared" si="0"/>
        <v>170.45</v>
      </c>
      <c r="Q13" s="89">
        <v>0</v>
      </c>
      <c r="R13" s="112">
        <f t="shared" si="7"/>
        <v>0</v>
      </c>
      <c r="S13" s="89">
        <v>0</v>
      </c>
      <c r="T13" s="112">
        <f t="shared" si="7"/>
        <v>0</v>
      </c>
      <c r="U13" s="89">
        <v>0</v>
      </c>
      <c r="V13" s="112">
        <f t="shared" si="8"/>
        <v>0</v>
      </c>
      <c r="W13" s="89">
        <v>0</v>
      </c>
      <c r="X13" s="112">
        <f t="shared" si="9"/>
        <v>0</v>
      </c>
      <c r="Y13" s="89">
        <v>0</v>
      </c>
      <c r="Z13" s="112">
        <f t="shared" si="10"/>
        <v>0</v>
      </c>
      <c r="AA13" s="89">
        <v>0</v>
      </c>
      <c r="AB13" s="112">
        <f t="shared" si="11"/>
        <v>0</v>
      </c>
      <c r="AC13" s="89">
        <f t="shared" si="1"/>
        <v>0</v>
      </c>
      <c r="AD13" s="113">
        <f t="shared" si="12"/>
        <v>0</v>
      </c>
      <c r="AE13" s="89">
        <v>0</v>
      </c>
      <c r="AF13" s="112">
        <f t="shared" si="13"/>
        <v>0</v>
      </c>
      <c r="AG13" s="89">
        <v>0</v>
      </c>
      <c r="AH13" s="112">
        <f t="shared" si="14"/>
        <v>0</v>
      </c>
      <c r="AI13" s="89">
        <v>0</v>
      </c>
      <c r="AJ13" s="112">
        <f t="shared" si="15"/>
        <v>0</v>
      </c>
      <c r="AK13" s="89">
        <v>0</v>
      </c>
      <c r="AL13" s="112">
        <f t="shared" si="16"/>
        <v>0</v>
      </c>
      <c r="AM13" s="89">
        <v>0</v>
      </c>
      <c r="AN13" s="112">
        <f t="shared" si="17"/>
        <v>0</v>
      </c>
      <c r="AO13" s="89">
        <v>0</v>
      </c>
      <c r="AP13" s="112">
        <f t="shared" si="18"/>
        <v>0</v>
      </c>
      <c r="AQ13" s="89">
        <f t="shared" si="2"/>
        <v>0</v>
      </c>
      <c r="AR13" s="113">
        <f t="shared" si="19"/>
        <v>0</v>
      </c>
      <c r="AS13" s="89">
        <v>0</v>
      </c>
      <c r="AT13" s="112">
        <f t="shared" si="20"/>
        <v>0</v>
      </c>
      <c r="AU13" s="89">
        <v>0</v>
      </c>
      <c r="AV13" s="112">
        <f t="shared" si="21"/>
        <v>0</v>
      </c>
      <c r="AW13" s="89">
        <v>0</v>
      </c>
      <c r="AX13" s="112">
        <f t="shared" si="22"/>
        <v>0</v>
      </c>
      <c r="AY13" s="89">
        <v>0</v>
      </c>
      <c r="AZ13" s="112">
        <f t="shared" si="23"/>
        <v>0</v>
      </c>
      <c r="BA13" s="89">
        <v>0</v>
      </c>
      <c r="BB13" s="112">
        <f t="shared" si="24"/>
        <v>0</v>
      </c>
      <c r="BC13" s="89">
        <v>0</v>
      </c>
      <c r="BD13" s="112">
        <f t="shared" si="25"/>
        <v>0</v>
      </c>
      <c r="BE13" s="89">
        <f t="shared" si="3"/>
        <v>0</v>
      </c>
      <c r="BF13" s="113">
        <f t="shared" si="26"/>
        <v>0</v>
      </c>
      <c r="BG13" s="89">
        <v>0</v>
      </c>
      <c r="BH13" s="112">
        <f t="shared" si="27"/>
        <v>0</v>
      </c>
      <c r="BI13" s="89">
        <v>0</v>
      </c>
      <c r="BJ13" s="112">
        <f t="shared" si="28"/>
        <v>0</v>
      </c>
      <c r="BK13" s="89">
        <v>0</v>
      </c>
      <c r="BL13" s="112">
        <f t="shared" si="29"/>
        <v>0</v>
      </c>
      <c r="BM13" s="89">
        <v>0</v>
      </c>
      <c r="BN13" s="112">
        <f t="shared" si="30"/>
        <v>0</v>
      </c>
      <c r="BO13" s="89">
        <v>0</v>
      </c>
      <c r="BP13" s="112">
        <f t="shared" si="31"/>
        <v>0</v>
      </c>
      <c r="BQ13" s="89">
        <v>0</v>
      </c>
      <c r="BR13" s="112">
        <f t="shared" si="32"/>
        <v>0</v>
      </c>
      <c r="BS13" s="89">
        <f t="shared" si="4"/>
        <v>0</v>
      </c>
      <c r="BT13" s="113">
        <f t="shared" si="33"/>
        <v>0</v>
      </c>
      <c r="BU13" s="89">
        <v>0</v>
      </c>
      <c r="BV13" s="112">
        <f t="shared" si="34"/>
        <v>0</v>
      </c>
      <c r="BW13" s="89">
        <v>0</v>
      </c>
      <c r="BX13" s="112">
        <f t="shared" si="35"/>
        <v>0</v>
      </c>
      <c r="BY13" s="89">
        <v>0</v>
      </c>
      <c r="BZ13" s="112">
        <f t="shared" si="36"/>
        <v>0</v>
      </c>
      <c r="CA13" s="89">
        <v>0</v>
      </c>
      <c r="CB13" s="112">
        <f t="shared" si="37"/>
        <v>0</v>
      </c>
      <c r="CC13" s="89">
        <v>0</v>
      </c>
      <c r="CD13" s="112">
        <f t="shared" si="38"/>
        <v>0</v>
      </c>
      <c r="CE13" s="89">
        <v>0</v>
      </c>
      <c r="CF13" s="112">
        <f t="shared" si="39"/>
        <v>0</v>
      </c>
      <c r="CG13" s="89">
        <f t="shared" si="5"/>
        <v>0</v>
      </c>
      <c r="CH13" s="113">
        <f t="shared" si="40"/>
        <v>0</v>
      </c>
      <c r="CI13" s="89">
        <v>0</v>
      </c>
      <c r="CJ13" s="112">
        <f t="shared" si="41"/>
        <v>0</v>
      </c>
      <c r="CK13" s="89">
        <v>0</v>
      </c>
      <c r="CL13" s="112">
        <f t="shared" si="42"/>
        <v>0</v>
      </c>
      <c r="CM13" s="89">
        <v>0</v>
      </c>
      <c r="CN13" s="112">
        <f t="shared" si="43"/>
        <v>0</v>
      </c>
      <c r="CO13" s="89">
        <v>0</v>
      </c>
      <c r="CP13" s="112">
        <f t="shared" si="44"/>
        <v>0</v>
      </c>
      <c r="CQ13" s="89">
        <v>0</v>
      </c>
      <c r="CR13" s="112">
        <f t="shared" si="45"/>
        <v>0</v>
      </c>
      <c r="CS13" s="89">
        <v>0</v>
      </c>
      <c r="CT13" s="112">
        <f t="shared" si="46"/>
        <v>0</v>
      </c>
      <c r="CU13" s="89">
        <f t="shared" si="6"/>
        <v>0</v>
      </c>
      <c r="CV13" s="113">
        <f t="shared" si="47"/>
        <v>0</v>
      </c>
    </row>
    <row r="14" spans="1:100" ht="19.95" customHeight="1">
      <c r="B14" s="86"/>
      <c r="C14" s="88" t="s">
        <v>201</v>
      </c>
      <c r="D14" s="1" t="s">
        <v>193</v>
      </c>
      <c r="E14" s="88">
        <v>1</v>
      </c>
      <c r="F14" s="88">
        <f>2.15+1.44</f>
        <v>3.59</v>
      </c>
      <c r="G14" s="89">
        <f>E14*F14*14</f>
        <v>50.26</v>
      </c>
      <c r="H14" s="90"/>
      <c r="I14" s="90"/>
      <c r="J14" s="90"/>
      <c r="K14" s="91"/>
      <c r="L14" s="89"/>
      <c r="O14" s="95">
        <f>G14</f>
        <v>50.26</v>
      </c>
      <c r="P14" s="89">
        <f>SUM(L14:O14)</f>
        <v>50.26</v>
      </c>
      <c r="Q14" s="89">
        <v>0</v>
      </c>
      <c r="R14" s="112">
        <f t="shared" si="7"/>
        <v>0</v>
      </c>
      <c r="S14" s="89">
        <v>0</v>
      </c>
      <c r="T14" s="112">
        <f t="shared" si="7"/>
        <v>0</v>
      </c>
      <c r="U14" s="89">
        <v>0</v>
      </c>
      <c r="V14" s="112">
        <f t="shared" si="8"/>
        <v>0</v>
      </c>
      <c r="W14" s="89">
        <v>0</v>
      </c>
      <c r="X14" s="112">
        <f t="shared" si="9"/>
        <v>0</v>
      </c>
      <c r="Y14" s="89">
        <v>0</v>
      </c>
      <c r="Z14" s="112">
        <f t="shared" si="10"/>
        <v>0</v>
      </c>
      <c r="AA14" s="89">
        <v>0</v>
      </c>
      <c r="AB14" s="112">
        <f t="shared" si="11"/>
        <v>0</v>
      </c>
      <c r="AC14" s="89">
        <f t="shared" si="1"/>
        <v>0</v>
      </c>
      <c r="AD14" s="113">
        <f t="shared" si="12"/>
        <v>0</v>
      </c>
      <c r="AE14" s="89">
        <v>0</v>
      </c>
      <c r="AF14" s="112">
        <f t="shared" si="13"/>
        <v>0</v>
      </c>
      <c r="AG14" s="89">
        <v>0</v>
      </c>
      <c r="AH14" s="112">
        <f t="shared" si="14"/>
        <v>0</v>
      </c>
      <c r="AI14" s="89">
        <v>0</v>
      </c>
      <c r="AJ14" s="112">
        <f t="shared" si="15"/>
        <v>0</v>
      </c>
      <c r="AK14" s="89">
        <v>0</v>
      </c>
      <c r="AL14" s="112">
        <f t="shared" si="16"/>
        <v>0</v>
      </c>
      <c r="AM14" s="89">
        <v>0</v>
      </c>
      <c r="AN14" s="112">
        <f t="shared" si="17"/>
        <v>0</v>
      </c>
      <c r="AO14" s="89">
        <v>0</v>
      </c>
      <c r="AP14" s="112">
        <f t="shared" si="18"/>
        <v>0</v>
      </c>
      <c r="AQ14" s="89">
        <f t="shared" si="2"/>
        <v>0</v>
      </c>
      <c r="AR14" s="113">
        <f t="shared" si="19"/>
        <v>0</v>
      </c>
      <c r="AS14" s="89">
        <v>0</v>
      </c>
      <c r="AT14" s="112">
        <f t="shared" si="20"/>
        <v>0</v>
      </c>
      <c r="AU14" s="89">
        <v>0</v>
      </c>
      <c r="AV14" s="112">
        <f t="shared" si="21"/>
        <v>0</v>
      </c>
      <c r="AW14" s="89">
        <v>0</v>
      </c>
      <c r="AX14" s="112">
        <f t="shared" si="22"/>
        <v>0</v>
      </c>
      <c r="AY14" s="89">
        <v>0</v>
      </c>
      <c r="AZ14" s="112">
        <f t="shared" si="23"/>
        <v>0</v>
      </c>
      <c r="BA14" s="89">
        <v>0</v>
      </c>
      <c r="BB14" s="112">
        <f t="shared" si="24"/>
        <v>0</v>
      </c>
      <c r="BC14" s="89">
        <v>0</v>
      </c>
      <c r="BD14" s="112">
        <f t="shared" si="25"/>
        <v>0</v>
      </c>
      <c r="BE14" s="89">
        <f t="shared" si="3"/>
        <v>0</v>
      </c>
      <c r="BF14" s="113">
        <f t="shared" si="26"/>
        <v>0</v>
      </c>
      <c r="BG14" s="89">
        <v>0</v>
      </c>
      <c r="BH14" s="112">
        <f t="shared" si="27"/>
        <v>0</v>
      </c>
      <c r="BI14" s="89">
        <v>0</v>
      </c>
      <c r="BJ14" s="112">
        <f t="shared" si="28"/>
        <v>0</v>
      </c>
      <c r="BK14" s="89">
        <v>0</v>
      </c>
      <c r="BL14" s="112">
        <f t="shared" si="29"/>
        <v>0</v>
      </c>
      <c r="BM14" s="89">
        <v>0</v>
      </c>
      <c r="BN14" s="112">
        <f t="shared" si="30"/>
        <v>0</v>
      </c>
      <c r="BO14" s="89">
        <v>0</v>
      </c>
      <c r="BP14" s="112">
        <f t="shared" si="31"/>
        <v>0</v>
      </c>
      <c r="BQ14" s="89">
        <v>0</v>
      </c>
      <c r="BR14" s="112">
        <f t="shared" si="32"/>
        <v>0</v>
      </c>
      <c r="BS14" s="89">
        <f t="shared" si="4"/>
        <v>0</v>
      </c>
      <c r="BT14" s="113">
        <f t="shared" si="33"/>
        <v>0</v>
      </c>
      <c r="BU14" s="89">
        <v>0</v>
      </c>
      <c r="BV14" s="112">
        <f t="shared" si="34"/>
        <v>0</v>
      </c>
      <c r="BW14" s="89">
        <v>0</v>
      </c>
      <c r="BX14" s="112">
        <f t="shared" si="35"/>
        <v>0</v>
      </c>
      <c r="BY14" s="89">
        <v>0</v>
      </c>
      <c r="BZ14" s="112">
        <f t="shared" si="36"/>
        <v>0</v>
      </c>
      <c r="CA14" s="89">
        <v>0</v>
      </c>
      <c r="CB14" s="112">
        <f t="shared" si="37"/>
        <v>0</v>
      </c>
      <c r="CC14" s="89">
        <v>0</v>
      </c>
      <c r="CD14" s="112">
        <f t="shared" si="38"/>
        <v>0</v>
      </c>
      <c r="CE14" s="89">
        <v>0</v>
      </c>
      <c r="CF14" s="112">
        <f t="shared" si="39"/>
        <v>0</v>
      </c>
      <c r="CG14" s="89">
        <f t="shared" si="5"/>
        <v>0</v>
      </c>
      <c r="CH14" s="113">
        <f t="shared" si="40"/>
        <v>0</v>
      </c>
      <c r="CI14" s="89">
        <v>0</v>
      </c>
      <c r="CJ14" s="112">
        <f t="shared" si="41"/>
        <v>0</v>
      </c>
      <c r="CK14" s="89">
        <v>0</v>
      </c>
      <c r="CL14" s="112">
        <f t="shared" si="42"/>
        <v>0</v>
      </c>
      <c r="CM14" s="89">
        <v>0</v>
      </c>
      <c r="CN14" s="112">
        <f t="shared" si="43"/>
        <v>0</v>
      </c>
      <c r="CO14" s="89">
        <v>0</v>
      </c>
      <c r="CP14" s="112">
        <f t="shared" si="44"/>
        <v>0</v>
      </c>
      <c r="CQ14" s="89">
        <v>0</v>
      </c>
      <c r="CR14" s="112">
        <f t="shared" si="45"/>
        <v>0</v>
      </c>
      <c r="CS14" s="89">
        <v>0</v>
      </c>
      <c r="CT14" s="112">
        <f t="shared" si="46"/>
        <v>0</v>
      </c>
      <c r="CU14" s="89">
        <f t="shared" si="6"/>
        <v>0</v>
      </c>
      <c r="CV14" s="113">
        <f t="shared" si="47"/>
        <v>0</v>
      </c>
    </row>
    <row r="15" spans="1:100" ht="19.95" customHeight="1">
      <c r="B15" s="86"/>
      <c r="C15" s="88">
        <v>9</v>
      </c>
      <c r="D15" s="1" t="s">
        <v>195</v>
      </c>
      <c r="E15" s="88">
        <f>E5</f>
        <v>35.6</v>
      </c>
      <c r="F15" s="89">
        <v>5.3</v>
      </c>
      <c r="G15" s="89">
        <f>E15*F15</f>
        <v>188.68</v>
      </c>
      <c r="H15" s="90">
        <v>1.5</v>
      </c>
      <c r="I15" s="90">
        <v>1.2</v>
      </c>
      <c r="J15" s="90">
        <v>28</v>
      </c>
      <c r="K15" s="91">
        <f>(H15*I15)*J15</f>
        <v>50.399999999999991</v>
      </c>
      <c r="M15" s="95">
        <f>G15-K15</f>
        <v>138.28000000000003</v>
      </c>
      <c r="N15" s="89"/>
      <c r="P15" s="89">
        <f t="shared" si="0"/>
        <v>138.28000000000003</v>
      </c>
      <c r="Q15" s="89">
        <v>0</v>
      </c>
      <c r="R15" s="112">
        <f t="shared" si="7"/>
        <v>0</v>
      </c>
      <c r="S15" s="89">
        <v>0</v>
      </c>
      <c r="T15" s="112">
        <f t="shared" si="7"/>
        <v>0</v>
      </c>
      <c r="U15" s="89">
        <v>0</v>
      </c>
      <c r="V15" s="112">
        <f t="shared" si="8"/>
        <v>0</v>
      </c>
      <c r="W15" s="89">
        <v>0</v>
      </c>
      <c r="X15" s="112">
        <f t="shared" si="9"/>
        <v>0</v>
      </c>
      <c r="Y15" s="89">
        <v>0</v>
      </c>
      <c r="Z15" s="112">
        <f t="shared" si="10"/>
        <v>0</v>
      </c>
      <c r="AA15" s="89">
        <v>0</v>
      </c>
      <c r="AB15" s="112">
        <f t="shared" si="11"/>
        <v>0</v>
      </c>
      <c r="AC15" s="89">
        <f t="shared" si="1"/>
        <v>0</v>
      </c>
      <c r="AD15" s="113">
        <f t="shared" si="12"/>
        <v>0</v>
      </c>
      <c r="AE15" s="89">
        <v>0</v>
      </c>
      <c r="AF15" s="112">
        <f t="shared" si="13"/>
        <v>0</v>
      </c>
      <c r="AG15" s="89">
        <v>0</v>
      </c>
      <c r="AH15" s="112">
        <f t="shared" si="14"/>
        <v>0</v>
      </c>
      <c r="AI15" s="89">
        <v>0</v>
      </c>
      <c r="AJ15" s="112">
        <f t="shared" si="15"/>
        <v>0</v>
      </c>
      <c r="AK15" s="89">
        <v>0</v>
      </c>
      <c r="AL15" s="112">
        <f t="shared" si="16"/>
        <v>0</v>
      </c>
      <c r="AM15" s="89">
        <v>0</v>
      </c>
      <c r="AN15" s="112">
        <f t="shared" si="17"/>
        <v>0</v>
      </c>
      <c r="AO15" s="89">
        <v>0</v>
      </c>
      <c r="AP15" s="112">
        <f t="shared" si="18"/>
        <v>0</v>
      </c>
      <c r="AQ15" s="89">
        <f t="shared" si="2"/>
        <v>0</v>
      </c>
      <c r="AR15" s="113">
        <f t="shared" si="19"/>
        <v>0</v>
      </c>
      <c r="AS15" s="89">
        <v>0</v>
      </c>
      <c r="AT15" s="112">
        <f t="shared" si="20"/>
        <v>0</v>
      </c>
      <c r="AU15" s="89">
        <v>0</v>
      </c>
      <c r="AV15" s="112">
        <f t="shared" si="21"/>
        <v>0</v>
      </c>
      <c r="AW15" s="89">
        <v>0</v>
      </c>
      <c r="AX15" s="112">
        <f t="shared" si="22"/>
        <v>0</v>
      </c>
      <c r="AY15" s="89">
        <v>0</v>
      </c>
      <c r="AZ15" s="112">
        <f t="shared" si="23"/>
        <v>0</v>
      </c>
      <c r="BA15" s="89">
        <v>0</v>
      </c>
      <c r="BB15" s="112">
        <f t="shared" si="24"/>
        <v>0</v>
      </c>
      <c r="BC15" s="89">
        <v>0</v>
      </c>
      <c r="BD15" s="112">
        <f t="shared" si="25"/>
        <v>0</v>
      </c>
      <c r="BE15" s="89">
        <f t="shared" si="3"/>
        <v>0</v>
      </c>
      <c r="BF15" s="113">
        <f t="shared" si="26"/>
        <v>0</v>
      </c>
      <c r="BG15" s="89">
        <v>0</v>
      </c>
      <c r="BH15" s="112">
        <f t="shared" si="27"/>
        <v>0</v>
      </c>
      <c r="BI15" s="89">
        <v>0</v>
      </c>
      <c r="BJ15" s="112">
        <f t="shared" si="28"/>
        <v>0</v>
      </c>
      <c r="BK15" s="89">
        <v>0</v>
      </c>
      <c r="BL15" s="112">
        <f t="shared" si="29"/>
        <v>0</v>
      </c>
      <c r="BM15" s="89">
        <v>0</v>
      </c>
      <c r="BN15" s="112">
        <f t="shared" si="30"/>
        <v>0</v>
      </c>
      <c r="BO15" s="89">
        <v>0</v>
      </c>
      <c r="BP15" s="112">
        <f t="shared" si="31"/>
        <v>0</v>
      </c>
      <c r="BQ15" s="89">
        <v>0</v>
      </c>
      <c r="BR15" s="112">
        <f t="shared" si="32"/>
        <v>0</v>
      </c>
      <c r="BS15" s="89">
        <f t="shared" si="4"/>
        <v>0</v>
      </c>
      <c r="BT15" s="113">
        <f t="shared" si="33"/>
        <v>0</v>
      </c>
      <c r="BU15" s="89">
        <v>0</v>
      </c>
      <c r="BV15" s="112">
        <f t="shared" si="34"/>
        <v>0</v>
      </c>
      <c r="BW15" s="89">
        <v>0</v>
      </c>
      <c r="BX15" s="112">
        <f t="shared" si="35"/>
        <v>0</v>
      </c>
      <c r="BY15" s="89">
        <v>0</v>
      </c>
      <c r="BZ15" s="112">
        <f t="shared" si="36"/>
        <v>0</v>
      </c>
      <c r="CA15" s="89">
        <v>0</v>
      </c>
      <c r="CB15" s="112">
        <f t="shared" si="37"/>
        <v>0</v>
      </c>
      <c r="CC15" s="89">
        <v>0</v>
      </c>
      <c r="CD15" s="112">
        <f t="shared" si="38"/>
        <v>0</v>
      </c>
      <c r="CE15" s="89">
        <v>0</v>
      </c>
      <c r="CF15" s="112">
        <f t="shared" si="39"/>
        <v>0</v>
      </c>
      <c r="CG15" s="89">
        <f t="shared" si="5"/>
        <v>0</v>
      </c>
      <c r="CH15" s="113">
        <f t="shared" si="40"/>
        <v>0</v>
      </c>
      <c r="CI15" s="89">
        <v>0</v>
      </c>
      <c r="CJ15" s="112">
        <f t="shared" si="41"/>
        <v>0</v>
      </c>
      <c r="CK15" s="89">
        <v>0</v>
      </c>
      <c r="CL15" s="112">
        <f t="shared" si="42"/>
        <v>0</v>
      </c>
      <c r="CM15" s="89">
        <v>0</v>
      </c>
      <c r="CN15" s="112">
        <f t="shared" si="43"/>
        <v>0</v>
      </c>
      <c r="CO15" s="89">
        <v>0</v>
      </c>
      <c r="CP15" s="112">
        <f t="shared" si="44"/>
        <v>0</v>
      </c>
      <c r="CQ15" s="89">
        <v>0</v>
      </c>
      <c r="CR15" s="112">
        <f t="shared" si="45"/>
        <v>0</v>
      </c>
      <c r="CS15" s="89">
        <v>0</v>
      </c>
      <c r="CT15" s="112">
        <f t="shared" si="46"/>
        <v>0</v>
      </c>
      <c r="CU15" s="89">
        <f t="shared" si="6"/>
        <v>0</v>
      </c>
      <c r="CV15" s="113">
        <f t="shared" si="47"/>
        <v>0</v>
      </c>
    </row>
    <row r="16" spans="1:100" ht="19.95" customHeight="1">
      <c r="B16" s="86"/>
      <c r="C16" s="88">
        <v>10</v>
      </c>
      <c r="D16" s="1" t="s">
        <v>200</v>
      </c>
      <c r="E16" s="88">
        <v>0.3</v>
      </c>
      <c r="F16" s="88">
        <v>2.91</v>
      </c>
      <c r="G16" s="89">
        <f>E16*F16*14</f>
        <v>12.222</v>
      </c>
      <c r="H16" s="90"/>
      <c r="I16" s="90"/>
      <c r="J16" s="90"/>
      <c r="K16" s="91"/>
      <c r="M16" s="89"/>
      <c r="N16" s="95">
        <f>G16</f>
        <v>12.222</v>
      </c>
      <c r="O16" s="89"/>
      <c r="P16" s="89">
        <f t="shared" si="0"/>
        <v>12.222</v>
      </c>
      <c r="Q16" s="89">
        <v>0</v>
      </c>
      <c r="R16" s="112">
        <f t="shared" si="7"/>
        <v>0</v>
      </c>
      <c r="S16" s="89">
        <v>0</v>
      </c>
      <c r="T16" s="112">
        <f t="shared" si="7"/>
        <v>0</v>
      </c>
      <c r="U16" s="89">
        <v>0</v>
      </c>
      <c r="V16" s="112">
        <f t="shared" si="8"/>
        <v>0</v>
      </c>
      <c r="W16" s="89">
        <v>0</v>
      </c>
      <c r="X16" s="112">
        <f t="shared" si="9"/>
        <v>0</v>
      </c>
      <c r="Y16" s="89">
        <v>0</v>
      </c>
      <c r="Z16" s="112">
        <f t="shared" si="10"/>
        <v>0</v>
      </c>
      <c r="AA16" s="89">
        <v>0</v>
      </c>
      <c r="AB16" s="112">
        <f t="shared" si="11"/>
        <v>0</v>
      </c>
      <c r="AC16" s="89">
        <f t="shared" si="1"/>
        <v>0</v>
      </c>
      <c r="AD16" s="113">
        <f t="shared" si="12"/>
        <v>0</v>
      </c>
      <c r="AE16" s="89">
        <v>0</v>
      </c>
      <c r="AF16" s="112">
        <f t="shared" si="13"/>
        <v>0</v>
      </c>
      <c r="AG16" s="89">
        <v>0</v>
      </c>
      <c r="AH16" s="112">
        <f t="shared" si="14"/>
        <v>0</v>
      </c>
      <c r="AI16" s="89">
        <v>0</v>
      </c>
      <c r="AJ16" s="112">
        <f t="shared" si="15"/>
        <v>0</v>
      </c>
      <c r="AK16" s="89">
        <v>0</v>
      </c>
      <c r="AL16" s="112">
        <f t="shared" si="16"/>
        <v>0</v>
      </c>
      <c r="AM16" s="89">
        <v>0</v>
      </c>
      <c r="AN16" s="112">
        <f t="shared" si="17"/>
        <v>0</v>
      </c>
      <c r="AO16" s="89">
        <v>0</v>
      </c>
      <c r="AP16" s="112">
        <f t="shared" si="18"/>
        <v>0</v>
      </c>
      <c r="AQ16" s="89">
        <f t="shared" si="2"/>
        <v>0</v>
      </c>
      <c r="AR16" s="113">
        <f t="shared" si="19"/>
        <v>0</v>
      </c>
      <c r="AS16" s="89">
        <v>0</v>
      </c>
      <c r="AT16" s="112">
        <f t="shared" si="20"/>
        <v>0</v>
      </c>
      <c r="AU16" s="89">
        <v>0</v>
      </c>
      <c r="AV16" s="112">
        <f t="shared" si="21"/>
        <v>0</v>
      </c>
      <c r="AW16" s="89">
        <v>0</v>
      </c>
      <c r="AX16" s="112">
        <f t="shared" si="22"/>
        <v>0</v>
      </c>
      <c r="AY16" s="89">
        <v>0</v>
      </c>
      <c r="AZ16" s="112">
        <f t="shared" si="23"/>
        <v>0</v>
      </c>
      <c r="BA16" s="89">
        <v>0</v>
      </c>
      <c r="BB16" s="112">
        <f t="shared" si="24"/>
        <v>0</v>
      </c>
      <c r="BC16" s="89">
        <v>0</v>
      </c>
      <c r="BD16" s="112">
        <f t="shared" si="25"/>
        <v>0</v>
      </c>
      <c r="BE16" s="89">
        <f t="shared" si="3"/>
        <v>0</v>
      </c>
      <c r="BF16" s="113">
        <f t="shared" si="26"/>
        <v>0</v>
      </c>
      <c r="BG16" s="89">
        <v>0</v>
      </c>
      <c r="BH16" s="112">
        <f t="shared" si="27"/>
        <v>0</v>
      </c>
      <c r="BI16" s="89">
        <v>0</v>
      </c>
      <c r="BJ16" s="112">
        <f t="shared" si="28"/>
        <v>0</v>
      </c>
      <c r="BK16" s="89">
        <v>0</v>
      </c>
      <c r="BL16" s="112">
        <f t="shared" si="29"/>
        <v>0</v>
      </c>
      <c r="BM16" s="89">
        <v>0</v>
      </c>
      <c r="BN16" s="112">
        <f t="shared" si="30"/>
        <v>0</v>
      </c>
      <c r="BO16" s="89">
        <v>0</v>
      </c>
      <c r="BP16" s="112">
        <f t="shared" si="31"/>
        <v>0</v>
      </c>
      <c r="BQ16" s="89">
        <v>0</v>
      </c>
      <c r="BR16" s="112">
        <f t="shared" si="32"/>
        <v>0</v>
      </c>
      <c r="BS16" s="89">
        <f t="shared" si="4"/>
        <v>0</v>
      </c>
      <c r="BT16" s="113">
        <f t="shared" si="33"/>
        <v>0</v>
      </c>
      <c r="BU16" s="89">
        <v>0</v>
      </c>
      <c r="BV16" s="112">
        <f t="shared" si="34"/>
        <v>0</v>
      </c>
      <c r="BW16" s="89">
        <v>0</v>
      </c>
      <c r="BX16" s="112">
        <f t="shared" si="35"/>
        <v>0</v>
      </c>
      <c r="BY16" s="89">
        <v>0</v>
      </c>
      <c r="BZ16" s="112">
        <f t="shared" si="36"/>
        <v>0</v>
      </c>
      <c r="CA16" s="89">
        <v>0</v>
      </c>
      <c r="CB16" s="112">
        <f t="shared" si="37"/>
        <v>0</v>
      </c>
      <c r="CC16" s="89">
        <v>0</v>
      </c>
      <c r="CD16" s="112">
        <f t="shared" si="38"/>
        <v>0</v>
      </c>
      <c r="CE16" s="89">
        <v>0</v>
      </c>
      <c r="CF16" s="112">
        <f t="shared" si="39"/>
        <v>0</v>
      </c>
      <c r="CG16" s="89">
        <f t="shared" si="5"/>
        <v>0</v>
      </c>
      <c r="CH16" s="113">
        <f t="shared" si="40"/>
        <v>0</v>
      </c>
      <c r="CI16" s="89">
        <v>0</v>
      </c>
      <c r="CJ16" s="112">
        <f t="shared" si="41"/>
        <v>0</v>
      </c>
      <c r="CK16" s="89">
        <v>0</v>
      </c>
      <c r="CL16" s="112">
        <f t="shared" si="42"/>
        <v>0</v>
      </c>
      <c r="CM16" s="89">
        <v>0</v>
      </c>
      <c r="CN16" s="112">
        <f t="shared" si="43"/>
        <v>0</v>
      </c>
      <c r="CO16" s="89">
        <v>0</v>
      </c>
      <c r="CP16" s="112">
        <f t="shared" si="44"/>
        <v>0</v>
      </c>
      <c r="CQ16" s="89">
        <v>0</v>
      </c>
      <c r="CR16" s="112">
        <f t="shared" si="45"/>
        <v>0</v>
      </c>
      <c r="CS16" s="89">
        <v>0</v>
      </c>
      <c r="CT16" s="112">
        <f t="shared" si="46"/>
        <v>0</v>
      </c>
      <c r="CU16" s="89">
        <f t="shared" si="6"/>
        <v>0</v>
      </c>
      <c r="CV16" s="113">
        <f t="shared" si="47"/>
        <v>0</v>
      </c>
    </row>
    <row r="17" spans="2:100" ht="19.95" customHeight="1">
      <c r="B17" s="86"/>
      <c r="C17" s="88" t="s">
        <v>203</v>
      </c>
      <c r="D17" s="1" t="s">
        <v>202</v>
      </c>
      <c r="E17" s="88">
        <v>0.6</v>
      </c>
      <c r="F17" s="88">
        <v>1.71</v>
      </c>
      <c r="G17" s="89">
        <f>E17*F17*14</f>
        <v>14.364000000000001</v>
      </c>
      <c r="H17" s="90"/>
      <c r="I17" s="90"/>
      <c r="J17" s="90"/>
      <c r="K17" s="91"/>
      <c r="L17" s="89"/>
      <c r="O17" s="95">
        <f>G17</f>
        <v>14.364000000000001</v>
      </c>
      <c r="P17" s="89">
        <f t="shared" si="0"/>
        <v>14.364000000000001</v>
      </c>
      <c r="Q17" s="89">
        <v>0</v>
      </c>
      <c r="R17" s="112">
        <f t="shared" si="7"/>
        <v>0</v>
      </c>
      <c r="S17" s="89">
        <v>0</v>
      </c>
      <c r="T17" s="112">
        <f t="shared" si="7"/>
        <v>0</v>
      </c>
      <c r="U17" s="89">
        <v>0</v>
      </c>
      <c r="V17" s="112">
        <f t="shared" si="8"/>
        <v>0</v>
      </c>
      <c r="W17" s="89">
        <v>0</v>
      </c>
      <c r="X17" s="112">
        <f t="shared" si="9"/>
        <v>0</v>
      </c>
      <c r="Y17" s="89">
        <v>0</v>
      </c>
      <c r="Z17" s="112">
        <f t="shared" si="10"/>
        <v>0</v>
      </c>
      <c r="AA17" s="89">
        <v>0</v>
      </c>
      <c r="AB17" s="112">
        <f t="shared" si="11"/>
        <v>0</v>
      </c>
      <c r="AC17" s="89">
        <f t="shared" si="1"/>
        <v>0</v>
      </c>
      <c r="AD17" s="113">
        <f t="shared" si="12"/>
        <v>0</v>
      </c>
      <c r="AE17" s="89">
        <v>0</v>
      </c>
      <c r="AF17" s="112">
        <f t="shared" si="13"/>
        <v>0</v>
      </c>
      <c r="AG17" s="89">
        <v>0</v>
      </c>
      <c r="AH17" s="112">
        <f t="shared" si="14"/>
        <v>0</v>
      </c>
      <c r="AI17" s="89">
        <v>0</v>
      </c>
      <c r="AJ17" s="112">
        <f t="shared" si="15"/>
        <v>0</v>
      </c>
      <c r="AK17" s="89">
        <v>0</v>
      </c>
      <c r="AL17" s="112">
        <f t="shared" si="16"/>
        <v>0</v>
      </c>
      <c r="AM17" s="89">
        <v>0</v>
      </c>
      <c r="AN17" s="112">
        <f t="shared" si="17"/>
        <v>0</v>
      </c>
      <c r="AO17" s="89">
        <v>0</v>
      </c>
      <c r="AP17" s="112">
        <f t="shared" si="18"/>
        <v>0</v>
      </c>
      <c r="AQ17" s="89">
        <f t="shared" si="2"/>
        <v>0</v>
      </c>
      <c r="AR17" s="113">
        <f t="shared" si="19"/>
        <v>0</v>
      </c>
      <c r="AS17" s="89">
        <v>0</v>
      </c>
      <c r="AT17" s="112">
        <f t="shared" si="20"/>
        <v>0</v>
      </c>
      <c r="AU17" s="89">
        <v>0</v>
      </c>
      <c r="AV17" s="112">
        <f t="shared" si="21"/>
        <v>0</v>
      </c>
      <c r="AW17" s="89">
        <v>0</v>
      </c>
      <c r="AX17" s="112">
        <f t="shared" si="22"/>
        <v>0</v>
      </c>
      <c r="AY17" s="89">
        <v>0</v>
      </c>
      <c r="AZ17" s="112">
        <f t="shared" si="23"/>
        <v>0</v>
      </c>
      <c r="BA17" s="89">
        <v>0</v>
      </c>
      <c r="BB17" s="112">
        <f t="shared" si="24"/>
        <v>0</v>
      </c>
      <c r="BC17" s="89">
        <v>0</v>
      </c>
      <c r="BD17" s="112">
        <f t="shared" si="25"/>
        <v>0</v>
      </c>
      <c r="BE17" s="89">
        <f t="shared" si="3"/>
        <v>0</v>
      </c>
      <c r="BF17" s="113">
        <f t="shared" si="26"/>
        <v>0</v>
      </c>
      <c r="BG17" s="89">
        <v>0</v>
      </c>
      <c r="BH17" s="112">
        <f t="shared" si="27"/>
        <v>0</v>
      </c>
      <c r="BI17" s="89">
        <v>0</v>
      </c>
      <c r="BJ17" s="112">
        <f t="shared" si="28"/>
        <v>0</v>
      </c>
      <c r="BK17" s="89">
        <v>0</v>
      </c>
      <c r="BL17" s="112">
        <f t="shared" si="29"/>
        <v>0</v>
      </c>
      <c r="BM17" s="89">
        <v>0</v>
      </c>
      <c r="BN17" s="112">
        <f t="shared" si="30"/>
        <v>0</v>
      </c>
      <c r="BO17" s="89">
        <v>0</v>
      </c>
      <c r="BP17" s="112">
        <f t="shared" si="31"/>
        <v>0</v>
      </c>
      <c r="BQ17" s="89">
        <v>0</v>
      </c>
      <c r="BR17" s="112">
        <f t="shared" si="32"/>
        <v>0</v>
      </c>
      <c r="BS17" s="89">
        <f t="shared" si="4"/>
        <v>0</v>
      </c>
      <c r="BT17" s="113">
        <f t="shared" si="33"/>
        <v>0</v>
      </c>
      <c r="BU17" s="89">
        <v>0</v>
      </c>
      <c r="BV17" s="112">
        <f t="shared" si="34"/>
        <v>0</v>
      </c>
      <c r="BW17" s="89">
        <v>0</v>
      </c>
      <c r="BX17" s="112">
        <f t="shared" si="35"/>
        <v>0</v>
      </c>
      <c r="BY17" s="89">
        <v>0</v>
      </c>
      <c r="BZ17" s="112">
        <f t="shared" si="36"/>
        <v>0</v>
      </c>
      <c r="CA17" s="89">
        <v>0</v>
      </c>
      <c r="CB17" s="112">
        <f t="shared" si="37"/>
        <v>0</v>
      </c>
      <c r="CC17" s="89">
        <v>0</v>
      </c>
      <c r="CD17" s="112">
        <f t="shared" si="38"/>
        <v>0</v>
      </c>
      <c r="CE17" s="89">
        <v>0</v>
      </c>
      <c r="CF17" s="112">
        <f t="shared" si="39"/>
        <v>0</v>
      </c>
      <c r="CG17" s="89">
        <f t="shared" si="5"/>
        <v>0</v>
      </c>
      <c r="CH17" s="113">
        <f t="shared" si="40"/>
        <v>0</v>
      </c>
      <c r="CI17" s="89">
        <v>0</v>
      </c>
      <c r="CJ17" s="112">
        <f t="shared" si="41"/>
        <v>0</v>
      </c>
      <c r="CK17" s="89">
        <v>0</v>
      </c>
      <c r="CL17" s="112">
        <f t="shared" si="42"/>
        <v>0</v>
      </c>
      <c r="CM17" s="89">
        <v>0</v>
      </c>
      <c r="CN17" s="112">
        <f t="shared" si="43"/>
        <v>0</v>
      </c>
      <c r="CO17" s="89">
        <v>0</v>
      </c>
      <c r="CP17" s="112">
        <f t="shared" si="44"/>
        <v>0</v>
      </c>
      <c r="CQ17" s="89">
        <v>0</v>
      </c>
      <c r="CR17" s="112">
        <f t="shared" si="45"/>
        <v>0</v>
      </c>
      <c r="CS17" s="89">
        <v>0</v>
      </c>
      <c r="CT17" s="112">
        <f t="shared" si="46"/>
        <v>0</v>
      </c>
      <c r="CU17" s="89">
        <f t="shared" si="6"/>
        <v>0</v>
      </c>
      <c r="CV17" s="113">
        <f t="shared" si="47"/>
        <v>0</v>
      </c>
    </row>
    <row r="18" spans="2:100" ht="19.95" customHeight="1">
      <c r="B18" s="86"/>
      <c r="C18" s="88">
        <v>11</v>
      </c>
      <c r="D18" s="1" t="s">
        <v>195</v>
      </c>
      <c r="E18" s="88">
        <f>E5</f>
        <v>35.6</v>
      </c>
      <c r="F18" s="89">
        <v>4.62</v>
      </c>
      <c r="G18" s="89">
        <f>E18*F18</f>
        <v>164.47200000000001</v>
      </c>
      <c r="H18" s="90">
        <v>1</v>
      </c>
      <c r="I18" s="90">
        <v>0.75</v>
      </c>
      <c r="J18" s="90">
        <v>28</v>
      </c>
      <c r="K18" s="91">
        <f>(H18*I18)*J18</f>
        <v>21</v>
      </c>
      <c r="M18" s="95">
        <f>G18-K18</f>
        <v>143.47200000000001</v>
      </c>
      <c r="N18" s="89"/>
      <c r="P18" s="89">
        <f t="shared" si="0"/>
        <v>143.47200000000001</v>
      </c>
      <c r="Q18" s="89">
        <v>0</v>
      </c>
      <c r="R18" s="112">
        <f t="shared" si="7"/>
        <v>0</v>
      </c>
      <c r="S18" s="89">
        <v>0</v>
      </c>
      <c r="T18" s="112">
        <f t="shared" si="7"/>
        <v>0</v>
      </c>
      <c r="U18" s="89">
        <v>0</v>
      </c>
      <c r="V18" s="112">
        <f t="shared" si="8"/>
        <v>0</v>
      </c>
      <c r="W18" s="89">
        <v>0</v>
      </c>
      <c r="X18" s="112">
        <f t="shared" si="9"/>
        <v>0</v>
      </c>
      <c r="Y18" s="89">
        <v>0</v>
      </c>
      <c r="Z18" s="112">
        <f t="shared" si="10"/>
        <v>0</v>
      </c>
      <c r="AA18" s="89">
        <v>0</v>
      </c>
      <c r="AB18" s="112">
        <f t="shared" si="11"/>
        <v>0</v>
      </c>
      <c r="AC18" s="89">
        <f t="shared" si="1"/>
        <v>0</v>
      </c>
      <c r="AD18" s="113">
        <f t="shared" si="12"/>
        <v>0</v>
      </c>
      <c r="AE18" s="89">
        <v>0</v>
      </c>
      <c r="AF18" s="112">
        <f t="shared" si="13"/>
        <v>0</v>
      </c>
      <c r="AG18" s="89">
        <v>0</v>
      </c>
      <c r="AH18" s="112">
        <f t="shared" si="14"/>
        <v>0</v>
      </c>
      <c r="AI18" s="89">
        <v>0</v>
      </c>
      <c r="AJ18" s="112">
        <f t="shared" si="15"/>
        <v>0</v>
      </c>
      <c r="AK18" s="89">
        <v>0</v>
      </c>
      <c r="AL18" s="112">
        <f t="shared" si="16"/>
        <v>0</v>
      </c>
      <c r="AM18" s="89">
        <v>0</v>
      </c>
      <c r="AN18" s="112">
        <f t="shared" si="17"/>
        <v>0</v>
      </c>
      <c r="AO18" s="89">
        <v>0</v>
      </c>
      <c r="AP18" s="112">
        <f t="shared" si="18"/>
        <v>0</v>
      </c>
      <c r="AQ18" s="89">
        <f t="shared" si="2"/>
        <v>0</v>
      </c>
      <c r="AR18" s="113">
        <f t="shared" si="19"/>
        <v>0</v>
      </c>
      <c r="AS18" s="89">
        <v>0</v>
      </c>
      <c r="AT18" s="112">
        <f t="shared" si="20"/>
        <v>0</v>
      </c>
      <c r="AU18" s="89">
        <v>0</v>
      </c>
      <c r="AV18" s="112">
        <f t="shared" si="21"/>
        <v>0</v>
      </c>
      <c r="AW18" s="89">
        <v>0</v>
      </c>
      <c r="AX18" s="112">
        <f t="shared" si="22"/>
        <v>0</v>
      </c>
      <c r="AY18" s="89">
        <v>0</v>
      </c>
      <c r="AZ18" s="112">
        <f t="shared" si="23"/>
        <v>0</v>
      </c>
      <c r="BA18" s="89">
        <v>0</v>
      </c>
      <c r="BB18" s="112">
        <f t="shared" si="24"/>
        <v>0</v>
      </c>
      <c r="BC18" s="89">
        <v>0</v>
      </c>
      <c r="BD18" s="112">
        <f t="shared" si="25"/>
        <v>0</v>
      </c>
      <c r="BE18" s="89">
        <f t="shared" si="3"/>
        <v>0</v>
      </c>
      <c r="BF18" s="113">
        <f t="shared" si="26"/>
        <v>0</v>
      </c>
      <c r="BG18" s="89">
        <v>0</v>
      </c>
      <c r="BH18" s="112">
        <f t="shared" si="27"/>
        <v>0</v>
      </c>
      <c r="BI18" s="89">
        <v>0</v>
      </c>
      <c r="BJ18" s="112">
        <f t="shared" si="28"/>
        <v>0</v>
      </c>
      <c r="BK18" s="89">
        <v>0</v>
      </c>
      <c r="BL18" s="112">
        <f t="shared" si="29"/>
        <v>0</v>
      </c>
      <c r="BM18" s="89">
        <v>0</v>
      </c>
      <c r="BN18" s="112">
        <f t="shared" si="30"/>
        <v>0</v>
      </c>
      <c r="BO18" s="89">
        <v>0</v>
      </c>
      <c r="BP18" s="112">
        <f t="shared" si="31"/>
        <v>0</v>
      </c>
      <c r="BQ18" s="89">
        <v>0</v>
      </c>
      <c r="BR18" s="112">
        <f t="shared" si="32"/>
        <v>0</v>
      </c>
      <c r="BS18" s="89">
        <f t="shared" si="4"/>
        <v>0</v>
      </c>
      <c r="BT18" s="113">
        <f t="shared" si="33"/>
        <v>0</v>
      </c>
      <c r="BU18" s="89">
        <v>0</v>
      </c>
      <c r="BV18" s="112">
        <f t="shared" si="34"/>
        <v>0</v>
      </c>
      <c r="BW18" s="89">
        <v>0</v>
      </c>
      <c r="BX18" s="112">
        <f t="shared" si="35"/>
        <v>0</v>
      </c>
      <c r="BY18" s="89">
        <v>0</v>
      </c>
      <c r="BZ18" s="112">
        <f t="shared" si="36"/>
        <v>0</v>
      </c>
      <c r="CA18" s="89">
        <v>0</v>
      </c>
      <c r="CB18" s="112">
        <f t="shared" si="37"/>
        <v>0</v>
      </c>
      <c r="CC18" s="89">
        <v>0</v>
      </c>
      <c r="CD18" s="112">
        <f t="shared" si="38"/>
        <v>0</v>
      </c>
      <c r="CE18" s="89">
        <v>0</v>
      </c>
      <c r="CF18" s="112">
        <f t="shared" si="39"/>
        <v>0</v>
      </c>
      <c r="CG18" s="89">
        <f t="shared" si="5"/>
        <v>0</v>
      </c>
      <c r="CH18" s="113">
        <f t="shared" si="40"/>
        <v>0</v>
      </c>
      <c r="CI18" s="89">
        <v>0</v>
      </c>
      <c r="CJ18" s="112">
        <f t="shared" si="41"/>
        <v>0</v>
      </c>
      <c r="CK18" s="89">
        <v>0</v>
      </c>
      <c r="CL18" s="112">
        <f t="shared" si="42"/>
        <v>0</v>
      </c>
      <c r="CM18" s="89">
        <v>0</v>
      </c>
      <c r="CN18" s="112">
        <f t="shared" si="43"/>
        <v>0</v>
      </c>
      <c r="CO18" s="89">
        <v>0</v>
      </c>
      <c r="CP18" s="112">
        <f t="shared" si="44"/>
        <v>0</v>
      </c>
      <c r="CQ18" s="89">
        <v>0</v>
      </c>
      <c r="CR18" s="112">
        <f t="shared" si="45"/>
        <v>0</v>
      </c>
      <c r="CS18" s="89">
        <v>0</v>
      </c>
      <c r="CT18" s="112">
        <f t="shared" si="46"/>
        <v>0</v>
      </c>
      <c r="CU18" s="89">
        <f t="shared" si="6"/>
        <v>0</v>
      </c>
      <c r="CV18" s="113">
        <f t="shared" si="47"/>
        <v>0</v>
      </c>
    </row>
    <row r="19" spans="2:100" ht="19.95" customHeight="1">
      <c r="B19" s="86"/>
      <c r="C19" s="88">
        <v>12</v>
      </c>
      <c r="D19" s="1" t="s">
        <v>200</v>
      </c>
      <c r="E19" s="88">
        <v>0.3</v>
      </c>
      <c r="F19" s="88">
        <v>2.91</v>
      </c>
      <c r="G19" s="89">
        <f>E19*F19*14</f>
        <v>12.222</v>
      </c>
      <c r="H19" s="90"/>
      <c r="I19" s="90"/>
      <c r="J19" s="90"/>
      <c r="K19" s="91"/>
      <c r="M19" s="89"/>
      <c r="N19" s="95">
        <f>G19</f>
        <v>12.222</v>
      </c>
      <c r="O19" s="89"/>
      <c r="P19" s="89">
        <f t="shared" si="0"/>
        <v>12.222</v>
      </c>
      <c r="Q19" s="89">
        <v>0</v>
      </c>
      <c r="R19" s="112">
        <f t="shared" si="7"/>
        <v>0</v>
      </c>
      <c r="S19" s="89">
        <v>0</v>
      </c>
      <c r="T19" s="112">
        <f t="shared" si="7"/>
        <v>0</v>
      </c>
      <c r="U19" s="89">
        <v>0</v>
      </c>
      <c r="V19" s="112">
        <f t="shared" si="8"/>
        <v>0</v>
      </c>
      <c r="W19" s="89">
        <v>0</v>
      </c>
      <c r="X19" s="112">
        <f t="shared" si="9"/>
        <v>0</v>
      </c>
      <c r="Y19" s="89">
        <v>0</v>
      </c>
      <c r="Z19" s="112">
        <f t="shared" si="10"/>
        <v>0</v>
      </c>
      <c r="AA19" s="89">
        <v>0</v>
      </c>
      <c r="AB19" s="112">
        <f t="shared" si="11"/>
        <v>0</v>
      </c>
      <c r="AC19" s="89">
        <f t="shared" si="1"/>
        <v>0</v>
      </c>
      <c r="AD19" s="113">
        <f t="shared" si="12"/>
        <v>0</v>
      </c>
      <c r="AE19" s="89">
        <v>0</v>
      </c>
      <c r="AF19" s="112">
        <f t="shared" si="13"/>
        <v>0</v>
      </c>
      <c r="AG19" s="89">
        <v>0</v>
      </c>
      <c r="AH19" s="112">
        <f t="shared" si="14"/>
        <v>0</v>
      </c>
      <c r="AI19" s="89">
        <v>0</v>
      </c>
      <c r="AJ19" s="112">
        <f t="shared" si="15"/>
        <v>0</v>
      </c>
      <c r="AK19" s="89">
        <v>0</v>
      </c>
      <c r="AL19" s="112">
        <f t="shared" si="16"/>
        <v>0</v>
      </c>
      <c r="AM19" s="89">
        <v>0</v>
      </c>
      <c r="AN19" s="112">
        <f t="shared" si="17"/>
        <v>0</v>
      </c>
      <c r="AO19" s="89">
        <v>0</v>
      </c>
      <c r="AP19" s="112">
        <f t="shared" si="18"/>
        <v>0</v>
      </c>
      <c r="AQ19" s="89">
        <f t="shared" si="2"/>
        <v>0</v>
      </c>
      <c r="AR19" s="113">
        <f t="shared" si="19"/>
        <v>0</v>
      </c>
      <c r="AS19" s="89">
        <v>0</v>
      </c>
      <c r="AT19" s="112">
        <f t="shared" si="20"/>
        <v>0</v>
      </c>
      <c r="AU19" s="89">
        <v>0</v>
      </c>
      <c r="AV19" s="112">
        <f t="shared" si="21"/>
        <v>0</v>
      </c>
      <c r="AW19" s="89">
        <v>0</v>
      </c>
      <c r="AX19" s="112">
        <f t="shared" si="22"/>
        <v>0</v>
      </c>
      <c r="AY19" s="89">
        <v>0</v>
      </c>
      <c r="AZ19" s="112">
        <f t="shared" si="23"/>
        <v>0</v>
      </c>
      <c r="BA19" s="89">
        <v>0</v>
      </c>
      <c r="BB19" s="112">
        <f t="shared" si="24"/>
        <v>0</v>
      </c>
      <c r="BC19" s="89">
        <v>0</v>
      </c>
      <c r="BD19" s="112">
        <f t="shared" si="25"/>
        <v>0</v>
      </c>
      <c r="BE19" s="89">
        <f t="shared" si="3"/>
        <v>0</v>
      </c>
      <c r="BF19" s="113">
        <f t="shared" si="26"/>
        <v>0</v>
      </c>
      <c r="BG19" s="89">
        <v>0</v>
      </c>
      <c r="BH19" s="112">
        <f t="shared" si="27"/>
        <v>0</v>
      </c>
      <c r="BI19" s="89">
        <v>0</v>
      </c>
      <c r="BJ19" s="112">
        <f t="shared" si="28"/>
        <v>0</v>
      </c>
      <c r="BK19" s="89">
        <v>0</v>
      </c>
      <c r="BL19" s="112">
        <f t="shared" si="29"/>
        <v>0</v>
      </c>
      <c r="BM19" s="89">
        <v>0</v>
      </c>
      <c r="BN19" s="112">
        <f t="shared" si="30"/>
        <v>0</v>
      </c>
      <c r="BO19" s="89">
        <v>0</v>
      </c>
      <c r="BP19" s="112">
        <f t="shared" si="31"/>
        <v>0</v>
      </c>
      <c r="BQ19" s="89">
        <v>0</v>
      </c>
      <c r="BR19" s="112">
        <f t="shared" si="32"/>
        <v>0</v>
      </c>
      <c r="BS19" s="89">
        <f t="shared" si="4"/>
        <v>0</v>
      </c>
      <c r="BT19" s="113">
        <f t="shared" si="33"/>
        <v>0</v>
      </c>
      <c r="BU19" s="89">
        <v>0</v>
      </c>
      <c r="BV19" s="112">
        <f t="shared" si="34"/>
        <v>0</v>
      </c>
      <c r="BW19" s="89">
        <v>0</v>
      </c>
      <c r="BX19" s="112">
        <f t="shared" si="35"/>
        <v>0</v>
      </c>
      <c r="BY19" s="89">
        <v>0</v>
      </c>
      <c r="BZ19" s="112">
        <f t="shared" si="36"/>
        <v>0</v>
      </c>
      <c r="CA19" s="89">
        <v>0</v>
      </c>
      <c r="CB19" s="112">
        <f t="shared" si="37"/>
        <v>0</v>
      </c>
      <c r="CC19" s="89">
        <v>0</v>
      </c>
      <c r="CD19" s="112">
        <f t="shared" si="38"/>
        <v>0</v>
      </c>
      <c r="CE19" s="89">
        <v>0</v>
      </c>
      <c r="CF19" s="112">
        <f t="shared" si="39"/>
        <v>0</v>
      </c>
      <c r="CG19" s="89">
        <f t="shared" si="5"/>
        <v>0</v>
      </c>
      <c r="CH19" s="113">
        <f t="shared" si="40"/>
        <v>0</v>
      </c>
      <c r="CI19" s="89">
        <v>0</v>
      </c>
      <c r="CJ19" s="112">
        <f t="shared" si="41"/>
        <v>0</v>
      </c>
      <c r="CK19" s="89">
        <v>0</v>
      </c>
      <c r="CL19" s="112">
        <f t="shared" si="42"/>
        <v>0</v>
      </c>
      <c r="CM19" s="89">
        <v>0</v>
      </c>
      <c r="CN19" s="112">
        <f t="shared" si="43"/>
        <v>0</v>
      </c>
      <c r="CO19" s="89">
        <v>0</v>
      </c>
      <c r="CP19" s="112">
        <f t="shared" si="44"/>
        <v>0</v>
      </c>
      <c r="CQ19" s="89">
        <v>0</v>
      </c>
      <c r="CR19" s="112">
        <f t="shared" si="45"/>
        <v>0</v>
      </c>
      <c r="CS19" s="89">
        <v>0</v>
      </c>
      <c r="CT19" s="112">
        <f t="shared" si="46"/>
        <v>0</v>
      </c>
      <c r="CU19" s="89">
        <f t="shared" si="6"/>
        <v>0</v>
      </c>
      <c r="CV19" s="113">
        <f t="shared" si="47"/>
        <v>0</v>
      </c>
    </row>
    <row r="20" spans="2:100" ht="19.95" customHeight="1">
      <c r="B20" s="86"/>
      <c r="C20" s="88" t="s">
        <v>221</v>
      </c>
      <c r="D20" s="1" t="s">
        <v>202</v>
      </c>
      <c r="E20" s="88">
        <v>0.6</v>
      </c>
      <c r="F20" s="88">
        <v>1.71</v>
      </c>
      <c r="G20" s="89">
        <f>E20*F20*14</f>
        <v>14.364000000000001</v>
      </c>
      <c r="H20" s="90"/>
      <c r="I20" s="90"/>
      <c r="J20" s="90"/>
      <c r="K20" s="91"/>
      <c r="L20" s="89"/>
      <c r="O20" s="95">
        <f>G20</f>
        <v>14.364000000000001</v>
      </c>
      <c r="P20" s="89">
        <f t="shared" si="0"/>
        <v>14.364000000000001</v>
      </c>
      <c r="Q20" s="89">
        <v>0</v>
      </c>
      <c r="R20" s="112">
        <f t="shared" si="7"/>
        <v>0</v>
      </c>
      <c r="S20" s="89">
        <v>0</v>
      </c>
      <c r="T20" s="112">
        <f t="shared" si="7"/>
        <v>0</v>
      </c>
      <c r="U20" s="89">
        <v>0</v>
      </c>
      <c r="V20" s="112">
        <f t="shared" si="8"/>
        <v>0</v>
      </c>
      <c r="W20" s="89">
        <v>0</v>
      </c>
      <c r="X20" s="112">
        <f t="shared" si="9"/>
        <v>0</v>
      </c>
      <c r="Y20" s="89">
        <v>0</v>
      </c>
      <c r="Z20" s="112">
        <f t="shared" si="10"/>
        <v>0</v>
      </c>
      <c r="AA20" s="89">
        <v>0</v>
      </c>
      <c r="AB20" s="112">
        <f t="shared" si="11"/>
        <v>0</v>
      </c>
      <c r="AC20" s="89">
        <f t="shared" si="1"/>
        <v>0</v>
      </c>
      <c r="AD20" s="113">
        <f t="shared" si="12"/>
        <v>0</v>
      </c>
      <c r="AE20" s="89">
        <v>0</v>
      </c>
      <c r="AF20" s="112">
        <f t="shared" si="13"/>
        <v>0</v>
      </c>
      <c r="AG20" s="89">
        <v>0</v>
      </c>
      <c r="AH20" s="112">
        <f t="shared" si="14"/>
        <v>0</v>
      </c>
      <c r="AI20" s="89">
        <v>0</v>
      </c>
      <c r="AJ20" s="112">
        <f t="shared" si="15"/>
        <v>0</v>
      </c>
      <c r="AK20" s="89">
        <v>0</v>
      </c>
      <c r="AL20" s="112">
        <f t="shared" si="16"/>
        <v>0</v>
      </c>
      <c r="AM20" s="89">
        <v>0</v>
      </c>
      <c r="AN20" s="112">
        <f t="shared" si="17"/>
        <v>0</v>
      </c>
      <c r="AO20" s="89">
        <v>0</v>
      </c>
      <c r="AP20" s="112">
        <f t="shared" si="18"/>
        <v>0</v>
      </c>
      <c r="AQ20" s="89">
        <f t="shared" si="2"/>
        <v>0</v>
      </c>
      <c r="AR20" s="113">
        <f t="shared" si="19"/>
        <v>0</v>
      </c>
      <c r="AS20" s="89">
        <v>0</v>
      </c>
      <c r="AT20" s="112">
        <f t="shared" si="20"/>
        <v>0</v>
      </c>
      <c r="AU20" s="89">
        <v>0</v>
      </c>
      <c r="AV20" s="112">
        <f t="shared" si="21"/>
        <v>0</v>
      </c>
      <c r="AW20" s="89">
        <v>0</v>
      </c>
      <c r="AX20" s="112">
        <f t="shared" si="22"/>
        <v>0</v>
      </c>
      <c r="AY20" s="89">
        <v>0</v>
      </c>
      <c r="AZ20" s="112">
        <f t="shared" si="23"/>
        <v>0</v>
      </c>
      <c r="BA20" s="89">
        <v>0</v>
      </c>
      <c r="BB20" s="112">
        <f t="shared" si="24"/>
        <v>0</v>
      </c>
      <c r="BC20" s="89">
        <v>0</v>
      </c>
      <c r="BD20" s="112">
        <f t="shared" si="25"/>
        <v>0</v>
      </c>
      <c r="BE20" s="89">
        <f t="shared" si="3"/>
        <v>0</v>
      </c>
      <c r="BF20" s="113">
        <f t="shared" si="26"/>
        <v>0</v>
      </c>
      <c r="BG20" s="89">
        <v>0</v>
      </c>
      <c r="BH20" s="112">
        <f t="shared" si="27"/>
        <v>0</v>
      </c>
      <c r="BI20" s="89">
        <v>0</v>
      </c>
      <c r="BJ20" s="112">
        <f t="shared" si="28"/>
        <v>0</v>
      </c>
      <c r="BK20" s="89">
        <v>0</v>
      </c>
      <c r="BL20" s="112">
        <f t="shared" si="29"/>
        <v>0</v>
      </c>
      <c r="BM20" s="89">
        <v>0</v>
      </c>
      <c r="BN20" s="112">
        <f t="shared" si="30"/>
        <v>0</v>
      </c>
      <c r="BO20" s="89">
        <v>0</v>
      </c>
      <c r="BP20" s="112">
        <f t="shared" si="31"/>
        <v>0</v>
      </c>
      <c r="BQ20" s="89">
        <v>0</v>
      </c>
      <c r="BR20" s="112">
        <f t="shared" si="32"/>
        <v>0</v>
      </c>
      <c r="BS20" s="89">
        <f t="shared" si="4"/>
        <v>0</v>
      </c>
      <c r="BT20" s="113">
        <f t="shared" si="33"/>
        <v>0</v>
      </c>
      <c r="BU20" s="89">
        <v>0</v>
      </c>
      <c r="BV20" s="112">
        <f t="shared" si="34"/>
        <v>0</v>
      </c>
      <c r="BW20" s="89">
        <v>0</v>
      </c>
      <c r="BX20" s="112">
        <f t="shared" si="35"/>
        <v>0</v>
      </c>
      <c r="BY20" s="89">
        <v>0</v>
      </c>
      <c r="BZ20" s="112">
        <f t="shared" si="36"/>
        <v>0</v>
      </c>
      <c r="CA20" s="89">
        <v>0</v>
      </c>
      <c r="CB20" s="112">
        <f t="shared" si="37"/>
        <v>0</v>
      </c>
      <c r="CC20" s="89">
        <v>0</v>
      </c>
      <c r="CD20" s="112">
        <f t="shared" si="38"/>
        <v>0</v>
      </c>
      <c r="CE20" s="89">
        <v>0</v>
      </c>
      <c r="CF20" s="112">
        <f t="shared" si="39"/>
        <v>0</v>
      </c>
      <c r="CG20" s="89">
        <f t="shared" si="5"/>
        <v>0</v>
      </c>
      <c r="CH20" s="113">
        <f t="shared" si="40"/>
        <v>0</v>
      </c>
      <c r="CI20" s="89">
        <v>0</v>
      </c>
      <c r="CJ20" s="112">
        <f t="shared" si="41"/>
        <v>0</v>
      </c>
      <c r="CK20" s="89">
        <v>0</v>
      </c>
      <c r="CL20" s="112">
        <f t="shared" si="42"/>
        <v>0</v>
      </c>
      <c r="CM20" s="89">
        <v>0</v>
      </c>
      <c r="CN20" s="112">
        <f t="shared" si="43"/>
        <v>0</v>
      </c>
      <c r="CO20" s="89">
        <v>0</v>
      </c>
      <c r="CP20" s="112">
        <f t="shared" si="44"/>
        <v>0</v>
      </c>
      <c r="CQ20" s="89">
        <v>0</v>
      </c>
      <c r="CR20" s="112">
        <f t="shared" si="45"/>
        <v>0</v>
      </c>
      <c r="CS20" s="89">
        <v>0</v>
      </c>
      <c r="CT20" s="112">
        <f t="shared" si="46"/>
        <v>0</v>
      </c>
      <c r="CU20" s="89">
        <f t="shared" si="6"/>
        <v>0</v>
      </c>
      <c r="CV20" s="113">
        <f t="shared" si="47"/>
        <v>0</v>
      </c>
    </row>
    <row r="21" spans="2:100" ht="19.95" customHeight="1">
      <c r="B21" s="86"/>
      <c r="C21" s="88">
        <v>13</v>
      </c>
      <c r="D21" s="1" t="s">
        <v>102</v>
      </c>
      <c r="E21" s="88">
        <f>E5</f>
        <v>35.6</v>
      </c>
      <c r="F21" s="89">
        <v>5.3</v>
      </c>
      <c r="G21" s="89">
        <f>E21*F21</f>
        <v>188.68</v>
      </c>
      <c r="H21" s="90">
        <v>1.5</v>
      </c>
      <c r="I21" s="90">
        <v>1.2</v>
      </c>
      <c r="J21" s="90">
        <v>28</v>
      </c>
      <c r="K21" s="91">
        <f>(H21*I21)*J21</f>
        <v>50.399999999999991</v>
      </c>
      <c r="L21" s="95">
        <f>G21-K21</f>
        <v>138.28000000000003</v>
      </c>
      <c r="M21" s="1"/>
      <c r="N21" s="89"/>
      <c r="P21" s="89">
        <f t="shared" si="0"/>
        <v>138.28000000000003</v>
      </c>
      <c r="Q21" s="89">
        <v>0</v>
      </c>
      <c r="R21" s="112">
        <f t="shared" si="7"/>
        <v>0</v>
      </c>
      <c r="S21" s="89">
        <v>0</v>
      </c>
      <c r="T21" s="112">
        <f t="shared" si="7"/>
        <v>0</v>
      </c>
      <c r="U21" s="89">
        <v>0</v>
      </c>
      <c r="V21" s="112">
        <f t="shared" si="8"/>
        <v>0</v>
      </c>
      <c r="W21" s="89">
        <v>0</v>
      </c>
      <c r="X21" s="112">
        <f t="shared" si="9"/>
        <v>0</v>
      </c>
      <c r="Y21" s="89">
        <v>0</v>
      </c>
      <c r="Z21" s="112">
        <f t="shared" si="10"/>
        <v>0</v>
      </c>
      <c r="AA21" s="89">
        <v>0</v>
      </c>
      <c r="AB21" s="112">
        <f t="shared" si="11"/>
        <v>0</v>
      </c>
      <c r="AC21" s="89">
        <f t="shared" si="1"/>
        <v>0</v>
      </c>
      <c r="AD21" s="113">
        <f t="shared" si="12"/>
        <v>0</v>
      </c>
      <c r="AE21" s="89">
        <v>0</v>
      </c>
      <c r="AF21" s="112">
        <f t="shared" si="13"/>
        <v>0</v>
      </c>
      <c r="AG21" s="89">
        <v>0</v>
      </c>
      <c r="AH21" s="112">
        <f t="shared" si="14"/>
        <v>0</v>
      </c>
      <c r="AI21" s="89">
        <v>0</v>
      </c>
      <c r="AJ21" s="112">
        <f t="shared" si="15"/>
        <v>0</v>
      </c>
      <c r="AK21" s="89">
        <v>0</v>
      </c>
      <c r="AL21" s="112">
        <f t="shared" si="16"/>
        <v>0</v>
      </c>
      <c r="AM21" s="89">
        <v>0</v>
      </c>
      <c r="AN21" s="112">
        <f t="shared" si="17"/>
        <v>0</v>
      </c>
      <c r="AO21" s="89">
        <v>0</v>
      </c>
      <c r="AP21" s="112">
        <f t="shared" si="18"/>
        <v>0</v>
      </c>
      <c r="AQ21" s="89">
        <f t="shared" si="2"/>
        <v>0</v>
      </c>
      <c r="AR21" s="113">
        <f t="shared" si="19"/>
        <v>0</v>
      </c>
      <c r="AS21" s="89">
        <v>0</v>
      </c>
      <c r="AT21" s="112">
        <f t="shared" si="20"/>
        <v>0</v>
      </c>
      <c r="AU21" s="89">
        <v>0</v>
      </c>
      <c r="AV21" s="112">
        <f t="shared" si="21"/>
        <v>0</v>
      </c>
      <c r="AW21" s="89">
        <v>0</v>
      </c>
      <c r="AX21" s="112">
        <f t="shared" si="22"/>
        <v>0</v>
      </c>
      <c r="AY21" s="89">
        <v>0</v>
      </c>
      <c r="AZ21" s="112">
        <f t="shared" si="23"/>
        <v>0</v>
      </c>
      <c r="BA21" s="89">
        <v>0</v>
      </c>
      <c r="BB21" s="112">
        <f t="shared" si="24"/>
        <v>0</v>
      </c>
      <c r="BC21" s="89">
        <v>0</v>
      </c>
      <c r="BD21" s="112">
        <f t="shared" si="25"/>
        <v>0</v>
      </c>
      <c r="BE21" s="89">
        <f t="shared" si="3"/>
        <v>0</v>
      </c>
      <c r="BF21" s="113">
        <f t="shared" si="26"/>
        <v>0</v>
      </c>
      <c r="BG21" s="89">
        <v>0</v>
      </c>
      <c r="BH21" s="112">
        <f t="shared" si="27"/>
        <v>0</v>
      </c>
      <c r="BI21" s="89">
        <v>0</v>
      </c>
      <c r="BJ21" s="112">
        <f t="shared" si="28"/>
        <v>0</v>
      </c>
      <c r="BK21" s="89">
        <v>0</v>
      </c>
      <c r="BL21" s="112">
        <f t="shared" si="29"/>
        <v>0</v>
      </c>
      <c r="BM21" s="89">
        <v>0</v>
      </c>
      <c r="BN21" s="112">
        <f t="shared" si="30"/>
        <v>0</v>
      </c>
      <c r="BO21" s="89">
        <v>0</v>
      </c>
      <c r="BP21" s="112">
        <f t="shared" si="31"/>
        <v>0</v>
      </c>
      <c r="BQ21" s="89">
        <v>0</v>
      </c>
      <c r="BR21" s="112">
        <f t="shared" si="32"/>
        <v>0</v>
      </c>
      <c r="BS21" s="89">
        <f t="shared" si="4"/>
        <v>0</v>
      </c>
      <c r="BT21" s="113">
        <f t="shared" si="33"/>
        <v>0</v>
      </c>
      <c r="BU21" s="89">
        <v>0</v>
      </c>
      <c r="BV21" s="112">
        <f t="shared" si="34"/>
        <v>0</v>
      </c>
      <c r="BW21" s="89">
        <v>0</v>
      </c>
      <c r="BX21" s="112">
        <f t="shared" si="35"/>
        <v>0</v>
      </c>
      <c r="BY21" s="89">
        <v>0</v>
      </c>
      <c r="BZ21" s="112">
        <f t="shared" si="36"/>
        <v>0</v>
      </c>
      <c r="CA21" s="89">
        <v>0</v>
      </c>
      <c r="CB21" s="112">
        <f t="shared" si="37"/>
        <v>0</v>
      </c>
      <c r="CC21" s="89">
        <v>0</v>
      </c>
      <c r="CD21" s="112">
        <f t="shared" si="38"/>
        <v>0</v>
      </c>
      <c r="CE21" s="89">
        <v>0</v>
      </c>
      <c r="CF21" s="112">
        <f t="shared" si="39"/>
        <v>0</v>
      </c>
      <c r="CG21" s="89">
        <f t="shared" si="5"/>
        <v>0</v>
      </c>
      <c r="CH21" s="113">
        <f t="shared" si="40"/>
        <v>0</v>
      </c>
      <c r="CI21" s="89">
        <v>0</v>
      </c>
      <c r="CJ21" s="112">
        <f t="shared" si="41"/>
        <v>0</v>
      </c>
      <c r="CK21" s="89">
        <v>0</v>
      </c>
      <c r="CL21" s="112">
        <f t="shared" si="42"/>
        <v>0</v>
      </c>
      <c r="CM21" s="89">
        <v>0</v>
      </c>
      <c r="CN21" s="112">
        <f t="shared" si="43"/>
        <v>0</v>
      </c>
      <c r="CO21" s="89">
        <v>0</v>
      </c>
      <c r="CP21" s="112">
        <f t="shared" si="44"/>
        <v>0</v>
      </c>
      <c r="CQ21" s="89">
        <v>0</v>
      </c>
      <c r="CR21" s="112">
        <f t="shared" si="45"/>
        <v>0</v>
      </c>
      <c r="CS21" s="89">
        <v>0</v>
      </c>
      <c r="CT21" s="112">
        <f t="shared" si="46"/>
        <v>0</v>
      </c>
      <c r="CU21" s="89">
        <f t="shared" si="6"/>
        <v>0</v>
      </c>
      <c r="CV21" s="113">
        <f t="shared" si="47"/>
        <v>0</v>
      </c>
    </row>
    <row r="22" spans="2:100" ht="19.95" customHeight="1">
      <c r="B22" s="86"/>
      <c r="C22" s="88">
        <v>14</v>
      </c>
      <c r="D22" s="1" t="s">
        <v>192</v>
      </c>
      <c r="E22" s="88">
        <v>35</v>
      </c>
      <c r="F22" s="89">
        <v>4.8</v>
      </c>
      <c r="G22" s="89">
        <f>E22*F22</f>
        <v>168</v>
      </c>
      <c r="H22" s="90">
        <v>0.25</v>
      </c>
      <c r="I22" s="90">
        <v>3.1</v>
      </c>
      <c r="J22" s="90">
        <v>14</v>
      </c>
      <c r="K22" s="91">
        <f>(H22*I22)*J22</f>
        <v>10.85</v>
      </c>
      <c r="L22" s="95">
        <f>G22-K22</f>
        <v>157.15</v>
      </c>
      <c r="M22" s="89"/>
      <c r="O22" s="89"/>
      <c r="P22" s="89">
        <f t="shared" si="0"/>
        <v>157.15</v>
      </c>
      <c r="Q22" s="89">
        <v>0</v>
      </c>
      <c r="R22" s="112">
        <f t="shared" si="7"/>
        <v>0</v>
      </c>
      <c r="S22" s="89">
        <v>0</v>
      </c>
      <c r="T22" s="112">
        <f t="shared" si="7"/>
        <v>0</v>
      </c>
      <c r="U22" s="89">
        <v>0</v>
      </c>
      <c r="V22" s="112">
        <f t="shared" si="8"/>
        <v>0</v>
      </c>
      <c r="W22" s="89">
        <v>0</v>
      </c>
      <c r="X22" s="112">
        <f t="shared" si="9"/>
        <v>0</v>
      </c>
      <c r="Y22" s="89">
        <v>0</v>
      </c>
      <c r="Z22" s="112">
        <f t="shared" si="10"/>
        <v>0</v>
      </c>
      <c r="AA22" s="89">
        <v>0</v>
      </c>
      <c r="AB22" s="112">
        <f t="shared" si="11"/>
        <v>0</v>
      </c>
      <c r="AC22" s="89">
        <f t="shared" si="1"/>
        <v>0</v>
      </c>
      <c r="AD22" s="113">
        <f t="shared" si="12"/>
        <v>0</v>
      </c>
      <c r="AE22" s="89">
        <v>0</v>
      </c>
      <c r="AF22" s="112">
        <f t="shared" si="13"/>
        <v>0</v>
      </c>
      <c r="AG22" s="89">
        <v>0</v>
      </c>
      <c r="AH22" s="112">
        <f t="shared" si="14"/>
        <v>0</v>
      </c>
      <c r="AI22" s="89">
        <v>0</v>
      </c>
      <c r="AJ22" s="112">
        <f t="shared" si="15"/>
        <v>0</v>
      </c>
      <c r="AK22" s="89">
        <v>0</v>
      </c>
      <c r="AL22" s="112">
        <f t="shared" si="16"/>
        <v>0</v>
      </c>
      <c r="AM22" s="89">
        <v>0</v>
      </c>
      <c r="AN22" s="112">
        <f t="shared" si="17"/>
        <v>0</v>
      </c>
      <c r="AO22" s="89">
        <v>0</v>
      </c>
      <c r="AP22" s="112">
        <f t="shared" si="18"/>
        <v>0</v>
      </c>
      <c r="AQ22" s="89">
        <f t="shared" si="2"/>
        <v>0</v>
      </c>
      <c r="AR22" s="113">
        <f t="shared" si="19"/>
        <v>0</v>
      </c>
      <c r="AS22" s="89">
        <v>0</v>
      </c>
      <c r="AT22" s="112">
        <f t="shared" si="20"/>
        <v>0</v>
      </c>
      <c r="AU22" s="89">
        <v>0</v>
      </c>
      <c r="AV22" s="112">
        <f t="shared" si="21"/>
        <v>0</v>
      </c>
      <c r="AW22" s="89">
        <v>0</v>
      </c>
      <c r="AX22" s="112">
        <f t="shared" si="22"/>
        <v>0</v>
      </c>
      <c r="AY22" s="89">
        <v>0</v>
      </c>
      <c r="AZ22" s="112">
        <f t="shared" si="23"/>
        <v>0</v>
      </c>
      <c r="BA22" s="89">
        <v>0</v>
      </c>
      <c r="BB22" s="112">
        <f t="shared" si="24"/>
        <v>0</v>
      </c>
      <c r="BC22" s="89">
        <v>0</v>
      </c>
      <c r="BD22" s="112">
        <f t="shared" si="25"/>
        <v>0</v>
      </c>
      <c r="BE22" s="89">
        <f t="shared" si="3"/>
        <v>0</v>
      </c>
      <c r="BF22" s="113">
        <f t="shared" si="26"/>
        <v>0</v>
      </c>
      <c r="BG22" s="89">
        <v>0</v>
      </c>
      <c r="BH22" s="112">
        <f t="shared" si="27"/>
        <v>0</v>
      </c>
      <c r="BI22" s="89">
        <v>0</v>
      </c>
      <c r="BJ22" s="112">
        <f t="shared" si="28"/>
        <v>0</v>
      </c>
      <c r="BK22" s="89">
        <v>0</v>
      </c>
      <c r="BL22" s="112">
        <f t="shared" si="29"/>
        <v>0</v>
      </c>
      <c r="BM22" s="89">
        <v>0</v>
      </c>
      <c r="BN22" s="112">
        <f t="shared" si="30"/>
        <v>0</v>
      </c>
      <c r="BO22" s="89">
        <v>0</v>
      </c>
      <c r="BP22" s="112">
        <f t="shared" si="31"/>
        <v>0</v>
      </c>
      <c r="BQ22" s="89">
        <v>0</v>
      </c>
      <c r="BR22" s="112">
        <f t="shared" si="32"/>
        <v>0</v>
      </c>
      <c r="BS22" s="89">
        <f t="shared" si="4"/>
        <v>0</v>
      </c>
      <c r="BT22" s="113">
        <f t="shared" si="33"/>
        <v>0</v>
      </c>
      <c r="BU22" s="89">
        <v>0</v>
      </c>
      <c r="BV22" s="112">
        <f t="shared" si="34"/>
        <v>0</v>
      </c>
      <c r="BW22" s="89">
        <v>0</v>
      </c>
      <c r="BX22" s="112">
        <f t="shared" si="35"/>
        <v>0</v>
      </c>
      <c r="BY22" s="89">
        <v>0</v>
      </c>
      <c r="BZ22" s="112">
        <f t="shared" si="36"/>
        <v>0</v>
      </c>
      <c r="CA22" s="89">
        <v>0</v>
      </c>
      <c r="CB22" s="112">
        <f t="shared" si="37"/>
        <v>0</v>
      </c>
      <c r="CC22" s="89">
        <v>0</v>
      </c>
      <c r="CD22" s="112">
        <f t="shared" si="38"/>
        <v>0</v>
      </c>
      <c r="CE22" s="89">
        <v>0</v>
      </c>
      <c r="CF22" s="112">
        <f t="shared" si="39"/>
        <v>0</v>
      </c>
      <c r="CG22" s="89">
        <f t="shared" si="5"/>
        <v>0</v>
      </c>
      <c r="CH22" s="113">
        <f t="shared" si="40"/>
        <v>0</v>
      </c>
      <c r="CI22" s="89">
        <v>0</v>
      </c>
      <c r="CJ22" s="112">
        <f t="shared" si="41"/>
        <v>0</v>
      </c>
      <c r="CK22" s="89">
        <v>0</v>
      </c>
      <c r="CL22" s="112">
        <f t="shared" si="42"/>
        <v>0</v>
      </c>
      <c r="CM22" s="89">
        <v>0</v>
      </c>
      <c r="CN22" s="112">
        <f t="shared" si="43"/>
        <v>0</v>
      </c>
      <c r="CO22" s="89">
        <v>0</v>
      </c>
      <c r="CP22" s="112">
        <f t="shared" si="44"/>
        <v>0</v>
      </c>
      <c r="CQ22" s="89">
        <v>0</v>
      </c>
      <c r="CR22" s="112">
        <f t="shared" si="45"/>
        <v>0</v>
      </c>
      <c r="CS22" s="89">
        <v>0</v>
      </c>
      <c r="CT22" s="112">
        <f t="shared" si="46"/>
        <v>0</v>
      </c>
      <c r="CU22" s="89">
        <f t="shared" si="6"/>
        <v>0</v>
      </c>
      <c r="CV22" s="113">
        <f t="shared" si="47"/>
        <v>0</v>
      </c>
    </row>
    <row r="23" spans="2:100" ht="19.95" customHeight="1">
      <c r="B23" s="86"/>
      <c r="C23" s="88">
        <v>15</v>
      </c>
      <c r="D23" s="1" t="s">
        <v>192</v>
      </c>
      <c r="E23" s="88">
        <v>35</v>
      </c>
      <c r="F23" s="88">
        <v>2.15</v>
      </c>
      <c r="G23" s="89">
        <f>E23*F23</f>
        <v>75.25</v>
      </c>
      <c r="H23" s="90"/>
      <c r="I23" s="91"/>
      <c r="J23" s="90"/>
      <c r="K23" s="91"/>
      <c r="L23" s="95">
        <f>G23-K23</f>
        <v>75.25</v>
      </c>
      <c r="M23" s="89"/>
      <c r="N23" s="1"/>
      <c r="O23" s="89"/>
      <c r="P23" s="89">
        <f t="shared" si="0"/>
        <v>75.25</v>
      </c>
      <c r="Q23" s="89">
        <v>0</v>
      </c>
      <c r="R23" s="112">
        <f t="shared" ref="R23:T38" si="49">Q23/$P23</f>
        <v>0</v>
      </c>
      <c r="S23" s="89">
        <v>0</v>
      </c>
      <c r="T23" s="112">
        <f t="shared" si="49"/>
        <v>0</v>
      </c>
      <c r="U23" s="89">
        <v>0</v>
      </c>
      <c r="V23" s="112">
        <f t="shared" si="8"/>
        <v>0</v>
      </c>
      <c r="W23" s="89">
        <v>0</v>
      </c>
      <c r="X23" s="112">
        <f t="shared" si="9"/>
        <v>0</v>
      </c>
      <c r="Y23" s="89">
        <v>0</v>
      </c>
      <c r="Z23" s="112">
        <f t="shared" si="10"/>
        <v>0</v>
      </c>
      <c r="AA23" s="89">
        <v>0</v>
      </c>
      <c r="AB23" s="112">
        <f t="shared" ref="AB23:AB38" si="50">AA23/$P23</f>
        <v>0</v>
      </c>
      <c r="AC23" s="89">
        <f t="shared" si="1"/>
        <v>0</v>
      </c>
      <c r="AD23" s="113">
        <f t="shared" si="12"/>
        <v>0</v>
      </c>
      <c r="AE23" s="89">
        <v>0</v>
      </c>
      <c r="AF23" s="112">
        <f t="shared" si="13"/>
        <v>0</v>
      </c>
      <c r="AG23" s="89">
        <v>0</v>
      </c>
      <c r="AH23" s="112">
        <f t="shared" si="14"/>
        <v>0</v>
      </c>
      <c r="AI23" s="89">
        <v>0</v>
      </c>
      <c r="AJ23" s="112">
        <f t="shared" si="15"/>
        <v>0</v>
      </c>
      <c r="AK23" s="89">
        <v>0</v>
      </c>
      <c r="AL23" s="112">
        <f t="shared" si="16"/>
        <v>0</v>
      </c>
      <c r="AM23" s="89">
        <v>0</v>
      </c>
      <c r="AN23" s="112">
        <f t="shared" si="17"/>
        <v>0</v>
      </c>
      <c r="AO23" s="89">
        <v>0</v>
      </c>
      <c r="AP23" s="112">
        <f t="shared" si="18"/>
        <v>0</v>
      </c>
      <c r="AQ23" s="89">
        <f t="shared" si="2"/>
        <v>0</v>
      </c>
      <c r="AR23" s="113">
        <f t="shared" si="19"/>
        <v>0</v>
      </c>
      <c r="AS23" s="89">
        <v>0</v>
      </c>
      <c r="AT23" s="112">
        <f t="shared" si="20"/>
        <v>0</v>
      </c>
      <c r="AU23" s="89">
        <v>0</v>
      </c>
      <c r="AV23" s="112">
        <f t="shared" si="21"/>
        <v>0</v>
      </c>
      <c r="AW23" s="89">
        <v>0</v>
      </c>
      <c r="AX23" s="112">
        <f t="shared" si="22"/>
        <v>0</v>
      </c>
      <c r="AY23" s="89">
        <v>0</v>
      </c>
      <c r="AZ23" s="112">
        <f t="shared" si="23"/>
        <v>0</v>
      </c>
      <c r="BA23" s="89">
        <v>0</v>
      </c>
      <c r="BB23" s="112">
        <f t="shared" si="24"/>
        <v>0</v>
      </c>
      <c r="BC23" s="89">
        <v>0</v>
      </c>
      <c r="BD23" s="112">
        <f t="shared" si="25"/>
        <v>0</v>
      </c>
      <c r="BE23" s="89">
        <f t="shared" si="3"/>
        <v>0</v>
      </c>
      <c r="BF23" s="113">
        <f t="shared" si="26"/>
        <v>0</v>
      </c>
      <c r="BG23" s="89">
        <v>0</v>
      </c>
      <c r="BH23" s="112">
        <f t="shared" si="27"/>
        <v>0</v>
      </c>
      <c r="BI23" s="89">
        <v>0</v>
      </c>
      <c r="BJ23" s="112">
        <f t="shared" si="28"/>
        <v>0</v>
      </c>
      <c r="BK23" s="89">
        <v>0</v>
      </c>
      <c r="BL23" s="112">
        <f t="shared" si="29"/>
        <v>0</v>
      </c>
      <c r="BM23" s="89">
        <v>0</v>
      </c>
      <c r="BN23" s="112">
        <f t="shared" si="30"/>
        <v>0</v>
      </c>
      <c r="BO23" s="89">
        <v>0</v>
      </c>
      <c r="BP23" s="112">
        <f t="shared" si="31"/>
        <v>0</v>
      </c>
      <c r="BQ23" s="89">
        <v>0</v>
      </c>
      <c r="BR23" s="112">
        <f t="shared" si="32"/>
        <v>0</v>
      </c>
      <c r="BS23" s="89">
        <f t="shared" si="4"/>
        <v>0</v>
      </c>
      <c r="BT23" s="113">
        <f t="shared" si="33"/>
        <v>0</v>
      </c>
      <c r="BU23" s="89">
        <v>0</v>
      </c>
      <c r="BV23" s="112">
        <f t="shared" si="34"/>
        <v>0</v>
      </c>
      <c r="BW23" s="89">
        <v>0</v>
      </c>
      <c r="BX23" s="112">
        <f t="shared" si="35"/>
        <v>0</v>
      </c>
      <c r="BY23" s="89">
        <v>0</v>
      </c>
      <c r="BZ23" s="112">
        <f t="shared" si="36"/>
        <v>0</v>
      </c>
      <c r="CA23" s="89">
        <v>0</v>
      </c>
      <c r="CB23" s="112">
        <f t="shared" si="37"/>
        <v>0</v>
      </c>
      <c r="CC23" s="89">
        <v>0</v>
      </c>
      <c r="CD23" s="112">
        <f t="shared" si="38"/>
        <v>0</v>
      </c>
      <c r="CE23" s="89">
        <v>0</v>
      </c>
      <c r="CF23" s="112">
        <f t="shared" si="39"/>
        <v>0</v>
      </c>
      <c r="CG23" s="89">
        <f t="shared" si="5"/>
        <v>0</v>
      </c>
      <c r="CH23" s="113">
        <f t="shared" si="40"/>
        <v>0</v>
      </c>
      <c r="CI23" s="89">
        <v>0</v>
      </c>
      <c r="CJ23" s="112">
        <f t="shared" si="41"/>
        <v>0</v>
      </c>
      <c r="CK23" s="89">
        <v>0</v>
      </c>
      <c r="CL23" s="112">
        <f t="shared" si="42"/>
        <v>0</v>
      </c>
      <c r="CM23" s="89">
        <v>0</v>
      </c>
      <c r="CN23" s="112">
        <f t="shared" si="43"/>
        <v>0</v>
      </c>
      <c r="CO23" s="89">
        <v>0</v>
      </c>
      <c r="CP23" s="112">
        <f t="shared" si="44"/>
        <v>0</v>
      </c>
      <c r="CQ23" s="89">
        <v>0</v>
      </c>
      <c r="CR23" s="112">
        <f t="shared" si="45"/>
        <v>0</v>
      </c>
      <c r="CS23" s="89">
        <v>0</v>
      </c>
      <c r="CT23" s="112">
        <f t="shared" si="46"/>
        <v>0</v>
      </c>
      <c r="CU23" s="89">
        <f t="shared" si="6"/>
        <v>0</v>
      </c>
      <c r="CV23" s="113">
        <f t="shared" si="47"/>
        <v>0</v>
      </c>
    </row>
    <row r="24" spans="2:100" ht="19.95" customHeight="1">
      <c r="B24" s="86"/>
      <c r="C24" s="88">
        <v>16</v>
      </c>
      <c r="D24" s="1" t="s">
        <v>192</v>
      </c>
      <c r="E24" s="88">
        <v>35</v>
      </c>
      <c r="F24" s="89">
        <v>1.42</v>
      </c>
      <c r="G24" s="89">
        <f>E24*F24</f>
        <v>49.699999999999996</v>
      </c>
      <c r="H24" s="90">
        <v>0.25</v>
      </c>
      <c r="I24" s="90">
        <v>3.1</v>
      </c>
      <c r="J24" s="90">
        <v>14</v>
      </c>
      <c r="K24" s="91">
        <f>(H24*I24)*J24</f>
        <v>10.85</v>
      </c>
      <c r="L24" s="95">
        <f>G24-K24</f>
        <v>38.849999999999994</v>
      </c>
      <c r="M24" s="89"/>
      <c r="O24" s="89"/>
      <c r="P24" s="89">
        <f t="shared" si="0"/>
        <v>38.849999999999994</v>
      </c>
      <c r="Q24" s="89">
        <v>0</v>
      </c>
      <c r="R24" s="112">
        <f t="shared" si="49"/>
        <v>0</v>
      </c>
      <c r="S24" s="89">
        <v>0</v>
      </c>
      <c r="T24" s="112">
        <f t="shared" si="49"/>
        <v>0</v>
      </c>
      <c r="U24" s="89">
        <v>0</v>
      </c>
      <c r="V24" s="112">
        <f t="shared" si="8"/>
        <v>0</v>
      </c>
      <c r="W24" s="89">
        <v>0</v>
      </c>
      <c r="X24" s="112">
        <f t="shared" si="9"/>
        <v>0</v>
      </c>
      <c r="Y24" s="89">
        <v>0</v>
      </c>
      <c r="Z24" s="112">
        <f t="shared" si="10"/>
        <v>0</v>
      </c>
      <c r="AA24" s="89">
        <v>0</v>
      </c>
      <c r="AB24" s="112">
        <f t="shared" si="50"/>
        <v>0</v>
      </c>
      <c r="AC24" s="89">
        <f t="shared" si="1"/>
        <v>0</v>
      </c>
      <c r="AD24" s="113">
        <f t="shared" si="12"/>
        <v>0</v>
      </c>
      <c r="AE24" s="89">
        <v>0</v>
      </c>
      <c r="AF24" s="112">
        <f t="shared" si="13"/>
        <v>0</v>
      </c>
      <c r="AG24" s="89">
        <v>0</v>
      </c>
      <c r="AH24" s="112">
        <f t="shared" si="14"/>
        <v>0</v>
      </c>
      <c r="AI24" s="89">
        <v>0</v>
      </c>
      <c r="AJ24" s="112">
        <f t="shared" si="15"/>
        <v>0</v>
      </c>
      <c r="AK24" s="89">
        <v>0</v>
      </c>
      <c r="AL24" s="112">
        <f t="shared" si="16"/>
        <v>0</v>
      </c>
      <c r="AM24" s="89">
        <v>0</v>
      </c>
      <c r="AN24" s="112">
        <f t="shared" si="17"/>
        <v>0</v>
      </c>
      <c r="AO24" s="89">
        <v>0</v>
      </c>
      <c r="AP24" s="112">
        <f t="shared" si="18"/>
        <v>0</v>
      </c>
      <c r="AQ24" s="89">
        <f t="shared" si="2"/>
        <v>0</v>
      </c>
      <c r="AR24" s="113">
        <f t="shared" si="19"/>
        <v>0</v>
      </c>
      <c r="AS24" s="89">
        <v>0</v>
      </c>
      <c r="AT24" s="112">
        <f t="shared" si="20"/>
        <v>0</v>
      </c>
      <c r="AU24" s="89">
        <v>0</v>
      </c>
      <c r="AV24" s="112">
        <f t="shared" si="21"/>
        <v>0</v>
      </c>
      <c r="AW24" s="89">
        <v>0</v>
      </c>
      <c r="AX24" s="112">
        <f t="shared" si="22"/>
        <v>0</v>
      </c>
      <c r="AY24" s="89">
        <v>0</v>
      </c>
      <c r="AZ24" s="112">
        <f t="shared" si="23"/>
        <v>0</v>
      </c>
      <c r="BA24" s="89">
        <v>0</v>
      </c>
      <c r="BB24" s="112">
        <f t="shared" si="24"/>
        <v>0</v>
      </c>
      <c r="BC24" s="89">
        <v>0</v>
      </c>
      <c r="BD24" s="112">
        <f t="shared" si="25"/>
        <v>0</v>
      </c>
      <c r="BE24" s="89">
        <f t="shared" si="3"/>
        <v>0</v>
      </c>
      <c r="BF24" s="113">
        <f t="shared" si="26"/>
        <v>0</v>
      </c>
      <c r="BG24" s="89">
        <v>0</v>
      </c>
      <c r="BH24" s="112">
        <f t="shared" si="27"/>
        <v>0</v>
      </c>
      <c r="BI24" s="89">
        <v>0</v>
      </c>
      <c r="BJ24" s="112">
        <f t="shared" si="28"/>
        <v>0</v>
      </c>
      <c r="BK24" s="89">
        <v>0</v>
      </c>
      <c r="BL24" s="112">
        <f t="shared" si="29"/>
        <v>0</v>
      </c>
      <c r="BM24" s="89">
        <v>0</v>
      </c>
      <c r="BN24" s="112">
        <f t="shared" si="30"/>
        <v>0</v>
      </c>
      <c r="BO24" s="89">
        <v>0</v>
      </c>
      <c r="BP24" s="112">
        <f t="shared" si="31"/>
        <v>0</v>
      </c>
      <c r="BQ24" s="89">
        <v>0</v>
      </c>
      <c r="BR24" s="112">
        <f t="shared" si="32"/>
        <v>0</v>
      </c>
      <c r="BS24" s="89">
        <f t="shared" si="4"/>
        <v>0</v>
      </c>
      <c r="BT24" s="113">
        <f t="shared" si="33"/>
        <v>0</v>
      </c>
      <c r="BU24" s="89">
        <v>0</v>
      </c>
      <c r="BV24" s="112">
        <f t="shared" si="34"/>
        <v>0</v>
      </c>
      <c r="BW24" s="89">
        <v>0</v>
      </c>
      <c r="BX24" s="112">
        <f t="shared" si="35"/>
        <v>0</v>
      </c>
      <c r="BY24" s="89">
        <v>0</v>
      </c>
      <c r="BZ24" s="112">
        <f t="shared" si="36"/>
        <v>0</v>
      </c>
      <c r="CA24" s="89">
        <v>0</v>
      </c>
      <c r="CB24" s="112">
        <f t="shared" si="37"/>
        <v>0</v>
      </c>
      <c r="CC24" s="89">
        <v>0</v>
      </c>
      <c r="CD24" s="112">
        <f t="shared" si="38"/>
        <v>0</v>
      </c>
      <c r="CE24" s="89">
        <v>0</v>
      </c>
      <c r="CF24" s="112">
        <f t="shared" si="39"/>
        <v>0</v>
      </c>
      <c r="CG24" s="89">
        <f t="shared" si="5"/>
        <v>0</v>
      </c>
      <c r="CH24" s="113">
        <f t="shared" si="40"/>
        <v>0</v>
      </c>
      <c r="CI24" s="89">
        <v>0</v>
      </c>
      <c r="CJ24" s="112">
        <f t="shared" si="41"/>
        <v>0</v>
      </c>
      <c r="CK24" s="89">
        <v>0</v>
      </c>
      <c r="CL24" s="112">
        <f t="shared" si="42"/>
        <v>0</v>
      </c>
      <c r="CM24" s="89">
        <v>0</v>
      </c>
      <c r="CN24" s="112">
        <f t="shared" si="43"/>
        <v>0</v>
      </c>
      <c r="CO24" s="89">
        <v>0</v>
      </c>
      <c r="CP24" s="112">
        <f t="shared" si="44"/>
        <v>0</v>
      </c>
      <c r="CQ24" s="89">
        <v>0</v>
      </c>
      <c r="CR24" s="112">
        <f t="shared" si="45"/>
        <v>0</v>
      </c>
      <c r="CS24" s="89">
        <v>0</v>
      </c>
      <c r="CT24" s="112">
        <f t="shared" si="46"/>
        <v>0</v>
      </c>
      <c r="CU24" s="89">
        <f t="shared" si="6"/>
        <v>0</v>
      </c>
      <c r="CV24" s="113">
        <f t="shared" si="47"/>
        <v>0</v>
      </c>
    </row>
    <row r="25" spans="2:100" ht="19.95" customHeight="1">
      <c r="B25" s="86"/>
      <c r="C25" s="88" t="s">
        <v>222</v>
      </c>
      <c r="D25" s="1" t="s">
        <v>202</v>
      </c>
      <c r="E25" s="88">
        <v>1</v>
      </c>
      <c r="F25" s="88">
        <v>1.9</v>
      </c>
      <c r="G25" s="89">
        <f>E25*F25*14</f>
        <v>26.599999999999998</v>
      </c>
      <c r="H25" s="90"/>
      <c r="I25" s="90"/>
      <c r="J25" s="90"/>
      <c r="K25" s="91"/>
      <c r="L25" s="89"/>
      <c r="O25" s="95">
        <f>G25</f>
        <v>26.599999999999998</v>
      </c>
      <c r="P25" s="89">
        <f t="shared" si="0"/>
        <v>26.599999999999998</v>
      </c>
      <c r="Q25" s="89">
        <v>0</v>
      </c>
      <c r="R25" s="112">
        <f t="shared" si="49"/>
        <v>0</v>
      </c>
      <c r="S25" s="89">
        <v>0</v>
      </c>
      <c r="T25" s="112">
        <f t="shared" si="49"/>
        <v>0</v>
      </c>
      <c r="U25" s="89">
        <v>0</v>
      </c>
      <c r="V25" s="112">
        <f t="shared" si="8"/>
        <v>0</v>
      </c>
      <c r="W25" s="89">
        <v>0</v>
      </c>
      <c r="X25" s="112">
        <f t="shared" si="9"/>
        <v>0</v>
      </c>
      <c r="Y25" s="89">
        <v>0</v>
      </c>
      <c r="Z25" s="112">
        <f t="shared" si="10"/>
        <v>0</v>
      </c>
      <c r="AA25" s="89">
        <v>0</v>
      </c>
      <c r="AB25" s="112">
        <f t="shared" si="50"/>
        <v>0</v>
      </c>
      <c r="AC25" s="89">
        <f t="shared" si="1"/>
        <v>0</v>
      </c>
      <c r="AD25" s="113">
        <f t="shared" si="12"/>
        <v>0</v>
      </c>
      <c r="AE25" s="89">
        <v>0</v>
      </c>
      <c r="AF25" s="112">
        <f t="shared" si="13"/>
        <v>0</v>
      </c>
      <c r="AG25" s="89">
        <v>0</v>
      </c>
      <c r="AH25" s="112">
        <f t="shared" si="14"/>
        <v>0</v>
      </c>
      <c r="AI25" s="89">
        <v>0</v>
      </c>
      <c r="AJ25" s="112">
        <f t="shared" si="15"/>
        <v>0</v>
      </c>
      <c r="AK25" s="89">
        <v>0</v>
      </c>
      <c r="AL25" s="112">
        <f t="shared" si="16"/>
        <v>0</v>
      </c>
      <c r="AM25" s="89">
        <v>0</v>
      </c>
      <c r="AN25" s="112">
        <f t="shared" si="17"/>
        <v>0</v>
      </c>
      <c r="AO25" s="89">
        <v>0</v>
      </c>
      <c r="AP25" s="112">
        <f t="shared" si="18"/>
        <v>0</v>
      </c>
      <c r="AQ25" s="89">
        <f t="shared" si="2"/>
        <v>0</v>
      </c>
      <c r="AR25" s="113">
        <f t="shared" si="19"/>
        <v>0</v>
      </c>
      <c r="AS25" s="89">
        <v>0</v>
      </c>
      <c r="AT25" s="112">
        <f t="shared" si="20"/>
        <v>0</v>
      </c>
      <c r="AU25" s="89">
        <v>0</v>
      </c>
      <c r="AV25" s="112">
        <f t="shared" si="21"/>
        <v>0</v>
      </c>
      <c r="AW25" s="89">
        <v>0</v>
      </c>
      <c r="AX25" s="112">
        <f t="shared" si="22"/>
        <v>0</v>
      </c>
      <c r="AY25" s="89">
        <v>0</v>
      </c>
      <c r="AZ25" s="112">
        <f t="shared" si="23"/>
        <v>0</v>
      </c>
      <c r="BA25" s="89">
        <v>0</v>
      </c>
      <c r="BB25" s="112">
        <f t="shared" si="24"/>
        <v>0</v>
      </c>
      <c r="BC25" s="89">
        <v>0</v>
      </c>
      <c r="BD25" s="112">
        <f t="shared" si="25"/>
        <v>0</v>
      </c>
      <c r="BE25" s="89">
        <f t="shared" si="3"/>
        <v>0</v>
      </c>
      <c r="BF25" s="113">
        <f t="shared" si="26"/>
        <v>0</v>
      </c>
      <c r="BG25" s="89">
        <v>0</v>
      </c>
      <c r="BH25" s="112">
        <f t="shared" si="27"/>
        <v>0</v>
      </c>
      <c r="BI25" s="89">
        <v>0</v>
      </c>
      <c r="BJ25" s="112">
        <f t="shared" si="28"/>
        <v>0</v>
      </c>
      <c r="BK25" s="89">
        <v>0</v>
      </c>
      <c r="BL25" s="112">
        <f t="shared" si="29"/>
        <v>0</v>
      </c>
      <c r="BM25" s="89">
        <v>0</v>
      </c>
      <c r="BN25" s="112">
        <f t="shared" si="30"/>
        <v>0</v>
      </c>
      <c r="BO25" s="89">
        <v>0</v>
      </c>
      <c r="BP25" s="112">
        <f t="shared" si="31"/>
        <v>0</v>
      </c>
      <c r="BQ25" s="89">
        <v>0</v>
      </c>
      <c r="BR25" s="112">
        <f t="shared" si="32"/>
        <v>0</v>
      </c>
      <c r="BS25" s="89">
        <f t="shared" si="4"/>
        <v>0</v>
      </c>
      <c r="BT25" s="113">
        <f t="shared" si="33"/>
        <v>0</v>
      </c>
      <c r="BU25" s="89">
        <v>0</v>
      </c>
      <c r="BV25" s="112">
        <f t="shared" si="34"/>
        <v>0</v>
      </c>
      <c r="BW25" s="89">
        <v>0</v>
      </c>
      <c r="BX25" s="112">
        <f t="shared" si="35"/>
        <v>0</v>
      </c>
      <c r="BY25" s="89">
        <v>0</v>
      </c>
      <c r="BZ25" s="112">
        <f t="shared" si="36"/>
        <v>0</v>
      </c>
      <c r="CA25" s="89">
        <v>0</v>
      </c>
      <c r="CB25" s="112">
        <f t="shared" si="37"/>
        <v>0</v>
      </c>
      <c r="CC25" s="89">
        <v>0</v>
      </c>
      <c r="CD25" s="112">
        <f t="shared" si="38"/>
        <v>0</v>
      </c>
      <c r="CE25" s="89">
        <v>0</v>
      </c>
      <c r="CF25" s="112">
        <f t="shared" si="39"/>
        <v>0</v>
      </c>
      <c r="CG25" s="89">
        <f t="shared" si="5"/>
        <v>0</v>
      </c>
      <c r="CH25" s="113">
        <f t="shared" si="40"/>
        <v>0</v>
      </c>
      <c r="CI25" s="89">
        <v>0</v>
      </c>
      <c r="CJ25" s="112">
        <f t="shared" si="41"/>
        <v>0</v>
      </c>
      <c r="CK25" s="89">
        <v>0</v>
      </c>
      <c r="CL25" s="112">
        <f t="shared" si="42"/>
        <v>0</v>
      </c>
      <c r="CM25" s="89">
        <v>0</v>
      </c>
      <c r="CN25" s="112">
        <f t="shared" si="43"/>
        <v>0</v>
      </c>
      <c r="CO25" s="89">
        <v>0</v>
      </c>
      <c r="CP25" s="112">
        <f t="shared" si="44"/>
        <v>0</v>
      </c>
      <c r="CQ25" s="89">
        <v>0</v>
      </c>
      <c r="CR25" s="112">
        <f t="shared" si="45"/>
        <v>0</v>
      </c>
      <c r="CS25" s="89">
        <v>0</v>
      </c>
      <c r="CT25" s="112">
        <f t="shared" si="46"/>
        <v>0</v>
      </c>
      <c r="CU25" s="89">
        <f t="shared" si="6"/>
        <v>0</v>
      </c>
      <c r="CV25" s="113">
        <f t="shared" si="47"/>
        <v>0</v>
      </c>
    </row>
    <row r="26" spans="2:100" ht="19.95" customHeight="1">
      <c r="B26" s="86" t="s">
        <v>205</v>
      </c>
      <c r="C26" s="88">
        <v>17</v>
      </c>
      <c r="D26" s="1" t="s">
        <v>206</v>
      </c>
      <c r="E26" s="88">
        <v>35</v>
      </c>
      <c r="F26" s="89">
        <v>1.67</v>
      </c>
      <c r="G26" s="89">
        <f>E26*F26</f>
        <v>58.449999999999996</v>
      </c>
      <c r="H26" s="90"/>
      <c r="I26" s="90"/>
      <c r="J26" s="90"/>
      <c r="K26" s="91"/>
      <c r="L26" s="95">
        <f>G26-K26</f>
        <v>58.449999999999996</v>
      </c>
      <c r="M26" s="89"/>
      <c r="N26" s="89"/>
      <c r="O26" s="89"/>
      <c r="P26" s="89">
        <f t="shared" si="0"/>
        <v>58.449999999999996</v>
      </c>
      <c r="Q26" s="89">
        <v>0</v>
      </c>
      <c r="R26" s="112">
        <f t="shared" si="49"/>
        <v>0</v>
      </c>
      <c r="S26" s="89">
        <v>0</v>
      </c>
      <c r="T26" s="112">
        <f t="shared" si="49"/>
        <v>0</v>
      </c>
      <c r="U26" s="89">
        <v>0</v>
      </c>
      <c r="V26" s="112">
        <f t="shared" si="8"/>
        <v>0</v>
      </c>
      <c r="W26" s="89">
        <v>0</v>
      </c>
      <c r="X26" s="112">
        <f t="shared" si="9"/>
        <v>0</v>
      </c>
      <c r="Y26" s="89">
        <v>0</v>
      </c>
      <c r="Z26" s="112">
        <f t="shared" si="10"/>
        <v>0</v>
      </c>
      <c r="AA26" s="89">
        <v>0</v>
      </c>
      <c r="AB26" s="112">
        <f t="shared" si="50"/>
        <v>0</v>
      </c>
      <c r="AC26" s="89">
        <f t="shared" si="1"/>
        <v>0</v>
      </c>
      <c r="AD26" s="113">
        <f t="shared" si="12"/>
        <v>0</v>
      </c>
      <c r="AE26" s="89">
        <v>0</v>
      </c>
      <c r="AF26" s="112">
        <f t="shared" si="13"/>
        <v>0</v>
      </c>
      <c r="AG26" s="89">
        <v>0</v>
      </c>
      <c r="AH26" s="112">
        <f t="shared" si="14"/>
        <v>0</v>
      </c>
      <c r="AI26" s="89">
        <v>0</v>
      </c>
      <c r="AJ26" s="112">
        <f t="shared" si="15"/>
        <v>0</v>
      </c>
      <c r="AK26" s="89">
        <v>0</v>
      </c>
      <c r="AL26" s="112">
        <f t="shared" si="16"/>
        <v>0</v>
      </c>
      <c r="AM26" s="89">
        <v>0</v>
      </c>
      <c r="AN26" s="112">
        <f t="shared" si="17"/>
        <v>0</v>
      </c>
      <c r="AO26" s="89">
        <v>0</v>
      </c>
      <c r="AP26" s="112">
        <f t="shared" si="18"/>
        <v>0</v>
      </c>
      <c r="AQ26" s="89">
        <f t="shared" si="2"/>
        <v>0</v>
      </c>
      <c r="AR26" s="113">
        <f t="shared" si="19"/>
        <v>0</v>
      </c>
      <c r="AS26" s="89">
        <v>0</v>
      </c>
      <c r="AT26" s="112">
        <f t="shared" si="20"/>
        <v>0</v>
      </c>
      <c r="AU26" s="89">
        <v>0</v>
      </c>
      <c r="AV26" s="112">
        <f t="shared" si="21"/>
        <v>0</v>
      </c>
      <c r="AW26" s="89">
        <v>0</v>
      </c>
      <c r="AX26" s="112">
        <f t="shared" si="22"/>
        <v>0</v>
      </c>
      <c r="AY26" s="89">
        <v>0</v>
      </c>
      <c r="AZ26" s="112">
        <f t="shared" si="23"/>
        <v>0</v>
      </c>
      <c r="BA26" s="89">
        <v>0</v>
      </c>
      <c r="BB26" s="112">
        <f t="shared" si="24"/>
        <v>0</v>
      </c>
      <c r="BC26" s="89">
        <v>0</v>
      </c>
      <c r="BD26" s="112">
        <f t="shared" si="25"/>
        <v>0</v>
      </c>
      <c r="BE26" s="89">
        <f t="shared" si="3"/>
        <v>0</v>
      </c>
      <c r="BF26" s="113">
        <f t="shared" si="26"/>
        <v>0</v>
      </c>
      <c r="BG26" s="89">
        <v>0</v>
      </c>
      <c r="BH26" s="112">
        <f t="shared" si="27"/>
        <v>0</v>
      </c>
      <c r="BI26" s="89">
        <v>0</v>
      </c>
      <c r="BJ26" s="112">
        <f t="shared" si="28"/>
        <v>0</v>
      </c>
      <c r="BK26" s="89">
        <v>0</v>
      </c>
      <c r="BL26" s="112">
        <f t="shared" si="29"/>
        <v>0</v>
      </c>
      <c r="BM26" s="89">
        <v>0</v>
      </c>
      <c r="BN26" s="112">
        <f t="shared" si="30"/>
        <v>0</v>
      </c>
      <c r="BO26" s="89">
        <v>0</v>
      </c>
      <c r="BP26" s="112">
        <f t="shared" si="31"/>
        <v>0</v>
      </c>
      <c r="BQ26" s="89">
        <v>0</v>
      </c>
      <c r="BR26" s="112">
        <f t="shared" si="32"/>
        <v>0</v>
      </c>
      <c r="BS26" s="89">
        <f t="shared" si="4"/>
        <v>0</v>
      </c>
      <c r="BT26" s="113">
        <f t="shared" si="33"/>
        <v>0</v>
      </c>
      <c r="BU26" s="89">
        <v>0</v>
      </c>
      <c r="BV26" s="112">
        <f t="shared" si="34"/>
        <v>0</v>
      </c>
      <c r="BW26" s="89">
        <v>0</v>
      </c>
      <c r="BX26" s="112">
        <f t="shared" si="35"/>
        <v>0</v>
      </c>
      <c r="BY26" s="89">
        <v>0</v>
      </c>
      <c r="BZ26" s="112">
        <f t="shared" si="36"/>
        <v>0</v>
      </c>
      <c r="CA26" s="89">
        <v>0</v>
      </c>
      <c r="CB26" s="112">
        <f t="shared" si="37"/>
        <v>0</v>
      </c>
      <c r="CC26" s="89">
        <v>0</v>
      </c>
      <c r="CD26" s="112">
        <f t="shared" si="38"/>
        <v>0</v>
      </c>
      <c r="CE26" s="89">
        <v>0</v>
      </c>
      <c r="CF26" s="112">
        <f t="shared" si="39"/>
        <v>0</v>
      </c>
      <c r="CG26" s="89">
        <f t="shared" si="5"/>
        <v>0</v>
      </c>
      <c r="CH26" s="113">
        <f t="shared" si="40"/>
        <v>0</v>
      </c>
      <c r="CI26" s="89">
        <v>0</v>
      </c>
      <c r="CJ26" s="112">
        <f t="shared" si="41"/>
        <v>0</v>
      </c>
      <c r="CK26" s="89">
        <v>0</v>
      </c>
      <c r="CL26" s="112">
        <f t="shared" si="42"/>
        <v>0</v>
      </c>
      <c r="CM26" s="89">
        <v>0</v>
      </c>
      <c r="CN26" s="112">
        <f t="shared" si="43"/>
        <v>0</v>
      </c>
      <c r="CO26" s="89">
        <v>0</v>
      </c>
      <c r="CP26" s="112">
        <f t="shared" si="44"/>
        <v>0</v>
      </c>
      <c r="CQ26" s="89">
        <v>0</v>
      </c>
      <c r="CR26" s="112">
        <f t="shared" si="45"/>
        <v>0</v>
      </c>
      <c r="CS26" s="89">
        <v>0</v>
      </c>
      <c r="CT26" s="112">
        <f t="shared" si="46"/>
        <v>0</v>
      </c>
      <c r="CU26" s="89">
        <f t="shared" si="6"/>
        <v>0</v>
      </c>
      <c r="CV26" s="113">
        <f t="shared" si="47"/>
        <v>0</v>
      </c>
    </row>
    <row r="27" spans="2:100" ht="19.95" customHeight="1">
      <c r="B27" s="86"/>
      <c r="C27" s="88">
        <v>18</v>
      </c>
      <c r="D27" s="1" t="s">
        <v>207</v>
      </c>
      <c r="E27" s="88">
        <v>0.5</v>
      </c>
      <c r="F27" s="88">
        <v>1.26</v>
      </c>
      <c r="G27" s="89">
        <f>E27*F27*14</f>
        <v>8.82</v>
      </c>
      <c r="H27" s="90"/>
      <c r="I27" s="90"/>
      <c r="J27" s="90"/>
      <c r="K27" s="91"/>
      <c r="L27" s="1"/>
      <c r="N27" s="95">
        <f>G27-K27</f>
        <v>8.82</v>
      </c>
      <c r="O27" s="89"/>
      <c r="P27" s="89">
        <f t="shared" si="0"/>
        <v>8.82</v>
      </c>
      <c r="Q27" s="89">
        <v>0</v>
      </c>
      <c r="R27" s="112">
        <f t="shared" si="49"/>
        <v>0</v>
      </c>
      <c r="S27" s="89">
        <v>0</v>
      </c>
      <c r="T27" s="112">
        <f t="shared" si="49"/>
        <v>0</v>
      </c>
      <c r="U27" s="89">
        <v>0</v>
      </c>
      <c r="V27" s="112">
        <f t="shared" si="8"/>
        <v>0</v>
      </c>
      <c r="W27" s="89">
        <v>0</v>
      </c>
      <c r="X27" s="112">
        <f t="shared" si="9"/>
        <v>0</v>
      </c>
      <c r="Y27" s="89">
        <v>0</v>
      </c>
      <c r="Z27" s="112">
        <f t="shared" si="10"/>
        <v>0</v>
      </c>
      <c r="AA27" s="89">
        <v>0</v>
      </c>
      <c r="AB27" s="112">
        <f t="shared" si="50"/>
        <v>0</v>
      </c>
      <c r="AC27" s="89">
        <f t="shared" si="1"/>
        <v>0</v>
      </c>
      <c r="AD27" s="113">
        <f t="shared" si="12"/>
        <v>0</v>
      </c>
      <c r="AE27" s="89">
        <v>0</v>
      </c>
      <c r="AF27" s="112">
        <f t="shared" si="13"/>
        <v>0</v>
      </c>
      <c r="AG27" s="89">
        <v>0</v>
      </c>
      <c r="AH27" s="112">
        <f t="shared" si="14"/>
        <v>0</v>
      </c>
      <c r="AI27" s="89">
        <v>0</v>
      </c>
      <c r="AJ27" s="112">
        <f t="shared" si="15"/>
        <v>0</v>
      </c>
      <c r="AK27" s="89">
        <v>0</v>
      </c>
      <c r="AL27" s="112">
        <f t="shared" si="16"/>
        <v>0</v>
      </c>
      <c r="AM27" s="89">
        <v>0</v>
      </c>
      <c r="AN27" s="112">
        <f t="shared" si="17"/>
        <v>0</v>
      </c>
      <c r="AO27" s="89">
        <v>0</v>
      </c>
      <c r="AP27" s="112">
        <f t="shared" si="18"/>
        <v>0</v>
      </c>
      <c r="AQ27" s="89">
        <f t="shared" si="2"/>
        <v>0</v>
      </c>
      <c r="AR27" s="113">
        <f t="shared" si="19"/>
        <v>0</v>
      </c>
      <c r="AS27" s="89">
        <v>0</v>
      </c>
      <c r="AT27" s="112">
        <f t="shared" si="20"/>
        <v>0</v>
      </c>
      <c r="AU27" s="89">
        <v>0</v>
      </c>
      <c r="AV27" s="112">
        <f t="shared" si="21"/>
        <v>0</v>
      </c>
      <c r="AW27" s="89">
        <v>0</v>
      </c>
      <c r="AX27" s="112">
        <f t="shared" si="22"/>
        <v>0</v>
      </c>
      <c r="AY27" s="89">
        <v>0</v>
      </c>
      <c r="AZ27" s="112">
        <f t="shared" si="23"/>
        <v>0</v>
      </c>
      <c r="BA27" s="89">
        <v>0</v>
      </c>
      <c r="BB27" s="112">
        <f t="shared" si="24"/>
        <v>0</v>
      </c>
      <c r="BC27" s="89">
        <v>0</v>
      </c>
      <c r="BD27" s="112">
        <f t="shared" si="25"/>
        <v>0</v>
      </c>
      <c r="BE27" s="89">
        <f t="shared" si="3"/>
        <v>0</v>
      </c>
      <c r="BF27" s="113">
        <f t="shared" si="26"/>
        <v>0</v>
      </c>
      <c r="BG27" s="89">
        <v>0</v>
      </c>
      <c r="BH27" s="112">
        <f t="shared" si="27"/>
        <v>0</v>
      </c>
      <c r="BI27" s="89">
        <v>0</v>
      </c>
      <c r="BJ27" s="112">
        <f t="shared" si="28"/>
        <v>0</v>
      </c>
      <c r="BK27" s="89">
        <v>0</v>
      </c>
      <c r="BL27" s="112">
        <f t="shared" si="29"/>
        <v>0</v>
      </c>
      <c r="BM27" s="89">
        <v>0</v>
      </c>
      <c r="BN27" s="112">
        <f t="shared" si="30"/>
        <v>0</v>
      </c>
      <c r="BO27" s="89">
        <v>0</v>
      </c>
      <c r="BP27" s="112">
        <f t="shared" si="31"/>
        <v>0</v>
      </c>
      <c r="BQ27" s="89">
        <v>0</v>
      </c>
      <c r="BR27" s="112">
        <f t="shared" si="32"/>
        <v>0</v>
      </c>
      <c r="BS27" s="89">
        <f t="shared" si="4"/>
        <v>0</v>
      </c>
      <c r="BT27" s="113">
        <f t="shared" si="33"/>
        <v>0</v>
      </c>
      <c r="BU27" s="89">
        <v>0</v>
      </c>
      <c r="BV27" s="112">
        <f t="shared" si="34"/>
        <v>0</v>
      </c>
      <c r="BW27" s="89">
        <v>0</v>
      </c>
      <c r="BX27" s="112">
        <f t="shared" si="35"/>
        <v>0</v>
      </c>
      <c r="BY27" s="89">
        <v>0</v>
      </c>
      <c r="BZ27" s="112">
        <f t="shared" si="36"/>
        <v>0</v>
      </c>
      <c r="CA27" s="89">
        <v>0</v>
      </c>
      <c r="CB27" s="112">
        <f t="shared" si="37"/>
        <v>0</v>
      </c>
      <c r="CC27" s="89">
        <v>0</v>
      </c>
      <c r="CD27" s="112">
        <f t="shared" si="38"/>
        <v>0</v>
      </c>
      <c r="CE27" s="89">
        <v>0</v>
      </c>
      <c r="CF27" s="112">
        <f t="shared" si="39"/>
        <v>0</v>
      </c>
      <c r="CG27" s="89">
        <f t="shared" si="5"/>
        <v>0</v>
      </c>
      <c r="CH27" s="113">
        <f t="shared" si="40"/>
        <v>0</v>
      </c>
      <c r="CI27" s="89">
        <v>0</v>
      </c>
      <c r="CJ27" s="112">
        <f t="shared" si="41"/>
        <v>0</v>
      </c>
      <c r="CK27" s="89">
        <v>0</v>
      </c>
      <c r="CL27" s="112">
        <f t="shared" si="42"/>
        <v>0</v>
      </c>
      <c r="CM27" s="89">
        <v>0</v>
      </c>
      <c r="CN27" s="112">
        <f t="shared" si="43"/>
        <v>0</v>
      </c>
      <c r="CO27" s="89">
        <v>0</v>
      </c>
      <c r="CP27" s="112">
        <f t="shared" si="44"/>
        <v>0</v>
      </c>
      <c r="CQ27" s="89">
        <v>0</v>
      </c>
      <c r="CR27" s="112">
        <f t="shared" si="45"/>
        <v>0</v>
      </c>
      <c r="CS27" s="89">
        <v>0</v>
      </c>
      <c r="CT27" s="112">
        <f t="shared" si="46"/>
        <v>0</v>
      </c>
      <c r="CU27" s="89">
        <f t="shared" si="6"/>
        <v>0</v>
      </c>
      <c r="CV27" s="113">
        <f t="shared" si="47"/>
        <v>0</v>
      </c>
    </row>
    <row r="28" spans="2:100" ht="19.95" customHeight="1">
      <c r="B28" s="1"/>
      <c r="C28" s="88">
        <v>19</v>
      </c>
      <c r="D28" s="1" t="s">
        <v>121</v>
      </c>
      <c r="E28" s="88">
        <f>E5</f>
        <v>35.6</v>
      </c>
      <c r="F28" s="89">
        <v>2.5</v>
      </c>
      <c r="G28" s="89">
        <f t="shared" ref="G28:G35" si="51">E28*F28</f>
        <v>89</v>
      </c>
      <c r="H28" s="90"/>
      <c r="I28" s="90"/>
      <c r="J28" s="90"/>
      <c r="K28" s="91"/>
      <c r="L28" s="1"/>
      <c r="M28" s="89"/>
      <c r="N28" s="95">
        <f>G28-K28</f>
        <v>89</v>
      </c>
      <c r="O28" s="89"/>
      <c r="P28" s="89">
        <f t="shared" si="0"/>
        <v>89</v>
      </c>
      <c r="Q28" s="89">
        <v>0</v>
      </c>
      <c r="R28" s="112">
        <f t="shared" si="49"/>
        <v>0</v>
      </c>
      <c r="S28" s="89">
        <v>0</v>
      </c>
      <c r="T28" s="112">
        <f t="shared" si="49"/>
        <v>0</v>
      </c>
      <c r="U28" s="89">
        <v>0</v>
      </c>
      <c r="V28" s="112">
        <f t="shared" si="8"/>
        <v>0</v>
      </c>
      <c r="W28" s="89">
        <v>0</v>
      </c>
      <c r="X28" s="112">
        <f t="shared" si="9"/>
        <v>0</v>
      </c>
      <c r="Y28" s="89">
        <v>0</v>
      </c>
      <c r="Z28" s="112">
        <f t="shared" si="10"/>
        <v>0</v>
      </c>
      <c r="AA28" s="89">
        <v>0</v>
      </c>
      <c r="AB28" s="112">
        <f t="shared" si="50"/>
        <v>0</v>
      </c>
      <c r="AC28" s="89">
        <f t="shared" si="1"/>
        <v>0</v>
      </c>
      <c r="AD28" s="113">
        <f t="shared" si="12"/>
        <v>0</v>
      </c>
      <c r="AE28" s="89">
        <v>0</v>
      </c>
      <c r="AF28" s="112">
        <f t="shared" si="13"/>
        <v>0</v>
      </c>
      <c r="AG28" s="89">
        <v>0</v>
      </c>
      <c r="AH28" s="112">
        <f t="shared" si="14"/>
        <v>0</v>
      </c>
      <c r="AI28" s="89">
        <v>0</v>
      </c>
      <c r="AJ28" s="112">
        <f t="shared" si="15"/>
        <v>0</v>
      </c>
      <c r="AK28" s="89">
        <v>0</v>
      </c>
      <c r="AL28" s="112">
        <f t="shared" si="16"/>
        <v>0</v>
      </c>
      <c r="AM28" s="89">
        <v>0</v>
      </c>
      <c r="AN28" s="112">
        <f t="shared" si="17"/>
        <v>0</v>
      </c>
      <c r="AO28" s="89">
        <v>0</v>
      </c>
      <c r="AP28" s="112">
        <f t="shared" si="18"/>
        <v>0</v>
      </c>
      <c r="AQ28" s="89">
        <f t="shared" si="2"/>
        <v>0</v>
      </c>
      <c r="AR28" s="113">
        <f t="shared" si="19"/>
        <v>0</v>
      </c>
      <c r="AS28" s="89">
        <v>0</v>
      </c>
      <c r="AT28" s="112">
        <f t="shared" si="20"/>
        <v>0</v>
      </c>
      <c r="AU28" s="89">
        <v>0</v>
      </c>
      <c r="AV28" s="112">
        <f t="shared" si="21"/>
        <v>0</v>
      </c>
      <c r="AW28" s="89">
        <v>0</v>
      </c>
      <c r="AX28" s="112">
        <f t="shared" si="22"/>
        <v>0</v>
      </c>
      <c r="AY28" s="89">
        <v>0</v>
      </c>
      <c r="AZ28" s="112">
        <f t="shared" si="23"/>
        <v>0</v>
      </c>
      <c r="BA28" s="89">
        <v>0</v>
      </c>
      <c r="BB28" s="112">
        <f t="shared" si="24"/>
        <v>0</v>
      </c>
      <c r="BC28" s="89">
        <v>0</v>
      </c>
      <c r="BD28" s="112">
        <f t="shared" si="25"/>
        <v>0</v>
      </c>
      <c r="BE28" s="89">
        <f t="shared" si="3"/>
        <v>0</v>
      </c>
      <c r="BF28" s="113">
        <f t="shared" si="26"/>
        <v>0</v>
      </c>
      <c r="BG28" s="89">
        <v>0</v>
      </c>
      <c r="BH28" s="112">
        <f t="shared" si="27"/>
        <v>0</v>
      </c>
      <c r="BI28" s="89">
        <v>0</v>
      </c>
      <c r="BJ28" s="112">
        <f t="shared" si="28"/>
        <v>0</v>
      </c>
      <c r="BK28" s="89">
        <v>0</v>
      </c>
      <c r="BL28" s="112">
        <f t="shared" si="29"/>
        <v>0</v>
      </c>
      <c r="BM28" s="89">
        <v>0</v>
      </c>
      <c r="BN28" s="112">
        <f t="shared" si="30"/>
        <v>0</v>
      </c>
      <c r="BO28" s="89">
        <v>0</v>
      </c>
      <c r="BP28" s="112">
        <f t="shared" si="31"/>
        <v>0</v>
      </c>
      <c r="BQ28" s="89">
        <v>0</v>
      </c>
      <c r="BR28" s="112">
        <f t="shared" si="32"/>
        <v>0</v>
      </c>
      <c r="BS28" s="89">
        <f t="shared" si="4"/>
        <v>0</v>
      </c>
      <c r="BT28" s="113">
        <f t="shared" si="33"/>
        <v>0</v>
      </c>
      <c r="BU28" s="89">
        <v>0</v>
      </c>
      <c r="BV28" s="112">
        <f t="shared" si="34"/>
        <v>0</v>
      </c>
      <c r="BW28" s="89">
        <v>0</v>
      </c>
      <c r="BX28" s="112">
        <f t="shared" si="35"/>
        <v>0</v>
      </c>
      <c r="BY28" s="89">
        <v>0</v>
      </c>
      <c r="BZ28" s="112">
        <f t="shared" si="36"/>
        <v>0</v>
      </c>
      <c r="CA28" s="89">
        <v>0</v>
      </c>
      <c r="CB28" s="112">
        <f t="shared" si="37"/>
        <v>0</v>
      </c>
      <c r="CC28" s="89">
        <v>0</v>
      </c>
      <c r="CD28" s="112">
        <f t="shared" si="38"/>
        <v>0</v>
      </c>
      <c r="CE28" s="89">
        <v>0</v>
      </c>
      <c r="CF28" s="112">
        <f t="shared" si="39"/>
        <v>0</v>
      </c>
      <c r="CG28" s="89">
        <f t="shared" si="5"/>
        <v>0</v>
      </c>
      <c r="CH28" s="113">
        <f t="shared" si="40"/>
        <v>0</v>
      </c>
      <c r="CI28" s="89">
        <v>0</v>
      </c>
      <c r="CJ28" s="112">
        <f t="shared" si="41"/>
        <v>0</v>
      </c>
      <c r="CK28" s="89">
        <v>0</v>
      </c>
      <c r="CL28" s="112">
        <f t="shared" si="42"/>
        <v>0</v>
      </c>
      <c r="CM28" s="89">
        <v>0</v>
      </c>
      <c r="CN28" s="112">
        <f t="shared" si="43"/>
        <v>0</v>
      </c>
      <c r="CO28" s="89">
        <v>0</v>
      </c>
      <c r="CP28" s="112">
        <f t="shared" si="44"/>
        <v>0</v>
      </c>
      <c r="CQ28" s="89">
        <v>0</v>
      </c>
      <c r="CR28" s="112">
        <f t="shared" si="45"/>
        <v>0</v>
      </c>
      <c r="CS28" s="89">
        <v>0</v>
      </c>
      <c r="CT28" s="112">
        <f t="shared" si="46"/>
        <v>0</v>
      </c>
      <c r="CU28" s="89">
        <f t="shared" si="6"/>
        <v>0</v>
      </c>
      <c r="CV28" s="113">
        <f t="shared" si="47"/>
        <v>0</v>
      </c>
    </row>
    <row r="29" spans="2:100" ht="19.95" customHeight="1">
      <c r="B29" s="86"/>
      <c r="C29" s="88">
        <v>20</v>
      </c>
      <c r="D29" s="1" t="s">
        <v>122</v>
      </c>
      <c r="E29" s="88">
        <f>E5</f>
        <v>35.6</v>
      </c>
      <c r="F29" s="89">
        <v>2.33</v>
      </c>
      <c r="G29" s="89">
        <f t="shared" si="51"/>
        <v>82.948000000000008</v>
      </c>
      <c r="H29" s="90">
        <v>1</v>
      </c>
      <c r="I29" s="90">
        <v>0.75</v>
      </c>
      <c r="J29" s="90">
        <v>14</v>
      </c>
      <c r="K29" s="91">
        <f>(H29*I29)*J29</f>
        <v>10.5</v>
      </c>
      <c r="L29" s="95">
        <f t="shared" ref="L29:L35" si="52">G29-K29</f>
        <v>72.448000000000008</v>
      </c>
      <c r="M29" s="1"/>
      <c r="N29" s="89"/>
      <c r="P29" s="89">
        <f t="shared" si="0"/>
        <v>72.448000000000008</v>
      </c>
      <c r="Q29" s="89">
        <v>0</v>
      </c>
      <c r="R29" s="112">
        <f t="shared" si="49"/>
        <v>0</v>
      </c>
      <c r="S29" s="89">
        <v>0</v>
      </c>
      <c r="T29" s="112">
        <f t="shared" si="49"/>
        <v>0</v>
      </c>
      <c r="U29" s="89">
        <v>0</v>
      </c>
      <c r="V29" s="112">
        <f t="shared" si="8"/>
        <v>0</v>
      </c>
      <c r="W29" s="89">
        <v>0</v>
      </c>
      <c r="X29" s="112">
        <f t="shared" si="9"/>
        <v>0</v>
      </c>
      <c r="Y29" s="89">
        <v>0</v>
      </c>
      <c r="Z29" s="112">
        <f t="shared" si="10"/>
        <v>0</v>
      </c>
      <c r="AA29" s="89">
        <v>0</v>
      </c>
      <c r="AB29" s="112">
        <f t="shared" si="50"/>
        <v>0</v>
      </c>
      <c r="AC29" s="89">
        <f t="shared" si="1"/>
        <v>0</v>
      </c>
      <c r="AD29" s="113">
        <f t="shared" si="12"/>
        <v>0</v>
      </c>
      <c r="AE29" s="89">
        <v>0</v>
      </c>
      <c r="AF29" s="112">
        <f t="shared" si="13"/>
        <v>0</v>
      </c>
      <c r="AG29" s="89">
        <v>0</v>
      </c>
      <c r="AH29" s="112">
        <f t="shared" si="14"/>
        <v>0</v>
      </c>
      <c r="AI29" s="89">
        <v>0</v>
      </c>
      <c r="AJ29" s="112">
        <f t="shared" si="15"/>
        <v>0</v>
      </c>
      <c r="AK29" s="89">
        <v>0</v>
      </c>
      <c r="AL29" s="112">
        <f t="shared" si="16"/>
        <v>0</v>
      </c>
      <c r="AM29" s="89">
        <v>0</v>
      </c>
      <c r="AN29" s="112">
        <f t="shared" si="17"/>
        <v>0</v>
      </c>
      <c r="AO29" s="89">
        <v>0</v>
      </c>
      <c r="AP29" s="112">
        <f t="shared" si="18"/>
        <v>0</v>
      </c>
      <c r="AQ29" s="89">
        <f t="shared" si="2"/>
        <v>0</v>
      </c>
      <c r="AR29" s="113">
        <f t="shared" si="19"/>
        <v>0</v>
      </c>
      <c r="AS29" s="89">
        <v>0</v>
      </c>
      <c r="AT29" s="112">
        <f t="shared" si="20"/>
        <v>0</v>
      </c>
      <c r="AU29" s="89">
        <v>0</v>
      </c>
      <c r="AV29" s="112">
        <f t="shared" si="21"/>
        <v>0</v>
      </c>
      <c r="AW29" s="89">
        <v>0</v>
      </c>
      <c r="AX29" s="112">
        <f t="shared" si="22"/>
        <v>0</v>
      </c>
      <c r="AY29" s="89">
        <v>0</v>
      </c>
      <c r="AZ29" s="112">
        <f t="shared" si="23"/>
        <v>0</v>
      </c>
      <c r="BA29" s="89">
        <v>0</v>
      </c>
      <c r="BB29" s="112">
        <f t="shared" si="24"/>
        <v>0</v>
      </c>
      <c r="BC29" s="89">
        <v>0</v>
      </c>
      <c r="BD29" s="112">
        <f t="shared" si="25"/>
        <v>0</v>
      </c>
      <c r="BE29" s="89">
        <f t="shared" si="3"/>
        <v>0</v>
      </c>
      <c r="BF29" s="113">
        <f t="shared" si="26"/>
        <v>0</v>
      </c>
      <c r="BG29" s="89">
        <v>0</v>
      </c>
      <c r="BH29" s="112">
        <f t="shared" si="27"/>
        <v>0</v>
      </c>
      <c r="BI29" s="89">
        <v>0</v>
      </c>
      <c r="BJ29" s="112">
        <f t="shared" si="28"/>
        <v>0</v>
      </c>
      <c r="BK29" s="89">
        <v>0</v>
      </c>
      <c r="BL29" s="112">
        <f t="shared" si="29"/>
        <v>0</v>
      </c>
      <c r="BM29" s="89">
        <v>0</v>
      </c>
      <c r="BN29" s="112">
        <f t="shared" si="30"/>
        <v>0</v>
      </c>
      <c r="BO29" s="89">
        <v>0</v>
      </c>
      <c r="BP29" s="112">
        <f t="shared" si="31"/>
        <v>0</v>
      </c>
      <c r="BQ29" s="89">
        <v>0</v>
      </c>
      <c r="BR29" s="112">
        <f t="shared" si="32"/>
        <v>0</v>
      </c>
      <c r="BS29" s="89">
        <f t="shared" si="4"/>
        <v>0</v>
      </c>
      <c r="BT29" s="113">
        <f t="shared" si="33"/>
        <v>0</v>
      </c>
      <c r="BU29" s="89">
        <v>0</v>
      </c>
      <c r="BV29" s="112">
        <f t="shared" si="34"/>
        <v>0</v>
      </c>
      <c r="BW29" s="89">
        <v>0</v>
      </c>
      <c r="BX29" s="112">
        <f t="shared" si="35"/>
        <v>0</v>
      </c>
      <c r="BY29" s="89">
        <v>0</v>
      </c>
      <c r="BZ29" s="112">
        <f t="shared" si="36"/>
        <v>0</v>
      </c>
      <c r="CA29" s="89">
        <v>0</v>
      </c>
      <c r="CB29" s="112">
        <f t="shared" si="37"/>
        <v>0</v>
      </c>
      <c r="CC29" s="89">
        <v>0</v>
      </c>
      <c r="CD29" s="112">
        <f t="shared" si="38"/>
        <v>0</v>
      </c>
      <c r="CE29" s="89">
        <v>0</v>
      </c>
      <c r="CF29" s="112">
        <f t="shared" si="39"/>
        <v>0</v>
      </c>
      <c r="CG29" s="89">
        <f t="shared" si="5"/>
        <v>0</v>
      </c>
      <c r="CH29" s="113">
        <f t="shared" si="40"/>
        <v>0</v>
      </c>
      <c r="CI29" s="89">
        <v>0</v>
      </c>
      <c r="CJ29" s="112">
        <f t="shared" si="41"/>
        <v>0</v>
      </c>
      <c r="CK29" s="89">
        <v>0</v>
      </c>
      <c r="CL29" s="112">
        <f t="shared" si="42"/>
        <v>0</v>
      </c>
      <c r="CM29" s="89">
        <v>0</v>
      </c>
      <c r="CN29" s="112">
        <f t="shared" si="43"/>
        <v>0</v>
      </c>
      <c r="CO29" s="89">
        <v>0</v>
      </c>
      <c r="CP29" s="112">
        <f t="shared" si="44"/>
        <v>0</v>
      </c>
      <c r="CQ29" s="89">
        <v>0</v>
      </c>
      <c r="CR29" s="112">
        <f t="shared" si="45"/>
        <v>0</v>
      </c>
      <c r="CS29" s="89">
        <v>0</v>
      </c>
      <c r="CT29" s="112">
        <f t="shared" si="46"/>
        <v>0</v>
      </c>
      <c r="CU29" s="89">
        <f t="shared" si="6"/>
        <v>0</v>
      </c>
      <c r="CV29" s="113">
        <f t="shared" si="47"/>
        <v>0</v>
      </c>
    </row>
    <row r="30" spans="2:100" ht="19.95" customHeight="1">
      <c r="B30" s="1"/>
      <c r="C30" s="88">
        <v>21</v>
      </c>
      <c r="D30" s="1" t="s">
        <v>206</v>
      </c>
      <c r="E30" s="88">
        <f>E5</f>
        <v>35.6</v>
      </c>
      <c r="F30" s="89">
        <v>0.8</v>
      </c>
      <c r="G30" s="89">
        <f t="shared" si="51"/>
        <v>28.480000000000004</v>
      </c>
      <c r="H30" s="90"/>
      <c r="I30" s="90"/>
      <c r="J30" s="90"/>
      <c r="K30" s="91"/>
      <c r="L30" s="95">
        <f t="shared" si="52"/>
        <v>28.480000000000004</v>
      </c>
      <c r="M30" s="89"/>
      <c r="O30" s="89"/>
      <c r="P30" s="89">
        <f t="shared" si="0"/>
        <v>28.480000000000004</v>
      </c>
      <c r="Q30" s="89">
        <v>0</v>
      </c>
      <c r="R30" s="112">
        <f t="shared" si="49"/>
        <v>0</v>
      </c>
      <c r="S30" s="89">
        <v>0</v>
      </c>
      <c r="T30" s="112">
        <f t="shared" si="49"/>
        <v>0</v>
      </c>
      <c r="U30" s="89">
        <v>0</v>
      </c>
      <c r="V30" s="112">
        <f t="shared" si="8"/>
        <v>0</v>
      </c>
      <c r="W30" s="89">
        <v>0</v>
      </c>
      <c r="X30" s="112">
        <f t="shared" si="9"/>
        <v>0</v>
      </c>
      <c r="Y30" s="89">
        <v>0</v>
      </c>
      <c r="Z30" s="112">
        <f t="shared" si="10"/>
        <v>0</v>
      </c>
      <c r="AA30" s="89">
        <v>0</v>
      </c>
      <c r="AB30" s="112">
        <f t="shared" si="50"/>
        <v>0</v>
      </c>
      <c r="AC30" s="89">
        <f t="shared" si="1"/>
        <v>0</v>
      </c>
      <c r="AD30" s="113">
        <f t="shared" si="12"/>
        <v>0</v>
      </c>
      <c r="AE30" s="89">
        <v>0</v>
      </c>
      <c r="AF30" s="112">
        <f t="shared" si="13"/>
        <v>0</v>
      </c>
      <c r="AG30" s="89">
        <v>0</v>
      </c>
      <c r="AH30" s="112">
        <f t="shared" si="14"/>
        <v>0</v>
      </c>
      <c r="AI30" s="89">
        <v>0</v>
      </c>
      <c r="AJ30" s="112">
        <f t="shared" si="15"/>
        <v>0</v>
      </c>
      <c r="AK30" s="89">
        <v>0</v>
      </c>
      <c r="AL30" s="112">
        <f t="shared" si="16"/>
        <v>0</v>
      </c>
      <c r="AM30" s="89">
        <v>0</v>
      </c>
      <c r="AN30" s="112">
        <f t="shared" si="17"/>
        <v>0</v>
      </c>
      <c r="AO30" s="89">
        <v>0</v>
      </c>
      <c r="AP30" s="112">
        <f t="shared" si="18"/>
        <v>0</v>
      </c>
      <c r="AQ30" s="89">
        <f t="shared" si="2"/>
        <v>0</v>
      </c>
      <c r="AR30" s="113">
        <f t="shared" si="19"/>
        <v>0</v>
      </c>
      <c r="AS30" s="89">
        <v>0</v>
      </c>
      <c r="AT30" s="112">
        <f t="shared" si="20"/>
        <v>0</v>
      </c>
      <c r="AU30" s="89">
        <v>0</v>
      </c>
      <c r="AV30" s="112">
        <f t="shared" si="21"/>
        <v>0</v>
      </c>
      <c r="AW30" s="89">
        <v>0</v>
      </c>
      <c r="AX30" s="112">
        <f t="shared" si="22"/>
        <v>0</v>
      </c>
      <c r="AY30" s="89">
        <v>0</v>
      </c>
      <c r="AZ30" s="112">
        <f t="shared" si="23"/>
        <v>0</v>
      </c>
      <c r="BA30" s="89">
        <v>0</v>
      </c>
      <c r="BB30" s="112">
        <f t="shared" si="24"/>
        <v>0</v>
      </c>
      <c r="BC30" s="89">
        <v>0</v>
      </c>
      <c r="BD30" s="112">
        <f t="shared" si="25"/>
        <v>0</v>
      </c>
      <c r="BE30" s="89">
        <f t="shared" si="3"/>
        <v>0</v>
      </c>
      <c r="BF30" s="113">
        <f t="shared" si="26"/>
        <v>0</v>
      </c>
      <c r="BG30" s="89">
        <v>0</v>
      </c>
      <c r="BH30" s="112">
        <f t="shared" si="27"/>
        <v>0</v>
      </c>
      <c r="BI30" s="89">
        <v>0</v>
      </c>
      <c r="BJ30" s="112">
        <f t="shared" si="28"/>
        <v>0</v>
      </c>
      <c r="BK30" s="89">
        <v>0</v>
      </c>
      <c r="BL30" s="112">
        <f t="shared" si="29"/>
        <v>0</v>
      </c>
      <c r="BM30" s="89">
        <v>0</v>
      </c>
      <c r="BN30" s="112">
        <f t="shared" si="30"/>
        <v>0</v>
      </c>
      <c r="BO30" s="89">
        <v>0</v>
      </c>
      <c r="BP30" s="112">
        <f t="shared" si="31"/>
        <v>0</v>
      </c>
      <c r="BQ30" s="89">
        <v>0</v>
      </c>
      <c r="BR30" s="112">
        <f t="shared" si="32"/>
        <v>0</v>
      </c>
      <c r="BS30" s="89">
        <f t="shared" si="4"/>
        <v>0</v>
      </c>
      <c r="BT30" s="113">
        <f t="shared" si="33"/>
        <v>0</v>
      </c>
      <c r="BU30" s="89">
        <v>0</v>
      </c>
      <c r="BV30" s="112">
        <f t="shared" si="34"/>
        <v>0</v>
      </c>
      <c r="BW30" s="89">
        <v>0</v>
      </c>
      <c r="BX30" s="112">
        <f t="shared" si="35"/>
        <v>0</v>
      </c>
      <c r="BY30" s="89">
        <v>0</v>
      </c>
      <c r="BZ30" s="112">
        <f t="shared" si="36"/>
        <v>0</v>
      </c>
      <c r="CA30" s="89">
        <v>0</v>
      </c>
      <c r="CB30" s="112">
        <f t="shared" si="37"/>
        <v>0</v>
      </c>
      <c r="CC30" s="89">
        <v>0</v>
      </c>
      <c r="CD30" s="112">
        <f t="shared" si="38"/>
        <v>0</v>
      </c>
      <c r="CE30" s="89">
        <v>0</v>
      </c>
      <c r="CF30" s="112">
        <f t="shared" si="39"/>
        <v>0</v>
      </c>
      <c r="CG30" s="89">
        <f t="shared" si="5"/>
        <v>0</v>
      </c>
      <c r="CH30" s="113">
        <f t="shared" si="40"/>
        <v>0</v>
      </c>
      <c r="CI30" s="89">
        <v>0</v>
      </c>
      <c r="CJ30" s="112">
        <f t="shared" si="41"/>
        <v>0</v>
      </c>
      <c r="CK30" s="89">
        <v>0</v>
      </c>
      <c r="CL30" s="112">
        <f t="shared" si="42"/>
        <v>0</v>
      </c>
      <c r="CM30" s="89">
        <v>0</v>
      </c>
      <c r="CN30" s="112">
        <f t="shared" si="43"/>
        <v>0</v>
      </c>
      <c r="CO30" s="89">
        <v>0</v>
      </c>
      <c r="CP30" s="112">
        <f t="shared" si="44"/>
        <v>0</v>
      </c>
      <c r="CQ30" s="89">
        <v>0</v>
      </c>
      <c r="CR30" s="112">
        <f t="shared" si="45"/>
        <v>0</v>
      </c>
      <c r="CS30" s="89">
        <v>0</v>
      </c>
      <c r="CT30" s="112">
        <f t="shared" si="46"/>
        <v>0</v>
      </c>
      <c r="CU30" s="89">
        <f t="shared" si="6"/>
        <v>0</v>
      </c>
      <c r="CV30" s="113">
        <f t="shared" si="47"/>
        <v>0</v>
      </c>
    </row>
    <row r="31" spans="2:100" ht="19.95" customHeight="1">
      <c r="B31" s="86"/>
      <c r="C31" s="88">
        <v>22</v>
      </c>
      <c r="D31" s="1" t="s">
        <v>122</v>
      </c>
      <c r="E31" s="88">
        <f>E5</f>
        <v>35.6</v>
      </c>
      <c r="F31" s="89">
        <v>1.42</v>
      </c>
      <c r="G31" s="89">
        <f t="shared" si="51"/>
        <v>50.552</v>
      </c>
      <c r="H31" s="90">
        <v>0.3</v>
      </c>
      <c r="I31" s="90">
        <v>0.3</v>
      </c>
      <c r="J31" s="90">
        <v>14</v>
      </c>
      <c r="K31" s="91">
        <f>(H31*I31)*J31</f>
        <v>1.26</v>
      </c>
      <c r="L31" s="95">
        <f t="shared" si="52"/>
        <v>49.292000000000002</v>
      </c>
      <c r="M31" s="1"/>
      <c r="N31" s="89"/>
      <c r="P31" s="89">
        <f t="shared" si="0"/>
        <v>49.292000000000002</v>
      </c>
      <c r="Q31" s="89">
        <v>0</v>
      </c>
      <c r="R31" s="112">
        <f t="shared" si="49"/>
        <v>0</v>
      </c>
      <c r="S31" s="89">
        <v>0</v>
      </c>
      <c r="T31" s="112">
        <f t="shared" si="49"/>
        <v>0</v>
      </c>
      <c r="U31" s="89">
        <v>0</v>
      </c>
      <c r="V31" s="112">
        <f t="shared" si="8"/>
        <v>0</v>
      </c>
      <c r="W31" s="89">
        <v>0</v>
      </c>
      <c r="X31" s="112">
        <f t="shared" si="9"/>
        <v>0</v>
      </c>
      <c r="Y31" s="89">
        <v>0</v>
      </c>
      <c r="Z31" s="112">
        <f t="shared" si="10"/>
        <v>0</v>
      </c>
      <c r="AA31" s="89">
        <v>0</v>
      </c>
      <c r="AB31" s="112">
        <f t="shared" si="50"/>
        <v>0</v>
      </c>
      <c r="AC31" s="89">
        <f t="shared" si="1"/>
        <v>0</v>
      </c>
      <c r="AD31" s="113">
        <f t="shared" si="12"/>
        <v>0</v>
      </c>
      <c r="AE31" s="89">
        <v>0</v>
      </c>
      <c r="AF31" s="112">
        <f t="shared" si="13"/>
        <v>0</v>
      </c>
      <c r="AG31" s="89">
        <v>0</v>
      </c>
      <c r="AH31" s="112">
        <f t="shared" si="14"/>
        <v>0</v>
      </c>
      <c r="AI31" s="89">
        <v>0</v>
      </c>
      <c r="AJ31" s="112">
        <f t="shared" si="15"/>
        <v>0</v>
      </c>
      <c r="AK31" s="89">
        <v>0</v>
      </c>
      <c r="AL31" s="112">
        <f t="shared" si="16"/>
        <v>0</v>
      </c>
      <c r="AM31" s="89">
        <v>0</v>
      </c>
      <c r="AN31" s="112">
        <f t="shared" si="17"/>
        <v>0</v>
      </c>
      <c r="AO31" s="89">
        <v>0</v>
      </c>
      <c r="AP31" s="112">
        <f t="shared" si="18"/>
        <v>0</v>
      </c>
      <c r="AQ31" s="89">
        <f t="shared" si="2"/>
        <v>0</v>
      </c>
      <c r="AR31" s="113">
        <f t="shared" si="19"/>
        <v>0</v>
      </c>
      <c r="AS31" s="89">
        <v>0</v>
      </c>
      <c r="AT31" s="112">
        <f t="shared" si="20"/>
        <v>0</v>
      </c>
      <c r="AU31" s="89">
        <v>0</v>
      </c>
      <c r="AV31" s="112">
        <f t="shared" si="21"/>
        <v>0</v>
      </c>
      <c r="AW31" s="89">
        <v>0</v>
      </c>
      <c r="AX31" s="112">
        <f t="shared" si="22"/>
        <v>0</v>
      </c>
      <c r="AY31" s="89">
        <v>0</v>
      </c>
      <c r="AZ31" s="112">
        <f t="shared" si="23"/>
        <v>0</v>
      </c>
      <c r="BA31" s="89">
        <v>0</v>
      </c>
      <c r="BB31" s="112">
        <f t="shared" si="24"/>
        <v>0</v>
      </c>
      <c r="BC31" s="89">
        <v>0</v>
      </c>
      <c r="BD31" s="112">
        <f t="shared" si="25"/>
        <v>0</v>
      </c>
      <c r="BE31" s="89">
        <f t="shared" si="3"/>
        <v>0</v>
      </c>
      <c r="BF31" s="113">
        <f t="shared" si="26"/>
        <v>0</v>
      </c>
      <c r="BG31" s="89">
        <v>0</v>
      </c>
      <c r="BH31" s="112">
        <f t="shared" si="27"/>
        <v>0</v>
      </c>
      <c r="BI31" s="89">
        <v>0</v>
      </c>
      <c r="BJ31" s="112">
        <f t="shared" si="28"/>
        <v>0</v>
      </c>
      <c r="BK31" s="89">
        <v>0</v>
      </c>
      <c r="BL31" s="112">
        <f t="shared" si="29"/>
        <v>0</v>
      </c>
      <c r="BM31" s="89">
        <v>0</v>
      </c>
      <c r="BN31" s="112">
        <f t="shared" si="30"/>
        <v>0</v>
      </c>
      <c r="BO31" s="89">
        <v>0</v>
      </c>
      <c r="BP31" s="112">
        <f t="shared" si="31"/>
        <v>0</v>
      </c>
      <c r="BQ31" s="89">
        <v>0</v>
      </c>
      <c r="BR31" s="112">
        <f t="shared" si="32"/>
        <v>0</v>
      </c>
      <c r="BS31" s="89">
        <f t="shared" si="4"/>
        <v>0</v>
      </c>
      <c r="BT31" s="113">
        <f t="shared" si="33"/>
        <v>0</v>
      </c>
      <c r="BU31" s="89">
        <v>0</v>
      </c>
      <c r="BV31" s="112">
        <f t="shared" si="34"/>
        <v>0</v>
      </c>
      <c r="BW31" s="89">
        <v>0</v>
      </c>
      <c r="BX31" s="112">
        <f t="shared" si="35"/>
        <v>0</v>
      </c>
      <c r="BY31" s="89">
        <v>0</v>
      </c>
      <c r="BZ31" s="112">
        <f t="shared" si="36"/>
        <v>0</v>
      </c>
      <c r="CA31" s="89">
        <v>0</v>
      </c>
      <c r="CB31" s="112">
        <f t="shared" si="37"/>
        <v>0</v>
      </c>
      <c r="CC31" s="89">
        <v>0</v>
      </c>
      <c r="CD31" s="112">
        <f t="shared" si="38"/>
        <v>0</v>
      </c>
      <c r="CE31" s="89">
        <v>0</v>
      </c>
      <c r="CF31" s="112">
        <f t="shared" si="39"/>
        <v>0</v>
      </c>
      <c r="CG31" s="89">
        <f t="shared" si="5"/>
        <v>0</v>
      </c>
      <c r="CH31" s="113">
        <f t="shared" si="40"/>
        <v>0</v>
      </c>
      <c r="CI31" s="89">
        <v>0</v>
      </c>
      <c r="CJ31" s="112">
        <f t="shared" si="41"/>
        <v>0</v>
      </c>
      <c r="CK31" s="89">
        <v>0</v>
      </c>
      <c r="CL31" s="112">
        <f t="shared" si="42"/>
        <v>0</v>
      </c>
      <c r="CM31" s="89">
        <v>0</v>
      </c>
      <c r="CN31" s="112">
        <f t="shared" si="43"/>
        <v>0</v>
      </c>
      <c r="CO31" s="89">
        <v>0</v>
      </c>
      <c r="CP31" s="112">
        <f t="shared" si="44"/>
        <v>0</v>
      </c>
      <c r="CQ31" s="89">
        <v>0</v>
      </c>
      <c r="CR31" s="112">
        <f t="shared" si="45"/>
        <v>0</v>
      </c>
      <c r="CS31" s="89">
        <v>0</v>
      </c>
      <c r="CT31" s="112">
        <f t="shared" si="46"/>
        <v>0</v>
      </c>
      <c r="CU31" s="89">
        <f t="shared" si="6"/>
        <v>0</v>
      </c>
      <c r="CV31" s="113">
        <f t="shared" si="47"/>
        <v>0</v>
      </c>
    </row>
    <row r="32" spans="2:100" ht="19.95" customHeight="1">
      <c r="B32" s="86"/>
      <c r="C32" s="88">
        <v>23</v>
      </c>
      <c r="D32" s="1" t="s">
        <v>206</v>
      </c>
      <c r="E32" s="88">
        <f>E5</f>
        <v>35.6</v>
      </c>
      <c r="F32" s="89">
        <v>1.72</v>
      </c>
      <c r="G32" s="89">
        <f t="shared" si="51"/>
        <v>61.231999999999999</v>
      </c>
      <c r="H32" s="90"/>
      <c r="I32" s="90"/>
      <c r="J32" s="90"/>
      <c r="K32" s="91"/>
      <c r="L32" s="95">
        <f t="shared" si="52"/>
        <v>61.231999999999999</v>
      </c>
      <c r="M32" s="1"/>
      <c r="N32" s="89"/>
      <c r="P32" s="89">
        <f t="shared" si="0"/>
        <v>61.231999999999999</v>
      </c>
      <c r="Q32" s="89">
        <v>0</v>
      </c>
      <c r="R32" s="112">
        <f t="shared" si="49"/>
        <v>0</v>
      </c>
      <c r="S32" s="89">
        <v>0</v>
      </c>
      <c r="T32" s="112">
        <f t="shared" si="49"/>
        <v>0</v>
      </c>
      <c r="U32" s="89">
        <v>0</v>
      </c>
      <c r="V32" s="112">
        <f t="shared" si="8"/>
        <v>0</v>
      </c>
      <c r="W32" s="89">
        <v>0</v>
      </c>
      <c r="X32" s="112">
        <f t="shared" si="9"/>
        <v>0</v>
      </c>
      <c r="Y32" s="89">
        <v>0</v>
      </c>
      <c r="Z32" s="112">
        <f t="shared" si="10"/>
        <v>0</v>
      </c>
      <c r="AA32" s="89">
        <v>0</v>
      </c>
      <c r="AB32" s="112">
        <f t="shared" si="50"/>
        <v>0</v>
      </c>
      <c r="AC32" s="89">
        <f t="shared" si="1"/>
        <v>0</v>
      </c>
      <c r="AD32" s="113">
        <f t="shared" si="12"/>
        <v>0</v>
      </c>
      <c r="AE32" s="89">
        <v>0</v>
      </c>
      <c r="AF32" s="112">
        <f t="shared" si="13"/>
        <v>0</v>
      </c>
      <c r="AG32" s="89">
        <v>0</v>
      </c>
      <c r="AH32" s="112">
        <f t="shared" si="14"/>
        <v>0</v>
      </c>
      <c r="AI32" s="89">
        <v>0</v>
      </c>
      <c r="AJ32" s="112">
        <f t="shared" si="15"/>
        <v>0</v>
      </c>
      <c r="AK32" s="89">
        <v>0</v>
      </c>
      <c r="AL32" s="112">
        <f t="shared" si="16"/>
        <v>0</v>
      </c>
      <c r="AM32" s="89">
        <v>0</v>
      </c>
      <c r="AN32" s="112">
        <f t="shared" si="17"/>
        <v>0</v>
      </c>
      <c r="AO32" s="89">
        <v>0</v>
      </c>
      <c r="AP32" s="112">
        <f t="shared" si="18"/>
        <v>0</v>
      </c>
      <c r="AQ32" s="89">
        <f t="shared" si="2"/>
        <v>0</v>
      </c>
      <c r="AR32" s="113">
        <f t="shared" si="19"/>
        <v>0</v>
      </c>
      <c r="AS32" s="89">
        <v>0</v>
      </c>
      <c r="AT32" s="112">
        <f t="shared" si="20"/>
        <v>0</v>
      </c>
      <c r="AU32" s="89">
        <v>0</v>
      </c>
      <c r="AV32" s="112">
        <f t="shared" si="21"/>
        <v>0</v>
      </c>
      <c r="AW32" s="89">
        <v>0</v>
      </c>
      <c r="AX32" s="112">
        <f t="shared" si="22"/>
        <v>0</v>
      </c>
      <c r="AY32" s="89">
        <v>0</v>
      </c>
      <c r="AZ32" s="112">
        <f t="shared" si="23"/>
        <v>0</v>
      </c>
      <c r="BA32" s="89">
        <v>0</v>
      </c>
      <c r="BB32" s="112">
        <f t="shared" si="24"/>
        <v>0</v>
      </c>
      <c r="BC32" s="89">
        <v>0</v>
      </c>
      <c r="BD32" s="112">
        <f t="shared" si="25"/>
        <v>0</v>
      </c>
      <c r="BE32" s="89">
        <f t="shared" si="3"/>
        <v>0</v>
      </c>
      <c r="BF32" s="113">
        <f t="shared" si="26"/>
        <v>0</v>
      </c>
      <c r="BG32" s="89">
        <v>0</v>
      </c>
      <c r="BH32" s="112">
        <f t="shared" si="27"/>
        <v>0</v>
      </c>
      <c r="BI32" s="89">
        <v>0</v>
      </c>
      <c r="BJ32" s="112">
        <f t="shared" si="28"/>
        <v>0</v>
      </c>
      <c r="BK32" s="89">
        <v>0</v>
      </c>
      <c r="BL32" s="112">
        <f t="shared" si="29"/>
        <v>0</v>
      </c>
      <c r="BM32" s="89">
        <v>0</v>
      </c>
      <c r="BN32" s="112">
        <f t="shared" si="30"/>
        <v>0</v>
      </c>
      <c r="BO32" s="89">
        <v>0</v>
      </c>
      <c r="BP32" s="112">
        <f t="shared" si="31"/>
        <v>0</v>
      </c>
      <c r="BQ32" s="89">
        <v>0</v>
      </c>
      <c r="BR32" s="112">
        <f t="shared" si="32"/>
        <v>0</v>
      </c>
      <c r="BS32" s="89">
        <f t="shared" si="4"/>
        <v>0</v>
      </c>
      <c r="BT32" s="113">
        <f t="shared" si="33"/>
        <v>0</v>
      </c>
      <c r="BU32" s="89">
        <v>0</v>
      </c>
      <c r="BV32" s="112">
        <f t="shared" si="34"/>
        <v>0</v>
      </c>
      <c r="BW32" s="89">
        <v>0</v>
      </c>
      <c r="BX32" s="112">
        <f t="shared" si="35"/>
        <v>0</v>
      </c>
      <c r="BY32" s="89">
        <v>0</v>
      </c>
      <c r="BZ32" s="112">
        <f t="shared" si="36"/>
        <v>0</v>
      </c>
      <c r="CA32" s="89">
        <v>0</v>
      </c>
      <c r="CB32" s="112">
        <f t="shared" si="37"/>
        <v>0</v>
      </c>
      <c r="CC32" s="89">
        <v>0</v>
      </c>
      <c r="CD32" s="112">
        <f t="shared" si="38"/>
        <v>0</v>
      </c>
      <c r="CE32" s="89">
        <v>0</v>
      </c>
      <c r="CF32" s="112">
        <f t="shared" si="39"/>
        <v>0</v>
      </c>
      <c r="CG32" s="89">
        <f t="shared" si="5"/>
        <v>0</v>
      </c>
      <c r="CH32" s="113">
        <f t="shared" si="40"/>
        <v>0</v>
      </c>
      <c r="CI32" s="89">
        <v>0</v>
      </c>
      <c r="CJ32" s="112">
        <f t="shared" si="41"/>
        <v>0</v>
      </c>
      <c r="CK32" s="89">
        <v>0</v>
      </c>
      <c r="CL32" s="112">
        <f t="shared" si="42"/>
        <v>0</v>
      </c>
      <c r="CM32" s="89">
        <v>0</v>
      </c>
      <c r="CN32" s="112">
        <f t="shared" si="43"/>
        <v>0</v>
      </c>
      <c r="CO32" s="89">
        <v>0</v>
      </c>
      <c r="CP32" s="112">
        <f t="shared" si="44"/>
        <v>0</v>
      </c>
      <c r="CQ32" s="89">
        <v>0</v>
      </c>
      <c r="CR32" s="112">
        <f t="shared" si="45"/>
        <v>0</v>
      </c>
      <c r="CS32" s="89">
        <v>0</v>
      </c>
      <c r="CT32" s="112">
        <f t="shared" si="46"/>
        <v>0</v>
      </c>
      <c r="CU32" s="89">
        <f t="shared" si="6"/>
        <v>0</v>
      </c>
      <c r="CV32" s="113">
        <f t="shared" si="47"/>
        <v>0</v>
      </c>
    </row>
    <row r="33" spans="2:100" ht="19.95" customHeight="1">
      <c r="B33" s="86"/>
      <c r="C33" s="88">
        <v>24</v>
      </c>
      <c r="D33" s="1" t="s">
        <v>206</v>
      </c>
      <c r="E33" s="88">
        <f>E5</f>
        <v>35.6</v>
      </c>
      <c r="F33" s="89">
        <v>1.31</v>
      </c>
      <c r="G33" s="89">
        <f t="shared" si="51"/>
        <v>46.636000000000003</v>
      </c>
      <c r="H33" s="90"/>
      <c r="I33" s="90"/>
      <c r="J33" s="90"/>
      <c r="K33" s="91"/>
      <c r="L33" s="95">
        <f t="shared" si="52"/>
        <v>46.636000000000003</v>
      </c>
      <c r="M33" s="1"/>
      <c r="N33" s="89"/>
      <c r="P33" s="89">
        <f t="shared" si="0"/>
        <v>46.636000000000003</v>
      </c>
      <c r="Q33" s="89">
        <v>0</v>
      </c>
      <c r="R33" s="112">
        <f t="shared" si="49"/>
        <v>0</v>
      </c>
      <c r="S33" s="89">
        <v>0</v>
      </c>
      <c r="T33" s="112">
        <f t="shared" si="49"/>
        <v>0</v>
      </c>
      <c r="U33" s="89">
        <v>0</v>
      </c>
      <c r="V33" s="112">
        <f t="shared" si="8"/>
        <v>0</v>
      </c>
      <c r="W33" s="89">
        <v>0</v>
      </c>
      <c r="X33" s="112">
        <f t="shared" si="9"/>
        <v>0</v>
      </c>
      <c r="Y33" s="89">
        <v>0</v>
      </c>
      <c r="Z33" s="112">
        <f t="shared" si="10"/>
        <v>0</v>
      </c>
      <c r="AA33" s="89">
        <v>0</v>
      </c>
      <c r="AB33" s="112">
        <f t="shared" si="50"/>
        <v>0</v>
      </c>
      <c r="AC33" s="89">
        <f t="shared" si="1"/>
        <v>0</v>
      </c>
      <c r="AD33" s="113">
        <f t="shared" si="12"/>
        <v>0</v>
      </c>
      <c r="AE33" s="89">
        <v>0</v>
      </c>
      <c r="AF33" s="112">
        <f t="shared" si="13"/>
        <v>0</v>
      </c>
      <c r="AG33" s="89">
        <v>0</v>
      </c>
      <c r="AH33" s="112">
        <f t="shared" si="14"/>
        <v>0</v>
      </c>
      <c r="AI33" s="89">
        <v>0</v>
      </c>
      <c r="AJ33" s="112">
        <f t="shared" si="15"/>
        <v>0</v>
      </c>
      <c r="AK33" s="89">
        <v>0</v>
      </c>
      <c r="AL33" s="112">
        <f t="shared" si="16"/>
        <v>0</v>
      </c>
      <c r="AM33" s="89">
        <v>0</v>
      </c>
      <c r="AN33" s="112">
        <f t="shared" si="17"/>
        <v>0</v>
      </c>
      <c r="AO33" s="89">
        <v>0</v>
      </c>
      <c r="AP33" s="112">
        <f t="shared" si="18"/>
        <v>0</v>
      </c>
      <c r="AQ33" s="89">
        <f t="shared" si="2"/>
        <v>0</v>
      </c>
      <c r="AR33" s="113">
        <f t="shared" si="19"/>
        <v>0</v>
      </c>
      <c r="AS33" s="89">
        <v>0</v>
      </c>
      <c r="AT33" s="112">
        <f t="shared" si="20"/>
        <v>0</v>
      </c>
      <c r="AU33" s="89">
        <v>0</v>
      </c>
      <c r="AV33" s="112">
        <f t="shared" si="21"/>
        <v>0</v>
      </c>
      <c r="AW33" s="89">
        <v>0</v>
      </c>
      <c r="AX33" s="112">
        <f t="shared" si="22"/>
        <v>0</v>
      </c>
      <c r="AY33" s="89">
        <v>0</v>
      </c>
      <c r="AZ33" s="112">
        <f t="shared" si="23"/>
        <v>0</v>
      </c>
      <c r="BA33" s="89">
        <v>0</v>
      </c>
      <c r="BB33" s="112">
        <f t="shared" si="24"/>
        <v>0</v>
      </c>
      <c r="BC33" s="89">
        <v>0</v>
      </c>
      <c r="BD33" s="112">
        <f t="shared" si="25"/>
        <v>0</v>
      </c>
      <c r="BE33" s="89">
        <f t="shared" si="3"/>
        <v>0</v>
      </c>
      <c r="BF33" s="113">
        <f t="shared" si="26"/>
        <v>0</v>
      </c>
      <c r="BG33" s="89">
        <v>0</v>
      </c>
      <c r="BH33" s="112">
        <f t="shared" si="27"/>
        <v>0</v>
      </c>
      <c r="BI33" s="89">
        <v>0</v>
      </c>
      <c r="BJ33" s="112">
        <f t="shared" si="28"/>
        <v>0</v>
      </c>
      <c r="BK33" s="89">
        <v>0</v>
      </c>
      <c r="BL33" s="112">
        <f t="shared" si="29"/>
        <v>0</v>
      </c>
      <c r="BM33" s="89">
        <v>0</v>
      </c>
      <c r="BN33" s="112">
        <f t="shared" si="30"/>
        <v>0</v>
      </c>
      <c r="BO33" s="89">
        <v>0</v>
      </c>
      <c r="BP33" s="112">
        <f t="shared" si="31"/>
        <v>0</v>
      </c>
      <c r="BQ33" s="89">
        <v>0</v>
      </c>
      <c r="BR33" s="112">
        <f t="shared" si="32"/>
        <v>0</v>
      </c>
      <c r="BS33" s="89">
        <f t="shared" si="4"/>
        <v>0</v>
      </c>
      <c r="BT33" s="113">
        <f t="shared" si="33"/>
        <v>0</v>
      </c>
      <c r="BU33" s="89">
        <v>0</v>
      </c>
      <c r="BV33" s="112">
        <f t="shared" si="34"/>
        <v>0</v>
      </c>
      <c r="BW33" s="89">
        <v>0</v>
      </c>
      <c r="BX33" s="112">
        <f t="shared" si="35"/>
        <v>0</v>
      </c>
      <c r="BY33" s="89">
        <v>0</v>
      </c>
      <c r="BZ33" s="112">
        <f t="shared" si="36"/>
        <v>0</v>
      </c>
      <c r="CA33" s="89">
        <v>0</v>
      </c>
      <c r="CB33" s="112">
        <f t="shared" si="37"/>
        <v>0</v>
      </c>
      <c r="CC33" s="89">
        <v>0</v>
      </c>
      <c r="CD33" s="112">
        <f t="shared" si="38"/>
        <v>0</v>
      </c>
      <c r="CE33" s="89">
        <v>0</v>
      </c>
      <c r="CF33" s="112">
        <f t="shared" si="39"/>
        <v>0</v>
      </c>
      <c r="CG33" s="89">
        <f t="shared" si="5"/>
        <v>0</v>
      </c>
      <c r="CH33" s="113">
        <f t="shared" si="40"/>
        <v>0</v>
      </c>
      <c r="CI33" s="89">
        <v>0</v>
      </c>
      <c r="CJ33" s="112">
        <f t="shared" si="41"/>
        <v>0</v>
      </c>
      <c r="CK33" s="89">
        <v>0</v>
      </c>
      <c r="CL33" s="112">
        <f t="shared" si="42"/>
        <v>0</v>
      </c>
      <c r="CM33" s="89">
        <v>0</v>
      </c>
      <c r="CN33" s="112">
        <f t="shared" si="43"/>
        <v>0</v>
      </c>
      <c r="CO33" s="89">
        <v>0</v>
      </c>
      <c r="CP33" s="112">
        <f t="shared" si="44"/>
        <v>0</v>
      </c>
      <c r="CQ33" s="89">
        <v>0</v>
      </c>
      <c r="CR33" s="112">
        <f t="shared" si="45"/>
        <v>0</v>
      </c>
      <c r="CS33" s="89">
        <v>0</v>
      </c>
      <c r="CT33" s="112">
        <f t="shared" si="46"/>
        <v>0</v>
      </c>
      <c r="CU33" s="89">
        <f t="shared" si="6"/>
        <v>0</v>
      </c>
      <c r="CV33" s="113">
        <f t="shared" si="47"/>
        <v>0</v>
      </c>
    </row>
    <row r="34" spans="2:100" ht="19.95" customHeight="1">
      <c r="B34" s="86"/>
      <c r="C34" s="88">
        <v>25</v>
      </c>
      <c r="D34" s="1" t="s">
        <v>122</v>
      </c>
      <c r="E34" s="88">
        <f>E7</f>
        <v>35.6</v>
      </c>
      <c r="F34" s="89">
        <v>2.73</v>
      </c>
      <c r="G34" s="89">
        <f t="shared" si="51"/>
        <v>97.188000000000002</v>
      </c>
      <c r="H34" s="90">
        <v>1.5</v>
      </c>
      <c r="I34" s="90">
        <v>1.2</v>
      </c>
      <c r="J34" s="90">
        <v>14</v>
      </c>
      <c r="K34" s="91">
        <f>(H34*I34)*J34</f>
        <v>25.199999999999996</v>
      </c>
      <c r="L34" s="95">
        <f t="shared" si="52"/>
        <v>71.988</v>
      </c>
      <c r="M34" s="1"/>
      <c r="N34" s="89"/>
      <c r="P34" s="89">
        <f t="shared" si="0"/>
        <v>71.988</v>
      </c>
      <c r="Q34" s="89">
        <v>0</v>
      </c>
      <c r="R34" s="112">
        <f t="shared" si="49"/>
        <v>0</v>
      </c>
      <c r="S34" s="89">
        <v>0</v>
      </c>
      <c r="T34" s="112">
        <f t="shared" si="49"/>
        <v>0</v>
      </c>
      <c r="U34" s="89">
        <v>0</v>
      </c>
      <c r="V34" s="112">
        <f t="shared" si="8"/>
        <v>0</v>
      </c>
      <c r="W34" s="89">
        <v>0</v>
      </c>
      <c r="X34" s="112">
        <f t="shared" si="9"/>
        <v>0</v>
      </c>
      <c r="Y34" s="89">
        <v>0</v>
      </c>
      <c r="Z34" s="112">
        <f t="shared" si="10"/>
        <v>0</v>
      </c>
      <c r="AA34" s="89">
        <v>0</v>
      </c>
      <c r="AB34" s="112">
        <f t="shared" si="50"/>
        <v>0</v>
      </c>
      <c r="AC34" s="89">
        <f t="shared" si="1"/>
        <v>0</v>
      </c>
      <c r="AD34" s="113">
        <f t="shared" si="12"/>
        <v>0</v>
      </c>
      <c r="AE34" s="89">
        <v>0</v>
      </c>
      <c r="AF34" s="112">
        <f t="shared" si="13"/>
        <v>0</v>
      </c>
      <c r="AG34" s="89">
        <v>0</v>
      </c>
      <c r="AH34" s="112">
        <f t="shared" si="14"/>
        <v>0</v>
      </c>
      <c r="AI34" s="89">
        <v>0</v>
      </c>
      <c r="AJ34" s="112">
        <f t="shared" si="15"/>
        <v>0</v>
      </c>
      <c r="AK34" s="89">
        <v>0</v>
      </c>
      <c r="AL34" s="112">
        <f t="shared" si="16"/>
        <v>0</v>
      </c>
      <c r="AM34" s="89">
        <v>0</v>
      </c>
      <c r="AN34" s="112">
        <f t="shared" si="17"/>
        <v>0</v>
      </c>
      <c r="AO34" s="89">
        <v>0</v>
      </c>
      <c r="AP34" s="112">
        <f t="shared" si="18"/>
        <v>0</v>
      </c>
      <c r="AQ34" s="89">
        <f t="shared" si="2"/>
        <v>0</v>
      </c>
      <c r="AR34" s="113">
        <f t="shared" si="19"/>
        <v>0</v>
      </c>
      <c r="AS34" s="89">
        <v>0</v>
      </c>
      <c r="AT34" s="112">
        <f t="shared" si="20"/>
        <v>0</v>
      </c>
      <c r="AU34" s="89">
        <v>0</v>
      </c>
      <c r="AV34" s="112">
        <f t="shared" si="21"/>
        <v>0</v>
      </c>
      <c r="AW34" s="89">
        <v>0</v>
      </c>
      <c r="AX34" s="112">
        <f t="shared" si="22"/>
        <v>0</v>
      </c>
      <c r="AY34" s="89">
        <v>0</v>
      </c>
      <c r="AZ34" s="112">
        <f t="shared" si="23"/>
        <v>0</v>
      </c>
      <c r="BA34" s="89">
        <v>0</v>
      </c>
      <c r="BB34" s="112">
        <f t="shared" si="24"/>
        <v>0</v>
      </c>
      <c r="BC34" s="89">
        <v>0</v>
      </c>
      <c r="BD34" s="112">
        <f t="shared" si="25"/>
        <v>0</v>
      </c>
      <c r="BE34" s="89">
        <f t="shared" si="3"/>
        <v>0</v>
      </c>
      <c r="BF34" s="113">
        <f t="shared" si="26"/>
        <v>0</v>
      </c>
      <c r="BG34" s="89">
        <v>0</v>
      </c>
      <c r="BH34" s="112">
        <f t="shared" si="27"/>
        <v>0</v>
      </c>
      <c r="BI34" s="89">
        <v>0</v>
      </c>
      <c r="BJ34" s="112">
        <f t="shared" si="28"/>
        <v>0</v>
      </c>
      <c r="BK34" s="89">
        <v>0</v>
      </c>
      <c r="BL34" s="112">
        <f t="shared" si="29"/>
        <v>0</v>
      </c>
      <c r="BM34" s="89">
        <v>0</v>
      </c>
      <c r="BN34" s="112">
        <f t="shared" si="30"/>
        <v>0</v>
      </c>
      <c r="BO34" s="89">
        <v>0</v>
      </c>
      <c r="BP34" s="112">
        <f t="shared" si="31"/>
        <v>0</v>
      </c>
      <c r="BQ34" s="89">
        <v>0</v>
      </c>
      <c r="BR34" s="112">
        <f t="shared" si="32"/>
        <v>0</v>
      </c>
      <c r="BS34" s="89">
        <f t="shared" si="4"/>
        <v>0</v>
      </c>
      <c r="BT34" s="113">
        <f t="shared" si="33"/>
        <v>0</v>
      </c>
      <c r="BU34" s="89">
        <v>0</v>
      </c>
      <c r="BV34" s="112">
        <f t="shared" si="34"/>
        <v>0</v>
      </c>
      <c r="BW34" s="89">
        <v>0</v>
      </c>
      <c r="BX34" s="112">
        <f t="shared" si="35"/>
        <v>0</v>
      </c>
      <c r="BY34" s="89">
        <v>0</v>
      </c>
      <c r="BZ34" s="112">
        <f t="shared" si="36"/>
        <v>0</v>
      </c>
      <c r="CA34" s="89">
        <v>0</v>
      </c>
      <c r="CB34" s="112">
        <f t="shared" si="37"/>
        <v>0</v>
      </c>
      <c r="CC34" s="89">
        <v>0</v>
      </c>
      <c r="CD34" s="112">
        <f t="shared" si="38"/>
        <v>0</v>
      </c>
      <c r="CE34" s="89">
        <v>0</v>
      </c>
      <c r="CF34" s="112">
        <f t="shared" si="39"/>
        <v>0</v>
      </c>
      <c r="CG34" s="89">
        <f t="shared" si="5"/>
        <v>0</v>
      </c>
      <c r="CH34" s="113">
        <f t="shared" si="40"/>
        <v>0</v>
      </c>
      <c r="CI34" s="89">
        <v>0</v>
      </c>
      <c r="CJ34" s="112">
        <f t="shared" si="41"/>
        <v>0</v>
      </c>
      <c r="CK34" s="89">
        <v>0</v>
      </c>
      <c r="CL34" s="112">
        <f t="shared" si="42"/>
        <v>0</v>
      </c>
      <c r="CM34" s="89">
        <v>0</v>
      </c>
      <c r="CN34" s="112">
        <f t="shared" si="43"/>
        <v>0</v>
      </c>
      <c r="CO34" s="89">
        <v>0</v>
      </c>
      <c r="CP34" s="112">
        <f t="shared" si="44"/>
        <v>0</v>
      </c>
      <c r="CQ34" s="89">
        <v>0</v>
      </c>
      <c r="CR34" s="112">
        <f t="shared" si="45"/>
        <v>0</v>
      </c>
      <c r="CS34" s="89">
        <v>0</v>
      </c>
      <c r="CT34" s="112">
        <f t="shared" si="46"/>
        <v>0</v>
      </c>
      <c r="CU34" s="89">
        <f t="shared" si="6"/>
        <v>0</v>
      </c>
      <c r="CV34" s="113">
        <f t="shared" si="47"/>
        <v>0</v>
      </c>
    </row>
    <row r="35" spans="2:100" ht="19.95" customHeight="1">
      <c r="B35" s="86" t="s">
        <v>101</v>
      </c>
      <c r="C35" s="88">
        <v>26</v>
      </c>
      <c r="D35" s="1" t="s">
        <v>123</v>
      </c>
      <c r="E35" s="88">
        <f>E5</f>
        <v>35.6</v>
      </c>
      <c r="F35" s="88">
        <v>4.66</v>
      </c>
      <c r="G35" s="89">
        <f t="shared" si="51"/>
        <v>165.89600000000002</v>
      </c>
      <c r="H35" s="90"/>
      <c r="I35" s="90"/>
      <c r="J35" s="90"/>
      <c r="K35" s="91"/>
      <c r="L35" s="95">
        <f t="shared" si="52"/>
        <v>165.89600000000002</v>
      </c>
      <c r="M35" s="89"/>
      <c r="N35" s="89"/>
      <c r="O35" s="89"/>
      <c r="P35" s="89">
        <f t="shared" si="0"/>
        <v>165.89600000000002</v>
      </c>
      <c r="Q35" s="89">
        <v>0</v>
      </c>
      <c r="R35" s="112">
        <f t="shared" si="49"/>
        <v>0</v>
      </c>
      <c r="S35" s="89">
        <v>0</v>
      </c>
      <c r="T35" s="112">
        <f t="shared" si="49"/>
        <v>0</v>
      </c>
      <c r="U35" s="89">
        <v>0</v>
      </c>
      <c r="V35" s="112">
        <f t="shared" si="8"/>
        <v>0</v>
      </c>
      <c r="W35" s="89">
        <v>0</v>
      </c>
      <c r="X35" s="112">
        <f t="shared" si="9"/>
        <v>0</v>
      </c>
      <c r="Y35" s="89">
        <v>0</v>
      </c>
      <c r="Z35" s="112">
        <f t="shared" si="10"/>
        <v>0</v>
      </c>
      <c r="AA35" s="89">
        <v>0</v>
      </c>
      <c r="AB35" s="112">
        <f t="shared" si="50"/>
        <v>0</v>
      </c>
      <c r="AC35" s="89">
        <f t="shared" si="1"/>
        <v>0</v>
      </c>
      <c r="AD35" s="113">
        <f t="shared" si="12"/>
        <v>0</v>
      </c>
      <c r="AE35" s="89">
        <v>0</v>
      </c>
      <c r="AF35" s="112">
        <f t="shared" si="13"/>
        <v>0</v>
      </c>
      <c r="AG35" s="89">
        <v>0</v>
      </c>
      <c r="AH35" s="112">
        <f t="shared" si="14"/>
        <v>0</v>
      </c>
      <c r="AI35" s="89">
        <v>0</v>
      </c>
      <c r="AJ35" s="112">
        <f t="shared" si="15"/>
        <v>0</v>
      </c>
      <c r="AK35" s="89">
        <v>0</v>
      </c>
      <c r="AL35" s="112">
        <f t="shared" si="16"/>
        <v>0</v>
      </c>
      <c r="AM35" s="89">
        <v>0</v>
      </c>
      <c r="AN35" s="112">
        <f t="shared" si="17"/>
        <v>0</v>
      </c>
      <c r="AO35" s="89">
        <v>0</v>
      </c>
      <c r="AP35" s="112">
        <f t="shared" si="18"/>
        <v>0</v>
      </c>
      <c r="AQ35" s="89">
        <f t="shared" si="2"/>
        <v>0</v>
      </c>
      <c r="AR35" s="113">
        <f t="shared" si="19"/>
        <v>0</v>
      </c>
      <c r="AS35" s="89">
        <v>0</v>
      </c>
      <c r="AT35" s="112">
        <f t="shared" si="20"/>
        <v>0</v>
      </c>
      <c r="AU35" s="89">
        <v>0</v>
      </c>
      <c r="AV35" s="112">
        <f t="shared" si="21"/>
        <v>0</v>
      </c>
      <c r="AW35" s="89">
        <v>0</v>
      </c>
      <c r="AX35" s="112">
        <f t="shared" si="22"/>
        <v>0</v>
      </c>
      <c r="AY35" s="89">
        <v>0</v>
      </c>
      <c r="AZ35" s="112">
        <f t="shared" si="23"/>
        <v>0</v>
      </c>
      <c r="BA35" s="89">
        <v>0</v>
      </c>
      <c r="BB35" s="112">
        <f t="shared" si="24"/>
        <v>0</v>
      </c>
      <c r="BC35" s="89">
        <v>0</v>
      </c>
      <c r="BD35" s="112">
        <f t="shared" si="25"/>
        <v>0</v>
      </c>
      <c r="BE35" s="89">
        <f t="shared" si="3"/>
        <v>0</v>
      </c>
      <c r="BF35" s="113">
        <f t="shared" si="26"/>
        <v>0</v>
      </c>
      <c r="BG35" s="89">
        <v>0</v>
      </c>
      <c r="BH35" s="112">
        <f t="shared" si="27"/>
        <v>0</v>
      </c>
      <c r="BI35" s="89">
        <v>0</v>
      </c>
      <c r="BJ35" s="112">
        <f t="shared" si="28"/>
        <v>0</v>
      </c>
      <c r="BK35" s="89">
        <v>0</v>
      </c>
      <c r="BL35" s="112">
        <f t="shared" si="29"/>
        <v>0</v>
      </c>
      <c r="BM35" s="89">
        <v>0</v>
      </c>
      <c r="BN35" s="112">
        <f t="shared" si="30"/>
        <v>0</v>
      </c>
      <c r="BO35" s="89">
        <v>0</v>
      </c>
      <c r="BP35" s="112">
        <f t="shared" si="31"/>
        <v>0</v>
      </c>
      <c r="BQ35" s="89">
        <v>0</v>
      </c>
      <c r="BR35" s="112">
        <f t="shared" si="32"/>
        <v>0</v>
      </c>
      <c r="BS35" s="89">
        <f t="shared" si="4"/>
        <v>0</v>
      </c>
      <c r="BT35" s="113">
        <f t="shared" si="33"/>
        <v>0</v>
      </c>
      <c r="BU35" s="89">
        <v>0</v>
      </c>
      <c r="BV35" s="112">
        <f t="shared" si="34"/>
        <v>0</v>
      </c>
      <c r="BW35" s="89">
        <v>0</v>
      </c>
      <c r="BX35" s="112">
        <f t="shared" si="35"/>
        <v>0</v>
      </c>
      <c r="BY35" s="89">
        <v>0</v>
      </c>
      <c r="BZ35" s="112">
        <f t="shared" si="36"/>
        <v>0</v>
      </c>
      <c r="CA35" s="89">
        <v>0</v>
      </c>
      <c r="CB35" s="112">
        <f t="shared" si="37"/>
        <v>0</v>
      </c>
      <c r="CC35" s="89">
        <v>0</v>
      </c>
      <c r="CD35" s="112">
        <f t="shared" si="38"/>
        <v>0</v>
      </c>
      <c r="CE35" s="89">
        <v>0</v>
      </c>
      <c r="CF35" s="112">
        <f t="shared" si="39"/>
        <v>0</v>
      </c>
      <c r="CG35" s="89">
        <f t="shared" si="5"/>
        <v>0</v>
      </c>
      <c r="CH35" s="113">
        <f t="shared" si="40"/>
        <v>0</v>
      </c>
      <c r="CI35" s="89">
        <v>0</v>
      </c>
      <c r="CJ35" s="112">
        <f t="shared" si="41"/>
        <v>0</v>
      </c>
      <c r="CK35" s="89">
        <v>0</v>
      </c>
      <c r="CL35" s="112">
        <f t="shared" si="42"/>
        <v>0</v>
      </c>
      <c r="CM35" s="89">
        <v>0</v>
      </c>
      <c r="CN35" s="112">
        <f t="shared" si="43"/>
        <v>0</v>
      </c>
      <c r="CO35" s="89">
        <v>0</v>
      </c>
      <c r="CP35" s="112">
        <f t="shared" si="44"/>
        <v>0</v>
      </c>
      <c r="CQ35" s="89">
        <v>0</v>
      </c>
      <c r="CR35" s="112">
        <f t="shared" si="45"/>
        <v>0</v>
      </c>
      <c r="CS35" s="89">
        <v>0</v>
      </c>
      <c r="CT35" s="112">
        <f t="shared" si="46"/>
        <v>0</v>
      </c>
      <c r="CU35" s="89">
        <f t="shared" si="6"/>
        <v>0</v>
      </c>
      <c r="CV35" s="113">
        <f t="shared" si="47"/>
        <v>0</v>
      </c>
    </row>
    <row r="36" spans="2:100" ht="19.95" customHeight="1">
      <c r="B36" s="86"/>
      <c r="C36" s="88">
        <v>27</v>
      </c>
      <c r="D36" s="1" t="s">
        <v>200</v>
      </c>
      <c r="E36" s="88">
        <v>0.3</v>
      </c>
      <c r="F36" s="88">
        <v>2.91</v>
      </c>
      <c r="G36" s="89">
        <f>E36*F36*14</f>
        <v>12.222</v>
      </c>
      <c r="H36" s="90"/>
      <c r="I36" s="90"/>
      <c r="J36" s="90"/>
      <c r="K36" s="91"/>
      <c r="M36" s="89"/>
      <c r="N36" s="95">
        <f>G36</f>
        <v>12.222</v>
      </c>
      <c r="O36" s="89"/>
      <c r="P36" s="89">
        <f t="shared" si="0"/>
        <v>12.222</v>
      </c>
      <c r="Q36" s="89">
        <v>0</v>
      </c>
      <c r="R36" s="112">
        <f t="shared" si="49"/>
        <v>0</v>
      </c>
      <c r="S36" s="89">
        <v>0</v>
      </c>
      <c r="T36" s="112">
        <f t="shared" si="49"/>
        <v>0</v>
      </c>
      <c r="U36" s="89">
        <v>0</v>
      </c>
      <c r="V36" s="112">
        <f t="shared" si="8"/>
        <v>0</v>
      </c>
      <c r="W36" s="89">
        <v>0</v>
      </c>
      <c r="X36" s="112">
        <f t="shared" si="9"/>
        <v>0</v>
      </c>
      <c r="Y36" s="89">
        <v>0</v>
      </c>
      <c r="Z36" s="112">
        <f t="shared" si="10"/>
        <v>0</v>
      </c>
      <c r="AA36" s="89">
        <v>0</v>
      </c>
      <c r="AB36" s="112">
        <f t="shared" si="50"/>
        <v>0</v>
      </c>
      <c r="AC36" s="89">
        <f t="shared" si="1"/>
        <v>0</v>
      </c>
      <c r="AD36" s="113">
        <f t="shared" si="12"/>
        <v>0</v>
      </c>
      <c r="AE36" s="89">
        <v>0</v>
      </c>
      <c r="AF36" s="112">
        <f t="shared" si="13"/>
        <v>0</v>
      </c>
      <c r="AG36" s="89">
        <v>0</v>
      </c>
      <c r="AH36" s="112">
        <f t="shared" si="14"/>
        <v>0</v>
      </c>
      <c r="AI36" s="89">
        <v>0</v>
      </c>
      <c r="AJ36" s="112">
        <f t="shared" si="15"/>
        <v>0</v>
      </c>
      <c r="AK36" s="89">
        <v>0</v>
      </c>
      <c r="AL36" s="112">
        <f t="shared" si="16"/>
        <v>0</v>
      </c>
      <c r="AM36" s="89">
        <v>0</v>
      </c>
      <c r="AN36" s="112">
        <f t="shared" si="17"/>
        <v>0</v>
      </c>
      <c r="AO36" s="89">
        <v>0</v>
      </c>
      <c r="AP36" s="112">
        <f t="shared" si="18"/>
        <v>0</v>
      </c>
      <c r="AQ36" s="89">
        <f t="shared" si="2"/>
        <v>0</v>
      </c>
      <c r="AR36" s="113">
        <f t="shared" si="19"/>
        <v>0</v>
      </c>
      <c r="AS36" s="89">
        <v>0</v>
      </c>
      <c r="AT36" s="112">
        <f t="shared" si="20"/>
        <v>0</v>
      </c>
      <c r="AU36" s="89">
        <v>0</v>
      </c>
      <c r="AV36" s="112">
        <f t="shared" si="21"/>
        <v>0</v>
      </c>
      <c r="AW36" s="89">
        <v>0</v>
      </c>
      <c r="AX36" s="112">
        <f t="shared" si="22"/>
        <v>0</v>
      </c>
      <c r="AY36" s="89">
        <v>0</v>
      </c>
      <c r="AZ36" s="112">
        <f t="shared" si="23"/>
        <v>0</v>
      </c>
      <c r="BA36" s="89">
        <v>0</v>
      </c>
      <c r="BB36" s="112">
        <f t="shared" si="24"/>
        <v>0</v>
      </c>
      <c r="BC36" s="89">
        <v>0</v>
      </c>
      <c r="BD36" s="112">
        <f t="shared" si="25"/>
        <v>0</v>
      </c>
      <c r="BE36" s="89">
        <f t="shared" si="3"/>
        <v>0</v>
      </c>
      <c r="BF36" s="113">
        <f t="shared" si="26"/>
        <v>0</v>
      </c>
      <c r="BG36" s="89">
        <v>0</v>
      </c>
      <c r="BH36" s="112">
        <f t="shared" si="27"/>
        <v>0</v>
      </c>
      <c r="BI36" s="89">
        <v>0</v>
      </c>
      <c r="BJ36" s="112">
        <f t="shared" si="28"/>
        <v>0</v>
      </c>
      <c r="BK36" s="89">
        <v>0</v>
      </c>
      <c r="BL36" s="112">
        <f t="shared" si="29"/>
        <v>0</v>
      </c>
      <c r="BM36" s="89">
        <v>0</v>
      </c>
      <c r="BN36" s="112">
        <f t="shared" si="30"/>
        <v>0</v>
      </c>
      <c r="BO36" s="89">
        <v>0</v>
      </c>
      <c r="BP36" s="112">
        <f t="shared" si="31"/>
        <v>0</v>
      </c>
      <c r="BQ36" s="89">
        <v>0</v>
      </c>
      <c r="BR36" s="112">
        <f t="shared" si="32"/>
        <v>0</v>
      </c>
      <c r="BS36" s="89">
        <f t="shared" si="4"/>
        <v>0</v>
      </c>
      <c r="BT36" s="113">
        <f t="shared" si="33"/>
        <v>0</v>
      </c>
      <c r="BU36" s="89">
        <v>0</v>
      </c>
      <c r="BV36" s="112">
        <f t="shared" si="34"/>
        <v>0</v>
      </c>
      <c r="BW36" s="89">
        <v>0</v>
      </c>
      <c r="BX36" s="112">
        <f t="shared" si="35"/>
        <v>0</v>
      </c>
      <c r="BY36" s="89">
        <v>0</v>
      </c>
      <c r="BZ36" s="112">
        <f t="shared" si="36"/>
        <v>0</v>
      </c>
      <c r="CA36" s="89">
        <v>0</v>
      </c>
      <c r="CB36" s="112">
        <f t="shared" si="37"/>
        <v>0</v>
      </c>
      <c r="CC36" s="89">
        <v>0</v>
      </c>
      <c r="CD36" s="112">
        <f t="shared" si="38"/>
        <v>0</v>
      </c>
      <c r="CE36" s="89">
        <v>0</v>
      </c>
      <c r="CF36" s="112">
        <f t="shared" si="39"/>
        <v>0</v>
      </c>
      <c r="CG36" s="89">
        <f t="shared" si="5"/>
        <v>0</v>
      </c>
      <c r="CH36" s="113">
        <f t="shared" si="40"/>
        <v>0</v>
      </c>
      <c r="CI36" s="89">
        <v>0</v>
      </c>
      <c r="CJ36" s="112">
        <f t="shared" si="41"/>
        <v>0</v>
      </c>
      <c r="CK36" s="89">
        <v>0</v>
      </c>
      <c r="CL36" s="112">
        <f t="shared" si="42"/>
        <v>0</v>
      </c>
      <c r="CM36" s="89">
        <v>0</v>
      </c>
      <c r="CN36" s="112">
        <f t="shared" si="43"/>
        <v>0</v>
      </c>
      <c r="CO36" s="89">
        <v>0</v>
      </c>
      <c r="CP36" s="112">
        <f t="shared" si="44"/>
        <v>0</v>
      </c>
      <c r="CQ36" s="89">
        <v>0</v>
      </c>
      <c r="CR36" s="112">
        <f t="shared" si="45"/>
        <v>0</v>
      </c>
      <c r="CS36" s="89">
        <v>0</v>
      </c>
      <c r="CT36" s="112">
        <f t="shared" si="46"/>
        <v>0</v>
      </c>
      <c r="CU36" s="89">
        <f t="shared" si="6"/>
        <v>0</v>
      </c>
      <c r="CV36" s="113">
        <f t="shared" si="47"/>
        <v>0</v>
      </c>
    </row>
    <row r="37" spans="2:100" ht="19.95" customHeight="1">
      <c r="B37" s="86"/>
      <c r="C37" s="88" t="s">
        <v>223</v>
      </c>
      <c r="D37" s="1" t="s">
        <v>202</v>
      </c>
      <c r="E37" s="88">
        <v>0.6</v>
      </c>
      <c r="F37" s="88">
        <v>1.71</v>
      </c>
      <c r="G37" s="89">
        <f>E37*F37*14</f>
        <v>14.364000000000001</v>
      </c>
      <c r="H37" s="90"/>
      <c r="I37" s="90"/>
      <c r="J37" s="90"/>
      <c r="K37" s="91"/>
      <c r="L37" s="89"/>
      <c r="O37" s="95">
        <f>G37</f>
        <v>14.364000000000001</v>
      </c>
      <c r="P37" s="89">
        <f t="shared" si="0"/>
        <v>14.364000000000001</v>
      </c>
      <c r="Q37" s="89">
        <v>0</v>
      </c>
      <c r="R37" s="112">
        <f t="shared" si="49"/>
        <v>0</v>
      </c>
      <c r="S37" s="89">
        <v>0</v>
      </c>
      <c r="T37" s="112">
        <f t="shared" si="49"/>
        <v>0</v>
      </c>
      <c r="U37" s="89">
        <v>0</v>
      </c>
      <c r="V37" s="112">
        <f t="shared" si="8"/>
        <v>0</v>
      </c>
      <c r="W37" s="89">
        <v>0</v>
      </c>
      <c r="X37" s="112">
        <f t="shared" si="9"/>
        <v>0</v>
      </c>
      <c r="Y37" s="89">
        <v>0</v>
      </c>
      <c r="Z37" s="112">
        <f t="shared" si="10"/>
        <v>0</v>
      </c>
      <c r="AA37" s="89">
        <v>0</v>
      </c>
      <c r="AB37" s="112">
        <f t="shared" si="50"/>
        <v>0</v>
      </c>
      <c r="AC37" s="89">
        <f t="shared" si="1"/>
        <v>0</v>
      </c>
      <c r="AD37" s="113">
        <f t="shared" si="12"/>
        <v>0</v>
      </c>
      <c r="AE37" s="89">
        <v>0</v>
      </c>
      <c r="AF37" s="112">
        <f t="shared" si="13"/>
        <v>0</v>
      </c>
      <c r="AG37" s="89">
        <v>0</v>
      </c>
      <c r="AH37" s="112">
        <f t="shared" si="14"/>
        <v>0</v>
      </c>
      <c r="AI37" s="89">
        <v>0</v>
      </c>
      <c r="AJ37" s="112">
        <f t="shared" si="15"/>
        <v>0</v>
      </c>
      <c r="AK37" s="89">
        <v>0</v>
      </c>
      <c r="AL37" s="112">
        <f t="shared" si="16"/>
        <v>0</v>
      </c>
      <c r="AM37" s="89">
        <v>0</v>
      </c>
      <c r="AN37" s="112">
        <f t="shared" si="17"/>
        <v>0</v>
      </c>
      <c r="AO37" s="89">
        <v>0</v>
      </c>
      <c r="AP37" s="112">
        <f t="shared" si="18"/>
        <v>0</v>
      </c>
      <c r="AQ37" s="89">
        <f t="shared" si="2"/>
        <v>0</v>
      </c>
      <c r="AR37" s="113">
        <f t="shared" si="19"/>
        <v>0</v>
      </c>
      <c r="AS37" s="89">
        <v>0</v>
      </c>
      <c r="AT37" s="112">
        <f t="shared" si="20"/>
        <v>0</v>
      </c>
      <c r="AU37" s="89">
        <v>0</v>
      </c>
      <c r="AV37" s="112">
        <f t="shared" si="21"/>
        <v>0</v>
      </c>
      <c r="AW37" s="89">
        <v>0</v>
      </c>
      <c r="AX37" s="112">
        <f t="shared" si="22"/>
        <v>0</v>
      </c>
      <c r="AY37" s="89">
        <v>0</v>
      </c>
      <c r="AZ37" s="112">
        <f t="shared" si="23"/>
        <v>0</v>
      </c>
      <c r="BA37" s="89">
        <v>0</v>
      </c>
      <c r="BB37" s="112">
        <f t="shared" si="24"/>
        <v>0</v>
      </c>
      <c r="BC37" s="89">
        <v>0</v>
      </c>
      <c r="BD37" s="112">
        <f t="shared" si="25"/>
        <v>0</v>
      </c>
      <c r="BE37" s="89">
        <f t="shared" si="3"/>
        <v>0</v>
      </c>
      <c r="BF37" s="113">
        <f t="shared" si="26"/>
        <v>0</v>
      </c>
      <c r="BG37" s="89">
        <v>0</v>
      </c>
      <c r="BH37" s="112">
        <f t="shared" si="27"/>
        <v>0</v>
      </c>
      <c r="BI37" s="89">
        <v>0</v>
      </c>
      <c r="BJ37" s="112">
        <f t="shared" si="28"/>
        <v>0</v>
      </c>
      <c r="BK37" s="89">
        <v>0</v>
      </c>
      <c r="BL37" s="112">
        <f t="shared" si="29"/>
        <v>0</v>
      </c>
      <c r="BM37" s="89">
        <v>0</v>
      </c>
      <c r="BN37" s="112">
        <f t="shared" si="30"/>
        <v>0</v>
      </c>
      <c r="BO37" s="89">
        <v>0</v>
      </c>
      <c r="BP37" s="112">
        <f t="shared" si="31"/>
        <v>0</v>
      </c>
      <c r="BQ37" s="89">
        <v>0</v>
      </c>
      <c r="BR37" s="112">
        <f t="shared" si="32"/>
        <v>0</v>
      </c>
      <c r="BS37" s="89">
        <f t="shared" si="4"/>
        <v>0</v>
      </c>
      <c r="BT37" s="113">
        <f t="shared" si="33"/>
        <v>0</v>
      </c>
      <c r="BU37" s="89">
        <v>0</v>
      </c>
      <c r="BV37" s="112">
        <f t="shared" si="34"/>
        <v>0</v>
      </c>
      <c r="BW37" s="89">
        <v>0</v>
      </c>
      <c r="BX37" s="112">
        <f t="shared" si="35"/>
        <v>0</v>
      </c>
      <c r="BY37" s="89">
        <v>0</v>
      </c>
      <c r="BZ37" s="112">
        <f t="shared" si="36"/>
        <v>0</v>
      </c>
      <c r="CA37" s="89">
        <v>0</v>
      </c>
      <c r="CB37" s="112">
        <f t="shared" si="37"/>
        <v>0</v>
      </c>
      <c r="CC37" s="89">
        <v>0</v>
      </c>
      <c r="CD37" s="112">
        <f t="shared" si="38"/>
        <v>0</v>
      </c>
      <c r="CE37" s="89">
        <v>0</v>
      </c>
      <c r="CF37" s="112">
        <f t="shared" si="39"/>
        <v>0</v>
      </c>
      <c r="CG37" s="89">
        <f t="shared" si="5"/>
        <v>0</v>
      </c>
      <c r="CH37" s="113">
        <f t="shared" si="40"/>
        <v>0</v>
      </c>
      <c r="CI37" s="89">
        <v>0</v>
      </c>
      <c r="CJ37" s="112">
        <f t="shared" si="41"/>
        <v>0</v>
      </c>
      <c r="CK37" s="89">
        <v>0</v>
      </c>
      <c r="CL37" s="112">
        <f t="shared" si="42"/>
        <v>0</v>
      </c>
      <c r="CM37" s="89">
        <v>0</v>
      </c>
      <c r="CN37" s="112">
        <f t="shared" si="43"/>
        <v>0</v>
      </c>
      <c r="CO37" s="89">
        <v>0</v>
      </c>
      <c r="CP37" s="112">
        <f t="shared" si="44"/>
        <v>0</v>
      </c>
      <c r="CQ37" s="89">
        <v>0</v>
      </c>
      <c r="CR37" s="112">
        <f t="shared" si="45"/>
        <v>0</v>
      </c>
      <c r="CS37" s="89">
        <v>0</v>
      </c>
      <c r="CT37" s="112">
        <f t="shared" si="46"/>
        <v>0</v>
      </c>
      <c r="CU37" s="89">
        <f t="shared" si="6"/>
        <v>0</v>
      </c>
      <c r="CV37" s="113">
        <f t="shared" si="47"/>
        <v>0</v>
      </c>
    </row>
    <row r="38" spans="2:100" ht="19.95" customHeight="1">
      <c r="B38" s="86"/>
      <c r="C38" s="88">
        <v>28</v>
      </c>
      <c r="D38" s="1" t="s">
        <v>122</v>
      </c>
      <c r="E38" s="88">
        <f>E5</f>
        <v>35.6</v>
      </c>
      <c r="F38" s="88">
        <v>3.19</v>
      </c>
      <c r="G38" s="89">
        <f>E38*F38</f>
        <v>113.56400000000001</v>
      </c>
      <c r="H38" s="90">
        <v>1.5</v>
      </c>
      <c r="I38" s="90">
        <v>1.2</v>
      </c>
      <c r="J38" s="90">
        <v>14</v>
      </c>
      <c r="K38" s="91">
        <f>(H38*I38)*J38</f>
        <v>25.199999999999996</v>
      </c>
      <c r="L38" s="95">
        <f>G38-K38</f>
        <v>88.364000000000004</v>
      </c>
      <c r="O38" s="89"/>
      <c r="P38" s="89">
        <f t="shared" si="0"/>
        <v>88.364000000000004</v>
      </c>
      <c r="Q38" s="89">
        <v>0</v>
      </c>
      <c r="R38" s="112">
        <f t="shared" si="49"/>
        <v>0</v>
      </c>
      <c r="S38" s="89">
        <v>0</v>
      </c>
      <c r="T38" s="112">
        <f t="shared" si="49"/>
        <v>0</v>
      </c>
      <c r="U38" s="89">
        <v>0</v>
      </c>
      <c r="V38" s="112">
        <f t="shared" si="8"/>
        <v>0</v>
      </c>
      <c r="W38" s="89">
        <v>0</v>
      </c>
      <c r="X38" s="112">
        <f t="shared" si="9"/>
        <v>0</v>
      </c>
      <c r="Y38" s="89">
        <v>0</v>
      </c>
      <c r="Z38" s="112">
        <f t="shared" si="10"/>
        <v>0</v>
      </c>
      <c r="AA38" s="89">
        <v>0</v>
      </c>
      <c r="AB38" s="112">
        <f t="shared" si="50"/>
        <v>0</v>
      </c>
      <c r="AC38" s="89">
        <f t="shared" si="1"/>
        <v>0</v>
      </c>
      <c r="AD38" s="113">
        <f t="shared" si="12"/>
        <v>0</v>
      </c>
      <c r="AE38" s="89">
        <v>0</v>
      </c>
      <c r="AF38" s="112">
        <f t="shared" si="13"/>
        <v>0</v>
      </c>
      <c r="AG38" s="89">
        <v>0</v>
      </c>
      <c r="AH38" s="112">
        <f t="shared" si="14"/>
        <v>0</v>
      </c>
      <c r="AI38" s="89">
        <v>0</v>
      </c>
      <c r="AJ38" s="112">
        <f t="shared" si="15"/>
        <v>0</v>
      </c>
      <c r="AK38" s="89">
        <v>0</v>
      </c>
      <c r="AL38" s="112">
        <f t="shared" si="16"/>
        <v>0</v>
      </c>
      <c r="AM38" s="89">
        <v>0</v>
      </c>
      <c r="AN38" s="112">
        <f t="shared" si="17"/>
        <v>0</v>
      </c>
      <c r="AO38" s="89">
        <v>0</v>
      </c>
      <c r="AP38" s="112">
        <f t="shared" si="18"/>
        <v>0</v>
      </c>
      <c r="AQ38" s="89">
        <f t="shared" si="2"/>
        <v>0</v>
      </c>
      <c r="AR38" s="113">
        <f t="shared" si="19"/>
        <v>0</v>
      </c>
      <c r="AS38" s="89">
        <v>0</v>
      </c>
      <c r="AT38" s="112">
        <f t="shared" si="20"/>
        <v>0</v>
      </c>
      <c r="AU38" s="89">
        <v>0</v>
      </c>
      <c r="AV38" s="112">
        <f t="shared" si="21"/>
        <v>0</v>
      </c>
      <c r="AW38" s="89">
        <v>0</v>
      </c>
      <c r="AX38" s="112">
        <f t="shared" si="22"/>
        <v>0</v>
      </c>
      <c r="AY38" s="89">
        <v>0</v>
      </c>
      <c r="AZ38" s="112">
        <f t="shared" si="23"/>
        <v>0</v>
      </c>
      <c r="BA38" s="89">
        <v>0</v>
      </c>
      <c r="BB38" s="112">
        <f t="shared" si="24"/>
        <v>0</v>
      </c>
      <c r="BC38" s="89">
        <v>0</v>
      </c>
      <c r="BD38" s="112">
        <f t="shared" si="25"/>
        <v>0</v>
      </c>
      <c r="BE38" s="89">
        <f t="shared" si="3"/>
        <v>0</v>
      </c>
      <c r="BF38" s="113">
        <f t="shared" si="26"/>
        <v>0</v>
      </c>
      <c r="BG38" s="89">
        <v>0</v>
      </c>
      <c r="BH38" s="112">
        <f t="shared" si="27"/>
        <v>0</v>
      </c>
      <c r="BI38" s="89">
        <v>0</v>
      </c>
      <c r="BJ38" s="112">
        <f t="shared" si="28"/>
        <v>0</v>
      </c>
      <c r="BK38" s="89">
        <v>0</v>
      </c>
      <c r="BL38" s="112">
        <f t="shared" si="29"/>
        <v>0</v>
      </c>
      <c r="BM38" s="89">
        <v>0</v>
      </c>
      <c r="BN38" s="112">
        <f t="shared" si="30"/>
        <v>0</v>
      </c>
      <c r="BO38" s="89">
        <v>0</v>
      </c>
      <c r="BP38" s="112">
        <f t="shared" si="31"/>
        <v>0</v>
      </c>
      <c r="BQ38" s="89">
        <v>0</v>
      </c>
      <c r="BR38" s="112">
        <f t="shared" si="32"/>
        <v>0</v>
      </c>
      <c r="BS38" s="89">
        <f t="shared" si="4"/>
        <v>0</v>
      </c>
      <c r="BT38" s="113">
        <f t="shared" si="33"/>
        <v>0</v>
      </c>
      <c r="BU38" s="89">
        <v>0</v>
      </c>
      <c r="BV38" s="112">
        <f t="shared" si="34"/>
        <v>0</v>
      </c>
      <c r="BW38" s="89">
        <v>0</v>
      </c>
      <c r="BX38" s="112">
        <f t="shared" si="35"/>
        <v>0</v>
      </c>
      <c r="BY38" s="89">
        <v>0</v>
      </c>
      <c r="BZ38" s="112">
        <f t="shared" si="36"/>
        <v>0</v>
      </c>
      <c r="CA38" s="89">
        <v>0</v>
      </c>
      <c r="CB38" s="112">
        <f t="shared" si="37"/>
        <v>0</v>
      </c>
      <c r="CC38" s="89">
        <v>0</v>
      </c>
      <c r="CD38" s="112">
        <f t="shared" si="38"/>
        <v>0</v>
      </c>
      <c r="CE38" s="89">
        <v>0</v>
      </c>
      <c r="CF38" s="112">
        <f t="shared" si="39"/>
        <v>0</v>
      </c>
      <c r="CG38" s="89">
        <f t="shared" si="5"/>
        <v>0</v>
      </c>
      <c r="CH38" s="113">
        <f t="shared" si="40"/>
        <v>0</v>
      </c>
      <c r="CI38" s="89">
        <v>0</v>
      </c>
      <c r="CJ38" s="112">
        <f t="shared" si="41"/>
        <v>0</v>
      </c>
      <c r="CK38" s="89">
        <v>0</v>
      </c>
      <c r="CL38" s="112">
        <f t="shared" si="42"/>
        <v>0</v>
      </c>
      <c r="CM38" s="89">
        <v>0</v>
      </c>
      <c r="CN38" s="112">
        <f t="shared" si="43"/>
        <v>0</v>
      </c>
      <c r="CO38" s="89">
        <v>0</v>
      </c>
      <c r="CP38" s="112">
        <f t="shared" si="44"/>
        <v>0</v>
      </c>
      <c r="CQ38" s="89">
        <v>0</v>
      </c>
      <c r="CR38" s="112">
        <f t="shared" si="45"/>
        <v>0</v>
      </c>
      <c r="CS38" s="89">
        <v>0</v>
      </c>
      <c r="CT38" s="112">
        <f t="shared" si="46"/>
        <v>0</v>
      </c>
      <c r="CU38" s="89">
        <f t="shared" si="6"/>
        <v>0</v>
      </c>
      <c r="CV38" s="113">
        <f t="shared" si="47"/>
        <v>0</v>
      </c>
    </row>
    <row r="39" spans="2:100" ht="19.95" customHeight="1">
      <c r="B39" s="86"/>
      <c r="C39" s="88">
        <v>29</v>
      </c>
      <c r="D39" s="1" t="s">
        <v>104</v>
      </c>
      <c r="E39" s="88">
        <f>E5</f>
        <v>35.6</v>
      </c>
      <c r="F39" s="88">
        <v>4.32</v>
      </c>
      <c r="G39" s="89">
        <f>E39*F39</f>
        <v>153.79200000000003</v>
      </c>
      <c r="H39" s="90">
        <v>1.5</v>
      </c>
      <c r="I39" s="90">
        <v>1.2</v>
      </c>
      <c r="J39" s="90">
        <v>14</v>
      </c>
      <c r="K39" s="91">
        <f>(H39*I39)*J39</f>
        <v>25.199999999999996</v>
      </c>
      <c r="L39" s="95">
        <f>G39-(K39+K40)</f>
        <v>78.192000000000036</v>
      </c>
      <c r="O39" s="89"/>
      <c r="P39" s="89">
        <f t="shared" si="0"/>
        <v>78.192000000000036</v>
      </c>
      <c r="Q39" s="89">
        <v>0</v>
      </c>
      <c r="R39" s="112">
        <f t="shared" ref="R39:T54" si="53">Q39/$P39</f>
        <v>0</v>
      </c>
      <c r="S39" s="89">
        <v>0</v>
      </c>
      <c r="T39" s="112">
        <f t="shared" si="53"/>
        <v>0</v>
      </c>
      <c r="U39" s="89">
        <v>0</v>
      </c>
      <c r="V39" s="112">
        <f t="shared" si="8"/>
        <v>0</v>
      </c>
      <c r="W39" s="89">
        <v>0</v>
      </c>
      <c r="X39" s="112">
        <f t="shared" si="9"/>
        <v>0</v>
      </c>
      <c r="Y39" s="89">
        <v>0</v>
      </c>
      <c r="Z39" s="112">
        <f t="shared" si="10"/>
        <v>0</v>
      </c>
      <c r="AA39" s="89">
        <v>0</v>
      </c>
      <c r="AB39" s="112">
        <f t="shared" ref="AB39" si="54">AA39/$P39</f>
        <v>0</v>
      </c>
      <c r="AC39" s="89">
        <f t="shared" si="1"/>
        <v>0</v>
      </c>
      <c r="AD39" s="113">
        <f t="shared" si="12"/>
        <v>0</v>
      </c>
      <c r="AE39" s="89">
        <v>0</v>
      </c>
      <c r="AF39" s="112">
        <f t="shared" si="13"/>
        <v>0</v>
      </c>
      <c r="AG39" s="89">
        <v>0</v>
      </c>
      <c r="AH39" s="112">
        <f t="shared" si="14"/>
        <v>0</v>
      </c>
      <c r="AI39" s="89">
        <v>0</v>
      </c>
      <c r="AJ39" s="112">
        <f t="shared" si="15"/>
        <v>0</v>
      </c>
      <c r="AK39" s="89">
        <v>0</v>
      </c>
      <c r="AL39" s="112">
        <f t="shared" si="16"/>
        <v>0</v>
      </c>
      <c r="AM39" s="89">
        <v>0</v>
      </c>
      <c r="AN39" s="112">
        <f t="shared" si="17"/>
        <v>0</v>
      </c>
      <c r="AO39" s="89">
        <v>0</v>
      </c>
      <c r="AP39" s="112">
        <f t="shared" si="18"/>
        <v>0</v>
      </c>
      <c r="AQ39" s="89">
        <f t="shared" si="2"/>
        <v>0</v>
      </c>
      <c r="AR39" s="113">
        <f t="shared" si="19"/>
        <v>0</v>
      </c>
      <c r="AS39" s="89">
        <v>0</v>
      </c>
      <c r="AT39" s="112">
        <f t="shared" si="20"/>
        <v>0</v>
      </c>
      <c r="AU39" s="89">
        <v>0</v>
      </c>
      <c r="AV39" s="112">
        <f t="shared" si="21"/>
        <v>0</v>
      </c>
      <c r="AW39" s="89">
        <v>0</v>
      </c>
      <c r="AX39" s="112">
        <f t="shared" si="22"/>
        <v>0</v>
      </c>
      <c r="AY39" s="89">
        <v>0</v>
      </c>
      <c r="AZ39" s="112">
        <f t="shared" si="23"/>
        <v>0</v>
      </c>
      <c r="BA39" s="89">
        <v>0</v>
      </c>
      <c r="BB39" s="112">
        <f t="shared" si="24"/>
        <v>0</v>
      </c>
      <c r="BC39" s="89">
        <v>0</v>
      </c>
      <c r="BD39" s="112">
        <f t="shared" si="25"/>
        <v>0</v>
      </c>
      <c r="BE39" s="89">
        <f t="shared" si="3"/>
        <v>0</v>
      </c>
      <c r="BF39" s="113">
        <f t="shared" si="26"/>
        <v>0</v>
      </c>
      <c r="BG39" s="89">
        <v>0</v>
      </c>
      <c r="BH39" s="112">
        <f t="shared" si="27"/>
        <v>0</v>
      </c>
      <c r="BI39" s="89">
        <v>0</v>
      </c>
      <c r="BJ39" s="112">
        <f t="shared" si="28"/>
        <v>0</v>
      </c>
      <c r="BK39" s="89">
        <v>0</v>
      </c>
      <c r="BL39" s="112">
        <f t="shared" si="29"/>
        <v>0</v>
      </c>
      <c r="BM39" s="89">
        <v>0</v>
      </c>
      <c r="BN39" s="112">
        <f t="shared" si="30"/>
        <v>0</v>
      </c>
      <c r="BO39" s="89">
        <v>0</v>
      </c>
      <c r="BP39" s="112">
        <f t="shared" si="31"/>
        <v>0</v>
      </c>
      <c r="BQ39" s="89">
        <v>0</v>
      </c>
      <c r="BR39" s="112">
        <f t="shared" si="32"/>
        <v>0</v>
      </c>
      <c r="BS39" s="89">
        <f t="shared" si="4"/>
        <v>0</v>
      </c>
      <c r="BT39" s="113">
        <f t="shared" si="33"/>
        <v>0</v>
      </c>
      <c r="BU39" s="89">
        <v>0</v>
      </c>
      <c r="BV39" s="112">
        <f t="shared" si="34"/>
        <v>0</v>
      </c>
      <c r="BW39" s="89">
        <v>0</v>
      </c>
      <c r="BX39" s="112">
        <f t="shared" si="35"/>
        <v>0</v>
      </c>
      <c r="BY39" s="89">
        <v>0</v>
      </c>
      <c r="BZ39" s="112">
        <f t="shared" si="36"/>
        <v>0</v>
      </c>
      <c r="CA39" s="89">
        <v>0</v>
      </c>
      <c r="CB39" s="112">
        <f t="shared" si="37"/>
        <v>0</v>
      </c>
      <c r="CC39" s="89">
        <v>0</v>
      </c>
      <c r="CD39" s="112">
        <f t="shared" si="38"/>
        <v>0</v>
      </c>
      <c r="CE39" s="89">
        <v>0</v>
      </c>
      <c r="CF39" s="112">
        <f t="shared" si="39"/>
        <v>0</v>
      </c>
      <c r="CG39" s="89">
        <f t="shared" si="5"/>
        <v>0</v>
      </c>
      <c r="CH39" s="113">
        <f t="shared" si="40"/>
        <v>0</v>
      </c>
      <c r="CI39" s="89">
        <v>0</v>
      </c>
      <c r="CJ39" s="112">
        <f t="shared" si="41"/>
        <v>0</v>
      </c>
      <c r="CK39" s="89">
        <v>0</v>
      </c>
      <c r="CL39" s="112">
        <f t="shared" si="42"/>
        <v>0</v>
      </c>
      <c r="CM39" s="89">
        <v>0</v>
      </c>
      <c r="CN39" s="112">
        <f t="shared" si="43"/>
        <v>0</v>
      </c>
      <c r="CO39" s="89">
        <v>0</v>
      </c>
      <c r="CP39" s="112">
        <f t="shared" si="44"/>
        <v>0</v>
      </c>
      <c r="CQ39" s="89">
        <v>0</v>
      </c>
      <c r="CR39" s="112">
        <f t="shared" si="45"/>
        <v>0</v>
      </c>
      <c r="CS39" s="89">
        <v>0</v>
      </c>
      <c r="CT39" s="112">
        <f t="shared" si="46"/>
        <v>0</v>
      </c>
      <c r="CU39" s="89">
        <f t="shared" si="6"/>
        <v>0</v>
      </c>
      <c r="CV39" s="113">
        <f t="shared" si="47"/>
        <v>0</v>
      </c>
    </row>
    <row r="40" spans="2:100" ht="19.95" customHeight="1">
      <c r="B40" s="86"/>
      <c r="G40" s="89"/>
      <c r="H40" s="90">
        <v>2.4</v>
      </c>
      <c r="I40" s="90">
        <v>1.5</v>
      </c>
      <c r="J40" s="90">
        <v>14</v>
      </c>
      <c r="K40" s="91">
        <f>(H40*I40)*J40</f>
        <v>50.399999999999991</v>
      </c>
      <c r="L40" s="89"/>
      <c r="M40" s="89"/>
      <c r="N40" s="89"/>
      <c r="O40" s="89"/>
      <c r="P40" s="89">
        <f t="shared" si="0"/>
        <v>0</v>
      </c>
      <c r="Q40" s="89">
        <v>0</v>
      </c>
      <c r="R40" s="112"/>
      <c r="S40" s="89">
        <v>0</v>
      </c>
      <c r="T40" s="112"/>
      <c r="U40" s="89">
        <v>0</v>
      </c>
      <c r="V40" s="112"/>
      <c r="W40" s="89">
        <v>0</v>
      </c>
      <c r="X40" s="112"/>
      <c r="Y40" s="89">
        <v>0</v>
      </c>
      <c r="Z40" s="112"/>
      <c r="AA40" s="89">
        <v>0</v>
      </c>
      <c r="AB40" s="112"/>
      <c r="AC40" s="89">
        <f t="shared" si="1"/>
        <v>0</v>
      </c>
      <c r="AD40" s="113"/>
      <c r="AE40" s="89">
        <v>0</v>
      </c>
      <c r="AF40" s="112"/>
      <c r="AG40" s="89">
        <v>0</v>
      </c>
      <c r="AH40" s="112"/>
      <c r="AI40" s="89">
        <v>0</v>
      </c>
      <c r="AJ40" s="112"/>
      <c r="AK40" s="89">
        <v>0</v>
      </c>
      <c r="AL40" s="112"/>
      <c r="AM40" s="89">
        <v>0</v>
      </c>
      <c r="AN40" s="112"/>
      <c r="AO40" s="89">
        <v>0</v>
      </c>
      <c r="AP40" s="112"/>
      <c r="AQ40" s="89">
        <f t="shared" si="2"/>
        <v>0</v>
      </c>
      <c r="AR40" s="113"/>
      <c r="AS40" s="89">
        <v>0</v>
      </c>
      <c r="AT40" s="112"/>
      <c r="AU40" s="89">
        <v>0</v>
      </c>
      <c r="AV40" s="112"/>
      <c r="AW40" s="89">
        <v>0</v>
      </c>
      <c r="AX40" s="112"/>
      <c r="AY40" s="89">
        <v>0</v>
      </c>
      <c r="AZ40" s="112"/>
      <c r="BA40" s="89">
        <v>0</v>
      </c>
      <c r="BB40" s="112"/>
      <c r="BC40" s="89">
        <v>0</v>
      </c>
      <c r="BD40" s="112"/>
      <c r="BE40" s="89">
        <f t="shared" si="3"/>
        <v>0</v>
      </c>
      <c r="BF40" s="113"/>
      <c r="BG40" s="89">
        <v>0</v>
      </c>
      <c r="BH40" s="112"/>
      <c r="BI40" s="89">
        <v>0</v>
      </c>
      <c r="BJ40" s="112"/>
      <c r="BK40" s="89">
        <v>0</v>
      </c>
      <c r="BL40" s="112"/>
      <c r="BM40" s="89">
        <v>0</v>
      </c>
      <c r="BN40" s="112"/>
      <c r="BO40" s="89">
        <v>0</v>
      </c>
      <c r="BP40" s="112"/>
      <c r="BQ40" s="89">
        <v>0</v>
      </c>
      <c r="BR40" s="112"/>
      <c r="BS40" s="89">
        <f t="shared" si="4"/>
        <v>0</v>
      </c>
      <c r="BT40" s="113"/>
      <c r="BU40" s="89">
        <v>0</v>
      </c>
      <c r="BV40" s="112"/>
      <c r="BW40" s="89">
        <v>0</v>
      </c>
      <c r="BX40" s="112"/>
      <c r="BY40" s="89">
        <v>0</v>
      </c>
      <c r="BZ40" s="112"/>
      <c r="CA40" s="89">
        <v>0</v>
      </c>
      <c r="CB40" s="112"/>
      <c r="CC40" s="89">
        <v>0</v>
      </c>
      <c r="CD40" s="112"/>
      <c r="CE40" s="89">
        <v>0</v>
      </c>
      <c r="CF40" s="112"/>
      <c r="CG40" s="89">
        <f t="shared" si="5"/>
        <v>0</v>
      </c>
      <c r="CH40" s="113"/>
      <c r="CI40" s="89">
        <v>0</v>
      </c>
      <c r="CJ40" s="112"/>
      <c r="CK40" s="89">
        <v>0</v>
      </c>
      <c r="CL40" s="112"/>
      <c r="CM40" s="89">
        <v>0</v>
      </c>
      <c r="CN40" s="112"/>
      <c r="CO40" s="89">
        <v>0</v>
      </c>
      <c r="CP40" s="112"/>
      <c r="CQ40" s="89">
        <v>0</v>
      </c>
      <c r="CR40" s="112"/>
      <c r="CS40" s="89">
        <v>0</v>
      </c>
      <c r="CT40" s="112"/>
      <c r="CU40" s="89">
        <f t="shared" si="6"/>
        <v>0</v>
      </c>
      <c r="CV40" s="113"/>
    </row>
    <row r="41" spans="2:100" ht="19.95" customHeight="1">
      <c r="B41" s="86"/>
      <c r="C41" s="88">
        <v>30</v>
      </c>
      <c r="D41" s="1" t="s">
        <v>200</v>
      </c>
      <c r="E41" s="88">
        <v>0.3</v>
      </c>
      <c r="F41" s="88">
        <v>5.0999999999999996</v>
      </c>
      <c r="G41" s="89">
        <f>E41*F41*14</f>
        <v>21.419999999999998</v>
      </c>
      <c r="H41" s="90"/>
      <c r="I41" s="90"/>
      <c r="J41" s="90"/>
      <c r="K41" s="91"/>
      <c r="M41" s="89"/>
      <c r="N41" s="95">
        <f>G41</f>
        <v>21.419999999999998</v>
      </c>
      <c r="O41" s="89"/>
      <c r="P41" s="89">
        <f t="shared" si="0"/>
        <v>21.419999999999998</v>
      </c>
      <c r="Q41" s="89">
        <v>0</v>
      </c>
      <c r="R41" s="112">
        <f t="shared" si="53"/>
        <v>0</v>
      </c>
      <c r="S41" s="89">
        <v>0</v>
      </c>
      <c r="T41" s="112">
        <f t="shared" si="53"/>
        <v>0</v>
      </c>
      <c r="U41" s="89">
        <v>0</v>
      </c>
      <c r="V41" s="112">
        <f t="shared" ref="V41:V61" si="55">U41/$P41</f>
        <v>0</v>
      </c>
      <c r="W41" s="89">
        <v>0</v>
      </c>
      <c r="X41" s="112">
        <f t="shared" ref="X41:X61" si="56">W41/$P41</f>
        <v>0</v>
      </c>
      <c r="Y41" s="89">
        <v>0</v>
      </c>
      <c r="Z41" s="112">
        <f t="shared" ref="Z41:Z61" si="57">Y41/$P41</f>
        <v>0</v>
      </c>
      <c r="AA41" s="89">
        <v>0</v>
      </c>
      <c r="AB41" s="112">
        <f t="shared" ref="AB41:AB56" si="58">AA41/$P41</f>
        <v>0</v>
      </c>
      <c r="AC41" s="89">
        <f t="shared" si="1"/>
        <v>0</v>
      </c>
      <c r="AD41" s="113">
        <f t="shared" si="12"/>
        <v>0</v>
      </c>
      <c r="AE41" s="89">
        <v>0</v>
      </c>
      <c r="AF41" s="112">
        <f t="shared" ref="AF41:AF61" si="59">AE41/$P41</f>
        <v>0</v>
      </c>
      <c r="AG41" s="89">
        <v>0</v>
      </c>
      <c r="AH41" s="112">
        <f t="shared" ref="AH41:AH61" si="60">AG41/$P41</f>
        <v>0</v>
      </c>
      <c r="AI41" s="89">
        <v>0</v>
      </c>
      <c r="AJ41" s="112">
        <f t="shared" ref="AJ41:AJ61" si="61">AI41/$P41</f>
        <v>0</v>
      </c>
      <c r="AK41" s="89">
        <v>0</v>
      </c>
      <c r="AL41" s="112">
        <f t="shared" ref="AL41:AL61" si="62">AK41/$P41</f>
        <v>0</v>
      </c>
      <c r="AM41" s="89">
        <v>0</v>
      </c>
      <c r="AN41" s="112">
        <f t="shared" ref="AN41:AN61" si="63">AM41/$P41</f>
        <v>0</v>
      </c>
      <c r="AO41" s="89">
        <v>0</v>
      </c>
      <c r="AP41" s="112">
        <f t="shared" ref="AP41:AP61" si="64">AO41/$P41</f>
        <v>0</v>
      </c>
      <c r="AQ41" s="89">
        <f t="shared" si="2"/>
        <v>0</v>
      </c>
      <c r="AR41" s="113">
        <f t="shared" si="19"/>
        <v>0</v>
      </c>
      <c r="AS41" s="89">
        <v>0</v>
      </c>
      <c r="AT41" s="112">
        <f t="shared" ref="AT41:AT61" si="65">AS41/$P41</f>
        <v>0</v>
      </c>
      <c r="AU41" s="89">
        <v>0</v>
      </c>
      <c r="AV41" s="112">
        <f t="shared" ref="AV41:AV61" si="66">AU41/$P41</f>
        <v>0</v>
      </c>
      <c r="AW41" s="89">
        <v>0</v>
      </c>
      <c r="AX41" s="112">
        <f t="shared" ref="AX41:AX61" si="67">AW41/$P41</f>
        <v>0</v>
      </c>
      <c r="AY41" s="89">
        <v>0</v>
      </c>
      <c r="AZ41" s="112">
        <f t="shared" ref="AZ41:AZ61" si="68">AY41/$P41</f>
        <v>0</v>
      </c>
      <c r="BA41" s="89">
        <v>0</v>
      </c>
      <c r="BB41" s="112">
        <f t="shared" ref="BB41:BB61" si="69">BA41/$P41</f>
        <v>0</v>
      </c>
      <c r="BC41" s="89">
        <v>0</v>
      </c>
      <c r="BD41" s="112">
        <f t="shared" ref="BD41:BD61" si="70">BC41/$P41</f>
        <v>0</v>
      </c>
      <c r="BE41" s="89">
        <f t="shared" si="3"/>
        <v>0</v>
      </c>
      <c r="BF41" s="113">
        <f t="shared" si="26"/>
        <v>0</v>
      </c>
      <c r="BG41" s="89">
        <v>0</v>
      </c>
      <c r="BH41" s="112">
        <f t="shared" ref="BH41:BH61" si="71">BG41/$P41</f>
        <v>0</v>
      </c>
      <c r="BI41" s="89">
        <v>0</v>
      </c>
      <c r="BJ41" s="112">
        <f t="shared" ref="BJ41:BJ61" si="72">BI41/$P41</f>
        <v>0</v>
      </c>
      <c r="BK41" s="89">
        <v>0</v>
      </c>
      <c r="BL41" s="112">
        <f t="shared" ref="BL41:BL61" si="73">BK41/$P41</f>
        <v>0</v>
      </c>
      <c r="BM41" s="89">
        <v>0</v>
      </c>
      <c r="BN41" s="112">
        <f t="shared" ref="BN41:BN61" si="74">BM41/$P41</f>
        <v>0</v>
      </c>
      <c r="BO41" s="89">
        <v>0</v>
      </c>
      <c r="BP41" s="112">
        <f t="shared" ref="BP41:BP61" si="75">BO41/$P41</f>
        <v>0</v>
      </c>
      <c r="BQ41" s="89">
        <v>0</v>
      </c>
      <c r="BR41" s="112">
        <f t="shared" ref="BR41:BR61" si="76">BQ41/$P41</f>
        <v>0</v>
      </c>
      <c r="BS41" s="89">
        <f t="shared" si="4"/>
        <v>0</v>
      </c>
      <c r="BT41" s="113">
        <f t="shared" si="33"/>
        <v>0</v>
      </c>
      <c r="BU41" s="89">
        <v>0</v>
      </c>
      <c r="BV41" s="112">
        <f t="shared" ref="BV41:BV61" si="77">BU41/$P41</f>
        <v>0</v>
      </c>
      <c r="BW41" s="89">
        <v>0</v>
      </c>
      <c r="BX41" s="112">
        <f t="shared" ref="BX41:BX61" si="78">BW41/$P41</f>
        <v>0</v>
      </c>
      <c r="BY41" s="89">
        <v>0</v>
      </c>
      <c r="BZ41" s="112">
        <f t="shared" ref="BZ41:BZ61" si="79">BY41/$P41</f>
        <v>0</v>
      </c>
      <c r="CA41" s="89">
        <v>0</v>
      </c>
      <c r="CB41" s="112">
        <f t="shared" ref="CB41:CB61" si="80">CA41/$P41</f>
        <v>0</v>
      </c>
      <c r="CC41" s="89">
        <v>0</v>
      </c>
      <c r="CD41" s="112">
        <f t="shared" ref="CD41:CD61" si="81">CC41/$P41</f>
        <v>0</v>
      </c>
      <c r="CE41" s="89">
        <v>0</v>
      </c>
      <c r="CF41" s="112">
        <f t="shared" ref="CF41:CF61" si="82">CE41/$P41</f>
        <v>0</v>
      </c>
      <c r="CG41" s="89">
        <f t="shared" si="5"/>
        <v>0</v>
      </c>
      <c r="CH41" s="113">
        <f t="shared" si="40"/>
        <v>0</v>
      </c>
      <c r="CI41" s="89">
        <v>0</v>
      </c>
      <c r="CJ41" s="112">
        <f t="shared" ref="CJ41:CJ61" si="83">CI41/$P41</f>
        <v>0</v>
      </c>
      <c r="CK41" s="89">
        <v>0</v>
      </c>
      <c r="CL41" s="112">
        <f t="shared" ref="CL41:CL61" si="84">CK41/$P41</f>
        <v>0</v>
      </c>
      <c r="CM41" s="89">
        <v>0</v>
      </c>
      <c r="CN41" s="112">
        <f t="shared" ref="CN41:CN61" si="85">CM41/$P41</f>
        <v>0</v>
      </c>
      <c r="CO41" s="89">
        <v>0</v>
      </c>
      <c r="CP41" s="112">
        <f t="shared" ref="CP41:CP61" si="86">CO41/$P41</f>
        <v>0</v>
      </c>
      <c r="CQ41" s="89">
        <v>0</v>
      </c>
      <c r="CR41" s="112">
        <f t="shared" ref="CR41:CR61" si="87">CQ41/$P41</f>
        <v>0</v>
      </c>
      <c r="CS41" s="89">
        <v>0</v>
      </c>
      <c r="CT41" s="112">
        <f t="shared" ref="CT41:CT61" si="88">CS41/$P41</f>
        <v>0</v>
      </c>
      <c r="CU41" s="89">
        <f t="shared" si="6"/>
        <v>0</v>
      </c>
      <c r="CV41" s="113">
        <f t="shared" si="47"/>
        <v>0</v>
      </c>
    </row>
    <row r="42" spans="2:100" ht="19.95" customHeight="1">
      <c r="B42" s="86"/>
      <c r="C42" s="88" t="s">
        <v>224</v>
      </c>
      <c r="D42" s="1" t="s">
        <v>202</v>
      </c>
      <c r="E42" s="88">
        <v>0.6</v>
      </c>
      <c r="F42" s="88">
        <v>5.0999999999999996</v>
      </c>
      <c r="G42" s="89">
        <f>E42*F42*14</f>
        <v>42.839999999999996</v>
      </c>
      <c r="H42" s="90"/>
      <c r="I42" s="90"/>
      <c r="J42" s="90"/>
      <c r="K42" s="91"/>
      <c r="L42" s="89"/>
      <c r="O42" s="95">
        <f>G42</f>
        <v>42.839999999999996</v>
      </c>
      <c r="P42" s="89">
        <f t="shared" si="0"/>
        <v>42.839999999999996</v>
      </c>
      <c r="Q42" s="89">
        <v>0</v>
      </c>
      <c r="R42" s="112">
        <f t="shared" si="53"/>
        <v>0</v>
      </c>
      <c r="S42" s="89">
        <v>0</v>
      </c>
      <c r="T42" s="112">
        <f t="shared" si="53"/>
        <v>0</v>
      </c>
      <c r="U42" s="89">
        <v>0</v>
      </c>
      <c r="V42" s="112">
        <f t="shared" si="55"/>
        <v>0</v>
      </c>
      <c r="W42" s="89">
        <v>0</v>
      </c>
      <c r="X42" s="112">
        <f t="shared" si="56"/>
        <v>0</v>
      </c>
      <c r="Y42" s="89">
        <v>0</v>
      </c>
      <c r="Z42" s="112">
        <f t="shared" si="57"/>
        <v>0</v>
      </c>
      <c r="AA42" s="89">
        <v>0</v>
      </c>
      <c r="AB42" s="112">
        <f t="shared" si="58"/>
        <v>0</v>
      </c>
      <c r="AC42" s="89">
        <f t="shared" si="1"/>
        <v>0</v>
      </c>
      <c r="AD42" s="113">
        <f t="shared" si="12"/>
        <v>0</v>
      </c>
      <c r="AE42" s="89">
        <v>0</v>
      </c>
      <c r="AF42" s="112">
        <f t="shared" si="59"/>
        <v>0</v>
      </c>
      <c r="AG42" s="89">
        <v>0</v>
      </c>
      <c r="AH42" s="112">
        <f t="shared" si="60"/>
        <v>0</v>
      </c>
      <c r="AI42" s="89">
        <v>0</v>
      </c>
      <c r="AJ42" s="112">
        <f t="shared" si="61"/>
        <v>0</v>
      </c>
      <c r="AK42" s="89">
        <v>0</v>
      </c>
      <c r="AL42" s="112">
        <f t="shared" si="62"/>
        <v>0</v>
      </c>
      <c r="AM42" s="89">
        <v>0</v>
      </c>
      <c r="AN42" s="112">
        <f t="shared" si="63"/>
        <v>0</v>
      </c>
      <c r="AO42" s="89">
        <v>0</v>
      </c>
      <c r="AP42" s="112">
        <f t="shared" si="64"/>
        <v>0</v>
      </c>
      <c r="AQ42" s="89">
        <f t="shared" si="2"/>
        <v>0</v>
      </c>
      <c r="AR42" s="113">
        <f t="shared" si="19"/>
        <v>0</v>
      </c>
      <c r="AS42" s="89">
        <v>0</v>
      </c>
      <c r="AT42" s="112">
        <f t="shared" si="65"/>
        <v>0</v>
      </c>
      <c r="AU42" s="89">
        <v>0</v>
      </c>
      <c r="AV42" s="112">
        <f t="shared" si="66"/>
        <v>0</v>
      </c>
      <c r="AW42" s="89">
        <v>0</v>
      </c>
      <c r="AX42" s="112">
        <f t="shared" si="67"/>
        <v>0</v>
      </c>
      <c r="AY42" s="89">
        <v>0</v>
      </c>
      <c r="AZ42" s="112">
        <f t="shared" si="68"/>
        <v>0</v>
      </c>
      <c r="BA42" s="89">
        <v>0</v>
      </c>
      <c r="BB42" s="112">
        <f t="shared" si="69"/>
        <v>0</v>
      </c>
      <c r="BC42" s="89">
        <v>0</v>
      </c>
      <c r="BD42" s="112">
        <f t="shared" si="70"/>
        <v>0</v>
      </c>
      <c r="BE42" s="89">
        <f t="shared" si="3"/>
        <v>0</v>
      </c>
      <c r="BF42" s="113">
        <f t="shared" si="26"/>
        <v>0</v>
      </c>
      <c r="BG42" s="89">
        <v>0</v>
      </c>
      <c r="BH42" s="112">
        <f t="shared" si="71"/>
        <v>0</v>
      </c>
      <c r="BI42" s="89">
        <v>0</v>
      </c>
      <c r="BJ42" s="112">
        <f t="shared" si="72"/>
        <v>0</v>
      </c>
      <c r="BK42" s="89">
        <v>0</v>
      </c>
      <c r="BL42" s="112">
        <f t="shared" si="73"/>
        <v>0</v>
      </c>
      <c r="BM42" s="89">
        <v>0</v>
      </c>
      <c r="BN42" s="112">
        <f t="shared" si="74"/>
        <v>0</v>
      </c>
      <c r="BO42" s="89">
        <v>0</v>
      </c>
      <c r="BP42" s="112">
        <f t="shared" si="75"/>
        <v>0</v>
      </c>
      <c r="BQ42" s="89">
        <v>0</v>
      </c>
      <c r="BR42" s="112">
        <f t="shared" si="76"/>
        <v>0</v>
      </c>
      <c r="BS42" s="89">
        <f t="shared" si="4"/>
        <v>0</v>
      </c>
      <c r="BT42" s="113">
        <f t="shared" si="33"/>
        <v>0</v>
      </c>
      <c r="BU42" s="89">
        <v>0</v>
      </c>
      <c r="BV42" s="112">
        <f t="shared" si="77"/>
        <v>0</v>
      </c>
      <c r="BW42" s="89">
        <v>0</v>
      </c>
      <c r="BX42" s="112">
        <f t="shared" si="78"/>
        <v>0</v>
      </c>
      <c r="BY42" s="89">
        <v>0</v>
      </c>
      <c r="BZ42" s="112">
        <f t="shared" si="79"/>
        <v>0</v>
      </c>
      <c r="CA42" s="89">
        <v>0</v>
      </c>
      <c r="CB42" s="112">
        <f t="shared" si="80"/>
        <v>0</v>
      </c>
      <c r="CC42" s="89">
        <v>0</v>
      </c>
      <c r="CD42" s="112">
        <f t="shared" si="81"/>
        <v>0</v>
      </c>
      <c r="CE42" s="89">
        <v>0</v>
      </c>
      <c r="CF42" s="112">
        <f t="shared" si="82"/>
        <v>0</v>
      </c>
      <c r="CG42" s="89">
        <f t="shared" si="5"/>
        <v>0</v>
      </c>
      <c r="CH42" s="113">
        <f t="shared" si="40"/>
        <v>0</v>
      </c>
      <c r="CI42" s="89">
        <v>0</v>
      </c>
      <c r="CJ42" s="112">
        <f t="shared" si="83"/>
        <v>0</v>
      </c>
      <c r="CK42" s="89">
        <v>0</v>
      </c>
      <c r="CL42" s="112">
        <f t="shared" si="84"/>
        <v>0</v>
      </c>
      <c r="CM42" s="89">
        <v>0</v>
      </c>
      <c r="CN42" s="112">
        <f t="shared" si="85"/>
        <v>0</v>
      </c>
      <c r="CO42" s="89">
        <v>0</v>
      </c>
      <c r="CP42" s="112">
        <f t="shared" si="86"/>
        <v>0</v>
      </c>
      <c r="CQ42" s="89">
        <v>0</v>
      </c>
      <c r="CR42" s="112">
        <f t="shared" si="87"/>
        <v>0</v>
      </c>
      <c r="CS42" s="89">
        <v>0</v>
      </c>
      <c r="CT42" s="112">
        <f t="shared" si="88"/>
        <v>0</v>
      </c>
      <c r="CU42" s="89">
        <f t="shared" si="6"/>
        <v>0</v>
      </c>
      <c r="CV42" s="113">
        <f t="shared" si="47"/>
        <v>0</v>
      </c>
    </row>
    <row r="43" spans="2:100" ht="19.95" customHeight="1">
      <c r="B43" s="86"/>
      <c r="C43" s="88">
        <v>31</v>
      </c>
      <c r="D43" s="1" t="s">
        <v>121</v>
      </c>
      <c r="E43" s="88">
        <f>E5</f>
        <v>35.6</v>
      </c>
      <c r="F43" s="89">
        <v>0.7</v>
      </c>
      <c r="G43" s="89">
        <f t="shared" ref="G43:G44" si="89">E43*F43</f>
        <v>24.919999999999998</v>
      </c>
      <c r="H43" s="90"/>
      <c r="I43" s="90"/>
      <c r="J43" s="90"/>
      <c r="K43" s="91"/>
      <c r="L43" s="1"/>
      <c r="N43" s="95">
        <f>G43-K43</f>
        <v>24.919999999999998</v>
      </c>
      <c r="O43" s="89"/>
      <c r="P43" s="89">
        <f t="shared" si="0"/>
        <v>24.919999999999998</v>
      </c>
      <c r="Q43" s="89">
        <v>0</v>
      </c>
      <c r="R43" s="112">
        <f t="shared" si="53"/>
        <v>0</v>
      </c>
      <c r="S43" s="89">
        <v>0</v>
      </c>
      <c r="T43" s="112">
        <f t="shared" si="53"/>
        <v>0</v>
      </c>
      <c r="U43" s="89">
        <v>0</v>
      </c>
      <c r="V43" s="112">
        <f t="shared" si="55"/>
        <v>0</v>
      </c>
      <c r="W43" s="89">
        <v>0</v>
      </c>
      <c r="X43" s="112">
        <f t="shared" si="56"/>
        <v>0</v>
      </c>
      <c r="Y43" s="89">
        <v>0</v>
      </c>
      <c r="Z43" s="112">
        <f t="shared" si="57"/>
        <v>0</v>
      </c>
      <c r="AA43" s="89">
        <v>0</v>
      </c>
      <c r="AB43" s="112">
        <f t="shared" si="58"/>
        <v>0</v>
      </c>
      <c r="AC43" s="89">
        <f t="shared" si="1"/>
        <v>0</v>
      </c>
      <c r="AD43" s="113">
        <f t="shared" si="12"/>
        <v>0</v>
      </c>
      <c r="AE43" s="89">
        <v>0</v>
      </c>
      <c r="AF43" s="112">
        <f t="shared" si="59"/>
        <v>0</v>
      </c>
      <c r="AG43" s="89">
        <v>0</v>
      </c>
      <c r="AH43" s="112">
        <f t="shared" si="60"/>
        <v>0</v>
      </c>
      <c r="AI43" s="89">
        <v>0</v>
      </c>
      <c r="AJ43" s="112">
        <f t="shared" si="61"/>
        <v>0</v>
      </c>
      <c r="AK43" s="89">
        <v>0</v>
      </c>
      <c r="AL43" s="112">
        <f t="shared" si="62"/>
        <v>0</v>
      </c>
      <c r="AM43" s="89">
        <v>0</v>
      </c>
      <c r="AN43" s="112">
        <f t="shared" si="63"/>
        <v>0</v>
      </c>
      <c r="AO43" s="89">
        <v>0</v>
      </c>
      <c r="AP43" s="112">
        <f t="shared" si="64"/>
        <v>0</v>
      </c>
      <c r="AQ43" s="89">
        <f t="shared" si="2"/>
        <v>0</v>
      </c>
      <c r="AR43" s="113">
        <f t="shared" si="19"/>
        <v>0</v>
      </c>
      <c r="AS43" s="89">
        <v>0</v>
      </c>
      <c r="AT43" s="112">
        <f t="shared" si="65"/>
        <v>0</v>
      </c>
      <c r="AU43" s="89">
        <v>0</v>
      </c>
      <c r="AV43" s="112">
        <f t="shared" si="66"/>
        <v>0</v>
      </c>
      <c r="AW43" s="89">
        <v>0</v>
      </c>
      <c r="AX43" s="112">
        <f t="shared" si="67"/>
        <v>0</v>
      </c>
      <c r="AY43" s="89">
        <v>0</v>
      </c>
      <c r="AZ43" s="112">
        <f t="shared" si="68"/>
        <v>0</v>
      </c>
      <c r="BA43" s="89">
        <v>0</v>
      </c>
      <c r="BB43" s="112">
        <f t="shared" si="69"/>
        <v>0</v>
      </c>
      <c r="BC43" s="89">
        <v>0</v>
      </c>
      <c r="BD43" s="112">
        <f t="shared" si="70"/>
        <v>0</v>
      </c>
      <c r="BE43" s="89">
        <f t="shared" si="3"/>
        <v>0</v>
      </c>
      <c r="BF43" s="113">
        <f t="shared" si="26"/>
        <v>0</v>
      </c>
      <c r="BG43" s="89">
        <v>0</v>
      </c>
      <c r="BH43" s="112">
        <f t="shared" si="71"/>
        <v>0</v>
      </c>
      <c r="BI43" s="89">
        <v>0</v>
      </c>
      <c r="BJ43" s="112">
        <f t="shared" si="72"/>
        <v>0</v>
      </c>
      <c r="BK43" s="89">
        <v>0</v>
      </c>
      <c r="BL43" s="112">
        <f t="shared" si="73"/>
        <v>0</v>
      </c>
      <c r="BM43" s="89">
        <v>0</v>
      </c>
      <c r="BN43" s="112">
        <f t="shared" si="74"/>
        <v>0</v>
      </c>
      <c r="BO43" s="89">
        <v>0</v>
      </c>
      <c r="BP43" s="112">
        <f t="shared" si="75"/>
        <v>0</v>
      </c>
      <c r="BQ43" s="89">
        <v>0</v>
      </c>
      <c r="BR43" s="112">
        <f t="shared" si="76"/>
        <v>0</v>
      </c>
      <c r="BS43" s="89">
        <f t="shared" si="4"/>
        <v>0</v>
      </c>
      <c r="BT43" s="113">
        <f t="shared" si="33"/>
        <v>0</v>
      </c>
      <c r="BU43" s="89">
        <v>0</v>
      </c>
      <c r="BV43" s="112">
        <f t="shared" si="77"/>
        <v>0</v>
      </c>
      <c r="BW43" s="89">
        <v>0</v>
      </c>
      <c r="BX43" s="112">
        <f t="shared" si="78"/>
        <v>0</v>
      </c>
      <c r="BY43" s="89">
        <v>0</v>
      </c>
      <c r="BZ43" s="112">
        <f t="shared" si="79"/>
        <v>0</v>
      </c>
      <c r="CA43" s="89">
        <v>0</v>
      </c>
      <c r="CB43" s="112">
        <f t="shared" si="80"/>
        <v>0</v>
      </c>
      <c r="CC43" s="89">
        <v>0</v>
      </c>
      <c r="CD43" s="112">
        <f t="shared" si="81"/>
        <v>0</v>
      </c>
      <c r="CE43" s="89">
        <v>0</v>
      </c>
      <c r="CF43" s="112">
        <f t="shared" si="82"/>
        <v>0</v>
      </c>
      <c r="CG43" s="89">
        <f t="shared" si="5"/>
        <v>0</v>
      </c>
      <c r="CH43" s="113">
        <f t="shared" si="40"/>
        <v>0</v>
      </c>
      <c r="CI43" s="89">
        <v>0</v>
      </c>
      <c r="CJ43" s="112">
        <f t="shared" si="83"/>
        <v>0</v>
      </c>
      <c r="CK43" s="89">
        <v>0</v>
      </c>
      <c r="CL43" s="112">
        <f t="shared" si="84"/>
        <v>0</v>
      </c>
      <c r="CM43" s="89">
        <v>0</v>
      </c>
      <c r="CN43" s="112">
        <f t="shared" si="85"/>
        <v>0</v>
      </c>
      <c r="CO43" s="89">
        <v>0</v>
      </c>
      <c r="CP43" s="112">
        <f t="shared" si="86"/>
        <v>0</v>
      </c>
      <c r="CQ43" s="89">
        <v>0</v>
      </c>
      <c r="CR43" s="112">
        <f t="shared" si="87"/>
        <v>0</v>
      </c>
      <c r="CS43" s="89">
        <v>0</v>
      </c>
      <c r="CT43" s="112">
        <f t="shared" si="88"/>
        <v>0</v>
      </c>
      <c r="CU43" s="89">
        <f t="shared" si="6"/>
        <v>0</v>
      </c>
      <c r="CV43" s="113">
        <f t="shared" si="47"/>
        <v>0</v>
      </c>
    </row>
    <row r="44" spans="2:100" ht="19.95" customHeight="1">
      <c r="B44" s="86"/>
      <c r="C44" s="88">
        <v>32</v>
      </c>
      <c r="D44" s="1" t="s">
        <v>121</v>
      </c>
      <c r="E44" s="88">
        <f>E5</f>
        <v>35.6</v>
      </c>
      <c r="F44" s="89">
        <v>1.45</v>
      </c>
      <c r="G44" s="89">
        <f t="shared" si="89"/>
        <v>51.62</v>
      </c>
      <c r="H44" s="90"/>
      <c r="I44" s="90"/>
      <c r="J44" s="90"/>
      <c r="K44" s="91"/>
      <c r="L44" s="1"/>
      <c r="N44" s="95">
        <f>G44-K44</f>
        <v>51.62</v>
      </c>
      <c r="O44" s="89"/>
      <c r="P44" s="89">
        <f t="shared" si="0"/>
        <v>51.62</v>
      </c>
      <c r="Q44" s="89">
        <v>0</v>
      </c>
      <c r="R44" s="112">
        <f t="shared" si="53"/>
        <v>0</v>
      </c>
      <c r="S44" s="89">
        <v>0</v>
      </c>
      <c r="T44" s="112">
        <f t="shared" si="53"/>
        <v>0</v>
      </c>
      <c r="U44" s="89">
        <v>0</v>
      </c>
      <c r="V44" s="112">
        <f t="shared" si="55"/>
        <v>0</v>
      </c>
      <c r="W44" s="89">
        <v>0</v>
      </c>
      <c r="X44" s="112">
        <f t="shared" si="56"/>
        <v>0</v>
      </c>
      <c r="Y44" s="89">
        <v>0</v>
      </c>
      <c r="Z44" s="112">
        <f t="shared" si="57"/>
        <v>0</v>
      </c>
      <c r="AA44" s="89">
        <v>0</v>
      </c>
      <c r="AB44" s="112">
        <f t="shared" si="58"/>
        <v>0</v>
      </c>
      <c r="AC44" s="89">
        <f t="shared" si="1"/>
        <v>0</v>
      </c>
      <c r="AD44" s="113">
        <f t="shared" si="12"/>
        <v>0</v>
      </c>
      <c r="AE44" s="89">
        <v>0</v>
      </c>
      <c r="AF44" s="112">
        <f t="shared" si="59"/>
        <v>0</v>
      </c>
      <c r="AG44" s="89">
        <v>0</v>
      </c>
      <c r="AH44" s="112">
        <f t="shared" si="60"/>
        <v>0</v>
      </c>
      <c r="AI44" s="89">
        <v>0</v>
      </c>
      <c r="AJ44" s="112">
        <f t="shared" si="61"/>
        <v>0</v>
      </c>
      <c r="AK44" s="89">
        <v>0</v>
      </c>
      <c r="AL44" s="112">
        <f t="shared" si="62"/>
        <v>0</v>
      </c>
      <c r="AM44" s="89">
        <v>0</v>
      </c>
      <c r="AN44" s="112">
        <f t="shared" si="63"/>
        <v>0</v>
      </c>
      <c r="AO44" s="89">
        <v>0</v>
      </c>
      <c r="AP44" s="112">
        <f t="shared" si="64"/>
        <v>0</v>
      </c>
      <c r="AQ44" s="89">
        <f t="shared" si="2"/>
        <v>0</v>
      </c>
      <c r="AR44" s="113">
        <f t="shared" si="19"/>
        <v>0</v>
      </c>
      <c r="AS44" s="89">
        <v>0</v>
      </c>
      <c r="AT44" s="112">
        <f t="shared" si="65"/>
        <v>0</v>
      </c>
      <c r="AU44" s="89">
        <v>0</v>
      </c>
      <c r="AV44" s="112">
        <f t="shared" si="66"/>
        <v>0</v>
      </c>
      <c r="AW44" s="89">
        <v>0</v>
      </c>
      <c r="AX44" s="112">
        <f t="shared" si="67"/>
        <v>0</v>
      </c>
      <c r="AY44" s="89">
        <v>0</v>
      </c>
      <c r="AZ44" s="112">
        <f t="shared" si="68"/>
        <v>0</v>
      </c>
      <c r="BA44" s="89">
        <v>0</v>
      </c>
      <c r="BB44" s="112">
        <f t="shared" si="69"/>
        <v>0</v>
      </c>
      <c r="BC44" s="89">
        <v>0</v>
      </c>
      <c r="BD44" s="112">
        <f t="shared" si="70"/>
        <v>0</v>
      </c>
      <c r="BE44" s="89">
        <f t="shared" si="3"/>
        <v>0</v>
      </c>
      <c r="BF44" s="113">
        <f t="shared" si="26"/>
        <v>0</v>
      </c>
      <c r="BG44" s="89">
        <v>0</v>
      </c>
      <c r="BH44" s="112">
        <f t="shared" si="71"/>
        <v>0</v>
      </c>
      <c r="BI44" s="89">
        <v>0</v>
      </c>
      <c r="BJ44" s="112">
        <f t="shared" si="72"/>
        <v>0</v>
      </c>
      <c r="BK44" s="89">
        <v>0</v>
      </c>
      <c r="BL44" s="112">
        <f t="shared" si="73"/>
        <v>0</v>
      </c>
      <c r="BM44" s="89">
        <v>0</v>
      </c>
      <c r="BN44" s="112">
        <f t="shared" si="74"/>
        <v>0</v>
      </c>
      <c r="BO44" s="89">
        <v>0</v>
      </c>
      <c r="BP44" s="112">
        <f t="shared" si="75"/>
        <v>0</v>
      </c>
      <c r="BQ44" s="89">
        <v>0</v>
      </c>
      <c r="BR44" s="112">
        <f t="shared" si="76"/>
        <v>0</v>
      </c>
      <c r="BS44" s="89">
        <f t="shared" si="4"/>
        <v>0</v>
      </c>
      <c r="BT44" s="113">
        <f t="shared" si="33"/>
        <v>0</v>
      </c>
      <c r="BU44" s="89">
        <v>0</v>
      </c>
      <c r="BV44" s="112">
        <f t="shared" si="77"/>
        <v>0</v>
      </c>
      <c r="BW44" s="89">
        <v>0</v>
      </c>
      <c r="BX44" s="112">
        <f t="shared" si="78"/>
        <v>0</v>
      </c>
      <c r="BY44" s="89">
        <v>0</v>
      </c>
      <c r="BZ44" s="112">
        <f t="shared" si="79"/>
        <v>0</v>
      </c>
      <c r="CA44" s="89">
        <v>0</v>
      </c>
      <c r="CB44" s="112">
        <f t="shared" si="80"/>
        <v>0</v>
      </c>
      <c r="CC44" s="89">
        <v>0</v>
      </c>
      <c r="CD44" s="112">
        <f t="shared" si="81"/>
        <v>0</v>
      </c>
      <c r="CE44" s="89">
        <v>0</v>
      </c>
      <c r="CF44" s="112">
        <f t="shared" si="82"/>
        <v>0</v>
      </c>
      <c r="CG44" s="89">
        <f t="shared" si="5"/>
        <v>0</v>
      </c>
      <c r="CH44" s="113">
        <f t="shared" si="40"/>
        <v>0</v>
      </c>
      <c r="CI44" s="89">
        <v>0</v>
      </c>
      <c r="CJ44" s="112">
        <f t="shared" si="83"/>
        <v>0</v>
      </c>
      <c r="CK44" s="89">
        <v>0</v>
      </c>
      <c r="CL44" s="112">
        <f t="shared" si="84"/>
        <v>0</v>
      </c>
      <c r="CM44" s="89">
        <v>0</v>
      </c>
      <c r="CN44" s="112">
        <f t="shared" si="85"/>
        <v>0</v>
      </c>
      <c r="CO44" s="89">
        <v>0</v>
      </c>
      <c r="CP44" s="112">
        <f t="shared" si="86"/>
        <v>0</v>
      </c>
      <c r="CQ44" s="89">
        <v>0</v>
      </c>
      <c r="CR44" s="112">
        <f t="shared" si="87"/>
        <v>0</v>
      </c>
      <c r="CS44" s="89">
        <v>0</v>
      </c>
      <c r="CT44" s="112">
        <f t="shared" si="88"/>
        <v>0</v>
      </c>
      <c r="CU44" s="89">
        <f t="shared" si="6"/>
        <v>0</v>
      </c>
      <c r="CV44" s="113">
        <f t="shared" si="47"/>
        <v>0</v>
      </c>
    </row>
    <row r="45" spans="2:100" ht="19.95" customHeight="1">
      <c r="B45" s="86"/>
      <c r="C45" s="88">
        <v>33</v>
      </c>
      <c r="D45" s="1" t="s">
        <v>211</v>
      </c>
      <c r="E45" s="88">
        <v>34</v>
      </c>
      <c r="F45" s="88">
        <v>3.3</v>
      </c>
      <c r="G45" s="89">
        <f>E45*F45</f>
        <v>112.19999999999999</v>
      </c>
      <c r="H45" s="90">
        <v>1.5</v>
      </c>
      <c r="I45" s="90">
        <v>1</v>
      </c>
      <c r="J45" s="90">
        <v>14</v>
      </c>
      <c r="K45" s="91">
        <f>(H45*I45)*J45</f>
        <v>21</v>
      </c>
      <c r="N45" s="95">
        <f>G45-(K45)</f>
        <v>91.199999999999989</v>
      </c>
      <c r="O45" s="89"/>
      <c r="P45" s="89">
        <f t="shared" si="0"/>
        <v>91.199999999999989</v>
      </c>
      <c r="Q45" s="89">
        <v>0</v>
      </c>
      <c r="R45" s="112">
        <f t="shared" si="53"/>
        <v>0</v>
      </c>
      <c r="S45" s="89">
        <v>0</v>
      </c>
      <c r="T45" s="112">
        <f t="shared" si="53"/>
        <v>0</v>
      </c>
      <c r="U45" s="89">
        <v>0</v>
      </c>
      <c r="V45" s="112">
        <f t="shared" si="55"/>
        <v>0</v>
      </c>
      <c r="W45" s="89">
        <v>0</v>
      </c>
      <c r="X45" s="112">
        <f t="shared" si="56"/>
        <v>0</v>
      </c>
      <c r="Y45" s="89">
        <v>0</v>
      </c>
      <c r="Z45" s="112">
        <f t="shared" si="57"/>
        <v>0</v>
      </c>
      <c r="AA45" s="89">
        <v>0</v>
      </c>
      <c r="AB45" s="112">
        <f t="shared" si="58"/>
        <v>0</v>
      </c>
      <c r="AC45" s="89">
        <f t="shared" si="1"/>
        <v>0</v>
      </c>
      <c r="AD45" s="113">
        <f t="shared" si="12"/>
        <v>0</v>
      </c>
      <c r="AE45" s="89">
        <v>0</v>
      </c>
      <c r="AF45" s="112">
        <f t="shared" si="59"/>
        <v>0</v>
      </c>
      <c r="AG45" s="89">
        <v>0</v>
      </c>
      <c r="AH45" s="112">
        <f t="shared" si="60"/>
        <v>0</v>
      </c>
      <c r="AI45" s="89">
        <v>0</v>
      </c>
      <c r="AJ45" s="112">
        <f t="shared" si="61"/>
        <v>0</v>
      </c>
      <c r="AK45" s="89">
        <v>0</v>
      </c>
      <c r="AL45" s="112">
        <f t="shared" si="62"/>
        <v>0</v>
      </c>
      <c r="AM45" s="89">
        <v>0</v>
      </c>
      <c r="AN45" s="112">
        <f t="shared" si="63"/>
        <v>0</v>
      </c>
      <c r="AO45" s="89">
        <v>0</v>
      </c>
      <c r="AP45" s="112">
        <f t="shared" si="64"/>
        <v>0</v>
      </c>
      <c r="AQ45" s="89">
        <f t="shared" si="2"/>
        <v>0</v>
      </c>
      <c r="AR45" s="113">
        <f t="shared" si="19"/>
        <v>0</v>
      </c>
      <c r="AS45" s="89">
        <v>0</v>
      </c>
      <c r="AT45" s="112">
        <f t="shared" si="65"/>
        <v>0</v>
      </c>
      <c r="AU45" s="89">
        <v>0</v>
      </c>
      <c r="AV45" s="112">
        <f t="shared" si="66"/>
        <v>0</v>
      </c>
      <c r="AW45" s="89">
        <v>0</v>
      </c>
      <c r="AX45" s="112">
        <f t="shared" si="67"/>
        <v>0</v>
      </c>
      <c r="AY45" s="89">
        <v>0</v>
      </c>
      <c r="AZ45" s="112">
        <f t="shared" si="68"/>
        <v>0</v>
      </c>
      <c r="BA45" s="89">
        <v>0</v>
      </c>
      <c r="BB45" s="112">
        <f t="shared" si="69"/>
        <v>0</v>
      </c>
      <c r="BC45" s="89">
        <v>0</v>
      </c>
      <c r="BD45" s="112">
        <f t="shared" si="70"/>
        <v>0</v>
      </c>
      <c r="BE45" s="89">
        <f t="shared" si="3"/>
        <v>0</v>
      </c>
      <c r="BF45" s="113">
        <f t="shared" si="26"/>
        <v>0</v>
      </c>
      <c r="BG45" s="89">
        <v>0</v>
      </c>
      <c r="BH45" s="112">
        <f t="shared" si="71"/>
        <v>0</v>
      </c>
      <c r="BI45" s="89">
        <v>0</v>
      </c>
      <c r="BJ45" s="112">
        <f t="shared" si="72"/>
        <v>0</v>
      </c>
      <c r="BK45" s="89">
        <v>0</v>
      </c>
      <c r="BL45" s="112">
        <f t="shared" si="73"/>
        <v>0</v>
      </c>
      <c r="BM45" s="89">
        <v>0</v>
      </c>
      <c r="BN45" s="112">
        <f t="shared" si="74"/>
        <v>0</v>
      </c>
      <c r="BO45" s="89">
        <v>0</v>
      </c>
      <c r="BP45" s="112">
        <f t="shared" si="75"/>
        <v>0</v>
      </c>
      <c r="BQ45" s="89">
        <v>0</v>
      </c>
      <c r="BR45" s="112">
        <f t="shared" si="76"/>
        <v>0</v>
      </c>
      <c r="BS45" s="89">
        <f t="shared" si="4"/>
        <v>0</v>
      </c>
      <c r="BT45" s="113">
        <f t="shared" si="33"/>
        <v>0</v>
      </c>
      <c r="BU45" s="89">
        <v>0</v>
      </c>
      <c r="BV45" s="112">
        <f t="shared" si="77"/>
        <v>0</v>
      </c>
      <c r="BW45" s="89">
        <v>0</v>
      </c>
      <c r="BX45" s="112">
        <f t="shared" si="78"/>
        <v>0</v>
      </c>
      <c r="BY45" s="89">
        <v>0</v>
      </c>
      <c r="BZ45" s="112">
        <f t="shared" si="79"/>
        <v>0</v>
      </c>
      <c r="CA45" s="89">
        <v>0</v>
      </c>
      <c r="CB45" s="112">
        <f t="shared" si="80"/>
        <v>0</v>
      </c>
      <c r="CC45" s="89">
        <v>0</v>
      </c>
      <c r="CD45" s="112">
        <f t="shared" si="81"/>
        <v>0</v>
      </c>
      <c r="CE45" s="89">
        <v>0</v>
      </c>
      <c r="CF45" s="112">
        <f t="shared" si="82"/>
        <v>0</v>
      </c>
      <c r="CG45" s="89">
        <f t="shared" si="5"/>
        <v>0</v>
      </c>
      <c r="CH45" s="113">
        <f t="shared" si="40"/>
        <v>0</v>
      </c>
      <c r="CI45" s="89">
        <v>0</v>
      </c>
      <c r="CJ45" s="112">
        <f t="shared" si="83"/>
        <v>0</v>
      </c>
      <c r="CK45" s="89">
        <v>0</v>
      </c>
      <c r="CL45" s="112">
        <f t="shared" si="84"/>
        <v>0</v>
      </c>
      <c r="CM45" s="89">
        <v>0</v>
      </c>
      <c r="CN45" s="112">
        <f t="shared" si="85"/>
        <v>0</v>
      </c>
      <c r="CO45" s="89">
        <v>0</v>
      </c>
      <c r="CP45" s="112">
        <f t="shared" si="86"/>
        <v>0</v>
      </c>
      <c r="CQ45" s="89">
        <v>0</v>
      </c>
      <c r="CR45" s="112">
        <f t="shared" si="87"/>
        <v>0</v>
      </c>
      <c r="CS45" s="89">
        <v>0</v>
      </c>
      <c r="CT45" s="112">
        <f t="shared" si="88"/>
        <v>0</v>
      </c>
      <c r="CU45" s="89">
        <f t="shared" si="6"/>
        <v>0</v>
      </c>
      <c r="CV45" s="113">
        <f t="shared" si="47"/>
        <v>0</v>
      </c>
    </row>
    <row r="46" spans="2:100" ht="19.95" customHeight="1">
      <c r="B46" s="86"/>
      <c r="C46" s="88">
        <v>34</v>
      </c>
      <c r="D46" s="1" t="s">
        <v>210</v>
      </c>
      <c r="E46" s="88">
        <f>E5</f>
        <v>35.6</v>
      </c>
      <c r="F46" s="88">
        <v>2</v>
      </c>
      <c r="G46" s="89">
        <f>E46*F46</f>
        <v>71.2</v>
      </c>
      <c r="H46" s="90"/>
      <c r="I46" s="90"/>
      <c r="J46" s="90"/>
      <c r="K46" s="91"/>
      <c r="L46" s="95">
        <f>G46-(K46)</f>
        <v>71.2</v>
      </c>
      <c r="M46" s="89"/>
      <c r="N46" s="89"/>
      <c r="O46" s="89"/>
      <c r="P46" s="89">
        <f t="shared" si="0"/>
        <v>71.2</v>
      </c>
      <c r="Q46" s="89">
        <v>0</v>
      </c>
      <c r="R46" s="112">
        <f t="shared" si="53"/>
        <v>0</v>
      </c>
      <c r="S46" s="89">
        <v>0</v>
      </c>
      <c r="T46" s="112">
        <f t="shared" si="53"/>
        <v>0</v>
      </c>
      <c r="U46" s="89">
        <v>0</v>
      </c>
      <c r="V46" s="112">
        <f t="shared" si="55"/>
        <v>0</v>
      </c>
      <c r="W46" s="89">
        <v>0</v>
      </c>
      <c r="X46" s="112">
        <f t="shared" si="56"/>
        <v>0</v>
      </c>
      <c r="Y46" s="89">
        <v>0</v>
      </c>
      <c r="Z46" s="112">
        <f t="shared" si="57"/>
        <v>0</v>
      </c>
      <c r="AA46" s="89">
        <v>0</v>
      </c>
      <c r="AB46" s="112">
        <f t="shared" si="58"/>
        <v>0</v>
      </c>
      <c r="AC46" s="89">
        <f t="shared" si="1"/>
        <v>0</v>
      </c>
      <c r="AD46" s="113">
        <f t="shared" si="12"/>
        <v>0</v>
      </c>
      <c r="AE46" s="89">
        <v>0</v>
      </c>
      <c r="AF46" s="112">
        <f t="shared" si="59"/>
        <v>0</v>
      </c>
      <c r="AG46" s="89">
        <v>0</v>
      </c>
      <c r="AH46" s="112">
        <f t="shared" si="60"/>
        <v>0</v>
      </c>
      <c r="AI46" s="89">
        <v>0</v>
      </c>
      <c r="AJ46" s="112">
        <f t="shared" si="61"/>
        <v>0</v>
      </c>
      <c r="AK46" s="89">
        <v>0</v>
      </c>
      <c r="AL46" s="112">
        <f t="shared" si="62"/>
        <v>0</v>
      </c>
      <c r="AM46" s="89">
        <v>0</v>
      </c>
      <c r="AN46" s="112">
        <f t="shared" si="63"/>
        <v>0</v>
      </c>
      <c r="AO46" s="89">
        <v>0</v>
      </c>
      <c r="AP46" s="112">
        <f t="shared" si="64"/>
        <v>0</v>
      </c>
      <c r="AQ46" s="89">
        <f t="shared" si="2"/>
        <v>0</v>
      </c>
      <c r="AR46" s="113">
        <f t="shared" si="19"/>
        <v>0</v>
      </c>
      <c r="AS46" s="89">
        <v>0</v>
      </c>
      <c r="AT46" s="112">
        <f t="shared" si="65"/>
        <v>0</v>
      </c>
      <c r="AU46" s="89">
        <v>0</v>
      </c>
      <c r="AV46" s="112">
        <f t="shared" si="66"/>
        <v>0</v>
      </c>
      <c r="AW46" s="89">
        <v>0</v>
      </c>
      <c r="AX46" s="112">
        <f t="shared" si="67"/>
        <v>0</v>
      </c>
      <c r="AY46" s="89">
        <v>0</v>
      </c>
      <c r="AZ46" s="112">
        <f t="shared" si="68"/>
        <v>0</v>
      </c>
      <c r="BA46" s="89">
        <v>0</v>
      </c>
      <c r="BB46" s="112">
        <f t="shared" si="69"/>
        <v>0</v>
      </c>
      <c r="BC46" s="89">
        <v>0</v>
      </c>
      <c r="BD46" s="112">
        <f t="shared" si="70"/>
        <v>0</v>
      </c>
      <c r="BE46" s="89">
        <f t="shared" si="3"/>
        <v>0</v>
      </c>
      <c r="BF46" s="113">
        <f t="shared" si="26"/>
        <v>0</v>
      </c>
      <c r="BG46" s="89">
        <v>0</v>
      </c>
      <c r="BH46" s="112">
        <f t="shared" si="71"/>
        <v>0</v>
      </c>
      <c r="BI46" s="89">
        <v>0</v>
      </c>
      <c r="BJ46" s="112">
        <f t="shared" si="72"/>
        <v>0</v>
      </c>
      <c r="BK46" s="89">
        <v>0</v>
      </c>
      <c r="BL46" s="112">
        <f t="shared" si="73"/>
        <v>0</v>
      </c>
      <c r="BM46" s="89">
        <v>0</v>
      </c>
      <c r="BN46" s="112">
        <f t="shared" si="74"/>
        <v>0</v>
      </c>
      <c r="BO46" s="89">
        <v>0</v>
      </c>
      <c r="BP46" s="112">
        <f t="shared" si="75"/>
        <v>0</v>
      </c>
      <c r="BQ46" s="89">
        <v>0</v>
      </c>
      <c r="BR46" s="112">
        <f t="shared" si="76"/>
        <v>0</v>
      </c>
      <c r="BS46" s="89">
        <f t="shared" si="4"/>
        <v>0</v>
      </c>
      <c r="BT46" s="113">
        <f t="shared" si="33"/>
        <v>0</v>
      </c>
      <c r="BU46" s="89">
        <v>0</v>
      </c>
      <c r="BV46" s="112">
        <f t="shared" si="77"/>
        <v>0</v>
      </c>
      <c r="BW46" s="89">
        <v>0</v>
      </c>
      <c r="BX46" s="112">
        <f t="shared" si="78"/>
        <v>0</v>
      </c>
      <c r="BY46" s="89">
        <v>0</v>
      </c>
      <c r="BZ46" s="112">
        <f t="shared" si="79"/>
        <v>0</v>
      </c>
      <c r="CA46" s="89">
        <v>0</v>
      </c>
      <c r="CB46" s="112">
        <f t="shared" si="80"/>
        <v>0</v>
      </c>
      <c r="CC46" s="89">
        <v>0</v>
      </c>
      <c r="CD46" s="112">
        <f t="shared" si="81"/>
        <v>0</v>
      </c>
      <c r="CE46" s="89">
        <v>0</v>
      </c>
      <c r="CF46" s="112">
        <f t="shared" si="82"/>
        <v>0</v>
      </c>
      <c r="CG46" s="89">
        <f t="shared" si="5"/>
        <v>0</v>
      </c>
      <c r="CH46" s="113">
        <f t="shared" si="40"/>
        <v>0</v>
      </c>
      <c r="CI46" s="89">
        <v>0</v>
      </c>
      <c r="CJ46" s="112">
        <f t="shared" si="83"/>
        <v>0</v>
      </c>
      <c r="CK46" s="89">
        <v>0</v>
      </c>
      <c r="CL46" s="112">
        <f t="shared" si="84"/>
        <v>0</v>
      </c>
      <c r="CM46" s="89">
        <v>0</v>
      </c>
      <c r="CN46" s="112">
        <f t="shared" si="85"/>
        <v>0</v>
      </c>
      <c r="CO46" s="89">
        <v>0</v>
      </c>
      <c r="CP46" s="112">
        <f t="shared" si="86"/>
        <v>0</v>
      </c>
      <c r="CQ46" s="89">
        <v>0</v>
      </c>
      <c r="CR46" s="112">
        <f t="shared" si="87"/>
        <v>0</v>
      </c>
      <c r="CS46" s="89">
        <v>0</v>
      </c>
      <c r="CT46" s="112">
        <f t="shared" si="88"/>
        <v>0</v>
      </c>
      <c r="CU46" s="89">
        <f t="shared" si="6"/>
        <v>0</v>
      </c>
      <c r="CV46" s="113">
        <f t="shared" si="47"/>
        <v>0</v>
      </c>
    </row>
    <row r="47" spans="2:100" ht="19.95" customHeight="1">
      <c r="B47" s="86"/>
      <c r="C47" s="88">
        <v>35</v>
      </c>
      <c r="D47" s="1" t="s">
        <v>210</v>
      </c>
      <c r="E47" s="88">
        <f>E5</f>
        <v>35.6</v>
      </c>
      <c r="F47" s="88">
        <v>2.04</v>
      </c>
      <c r="G47" s="89">
        <f>E47*F47</f>
        <v>72.624000000000009</v>
      </c>
      <c r="H47" s="90">
        <v>32</v>
      </c>
      <c r="I47" s="90">
        <v>1</v>
      </c>
      <c r="J47" s="90">
        <v>1</v>
      </c>
      <c r="K47" s="91">
        <f>(H47*I47)*J47</f>
        <v>32</v>
      </c>
      <c r="L47" s="95">
        <f>G47-(K47)</f>
        <v>40.624000000000009</v>
      </c>
      <c r="M47" s="89"/>
      <c r="N47" s="89"/>
      <c r="O47" s="89"/>
      <c r="P47" s="89">
        <f t="shared" si="0"/>
        <v>40.624000000000009</v>
      </c>
      <c r="Q47" s="89">
        <v>0</v>
      </c>
      <c r="R47" s="112">
        <f t="shared" si="53"/>
        <v>0</v>
      </c>
      <c r="S47" s="89">
        <v>0</v>
      </c>
      <c r="T47" s="112">
        <f t="shared" si="53"/>
        <v>0</v>
      </c>
      <c r="U47" s="89">
        <v>0</v>
      </c>
      <c r="V47" s="112">
        <f t="shared" si="55"/>
        <v>0</v>
      </c>
      <c r="W47" s="89">
        <v>0</v>
      </c>
      <c r="X47" s="112">
        <f t="shared" si="56"/>
        <v>0</v>
      </c>
      <c r="Y47" s="89">
        <v>0</v>
      </c>
      <c r="Z47" s="112">
        <f t="shared" si="57"/>
        <v>0</v>
      </c>
      <c r="AA47" s="89">
        <v>0</v>
      </c>
      <c r="AB47" s="112">
        <f t="shared" si="58"/>
        <v>0</v>
      </c>
      <c r="AC47" s="89">
        <f t="shared" si="1"/>
        <v>0</v>
      </c>
      <c r="AD47" s="113">
        <f t="shared" si="12"/>
        <v>0</v>
      </c>
      <c r="AE47" s="89">
        <v>0</v>
      </c>
      <c r="AF47" s="112">
        <f t="shared" si="59"/>
        <v>0</v>
      </c>
      <c r="AG47" s="89">
        <v>0</v>
      </c>
      <c r="AH47" s="112">
        <f t="shared" si="60"/>
        <v>0</v>
      </c>
      <c r="AI47" s="89">
        <v>0</v>
      </c>
      <c r="AJ47" s="112">
        <f t="shared" si="61"/>
        <v>0</v>
      </c>
      <c r="AK47" s="89">
        <v>0</v>
      </c>
      <c r="AL47" s="112">
        <f t="shared" si="62"/>
        <v>0</v>
      </c>
      <c r="AM47" s="89">
        <v>0</v>
      </c>
      <c r="AN47" s="112">
        <f t="shared" si="63"/>
        <v>0</v>
      </c>
      <c r="AO47" s="89">
        <v>0</v>
      </c>
      <c r="AP47" s="112">
        <f t="shared" si="64"/>
        <v>0</v>
      </c>
      <c r="AQ47" s="89">
        <f t="shared" si="2"/>
        <v>0</v>
      </c>
      <c r="AR47" s="113">
        <f t="shared" si="19"/>
        <v>0</v>
      </c>
      <c r="AS47" s="89">
        <v>0</v>
      </c>
      <c r="AT47" s="112">
        <f t="shared" si="65"/>
        <v>0</v>
      </c>
      <c r="AU47" s="89">
        <v>0</v>
      </c>
      <c r="AV47" s="112">
        <f t="shared" si="66"/>
        <v>0</v>
      </c>
      <c r="AW47" s="89">
        <v>0</v>
      </c>
      <c r="AX47" s="112">
        <f t="shared" si="67"/>
        <v>0</v>
      </c>
      <c r="AY47" s="89">
        <v>0</v>
      </c>
      <c r="AZ47" s="112">
        <f t="shared" si="68"/>
        <v>0</v>
      </c>
      <c r="BA47" s="89">
        <v>0</v>
      </c>
      <c r="BB47" s="112">
        <f t="shared" si="69"/>
        <v>0</v>
      </c>
      <c r="BC47" s="89">
        <v>0</v>
      </c>
      <c r="BD47" s="112">
        <f t="shared" si="70"/>
        <v>0</v>
      </c>
      <c r="BE47" s="89">
        <f t="shared" si="3"/>
        <v>0</v>
      </c>
      <c r="BF47" s="113">
        <f t="shared" si="26"/>
        <v>0</v>
      </c>
      <c r="BG47" s="89">
        <v>0</v>
      </c>
      <c r="BH47" s="112">
        <f t="shared" si="71"/>
        <v>0</v>
      </c>
      <c r="BI47" s="89">
        <v>0</v>
      </c>
      <c r="BJ47" s="112">
        <f t="shared" si="72"/>
        <v>0</v>
      </c>
      <c r="BK47" s="89">
        <v>0</v>
      </c>
      <c r="BL47" s="112">
        <f t="shared" si="73"/>
        <v>0</v>
      </c>
      <c r="BM47" s="89">
        <v>0</v>
      </c>
      <c r="BN47" s="112">
        <f t="shared" si="74"/>
        <v>0</v>
      </c>
      <c r="BO47" s="89">
        <v>0</v>
      </c>
      <c r="BP47" s="112">
        <f t="shared" si="75"/>
        <v>0</v>
      </c>
      <c r="BQ47" s="89">
        <v>0</v>
      </c>
      <c r="BR47" s="112">
        <f t="shared" si="76"/>
        <v>0</v>
      </c>
      <c r="BS47" s="89">
        <f t="shared" si="4"/>
        <v>0</v>
      </c>
      <c r="BT47" s="113">
        <f t="shared" si="33"/>
        <v>0</v>
      </c>
      <c r="BU47" s="89">
        <v>0</v>
      </c>
      <c r="BV47" s="112">
        <f t="shared" si="77"/>
        <v>0</v>
      </c>
      <c r="BW47" s="89">
        <v>0</v>
      </c>
      <c r="BX47" s="112">
        <f t="shared" si="78"/>
        <v>0</v>
      </c>
      <c r="BY47" s="89">
        <v>0</v>
      </c>
      <c r="BZ47" s="112">
        <f t="shared" si="79"/>
        <v>0</v>
      </c>
      <c r="CA47" s="89">
        <v>0</v>
      </c>
      <c r="CB47" s="112">
        <f t="shared" si="80"/>
        <v>0</v>
      </c>
      <c r="CC47" s="89">
        <v>0</v>
      </c>
      <c r="CD47" s="112">
        <f t="shared" si="81"/>
        <v>0</v>
      </c>
      <c r="CE47" s="89">
        <v>0</v>
      </c>
      <c r="CF47" s="112">
        <f t="shared" si="82"/>
        <v>0</v>
      </c>
      <c r="CG47" s="89">
        <f t="shared" si="5"/>
        <v>0</v>
      </c>
      <c r="CH47" s="113">
        <f t="shared" si="40"/>
        <v>0</v>
      </c>
      <c r="CI47" s="89">
        <v>0</v>
      </c>
      <c r="CJ47" s="112">
        <f t="shared" si="83"/>
        <v>0</v>
      </c>
      <c r="CK47" s="89">
        <v>0</v>
      </c>
      <c r="CL47" s="112">
        <f t="shared" si="84"/>
        <v>0</v>
      </c>
      <c r="CM47" s="89">
        <v>0</v>
      </c>
      <c r="CN47" s="112">
        <f t="shared" si="85"/>
        <v>0</v>
      </c>
      <c r="CO47" s="89">
        <v>0</v>
      </c>
      <c r="CP47" s="112">
        <f t="shared" si="86"/>
        <v>0</v>
      </c>
      <c r="CQ47" s="89">
        <v>0</v>
      </c>
      <c r="CR47" s="112">
        <f t="shared" si="87"/>
        <v>0</v>
      </c>
      <c r="CS47" s="89">
        <v>0</v>
      </c>
      <c r="CT47" s="112">
        <f t="shared" si="88"/>
        <v>0</v>
      </c>
      <c r="CU47" s="89">
        <f t="shared" si="6"/>
        <v>0</v>
      </c>
      <c r="CV47" s="113">
        <f t="shared" si="47"/>
        <v>0</v>
      </c>
    </row>
    <row r="48" spans="2:100" ht="19.95" customHeight="1">
      <c r="B48" s="86"/>
      <c r="C48" s="88">
        <v>36</v>
      </c>
      <c r="D48" s="1" t="s">
        <v>210</v>
      </c>
      <c r="E48" s="88">
        <f>E7</f>
        <v>35.6</v>
      </c>
      <c r="F48" s="88">
        <v>2</v>
      </c>
      <c r="G48" s="89">
        <f>E48*F48</f>
        <v>71.2</v>
      </c>
      <c r="H48" s="90"/>
      <c r="I48" s="90"/>
      <c r="J48" s="90"/>
      <c r="K48" s="91"/>
      <c r="L48" s="95">
        <f>G48-(K48)</f>
        <v>71.2</v>
      </c>
      <c r="M48" s="89"/>
      <c r="N48" s="89"/>
      <c r="O48" s="89"/>
      <c r="P48" s="89">
        <f t="shared" si="0"/>
        <v>71.2</v>
      </c>
      <c r="Q48" s="89">
        <v>0</v>
      </c>
      <c r="R48" s="112">
        <f t="shared" si="53"/>
        <v>0</v>
      </c>
      <c r="S48" s="89">
        <v>0</v>
      </c>
      <c r="T48" s="112">
        <f t="shared" si="53"/>
        <v>0</v>
      </c>
      <c r="U48" s="89">
        <v>0</v>
      </c>
      <c r="V48" s="112">
        <f t="shared" si="55"/>
        <v>0</v>
      </c>
      <c r="W48" s="89">
        <v>0</v>
      </c>
      <c r="X48" s="112">
        <f t="shared" si="56"/>
        <v>0</v>
      </c>
      <c r="Y48" s="89">
        <v>0</v>
      </c>
      <c r="Z48" s="112">
        <f t="shared" si="57"/>
        <v>0</v>
      </c>
      <c r="AA48" s="89">
        <v>0</v>
      </c>
      <c r="AB48" s="112">
        <f t="shared" si="58"/>
        <v>0</v>
      </c>
      <c r="AC48" s="89">
        <f t="shared" si="1"/>
        <v>0</v>
      </c>
      <c r="AD48" s="113">
        <f t="shared" si="12"/>
        <v>0</v>
      </c>
      <c r="AE48" s="89">
        <v>0</v>
      </c>
      <c r="AF48" s="112">
        <f t="shared" si="59"/>
        <v>0</v>
      </c>
      <c r="AG48" s="89">
        <v>0</v>
      </c>
      <c r="AH48" s="112">
        <f t="shared" si="60"/>
        <v>0</v>
      </c>
      <c r="AI48" s="89">
        <v>0</v>
      </c>
      <c r="AJ48" s="112">
        <f t="shared" si="61"/>
        <v>0</v>
      </c>
      <c r="AK48" s="89">
        <v>0</v>
      </c>
      <c r="AL48" s="112">
        <f t="shared" si="62"/>
        <v>0</v>
      </c>
      <c r="AM48" s="89">
        <v>0</v>
      </c>
      <c r="AN48" s="112">
        <f t="shared" si="63"/>
        <v>0</v>
      </c>
      <c r="AO48" s="89">
        <v>0</v>
      </c>
      <c r="AP48" s="112">
        <f t="shared" si="64"/>
        <v>0</v>
      </c>
      <c r="AQ48" s="89">
        <f t="shared" si="2"/>
        <v>0</v>
      </c>
      <c r="AR48" s="113">
        <f t="shared" si="19"/>
        <v>0</v>
      </c>
      <c r="AS48" s="89">
        <v>0</v>
      </c>
      <c r="AT48" s="112">
        <f t="shared" si="65"/>
        <v>0</v>
      </c>
      <c r="AU48" s="89">
        <v>0</v>
      </c>
      <c r="AV48" s="112">
        <f t="shared" si="66"/>
        <v>0</v>
      </c>
      <c r="AW48" s="89">
        <v>0</v>
      </c>
      <c r="AX48" s="112">
        <f t="shared" si="67"/>
        <v>0</v>
      </c>
      <c r="AY48" s="89">
        <v>0</v>
      </c>
      <c r="AZ48" s="112">
        <f t="shared" si="68"/>
        <v>0</v>
      </c>
      <c r="BA48" s="89">
        <v>0</v>
      </c>
      <c r="BB48" s="112">
        <f t="shared" si="69"/>
        <v>0</v>
      </c>
      <c r="BC48" s="89">
        <v>0</v>
      </c>
      <c r="BD48" s="112">
        <f t="shared" si="70"/>
        <v>0</v>
      </c>
      <c r="BE48" s="89">
        <f t="shared" si="3"/>
        <v>0</v>
      </c>
      <c r="BF48" s="113">
        <f t="shared" si="26"/>
        <v>0</v>
      </c>
      <c r="BG48" s="89">
        <v>0</v>
      </c>
      <c r="BH48" s="112">
        <f t="shared" si="71"/>
        <v>0</v>
      </c>
      <c r="BI48" s="89">
        <v>0</v>
      </c>
      <c r="BJ48" s="112">
        <f t="shared" si="72"/>
        <v>0</v>
      </c>
      <c r="BK48" s="89">
        <v>0</v>
      </c>
      <c r="BL48" s="112">
        <f t="shared" si="73"/>
        <v>0</v>
      </c>
      <c r="BM48" s="89">
        <v>0</v>
      </c>
      <c r="BN48" s="112">
        <f t="shared" si="74"/>
        <v>0</v>
      </c>
      <c r="BO48" s="89">
        <v>0</v>
      </c>
      <c r="BP48" s="112">
        <f t="shared" si="75"/>
        <v>0</v>
      </c>
      <c r="BQ48" s="89">
        <v>0</v>
      </c>
      <c r="BR48" s="112">
        <f t="shared" si="76"/>
        <v>0</v>
      </c>
      <c r="BS48" s="89">
        <f t="shared" si="4"/>
        <v>0</v>
      </c>
      <c r="BT48" s="113">
        <f t="shared" si="33"/>
        <v>0</v>
      </c>
      <c r="BU48" s="89">
        <v>0</v>
      </c>
      <c r="BV48" s="112">
        <f t="shared" si="77"/>
        <v>0</v>
      </c>
      <c r="BW48" s="89">
        <v>0</v>
      </c>
      <c r="BX48" s="112">
        <f t="shared" si="78"/>
        <v>0</v>
      </c>
      <c r="BY48" s="89">
        <v>0</v>
      </c>
      <c r="BZ48" s="112">
        <f t="shared" si="79"/>
        <v>0</v>
      </c>
      <c r="CA48" s="89">
        <v>0</v>
      </c>
      <c r="CB48" s="112">
        <f t="shared" si="80"/>
        <v>0</v>
      </c>
      <c r="CC48" s="89">
        <v>0</v>
      </c>
      <c r="CD48" s="112">
        <f t="shared" si="81"/>
        <v>0</v>
      </c>
      <c r="CE48" s="89">
        <v>0</v>
      </c>
      <c r="CF48" s="112">
        <f t="shared" si="82"/>
        <v>0</v>
      </c>
      <c r="CG48" s="89">
        <f t="shared" si="5"/>
        <v>0</v>
      </c>
      <c r="CH48" s="113">
        <f t="shared" si="40"/>
        <v>0</v>
      </c>
      <c r="CI48" s="89">
        <v>0</v>
      </c>
      <c r="CJ48" s="112">
        <f t="shared" si="83"/>
        <v>0</v>
      </c>
      <c r="CK48" s="89">
        <v>0</v>
      </c>
      <c r="CL48" s="112">
        <f t="shared" si="84"/>
        <v>0</v>
      </c>
      <c r="CM48" s="89">
        <v>0</v>
      </c>
      <c r="CN48" s="112">
        <f t="shared" si="85"/>
        <v>0</v>
      </c>
      <c r="CO48" s="89">
        <v>0</v>
      </c>
      <c r="CP48" s="112">
        <f t="shared" si="86"/>
        <v>0</v>
      </c>
      <c r="CQ48" s="89">
        <v>0</v>
      </c>
      <c r="CR48" s="112">
        <f t="shared" si="87"/>
        <v>0</v>
      </c>
      <c r="CS48" s="89">
        <v>0</v>
      </c>
      <c r="CT48" s="112">
        <f t="shared" si="88"/>
        <v>0</v>
      </c>
      <c r="CU48" s="89">
        <f t="shared" si="6"/>
        <v>0</v>
      </c>
      <c r="CV48" s="113">
        <f t="shared" si="47"/>
        <v>0</v>
      </c>
    </row>
    <row r="49" spans="2:100" ht="19.95" customHeight="1">
      <c r="B49" s="86"/>
      <c r="C49" s="88">
        <v>37</v>
      </c>
      <c r="D49" s="1" t="s">
        <v>211</v>
      </c>
      <c r="E49" s="88">
        <v>34</v>
      </c>
      <c r="F49" s="88">
        <v>3.3</v>
      </c>
      <c r="G49" s="89">
        <f>E49*F49</f>
        <v>112.19999999999999</v>
      </c>
      <c r="H49" s="90">
        <v>1.5</v>
      </c>
      <c r="I49" s="90">
        <v>1</v>
      </c>
      <c r="J49" s="90">
        <v>14</v>
      </c>
      <c r="K49" s="91">
        <f>(H49*I49)*J49</f>
        <v>21</v>
      </c>
      <c r="N49" s="95">
        <f>G49-(K49+K50)</f>
        <v>91.199999999999989</v>
      </c>
      <c r="O49" s="89"/>
      <c r="P49" s="89">
        <f t="shared" si="0"/>
        <v>91.199999999999989</v>
      </c>
      <c r="Q49" s="89">
        <v>0</v>
      </c>
      <c r="R49" s="112">
        <f t="shared" si="53"/>
        <v>0</v>
      </c>
      <c r="S49" s="89">
        <v>0</v>
      </c>
      <c r="T49" s="112">
        <f t="shared" si="53"/>
        <v>0</v>
      </c>
      <c r="U49" s="89">
        <v>0</v>
      </c>
      <c r="V49" s="112">
        <f t="shared" si="55"/>
        <v>0</v>
      </c>
      <c r="W49" s="89">
        <v>0</v>
      </c>
      <c r="X49" s="112">
        <f t="shared" si="56"/>
        <v>0</v>
      </c>
      <c r="Y49" s="89">
        <v>0</v>
      </c>
      <c r="Z49" s="112">
        <f t="shared" si="57"/>
        <v>0</v>
      </c>
      <c r="AA49" s="89">
        <v>0</v>
      </c>
      <c r="AB49" s="112">
        <f t="shared" si="58"/>
        <v>0</v>
      </c>
      <c r="AC49" s="89">
        <f t="shared" si="1"/>
        <v>0</v>
      </c>
      <c r="AD49" s="113">
        <f t="shared" si="12"/>
        <v>0</v>
      </c>
      <c r="AE49" s="89">
        <v>0</v>
      </c>
      <c r="AF49" s="112">
        <f t="shared" si="59"/>
        <v>0</v>
      </c>
      <c r="AG49" s="89">
        <v>0</v>
      </c>
      <c r="AH49" s="112">
        <f t="shared" si="60"/>
        <v>0</v>
      </c>
      <c r="AI49" s="89">
        <v>0</v>
      </c>
      <c r="AJ49" s="112">
        <f t="shared" si="61"/>
        <v>0</v>
      </c>
      <c r="AK49" s="89">
        <v>0</v>
      </c>
      <c r="AL49" s="112">
        <f t="shared" si="62"/>
        <v>0</v>
      </c>
      <c r="AM49" s="89">
        <v>0</v>
      </c>
      <c r="AN49" s="112">
        <f t="shared" si="63"/>
        <v>0</v>
      </c>
      <c r="AO49" s="89">
        <v>0</v>
      </c>
      <c r="AP49" s="112">
        <f t="shared" si="64"/>
        <v>0</v>
      </c>
      <c r="AQ49" s="89">
        <f t="shared" si="2"/>
        <v>0</v>
      </c>
      <c r="AR49" s="113">
        <f t="shared" si="19"/>
        <v>0</v>
      </c>
      <c r="AS49" s="89">
        <v>0</v>
      </c>
      <c r="AT49" s="112">
        <f t="shared" si="65"/>
        <v>0</v>
      </c>
      <c r="AU49" s="89">
        <v>0</v>
      </c>
      <c r="AV49" s="112">
        <f t="shared" si="66"/>
        <v>0</v>
      </c>
      <c r="AW49" s="89">
        <v>0</v>
      </c>
      <c r="AX49" s="112">
        <f t="shared" si="67"/>
        <v>0</v>
      </c>
      <c r="AY49" s="89">
        <v>0</v>
      </c>
      <c r="AZ49" s="112">
        <f t="shared" si="68"/>
        <v>0</v>
      </c>
      <c r="BA49" s="89">
        <v>0</v>
      </c>
      <c r="BB49" s="112">
        <f t="shared" si="69"/>
        <v>0</v>
      </c>
      <c r="BC49" s="89">
        <v>0</v>
      </c>
      <c r="BD49" s="112">
        <f t="shared" si="70"/>
        <v>0</v>
      </c>
      <c r="BE49" s="89">
        <f t="shared" si="3"/>
        <v>0</v>
      </c>
      <c r="BF49" s="113">
        <f t="shared" si="26"/>
        <v>0</v>
      </c>
      <c r="BG49" s="89">
        <v>0</v>
      </c>
      <c r="BH49" s="112">
        <f t="shared" si="71"/>
        <v>0</v>
      </c>
      <c r="BI49" s="89">
        <v>0</v>
      </c>
      <c r="BJ49" s="112">
        <f t="shared" si="72"/>
        <v>0</v>
      </c>
      <c r="BK49" s="89">
        <v>0</v>
      </c>
      <c r="BL49" s="112">
        <f t="shared" si="73"/>
        <v>0</v>
      </c>
      <c r="BM49" s="89">
        <v>0</v>
      </c>
      <c r="BN49" s="112">
        <f t="shared" si="74"/>
        <v>0</v>
      </c>
      <c r="BO49" s="89">
        <v>0</v>
      </c>
      <c r="BP49" s="112">
        <f t="shared" si="75"/>
        <v>0</v>
      </c>
      <c r="BQ49" s="89">
        <v>0</v>
      </c>
      <c r="BR49" s="112">
        <f t="shared" si="76"/>
        <v>0</v>
      </c>
      <c r="BS49" s="89">
        <f t="shared" si="4"/>
        <v>0</v>
      </c>
      <c r="BT49" s="113">
        <f t="shared" si="33"/>
        <v>0</v>
      </c>
      <c r="BU49" s="89">
        <v>0</v>
      </c>
      <c r="BV49" s="112">
        <f t="shared" si="77"/>
        <v>0</v>
      </c>
      <c r="BW49" s="89">
        <v>0</v>
      </c>
      <c r="BX49" s="112">
        <f t="shared" si="78"/>
        <v>0</v>
      </c>
      <c r="BY49" s="89">
        <v>0</v>
      </c>
      <c r="BZ49" s="112">
        <f t="shared" si="79"/>
        <v>0</v>
      </c>
      <c r="CA49" s="89">
        <v>0</v>
      </c>
      <c r="CB49" s="112">
        <f t="shared" si="80"/>
        <v>0</v>
      </c>
      <c r="CC49" s="89">
        <v>0</v>
      </c>
      <c r="CD49" s="112">
        <f t="shared" si="81"/>
        <v>0</v>
      </c>
      <c r="CE49" s="89">
        <v>0</v>
      </c>
      <c r="CF49" s="112">
        <f t="shared" si="82"/>
        <v>0</v>
      </c>
      <c r="CG49" s="89">
        <f t="shared" si="5"/>
        <v>0</v>
      </c>
      <c r="CH49" s="113">
        <f t="shared" si="40"/>
        <v>0</v>
      </c>
      <c r="CI49" s="89">
        <v>0</v>
      </c>
      <c r="CJ49" s="112">
        <f t="shared" si="83"/>
        <v>0</v>
      </c>
      <c r="CK49" s="89">
        <v>0</v>
      </c>
      <c r="CL49" s="112">
        <f t="shared" si="84"/>
        <v>0</v>
      </c>
      <c r="CM49" s="89">
        <v>0</v>
      </c>
      <c r="CN49" s="112">
        <f t="shared" si="85"/>
        <v>0</v>
      </c>
      <c r="CO49" s="89">
        <v>0</v>
      </c>
      <c r="CP49" s="112">
        <f t="shared" si="86"/>
        <v>0</v>
      </c>
      <c r="CQ49" s="89">
        <v>0</v>
      </c>
      <c r="CR49" s="112">
        <f t="shared" si="87"/>
        <v>0</v>
      </c>
      <c r="CS49" s="89">
        <v>0</v>
      </c>
      <c r="CT49" s="112">
        <f t="shared" si="88"/>
        <v>0</v>
      </c>
      <c r="CU49" s="89">
        <f t="shared" si="6"/>
        <v>0</v>
      </c>
      <c r="CV49" s="113">
        <f t="shared" si="47"/>
        <v>0</v>
      </c>
    </row>
    <row r="50" spans="2:100" ht="19.95" customHeight="1">
      <c r="B50" s="86"/>
      <c r="C50" s="88">
        <v>38</v>
      </c>
      <c r="D50" s="1" t="s">
        <v>121</v>
      </c>
      <c r="E50" s="88">
        <f>E5</f>
        <v>35.6</v>
      </c>
      <c r="F50" s="89">
        <v>0.7</v>
      </c>
      <c r="G50" s="89">
        <f t="shared" ref="G50:G58" si="90">E50*F50</f>
        <v>24.919999999999998</v>
      </c>
      <c r="H50" s="90"/>
      <c r="I50" s="90"/>
      <c r="J50" s="90"/>
      <c r="K50" s="91"/>
      <c r="L50" s="1"/>
      <c r="N50" s="95">
        <f>G50-K50</f>
        <v>24.919999999999998</v>
      </c>
      <c r="O50" s="89"/>
      <c r="P50" s="89">
        <f t="shared" si="0"/>
        <v>24.919999999999998</v>
      </c>
      <c r="Q50" s="89">
        <v>0</v>
      </c>
      <c r="R50" s="112">
        <f t="shared" si="53"/>
        <v>0</v>
      </c>
      <c r="S50" s="89">
        <v>0</v>
      </c>
      <c r="T50" s="112">
        <f t="shared" si="53"/>
        <v>0</v>
      </c>
      <c r="U50" s="89">
        <v>0</v>
      </c>
      <c r="V50" s="112">
        <f t="shared" si="55"/>
        <v>0</v>
      </c>
      <c r="W50" s="89">
        <v>0</v>
      </c>
      <c r="X50" s="112">
        <f t="shared" si="56"/>
        <v>0</v>
      </c>
      <c r="Y50" s="89">
        <v>0</v>
      </c>
      <c r="Z50" s="112">
        <f t="shared" si="57"/>
        <v>0</v>
      </c>
      <c r="AA50" s="89">
        <v>0</v>
      </c>
      <c r="AB50" s="112">
        <f t="shared" si="58"/>
        <v>0</v>
      </c>
      <c r="AC50" s="89">
        <f t="shared" si="1"/>
        <v>0</v>
      </c>
      <c r="AD50" s="113">
        <f t="shared" si="12"/>
        <v>0</v>
      </c>
      <c r="AE50" s="89">
        <v>0</v>
      </c>
      <c r="AF50" s="112">
        <f t="shared" si="59"/>
        <v>0</v>
      </c>
      <c r="AG50" s="89">
        <v>0</v>
      </c>
      <c r="AH50" s="112">
        <f t="shared" si="60"/>
        <v>0</v>
      </c>
      <c r="AI50" s="89">
        <v>0</v>
      </c>
      <c r="AJ50" s="112">
        <f t="shared" si="61"/>
        <v>0</v>
      </c>
      <c r="AK50" s="89">
        <v>0</v>
      </c>
      <c r="AL50" s="112">
        <f t="shared" si="62"/>
        <v>0</v>
      </c>
      <c r="AM50" s="89">
        <v>0</v>
      </c>
      <c r="AN50" s="112">
        <f t="shared" si="63"/>
        <v>0</v>
      </c>
      <c r="AO50" s="89">
        <v>0</v>
      </c>
      <c r="AP50" s="112">
        <f t="shared" si="64"/>
        <v>0</v>
      </c>
      <c r="AQ50" s="89">
        <f t="shared" si="2"/>
        <v>0</v>
      </c>
      <c r="AR50" s="113">
        <f t="shared" si="19"/>
        <v>0</v>
      </c>
      <c r="AS50" s="89">
        <v>0</v>
      </c>
      <c r="AT50" s="112">
        <f t="shared" si="65"/>
        <v>0</v>
      </c>
      <c r="AU50" s="89">
        <v>0</v>
      </c>
      <c r="AV50" s="112">
        <f t="shared" si="66"/>
        <v>0</v>
      </c>
      <c r="AW50" s="89">
        <v>0</v>
      </c>
      <c r="AX50" s="112">
        <f t="shared" si="67"/>
        <v>0</v>
      </c>
      <c r="AY50" s="89">
        <v>0</v>
      </c>
      <c r="AZ50" s="112">
        <f t="shared" si="68"/>
        <v>0</v>
      </c>
      <c r="BA50" s="89">
        <v>0</v>
      </c>
      <c r="BB50" s="112">
        <f t="shared" si="69"/>
        <v>0</v>
      </c>
      <c r="BC50" s="89">
        <v>0</v>
      </c>
      <c r="BD50" s="112">
        <f t="shared" si="70"/>
        <v>0</v>
      </c>
      <c r="BE50" s="89">
        <f t="shared" si="3"/>
        <v>0</v>
      </c>
      <c r="BF50" s="113">
        <f t="shared" si="26"/>
        <v>0</v>
      </c>
      <c r="BG50" s="89">
        <v>0</v>
      </c>
      <c r="BH50" s="112">
        <f t="shared" si="71"/>
        <v>0</v>
      </c>
      <c r="BI50" s="89">
        <v>0</v>
      </c>
      <c r="BJ50" s="112">
        <f t="shared" si="72"/>
        <v>0</v>
      </c>
      <c r="BK50" s="89">
        <v>0</v>
      </c>
      <c r="BL50" s="112">
        <f t="shared" si="73"/>
        <v>0</v>
      </c>
      <c r="BM50" s="89">
        <v>0</v>
      </c>
      <c r="BN50" s="112">
        <f t="shared" si="74"/>
        <v>0</v>
      </c>
      <c r="BO50" s="89">
        <v>0</v>
      </c>
      <c r="BP50" s="112">
        <f t="shared" si="75"/>
        <v>0</v>
      </c>
      <c r="BQ50" s="89">
        <v>0</v>
      </c>
      <c r="BR50" s="112">
        <f t="shared" si="76"/>
        <v>0</v>
      </c>
      <c r="BS50" s="89">
        <f t="shared" si="4"/>
        <v>0</v>
      </c>
      <c r="BT50" s="113">
        <f t="shared" si="33"/>
        <v>0</v>
      </c>
      <c r="BU50" s="89">
        <v>0</v>
      </c>
      <c r="BV50" s="112">
        <f t="shared" si="77"/>
        <v>0</v>
      </c>
      <c r="BW50" s="89">
        <v>0</v>
      </c>
      <c r="BX50" s="112">
        <f t="shared" si="78"/>
        <v>0</v>
      </c>
      <c r="BY50" s="89">
        <v>0</v>
      </c>
      <c r="BZ50" s="112">
        <f t="shared" si="79"/>
        <v>0</v>
      </c>
      <c r="CA50" s="89">
        <v>0</v>
      </c>
      <c r="CB50" s="112">
        <f t="shared" si="80"/>
        <v>0</v>
      </c>
      <c r="CC50" s="89">
        <v>0</v>
      </c>
      <c r="CD50" s="112">
        <f t="shared" si="81"/>
        <v>0</v>
      </c>
      <c r="CE50" s="89">
        <v>0</v>
      </c>
      <c r="CF50" s="112">
        <f t="shared" si="82"/>
        <v>0</v>
      </c>
      <c r="CG50" s="89">
        <f t="shared" si="5"/>
        <v>0</v>
      </c>
      <c r="CH50" s="113">
        <f t="shared" si="40"/>
        <v>0</v>
      </c>
      <c r="CI50" s="89">
        <v>0</v>
      </c>
      <c r="CJ50" s="112">
        <f t="shared" si="83"/>
        <v>0</v>
      </c>
      <c r="CK50" s="89">
        <v>0</v>
      </c>
      <c r="CL50" s="112">
        <f t="shared" si="84"/>
        <v>0</v>
      </c>
      <c r="CM50" s="89">
        <v>0</v>
      </c>
      <c r="CN50" s="112">
        <f t="shared" si="85"/>
        <v>0</v>
      </c>
      <c r="CO50" s="89">
        <v>0</v>
      </c>
      <c r="CP50" s="112">
        <f t="shared" si="86"/>
        <v>0</v>
      </c>
      <c r="CQ50" s="89">
        <v>0</v>
      </c>
      <c r="CR50" s="112">
        <f t="shared" si="87"/>
        <v>0</v>
      </c>
      <c r="CS50" s="89">
        <v>0</v>
      </c>
      <c r="CT50" s="112">
        <f t="shared" si="88"/>
        <v>0</v>
      </c>
      <c r="CU50" s="89">
        <f t="shared" si="6"/>
        <v>0</v>
      </c>
      <c r="CV50" s="113">
        <f t="shared" si="47"/>
        <v>0</v>
      </c>
    </row>
    <row r="51" spans="2:100" ht="19.95" customHeight="1">
      <c r="C51" s="88">
        <v>39</v>
      </c>
      <c r="D51" s="1" t="s">
        <v>121</v>
      </c>
      <c r="E51" s="88">
        <f>E5</f>
        <v>35.6</v>
      </c>
      <c r="F51" s="89">
        <v>1.45</v>
      </c>
      <c r="G51" s="89">
        <f t="shared" si="90"/>
        <v>51.62</v>
      </c>
      <c r="H51" s="90"/>
      <c r="I51" s="90"/>
      <c r="J51" s="90"/>
      <c r="K51" s="91"/>
      <c r="L51" s="1"/>
      <c r="N51" s="95">
        <f>G51-K51</f>
        <v>51.62</v>
      </c>
      <c r="O51" s="89"/>
      <c r="P51" s="89">
        <f t="shared" si="0"/>
        <v>51.62</v>
      </c>
      <c r="Q51" s="89">
        <v>0</v>
      </c>
      <c r="R51" s="112">
        <f t="shared" si="53"/>
        <v>0</v>
      </c>
      <c r="S51" s="89">
        <v>0</v>
      </c>
      <c r="T51" s="112">
        <f t="shared" si="53"/>
        <v>0</v>
      </c>
      <c r="U51" s="89">
        <v>0</v>
      </c>
      <c r="V51" s="112">
        <f t="shared" si="55"/>
        <v>0</v>
      </c>
      <c r="W51" s="89">
        <v>0</v>
      </c>
      <c r="X51" s="112">
        <f t="shared" si="56"/>
        <v>0</v>
      </c>
      <c r="Y51" s="89">
        <v>0</v>
      </c>
      <c r="Z51" s="112">
        <f t="shared" si="57"/>
        <v>0</v>
      </c>
      <c r="AA51" s="89">
        <v>0</v>
      </c>
      <c r="AB51" s="112">
        <f t="shared" si="58"/>
        <v>0</v>
      </c>
      <c r="AC51" s="89">
        <f t="shared" si="1"/>
        <v>0</v>
      </c>
      <c r="AD51" s="113">
        <f t="shared" si="12"/>
        <v>0</v>
      </c>
      <c r="AE51" s="89">
        <v>0</v>
      </c>
      <c r="AF51" s="112">
        <f t="shared" si="59"/>
        <v>0</v>
      </c>
      <c r="AG51" s="89">
        <v>0</v>
      </c>
      <c r="AH51" s="112">
        <f t="shared" si="60"/>
        <v>0</v>
      </c>
      <c r="AI51" s="89">
        <v>0</v>
      </c>
      <c r="AJ51" s="112">
        <f t="shared" si="61"/>
        <v>0</v>
      </c>
      <c r="AK51" s="89">
        <v>0</v>
      </c>
      <c r="AL51" s="112">
        <f t="shared" si="62"/>
        <v>0</v>
      </c>
      <c r="AM51" s="89">
        <v>0</v>
      </c>
      <c r="AN51" s="112">
        <f t="shared" si="63"/>
        <v>0</v>
      </c>
      <c r="AO51" s="89">
        <v>0</v>
      </c>
      <c r="AP51" s="112">
        <f t="shared" si="64"/>
        <v>0</v>
      </c>
      <c r="AQ51" s="89">
        <f t="shared" si="2"/>
        <v>0</v>
      </c>
      <c r="AR51" s="113">
        <f t="shared" si="19"/>
        <v>0</v>
      </c>
      <c r="AS51" s="89">
        <v>0</v>
      </c>
      <c r="AT51" s="112">
        <f t="shared" si="65"/>
        <v>0</v>
      </c>
      <c r="AU51" s="89">
        <v>0</v>
      </c>
      <c r="AV51" s="112">
        <f t="shared" si="66"/>
        <v>0</v>
      </c>
      <c r="AW51" s="89">
        <v>0</v>
      </c>
      <c r="AX51" s="112">
        <f t="shared" si="67"/>
        <v>0</v>
      </c>
      <c r="AY51" s="89">
        <v>0</v>
      </c>
      <c r="AZ51" s="112">
        <f t="shared" si="68"/>
        <v>0</v>
      </c>
      <c r="BA51" s="89">
        <v>0</v>
      </c>
      <c r="BB51" s="112">
        <f t="shared" si="69"/>
        <v>0</v>
      </c>
      <c r="BC51" s="89">
        <v>0</v>
      </c>
      <c r="BD51" s="112">
        <f t="shared" si="70"/>
        <v>0</v>
      </c>
      <c r="BE51" s="89">
        <f t="shared" si="3"/>
        <v>0</v>
      </c>
      <c r="BF51" s="113">
        <f t="shared" si="26"/>
        <v>0</v>
      </c>
      <c r="BG51" s="89">
        <v>0</v>
      </c>
      <c r="BH51" s="112">
        <f t="shared" si="71"/>
        <v>0</v>
      </c>
      <c r="BI51" s="89">
        <v>0</v>
      </c>
      <c r="BJ51" s="112">
        <f t="shared" si="72"/>
        <v>0</v>
      </c>
      <c r="BK51" s="89">
        <v>0</v>
      </c>
      <c r="BL51" s="112">
        <f t="shared" si="73"/>
        <v>0</v>
      </c>
      <c r="BM51" s="89">
        <v>0</v>
      </c>
      <c r="BN51" s="112">
        <f t="shared" si="74"/>
        <v>0</v>
      </c>
      <c r="BO51" s="89">
        <v>0</v>
      </c>
      <c r="BP51" s="112">
        <f t="shared" si="75"/>
        <v>0</v>
      </c>
      <c r="BQ51" s="89">
        <v>0</v>
      </c>
      <c r="BR51" s="112">
        <f t="shared" si="76"/>
        <v>0</v>
      </c>
      <c r="BS51" s="89">
        <f t="shared" si="4"/>
        <v>0</v>
      </c>
      <c r="BT51" s="113">
        <f t="shared" si="33"/>
        <v>0</v>
      </c>
      <c r="BU51" s="89">
        <v>0</v>
      </c>
      <c r="BV51" s="112">
        <f t="shared" si="77"/>
        <v>0</v>
      </c>
      <c r="BW51" s="89">
        <v>0</v>
      </c>
      <c r="BX51" s="112">
        <f t="shared" si="78"/>
        <v>0</v>
      </c>
      <c r="BY51" s="89">
        <v>0</v>
      </c>
      <c r="BZ51" s="112">
        <f t="shared" si="79"/>
        <v>0</v>
      </c>
      <c r="CA51" s="89">
        <v>0</v>
      </c>
      <c r="CB51" s="112">
        <f t="shared" si="80"/>
        <v>0</v>
      </c>
      <c r="CC51" s="89">
        <v>0</v>
      </c>
      <c r="CD51" s="112">
        <f t="shared" si="81"/>
        <v>0</v>
      </c>
      <c r="CE51" s="89">
        <v>0</v>
      </c>
      <c r="CF51" s="112">
        <f t="shared" si="82"/>
        <v>0</v>
      </c>
      <c r="CG51" s="89">
        <f t="shared" si="5"/>
        <v>0</v>
      </c>
      <c r="CH51" s="113">
        <f t="shared" si="40"/>
        <v>0</v>
      </c>
      <c r="CI51" s="89">
        <v>0</v>
      </c>
      <c r="CJ51" s="112">
        <f t="shared" si="83"/>
        <v>0</v>
      </c>
      <c r="CK51" s="89">
        <v>0</v>
      </c>
      <c r="CL51" s="112">
        <f t="shared" si="84"/>
        <v>0</v>
      </c>
      <c r="CM51" s="89">
        <v>0</v>
      </c>
      <c r="CN51" s="112">
        <f t="shared" si="85"/>
        <v>0</v>
      </c>
      <c r="CO51" s="89">
        <v>0</v>
      </c>
      <c r="CP51" s="112">
        <f t="shared" si="86"/>
        <v>0</v>
      </c>
      <c r="CQ51" s="89">
        <v>0</v>
      </c>
      <c r="CR51" s="112">
        <f t="shared" si="87"/>
        <v>0</v>
      </c>
      <c r="CS51" s="89">
        <v>0</v>
      </c>
      <c r="CT51" s="112">
        <f t="shared" si="88"/>
        <v>0</v>
      </c>
      <c r="CU51" s="89">
        <f t="shared" si="6"/>
        <v>0</v>
      </c>
      <c r="CV51" s="113">
        <f t="shared" si="47"/>
        <v>0</v>
      </c>
    </row>
    <row r="52" spans="2:100" ht="19.95" customHeight="1">
      <c r="C52" s="88">
        <v>40</v>
      </c>
      <c r="D52" s="1" t="s">
        <v>212</v>
      </c>
      <c r="E52" s="88">
        <f>E5</f>
        <v>35.6</v>
      </c>
      <c r="F52" s="89">
        <v>4.0199999999999996</v>
      </c>
      <c r="G52" s="89">
        <f t="shared" si="90"/>
        <v>143.11199999999999</v>
      </c>
      <c r="H52" s="90">
        <v>1.5</v>
      </c>
      <c r="I52" s="90">
        <v>1.2</v>
      </c>
      <c r="J52" s="90">
        <v>14</v>
      </c>
      <c r="K52" s="91">
        <f>(H52*I52)*J52</f>
        <v>25.199999999999996</v>
      </c>
      <c r="L52" s="1"/>
      <c r="M52" s="95">
        <f>G52-(K52+K53)</f>
        <v>117.91200000000001</v>
      </c>
      <c r="N52" s="1"/>
      <c r="O52" s="89"/>
      <c r="P52" s="89">
        <f t="shared" si="0"/>
        <v>117.91200000000001</v>
      </c>
      <c r="Q52" s="89">
        <v>0</v>
      </c>
      <c r="R52" s="112">
        <f t="shared" si="53"/>
        <v>0</v>
      </c>
      <c r="S52" s="89">
        <v>0</v>
      </c>
      <c r="T52" s="112">
        <f t="shared" si="53"/>
        <v>0</v>
      </c>
      <c r="U52" s="89">
        <v>0</v>
      </c>
      <c r="V52" s="112">
        <f t="shared" si="55"/>
        <v>0</v>
      </c>
      <c r="W52" s="89">
        <v>0</v>
      </c>
      <c r="X52" s="112">
        <f t="shared" si="56"/>
        <v>0</v>
      </c>
      <c r="Y52" s="89">
        <v>0</v>
      </c>
      <c r="Z52" s="112">
        <f t="shared" si="57"/>
        <v>0</v>
      </c>
      <c r="AA52" s="89">
        <v>0</v>
      </c>
      <c r="AB52" s="112">
        <f t="shared" si="58"/>
        <v>0</v>
      </c>
      <c r="AC52" s="89">
        <f t="shared" si="1"/>
        <v>0</v>
      </c>
      <c r="AD52" s="113">
        <f t="shared" si="12"/>
        <v>0</v>
      </c>
      <c r="AE52" s="89">
        <v>0</v>
      </c>
      <c r="AF52" s="112">
        <f t="shared" si="59"/>
        <v>0</v>
      </c>
      <c r="AG52" s="89">
        <v>0</v>
      </c>
      <c r="AH52" s="112">
        <f t="shared" si="60"/>
        <v>0</v>
      </c>
      <c r="AI52" s="89">
        <v>0</v>
      </c>
      <c r="AJ52" s="112">
        <f t="shared" si="61"/>
        <v>0</v>
      </c>
      <c r="AK52" s="89">
        <v>0</v>
      </c>
      <c r="AL52" s="112">
        <f t="shared" si="62"/>
        <v>0</v>
      </c>
      <c r="AM52" s="89">
        <v>0</v>
      </c>
      <c r="AN52" s="112">
        <f t="shared" si="63"/>
        <v>0</v>
      </c>
      <c r="AO52" s="89">
        <v>0</v>
      </c>
      <c r="AP52" s="112">
        <f t="shared" si="64"/>
        <v>0</v>
      </c>
      <c r="AQ52" s="89">
        <f t="shared" si="2"/>
        <v>0</v>
      </c>
      <c r="AR52" s="113">
        <f t="shared" si="19"/>
        <v>0</v>
      </c>
      <c r="AS52" s="89">
        <v>0</v>
      </c>
      <c r="AT52" s="112">
        <f t="shared" si="65"/>
        <v>0</v>
      </c>
      <c r="AU52" s="89">
        <v>0</v>
      </c>
      <c r="AV52" s="112">
        <f t="shared" si="66"/>
        <v>0</v>
      </c>
      <c r="AW52" s="89">
        <v>0</v>
      </c>
      <c r="AX52" s="112">
        <f t="shared" si="67"/>
        <v>0</v>
      </c>
      <c r="AY52" s="89">
        <v>0</v>
      </c>
      <c r="AZ52" s="112">
        <f t="shared" si="68"/>
        <v>0</v>
      </c>
      <c r="BA52" s="89">
        <v>0</v>
      </c>
      <c r="BB52" s="112">
        <f t="shared" si="69"/>
        <v>0</v>
      </c>
      <c r="BC52" s="89">
        <v>0</v>
      </c>
      <c r="BD52" s="112">
        <f t="shared" si="70"/>
        <v>0</v>
      </c>
      <c r="BE52" s="89">
        <f t="shared" si="3"/>
        <v>0</v>
      </c>
      <c r="BF52" s="113">
        <f t="shared" si="26"/>
        <v>0</v>
      </c>
      <c r="BG52" s="89">
        <v>0</v>
      </c>
      <c r="BH52" s="112">
        <f t="shared" si="71"/>
        <v>0</v>
      </c>
      <c r="BI52" s="89">
        <v>0</v>
      </c>
      <c r="BJ52" s="112">
        <f t="shared" si="72"/>
        <v>0</v>
      </c>
      <c r="BK52" s="89">
        <v>0</v>
      </c>
      <c r="BL52" s="112">
        <f t="shared" si="73"/>
        <v>0</v>
      </c>
      <c r="BM52" s="89">
        <v>0</v>
      </c>
      <c r="BN52" s="112">
        <f t="shared" si="74"/>
        <v>0</v>
      </c>
      <c r="BO52" s="89">
        <v>0</v>
      </c>
      <c r="BP52" s="112">
        <f t="shared" si="75"/>
        <v>0</v>
      </c>
      <c r="BQ52" s="89">
        <v>0</v>
      </c>
      <c r="BR52" s="112">
        <f t="shared" si="76"/>
        <v>0</v>
      </c>
      <c r="BS52" s="89">
        <f t="shared" si="4"/>
        <v>0</v>
      </c>
      <c r="BT52" s="113">
        <f t="shared" si="33"/>
        <v>0</v>
      </c>
      <c r="BU52" s="89">
        <v>0</v>
      </c>
      <c r="BV52" s="112">
        <f t="shared" si="77"/>
        <v>0</v>
      </c>
      <c r="BW52" s="89">
        <v>0</v>
      </c>
      <c r="BX52" s="112">
        <f t="shared" si="78"/>
        <v>0</v>
      </c>
      <c r="BY52" s="89">
        <v>0</v>
      </c>
      <c r="BZ52" s="112">
        <f t="shared" si="79"/>
        <v>0</v>
      </c>
      <c r="CA52" s="89">
        <v>0</v>
      </c>
      <c r="CB52" s="112">
        <f t="shared" si="80"/>
        <v>0</v>
      </c>
      <c r="CC52" s="89">
        <v>0</v>
      </c>
      <c r="CD52" s="112">
        <f t="shared" si="81"/>
        <v>0</v>
      </c>
      <c r="CE52" s="89">
        <v>0</v>
      </c>
      <c r="CF52" s="112">
        <f t="shared" si="82"/>
        <v>0</v>
      </c>
      <c r="CG52" s="89">
        <f t="shared" si="5"/>
        <v>0</v>
      </c>
      <c r="CH52" s="113">
        <f t="shared" si="40"/>
        <v>0</v>
      </c>
      <c r="CI52" s="89">
        <v>0</v>
      </c>
      <c r="CJ52" s="112">
        <f t="shared" si="83"/>
        <v>0</v>
      </c>
      <c r="CK52" s="89">
        <v>0</v>
      </c>
      <c r="CL52" s="112">
        <f t="shared" si="84"/>
        <v>0</v>
      </c>
      <c r="CM52" s="89">
        <v>0</v>
      </c>
      <c r="CN52" s="112">
        <f t="shared" si="85"/>
        <v>0</v>
      </c>
      <c r="CO52" s="89">
        <v>0</v>
      </c>
      <c r="CP52" s="112">
        <f t="shared" si="86"/>
        <v>0</v>
      </c>
      <c r="CQ52" s="89">
        <v>0</v>
      </c>
      <c r="CR52" s="112">
        <f t="shared" si="87"/>
        <v>0</v>
      </c>
      <c r="CS52" s="89">
        <v>0</v>
      </c>
      <c r="CT52" s="112">
        <f t="shared" si="88"/>
        <v>0</v>
      </c>
      <c r="CU52" s="89">
        <f t="shared" si="6"/>
        <v>0</v>
      </c>
      <c r="CV52" s="113">
        <f t="shared" si="47"/>
        <v>0</v>
      </c>
    </row>
    <row r="53" spans="2:100" ht="19.95" customHeight="1">
      <c r="C53" s="88">
        <v>41</v>
      </c>
      <c r="D53" s="1" t="s">
        <v>200</v>
      </c>
      <c r="E53" s="88">
        <v>0.3</v>
      </c>
      <c r="F53" s="88">
        <v>5.0999999999999996</v>
      </c>
      <c r="G53" s="89">
        <f>E53*F53*14</f>
        <v>21.419999999999998</v>
      </c>
      <c r="H53" s="90"/>
      <c r="I53" s="90"/>
      <c r="J53" s="90"/>
      <c r="K53" s="91"/>
      <c r="M53" s="89"/>
      <c r="N53" s="95">
        <f>G53</f>
        <v>21.419999999999998</v>
      </c>
      <c r="O53" s="89"/>
      <c r="P53" s="89">
        <f t="shared" si="0"/>
        <v>21.419999999999998</v>
      </c>
      <c r="Q53" s="89">
        <v>0</v>
      </c>
      <c r="R53" s="112">
        <f t="shared" si="53"/>
        <v>0</v>
      </c>
      <c r="S53" s="89">
        <v>0</v>
      </c>
      <c r="T53" s="112">
        <f t="shared" si="53"/>
        <v>0</v>
      </c>
      <c r="U53" s="89">
        <v>0</v>
      </c>
      <c r="V53" s="112">
        <f t="shared" si="55"/>
        <v>0</v>
      </c>
      <c r="W53" s="89">
        <v>0</v>
      </c>
      <c r="X53" s="112">
        <f t="shared" si="56"/>
        <v>0</v>
      </c>
      <c r="Y53" s="89">
        <v>0</v>
      </c>
      <c r="Z53" s="112">
        <f t="shared" si="57"/>
        <v>0</v>
      </c>
      <c r="AA53" s="89">
        <v>0</v>
      </c>
      <c r="AB53" s="112">
        <f t="shared" si="58"/>
        <v>0</v>
      </c>
      <c r="AC53" s="89">
        <f t="shared" si="1"/>
        <v>0</v>
      </c>
      <c r="AD53" s="113">
        <f t="shared" si="12"/>
        <v>0</v>
      </c>
      <c r="AE53" s="89">
        <v>0</v>
      </c>
      <c r="AF53" s="112">
        <f t="shared" si="59"/>
        <v>0</v>
      </c>
      <c r="AG53" s="89">
        <v>0</v>
      </c>
      <c r="AH53" s="112">
        <f t="shared" si="60"/>
        <v>0</v>
      </c>
      <c r="AI53" s="89">
        <v>0</v>
      </c>
      <c r="AJ53" s="112">
        <f t="shared" si="61"/>
        <v>0</v>
      </c>
      <c r="AK53" s="89">
        <v>0</v>
      </c>
      <c r="AL53" s="112">
        <f t="shared" si="62"/>
        <v>0</v>
      </c>
      <c r="AM53" s="89">
        <v>0</v>
      </c>
      <c r="AN53" s="112">
        <f t="shared" si="63"/>
        <v>0</v>
      </c>
      <c r="AO53" s="89">
        <v>0</v>
      </c>
      <c r="AP53" s="112">
        <f t="shared" si="64"/>
        <v>0</v>
      </c>
      <c r="AQ53" s="89">
        <f t="shared" si="2"/>
        <v>0</v>
      </c>
      <c r="AR53" s="113">
        <f t="shared" si="19"/>
        <v>0</v>
      </c>
      <c r="AS53" s="89">
        <v>0</v>
      </c>
      <c r="AT53" s="112">
        <f t="shared" si="65"/>
        <v>0</v>
      </c>
      <c r="AU53" s="89">
        <v>0</v>
      </c>
      <c r="AV53" s="112">
        <f t="shared" si="66"/>
        <v>0</v>
      </c>
      <c r="AW53" s="89">
        <v>0</v>
      </c>
      <c r="AX53" s="112">
        <f t="shared" si="67"/>
        <v>0</v>
      </c>
      <c r="AY53" s="89">
        <v>0</v>
      </c>
      <c r="AZ53" s="112">
        <f t="shared" si="68"/>
        <v>0</v>
      </c>
      <c r="BA53" s="89">
        <v>0</v>
      </c>
      <c r="BB53" s="112">
        <f t="shared" si="69"/>
        <v>0</v>
      </c>
      <c r="BC53" s="89">
        <v>0</v>
      </c>
      <c r="BD53" s="112">
        <f t="shared" si="70"/>
        <v>0</v>
      </c>
      <c r="BE53" s="89">
        <f t="shared" si="3"/>
        <v>0</v>
      </c>
      <c r="BF53" s="113">
        <f t="shared" si="26"/>
        <v>0</v>
      </c>
      <c r="BG53" s="89">
        <v>0</v>
      </c>
      <c r="BH53" s="112">
        <f t="shared" si="71"/>
        <v>0</v>
      </c>
      <c r="BI53" s="89">
        <v>0</v>
      </c>
      <c r="BJ53" s="112">
        <f t="shared" si="72"/>
        <v>0</v>
      </c>
      <c r="BK53" s="89">
        <v>0</v>
      </c>
      <c r="BL53" s="112">
        <f t="shared" si="73"/>
        <v>0</v>
      </c>
      <c r="BM53" s="89">
        <v>0</v>
      </c>
      <c r="BN53" s="112">
        <f t="shared" si="74"/>
        <v>0</v>
      </c>
      <c r="BO53" s="89">
        <v>0</v>
      </c>
      <c r="BP53" s="112">
        <f t="shared" si="75"/>
        <v>0</v>
      </c>
      <c r="BQ53" s="89">
        <v>0</v>
      </c>
      <c r="BR53" s="112">
        <f t="shared" si="76"/>
        <v>0</v>
      </c>
      <c r="BS53" s="89">
        <f t="shared" si="4"/>
        <v>0</v>
      </c>
      <c r="BT53" s="113">
        <f t="shared" si="33"/>
        <v>0</v>
      </c>
      <c r="BU53" s="89">
        <v>0</v>
      </c>
      <c r="BV53" s="112">
        <f t="shared" si="77"/>
        <v>0</v>
      </c>
      <c r="BW53" s="89">
        <v>0</v>
      </c>
      <c r="BX53" s="112">
        <f t="shared" si="78"/>
        <v>0</v>
      </c>
      <c r="BY53" s="89">
        <v>0</v>
      </c>
      <c r="BZ53" s="112">
        <f t="shared" si="79"/>
        <v>0</v>
      </c>
      <c r="CA53" s="89">
        <v>0</v>
      </c>
      <c r="CB53" s="112">
        <f t="shared" si="80"/>
        <v>0</v>
      </c>
      <c r="CC53" s="89">
        <v>0</v>
      </c>
      <c r="CD53" s="112">
        <f t="shared" si="81"/>
        <v>0</v>
      </c>
      <c r="CE53" s="89">
        <v>0</v>
      </c>
      <c r="CF53" s="112">
        <f t="shared" si="82"/>
        <v>0</v>
      </c>
      <c r="CG53" s="89">
        <f t="shared" si="5"/>
        <v>0</v>
      </c>
      <c r="CH53" s="113">
        <f t="shared" si="40"/>
        <v>0</v>
      </c>
      <c r="CI53" s="89">
        <v>0</v>
      </c>
      <c r="CJ53" s="112">
        <f t="shared" si="83"/>
        <v>0</v>
      </c>
      <c r="CK53" s="89">
        <v>0</v>
      </c>
      <c r="CL53" s="112">
        <f t="shared" si="84"/>
        <v>0</v>
      </c>
      <c r="CM53" s="89">
        <v>0</v>
      </c>
      <c r="CN53" s="112">
        <f t="shared" si="85"/>
        <v>0</v>
      </c>
      <c r="CO53" s="89">
        <v>0</v>
      </c>
      <c r="CP53" s="112">
        <f t="shared" si="86"/>
        <v>0</v>
      </c>
      <c r="CQ53" s="89">
        <v>0</v>
      </c>
      <c r="CR53" s="112">
        <f t="shared" si="87"/>
        <v>0</v>
      </c>
      <c r="CS53" s="89">
        <v>0</v>
      </c>
      <c r="CT53" s="112">
        <f t="shared" si="88"/>
        <v>0</v>
      </c>
      <c r="CU53" s="89">
        <f t="shared" si="6"/>
        <v>0</v>
      </c>
      <c r="CV53" s="113">
        <f t="shared" si="47"/>
        <v>0</v>
      </c>
    </row>
    <row r="54" spans="2:100" ht="19.95" customHeight="1">
      <c r="C54" s="88" t="s">
        <v>225</v>
      </c>
      <c r="D54" s="1" t="s">
        <v>202</v>
      </c>
      <c r="E54" s="88">
        <v>0.6</v>
      </c>
      <c r="F54" s="88">
        <v>5.0999999999999996</v>
      </c>
      <c r="G54" s="89">
        <f>E54*F54*14</f>
        <v>42.839999999999996</v>
      </c>
      <c r="H54" s="90"/>
      <c r="I54" s="90"/>
      <c r="J54" s="90"/>
      <c r="K54" s="91"/>
      <c r="L54" s="89"/>
      <c r="O54" s="95">
        <f>G54</f>
        <v>42.839999999999996</v>
      </c>
      <c r="P54" s="89">
        <f t="shared" si="0"/>
        <v>42.839999999999996</v>
      </c>
      <c r="Q54" s="89">
        <v>0</v>
      </c>
      <c r="R54" s="112">
        <f t="shared" si="53"/>
        <v>0</v>
      </c>
      <c r="S54" s="89">
        <v>0</v>
      </c>
      <c r="T54" s="112">
        <f t="shared" si="53"/>
        <v>0</v>
      </c>
      <c r="U54" s="89">
        <v>0</v>
      </c>
      <c r="V54" s="112">
        <f t="shared" si="55"/>
        <v>0</v>
      </c>
      <c r="W54" s="89">
        <v>0</v>
      </c>
      <c r="X54" s="112">
        <f t="shared" si="56"/>
        <v>0</v>
      </c>
      <c r="Y54" s="89">
        <v>0</v>
      </c>
      <c r="Z54" s="112">
        <f t="shared" si="57"/>
        <v>0</v>
      </c>
      <c r="AA54" s="89">
        <v>0</v>
      </c>
      <c r="AB54" s="112">
        <f t="shared" si="58"/>
        <v>0</v>
      </c>
      <c r="AC54" s="89">
        <f t="shared" si="1"/>
        <v>0</v>
      </c>
      <c r="AD54" s="113">
        <f t="shared" si="12"/>
        <v>0</v>
      </c>
      <c r="AE54" s="89">
        <v>0</v>
      </c>
      <c r="AF54" s="112">
        <f t="shared" si="59"/>
        <v>0</v>
      </c>
      <c r="AG54" s="89">
        <v>0</v>
      </c>
      <c r="AH54" s="112">
        <f t="shared" si="60"/>
        <v>0</v>
      </c>
      <c r="AI54" s="89">
        <v>0</v>
      </c>
      <c r="AJ54" s="112">
        <f t="shared" si="61"/>
        <v>0</v>
      </c>
      <c r="AK54" s="89">
        <v>0</v>
      </c>
      <c r="AL54" s="112">
        <f t="shared" si="62"/>
        <v>0</v>
      </c>
      <c r="AM54" s="89">
        <v>0</v>
      </c>
      <c r="AN54" s="112">
        <f t="shared" si="63"/>
        <v>0</v>
      </c>
      <c r="AO54" s="89">
        <v>0</v>
      </c>
      <c r="AP54" s="112">
        <f t="shared" si="64"/>
        <v>0</v>
      </c>
      <c r="AQ54" s="89">
        <f t="shared" si="2"/>
        <v>0</v>
      </c>
      <c r="AR54" s="113">
        <f t="shared" si="19"/>
        <v>0</v>
      </c>
      <c r="AS54" s="89">
        <v>0</v>
      </c>
      <c r="AT54" s="112">
        <f t="shared" si="65"/>
        <v>0</v>
      </c>
      <c r="AU54" s="89">
        <v>0</v>
      </c>
      <c r="AV54" s="112">
        <f t="shared" si="66"/>
        <v>0</v>
      </c>
      <c r="AW54" s="89">
        <v>0</v>
      </c>
      <c r="AX54" s="112">
        <f t="shared" si="67"/>
        <v>0</v>
      </c>
      <c r="AY54" s="89">
        <v>0</v>
      </c>
      <c r="AZ54" s="112">
        <f t="shared" si="68"/>
        <v>0</v>
      </c>
      <c r="BA54" s="89">
        <v>0</v>
      </c>
      <c r="BB54" s="112">
        <f t="shared" si="69"/>
        <v>0</v>
      </c>
      <c r="BC54" s="89">
        <v>0</v>
      </c>
      <c r="BD54" s="112">
        <f t="shared" si="70"/>
        <v>0</v>
      </c>
      <c r="BE54" s="89">
        <f t="shared" si="3"/>
        <v>0</v>
      </c>
      <c r="BF54" s="113">
        <f t="shared" si="26"/>
        <v>0</v>
      </c>
      <c r="BG54" s="89">
        <v>0</v>
      </c>
      <c r="BH54" s="112">
        <f t="shared" si="71"/>
        <v>0</v>
      </c>
      <c r="BI54" s="89">
        <v>0</v>
      </c>
      <c r="BJ54" s="112">
        <f t="shared" si="72"/>
        <v>0</v>
      </c>
      <c r="BK54" s="89">
        <v>0</v>
      </c>
      <c r="BL54" s="112">
        <f t="shared" si="73"/>
        <v>0</v>
      </c>
      <c r="BM54" s="89">
        <v>0</v>
      </c>
      <c r="BN54" s="112">
        <f t="shared" si="74"/>
        <v>0</v>
      </c>
      <c r="BO54" s="89">
        <v>0</v>
      </c>
      <c r="BP54" s="112">
        <f t="shared" si="75"/>
        <v>0</v>
      </c>
      <c r="BQ54" s="89">
        <v>0</v>
      </c>
      <c r="BR54" s="112">
        <f t="shared" si="76"/>
        <v>0</v>
      </c>
      <c r="BS54" s="89">
        <f t="shared" si="4"/>
        <v>0</v>
      </c>
      <c r="BT54" s="113">
        <f t="shared" si="33"/>
        <v>0</v>
      </c>
      <c r="BU54" s="89">
        <v>0</v>
      </c>
      <c r="BV54" s="112">
        <f t="shared" si="77"/>
        <v>0</v>
      </c>
      <c r="BW54" s="89">
        <v>0</v>
      </c>
      <c r="BX54" s="112">
        <f t="shared" si="78"/>
        <v>0</v>
      </c>
      <c r="BY54" s="89">
        <v>0</v>
      </c>
      <c r="BZ54" s="112">
        <f t="shared" si="79"/>
        <v>0</v>
      </c>
      <c r="CA54" s="89">
        <v>0</v>
      </c>
      <c r="CB54" s="112">
        <f t="shared" si="80"/>
        <v>0</v>
      </c>
      <c r="CC54" s="89">
        <v>0</v>
      </c>
      <c r="CD54" s="112">
        <f t="shared" si="81"/>
        <v>0</v>
      </c>
      <c r="CE54" s="89">
        <v>0</v>
      </c>
      <c r="CF54" s="112">
        <f t="shared" si="82"/>
        <v>0</v>
      </c>
      <c r="CG54" s="89">
        <f t="shared" si="5"/>
        <v>0</v>
      </c>
      <c r="CH54" s="113">
        <f t="shared" si="40"/>
        <v>0</v>
      </c>
      <c r="CI54" s="89">
        <v>0</v>
      </c>
      <c r="CJ54" s="112">
        <f t="shared" si="83"/>
        <v>0</v>
      </c>
      <c r="CK54" s="89">
        <v>0</v>
      </c>
      <c r="CL54" s="112">
        <f t="shared" si="84"/>
        <v>0</v>
      </c>
      <c r="CM54" s="89">
        <v>0</v>
      </c>
      <c r="CN54" s="112">
        <f t="shared" si="85"/>
        <v>0</v>
      </c>
      <c r="CO54" s="89">
        <v>0</v>
      </c>
      <c r="CP54" s="112">
        <f t="shared" si="86"/>
        <v>0</v>
      </c>
      <c r="CQ54" s="89">
        <v>0</v>
      </c>
      <c r="CR54" s="112">
        <f t="shared" si="87"/>
        <v>0</v>
      </c>
      <c r="CS54" s="89">
        <v>0</v>
      </c>
      <c r="CT54" s="112">
        <f t="shared" si="88"/>
        <v>0</v>
      </c>
      <c r="CU54" s="89">
        <f t="shared" si="6"/>
        <v>0</v>
      </c>
      <c r="CV54" s="113">
        <f t="shared" si="47"/>
        <v>0</v>
      </c>
    </row>
    <row r="55" spans="2:100" ht="19.95" customHeight="1">
      <c r="C55" s="88">
        <v>42</v>
      </c>
      <c r="D55" s="1" t="s">
        <v>213</v>
      </c>
      <c r="E55" s="88">
        <f>E5</f>
        <v>35.6</v>
      </c>
      <c r="F55" s="89">
        <v>5.12</v>
      </c>
      <c r="G55" s="89">
        <f t="shared" si="90"/>
        <v>182.27200000000002</v>
      </c>
      <c r="H55" s="90">
        <v>1.5</v>
      </c>
      <c r="I55" s="90">
        <v>1.2</v>
      </c>
      <c r="J55" s="90">
        <v>28</v>
      </c>
      <c r="K55" s="91">
        <f>(H55*I55)*J55</f>
        <v>50.399999999999991</v>
      </c>
      <c r="L55" s="1"/>
      <c r="M55" s="95">
        <f>G55-(K55+K56)</f>
        <v>131.87200000000001</v>
      </c>
      <c r="N55" s="1"/>
      <c r="O55" s="89"/>
      <c r="P55" s="89">
        <f t="shared" si="0"/>
        <v>131.87200000000001</v>
      </c>
      <c r="Q55" s="89">
        <v>0</v>
      </c>
      <c r="R55" s="112">
        <f t="shared" ref="R55:T61" si="91">Q55/$P55</f>
        <v>0</v>
      </c>
      <c r="S55" s="89">
        <v>0</v>
      </c>
      <c r="T55" s="112">
        <f t="shared" si="91"/>
        <v>0</v>
      </c>
      <c r="U55" s="89">
        <v>0</v>
      </c>
      <c r="V55" s="112">
        <f t="shared" si="55"/>
        <v>0</v>
      </c>
      <c r="W55" s="89">
        <v>0</v>
      </c>
      <c r="X55" s="112">
        <f t="shared" si="56"/>
        <v>0</v>
      </c>
      <c r="Y55" s="89">
        <v>0</v>
      </c>
      <c r="Z55" s="112">
        <f t="shared" si="57"/>
        <v>0</v>
      </c>
      <c r="AA55" s="89">
        <v>0</v>
      </c>
      <c r="AB55" s="112">
        <f t="shared" si="58"/>
        <v>0</v>
      </c>
      <c r="AC55" s="89">
        <f t="shared" si="1"/>
        <v>0</v>
      </c>
      <c r="AD55" s="113">
        <f t="shared" si="12"/>
        <v>0</v>
      </c>
      <c r="AE55" s="89">
        <v>0</v>
      </c>
      <c r="AF55" s="112">
        <f t="shared" si="59"/>
        <v>0</v>
      </c>
      <c r="AG55" s="89">
        <v>0</v>
      </c>
      <c r="AH55" s="112">
        <f t="shared" si="60"/>
        <v>0</v>
      </c>
      <c r="AI55" s="89">
        <v>0</v>
      </c>
      <c r="AJ55" s="112">
        <f t="shared" si="61"/>
        <v>0</v>
      </c>
      <c r="AK55" s="89">
        <v>0</v>
      </c>
      <c r="AL55" s="112">
        <f t="shared" si="62"/>
        <v>0</v>
      </c>
      <c r="AM55" s="89">
        <v>0</v>
      </c>
      <c r="AN55" s="112">
        <f t="shared" si="63"/>
        <v>0</v>
      </c>
      <c r="AO55" s="89">
        <v>0</v>
      </c>
      <c r="AP55" s="112">
        <f t="shared" si="64"/>
        <v>0</v>
      </c>
      <c r="AQ55" s="89">
        <f t="shared" si="2"/>
        <v>0</v>
      </c>
      <c r="AR55" s="113">
        <f t="shared" si="19"/>
        <v>0</v>
      </c>
      <c r="AS55" s="89">
        <v>0</v>
      </c>
      <c r="AT55" s="112">
        <f t="shared" si="65"/>
        <v>0</v>
      </c>
      <c r="AU55" s="89">
        <v>0</v>
      </c>
      <c r="AV55" s="112">
        <f t="shared" si="66"/>
        <v>0</v>
      </c>
      <c r="AW55" s="89">
        <v>0</v>
      </c>
      <c r="AX55" s="112">
        <f t="shared" si="67"/>
        <v>0</v>
      </c>
      <c r="AY55" s="89">
        <v>0</v>
      </c>
      <c r="AZ55" s="112">
        <f t="shared" si="68"/>
        <v>0</v>
      </c>
      <c r="BA55" s="89">
        <v>0</v>
      </c>
      <c r="BB55" s="112">
        <f t="shared" si="69"/>
        <v>0</v>
      </c>
      <c r="BC55" s="89">
        <v>0</v>
      </c>
      <c r="BD55" s="112">
        <f t="shared" si="70"/>
        <v>0</v>
      </c>
      <c r="BE55" s="89">
        <f t="shared" si="3"/>
        <v>0</v>
      </c>
      <c r="BF55" s="113">
        <f t="shared" si="26"/>
        <v>0</v>
      </c>
      <c r="BG55" s="89">
        <v>0</v>
      </c>
      <c r="BH55" s="112">
        <f t="shared" si="71"/>
        <v>0</v>
      </c>
      <c r="BI55" s="89">
        <v>0</v>
      </c>
      <c r="BJ55" s="112">
        <f t="shared" si="72"/>
        <v>0</v>
      </c>
      <c r="BK55" s="89">
        <v>0</v>
      </c>
      <c r="BL55" s="112">
        <f t="shared" si="73"/>
        <v>0</v>
      </c>
      <c r="BM55" s="89">
        <v>0</v>
      </c>
      <c r="BN55" s="112">
        <f t="shared" si="74"/>
        <v>0</v>
      </c>
      <c r="BO55" s="89">
        <v>0</v>
      </c>
      <c r="BP55" s="112">
        <f t="shared" si="75"/>
        <v>0</v>
      </c>
      <c r="BQ55" s="89">
        <v>0</v>
      </c>
      <c r="BR55" s="112">
        <f t="shared" si="76"/>
        <v>0</v>
      </c>
      <c r="BS55" s="89">
        <f t="shared" si="4"/>
        <v>0</v>
      </c>
      <c r="BT55" s="113">
        <f t="shared" si="33"/>
        <v>0</v>
      </c>
      <c r="BU55" s="89">
        <v>0</v>
      </c>
      <c r="BV55" s="112">
        <f t="shared" si="77"/>
        <v>0</v>
      </c>
      <c r="BW55" s="89">
        <v>0</v>
      </c>
      <c r="BX55" s="112">
        <f t="shared" si="78"/>
        <v>0</v>
      </c>
      <c r="BY55" s="89">
        <v>0</v>
      </c>
      <c r="BZ55" s="112">
        <f t="shared" si="79"/>
        <v>0</v>
      </c>
      <c r="CA55" s="89">
        <v>0</v>
      </c>
      <c r="CB55" s="112">
        <f t="shared" si="80"/>
        <v>0</v>
      </c>
      <c r="CC55" s="89">
        <v>0</v>
      </c>
      <c r="CD55" s="112">
        <f t="shared" si="81"/>
        <v>0</v>
      </c>
      <c r="CE55" s="89">
        <v>0</v>
      </c>
      <c r="CF55" s="112">
        <f t="shared" si="82"/>
        <v>0</v>
      </c>
      <c r="CG55" s="89">
        <f t="shared" si="5"/>
        <v>0</v>
      </c>
      <c r="CH55" s="113">
        <f t="shared" si="40"/>
        <v>0</v>
      </c>
      <c r="CI55" s="89">
        <v>0</v>
      </c>
      <c r="CJ55" s="112">
        <f t="shared" si="83"/>
        <v>0</v>
      </c>
      <c r="CK55" s="89">
        <v>0</v>
      </c>
      <c r="CL55" s="112">
        <f t="shared" si="84"/>
        <v>0</v>
      </c>
      <c r="CM55" s="89">
        <v>0</v>
      </c>
      <c r="CN55" s="112">
        <f t="shared" si="85"/>
        <v>0</v>
      </c>
      <c r="CO55" s="89">
        <v>0</v>
      </c>
      <c r="CP55" s="112">
        <f t="shared" si="86"/>
        <v>0</v>
      </c>
      <c r="CQ55" s="89">
        <v>0</v>
      </c>
      <c r="CR55" s="112">
        <f t="shared" si="87"/>
        <v>0</v>
      </c>
      <c r="CS55" s="89">
        <v>0</v>
      </c>
      <c r="CT55" s="112">
        <f t="shared" si="88"/>
        <v>0</v>
      </c>
      <c r="CU55" s="89">
        <f t="shared" si="6"/>
        <v>0</v>
      </c>
      <c r="CV55" s="113">
        <f t="shared" si="47"/>
        <v>0</v>
      </c>
    </row>
    <row r="56" spans="2:100" ht="19.95" customHeight="1">
      <c r="C56" s="88">
        <v>43</v>
      </c>
      <c r="D56" s="1" t="s">
        <v>209</v>
      </c>
      <c r="E56" s="88">
        <f>E5</f>
        <v>35.6</v>
      </c>
      <c r="F56" s="89">
        <v>0.7</v>
      </c>
      <c r="G56" s="89">
        <f t="shared" si="90"/>
        <v>24.919999999999998</v>
      </c>
      <c r="H56" s="90"/>
      <c r="I56" s="90"/>
      <c r="J56" s="90"/>
      <c r="K56" s="91"/>
      <c r="L56" s="1"/>
      <c r="M56" s="95">
        <f>G56-K56</f>
        <v>24.919999999999998</v>
      </c>
      <c r="O56" s="89"/>
      <c r="P56" s="89">
        <f t="shared" si="0"/>
        <v>24.919999999999998</v>
      </c>
      <c r="Q56" s="89">
        <v>0</v>
      </c>
      <c r="R56" s="112">
        <f t="shared" si="91"/>
        <v>0</v>
      </c>
      <c r="S56" s="89">
        <v>0</v>
      </c>
      <c r="T56" s="112">
        <f t="shared" si="91"/>
        <v>0</v>
      </c>
      <c r="U56" s="89">
        <v>0</v>
      </c>
      <c r="V56" s="112">
        <f t="shared" si="55"/>
        <v>0</v>
      </c>
      <c r="W56" s="89">
        <v>0</v>
      </c>
      <c r="X56" s="112">
        <f t="shared" si="56"/>
        <v>0</v>
      </c>
      <c r="Y56" s="89">
        <v>0</v>
      </c>
      <c r="Z56" s="112">
        <f t="shared" si="57"/>
        <v>0</v>
      </c>
      <c r="AA56" s="89">
        <v>0</v>
      </c>
      <c r="AB56" s="112">
        <f t="shared" si="58"/>
        <v>0</v>
      </c>
      <c r="AC56" s="89">
        <f t="shared" si="1"/>
        <v>0</v>
      </c>
      <c r="AD56" s="113">
        <f t="shared" si="12"/>
        <v>0</v>
      </c>
      <c r="AE56" s="89">
        <v>0</v>
      </c>
      <c r="AF56" s="112">
        <f t="shared" si="59"/>
        <v>0</v>
      </c>
      <c r="AG56" s="89">
        <v>0</v>
      </c>
      <c r="AH56" s="112">
        <f t="shared" si="60"/>
        <v>0</v>
      </c>
      <c r="AI56" s="89">
        <v>0</v>
      </c>
      <c r="AJ56" s="112">
        <f t="shared" si="61"/>
        <v>0</v>
      </c>
      <c r="AK56" s="89">
        <v>0</v>
      </c>
      <c r="AL56" s="112">
        <f t="shared" si="62"/>
        <v>0</v>
      </c>
      <c r="AM56" s="89">
        <v>0</v>
      </c>
      <c r="AN56" s="112">
        <f t="shared" si="63"/>
        <v>0</v>
      </c>
      <c r="AO56" s="89">
        <v>0</v>
      </c>
      <c r="AP56" s="112">
        <f t="shared" si="64"/>
        <v>0</v>
      </c>
      <c r="AQ56" s="89">
        <f t="shared" si="2"/>
        <v>0</v>
      </c>
      <c r="AR56" s="113">
        <f t="shared" si="19"/>
        <v>0</v>
      </c>
      <c r="AS56" s="89">
        <v>0</v>
      </c>
      <c r="AT56" s="112">
        <f t="shared" si="65"/>
        <v>0</v>
      </c>
      <c r="AU56" s="89">
        <v>0</v>
      </c>
      <c r="AV56" s="112">
        <f t="shared" si="66"/>
        <v>0</v>
      </c>
      <c r="AW56" s="89">
        <v>0</v>
      </c>
      <c r="AX56" s="112">
        <f t="shared" si="67"/>
        <v>0</v>
      </c>
      <c r="AY56" s="89">
        <v>0</v>
      </c>
      <c r="AZ56" s="112">
        <f t="shared" si="68"/>
        <v>0</v>
      </c>
      <c r="BA56" s="89">
        <v>0</v>
      </c>
      <c r="BB56" s="112">
        <f t="shared" si="69"/>
        <v>0</v>
      </c>
      <c r="BC56" s="89">
        <v>0</v>
      </c>
      <c r="BD56" s="112">
        <f t="shared" si="70"/>
        <v>0</v>
      </c>
      <c r="BE56" s="89">
        <f t="shared" si="3"/>
        <v>0</v>
      </c>
      <c r="BF56" s="113">
        <f t="shared" si="26"/>
        <v>0</v>
      </c>
      <c r="BG56" s="89">
        <v>0</v>
      </c>
      <c r="BH56" s="112">
        <f t="shared" si="71"/>
        <v>0</v>
      </c>
      <c r="BI56" s="89">
        <v>0</v>
      </c>
      <c r="BJ56" s="112">
        <f t="shared" si="72"/>
        <v>0</v>
      </c>
      <c r="BK56" s="89">
        <v>0</v>
      </c>
      <c r="BL56" s="112">
        <f t="shared" si="73"/>
        <v>0</v>
      </c>
      <c r="BM56" s="89">
        <v>0</v>
      </c>
      <c r="BN56" s="112">
        <f t="shared" si="74"/>
        <v>0</v>
      </c>
      <c r="BO56" s="89">
        <v>0</v>
      </c>
      <c r="BP56" s="112">
        <f t="shared" si="75"/>
        <v>0</v>
      </c>
      <c r="BQ56" s="89">
        <v>0</v>
      </c>
      <c r="BR56" s="112">
        <f t="shared" si="76"/>
        <v>0</v>
      </c>
      <c r="BS56" s="89">
        <f t="shared" si="4"/>
        <v>0</v>
      </c>
      <c r="BT56" s="113">
        <f t="shared" si="33"/>
        <v>0</v>
      </c>
      <c r="BU56" s="89">
        <v>0</v>
      </c>
      <c r="BV56" s="112">
        <f t="shared" si="77"/>
        <v>0</v>
      </c>
      <c r="BW56" s="89">
        <v>0</v>
      </c>
      <c r="BX56" s="112">
        <f t="shared" si="78"/>
        <v>0</v>
      </c>
      <c r="BY56" s="89">
        <v>0</v>
      </c>
      <c r="BZ56" s="112">
        <f t="shared" si="79"/>
        <v>0</v>
      </c>
      <c r="CA56" s="89">
        <v>0</v>
      </c>
      <c r="CB56" s="112">
        <f t="shared" si="80"/>
        <v>0</v>
      </c>
      <c r="CC56" s="89">
        <v>0</v>
      </c>
      <c r="CD56" s="112">
        <f t="shared" si="81"/>
        <v>0</v>
      </c>
      <c r="CE56" s="89">
        <v>0</v>
      </c>
      <c r="CF56" s="112">
        <f t="shared" si="82"/>
        <v>0</v>
      </c>
      <c r="CG56" s="89">
        <f t="shared" si="5"/>
        <v>0</v>
      </c>
      <c r="CH56" s="113">
        <f t="shared" si="40"/>
        <v>0</v>
      </c>
      <c r="CI56" s="89">
        <v>0</v>
      </c>
      <c r="CJ56" s="112">
        <f t="shared" si="83"/>
        <v>0</v>
      </c>
      <c r="CK56" s="89">
        <v>0</v>
      </c>
      <c r="CL56" s="112">
        <f t="shared" si="84"/>
        <v>0</v>
      </c>
      <c r="CM56" s="89">
        <v>0</v>
      </c>
      <c r="CN56" s="112">
        <f t="shared" si="85"/>
        <v>0</v>
      </c>
      <c r="CO56" s="89">
        <v>0</v>
      </c>
      <c r="CP56" s="112">
        <f t="shared" si="86"/>
        <v>0</v>
      </c>
      <c r="CQ56" s="89">
        <v>0</v>
      </c>
      <c r="CR56" s="112">
        <f t="shared" si="87"/>
        <v>0</v>
      </c>
      <c r="CS56" s="89">
        <v>0</v>
      </c>
      <c r="CT56" s="112">
        <f t="shared" si="88"/>
        <v>0</v>
      </c>
      <c r="CU56" s="89">
        <f t="shared" si="6"/>
        <v>0</v>
      </c>
      <c r="CV56" s="113">
        <f t="shared" si="47"/>
        <v>0</v>
      </c>
    </row>
    <row r="57" spans="2:100" ht="19.95" customHeight="1">
      <c r="C57" s="88">
        <v>44</v>
      </c>
      <c r="D57" s="1" t="s">
        <v>121</v>
      </c>
      <c r="E57" s="88">
        <f>E5</f>
        <v>35.6</v>
      </c>
      <c r="F57" s="89">
        <v>1.45</v>
      </c>
      <c r="G57" s="89">
        <f t="shared" si="90"/>
        <v>51.62</v>
      </c>
      <c r="H57" s="90"/>
      <c r="I57" s="90"/>
      <c r="J57" s="90"/>
      <c r="K57" s="91"/>
      <c r="L57" s="1"/>
      <c r="N57" s="95">
        <f>G57-K57</f>
        <v>51.62</v>
      </c>
      <c r="O57" s="89"/>
      <c r="P57" s="89">
        <f t="shared" si="0"/>
        <v>51.62</v>
      </c>
      <c r="Q57" s="89">
        <v>0</v>
      </c>
      <c r="R57" s="112">
        <f t="shared" si="91"/>
        <v>0</v>
      </c>
      <c r="S57" s="89">
        <v>0</v>
      </c>
      <c r="T57" s="112">
        <f t="shared" si="91"/>
        <v>0</v>
      </c>
      <c r="U57" s="89">
        <v>0</v>
      </c>
      <c r="V57" s="112">
        <f t="shared" si="55"/>
        <v>0</v>
      </c>
      <c r="W57" s="89">
        <v>0</v>
      </c>
      <c r="X57" s="112">
        <f t="shared" si="56"/>
        <v>0</v>
      </c>
      <c r="Y57" s="89">
        <v>0</v>
      </c>
      <c r="Z57" s="112">
        <f t="shared" si="57"/>
        <v>0</v>
      </c>
      <c r="AA57" s="89">
        <v>0</v>
      </c>
      <c r="AB57" s="112">
        <f t="shared" ref="AB57:AB61" si="92">AA57/$P57</f>
        <v>0</v>
      </c>
      <c r="AC57" s="89">
        <f t="shared" si="1"/>
        <v>0</v>
      </c>
      <c r="AD57" s="113">
        <f t="shared" si="12"/>
        <v>0</v>
      </c>
      <c r="AE57" s="89">
        <v>0</v>
      </c>
      <c r="AF57" s="112">
        <f t="shared" si="59"/>
        <v>0</v>
      </c>
      <c r="AG57" s="89">
        <v>0</v>
      </c>
      <c r="AH57" s="112">
        <f t="shared" si="60"/>
        <v>0</v>
      </c>
      <c r="AI57" s="89">
        <v>0</v>
      </c>
      <c r="AJ57" s="112">
        <f t="shared" si="61"/>
        <v>0</v>
      </c>
      <c r="AK57" s="89">
        <v>0</v>
      </c>
      <c r="AL57" s="112">
        <f t="shared" si="62"/>
        <v>0</v>
      </c>
      <c r="AM57" s="89">
        <v>0</v>
      </c>
      <c r="AN57" s="112">
        <f t="shared" si="63"/>
        <v>0</v>
      </c>
      <c r="AO57" s="89">
        <v>0</v>
      </c>
      <c r="AP57" s="112">
        <f t="shared" si="64"/>
        <v>0</v>
      </c>
      <c r="AQ57" s="89">
        <f t="shared" si="2"/>
        <v>0</v>
      </c>
      <c r="AR57" s="113">
        <f t="shared" si="19"/>
        <v>0</v>
      </c>
      <c r="AS57" s="89">
        <v>0</v>
      </c>
      <c r="AT57" s="112">
        <f t="shared" si="65"/>
        <v>0</v>
      </c>
      <c r="AU57" s="89">
        <v>0</v>
      </c>
      <c r="AV57" s="112">
        <f t="shared" si="66"/>
        <v>0</v>
      </c>
      <c r="AW57" s="89">
        <v>0</v>
      </c>
      <c r="AX57" s="112">
        <f t="shared" si="67"/>
        <v>0</v>
      </c>
      <c r="AY57" s="89">
        <v>0</v>
      </c>
      <c r="AZ57" s="112">
        <f t="shared" si="68"/>
        <v>0</v>
      </c>
      <c r="BA57" s="89">
        <v>0</v>
      </c>
      <c r="BB57" s="112">
        <f t="shared" si="69"/>
        <v>0</v>
      </c>
      <c r="BC57" s="89">
        <v>0</v>
      </c>
      <c r="BD57" s="112">
        <f t="shared" si="70"/>
        <v>0</v>
      </c>
      <c r="BE57" s="89">
        <f t="shared" si="3"/>
        <v>0</v>
      </c>
      <c r="BF57" s="113">
        <f t="shared" si="26"/>
        <v>0</v>
      </c>
      <c r="BG57" s="89">
        <v>0</v>
      </c>
      <c r="BH57" s="112">
        <f t="shared" si="71"/>
        <v>0</v>
      </c>
      <c r="BI57" s="89">
        <v>0</v>
      </c>
      <c r="BJ57" s="112">
        <f t="shared" si="72"/>
        <v>0</v>
      </c>
      <c r="BK57" s="89">
        <v>0</v>
      </c>
      <c r="BL57" s="112">
        <f t="shared" si="73"/>
        <v>0</v>
      </c>
      <c r="BM57" s="89">
        <v>0</v>
      </c>
      <c r="BN57" s="112">
        <f t="shared" si="74"/>
        <v>0</v>
      </c>
      <c r="BO57" s="89">
        <v>0</v>
      </c>
      <c r="BP57" s="112">
        <f t="shared" si="75"/>
        <v>0</v>
      </c>
      <c r="BQ57" s="89">
        <v>0</v>
      </c>
      <c r="BR57" s="112">
        <f t="shared" si="76"/>
        <v>0</v>
      </c>
      <c r="BS57" s="89">
        <f t="shared" si="4"/>
        <v>0</v>
      </c>
      <c r="BT57" s="113">
        <f t="shared" si="33"/>
        <v>0</v>
      </c>
      <c r="BU57" s="89">
        <v>0</v>
      </c>
      <c r="BV57" s="112">
        <f t="shared" si="77"/>
        <v>0</v>
      </c>
      <c r="BW57" s="89">
        <v>0</v>
      </c>
      <c r="BX57" s="112">
        <f t="shared" si="78"/>
        <v>0</v>
      </c>
      <c r="BY57" s="89">
        <v>0</v>
      </c>
      <c r="BZ57" s="112">
        <f t="shared" si="79"/>
        <v>0</v>
      </c>
      <c r="CA57" s="89">
        <v>0</v>
      </c>
      <c r="CB57" s="112">
        <f t="shared" si="80"/>
        <v>0</v>
      </c>
      <c r="CC57" s="89">
        <v>0</v>
      </c>
      <c r="CD57" s="112">
        <f t="shared" si="81"/>
        <v>0</v>
      </c>
      <c r="CE57" s="89">
        <v>0</v>
      </c>
      <c r="CF57" s="112">
        <f t="shared" si="82"/>
        <v>0</v>
      </c>
      <c r="CG57" s="89">
        <f t="shared" si="5"/>
        <v>0</v>
      </c>
      <c r="CH57" s="113">
        <f t="shared" si="40"/>
        <v>0</v>
      </c>
      <c r="CI57" s="89">
        <v>0</v>
      </c>
      <c r="CJ57" s="112">
        <f t="shared" si="83"/>
        <v>0</v>
      </c>
      <c r="CK57" s="89">
        <v>0</v>
      </c>
      <c r="CL57" s="112">
        <f t="shared" si="84"/>
        <v>0</v>
      </c>
      <c r="CM57" s="89">
        <v>0</v>
      </c>
      <c r="CN57" s="112">
        <f t="shared" si="85"/>
        <v>0</v>
      </c>
      <c r="CO57" s="89">
        <v>0</v>
      </c>
      <c r="CP57" s="112">
        <f t="shared" si="86"/>
        <v>0</v>
      </c>
      <c r="CQ57" s="89">
        <v>0</v>
      </c>
      <c r="CR57" s="112">
        <f t="shared" si="87"/>
        <v>0</v>
      </c>
      <c r="CS57" s="89">
        <v>0</v>
      </c>
      <c r="CT57" s="112">
        <f t="shared" si="88"/>
        <v>0</v>
      </c>
      <c r="CU57" s="89">
        <f t="shared" si="6"/>
        <v>0</v>
      </c>
      <c r="CV57" s="113">
        <f t="shared" si="47"/>
        <v>0</v>
      </c>
    </row>
    <row r="58" spans="2:100" ht="19.95" customHeight="1">
      <c r="C58" s="88">
        <v>45</v>
      </c>
      <c r="D58" s="1" t="s">
        <v>211</v>
      </c>
      <c r="E58" s="88">
        <f>E5</f>
        <v>35.6</v>
      </c>
      <c r="F58" s="89">
        <v>1.2</v>
      </c>
      <c r="G58" s="89">
        <f t="shared" si="90"/>
        <v>42.72</v>
      </c>
      <c r="H58" s="90">
        <v>1</v>
      </c>
      <c r="I58" s="90">
        <v>0.75</v>
      </c>
      <c r="J58" s="90">
        <v>14</v>
      </c>
      <c r="K58" s="91">
        <f>(H58*I58)*J58</f>
        <v>10.5</v>
      </c>
      <c r="L58" s="1"/>
      <c r="M58" s="1"/>
      <c r="N58" s="95">
        <f>G58-(K58+K62)</f>
        <v>32.22</v>
      </c>
      <c r="O58" s="89"/>
      <c r="P58" s="89">
        <f t="shared" si="0"/>
        <v>32.22</v>
      </c>
      <c r="Q58" s="89">
        <v>0</v>
      </c>
      <c r="R58" s="112">
        <f t="shared" si="91"/>
        <v>0</v>
      </c>
      <c r="S58" s="89">
        <v>0</v>
      </c>
      <c r="T58" s="112">
        <f t="shared" si="91"/>
        <v>0</v>
      </c>
      <c r="U58" s="89">
        <v>0</v>
      </c>
      <c r="V58" s="112">
        <f t="shared" si="55"/>
        <v>0</v>
      </c>
      <c r="W58" s="89">
        <v>0</v>
      </c>
      <c r="X58" s="112">
        <f t="shared" si="56"/>
        <v>0</v>
      </c>
      <c r="Y58" s="89">
        <v>0</v>
      </c>
      <c r="Z58" s="112">
        <f t="shared" si="57"/>
        <v>0</v>
      </c>
      <c r="AA58" s="89">
        <v>0</v>
      </c>
      <c r="AB58" s="112">
        <f t="shared" si="92"/>
        <v>0</v>
      </c>
      <c r="AC58" s="89">
        <f t="shared" si="1"/>
        <v>0</v>
      </c>
      <c r="AD58" s="113">
        <f t="shared" si="12"/>
        <v>0</v>
      </c>
      <c r="AE58" s="89">
        <v>0</v>
      </c>
      <c r="AF58" s="112">
        <f t="shared" si="59"/>
        <v>0</v>
      </c>
      <c r="AG58" s="89">
        <v>0</v>
      </c>
      <c r="AH58" s="112">
        <f t="shared" si="60"/>
        <v>0</v>
      </c>
      <c r="AI58" s="89">
        <v>0</v>
      </c>
      <c r="AJ58" s="112">
        <f t="shared" si="61"/>
        <v>0</v>
      </c>
      <c r="AK58" s="89">
        <v>0</v>
      </c>
      <c r="AL58" s="112">
        <f t="shared" si="62"/>
        <v>0</v>
      </c>
      <c r="AM58" s="89">
        <v>0</v>
      </c>
      <c r="AN58" s="112">
        <f t="shared" si="63"/>
        <v>0</v>
      </c>
      <c r="AO58" s="89">
        <v>0</v>
      </c>
      <c r="AP58" s="112">
        <f t="shared" si="64"/>
        <v>0</v>
      </c>
      <c r="AQ58" s="89">
        <f t="shared" si="2"/>
        <v>0</v>
      </c>
      <c r="AR58" s="113">
        <f t="shared" si="19"/>
        <v>0</v>
      </c>
      <c r="AS58" s="89">
        <v>0</v>
      </c>
      <c r="AT58" s="112">
        <f t="shared" si="65"/>
        <v>0</v>
      </c>
      <c r="AU58" s="89">
        <v>0</v>
      </c>
      <c r="AV58" s="112">
        <f t="shared" si="66"/>
        <v>0</v>
      </c>
      <c r="AW58" s="89">
        <v>0</v>
      </c>
      <c r="AX58" s="112">
        <f t="shared" si="67"/>
        <v>0</v>
      </c>
      <c r="AY58" s="89">
        <v>0</v>
      </c>
      <c r="AZ58" s="112">
        <f t="shared" si="68"/>
        <v>0</v>
      </c>
      <c r="BA58" s="89">
        <v>0</v>
      </c>
      <c r="BB58" s="112">
        <f t="shared" si="69"/>
        <v>0</v>
      </c>
      <c r="BC58" s="89">
        <v>0</v>
      </c>
      <c r="BD58" s="112">
        <f t="shared" si="70"/>
        <v>0</v>
      </c>
      <c r="BE58" s="89">
        <f t="shared" si="3"/>
        <v>0</v>
      </c>
      <c r="BF58" s="113">
        <f t="shared" si="26"/>
        <v>0</v>
      </c>
      <c r="BG58" s="89">
        <v>0</v>
      </c>
      <c r="BH58" s="112">
        <f t="shared" si="71"/>
        <v>0</v>
      </c>
      <c r="BI58" s="89">
        <v>0</v>
      </c>
      <c r="BJ58" s="112">
        <f t="shared" si="72"/>
        <v>0</v>
      </c>
      <c r="BK58" s="89">
        <v>0</v>
      </c>
      <c r="BL58" s="112">
        <f t="shared" si="73"/>
        <v>0</v>
      </c>
      <c r="BM58" s="89">
        <v>0</v>
      </c>
      <c r="BN58" s="112">
        <f t="shared" si="74"/>
        <v>0</v>
      </c>
      <c r="BO58" s="89">
        <v>0</v>
      </c>
      <c r="BP58" s="112">
        <f t="shared" si="75"/>
        <v>0</v>
      </c>
      <c r="BQ58" s="89">
        <v>0</v>
      </c>
      <c r="BR58" s="112">
        <f t="shared" si="76"/>
        <v>0</v>
      </c>
      <c r="BS58" s="89">
        <f t="shared" si="4"/>
        <v>0</v>
      </c>
      <c r="BT58" s="113">
        <f t="shared" si="33"/>
        <v>0</v>
      </c>
      <c r="BU58" s="89">
        <v>0</v>
      </c>
      <c r="BV58" s="112">
        <f t="shared" si="77"/>
        <v>0</v>
      </c>
      <c r="BW58" s="89">
        <v>0</v>
      </c>
      <c r="BX58" s="112">
        <f t="shared" si="78"/>
        <v>0</v>
      </c>
      <c r="BY58" s="89">
        <v>0</v>
      </c>
      <c r="BZ58" s="112">
        <f t="shared" si="79"/>
        <v>0</v>
      </c>
      <c r="CA58" s="89">
        <v>0</v>
      </c>
      <c r="CB58" s="112">
        <f t="shared" si="80"/>
        <v>0</v>
      </c>
      <c r="CC58" s="89">
        <v>0</v>
      </c>
      <c r="CD58" s="112">
        <f t="shared" si="81"/>
        <v>0</v>
      </c>
      <c r="CE58" s="89">
        <v>0</v>
      </c>
      <c r="CF58" s="112">
        <f t="shared" si="82"/>
        <v>0</v>
      </c>
      <c r="CG58" s="89">
        <f t="shared" si="5"/>
        <v>0</v>
      </c>
      <c r="CH58" s="113">
        <f t="shared" si="40"/>
        <v>0</v>
      </c>
      <c r="CI58" s="89">
        <v>0</v>
      </c>
      <c r="CJ58" s="112">
        <f t="shared" si="83"/>
        <v>0</v>
      </c>
      <c r="CK58" s="89">
        <v>0</v>
      </c>
      <c r="CL58" s="112">
        <f t="shared" si="84"/>
        <v>0</v>
      </c>
      <c r="CM58" s="89">
        <v>0</v>
      </c>
      <c r="CN58" s="112">
        <f t="shared" si="85"/>
        <v>0</v>
      </c>
      <c r="CO58" s="89">
        <v>0</v>
      </c>
      <c r="CP58" s="112">
        <f t="shared" si="86"/>
        <v>0</v>
      </c>
      <c r="CQ58" s="89">
        <v>0</v>
      </c>
      <c r="CR58" s="112">
        <f t="shared" si="87"/>
        <v>0</v>
      </c>
      <c r="CS58" s="89">
        <v>0</v>
      </c>
      <c r="CT58" s="112">
        <f t="shared" si="88"/>
        <v>0</v>
      </c>
      <c r="CU58" s="89">
        <f t="shared" si="6"/>
        <v>0</v>
      </c>
      <c r="CV58" s="113">
        <f t="shared" si="47"/>
        <v>0</v>
      </c>
    </row>
    <row r="59" spans="2:100" ht="19.95" customHeight="1">
      <c r="C59" s="88">
        <v>46</v>
      </c>
      <c r="D59" s="1" t="s">
        <v>200</v>
      </c>
      <c r="E59" s="88">
        <v>0.3</v>
      </c>
      <c r="F59" s="88">
        <v>2.52</v>
      </c>
      <c r="G59" s="89">
        <f>E59*F59*14</f>
        <v>10.584</v>
      </c>
      <c r="H59" s="90"/>
      <c r="I59" s="90"/>
      <c r="J59" s="90"/>
      <c r="K59" s="91"/>
      <c r="M59" s="89"/>
      <c r="N59" s="95">
        <f>G59</f>
        <v>10.584</v>
      </c>
      <c r="O59" s="89"/>
      <c r="P59" s="89">
        <f t="shared" si="0"/>
        <v>10.584</v>
      </c>
      <c r="Q59" s="89">
        <v>0</v>
      </c>
      <c r="R59" s="112">
        <f t="shared" si="91"/>
        <v>0</v>
      </c>
      <c r="S59" s="89">
        <v>0</v>
      </c>
      <c r="T59" s="112">
        <f t="shared" si="91"/>
        <v>0</v>
      </c>
      <c r="U59" s="89">
        <v>0</v>
      </c>
      <c r="V59" s="112">
        <f t="shared" si="55"/>
        <v>0</v>
      </c>
      <c r="W59" s="89">
        <v>0</v>
      </c>
      <c r="X59" s="112">
        <f t="shared" si="56"/>
        <v>0</v>
      </c>
      <c r="Y59" s="89">
        <v>0</v>
      </c>
      <c r="Z59" s="112">
        <f t="shared" si="57"/>
        <v>0</v>
      </c>
      <c r="AA59" s="89">
        <v>0</v>
      </c>
      <c r="AB59" s="112">
        <f t="shared" si="92"/>
        <v>0</v>
      </c>
      <c r="AC59" s="89">
        <f t="shared" si="1"/>
        <v>0</v>
      </c>
      <c r="AD59" s="113">
        <f t="shared" si="12"/>
        <v>0</v>
      </c>
      <c r="AE59" s="89">
        <v>0</v>
      </c>
      <c r="AF59" s="112">
        <f t="shared" si="59"/>
        <v>0</v>
      </c>
      <c r="AG59" s="89">
        <v>0</v>
      </c>
      <c r="AH59" s="112">
        <f t="shared" si="60"/>
        <v>0</v>
      </c>
      <c r="AI59" s="89">
        <v>0</v>
      </c>
      <c r="AJ59" s="112">
        <f t="shared" si="61"/>
        <v>0</v>
      </c>
      <c r="AK59" s="89">
        <v>0</v>
      </c>
      <c r="AL59" s="112">
        <f t="shared" si="62"/>
        <v>0</v>
      </c>
      <c r="AM59" s="89">
        <v>0</v>
      </c>
      <c r="AN59" s="112">
        <f t="shared" si="63"/>
        <v>0</v>
      </c>
      <c r="AO59" s="89">
        <v>0</v>
      </c>
      <c r="AP59" s="112">
        <f t="shared" si="64"/>
        <v>0</v>
      </c>
      <c r="AQ59" s="89">
        <f t="shared" si="2"/>
        <v>0</v>
      </c>
      <c r="AR59" s="113">
        <f t="shared" si="19"/>
        <v>0</v>
      </c>
      <c r="AS59" s="89">
        <v>0</v>
      </c>
      <c r="AT59" s="112">
        <f t="shared" si="65"/>
        <v>0</v>
      </c>
      <c r="AU59" s="89">
        <v>0</v>
      </c>
      <c r="AV59" s="112">
        <f t="shared" si="66"/>
        <v>0</v>
      </c>
      <c r="AW59" s="89">
        <v>0</v>
      </c>
      <c r="AX59" s="112">
        <f t="shared" si="67"/>
        <v>0</v>
      </c>
      <c r="AY59" s="89">
        <v>0</v>
      </c>
      <c r="AZ59" s="112">
        <f t="shared" si="68"/>
        <v>0</v>
      </c>
      <c r="BA59" s="89">
        <v>0</v>
      </c>
      <c r="BB59" s="112">
        <f t="shared" si="69"/>
        <v>0</v>
      </c>
      <c r="BC59" s="89">
        <v>0</v>
      </c>
      <c r="BD59" s="112">
        <f t="shared" si="70"/>
        <v>0</v>
      </c>
      <c r="BE59" s="89">
        <f t="shared" si="3"/>
        <v>0</v>
      </c>
      <c r="BF59" s="113">
        <f t="shared" si="26"/>
        <v>0</v>
      </c>
      <c r="BG59" s="89">
        <v>0</v>
      </c>
      <c r="BH59" s="112">
        <f t="shared" si="71"/>
        <v>0</v>
      </c>
      <c r="BI59" s="89">
        <v>0</v>
      </c>
      <c r="BJ59" s="112">
        <f t="shared" si="72"/>
        <v>0</v>
      </c>
      <c r="BK59" s="89">
        <v>0</v>
      </c>
      <c r="BL59" s="112">
        <f t="shared" si="73"/>
        <v>0</v>
      </c>
      <c r="BM59" s="89">
        <v>0</v>
      </c>
      <c r="BN59" s="112">
        <f t="shared" si="74"/>
        <v>0</v>
      </c>
      <c r="BO59" s="89">
        <v>0</v>
      </c>
      <c r="BP59" s="112">
        <f t="shared" si="75"/>
        <v>0</v>
      </c>
      <c r="BQ59" s="89">
        <v>0</v>
      </c>
      <c r="BR59" s="112">
        <f t="shared" si="76"/>
        <v>0</v>
      </c>
      <c r="BS59" s="89">
        <f t="shared" si="4"/>
        <v>0</v>
      </c>
      <c r="BT59" s="113">
        <f t="shared" si="33"/>
        <v>0</v>
      </c>
      <c r="BU59" s="89">
        <v>0</v>
      </c>
      <c r="BV59" s="112">
        <f t="shared" si="77"/>
        <v>0</v>
      </c>
      <c r="BW59" s="89">
        <v>0</v>
      </c>
      <c r="BX59" s="112">
        <f t="shared" si="78"/>
        <v>0</v>
      </c>
      <c r="BY59" s="89">
        <v>0</v>
      </c>
      <c r="BZ59" s="112">
        <f t="shared" si="79"/>
        <v>0</v>
      </c>
      <c r="CA59" s="89">
        <v>0</v>
      </c>
      <c r="CB59" s="112">
        <f t="shared" si="80"/>
        <v>0</v>
      </c>
      <c r="CC59" s="89">
        <v>0</v>
      </c>
      <c r="CD59" s="112">
        <f t="shared" si="81"/>
        <v>0</v>
      </c>
      <c r="CE59" s="89">
        <v>0</v>
      </c>
      <c r="CF59" s="112">
        <f t="shared" si="82"/>
        <v>0</v>
      </c>
      <c r="CG59" s="89">
        <f t="shared" si="5"/>
        <v>0</v>
      </c>
      <c r="CH59" s="113">
        <f t="shared" si="40"/>
        <v>0</v>
      </c>
      <c r="CI59" s="89">
        <v>0</v>
      </c>
      <c r="CJ59" s="112">
        <f t="shared" si="83"/>
        <v>0</v>
      </c>
      <c r="CK59" s="89">
        <v>0</v>
      </c>
      <c r="CL59" s="112">
        <f t="shared" si="84"/>
        <v>0</v>
      </c>
      <c r="CM59" s="89">
        <v>0</v>
      </c>
      <c r="CN59" s="112">
        <f t="shared" si="85"/>
        <v>0</v>
      </c>
      <c r="CO59" s="89">
        <v>0</v>
      </c>
      <c r="CP59" s="112">
        <f t="shared" si="86"/>
        <v>0</v>
      </c>
      <c r="CQ59" s="89">
        <v>0</v>
      </c>
      <c r="CR59" s="112">
        <f t="shared" si="87"/>
        <v>0</v>
      </c>
      <c r="CS59" s="89">
        <v>0</v>
      </c>
      <c r="CT59" s="112">
        <f t="shared" si="88"/>
        <v>0</v>
      </c>
      <c r="CU59" s="89">
        <f t="shared" si="6"/>
        <v>0</v>
      </c>
      <c r="CV59" s="113">
        <f t="shared" si="47"/>
        <v>0</v>
      </c>
    </row>
    <row r="60" spans="2:100" ht="19.95" customHeight="1">
      <c r="C60" s="88" t="s">
        <v>226</v>
      </c>
      <c r="D60" s="1" t="s">
        <v>202</v>
      </c>
      <c r="E60" s="88">
        <v>0.6</v>
      </c>
      <c r="F60" s="88">
        <v>2.52</v>
      </c>
      <c r="G60" s="89">
        <f>E60*F60*14</f>
        <v>21.167999999999999</v>
      </c>
      <c r="H60" s="90"/>
      <c r="I60" s="90"/>
      <c r="J60" s="90"/>
      <c r="K60" s="91"/>
      <c r="L60" s="89"/>
      <c r="O60" s="95">
        <f>G60</f>
        <v>21.167999999999999</v>
      </c>
      <c r="P60" s="89">
        <f t="shared" si="0"/>
        <v>21.167999999999999</v>
      </c>
      <c r="Q60" s="89">
        <v>0</v>
      </c>
      <c r="R60" s="112">
        <f t="shared" si="91"/>
        <v>0</v>
      </c>
      <c r="S60" s="89">
        <v>0</v>
      </c>
      <c r="T60" s="112">
        <f t="shared" si="91"/>
        <v>0</v>
      </c>
      <c r="U60" s="89">
        <v>0</v>
      </c>
      <c r="V60" s="112">
        <f t="shared" si="55"/>
        <v>0</v>
      </c>
      <c r="W60" s="89">
        <v>0</v>
      </c>
      <c r="X60" s="112">
        <f t="shared" si="56"/>
        <v>0</v>
      </c>
      <c r="Y60" s="89">
        <v>0</v>
      </c>
      <c r="Z60" s="112">
        <f t="shared" si="57"/>
        <v>0</v>
      </c>
      <c r="AA60" s="89">
        <v>0</v>
      </c>
      <c r="AB60" s="112">
        <f t="shared" si="92"/>
        <v>0</v>
      </c>
      <c r="AC60" s="89">
        <f t="shared" si="1"/>
        <v>0</v>
      </c>
      <c r="AD60" s="113">
        <f t="shared" si="12"/>
        <v>0</v>
      </c>
      <c r="AE60" s="89">
        <v>0</v>
      </c>
      <c r="AF60" s="112">
        <f t="shared" si="59"/>
        <v>0</v>
      </c>
      <c r="AG60" s="89">
        <v>0</v>
      </c>
      <c r="AH60" s="112">
        <f t="shared" si="60"/>
        <v>0</v>
      </c>
      <c r="AI60" s="89">
        <v>0</v>
      </c>
      <c r="AJ60" s="112">
        <f t="shared" si="61"/>
        <v>0</v>
      </c>
      <c r="AK60" s="89">
        <v>0</v>
      </c>
      <c r="AL60" s="112">
        <f t="shared" si="62"/>
        <v>0</v>
      </c>
      <c r="AM60" s="89">
        <v>0</v>
      </c>
      <c r="AN60" s="112">
        <f t="shared" si="63"/>
        <v>0</v>
      </c>
      <c r="AO60" s="89">
        <v>0</v>
      </c>
      <c r="AP60" s="112">
        <f t="shared" si="64"/>
        <v>0</v>
      </c>
      <c r="AQ60" s="89">
        <f t="shared" si="2"/>
        <v>0</v>
      </c>
      <c r="AR60" s="113">
        <f t="shared" si="19"/>
        <v>0</v>
      </c>
      <c r="AS60" s="89">
        <v>0</v>
      </c>
      <c r="AT60" s="112">
        <f t="shared" si="65"/>
        <v>0</v>
      </c>
      <c r="AU60" s="89">
        <v>0</v>
      </c>
      <c r="AV60" s="112">
        <f t="shared" si="66"/>
        <v>0</v>
      </c>
      <c r="AW60" s="89">
        <v>0</v>
      </c>
      <c r="AX60" s="112">
        <f t="shared" si="67"/>
        <v>0</v>
      </c>
      <c r="AY60" s="89">
        <v>0</v>
      </c>
      <c r="AZ60" s="112">
        <f t="shared" si="68"/>
        <v>0</v>
      </c>
      <c r="BA60" s="89">
        <v>0</v>
      </c>
      <c r="BB60" s="112">
        <f t="shared" si="69"/>
        <v>0</v>
      </c>
      <c r="BC60" s="89">
        <v>0</v>
      </c>
      <c r="BD60" s="112">
        <f t="shared" si="70"/>
        <v>0</v>
      </c>
      <c r="BE60" s="89">
        <f t="shared" si="3"/>
        <v>0</v>
      </c>
      <c r="BF60" s="113">
        <f t="shared" si="26"/>
        <v>0</v>
      </c>
      <c r="BG60" s="89">
        <v>0</v>
      </c>
      <c r="BH60" s="112">
        <f t="shared" si="71"/>
        <v>0</v>
      </c>
      <c r="BI60" s="89">
        <v>0</v>
      </c>
      <c r="BJ60" s="112">
        <f t="shared" si="72"/>
        <v>0</v>
      </c>
      <c r="BK60" s="89">
        <v>0</v>
      </c>
      <c r="BL60" s="112">
        <f t="shared" si="73"/>
        <v>0</v>
      </c>
      <c r="BM60" s="89">
        <v>0</v>
      </c>
      <c r="BN60" s="112">
        <f t="shared" si="74"/>
        <v>0</v>
      </c>
      <c r="BO60" s="89">
        <v>0</v>
      </c>
      <c r="BP60" s="112">
        <f t="shared" si="75"/>
        <v>0</v>
      </c>
      <c r="BQ60" s="89">
        <v>0</v>
      </c>
      <c r="BR60" s="112">
        <f t="shared" si="76"/>
        <v>0</v>
      </c>
      <c r="BS60" s="89">
        <f t="shared" si="4"/>
        <v>0</v>
      </c>
      <c r="BT60" s="113">
        <f t="shared" si="33"/>
        <v>0</v>
      </c>
      <c r="BU60" s="89">
        <v>0</v>
      </c>
      <c r="BV60" s="112">
        <f t="shared" si="77"/>
        <v>0</v>
      </c>
      <c r="BW60" s="89">
        <v>0</v>
      </c>
      <c r="BX60" s="112">
        <f t="shared" si="78"/>
        <v>0</v>
      </c>
      <c r="BY60" s="89">
        <v>0</v>
      </c>
      <c r="BZ60" s="112">
        <f t="shared" si="79"/>
        <v>0</v>
      </c>
      <c r="CA60" s="89">
        <v>0</v>
      </c>
      <c r="CB60" s="112">
        <f t="shared" si="80"/>
        <v>0</v>
      </c>
      <c r="CC60" s="89">
        <v>0</v>
      </c>
      <c r="CD60" s="112">
        <f t="shared" si="81"/>
        <v>0</v>
      </c>
      <c r="CE60" s="89">
        <v>0</v>
      </c>
      <c r="CF60" s="112">
        <f t="shared" si="82"/>
        <v>0</v>
      </c>
      <c r="CG60" s="89">
        <f t="shared" si="5"/>
        <v>0</v>
      </c>
      <c r="CH60" s="113">
        <f t="shared" si="40"/>
        <v>0</v>
      </c>
      <c r="CI60" s="89">
        <v>0</v>
      </c>
      <c r="CJ60" s="112">
        <f t="shared" si="83"/>
        <v>0</v>
      </c>
      <c r="CK60" s="89">
        <v>0</v>
      </c>
      <c r="CL60" s="112">
        <f t="shared" si="84"/>
        <v>0</v>
      </c>
      <c r="CM60" s="89">
        <v>0</v>
      </c>
      <c r="CN60" s="112">
        <f t="shared" si="85"/>
        <v>0</v>
      </c>
      <c r="CO60" s="89">
        <v>0</v>
      </c>
      <c r="CP60" s="112">
        <f t="shared" si="86"/>
        <v>0</v>
      </c>
      <c r="CQ60" s="89">
        <v>0</v>
      </c>
      <c r="CR60" s="112">
        <f t="shared" si="87"/>
        <v>0</v>
      </c>
      <c r="CS60" s="89">
        <v>0</v>
      </c>
      <c r="CT60" s="112">
        <f t="shared" si="88"/>
        <v>0</v>
      </c>
      <c r="CU60" s="89">
        <f t="shared" si="6"/>
        <v>0</v>
      </c>
      <c r="CV60" s="113">
        <f t="shared" si="47"/>
        <v>0</v>
      </c>
    </row>
    <row r="61" spans="2:100" ht="19.95" customHeight="1">
      <c r="C61" s="88">
        <v>47</v>
      </c>
      <c r="D61" s="1" t="s">
        <v>211</v>
      </c>
      <c r="E61" s="88">
        <f>E5</f>
        <v>35.6</v>
      </c>
      <c r="F61" s="89">
        <v>2.54</v>
      </c>
      <c r="G61" s="89">
        <f t="shared" ref="G61" si="93">E61*F61</f>
        <v>90.424000000000007</v>
      </c>
      <c r="H61" s="90">
        <v>1.5</v>
      </c>
      <c r="I61" s="90">
        <v>1.2</v>
      </c>
      <c r="J61" s="90">
        <v>14</v>
      </c>
      <c r="K61" s="91">
        <f>(H61*I61)*J61</f>
        <v>25.199999999999996</v>
      </c>
      <c r="L61" s="1"/>
      <c r="M61" s="95">
        <f>G61-(K61+K62)</f>
        <v>65.224000000000018</v>
      </c>
      <c r="N61" s="1"/>
      <c r="O61" s="89"/>
      <c r="P61" s="89">
        <f t="shared" si="0"/>
        <v>65.224000000000018</v>
      </c>
      <c r="Q61" s="89">
        <v>0</v>
      </c>
      <c r="R61" s="112">
        <f t="shared" si="91"/>
        <v>0</v>
      </c>
      <c r="S61" s="89">
        <v>0</v>
      </c>
      <c r="T61" s="112">
        <f t="shared" si="91"/>
        <v>0</v>
      </c>
      <c r="U61" s="89">
        <v>0</v>
      </c>
      <c r="V61" s="112">
        <f t="shared" si="55"/>
        <v>0</v>
      </c>
      <c r="W61" s="89">
        <v>0</v>
      </c>
      <c r="X61" s="112">
        <f t="shared" si="56"/>
        <v>0</v>
      </c>
      <c r="Y61" s="89">
        <v>0</v>
      </c>
      <c r="Z61" s="112">
        <f t="shared" si="57"/>
        <v>0</v>
      </c>
      <c r="AA61" s="89">
        <v>0</v>
      </c>
      <c r="AB61" s="112">
        <f t="shared" si="92"/>
        <v>0</v>
      </c>
      <c r="AC61" s="89">
        <f t="shared" si="1"/>
        <v>0</v>
      </c>
      <c r="AD61" s="113">
        <f t="shared" si="12"/>
        <v>0</v>
      </c>
      <c r="AE61" s="89">
        <v>0</v>
      </c>
      <c r="AF61" s="112">
        <f t="shared" si="59"/>
        <v>0</v>
      </c>
      <c r="AG61" s="89">
        <v>0</v>
      </c>
      <c r="AH61" s="112">
        <f t="shared" si="60"/>
        <v>0</v>
      </c>
      <c r="AI61" s="89">
        <v>0</v>
      </c>
      <c r="AJ61" s="112">
        <f t="shared" si="61"/>
        <v>0</v>
      </c>
      <c r="AK61" s="89">
        <v>0</v>
      </c>
      <c r="AL61" s="112">
        <f t="shared" si="62"/>
        <v>0</v>
      </c>
      <c r="AM61" s="89">
        <v>0</v>
      </c>
      <c r="AN61" s="112">
        <f t="shared" si="63"/>
        <v>0</v>
      </c>
      <c r="AO61" s="89">
        <v>0</v>
      </c>
      <c r="AP61" s="112">
        <f t="shared" si="64"/>
        <v>0</v>
      </c>
      <c r="AQ61" s="89">
        <f t="shared" si="2"/>
        <v>0</v>
      </c>
      <c r="AR61" s="113">
        <f t="shared" si="19"/>
        <v>0</v>
      </c>
      <c r="AS61" s="89">
        <v>0</v>
      </c>
      <c r="AT61" s="112">
        <f t="shared" si="65"/>
        <v>0</v>
      </c>
      <c r="AU61" s="89">
        <v>0</v>
      </c>
      <c r="AV61" s="112">
        <f t="shared" si="66"/>
        <v>0</v>
      </c>
      <c r="AW61" s="89">
        <v>0</v>
      </c>
      <c r="AX61" s="112">
        <f t="shared" si="67"/>
        <v>0</v>
      </c>
      <c r="AY61" s="89">
        <v>0</v>
      </c>
      <c r="AZ61" s="112">
        <f t="shared" si="68"/>
        <v>0</v>
      </c>
      <c r="BA61" s="89">
        <v>0</v>
      </c>
      <c r="BB61" s="112">
        <f t="shared" si="69"/>
        <v>0</v>
      </c>
      <c r="BC61" s="89">
        <v>0</v>
      </c>
      <c r="BD61" s="112">
        <f t="shared" si="70"/>
        <v>0</v>
      </c>
      <c r="BE61" s="89">
        <f t="shared" si="3"/>
        <v>0</v>
      </c>
      <c r="BF61" s="113">
        <f t="shared" si="26"/>
        <v>0</v>
      </c>
      <c r="BG61" s="89">
        <v>0</v>
      </c>
      <c r="BH61" s="112">
        <f t="shared" si="71"/>
        <v>0</v>
      </c>
      <c r="BI61" s="89">
        <v>0</v>
      </c>
      <c r="BJ61" s="112">
        <f t="shared" si="72"/>
        <v>0</v>
      </c>
      <c r="BK61" s="89">
        <v>0</v>
      </c>
      <c r="BL61" s="112">
        <f t="shared" si="73"/>
        <v>0</v>
      </c>
      <c r="BM61" s="89">
        <v>0</v>
      </c>
      <c r="BN61" s="112">
        <f t="shared" si="74"/>
        <v>0</v>
      </c>
      <c r="BO61" s="89">
        <v>0</v>
      </c>
      <c r="BP61" s="112">
        <f t="shared" si="75"/>
        <v>0</v>
      </c>
      <c r="BQ61" s="89">
        <v>0</v>
      </c>
      <c r="BR61" s="112">
        <f t="shared" si="76"/>
        <v>0</v>
      </c>
      <c r="BS61" s="89">
        <f t="shared" si="4"/>
        <v>0</v>
      </c>
      <c r="BT61" s="113">
        <f t="shared" si="33"/>
        <v>0</v>
      </c>
      <c r="BU61" s="89">
        <v>0</v>
      </c>
      <c r="BV61" s="112">
        <f t="shared" si="77"/>
        <v>0</v>
      </c>
      <c r="BW61" s="89">
        <v>0</v>
      </c>
      <c r="BX61" s="112">
        <f t="shared" si="78"/>
        <v>0</v>
      </c>
      <c r="BY61" s="89">
        <v>0</v>
      </c>
      <c r="BZ61" s="112">
        <f t="shared" si="79"/>
        <v>0</v>
      </c>
      <c r="CA61" s="89">
        <v>0</v>
      </c>
      <c r="CB61" s="112">
        <f t="shared" si="80"/>
        <v>0</v>
      </c>
      <c r="CC61" s="89">
        <v>0</v>
      </c>
      <c r="CD61" s="112">
        <f t="shared" si="81"/>
        <v>0</v>
      </c>
      <c r="CE61" s="89">
        <v>0</v>
      </c>
      <c r="CF61" s="112">
        <f t="shared" si="82"/>
        <v>0</v>
      </c>
      <c r="CG61" s="89">
        <f t="shared" si="5"/>
        <v>0</v>
      </c>
      <c r="CH61" s="113">
        <f t="shared" si="40"/>
        <v>0</v>
      </c>
      <c r="CI61" s="89">
        <v>0</v>
      </c>
      <c r="CJ61" s="112">
        <f t="shared" si="83"/>
        <v>0</v>
      </c>
      <c r="CK61" s="89">
        <v>0</v>
      </c>
      <c r="CL61" s="112">
        <f t="shared" si="84"/>
        <v>0</v>
      </c>
      <c r="CM61" s="89">
        <v>0</v>
      </c>
      <c r="CN61" s="112">
        <f t="shared" si="85"/>
        <v>0</v>
      </c>
      <c r="CO61" s="89">
        <v>0</v>
      </c>
      <c r="CP61" s="112">
        <f t="shared" si="86"/>
        <v>0</v>
      </c>
      <c r="CQ61" s="89">
        <v>0</v>
      </c>
      <c r="CR61" s="112">
        <f t="shared" si="87"/>
        <v>0</v>
      </c>
      <c r="CS61" s="89">
        <v>0</v>
      </c>
      <c r="CT61" s="112">
        <f t="shared" si="88"/>
        <v>0</v>
      </c>
      <c r="CU61" s="89">
        <f t="shared" si="6"/>
        <v>0</v>
      </c>
      <c r="CV61" s="113">
        <f t="shared" si="47"/>
        <v>0</v>
      </c>
    </row>
    <row r="62" spans="2:100" ht="19.95" customHeight="1">
      <c r="G62" s="89"/>
      <c r="H62" s="90"/>
      <c r="I62" s="90"/>
      <c r="J62" s="90"/>
      <c r="K62" s="93"/>
      <c r="L62" s="95"/>
      <c r="M62" s="95"/>
      <c r="N62" s="95"/>
      <c r="O62" s="89"/>
      <c r="P62" s="89"/>
      <c r="Q62" s="116">
        <f t="shared" ref="Q62:AC62" si="94">SUM(Q5:Q59)</f>
        <v>0</v>
      </c>
      <c r="R62" s="126">
        <f t="shared" si="94"/>
        <v>0</v>
      </c>
      <c r="S62" s="116">
        <f t="shared" si="94"/>
        <v>0</v>
      </c>
      <c r="T62" s="126">
        <f t="shared" si="94"/>
        <v>0</v>
      </c>
      <c r="U62" s="116">
        <f t="shared" si="94"/>
        <v>0</v>
      </c>
      <c r="V62" s="126">
        <f t="shared" si="94"/>
        <v>0</v>
      </c>
      <c r="W62" s="116">
        <f t="shared" si="94"/>
        <v>0</v>
      </c>
      <c r="X62" s="126">
        <f t="shared" si="94"/>
        <v>0</v>
      </c>
      <c r="Y62" s="116">
        <f t="shared" si="94"/>
        <v>0</v>
      </c>
      <c r="Z62" s="126">
        <f t="shared" si="94"/>
        <v>0</v>
      </c>
      <c r="AA62" s="116">
        <f t="shared" si="94"/>
        <v>0</v>
      </c>
      <c r="AB62" s="126">
        <f t="shared" si="94"/>
        <v>0</v>
      </c>
      <c r="AC62" s="116">
        <f t="shared" si="94"/>
        <v>0</v>
      </c>
      <c r="AD62" s="119">
        <v>0</v>
      </c>
      <c r="AE62" s="116">
        <f t="shared" ref="AE62:AQ62" si="95">SUM(AE5:AE59)</f>
        <v>0</v>
      </c>
      <c r="AF62" s="126">
        <f t="shared" si="95"/>
        <v>0</v>
      </c>
      <c r="AG62" s="116">
        <f t="shared" si="95"/>
        <v>0</v>
      </c>
      <c r="AH62" s="126">
        <f t="shared" si="95"/>
        <v>0</v>
      </c>
      <c r="AI62" s="116">
        <f t="shared" si="95"/>
        <v>0</v>
      </c>
      <c r="AJ62" s="126">
        <f t="shared" si="95"/>
        <v>0</v>
      </c>
      <c r="AK62" s="116">
        <f t="shared" si="95"/>
        <v>0</v>
      </c>
      <c r="AL62" s="126">
        <f t="shared" si="95"/>
        <v>0</v>
      </c>
      <c r="AM62" s="116">
        <f t="shared" si="95"/>
        <v>0</v>
      </c>
      <c r="AN62" s="126">
        <f t="shared" si="95"/>
        <v>0</v>
      </c>
      <c r="AO62" s="116">
        <f t="shared" si="95"/>
        <v>0</v>
      </c>
      <c r="AP62" s="126">
        <f t="shared" si="95"/>
        <v>0</v>
      </c>
      <c r="AQ62" s="116">
        <f t="shared" si="95"/>
        <v>0</v>
      </c>
      <c r="AR62" s="119">
        <f>AQ62/$R64</f>
        <v>0</v>
      </c>
      <c r="AS62" s="116">
        <f t="shared" ref="AS62:BE62" si="96">SUM(AS5:AS59)</f>
        <v>0</v>
      </c>
      <c r="AT62" s="126">
        <f t="shared" si="96"/>
        <v>0</v>
      </c>
      <c r="AU62" s="116">
        <f t="shared" si="96"/>
        <v>0</v>
      </c>
      <c r="AV62" s="126">
        <f t="shared" si="96"/>
        <v>0</v>
      </c>
      <c r="AW62" s="116">
        <f t="shared" si="96"/>
        <v>0</v>
      </c>
      <c r="AX62" s="126">
        <f t="shared" si="96"/>
        <v>0</v>
      </c>
      <c r="AY62" s="116">
        <f t="shared" si="96"/>
        <v>0</v>
      </c>
      <c r="AZ62" s="126">
        <f t="shared" si="96"/>
        <v>0</v>
      </c>
      <c r="BA62" s="116">
        <f t="shared" si="96"/>
        <v>0</v>
      </c>
      <c r="BB62" s="126">
        <f t="shared" si="96"/>
        <v>0</v>
      </c>
      <c r="BC62" s="116">
        <f t="shared" si="96"/>
        <v>0</v>
      </c>
      <c r="BD62" s="126">
        <f t="shared" si="96"/>
        <v>0</v>
      </c>
      <c r="BE62" s="116">
        <f t="shared" si="96"/>
        <v>0</v>
      </c>
      <c r="BF62" s="119">
        <f>BE62/$R64</f>
        <v>0</v>
      </c>
      <c r="BG62" s="116">
        <f t="shared" ref="BG62:BS62" si="97">SUM(BG5:BG59)</f>
        <v>0</v>
      </c>
      <c r="BH62" s="126">
        <f t="shared" si="97"/>
        <v>0</v>
      </c>
      <c r="BI62" s="116">
        <f t="shared" si="97"/>
        <v>0</v>
      </c>
      <c r="BJ62" s="126">
        <f t="shared" si="97"/>
        <v>0</v>
      </c>
      <c r="BK62" s="116">
        <f t="shared" si="97"/>
        <v>0</v>
      </c>
      <c r="BL62" s="126">
        <f t="shared" si="97"/>
        <v>0</v>
      </c>
      <c r="BM62" s="116">
        <f t="shared" si="97"/>
        <v>0</v>
      </c>
      <c r="BN62" s="126">
        <f t="shared" si="97"/>
        <v>0</v>
      </c>
      <c r="BO62" s="116">
        <f t="shared" si="97"/>
        <v>0</v>
      </c>
      <c r="BP62" s="126">
        <f t="shared" si="97"/>
        <v>0</v>
      </c>
      <c r="BQ62" s="116">
        <f t="shared" si="97"/>
        <v>0</v>
      </c>
      <c r="BR62" s="126">
        <f t="shared" si="97"/>
        <v>0</v>
      </c>
      <c r="BS62" s="116">
        <f t="shared" si="97"/>
        <v>0</v>
      </c>
      <c r="BT62" s="119">
        <f>BS62/$R64</f>
        <v>0</v>
      </c>
      <c r="BU62" s="116">
        <f t="shared" ref="BU62:CG62" si="98">SUM(BU5:BU59)</f>
        <v>0</v>
      </c>
      <c r="BV62" s="126">
        <f t="shared" si="98"/>
        <v>0</v>
      </c>
      <c r="BW62" s="116">
        <f t="shared" si="98"/>
        <v>0</v>
      </c>
      <c r="BX62" s="126">
        <f t="shared" si="98"/>
        <v>0</v>
      </c>
      <c r="BY62" s="116">
        <f t="shared" si="98"/>
        <v>0</v>
      </c>
      <c r="BZ62" s="126">
        <f t="shared" si="98"/>
        <v>0</v>
      </c>
      <c r="CA62" s="116">
        <f t="shared" si="98"/>
        <v>0</v>
      </c>
      <c r="CB62" s="126">
        <f t="shared" si="98"/>
        <v>0</v>
      </c>
      <c r="CC62" s="116">
        <f t="shared" si="98"/>
        <v>0</v>
      </c>
      <c r="CD62" s="126">
        <f t="shared" si="98"/>
        <v>0</v>
      </c>
      <c r="CE62" s="116">
        <f t="shared" si="98"/>
        <v>0</v>
      </c>
      <c r="CF62" s="126">
        <f t="shared" si="98"/>
        <v>0</v>
      </c>
      <c r="CG62" s="116">
        <f t="shared" si="98"/>
        <v>0</v>
      </c>
      <c r="CH62" s="119">
        <f>CG62/$R64</f>
        <v>0</v>
      </c>
      <c r="CI62" s="116">
        <f t="shared" ref="CI62:CU62" si="99">SUM(CI5:CI59)</f>
        <v>0</v>
      </c>
      <c r="CJ62" s="126">
        <f t="shared" si="99"/>
        <v>0</v>
      </c>
      <c r="CK62" s="116">
        <f t="shared" si="99"/>
        <v>0</v>
      </c>
      <c r="CL62" s="126">
        <f t="shared" si="99"/>
        <v>0</v>
      </c>
      <c r="CM62" s="116">
        <f t="shared" si="99"/>
        <v>0</v>
      </c>
      <c r="CN62" s="126">
        <f t="shared" si="99"/>
        <v>0</v>
      </c>
      <c r="CO62" s="116">
        <f t="shared" si="99"/>
        <v>0</v>
      </c>
      <c r="CP62" s="126">
        <f t="shared" si="99"/>
        <v>0</v>
      </c>
      <c r="CQ62" s="116">
        <f t="shared" si="99"/>
        <v>0</v>
      </c>
      <c r="CR62" s="126">
        <f t="shared" si="99"/>
        <v>0</v>
      </c>
      <c r="CS62" s="116">
        <f t="shared" si="99"/>
        <v>0</v>
      </c>
      <c r="CT62" s="126">
        <f t="shared" si="99"/>
        <v>0</v>
      </c>
      <c r="CU62" s="116">
        <f t="shared" si="99"/>
        <v>0</v>
      </c>
      <c r="CV62" s="119">
        <f>CU62/$R64</f>
        <v>0</v>
      </c>
    </row>
    <row r="63" spans="2:100" ht="19.95" customHeight="1">
      <c r="F63" s="88">
        <f>SUM(F5:F62)-(F13+F14+F25+F27+F36+F37+F41+F42+F53+F54+F59+F60+F16+F17+F19+F20)</f>
        <v>108.54999999999995</v>
      </c>
      <c r="G63" s="1"/>
      <c r="H63" s="90"/>
      <c r="I63" s="90"/>
      <c r="J63" s="90"/>
      <c r="K63" s="93">
        <f>SUM(K5:K62)</f>
        <v>565.11999999999989</v>
      </c>
      <c r="L63" s="95"/>
      <c r="M63" s="95"/>
      <c r="N63" s="95"/>
      <c r="O63" s="89"/>
      <c r="P63" s="89"/>
      <c r="AD63" s="207"/>
    </row>
    <row r="64" spans="2:100" ht="19.95" customHeight="1">
      <c r="D64" s="83" t="s">
        <v>125</v>
      </c>
      <c r="E64" s="82"/>
      <c r="F64" s="82"/>
      <c r="G64" s="96">
        <f>SUM(G5:G63)</f>
        <v>4308.1620000000003</v>
      </c>
      <c r="I64" s="97"/>
      <c r="J64" s="98" t="s">
        <v>126</v>
      </c>
      <c r="K64" s="99"/>
      <c r="L64" s="82"/>
      <c r="M64" s="82"/>
      <c r="N64" s="96">
        <f>SUM(L5:L63)</f>
        <v>1704.0620000000001</v>
      </c>
      <c r="O64" s="96">
        <f>SUM(M5:M63)</f>
        <v>621.68000000000006</v>
      </c>
      <c r="P64" s="96">
        <f>SUM(N5:N63)</f>
        <v>1190.5</v>
      </c>
      <c r="Q64" s="96">
        <f>SUM(O5:O61)</f>
        <v>226.8</v>
      </c>
      <c r="R64" s="181">
        <f>SUM(P5:P61)</f>
        <v>3743.041999999999</v>
      </c>
    </row>
    <row r="65" spans="4:106" ht="19.95" customHeight="1">
      <c r="F65" s="89">
        <f>F63*35.8</f>
        <v>3886.0899999999979</v>
      </c>
      <c r="G65" s="88">
        <v>4222.2299999999996</v>
      </c>
      <c r="H65" s="89">
        <f>G64-N65</f>
        <v>565.11999999999989</v>
      </c>
      <c r="J65" s="140"/>
      <c r="K65" s="140"/>
      <c r="L65" s="140"/>
      <c r="M65" s="151">
        <f>F65-H65</f>
        <v>3320.969999999998</v>
      </c>
      <c r="N65" s="116">
        <f>SUM(N64:Q64)</f>
        <v>3743.0420000000004</v>
      </c>
      <c r="O65" s="89"/>
      <c r="P65" s="89"/>
    </row>
    <row r="66" spans="4:106" ht="19.95" customHeight="1"/>
    <row r="67" spans="4:106" ht="25.05" customHeight="1">
      <c r="G67" s="150">
        <f>G64*300</f>
        <v>1292448.6000000001</v>
      </c>
      <c r="N67" s="139" t="s">
        <v>186</v>
      </c>
      <c r="O67" s="137"/>
      <c r="P67" s="138" t="s">
        <v>190</v>
      </c>
      <c r="Q67" s="133">
        <v>65</v>
      </c>
    </row>
    <row r="68" spans="4:106" ht="27.6">
      <c r="G68" s="150">
        <f>N65*500</f>
        <v>1871521.0000000002</v>
      </c>
      <c r="K68" s="95"/>
      <c r="M68" s="95"/>
      <c r="N68" s="116" t="s">
        <v>187</v>
      </c>
      <c r="O68" s="116" t="s">
        <v>189</v>
      </c>
      <c r="P68" s="116" t="s">
        <v>188</v>
      </c>
      <c r="Q68" s="144" t="s">
        <v>199</v>
      </c>
    </row>
    <row r="69" spans="4:106" ht="19.95" customHeight="1">
      <c r="F69" s="150">
        <f>N65*500</f>
        <v>1871521.0000000002</v>
      </c>
      <c r="G69" s="150">
        <f>SUM(G67:G68)</f>
        <v>3163969.6000000006</v>
      </c>
      <c r="N69" s="141">
        <f>N64/$Q$67</f>
        <v>26.216338461538463</v>
      </c>
      <c r="O69" s="141">
        <f>O64/$Q$67</f>
        <v>9.5643076923076933</v>
      </c>
      <c r="P69" s="141">
        <f>P64/$Q$67</f>
        <v>18.315384615384616</v>
      </c>
      <c r="Q69" s="141">
        <f>Q64/$Q$67</f>
        <v>3.4892307692307694</v>
      </c>
      <c r="R69" s="145">
        <f>SUM(N69:Q69)</f>
        <v>57.585261538461545</v>
      </c>
    </row>
    <row r="70" spans="4:106" ht="19.95" customHeight="1"/>
    <row r="71" spans="4:106" ht="19.95" customHeight="1"/>
    <row r="72" spans="4:106" ht="19.95" customHeight="1">
      <c r="L72" s="178">
        <v>11200</v>
      </c>
      <c r="M72" s="179">
        <f>L72/4.2</f>
        <v>2666.6666666666665</v>
      </c>
      <c r="O72" s="110"/>
      <c r="P72" s="110" t="s">
        <v>169</v>
      </c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</row>
    <row r="73" spans="4:106" ht="18" customHeight="1">
      <c r="O73" s="83"/>
      <c r="P73" s="84" t="s">
        <v>97</v>
      </c>
      <c r="Q73" s="257" t="s">
        <v>157</v>
      </c>
      <c r="R73" s="257"/>
      <c r="S73" s="257"/>
      <c r="T73" s="257"/>
      <c r="U73" s="111"/>
      <c r="V73" s="111"/>
      <c r="W73" s="111"/>
      <c r="X73" s="111"/>
      <c r="Y73" s="111"/>
      <c r="Z73" s="111"/>
      <c r="AA73" s="111"/>
      <c r="AB73" s="111"/>
      <c r="AC73" s="256" t="s">
        <v>158</v>
      </c>
      <c r="AD73" s="256"/>
      <c r="AE73" s="257" t="s">
        <v>157</v>
      </c>
      <c r="AF73" s="257"/>
      <c r="AG73" s="257"/>
      <c r="AH73" s="257"/>
      <c r="AI73" s="111"/>
      <c r="AJ73" s="111"/>
      <c r="AK73" s="111"/>
      <c r="AL73" s="111"/>
      <c r="AM73" s="111"/>
      <c r="AN73" s="111"/>
      <c r="AO73" s="111"/>
      <c r="AP73" s="111"/>
      <c r="AQ73" s="256" t="s">
        <v>158</v>
      </c>
      <c r="AR73" s="256"/>
      <c r="AS73" s="257" t="s">
        <v>157</v>
      </c>
      <c r="AT73" s="257"/>
      <c r="AU73" s="257"/>
      <c r="AV73" s="257"/>
      <c r="AW73" s="111"/>
      <c r="AX73" s="111"/>
      <c r="AY73" s="111"/>
      <c r="AZ73" s="111"/>
      <c r="BA73" s="111"/>
      <c r="BB73" s="111"/>
      <c r="BC73" s="111"/>
      <c r="BD73" s="111"/>
      <c r="BE73" s="256" t="s">
        <v>158</v>
      </c>
      <c r="BF73" s="256"/>
      <c r="BG73" s="257" t="s">
        <v>157</v>
      </c>
      <c r="BH73" s="257"/>
      <c r="BI73" s="257"/>
      <c r="BJ73" s="257"/>
      <c r="BK73" s="111"/>
      <c r="BL73" s="111"/>
      <c r="BM73" s="111"/>
      <c r="BN73" s="111"/>
      <c r="BO73" s="111"/>
      <c r="BP73" s="111"/>
      <c r="BQ73" s="111"/>
      <c r="BR73" s="111"/>
      <c r="BS73" s="256" t="s">
        <v>158</v>
      </c>
      <c r="BT73" s="256"/>
      <c r="BU73" s="257" t="s">
        <v>157</v>
      </c>
      <c r="BV73" s="257"/>
      <c r="BW73" s="257"/>
      <c r="BX73" s="257"/>
      <c r="BY73" s="111"/>
      <c r="BZ73" s="111"/>
      <c r="CA73" s="111"/>
      <c r="CB73" s="111"/>
      <c r="CC73" s="111"/>
      <c r="CD73" s="111"/>
      <c r="CE73" s="111"/>
      <c r="CF73" s="111"/>
      <c r="CG73" s="256" t="s">
        <v>158</v>
      </c>
      <c r="CH73" s="256"/>
      <c r="CI73" s="257" t="s">
        <v>157</v>
      </c>
      <c r="CJ73" s="257"/>
      <c r="CK73" s="257"/>
      <c r="CL73" s="257"/>
      <c r="CM73" s="111"/>
      <c r="CN73" s="111"/>
      <c r="CO73" s="111"/>
      <c r="CP73" s="111"/>
      <c r="CQ73" s="111"/>
      <c r="CR73" s="111"/>
      <c r="CS73" s="111"/>
      <c r="CT73" s="111"/>
      <c r="CU73" s="256" t="s">
        <v>158</v>
      </c>
      <c r="CV73" s="256"/>
    </row>
    <row r="74" spans="4:106" ht="18" customHeight="1">
      <c r="M74" s="178">
        <f>17000000/900</f>
        <v>18888.888888888891</v>
      </c>
      <c r="O74" s="83"/>
      <c r="P74" s="84"/>
      <c r="Q74" s="254">
        <v>45817</v>
      </c>
      <c r="R74" s="254"/>
      <c r="S74" s="254">
        <f>+Q74+1</f>
        <v>45818</v>
      </c>
      <c r="T74" s="254"/>
      <c r="U74" s="254">
        <f>+S74+1</f>
        <v>45819</v>
      </c>
      <c r="V74" s="254"/>
      <c r="W74" s="254">
        <f>+U74+1</f>
        <v>45820</v>
      </c>
      <c r="X74" s="254"/>
      <c r="Y74" s="254">
        <f>+W74+1</f>
        <v>45821</v>
      </c>
      <c r="Z74" s="254"/>
      <c r="AA74" s="254">
        <f>+Y74+1</f>
        <v>45822</v>
      </c>
      <c r="AB74" s="254"/>
      <c r="AC74" s="255" t="s">
        <v>159</v>
      </c>
      <c r="AD74" s="255"/>
      <c r="AE74" s="254">
        <f>AA74+2</f>
        <v>45824</v>
      </c>
      <c r="AF74" s="254"/>
      <c r="AG74" s="254">
        <f>+AE74+1</f>
        <v>45825</v>
      </c>
      <c r="AH74" s="254"/>
      <c r="AI74" s="254">
        <f>+AG74+1</f>
        <v>45826</v>
      </c>
      <c r="AJ74" s="254"/>
      <c r="AK74" s="254">
        <f>+AI74+1</f>
        <v>45827</v>
      </c>
      <c r="AL74" s="254"/>
      <c r="AM74" s="254">
        <f>+AK74+1</f>
        <v>45828</v>
      </c>
      <c r="AN74" s="254"/>
      <c r="AO74" s="254">
        <f>+AM74+1</f>
        <v>45829</v>
      </c>
      <c r="AP74" s="254"/>
      <c r="AQ74" s="255" t="s">
        <v>160</v>
      </c>
      <c r="AR74" s="255"/>
      <c r="AS74" s="254">
        <f>AO74+2</f>
        <v>45831</v>
      </c>
      <c r="AT74" s="254"/>
      <c r="AU74" s="254">
        <f>+AS74+1</f>
        <v>45832</v>
      </c>
      <c r="AV74" s="254"/>
      <c r="AW74" s="254">
        <f>+AU74+1</f>
        <v>45833</v>
      </c>
      <c r="AX74" s="254"/>
      <c r="AY74" s="254">
        <f>+AW74+1</f>
        <v>45834</v>
      </c>
      <c r="AZ74" s="254"/>
      <c r="BA74" s="254">
        <f>+AY74+1</f>
        <v>45835</v>
      </c>
      <c r="BB74" s="254"/>
      <c r="BC74" s="254">
        <f>+BA74+1</f>
        <v>45836</v>
      </c>
      <c r="BD74" s="254"/>
      <c r="BE74" s="255" t="s">
        <v>161</v>
      </c>
      <c r="BF74" s="255"/>
      <c r="BG74" s="254">
        <f>BC74+2</f>
        <v>45838</v>
      </c>
      <c r="BH74" s="254"/>
      <c r="BI74" s="254">
        <f>+BG74+1</f>
        <v>45839</v>
      </c>
      <c r="BJ74" s="254"/>
      <c r="BK74" s="254">
        <f>+BI74+1</f>
        <v>45840</v>
      </c>
      <c r="BL74" s="254"/>
      <c r="BM74" s="254">
        <f>+BK74+1</f>
        <v>45841</v>
      </c>
      <c r="BN74" s="254"/>
      <c r="BO74" s="254">
        <f>+BM74+1</f>
        <v>45842</v>
      </c>
      <c r="BP74" s="254"/>
      <c r="BQ74" s="254">
        <f>+BO74+1</f>
        <v>45843</v>
      </c>
      <c r="BR74" s="254"/>
      <c r="BS74" s="255" t="s">
        <v>299</v>
      </c>
      <c r="BT74" s="255"/>
      <c r="BU74" s="254">
        <f>BQ74+2</f>
        <v>45845</v>
      </c>
      <c r="BV74" s="254"/>
      <c r="BW74" s="254">
        <f>+BU74+1</f>
        <v>45846</v>
      </c>
      <c r="BX74" s="254"/>
      <c r="BY74" s="254">
        <f>+BW74+1</f>
        <v>45847</v>
      </c>
      <c r="BZ74" s="254"/>
      <c r="CA74" s="254">
        <f>+BY74+1</f>
        <v>45848</v>
      </c>
      <c r="CB74" s="254"/>
      <c r="CC74" s="254">
        <f>+CA74+1</f>
        <v>45849</v>
      </c>
      <c r="CD74" s="254"/>
      <c r="CE74" s="254">
        <f>+CC74+1</f>
        <v>45850</v>
      </c>
      <c r="CF74" s="254"/>
      <c r="CG74" s="255" t="s">
        <v>300</v>
      </c>
      <c r="CH74" s="255"/>
      <c r="CI74" s="254">
        <f>CE74+2</f>
        <v>45852</v>
      </c>
      <c r="CJ74" s="254"/>
      <c r="CK74" s="254">
        <f>+CI74+1</f>
        <v>45853</v>
      </c>
      <c r="CL74" s="254"/>
      <c r="CM74" s="254">
        <f>+CK74+1</f>
        <v>45854</v>
      </c>
      <c r="CN74" s="254"/>
      <c r="CO74" s="254">
        <f>+CM74+1</f>
        <v>45855</v>
      </c>
      <c r="CP74" s="254"/>
      <c r="CQ74" s="254">
        <f>+CO74+1</f>
        <v>45856</v>
      </c>
      <c r="CR74" s="254"/>
      <c r="CS74" s="254">
        <f>+CQ74+1</f>
        <v>45857</v>
      </c>
      <c r="CT74" s="254"/>
      <c r="CU74" s="255" t="s">
        <v>301</v>
      </c>
      <c r="CV74" s="255"/>
    </row>
    <row r="75" spans="4:106" ht="18" customHeight="1">
      <c r="O75" s="82" t="s">
        <v>91</v>
      </c>
      <c r="P75" s="82" t="s">
        <v>139</v>
      </c>
      <c r="Q75" s="82" t="s">
        <v>139</v>
      </c>
      <c r="R75" s="84" t="s">
        <v>163</v>
      </c>
      <c r="S75" s="82" t="s">
        <v>139</v>
      </c>
      <c r="T75" s="84" t="s">
        <v>163</v>
      </c>
      <c r="U75" s="82" t="s">
        <v>139</v>
      </c>
      <c r="V75" s="84" t="s">
        <v>163</v>
      </c>
      <c r="W75" s="82" t="s">
        <v>139</v>
      </c>
      <c r="X75" s="84" t="s">
        <v>163</v>
      </c>
      <c r="Y75" s="82" t="s">
        <v>139</v>
      </c>
      <c r="Z75" s="84" t="s">
        <v>163</v>
      </c>
      <c r="AA75" s="82" t="s">
        <v>139</v>
      </c>
      <c r="AB75" s="84" t="s">
        <v>163</v>
      </c>
      <c r="AC75" s="82" t="s">
        <v>139</v>
      </c>
      <c r="AD75" s="84" t="s">
        <v>163</v>
      </c>
      <c r="AE75" s="82" t="s">
        <v>139</v>
      </c>
      <c r="AF75" s="84" t="s">
        <v>163</v>
      </c>
      <c r="AG75" s="82" t="s">
        <v>139</v>
      </c>
      <c r="AH75" s="84" t="s">
        <v>163</v>
      </c>
      <c r="AI75" s="82" t="s">
        <v>139</v>
      </c>
      <c r="AJ75" s="84" t="s">
        <v>163</v>
      </c>
      <c r="AK75" s="82" t="s">
        <v>139</v>
      </c>
      <c r="AL75" s="84" t="s">
        <v>163</v>
      </c>
      <c r="AM75" s="82" t="s">
        <v>139</v>
      </c>
      <c r="AN75" s="84" t="s">
        <v>163</v>
      </c>
      <c r="AO75" s="82" t="s">
        <v>139</v>
      </c>
      <c r="AP75" s="84" t="s">
        <v>163</v>
      </c>
      <c r="AQ75" s="82" t="s">
        <v>139</v>
      </c>
      <c r="AR75" s="84" t="s">
        <v>163</v>
      </c>
      <c r="AS75" s="82" t="s">
        <v>139</v>
      </c>
      <c r="AT75" s="84" t="s">
        <v>163</v>
      </c>
      <c r="AU75" s="82" t="s">
        <v>139</v>
      </c>
      <c r="AV75" s="84" t="s">
        <v>163</v>
      </c>
      <c r="AW75" s="82" t="s">
        <v>139</v>
      </c>
      <c r="AX75" s="84" t="s">
        <v>163</v>
      </c>
      <c r="AY75" s="82" t="s">
        <v>139</v>
      </c>
      <c r="AZ75" s="84" t="s">
        <v>163</v>
      </c>
      <c r="BA75" s="82" t="s">
        <v>139</v>
      </c>
      <c r="BB75" s="84" t="s">
        <v>163</v>
      </c>
      <c r="BC75" s="82" t="s">
        <v>139</v>
      </c>
      <c r="BD75" s="84" t="s">
        <v>163</v>
      </c>
      <c r="BE75" s="82" t="s">
        <v>139</v>
      </c>
      <c r="BF75" s="84" t="s">
        <v>163</v>
      </c>
      <c r="BG75" s="82" t="s">
        <v>139</v>
      </c>
      <c r="BH75" s="84" t="s">
        <v>163</v>
      </c>
      <c r="BI75" s="82" t="s">
        <v>139</v>
      </c>
      <c r="BJ75" s="84" t="s">
        <v>163</v>
      </c>
      <c r="BK75" s="82" t="s">
        <v>139</v>
      </c>
      <c r="BL75" s="84" t="s">
        <v>163</v>
      </c>
      <c r="BM75" s="82" t="s">
        <v>139</v>
      </c>
      <c r="BN75" s="84" t="s">
        <v>163</v>
      </c>
      <c r="BO75" s="82" t="s">
        <v>139</v>
      </c>
      <c r="BP75" s="84" t="s">
        <v>163</v>
      </c>
      <c r="BQ75" s="82" t="s">
        <v>139</v>
      </c>
      <c r="BR75" s="84" t="s">
        <v>163</v>
      </c>
      <c r="BS75" s="82" t="s">
        <v>139</v>
      </c>
      <c r="BT75" s="84" t="s">
        <v>163</v>
      </c>
      <c r="BU75" s="82" t="s">
        <v>139</v>
      </c>
      <c r="BV75" s="84" t="s">
        <v>163</v>
      </c>
      <c r="BW75" s="82" t="s">
        <v>139</v>
      </c>
      <c r="BX75" s="84" t="s">
        <v>163</v>
      </c>
      <c r="BY75" s="82" t="s">
        <v>139</v>
      </c>
      <c r="BZ75" s="84" t="s">
        <v>163</v>
      </c>
      <c r="CA75" s="82" t="s">
        <v>139</v>
      </c>
      <c r="CB75" s="84" t="s">
        <v>163</v>
      </c>
      <c r="CC75" s="82" t="s">
        <v>139</v>
      </c>
      <c r="CD75" s="84" t="s">
        <v>163</v>
      </c>
      <c r="CE75" s="82" t="s">
        <v>139</v>
      </c>
      <c r="CF75" s="84" t="s">
        <v>163</v>
      </c>
      <c r="CG75" s="82" t="s">
        <v>139</v>
      </c>
      <c r="CH75" s="84" t="s">
        <v>163</v>
      </c>
      <c r="CI75" s="82" t="s">
        <v>139</v>
      </c>
      <c r="CJ75" s="84" t="s">
        <v>163</v>
      </c>
      <c r="CK75" s="82" t="s">
        <v>139</v>
      </c>
      <c r="CL75" s="84" t="s">
        <v>163</v>
      </c>
      <c r="CM75" s="82" t="s">
        <v>139</v>
      </c>
      <c r="CN75" s="84" t="s">
        <v>163</v>
      </c>
      <c r="CO75" s="82" t="s">
        <v>139</v>
      </c>
      <c r="CP75" s="84" t="s">
        <v>163</v>
      </c>
      <c r="CQ75" s="82" t="s">
        <v>139</v>
      </c>
      <c r="CR75" s="84" t="s">
        <v>163</v>
      </c>
      <c r="CS75" s="82" t="s">
        <v>139</v>
      </c>
      <c r="CT75" s="84" t="s">
        <v>163</v>
      </c>
      <c r="CU75" s="82" t="s">
        <v>139</v>
      </c>
      <c r="CV75" s="84" t="s">
        <v>163</v>
      </c>
    </row>
    <row r="76" spans="4:106" ht="18" customHeight="1">
      <c r="L76" s="88">
        <v>110</v>
      </c>
      <c r="M76" s="180">
        <f>L76/N65</f>
        <v>2.938786153080836E-2</v>
      </c>
      <c r="O76" s="125" t="s">
        <v>302</v>
      </c>
      <c r="P76" s="89">
        <f>SUM(P5:P6)</f>
        <v>318.86</v>
      </c>
      <c r="Q76" s="89">
        <f>SUM(Q5:Q6)</f>
        <v>0</v>
      </c>
      <c r="R76" s="112">
        <f>Q76/$P76</f>
        <v>0</v>
      </c>
      <c r="S76" s="89">
        <f>SUM(S5:S6)</f>
        <v>0</v>
      </c>
      <c r="T76" s="112">
        <f>S76/$P76</f>
        <v>0</v>
      </c>
      <c r="U76" s="89">
        <f>SUM(U5:U6)</f>
        <v>0</v>
      </c>
      <c r="V76" s="112">
        <f>U76/$P76</f>
        <v>0</v>
      </c>
      <c r="W76" s="89">
        <f>SUM(W5:W6)</f>
        <v>0</v>
      </c>
      <c r="X76" s="112">
        <f>W76/$P76</f>
        <v>0</v>
      </c>
      <c r="Y76" s="89">
        <f>SUM(Y5:Y6)</f>
        <v>0</v>
      </c>
      <c r="Z76" s="112">
        <f>Y76/$P76</f>
        <v>0</v>
      </c>
      <c r="AA76" s="89">
        <f>SUM(AA5:AA6)</f>
        <v>0</v>
      </c>
      <c r="AB76" s="112">
        <f>AA76/$P76</f>
        <v>0</v>
      </c>
      <c r="AC76" s="89">
        <f>Q76+S76+U76+W76+Y76+AA76</f>
        <v>0</v>
      </c>
      <c r="AD76" s="113">
        <f>AC76/$P76</f>
        <v>0</v>
      </c>
      <c r="AE76" s="89">
        <f>SUM(AE5:AE6)</f>
        <v>0</v>
      </c>
      <c r="AF76" s="112">
        <f>AE76/$P76</f>
        <v>0</v>
      </c>
      <c r="AG76" s="89">
        <f>SUM(AG5:AG6)</f>
        <v>0</v>
      </c>
      <c r="AH76" s="112">
        <f>AG76/$P76</f>
        <v>0</v>
      </c>
      <c r="AI76" s="89">
        <f>SUM(AI5:AI6)</f>
        <v>0</v>
      </c>
      <c r="AJ76" s="112">
        <f>AI76/$P76</f>
        <v>0</v>
      </c>
      <c r="AK76" s="89">
        <f>SUM(AK5:AK6)</f>
        <v>0</v>
      </c>
      <c r="AL76" s="112">
        <f>AK76/$P76</f>
        <v>0</v>
      </c>
      <c r="AM76" s="89">
        <f>SUM(AM5:AM6)</f>
        <v>0</v>
      </c>
      <c r="AN76" s="112">
        <f>AM76/$P76</f>
        <v>0</v>
      </c>
      <c r="AO76" s="89">
        <f>SUM(AO5:AO6)</f>
        <v>0</v>
      </c>
      <c r="AP76" s="112">
        <f>AO76/$P76</f>
        <v>0</v>
      </c>
      <c r="AQ76" s="89">
        <f>AE76+AG76+AI76+AK76+AM76+AO76</f>
        <v>0</v>
      </c>
      <c r="AR76" s="113">
        <f>AQ76/$P76</f>
        <v>0</v>
      </c>
      <c r="AS76" s="89">
        <f>SUM(AS5:AS6)</f>
        <v>0</v>
      </c>
      <c r="AT76" s="112">
        <f>AS76/$P76</f>
        <v>0</v>
      </c>
      <c r="AU76" s="89">
        <f>SUM(AU5:AU6)</f>
        <v>0</v>
      </c>
      <c r="AV76" s="112">
        <f>AU76/$P76</f>
        <v>0</v>
      </c>
      <c r="AW76" s="89">
        <f>SUM(AW5:AW6)</f>
        <v>0</v>
      </c>
      <c r="AX76" s="112">
        <f>AW76/$P76</f>
        <v>0</v>
      </c>
      <c r="AY76" s="89">
        <f>SUM(AY5:AY6)</f>
        <v>0</v>
      </c>
      <c r="AZ76" s="112">
        <f>AY76/$P76</f>
        <v>0</v>
      </c>
      <c r="BA76" s="89">
        <f>SUM(BA5:BA6)</f>
        <v>0</v>
      </c>
      <c r="BB76" s="112">
        <f>BA76/$P76</f>
        <v>0</v>
      </c>
      <c r="BC76" s="89">
        <f>SUM(BC5:BC6)</f>
        <v>0</v>
      </c>
      <c r="BD76" s="112">
        <f>BC76/$P76</f>
        <v>0</v>
      </c>
      <c r="BE76" s="89">
        <f>AS76+AU76+AW76+AY76+BA76+BC76</f>
        <v>0</v>
      </c>
      <c r="BF76" s="113">
        <f>BE76/$P76</f>
        <v>0</v>
      </c>
      <c r="BG76" s="89">
        <f>SUM(BG5:BG6)</f>
        <v>0</v>
      </c>
      <c r="BH76" s="112">
        <f>BG76/$P76</f>
        <v>0</v>
      </c>
      <c r="BI76" s="89">
        <f>SUM(BI5:BI6)</f>
        <v>0</v>
      </c>
      <c r="BJ76" s="112">
        <f>BI76/$P76</f>
        <v>0</v>
      </c>
      <c r="BK76" s="89">
        <f>SUM(BK5:BK6)</f>
        <v>0</v>
      </c>
      <c r="BL76" s="112">
        <f>BK76/$P76</f>
        <v>0</v>
      </c>
      <c r="BM76" s="89">
        <f>SUM(BM5:BM6)</f>
        <v>0</v>
      </c>
      <c r="BN76" s="112">
        <f>BM76/$P76</f>
        <v>0</v>
      </c>
      <c r="BO76" s="89">
        <f>SUM(BO5:BO6)</f>
        <v>0</v>
      </c>
      <c r="BP76" s="112">
        <f>BO76/$P76</f>
        <v>0</v>
      </c>
      <c r="BQ76" s="89">
        <f>SUM(BQ5:BQ6)</f>
        <v>0</v>
      </c>
      <c r="BR76" s="112">
        <f>BQ76/$P76</f>
        <v>0</v>
      </c>
      <c r="BS76" s="89">
        <f>BG76+BI76+BK76+BM76+BO76+BQ76</f>
        <v>0</v>
      </c>
      <c r="BT76" s="113">
        <f>BS76/$P76</f>
        <v>0</v>
      </c>
      <c r="BU76" s="89">
        <f>SUM(BU5:BU6)</f>
        <v>0</v>
      </c>
      <c r="BV76" s="112">
        <f>BU76/$P76</f>
        <v>0</v>
      </c>
      <c r="BW76" s="89">
        <f>SUM(BW5:BW6)</f>
        <v>0</v>
      </c>
      <c r="BX76" s="112">
        <f>BW76/$P76</f>
        <v>0</v>
      </c>
      <c r="BY76" s="89">
        <f>SUM(BY5:BY6)</f>
        <v>0</v>
      </c>
      <c r="BZ76" s="112">
        <f>BY76/$P76</f>
        <v>0</v>
      </c>
      <c r="CA76" s="89">
        <f>SUM(CA5:CA6)</f>
        <v>0</v>
      </c>
      <c r="CB76" s="112">
        <f>CA76/$P76</f>
        <v>0</v>
      </c>
      <c r="CC76" s="89">
        <f>SUM(CC5:CC6)</f>
        <v>0</v>
      </c>
      <c r="CD76" s="112">
        <f>CC76/$P76</f>
        <v>0</v>
      </c>
      <c r="CE76" s="89">
        <f>SUM(CE5:CE6)</f>
        <v>0</v>
      </c>
      <c r="CF76" s="112">
        <f>CE76/$P76</f>
        <v>0</v>
      </c>
      <c r="CG76" s="89">
        <f>BU76+BW76+BY76+CA76+CC76+CE76</f>
        <v>0</v>
      </c>
      <c r="CH76" s="113">
        <f>CG76/$P76</f>
        <v>0</v>
      </c>
      <c r="CI76" s="89">
        <f>SUM(CI5:CI6)</f>
        <v>0</v>
      </c>
      <c r="CJ76" s="112">
        <f>CI76/$P76</f>
        <v>0</v>
      </c>
      <c r="CK76" s="89">
        <f>SUM(CK5:CK6)</f>
        <v>0</v>
      </c>
      <c r="CL76" s="112">
        <f>CK76/$P76</f>
        <v>0</v>
      </c>
      <c r="CM76" s="89">
        <f>SUM(CM5:CM6)</f>
        <v>0</v>
      </c>
      <c r="CN76" s="112">
        <f>CM76/$P76</f>
        <v>0</v>
      </c>
      <c r="CO76" s="89">
        <f>SUM(CO5:CO6)</f>
        <v>0</v>
      </c>
      <c r="CP76" s="112">
        <f>CO76/$P76</f>
        <v>0</v>
      </c>
      <c r="CQ76" s="89">
        <f>SUM(CQ5:CQ6)</f>
        <v>0</v>
      </c>
      <c r="CR76" s="112">
        <f>CQ76/$P76</f>
        <v>0</v>
      </c>
      <c r="CS76" s="89">
        <f>SUM(CS5:CS6)</f>
        <v>0</v>
      </c>
      <c r="CT76" s="112">
        <f>CS76/$P76</f>
        <v>0</v>
      </c>
      <c r="CU76" s="89">
        <f>CI76+CK76+CM76+CO76+CQ76+CS76</f>
        <v>0</v>
      </c>
      <c r="CV76" s="113">
        <f>CU76/$P76</f>
        <v>0</v>
      </c>
    </row>
    <row r="77" spans="4:106" ht="18" customHeight="1">
      <c r="O77" s="125" t="str">
        <f>B7</f>
        <v>POSTERIOR</v>
      </c>
      <c r="P77" s="89">
        <f>SUM(P7:P25)</f>
        <v>1476.2539999999999</v>
      </c>
      <c r="Q77" s="89">
        <f>SUM(Q7:Q25)</f>
        <v>0</v>
      </c>
      <c r="R77" s="112">
        <f>Q77/$P77</f>
        <v>0</v>
      </c>
      <c r="S77" s="89">
        <f>SUM(S7:S25)</f>
        <v>0</v>
      </c>
      <c r="T77" s="112">
        <f>S77/$P77</f>
        <v>0</v>
      </c>
      <c r="U77" s="89">
        <f>SUM(U7:U25)</f>
        <v>0</v>
      </c>
      <c r="V77" s="112">
        <f>U77/$P77</f>
        <v>0</v>
      </c>
      <c r="W77" s="89">
        <f>SUM(W7:W25)</f>
        <v>0</v>
      </c>
      <c r="X77" s="112">
        <f>W77/$P77</f>
        <v>0</v>
      </c>
      <c r="Y77" s="89">
        <f>SUM(Y7:Y25)</f>
        <v>0</v>
      </c>
      <c r="Z77" s="112">
        <f>Y77/$P77</f>
        <v>0</v>
      </c>
      <c r="AA77" s="89">
        <f>SUM(AA7:AA25)</f>
        <v>0</v>
      </c>
      <c r="AB77" s="112">
        <f>AA77/$P77</f>
        <v>0</v>
      </c>
      <c r="AC77" s="89">
        <f t="shared" ref="AC77:AC79" si="100">Q77+S77+U77+W77+Y77+AA77</f>
        <v>0</v>
      </c>
      <c r="AD77" s="113">
        <f>AC77/$P77</f>
        <v>0</v>
      </c>
      <c r="AE77" s="89">
        <f>SUM(AE7:AE25)</f>
        <v>0</v>
      </c>
      <c r="AF77" s="112">
        <f>AE77/$P77</f>
        <v>0</v>
      </c>
      <c r="AG77" s="89">
        <f>SUM(AG7:AG25)</f>
        <v>0</v>
      </c>
      <c r="AH77" s="112">
        <f>AG77/$P77</f>
        <v>0</v>
      </c>
      <c r="AI77" s="89">
        <f>SUM(AI7:AI25)</f>
        <v>0</v>
      </c>
      <c r="AJ77" s="112">
        <f>AI77/$P77</f>
        <v>0</v>
      </c>
      <c r="AK77" s="89">
        <f>SUM(AK7:AK25)</f>
        <v>0</v>
      </c>
      <c r="AL77" s="112">
        <f>AK77/$P77</f>
        <v>0</v>
      </c>
      <c r="AM77" s="89">
        <f>SUM(AM7:AM25)</f>
        <v>0</v>
      </c>
      <c r="AN77" s="112">
        <f>AM77/$P77</f>
        <v>0</v>
      </c>
      <c r="AO77" s="89">
        <f>SUM(AO7:AO25)</f>
        <v>0</v>
      </c>
      <c r="AP77" s="112">
        <f>AO77/$P77</f>
        <v>0</v>
      </c>
      <c r="AQ77" s="89">
        <f t="shared" ref="AQ77:AQ79" si="101">AE77+AG77+AI77+AK77+AM77+AO77</f>
        <v>0</v>
      </c>
      <c r="AR77" s="113">
        <f>AQ77/$P77</f>
        <v>0</v>
      </c>
      <c r="AS77" s="89">
        <f>SUM(AS7:AS25)</f>
        <v>0</v>
      </c>
      <c r="AT77" s="112">
        <f>AS77/$P77</f>
        <v>0</v>
      </c>
      <c r="AU77" s="89">
        <f>SUM(AU7:AU25)</f>
        <v>0</v>
      </c>
      <c r="AV77" s="112">
        <f>AU77/$P77</f>
        <v>0</v>
      </c>
      <c r="AW77" s="89">
        <f>SUM(AW7:AW25)</f>
        <v>0</v>
      </c>
      <c r="AX77" s="112">
        <f>AW77/$P77</f>
        <v>0</v>
      </c>
      <c r="AY77" s="89">
        <f>SUM(AY7:AY25)</f>
        <v>0</v>
      </c>
      <c r="AZ77" s="112">
        <f>AY77/$P77</f>
        <v>0</v>
      </c>
      <c r="BA77" s="89">
        <f>SUM(BA7:BA25)</f>
        <v>0</v>
      </c>
      <c r="BB77" s="112">
        <f>BA77/$P77</f>
        <v>0</v>
      </c>
      <c r="BC77" s="89">
        <f>SUM(BC7:BC25)</f>
        <v>0</v>
      </c>
      <c r="BD77" s="112">
        <f>BC77/$P77</f>
        <v>0</v>
      </c>
      <c r="BE77" s="89">
        <f t="shared" ref="BE77:BE79" si="102">AS77+AU77+AW77+AY77+BA77+BC77</f>
        <v>0</v>
      </c>
      <c r="BF77" s="113">
        <f>BE77/$P77</f>
        <v>0</v>
      </c>
      <c r="BG77" s="89">
        <f>SUM(BG7:BG25)</f>
        <v>0</v>
      </c>
      <c r="BH77" s="112">
        <f>BG77/$P77</f>
        <v>0</v>
      </c>
      <c r="BI77" s="89">
        <f>SUM(BI7:BI25)</f>
        <v>0</v>
      </c>
      <c r="BJ77" s="112">
        <f>BI77/$P77</f>
        <v>0</v>
      </c>
      <c r="BK77" s="89">
        <f>SUM(BK7:BK25)</f>
        <v>0</v>
      </c>
      <c r="BL77" s="112">
        <f>BK77/$P77</f>
        <v>0</v>
      </c>
      <c r="BM77" s="89">
        <f>SUM(BM7:BM25)</f>
        <v>0</v>
      </c>
      <c r="BN77" s="112">
        <f>BM77/$P77</f>
        <v>0</v>
      </c>
      <c r="BO77" s="89">
        <f>SUM(BO7:BO25)</f>
        <v>0</v>
      </c>
      <c r="BP77" s="112">
        <f>BO77/$P77</f>
        <v>0</v>
      </c>
      <c r="BQ77" s="89">
        <f>SUM(BQ7:BQ25)</f>
        <v>0</v>
      </c>
      <c r="BR77" s="112">
        <f>BQ77/$P77</f>
        <v>0</v>
      </c>
      <c r="BS77" s="89">
        <f t="shared" ref="BS77:BS79" si="103">BG77+BI77+BK77+BM77+BO77+BQ77</f>
        <v>0</v>
      </c>
      <c r="BT77" s="113">
        <f>BS77/$P77</f>
        <v>0</v>
      </c>
      <c r="BU77" s="89">
        <f>SUM(BU7:BU25)</f>
        <v>0</v>
      </c>
      <c r="BV77" s="112">
        <f>BU77/$P77</f>
        <v>0</v>
      </c>
      <c r="BW77" s="89">
        <f>SUM(BW7:BW25)</f>
        <v>0</v>
      </c>
      <c r="BX77" s="112">
        <f>BW77/$P77</f>
        <v>0</v>
      </c>
      <c r="BY77" s="89">
        <f>SUM(BY7:BY25)</f>
        <v>0</v>
      </c>
      <c r="BZ77" s="112">
        <f>BY77/$P77</f>
        <v>0</v>
      </c>
      <c r="CA77" s="89">
        <f>SUM(CA7:CA25)</f>
        <v>0</v>
      </c>
      <c r="CB77" s="112">
        <f>CA77/$P77</f>
        <v>0</v>
      </c>
      <c r="CC77" s="89">
        <f>SUM(CC7:CC25)</f>
        <v>0</v>
      </c>
      <c r="CD77" s="112">
        <f>CC77/$P77</f>
        <v>0</v>
      </c>
      <c r="CE77" s="89">
        <f>SUM(CE7:CE25)</f>
        <v>0</v>
      </c>
      <c r="CF77" s="112">
        <f>CE77/$P77</f>
        <v>0</v>
      </c>
      <c r="CG77" s="89">
        <f t="shared" ref="CG77:CG79" si="104">BU77+BW77+BY77+CA77+CC77+CE77</f>
        <v>0</v>
      </c>
      <c r="CH77" s="113">
        <f>CG77/$P77</f>
        <v>0</v>
      </c>
      <c r="CI77" s="89">
        <f>SUM(CI7:CI25)</f>
        <v>0</v>
      </c>
      <c r="CJ77" s="112">
        <f>CI77/$P77</f>
        <v>0</v>
      </c>
      <c r="CK77" s="89">
        <f>SUM(CK7:CK25)</f>
        <v>0</v>
      </c>
      <c r="CL77" s="112">
        <f>CK77/$P77</f>
        <v>0</v>
      </c>
      <c r="CM77" s="89">
        <f>SUM(CM7:CM25)</f>
        <v>0</v>
      </c>
      <c r="CN77" s="112">
        <f>CM77/$P77</f>
        <v>0</v>
      </c>
      <c r="CO77" s="89">
        <f>SUM(CO7:CO25)</f>
        <v>0</v>
      </c>
      <c r="CP77" s="112">
        <f>CO77/$P77</f>
        <v>0</v>
      </c>
      <c r="CQ77" s="89">
        <f>SUM(CQ7:CQ25)</f>
        <v>0</v>
      </c>
      <c r="CR77" s="112">
        <f>CQ77/$P77</f>
        <v>0</v>
      </c>
      <c r="CS77" s="89">
        <f>SUM(CS7:CS25)</f>
        <v>0</v>
      </c>
      <c r="CT77" s="112">
        <f>CS77/$P77</f>
        <v>0</v>
      </c>
      <c r="CU77" s="89">
        <f t="shared" ref="CU77:CU79" si="105">CI77+CK77+CM77+CO77+CQ77+CS77</f>
        <v>0</v>
      </c>
      <c r="CV77" s="113">
        <f>CU77/$P77</f>
        <v>0</v>
      </c>
    </row>
    <row r="78" spans="4:106" ht="18" customHeight="1">
      <c r="O78" s="125" t="str">
        <f>B26</f>
        <v>CULATA DER</v>
      </c>
      <c r="P78" s="89">
        <f>SUM(P26:P34)</f>
        <v>486.346</v>
      </c>
      <c r="Q78" s="89">
        <f>SUM(Q26:Q34)</f>
        <v>0</v>
      </c>
      <c r="R78" s="112">
        <f>Q78/$P78</f>
        <v>0</v>
      </c>
      <c r="S78" s="89">
        <f>SUM(S26:S34)</f>
        <v>0</v>
      </c>
      <c r="T78" s="112">
        <f>S78/$P78</f>
        <v>0</v>
      </c>
      <c r="U78" s="89">
        <f>SUM(U26:U34)</f>
        <v>0</v>
      </c>
      <c r="V78" s="112">
        <f>U78/$P78</f>
        <v>0</v>
      </c>
      <c r="W78" s="89">
        <f>SUM(W26:W34)</f>
        <v>0</v>
      </c>
      <c r="X78" s="112">
        <f>W78/$P78</f>
        <v>0</v>
      </c>
      <c r="Y78" s="89">
        <f>SUM(Y26:Y34)</f>
        <v>0</v>
      </c>
      <c r="Z78" s="112">
        <f>Y78/$P78</f>
        <v>0</v>
      </c>
      <c r="AA78" s="89">
        <f>SUM(AA26:AA34)</f>
        <v>0</v>
      </c>
      <c r="AB78" s="112">
        <f>AA78/$P78</f>
        <v>0</v>
      </c>
      <c r="AC78" s="89">
        <f t="shared" si="100"/>
        <v>0</v>
      </c>
      <c r="AD78" s="113">
        <f>AC78/$P78</f>
        <v>0</v>
      </c>
      <c r="AE78" s="89">
        <f>SUM(AE26:AE34)</f>
        <v>0</v>
      </c>
      <c r="AF78" s="112">
        <f>AE78/$P78</f>
        <v>0</v>
      </c>
      <c r="AG78" s="89">
        <f>SUM(AG26:AG34)</f>
        <v>0</v>
      </c>
      <c r="AH78" s="112">
        <f>AG78/$P78</f>
        <v>0</v>
      </c>
      <c r="AI78" s="89">
        <f>SUM(AI26:AI34)</f>
        <v>0</v>
      </c>
      <c r="AJ78" s="112">
        <f>AI78/$P78</f>
        <v>0</v>
      </c>
      <c r="AK78" s="89">
        <f>SUM(AK26:AK34)</f>
        <v>0</v>
      </c>
      <c r="AL78" s="112">
        <f>AK78/$P78</f>
        <v>0</v>
      </c>
      <c r="AM78" s="89">
        <f>SUM(AM26:AM34)</f>
        <v>0</v>
      </c>
      <c r="AN78" s="112">
        <f>AM78/$P78</f>
        <v>0</v>
      </c>
      <c r="AO78" s="89">
        <f>SUM(AO26:AO34)</f>
        <v>0</v>
      </c>
      <c r="AP78" s="112">
        <f>AO78/$P78</f>
        <v>0</v>
      </c>
      <c r="AQ78" s="89">
        <f t="shared" si="101"/>
        <v>0</v>
      </c>
      <c r="AR78" s="113">
        <f>AQ78/$P78</f>
        <v>0</v>
      </c>
      <c r="AS78" s="89">
        <f>SUM(AS26:AS34)</f>
        <v>0</v>
      </c>
      <c r="AT78" s="112">
        <f>AS78/$P78</f>
        <v>0</v>
      </c>
      <c r="AU78" s="89">
        <f>SUM(AU26:AU34)</f>
        <v>0</v>
      </c>
      <c r="AV78" s="112">
        <f>AU78/$P78</f>
        <v>0</v>
      </c>
      <c r="AW78" s="89">
        <f>SUM(AW26:AW34)</f>
        <v>0</v>
      </c>
      <c r="AX78" s="112">
        <f>AW78/$P78</f>
        <v>0</v>
      </c>
      <c r="AY78" s="89">
        <f>SUM(AY26:AY34)</f>
        <v>0</v>
      </c>
      <c r="AZ78" s="112">
        <f>AY78/$P78</f>
        <v>0</v>
      </c>
      <c r="BA78" s="89">
        <f>SUM(BA26:BA34)</f>
        <v>0</v>
      </c>
      <c r="BB78" s="112">
        <f>BA78/$P78</f>
        <v>0</v>
      </c>
      <c r="BC78" s="89">
        <f>SUM(BC26:BC34)</f>
        <v>0</v>
      </c>
      <c r="BD78" s="112">
        <f>BC78/$P78</f>
        <v>0</v>
      </c>
      <c r="BE78" s="89">
        <f t="shared" si="102"/>
        <v>0</v>
      </c>
      <c r="BF78" s="113">
        <f>BE78/$P78</f>
        <v>0</v>
      </c>
      <c r="BG78" s="89">
        <f>SUM(BG26:BG34)</f>
        <v>0</v>
      </c>
      <c r="BH78" s="112">
        <f>BG78/$P78</f>
        <v>0</v>
      </c>
      <c r="BI78" s="89">
        <f>SUM(BI26:BI34)</f>
        <v>0</v>
      </c>
      <c r="BJ78" s="112">
        <f>BI78/$P78</f>
        <v>0</v>
      </c>
      <c r="BK78" s="89">
        <f>SUM(BK26:BK34)</f>
        <v>0</v>
      </c>
      <c r="BL78" s="112">
        <f>BK78/$P78</f>
        <v>0</v>
      </c>
      <c r="BM78" s="89">
        <f>SUM(BM26:BM34)</f>
        <v>0</v>
      </c>
      <c r="BN78" s="112">
        <f>BM78/$P78</f>
        <v>0</v>
      </c>
      <c r="BO78" s="89">
        <f>SUM(BO26:BO34)</f>
        <v>0</v>
      </c>
      <c r="BP78" s="112">
        <f>BO78/$P78</f>
        <v>0</v>
      </c>
      <c r="BQ78" s="89">
        <f>SUM(BQ26:BQ34)</f>
        <v>0</v>
      </c>
      <c r="BR78" s="112">
        <f>BQ78/$P78</f>
        <v>0</v>
      </c>
      <c r="BS78" s="89">
        <f t="shared" si="103"/>
        <v>0</v>
      </c>
      <c r="BT78" s="113">
        <f>BS78/$P78</f>
        <v>0</v>
      </c>
      <c r="BU78" s="89">
        <f>SUM(BU26:BU34)</f>
        <v>0</v>
      </c>
      <c r="BV78" s="112">
        <f>BU78/$P78</f>
        <v>0</v>
      </c>
      <c r="BW78" s="89">
        <f>SUM(BW26:BW34)</f>
        <v>0</v>
      </c>
      <c r="BX78" s="112">
        <f>BW78/$P78</f>
        <v>0</v>
      </c>
      <c r="BY78" s="89">
        <f>SUM(BY26:BY34)</f>
        <v>0</v>
      </c>
      <c r="BZ78" s="112">
        <f>BY78/$P78</f>
        <v>0</v>
      </c>
      <c r="CA78" s="89">
        <f>SUM(CA26:CA34)</f>
        <v>0</v>
      </c>
      <c r="CB78" s="112">
        <f>CA78/$P78</f>
        <v>0</v>
      </c>
      <c r="CC78" s="89">
        <f>SUM(CC26:CC34)</f>
        <v>0</v>
      </c>
      <c r="CD78" s="112">
        <f>CC78/$P78</f>
        <v>0</v>
      </c>
      <c r="CE78" s="89">
        <f>SUM(CE26:CE34)</f>
        <v>0</v>
      </c>
      <c r="CF78" s="112">
        <f>CE78/$P78</f>
        <v>0</v>
      </c>
      <c r="CG78" s="89">
        <f t="shared" si="104"/>
        <v>0</v>
      </c>
      <c r="CH78" s="113">
        <f>CG78/$P78</f>
        <v>0</v>
      </c>
      <c r="CI78" s="89">
        <f>SUM(CI26:CI34)</f>
        <v>0</v>
      </c>
      <c r="CJ78" s="112">
        <f>CI78/$P78</f>
        <v>0</v>
      </c>
      <c r="CK78" s="89">
        <f>SUM(CK26:CK34)</f>
        <v>0</v>
      </c>
      <c r="CL78" s="112">
        <f>CK78/$P78</f>
        <v>0</v>
      </c>
      <c r="CM78" s="89">
        <f>SUM(CM26:CM34)</f>
        <v>0</v>
      </c>
      <c r="CN78" s="112">
        <f>CM78/$P78</f>
        <v>0</v>
      </c>
      <c r="CO78" s="89">
        <f>SUM(CO26:CO34)</f>
        <v>0</v>
      </c>
      <c r="CP78" s="112">
        <f>CO78/$P78</f>
        <v>0</v>
      </c>
      <c r="CQ78" s="89">
        <f>SUM(CQ26:CQ34)</f>
        <v>0</v>
      </c>
      <c r="CR78" s="112">
        <f>CQ78/$P78</f>
        <v>0</v>
      </c>
      <c r="CS78" s="89">
        <f>SUM(CS26:CS34)</f>
        <v>0</v>
      </c>
      <c r="CT78" s="112">
        <f>CS78/$P78</f>
        <v>0</v>
      </c>
      <c r="CU78" s="89">
        <f t="shared" si="105"/>
        <v>0</v>
      </c>
      <c r="CV78" s="113">
        <f>CU78/$P78</f>
        <v>0</v>
      </c>
    </row>
    <row r="79" spans="4:106" ht="18" customHeight="1">
      <c r="O79" s="125" t="str">
        <f>B35</f>
        <v>FRONTAL</v>
      </c>
      <c r="P79" s="89">
        <f>SUM(P35:P61)</f>
        <v>1461.5820000000001</v>
      </c>
      <c r="Q79" s="89">
        <f>SUM(Q35:Q61)</f>
        <v>0</v>
      </c>
      <c r="R79" s="112">
        <f>Q79/$P79</f>
        <v>0</v>
      </c>
      <c r="S79" s="89">
        <f>SUM(S35:S61)</f>
        <v>0</v>
      </c>
      <c r="T79" s="112">
        <f>S79/$P79</f>
        <v>0</v>
      </c>
      <c r="U79" s="89">
        <f>SUM(U35:U61)</f>
        <v>0</v>
      </c>
      <c r="V79" s="112">
        <f>U79/$P79</f>
        <v>0</v>
      </c>
      <c r="W79" s="89">
        <f>SUM(W35:W61)</f>
        <v>0</v>
      </c>
      <c r="X79" s="112">
        <f>W79/$P79</f>
        <v>0</v>
      </c>
      <c r="Y79" s="89">
        <f>SUM(Y35:Y61)</f>
        <v>0</v>
      </c>
      <c r="Z79" s="112">
        <f>Y79/$P79</f>
        <v>0</v>
      </c>
      <c r="AA79" s="89">
        <f>SUM(AA35:AA61)</f>
        <v>0</v>
      </c>
      <c r="AB79" s="112">
        <f>AA79/$P79</f>
        <v>0</v>
      </c>
      <c r="AC79" s="89">
        <f t="shared" si="100"/>
        <v>0</v>
      </c>
      <c r="AD79" s="113">
        <f>AC79/$P79</f>
        <v>0</v>
      </c>
      <c r="AE79" s="89">
        <f>SUM(AE35:AE61)</f>
        <v>0</v>
      </c>
      <c r="AF79" s="112">
        <f>AE79/$P79</f>
        <v>0</v>
      </c>
      <c r="AG79" s="89">
        <f>SUM(AG35:AG61)</f>
        <v>0</v>
      </c>
      <c r="AH79" s="112">
        <f>AG79/$P79</f>
        <v>0</v>
      </c>
      <c r="AI79" s="89">
        <f>SUM(AI35:AI61)</f>
        <v>0</v>
      </c>
      <c r="AJ79" s="112">
        <f>AI79/$P79</f>
        <v>0</v>
      </c>
      <c r="AK79" s="89">
        <f>SUM(AK35:AK61)</f>
        <v>0</v>
      </c>
      <c r="AL79" s="112">
        <f>AK79/$P79</f>
        <v>0</v>
      </c>
      <c r="AM79" s="89">
        <f>SUM(AM35:AM61)</f>
        <v>0</v>
      </c>
      <c r="AN79" s="112">
        <f>AM79/$P79</f>
        <v>0</v>
      </c>
      <c r="AO79" s="89">
        <f>SUM(AO35:AO61)</f>
        <v>0</v>
      </c>
      <c r="AP79" s="112">
        <f>AO79/$P79</f>
        <v>0</v>
      </c>
      <c r="AQ79" s="89">
        <f t="shared" si="101"/>
        <v>0</v>
      </c>
      <c r="AR79" s="113">
        <f>AQ79/$P79</f>
        <v>0</v>
      </c>
      <c r="AS79" s="89">
        <f>SUM(AS35:AS61)</f>
        <v>0</v>
      </c>
      <c r="AT79" s="112">
        <f>AS79/$P79</f>
        <v>0</v>
      </c>
      <c r="AU79" s="89">
        <f>SUM(AU35:AU61)</f>
        <v>0</v>
      </c>
      <c r="AV79" s="112">
        <f>AU79/$P79</f>
        <v>0</v>
      </c>
      <c r="AW79" s="89">
        <f>SUM(AW35:AW61)</f>
        <v>0</v>
      </c>
      <c r="AX79" s="112">
        <f>AW79/$P79</f>
        <v>0</v>
      </c>
      <c r="AY79" s="89">
        <f>SUM(AY35:AY61)</f>
        <v>0</v>
      </c>
      <c r="AZ79" s="112">
        <f>AY79/$P79</f>
        <v>0</v>
      </c>
      <c r="BA79" s="89">
        <f>SUM(BA35:BA61)</f>
        <v>0</v>
      </c>
      <c r="BB79" s="112">
        <f>BA79/$P79</f>
        <v>0</v>
      </c>
      <c r="BC79" s="89">
        <f>SUM(BC35:BC61)</f>
        <v>0</v>
      </c>
      <c r="BD79" s="112">
        <f>BC79/$P79</f>
        <v>0</v>
      </c>
      <c r="BE79" s="89">
        <f t="shared" si="102"/>
        <v>0</v>
      </c>
      <c r="BF79" s="113">
        <f>BE79/$P79</f>
        <v>0</v>
      </c>
      <c r="BG79" s="89">
        <f>SUM(BG35:BG61)</f>
        <v>0</v>
      </c>
      <c r="BH79" s="112">
        <f>BG79/$P79</f>
        <v>0</v>
      </c>
      <c r="BI79" s="89">
        <f>SUM(BI35:BI61)</f>
        <v>0</v>
      </c>
      <c r="BJ79" s="112">
        <f>BI79/$P79</f>
        <v>0</v>
      </c>
      <c r="BK79" s="89">
        <f>SUM(BK35:BK61)</f>
        <v>0</v>
      </c>
      <c r="BL79" s="112">
        <f>BK79/$P79</f>
        <v>0</v>
      </c>
      <c r="BM79" s="89">
        <f>SUM(BM35:BM61)</f>
        <v>0</v>
      </c>
      <c r="BN79" s="112">
        <f>BM79/$P79</f>
        <v>0</v>
      </c>
      <c r="BO79" s="89">
        <f>SUM(BO35:BO61)</f>
        <v>0</v>
      </c>
      <c r="BP79" s="112">
        <f>BO79/$P79</f>
        <v>0</v>
      </c>
      <c r="BQ79" s="89">
        <f>SUM(BQ35:BQ61)</f>
        <v>0</v>
      </c>
      <c r="BR79" s="112">
        <f>BQ79/$P79</f>
        <v>0</v>
      </c>
      <c r="BS79" s="89">
        <f t="shared" si="103"/>
        <v>0</v>
      </c>
      <c r="BT79" s="113">
        <f>BS79/$P79</f>
        <v>0</v>
      </c>
      <c r="BU79" s="89">
        <f>SUM(BU35:BU61)</f>
        <v>0</v>
      </c>
      <c r="BV79" s="112">
        <f>BU79/$P79</f>
        <v>0</v>
      </c>
      <c r="BW79" s="89">
        <f>SUM(BW35:BW61)</f>
        <v>0</v>
      </c>
      <c r="BX79" s="112">
        <f>BW79/$P79</f>
        <v>0</v>
      </c>
      <c r="BY79" s="89">
        <f>SUM(BY35:BY61)</f>
        <v>0</v>
      </c>
      <c r="BZ79" s="112">
        <f>BY79/$P79</f>
        <v>0</v>
      </c>
      <c r="CA79" s="89">
        <f>SUM(CA35:CA61)</f>
        <v>0</v>
      </c>
      <c r="CB79" s="112">
        <f>CA79/$P79</f>
        <v>0</v>
      </c>
      <c r="CC79" s="89">
        <f>SUM(CC35:CC61)</f>
        <v>0</v>
      </c>
      <c r="CD79" s="112">
        <f>CC79/$P79</f>
        <v>0</v>
      </c>
      <c r="CE79" s="89">
        <f>SUM(CE35:CE61)</f>
        <v>0</v>
      </c>
      <c r="CF79" s="112">
        <f>CE79/$P79</f>
        <v>0</v>
      </c>
      <c r="CG79" s="89">
        <f t="shared" si="104"/>
        <v>0</v>
      </c>
      <c r="CH79" s="113">
        <f>CG79/$P79</f>
        <v>0</v>
      </c>
      <c r="CI79" s="89">
        <f>SUM(CI35:CI61)</f>
        <v>0</v>
      </c>
      <c r="CJ79" s="112">
        <f>CI79/$P79</f>
        <v>0</v>
      </c>
      <c r="CK79" s="89">
        <f>SUM(CK35:CK61)</f>
        <v>0</v>
      </c>
      <c r="CL79" s="112">
        <f>CK79/$P79</f>
        <v>0</v>
      </c>
      <c r="CM79" s="89">
        <f>SUM(CM35:CM61)</f>
        <v>0</v>
      </c>
      <c r="CN79" s="112">
        <f>CM79/$P79</f>
        <v>0</v>
      </c>
      <c r="CO79" s="89">
        <f>SUM(CO35:CO61)</f>
        <v>0</v>
      </c>
      <c r="CP79" s="112">
        <f>CO79/$P79</f>
        <v>0</v>
      </c>
      <c r="CQ79" s="89">
        <f>SUM(CQ35:CQ61)</f>
        <v>0</v>
      </c>
      <c r="CR79" s="112">
        <f>CQ79/$P79</f>
        <v>0</v>
      </c>
      <c r="CS79" s="89">
        <f>SUM(CS35:CS61)</f>
        <v>0</v>
      </c>
      <c r="CT79" s="112">
        <f>CS79/$P79</f>
        <v>0</v>
      </c>
      <c r="CU79" s="89">
        <f t="shared" si="105"/>
        <v>0</v>
      </c>
      <c r="CV79" s="113">
        <f>CU79/$P79</f>
        <v>0</v>
      </c>
    </row>
    <row r="80" spans="4:106" s="88" customFormat="1" ht="18" customHeight="1">
      <c r="D80" s="1"/>
      <c r="O80" s="1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89"/>
      <c r="AD80" s="89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89"/>
      <c r="AR80" s="89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89"/>
      <c r="BF80" s="89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89"/>
      <c r="BT80" s="89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89"/>
      <c r="CH80" s="89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89"/>
      <c r="CV80" s="89"/>
      <c r="CW80" s="1"/>
      <c r="CX80" s="1"/>
      <c r="CY80" s="1"/>
      <c r="CZ80" s="1"/>
      <c r="DA80" s="1"/>
      <c r="DB80" s="1"/>
    </row>
    <row r="81" spans="4:106" s="88" customFormat="1" ht="18" customHeight="1">
      <c r="D81" s="1"/>
      <c r="O81" s="114"/>
      <c r="P81" s="115">
        <f>SUM(P76:P80)</f>
        <v>3743.0420000000004</v>
      </c>
      <c r="Q81" s="116">
        <f>SUM(Q76:Q80)</f>
        <v>0</v>
      </c>
      <c r="R81" s="112">
        <f>Q81/$P81</f>
        <v>0</v>
      </c>
      <c r="S81" s="116">
        <f>SUM(S76:S80)</f>
        <v>0</v>
      </c>
      <c r="T81" s="112">
        <f>S81/$P81</f>
        <v>0</v>
      </c>
      <c r="U81" s="116">
        <f>SUM(U76:U80)</f>
        <v>0</v>
      </c>
      <c r="V81" s="112">
        <f>U81/$P81</f>
        <v>0</v>
      </c>
      <c r="W81" s="116">
        <f>SUM(W76:W80)</f>
        <v>0</v>
      </c>
      <c r="X81" s="112">
        <f>W81/$P81</f>
        <v>0</v>
      </c>
      <c r="Y81" s="116">
        <f>SUM(Y76:Y80)</f>
        <v>0</v>
      </c>
      <c r="Z81" s="112">
        <f>Y81/$P81</f>
        <v>0</v>
      </c>
      <c r="AA81" s="116">
        <f>SUM(AA76:AA80)</f>
        <v>0</v>
      </c>
      <c r="AB81" s="112">
        <f>AA81/$P81</f>
        <v>0</v>
      </c>
      <c r="AC81" s="115">
        <f>SUM(AC76:AC80)</f>
        <v>0</v>
      </c>
      <c r="AD81" s="127">
        <f>AC81/$P81</f>
        <v>0</v>
      </c>
      <c r="AE81" s="116">
        <f>SUM(AE76:AE80)</f>
        <v>0</v>
      </c>
      <c r="AF81" s="112">
        <f>AE81/$P81</f>
        <v>0</v>
      </c>
      <c r="AG81" s="116">
        <f>SUM(AG76:AG80)</f>
        <v>0</v>
      </c>
      <c r="AH81" s="112">
        <f>AG81/$P81</f>
        <v>0</v>
      </c>
      <c r="AI81" s="116">
        <f>SUM(AI76:AI80)</f>
        <v>0</v>
      </c>
      <c r="AJ81" s="112">
        <f>AI81/$P81</f>
        <v>0</v>
      </c>
      <c r="AK81" s="116">
        <f>SUM(AK76:AK80)</f>
        <v>0</v>
      </c>
      <c r="AL81" s="112">
        <f>AK81/$P81</f>
        <v>0</v>
      </c>
      <c r="AM81" s="116">
        <f>SUM(AM76:AM80)</f>
        <v>0</v>
      </c>
      <c r="AN81" s="112">
        <f>AM81/$P81</f>
        <v>0</v>
      </c>
      <c r="AO81" s="116">
        <f>SUM(AO76:AO80)</f>
        <v>0</v>
      </c>
      <c r="AP81" s="112">
        <f>AO81/$P81</f>
        <v>0</v>
      </c>
      <c r="AQ81" s="115">
        <f>SUM(AQ76:AQ80)</f>
        <v>0</v>
      </c>
      <c r="AR81" s="127">
        <f>AQ81/$P81</f>
        <v>0</v>
      </c>
      <c r="AS81" s="116">
        <f>SUM(AS76:AS80)</f>
        <v>0</v>
      </c>
      <c r="AT81" s="112">
        <f>AS81/$P81</f>
        <v>0</v>
      </c>
      <c r="AU81" s="116">
        <f>SUM(AU76:AU80)</f>
        <v>0</v>
      </c>
      <c r="AV81" s="112">
        <f>AU81/$P81</f>
        <v>0</v>
      </c>
      <c r="AW81" s="116">
        <f>SUM(AW76:AW80)</f>
        <v>0</v>
      </c>
      <c r="AX81" s="112">
        <f>AW81/$P81</f>
        <v>0</v>
      </c>
      <c r="AY81" s="116">
        <f>SUM(AY76:AY80)</f>
        <v>0</v>
      </c>
      <c r="AZ81" s="112">
        <f>AY81/$P81</f>
        <v>0</v>
      </c>
      <c r="BA81" s="116">
        <f>SUM(BA76:BA80)</f>
        <v>0</v>
      </c>
      <c r="BB81" s="112">
        <f>BA81/$P81</f>
        <v>0</v>
      </c>
      <c r="BC81" s="116">
        <f>SUM(BC76:BC80)</f>
        <v>0</v>
      </c>
      <c r="BD81" s="112">
        <f>BC81/$P81</f>
        <v>0</v>
      </c>
      <c r="BE81" s="115">
        <f>SUM(BE76:BE80)</f>
        <v>0</v>
      </c>
      <c r="BF81" s="127">
        <f>BE81/$P81</f>
        <v>0</v>
      </c>
      <c r="BG81" s="116">
        <f>SUM(BG76:BG80)</f>
        <v>0</v>
      </c>
      <c r="BH81" s="112">
        <f>BG81/$P81</f>
        <v>0</v>
      </c>
      <c r="BI81" s="116">
        <f>SUM(BI76:BI80)</f>
        <v>0</v>
      </c>
      <c r="BJ81" s="112">
        <f>BI81/$P81</f>
        <v>0</v>
      </c>
      <c r="BK81" s="116">
        <f>SUM(BK76:BK80)</f>
        <v>0</v>
      </c>
      <c r="BL81" s="112">
        <f>BK81/$P81</f>
        <v>0</v>
      </c>
      <c r="BM81" s="116">
        <f>SUM(BM76:BM80)</f>
        <v>0</v>
      </c>
      <c r="BN81" s="112">
        <f>BM81/$P81</f>
        <v>0</v>
      </c>
      <c r="BO81" s="116">
        <f>SUM(BO76:BO80)</f>
        <v>0</v>
      </c>
      <c r="BP81" s="112">
        <f>BO81/$P81</f>
        <v>0</v>
      </c>
      <c r="BQ81" s="116">
        <f>SUM(BQ76:BQ80)</f>
        <v>0</v>
      </c>
      <c r="BR81" s="112">
        <f>BQ81/$P81</f>
        <v>0</v>
      </c>
      <c r="BS81" s="115">
        <f>SUM(BS76:BS80)</f>
        <v>0</v>
      </c>
      <c r="BT81" s="127">
        <f>BS81/$P81</f>
        <v>0</v>
      </c>
      <c r="BU81" s="116">
        <f>SUM(BU76:BU80)</f>
        <v>0</v>
      </c>
      <c r="BV81" s="112">
        <f>BU81/$P81</f>
        <v>0</v>
      </c>
      <c r="BW81" s="116">
        <f>SUM(BW76:BW80)</f>
        <v>0</v>
      </c>
      <c r="BX81" s="112">
        <f>BW81/$P81</f>
        <v>0</v>
      </c>
      <c r="BY81" s="116">
        <f>SUM(BY76:BY80)</f>
        <v>0</v>
      </c>
      <c r="BZ81" s="112">
        <f>BY81/$P81</f>
        <v>0</v>
      </c>
      <c r="CA81" s="116">
        <f>SUM(CA76:CA80)</f>
        <v>0</v>
      </c>
      <c r="CB81" s="112">
        <f>CA81/$P81</f>
        <v>0</v>
      </c>
      <c r="CC81" s="116">
        <f>SUM(CC76:CC80)</f>
        <v>0</v>
      </c>
      <c r="CD81" s="112">
        <f>CC81/$P81</f>
        <v>0</v>
      </c>
      <c r="CE81" s="116">
        <f>SUM(CE76:CE80)</f>
        <v>0</v>
      </c>
      <c r="CF81" s="112">
        <f>CE81/$P81</f>
        <v>0</v>
      </c>
      <c r="CG81" s="115">
        <f>SUM(CG76:CG80)</f>
        <v>0</v>
      </c>
      <c r="CH81" s="127">
        <f>CG81/$P81</f>
        <v>0</v>
      </c>
      <c r="CI81" s="116">
        <f>SUM(CI76:CI80)</f>
        <v>0</v>
      </c>
      <c r="CJ81" s="112">
        <f>CI81/$P81</f>
        <v>0</v>
      </c>
      <c r="CK81" s="116">
        <f>SUM(CK76:CK80)</f>
        <v>0</v>
      </c>
      <c r="CL81" s="112">
        <f>CK81/$P81</f>
        <v>0</v>
      </c>
      <c r="CM81" s="116">
        <f>SUM(CM76:CM80)</f>
        <v>0</v>
      </c>
      <c r="CN81" s="112">
        <f>CM81/$P81</f>
        <v>0</v>
      </c>
      <c r="CO81" s="116">
        <f>SUM(CO76:CO80)</f>
        <v>0</v>
      </c>
      <c r="CP81" s="112">
        <f>CO81/$P81</f>
        <v>0</v>
      </c>
      <c r="CQ81" s="116">
        <f>SUM(CQ76:CQ80)</f>
        <v>0</v>
      </c>
      <c r="CR81" s="112">
        <f>CQ81/$P81</f>
        <v>0</v>
      </c>
      <c r="CS81" s="116">
        <f>SUM(CS76:CS80)</f>
        <v>0</v>
      </c>
      <c r="CT81" s="112">
        <f>CS81/$P81</f>
        <v>0</v>
      </c>
      <c r="CU81" s="115">
        <f>SUM(CU76:CU80)</f>
        <v>0</v>
      </c>
      <c r="CV81" s="127">
        <f>CU81/$P81</f>
        <v>0</v>
      </c>
      <c r="CW81" s="1"/>
      <c r="CX81" s="1"/>
      <c r="CY81" s="1"/>
      <c r="CZ81" s="1"/>
      <c r="DA81" s="1"/>
      <c r="DB81" s="1"/>
    </row>
    <row r="82" spans="4:106" s="88" customFormat="1" ht="18" customHeight="1">
      <c r="D82" s="1"/>
      <c r="O82" s="1"/>
      <c r="AC82" s="128">
        <f>+P81-AC81</f>
        <v>3743.0420000000004</v>
      </c>
      <c r="AD82" s="129">
        <f>AC82/P81</f>
        <v>1</v>
      </c>
      <c r="AQ82" s="128">
        <f>AC82-AQ81</f>
        <v>3743.0420000000004</v>
      </c>
      <c r="AR82" s="129">
        <f>AQ82/$P81</f>
        <v>1</v>
      </c>
      <c r="BE82" s="128">
        <f>AQ82-BE81</f>
        <v>3743.0420000000004</v>
      </c>
      <c r="BF82" s="129">
        <f>BE82/$P81</f>
        <v>1</v>
      </c>
      <c r="BS82" s="128">
        <f>BE82-BS81</f>
        <v>3743.0420000000004</v>
      </c>
      <c r="BT82" s="129">
        <f>BS82/$P81</f>
        <v>1</v>
      </c>
      <c r="CG82" s="128">
        <f>BS82-CG81</f>
        <v>3743.0420000000004</v>
      </c>
      <c r="CH82" s="129">
        <f>CG82/$P81</f>
        <v>1</v>
      </c>
      <c r="CU82" s="128">
        <f>CG82-CU81</f>
        <v>3743.0420000000004</v>
      </c>
      <c r="CV82" s="129">
        <f>CU82/$P81</f>
        <v>1</v>
      </c>
      <c r="CW82" s="1"/>
      <c r="CX82" s="1"/>
      <c r="CY82" s="1"/>
      <c r="CZ82" s="1"/>
      <c r="DA82" s="1"/>
      <c r="DB82" s="1"/>
    </row>
  </sheetData>
  <mergeCells count="111">
    <mergeCell ref="AC2:AD2"/>
    <mergeCell ref="AE2:AH2"/>
    <mergeCell ref="AQ2:AR2"/>
    <mergeCell ref="AS2:AV2"/>
    <mergeCell ref="AE3:AF3"/>
    <mergeCell ref="AG3:AH3"/>
    <mergeCell ref="AI3:AJ3"/>
    <mergeCell ref="AK3:AL3"/>
    <mergeCell ref="AM3:AN3"/>
    <mergeCell ref="AO3:AP3"/>
    <mergeCell ref="AU3:AV3"/>
    <mergeCell ref="CU2:CV2"/>
    <mergeCell ref="E3:G3"/>
    <mergeCell ref="H3:K3"/>
    <mergeCell ref="Q3:R3"/>
    <mergeCell ref="S3:T3"/>
    <mergeCell ref="U3:V3"/>
    <mergeCell ref="W3:X3"/>
    <mergeCell ref="Y3:Z3"/>
    <mergeCell ref="AA3:AB3"/>
    <mergeCell ref="AC3:AD3"/>
    <mergeCell ref="BE2:BF2"/>
    <mergeCell ref="BG2:BJ2"/>
    <mergeCell ref="BS2:BT2"/>
    <mergeCell ref="BU2:BX2"/>
    <mergeCell ref="CG2:CH2"/>
    <mergeCell ref="CI2:CL2"/>
    <mergeCell ref="A2:O2"/>
    <mergeCell ref="Q2:T2"/>
    <mergeCell ref="BG3:BH3"/>
    <mergeCell ref="BI3:BJ3"/>
    <mergeCell ref="BK3:BL3"/>
    <mergeCell ref="BM3:BN3"/>
    <mergeCell ref="AQ3:AR3"/>
    <mergeCell ref="AS3:AT3"/>
    <mergeCell ref="AW3:AX3"/>
    <mergeCell ref="AY3:AZ3"/>
    <mergeCell ref="BA3:BB3"/>
    <mergeCell ref="CM3:CN3"/>
    <mergeCell ref="CO3:CP3"/>
    <mergeCell ref="CQ3:CR3"/>
    <mergeCell ref="CS3:CT3"/>
    <mergeCell ref="CU3:CV3"/>
    <mergeCell ref="Q73:T73"/>
    <mergeCell ref="AC73:AD73"/>
    <mergeCell ref="AE73:AH73"/>
    <mergeCell ref="AQ73:AR73"/>
    <mergeCell ref="AS73:AV73"/>
    <mergeCell ref="CA3:CB3"/>
    <mergeCell ref="CC3:CD3"/>
    <mergeCell ref="CE3:CF3"/>
    <mergeCell ref="CG3:CH3"/>
    <mergeCell ref="CI3:CJ3"/>
    <mergeCell ref="CK3:CL3"/>
    <mergeCell ref="BO3:BP3"/>
    <mergeCell ref="BQ3:BR3"/>
    <mergeCell ref="BS3:BT3"/>
    <mergeCell ref="BU3:BV3"/>
    <mergeCell ref="BW3:BX3"/>
    <mergeCell ref="BY3:BZ3"/>
    <mergeCell ref="BC3:BD3"/>
    <mergeCell ref="BE3:BF3"/>
    <mergeCell ref="CU73:CV73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BE73:BF73"/>
    <mergeCell ref="BG73:BJ73"/>
    <mergeCell ref="BS73:BT73"/>
    <mergeCell ref="BU73:BX73"/>
    <mergeCell ref="CG73:CH73"/>
    <mergeCell ref="CI73:CL73"/>
    <mergeCell ref="AU74:AV74"/>
    <mergeCell ref="AW74:AX74"/>
    <mergeCell ref="AY74:AZ74"/>
    <mergeCell ref="BA74:BB74"/>
    <mergeCell ref="BC74:BD74"/>
    <mergeCell ref="BE74:BF74"/>
    <mergeCell ref="AI74:AJ74"/>
    <mergeCell ref="AK74:AL74"/>
    <mergeCell ref="AM74:AN74"/>
    <mergeCell ref="AO74:AP74"/>
    <mergeCell ref="AQ74:AR74"/>
    <mergeCell ref="AS74:AT74"/>
    <mergeCell ref="BS74:BT74"/>
    <mergeCell ref="BU74:BV74"/>
    <mergeCell ref="BW74:BX74"/>
    <mergeCell ref="BY74:BZ74"/>
    <mergeCell ref="CA74:CB74"/>
    <mergeCell ref="CC74:CD74"/>
    <mergeCell ref="BG74:BH74"/>
    <mergeCell ref="BI74:BJ74"/>
    <mergeCell ref="BK74:BL74"/>
    <mergeCell ref="BM74:BN74"/>
    <mergeCell ref="BO74:BP74"/>
    <mergeCell ref="BQ74:BR74"/>
    <mergeCell ref="CQ74:CR74"/>
    <mergeCell ref="CS74:CT74"/>
    <mergeCell ref="CU74:CV74"/>
    <mergeCell ref="CE74:CF74"/>
    <mergeCell ref="CG74:CH74"/>
    <mergeCell ref="CI74:CJ74"/>
    <mergeCell ref="CK74:CL74"/>
    <mergeCell ref="CM74:CN74"/>
    <mergeCell ref="CO74:CP7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BEDD-BADD-48C5-88BC-1CEB46267040}">
  <sheetPr>
    <tabColor rgb="FFA7C9D2"/>
  </sheetPr>
  <dimension ref="A2:DB82"/>
  <sheetViews>
    <sheetView topLeftCell="A35" zoomScale="56" zoomScaleNormal="56" workbookViewId="0">
      <selection activeCell="P36" sqref="P36:P61"/>
    </sheetView>
  </sheetViews>
  <sheetFormatPr baseColWidth="10" defaultRowHeight="13.8"/>
  <cols>
    <col min="1" max="1" width="11.5546875" style="88"/>
    <col min="2" max="2" width="14.77734375" style="88" customWidth="1"/>
    <col min="3" max="3" width="11.5546875" style="88"/>
    <col min="4" max="4" width="36.109375" style="1" customWidth="1"/>
    <col min="5" max="11" width="12.77734375" style="88" customWidth="1"/>
    <col min="12" max="17" width="15.77734375" style="88" customWidth="1"/>
    <col min="18" max="18" width="23.21875" style="1" customWidth="1"/>
    <col min="19" max="19" width="12.77734375" style="1" customWidth="1"/>
    <col min="20" max="16384" width="11.5546875" style="1"/>
  </cols>
  <sheetData>
    <row r="2" spans="1:100" ht="25.05" customHeight="1">
      <c r="A2" s="259" t="s">
        <v>181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122"/>
      <c r="Q2" s="257" t="s">
        <v>157</v>
      </c>
      <c r="R2" s="257"/>
      <c r="S2" s="257"/>
      <c r="T2" s="257"/>
      <c r="U2" s="111"/>
      <c r="V2" s="111"/>
      <c r="W2" s="111"/>
      <c r="X2" s="111"/>
      <c r="Y2" s="111"/>
      <c r="Z2" s="111"/>
      <c r="AA2" s="111"/>
      <c r="AB2" s="111"/>
      <c r="AC2" s="256" t="s">
        <v>158</v>
      </c>
      <c r="AD2" s="256"/>
      <c r="AE2" s="257"/>
      <c r="AF2" s="257"/>
      <c r="AG2" s="257"/>
      <c r="AH2" s="257"/>
      <c r="AI2" s="111"/>
      <c r="AJ2" s="111"/>
      <c r="AK2" s="111"/>
      <c r="AL2" s="111"/>
      <c r="AM2" s="111"/>
      <c r="AN2" s="111"/>
      <c r="AO2" s="111"/>
      <c r="AP2" s="111"/>
      <c r="AQ2" s="256" t="s">
        <v>158</v>
      </c>
      <c r="AR2" s="256"/>
      <c r="AS2" s="257"/>
      <c r="AT2" s="257"/>
      <c r="AU2" s="257"/>
      <c r="AV2" s="257"/>
      <c r="AW2" s="111"/>
      <c r="AX2" s="111"/>
      <c r="AY2" s="111"/>
      <c r="AZ2" s="111"/>
      <c r="BA2" s="111"/>
      <c r="BB2" s="111"/>
      <c r="BC2" s="111"/>
      <c r="BD2" s="111"/>
      <c r="BE2" s="256" t="s">
        <v>158</v>
      </c>
      <c r="BF2" s="256"/>
      <c r="BG2" s="257" t="s">
        <v>157</v>
      </c>
      <c r="BH2" s="257"/>
      <c r="BI2" s="257"/>
      <c r="BJ2" s="257"/>
      <c r="BK2" s="111"/>
      <c r="BL2" s="111"/>
      <c r="BM2" s="111"/>
      <c r="BN2" s="111"/>
      <c r="BO2" s="111"/>
      <c r="BP2" s="111"/>
      <c r="BQ2" s="111"/>
      <c r="BR2" s="111"/>
      <c r="BS2" s="256" t="s">
        <v>158</v>
      </c>
      <c r="BT2" s="256"/>
      <c r="BU2" s="257"/>
      <c r="BV2" s="257"/>
      <c r="BW2" s="257"/>
      <c r="BX2" s="257"/>
      <c r="BY2" s="111"/>
      <c r="BZ2" s="111"/>
      <c r="CA2" s="111"/>
      <c r="CB2" s="111"/>
      <c r="CC2" s="111"/>
      <c r="CD2" s="111"/>
      <c r="CE2" s="111"/>
      <c r="CF2" s="111"/>
      <c r="CG2" s="256" t="s">
        <v>158</v>
      </c>
      <c r="CH2" s="256"/>
      <c r="CI2" s="257"/>
      <c r="CJ2" s="257"/>
      <c r="CK2" s="257"/>
      <c r="CL2" s="257"/>
      <c r="CM2" s="111"/>
      <c r="CN2" s="111"/>
      <c r="CO2" s="111"/>
      <c r="CP2" s="111"/>
      <c r="CQ2" s="111"/>
      <c r="CR2" s="111"/>
      <c r="CS2" s="111"/>
      <c r="CT2" s="111"/>
      <c r="CU2" s="256" t="s">
        <v>158</v>
      </c>
      <c r="CV2" s="256"/>
    </row>
    <row r="3" spans="1:100" ht="19.95" customHeight="1">
      <c r="A3" s="147" t="s">
        <v>208</v>
      </c>
      <c r="B3" s="82"/>
      <c r="C3" s="82"/>
      <c r="D3" s="83"/>
      <c r="E3" s="255" t="s">
        <v>88</v>
      </c>
      <c r="F3" s="255"/>
      <c r="G3" s="255"/>
      <c r="H3" s="258" t="s">
        <v>89</v>
      </c>
      <c r="I3" s="258"/>
      <c r="J3" s="258"/>
      <c r="K3" s="258"/>
      <c r="L3" s="82"/>
      <c r="M3" s="82"/>
      <c r="N3" s="99"/>
      <c r="O3" s="148"/>
      <c r="P3" s="149"/>
      <c r="Q3" s="254">
        <v>45817</v>
      </c>
      <c r="R3" s="254"/>
      <c r="S3" s="254">
        <f>+Q3+1</f>
        <v>45818</v>
      </c>
      <c r="T3" s="254"/>
      <c r="U3" s="254">
        <f>+S3+1</f>
        <v>45819</v>
      </c>
      <c r="V3" s="254"/>
      <c r="W3" s="254">
        <f>+U3+1</f>
        <v>45820</v>
      </c>
      <c r="X3" s="254"/>
      <c r="Y3" s="254">
        <f>+W3+1</f>
        <v>45821</v>
      </c>
      <c r="Z3" s="254"/>
      <c r="AA3" s="254">
        <f>+Y3+1</f>
        <v>45822</v>
      </c>
      <c r="AB3" s="254"/>
      <c r="AC3" s="255" t="s">
        <v>159</v>
      </c>
      <c r="AD3" s="255"/>
      <c r="AE3" s="254">
        <f>AA3+2</f>
        <v>45824</v>
      </c>
      <c r="AF3" s="254"/>
      <c r="AG3" s="254">
        <f>+AE3+1</f>
        <v>45825</v>
      </c>
      <c r="AH3" s="254"/>
      <c r="AI3" s="254">
        <f>+AG3+1</f>
        <v>45826</v>
      </c>
      <c r="AJ3" s="254"/>
      <c r="AK3" s="254">
        <f>+AI3+1</f>
        <v>45827</v>
      </c>
      <c r="AL3" s="254"/>
      <c r="AM3" s="254">
        <f>+AK3+1</f>
        <v>45828</v>
      </c>
      <c r="AN3" s="254"/>
      <c r="AO3" s="254">
        <f>+AM3+1</f>
        <v>45829</v>
      </c>
      <c r="AP3" s="254"/>
      <c r="AQ3" s="255" t="s">
        <v>160</v>
      </c>
      <c r="AR3" s="255"/>
      <c r="AS3" s="254">
        <f>AO3+2</f>
        <v>45831</v>
      </c>
      <c r="AT3" s="254"/>
      <c r="AU3" s="254">
        <f>+AS3+1</f>
        <v>45832</v>
      </c>
      <c r="AV3" s="254"/>
      <c r="AW3" s="254">
        <f>+AU3+1</f>
        <v>45833</v>
      </c>
      <c r="AX3" s="254"/>
      <c r="AY3" s="254">
        <f>+AW3+1</f>
        <v>45834</v>
      </c>
      <c r="AZ3" s="254"/>
      <c r="BA3" s="254">
        <f>+AY3+1</f>
        <v>45835</v>
      </c>
      <c r="BB3" s="254"/>
      <c r="BC3" s="254">
        <f>+BA3+1</f>
        <v>45836</v>
      </c>
      <c r="BD3" s="254"/>
      <c r="BE3" s="255" t="s">
        <v>161</v>
      </c>
      <c r="BF3" s="255"/>
      <c r="BG3" s="254">
        <f>BC3+2</f>
        <v>45838</v>
      </c>
      <c r="BH3" s="254"/>
      <c r="BI3" s="254">
        <f>+BG3+1</f>
        <v>45839</v>
      </c>
      <c r="BJ3" s="254"/>
      <c r="BK3" s="254">
        <f>+BI3+1</f>
        <v>45840</v>
      </c>
      <c r="BL3" s="254"/>
      <c r="BM3" s="254">
        <f>+BK3+1</f>
        <v>45841</v>
      </c>
      <c r="BN3" s="254"/>
      <c r="BO3" s="254">
        <f>+BM3+1</f>
        <v>45842</v>
      </c>
      <c r="BP3" s="254"/>
      <c r="BQ3" s="254">
        <f>+BO3+1</f>
        <v>45843</v>
      </c>
      <c r="BR3" s="254"/>
      <c r="BS3" s="255" t="s">
        <v>299</v>
      </c>
      <c r="BT3" s="255"/>
      <c r="BU3" s="254">
        <f>BQ3+2</f>
        <v>45845</v>
      </c>
      <c r="BV3" s="254"/>
      <c r="BW3" s="254">
        <f>+BU3+1</f>
        <v>45846</v>
      </c>
      <c r="BX3" s="254"/>
      <c r="BY3" s="254">
        <f>+BW3+1</f>
        <v>45847</v>
      </c>
      <c r="BZ3" s="254"/>
      <c r="CA3" s="254">
        <f>+BY3+1</f>
        <v>45848</v>
      </c>
      <c r="CB3" s="254"/>
      <c r="CC3" s="254">
        <f>+CA3+1</f>
        <v>45849</v>
      </c>
      <c r="CD3" s="254"/>
      <c r="CE3" s="254">
        <f>+CC3+1</f>
        <v>45850</v>
      </c>
      <c r="CF3" s="254"/>
      <c r="CG3" s="255" t="s">
        <v>300</v>
      </c>
      <c r="CH3" s="255"/>
      <c r="CI3" s="254">
        <f>CE3+2</f>
        <v>45852</v>
      </c>
      <c r="CJ3" s="254"/>
      <c r="CK3" s="254">
        <f>+CI3+1</f>
        <v>45853</v>
      </c>
      <c r="CL3" s="254"/>
      <c r="CM3" s="254">
        <f>+CK3+1</f>
        <v>45854</v>
      </c>
      <c r="CN3" s="254"/>
      <c r="CO3" s="254">
        <f>+CM3+1</f>
        <v>45855</v>
      </c>
      <c r="CP3" s="254"/>
      <c r="CQ3" s="254">
        <f>+CO3+1</f>
        <v>45856</v>
      </c>
      <c r="CR3" s="254"/>
      <c r="CS3" s="254">
        <f>+CQ3+1</f>
        <v>45857</v>
      </c>
      <c r="CT3" s="254"/>
      <c r="CU3" s="255" t="s">
        <v>301</v>
      </c>
      <c r="CV3" s="255"/>
    </row>
    <row r="4" spans="1:100" ht="34.950000000000003" customHeight="1">
      <c r="A4" s="82" t="s">
        <v>90</v>
      </c>
      <c r="B4" s="82" t="s">
        <v>91</v>
      </c>
      <c r="C4" s="82" t="s">
        <v>92</v>
      </c>
      <c r="D4" s="82" t="s">
        <v>93</v>
      </c>
      <c r="E4" s="82" t="s">
        <v>94</v>
      </c>
      <c r="F4" s="82" t="s">
        <v>95</v>
      </c>
      <c r="G4" s="84" t="s">
        <v>96</v>
      </c>
      <c r="H4" s="134" t="s">
        <v>94</v>
      </c>
      <c r="I4" s="134" t="s">
        <v>95</v>
      </c>
      <c r="J4" s="134" t="s">
        <v>97</v>
      </c>
      <c r="K4" s="135" t="s">
        <v>96</v>
      </c>
      <c r="L4" s="136" t="s">
        <v>184</v>
      </c>
      <c r="M4" s="136" t="s">
        <v>185</v>
      </c>
      <c r="N4" s="136" t="s">
        <v>183</v>
      </c>
      <c r="O4" s="136" t="s">
        <v>100</v>
      </c>
      <c r="P4" s="136"/>
      <c r="Q4" s="82" t="s">
        <v>139</v>
      </c>
      <c r="R4" s="84" t="s">
        <v>163</v>
      </c>
      <c r="S4" s="82" t="s">
        <v>139</v>
      </c>
      <c r="T4" s="84" t="s">
        <v>163</v>
      </c>
      <c r="U4" s="82" t="s">
        <v>139</v>
      </c>
      <c r="V4" s="84" t="s">
        <v>163</v>
      </c>
      <c r="W4" s="82" t="s">
        <v>139</v>
      </c>
      <c r="X4" s="84" t="s">
        <v>163</v>
      </c>
      <c r="Y4" s="82" t="s">
        <v>139</v>
      </c>
      <c r="Z4" s="84" t="s">
        <v>163</v>
      </c>
      <c r="AA4" s="84"/>
      <c r="AB4" s="84" t="s">
        <v>163</v>
      </c>
      <c r="AC4" s="82" t="s">
        <v>139</v>
      </c>
      <c r="AD4" s="84" t="s">
        <v>163</v>
      </c>
      <c r="AE4" s="82" t="s">
        <v>139</v>
      </c>
      <c r="AF4" s="84" t="s">
        <v>163</v>
      </c>
      <c r="AG4" s="82" t="s">
        <v>139</v>
      </c>
      <c r="AH4" s="84" t="s">
        <v>163</v>
      </c>
      <c r="AI4" s="82" t="s">
        <v>139</v>
      </c>
      <c r="AJ4" s="84" t="s">
        <v>163</v>
      </c>
      <c r="AK4" s="82" t="s">
        <v>139</v>
      </c>
      <c r="AL4" s="84" t="s">
        <v>163</v>
      </c>
      <c r="AM4" s="82" t="s">
        <v>139</v>
      </c>
      <c r="AN4" s="84" t="s">
        <v>163</v>
      </c>
      <c r="AO4" s="84"/>
      <c r="AP4" s="84" t="s">
        <v>163</v>
      </c>
      <c r="AQ4" s="82" t="s">
        <v>139</v>
      </c>
      <c r="AR4" s="84" t="s">
        <v>163</v>
      </c>
      <c r="AS4" s="82" t="s">
        <v>139</v>
      </c>
      <c r="AT4" s="84" t="s">
        <v>163</v>
      </c>
      <c r="AU4" s="82" t="s">
        <v>139</v>
      </c>
      <c r="AV4" s="84" t="s">
        <v>163</v>
      </c>
      <c r="AW4" s="82" t="s">
        <v>139</v>
      </c>
      <c r="AX4" s="84" t="s">
        <v>163</v>
      </c>
      <c r="AY4" s="82" t="s">
        <v>139</v>
      </c>
      <c r="AZ4" s="84" t="s">
        <v>163</v>
      </c>
      <c r="BA4" s="82" t="s">
        <v>139</v>
      </c>
      <c r="BB4" s="84" t="s">
        <v>163</v>
      </c>
      <c r="BC4" s="84"/>
      <c r="BD4" s="84" t="s">
        <v>163</v>
      </c>
      <c r="BE4" s="82" t="s">
        <v>139</v>
      </c>
      <c r="BF4" s="84" t="s">
        <v>163</v>
      </c>
      <c r="BG4" s="82" t="s">
        <v>139</v>
      </c>
      <c r="BH4" s="84" t="s">
        <v>163</v>
      </c>
      <c r="BI4" s="82" t="s">
        <v>139</v>
      </c>
      <c r="BJ4" s="84" t="s">
        <v>163</v>
      </c>
      <c r="BK4" s="82" t="s">
        <v>139</v>
      </c>
      <c r="BL4" s="84" t="s">
        <v>163</v>
      </c>
      <c r="BM4" s="82" t="s">
        <v>139</v>
      </c>
      <c r="BN4" s="84" t="s">
        <v>163</v>
      </c>
      <c r="BO4" s="82" t="s">
        <v>139</v>
      </c>
      <c r="BP4" s="84" t="s">
        <v>163</v>
      </c>
      <c r="BQ4" s="84"/>
      <c r="BR4" s="84" t="s">
        <v>163</v>
      </c>
      <c r="BS4" s="82" t="s">
        <v>139</v>
      </c>
      <c r="BT4" s="84" t="s">
        <v>163</v>
      </c>
      <c r="BU4" s="82" t="s">
        <v>139</v>
      </c>
      <c r="BV4" s="84" t="s">
        <v>163</v>
      </c>
      <c r="BW4" s="82" t="s">
        <v>139</v>
      </c>
      <c r="BX4" s="84" t="s">
        <v>163</v>
      </c>
      <c r="BY4" s="82" t="s">
        <v>139</v>
      </c>
      <c r="BZ4" s="84" t="s">
        <v>163</v>
      </c>
      <c r="CA4" s="82" t="s">
        <v>139</v>
      </c>
      <c r="CB4" s="84" t="s">
        <v>163</v>
      </c>
      <c r="CC4" s="82" t="s">
        <v>139</v>
      </c>
      <c r="CD4" s="84" t="s">
        <v>163</v>
      </c>
      <c r="CE4" s="84"/>
      <c r="CF4" s="84" t="s">
        <v>163</v>
      </c>
      <c r="CG4" s="82" t="s">
        <v>139</v>
      </c>
      <c r="CH4" s="84" t="s">
        <v>163</v>
      </c>
      <c r="CI4" s="82" t="s">
        <v>139</v>
      </c>
      <c r="CJ4" s="84" t="s">
        <v>163</v>
      </c>
      <c r="CK4" s="82" t="s">
        <v>139</v>
      </c>
      <c r="CL4" s="84" t="s">
        <v>163</v>
      </c>
      <c r="CM4" s="82" t="s">
        <v>139</v>
      </c>
      <c r="CN4" s="84" t="s">
        <v>163</v>
      </c>
      <c r="CO4" s="82" t="s">
        <v>139</v>
      </c>
      <c r="CP4" s="84" t="s">
        <v>163</v>
      </c>
      <c r="CQ4" s="82" t="s">
        <v>139</v>
      </c>
      <c r="CR4" s="84" t="s">
        <v>163</v>
      </c>
      <c r="CS4" s="84"/>
      <c r="CT4" s="84" t="s">
        <v>163</v>
      </c>
      <c r="CU4" s="82" t="s">
        <v>139</v>
      </c>
      <c r="CV4" s="84" t="s">
        <v>163</v>
      </c>
    </row>
    <row r="5" spans="1:100" ht="19.95" customHeight="1">
      <c r="A5" s="86" t="s">
        <v>182</v>
      </c>
      <c r="B5" s="87" t="s">
        <v>204</v>
      </c>
      <c r="C5" s="88">
        <v>1</v>
      </c>
      <c r="D5" s="1" t="s">
        <v>124</v>
      </c>
      <c r="E5" s="88">
        <f>(2.5*14)+0.6</f>
        <v>35.6</v>
      </c>
      <c r="F5" s="88">
        <v>9.6999999999999993</v>
      </c>
      <c r="G5" s="89">
        <f>E5*F5</f>
        <v>345.32</v>
      </c>
      <c r="H5" s="90">
        <v>1.5</v>
      </c>
      <c r="I5" s="90">
        <v>1.2</v>
      </c>
      <c r="J5" s="90">
        <v>14</v>
      </c>
      <c r="K5" s="91">
        <f>(H5*I5)*J5</f>
        <v>25.199999999999996</v>
      </c>
      <c r="M5" s="89"/>
      <c r="N5" s="95">
        <f>G5-(K5+K6)</f>
        <v>318.86</v>
      </c>
      <c r="O5" s="89"/>
      <c r="P5" s="89">
        <f>SUM(L5:O5)</f>
        <v>318.86</v>
      </c>
      <c r="Q5" s="89">
        <v>0</v>
      </c>
      <c r="R5" s="112">
        <f>Q5/$P5</f>
        <v>0</v>
      </c>
      <c r="S5" s="89">
        <v>0</v>
      </c>
      <c r="T5" s="112">
        <f>S5/$P5</f>
        <v>0</v>
      </c>
      <c r="U5" s="89">
        <v>0</v>
      </c>
      <c r="V5" s="112">
        <f>U5/$P5</f>
        <v>0</v>
      </c>
      <c r="W5" s="89">
        <v>0</v>
      </c>
      <c r="X5" s="112">
        <f>W5/$P5</f>
        <v>0</v>
      </c>
      <c r="Y5" s="89">
        <v>0</v>
      </c>
      <c r="Z5" s="112">
        <f>Y5/$P5</f>
        <v>0</v>
      </c>
      <c r="AA5" s="89">
        <v>0</v>
      </c>
      <c r="AB5" s="112">
        <f>AA5/$P5</f>
        <v>0</v>
      </c>
      <c r="AC5" s="89">
        <f>Q5+S5+U5+W5+Y5+AA5</f>
        <v>0</v>
      </c>
      <c r="AD5" s="113">
        <f>AC5/$P5</f>
        <v>0</v>
      </c>
      <c r="AE5" s="89">
        <v>0</v>
      </c>
      <c r="AF5" s="112">
        <f>AE5/$P5</f>
        <v>0</v>
      </c>
      <c r="AG5" s="89">
        <v>0</v>
      </c>
      <c r="AH5" s="112">
        <f>AG5/$P5</f>
        <v>0</v>
      </c>
      <c r="AI5" s="89">
        <v>0</v>
      </c>
      <c r="AJ5" s="112">
        <f>AI5/$P5</f>
        <v>0</v>
      </c>
      <c r="AK5" s="89">
        <v>0</v>
      </c>
      <c r="AL5" s="112">
        <f>AK5/$P5</f>
        <v>0</v>
      </c>
      <c r="AM5" s="89">
        <v>0</v>
      </c>
      <c r="AN5" s="112">
        <f>AM5/$P5</f>
        <v>0</v>
      </c>
      <c r="AO5" s="89">
        <v>0</v>
      </c>
      <c r="AP5" s="112">
        <f>AO5/$P5</f>
        <v>0</v>
      </c>
      <c r="AQ5" s="89">
        <f>AE5+AG5+AI5+AK5+AM5+AO5</f>
        <v>0</v>
      </c>
      <c r="AR5" s="113">
        <f>AQ5/$P5</f>
        <v>0</v>
      </c>
      <c r="AS5" s="89">
        <v>0</v>
      </c>
      <c r="AT5" s="112">
        <f>AS5/$P5</f>
        <v>0</v>
      </c>
      <c r="AU5" s="89">
        <v>0</v>
      </c>
      <c r="AV5" s="112">
        <f>AU5/$P5</f>
        <v>0</v>
      </c>
      <c r="AW5" s="89">
        <v>0</v>
      </c>
      <c r="AX5" s="112">
        <f>AW5/$P5</f>
        <v>0</v>
      </c>
      <c r="AY5" s="89">
        <v>0</v>
      </c>
      <c r="AZ5" s="112">
        <f>AY5/$P5</f>
        <v>0</v>
      </c>
      <c r="BA5" s="89">
        <v>0</v>
      </c>
      <c r="BB5" s="112">
        <f>BA5/$P5</f>
        <v>0</v>
      </c>
      <c r="BC5" s="89">
        <v>0</v>
      </c>
      <c r="BD5" s="112">
        <f>BC5/$P5</f>
        <v>0</v>
      </c>
      <c r="BE5" s="89">
        <f>AS5+AU5+AW5+AY5+BA5+BC5</f>
        <v>0</v>
      </c>
      <c r="BF5" s="113">
        <f>BE5/$P5</f>
        <v>0</v>
      </c>
      <c r="BG5" s="89">
        <v>0</v>
      </c>
      <c r="BH5" s="112">
        <f>BG5/$P5</f>
        <v>0</v>
      </c>
      <c r="BI5" s="89">
        <v>0</v>
      </c>
      <c r="BJ5" s="112">
        <f>BI5/$P5</f>
        <v>0</v>
      </c>
      <c r="BK5" s="89">
        <v>0</v>
      </c>
      <c r="BL5" s="112">
        <f>BK5/$P5</f>
        <v>0</v>
      </c>
      <c r="BM5" s="89">
        <v>0</v>
      </c>
      <c r="BN5" s="112">
        <f>BM5/$P5</f>
        <v>0</v>
      </c>
      <c r="BO5" s="89">
        <v>0</v>
      </c>
      <c r="BP5" s="112">
        <f>BO5/$P5</f>
        <v>0</v>
      </c>
      <c r="BQ5" s="89">
        <v>0</v>
      </c>
      <c r="BR5" s="112">
        <f>BQ5/$P5</f>
        <v>0</v>
      </c>
      <c r="BS5" s="89">
        <f>BG5+BI5+BK5+BM5+BO5+BQ5</f>
        <v>0</v>
      </c>
      <c r="BT5" s="113">
        <f>BS5/$P5</f>
        <v>0</v>
      </c>
      <c r="BU5" s="89">
        <v>0</v>
      </c>
      <c r="BV5" s="112">
        <f>BU5/$P5</f>
        <v>0</v>
      </c>
      <c r="BW5" s="89">
        <v>0</v>
      </c>
      <c r="BX5" s="112">
        <f>BW5/$P5</f>
        <v>0</v>
      </c>
      <c r="BY5" s="89">
        <v>0</v>
      </c>
      <c r="BZ5" s="112">
        <f>BY5/$P5</f>
        <v>0</v>
      </c>
      <c r="CA5" s="89">
        <v>0</v>
      </c>
      <c r="CB5" s="112">
        <f>CA5/$P5</f>
        <v>0</v>
      </c>
      <c r="CC5" s="89">
        <v>0</v>
      </c>
      <c r="CD5" s="112">
        <f>CC5/$P5</f>
        <v>0</v>
      </c>
      <c r="CE5" s="89">
        <v>0</v>
      </c>
      <c r="CF5" s="112">
        <f>CE5/$P5</f>
        <v>0</v>
      </c>
      <c r="CG5" s="89">
        <f>BU5+BW5+BY5+CA5+CC5+CE5</f>
        <v>0</v>
      </c>
      <c r="CH5" s="113">
        <f>CG5/$P5</f>
        <v>0</v>
      </c>
      <c r="CI5" s="89">
        <v>0</v>
      </c>
      <c r="CJ5" s="112">
        <f>CI5/$P5</f>
        <v>0</v>
      </c>
      <c r="CK5" s="89">
        <v>0</v>
      </c>
      <c r="CL5" s="112">
        <f>CK5/$P5</f>
        <v>0</v>
      </c>
      <c r="CM5" s="89">
        <v>0</v>
      </c>
      <c r="CN5" s="112">
        <f>CM5/$P5</f>
        <v>0</v>
      </c>
      <c r="CO5" s="89">
        <v>0</v>
      </c>
      <c r="CP5" s="112">
        <f>CO5/$P5</f>
        <v>0</v>
      </c>
      <c r="CQ5" s="89">
        <v>0</v>
      </c>
      <c r="CR5" s="112">
        <f>CQ5/$P5</f>
        <v>0</v>
      </c>
      <c r="CS5" s="89">
        <v>0</v>
      </c>
      <c r="CT5" s="112">
        <f>CS5/$P5</f>
        <v>0</v>
      </c>
      <c r="CU5" s="89">
        <f>CI5+CK5+CM5+CO5+CQ5+CS5</f>
        <v>0</v>
      </c>
      <c r="CV5" s="113">
        <f>CU5/$P5</f>
        <v>0</v>
      </c>
    </row>
    <row r="6" spans="1:100" ht="19.95" customHeight="1">
      <c r="A6" s="86"/>
      <c r="B6" s="87"/>
      <c r="G6" s="89"/>
      <c r="H6" s="90">
        <v>0.3</v>
      </c>
      <c r="I6" s="90">
        <v>0.3</v>
      </c>
      <c r="J6" s="90">
        <v>14</v>
      </c>
      <c r="K6" s="91">
        <f>(H6*I6)*J6</f>
        <v>1.26</v>
      </c>
      <c r="L6" s="89"/>
      <c r="M6" s="89"/>
      <c r="N6" s="89"/>
      <c r="O6" s="89"/>
      <c r="P6" s="89">
        <f t="shared" ref="P6:P35" si="0">SUM(L6:O6)</f>
        <v>0</v>
      </c>
      <c r="Q6" s="89">
        <v>0</v>
      </c>
      <c r="R6" s="112"/>
      <c r="S6" s="89">
        <v>0</v>
      </c>
      <c r="T6" s="112"/>
      <c r="U6" s="89">
        <v>0</v>
      </c>
      <c r="V6" s="112"/>
      <c r="W6" s="89">
        <v>0</v>
      </c>
      <c r="X6" s="112"/>
      <c r="Y6" s="89">
        <v>0</v>
      </c>
      <c r="Z6" s="112"/>
      <c r="AA6" s="89">
        <v>0</v>
      </c>
      <c r="AB6" s="112"/>
      <c r="AC6" s="89">
        <f t="shared" ref="AC6:AC30" si="1">Q6+S6+U6+W6+Y6+AA6</f>
        <v>0</v>
      </c>
      <c r="AD6" s="113"/>
      <c r="AE6" s="89">
        <v>0</v>
      </c>
      <c r="AF6" s="112"/>
      <c r="AG6" s="89">
        <v>0</v>
      </c>
      <c r="AH6" s="112"/>
      <c r="AI6" s="89">
        <v>0</v>
      </c>
      <c r="AJ6" s="112"/>
      <c r="AK6" s="89">
        <v>0</v>
      </c>
      <c r="AL6" s="112"/>
      <c r="AM6" s="89">
        <v>0</v>
      </c>
      <c r="AN6" s="112"/>
      <c r="AO6" s="89">
        <v>0</v>
      </c>
      <c r="AP6" s="112"/>
      <c r="AQ6" s="89">
        <f t="shared" ref="AQ6:AQ59" si="2">AE6+AG6+AI6+AK6+AM6+AO6</f>
        <v>0</v>
      </c>
      <c r="AR6" s="113"/>
      <c r="AS6" s="89">
        <v>0</v>
      </c>
      <c r="AT6" s="112"/>
      <c r="AU6" s="89">
        <v>0</v>
      </c>
      <c r="AV6" s="112"/>
      <c r="AW6" s="89">
        <v>0</v>
      </c>
      <c r="AX6" s="112"/>
      <c r="AY6" s="89">
        <v>0</v>
      </c>
      <c r="AZ6" s="112"/>
      <c r="BA6" s="89">
        <v>0</v>
      </c>
      <c r="BB6" s="112"/>
      <c r="BC6" s="89">
        <v>0</v>
      </c>
      <c r="BD6" s="112"/>
      <c r="BE6" s="89">
        <f t="shared" ref="BE6:BE59" si="3">AS6+AU6+AW6+AY6+BA6+BC6</f>
        <v>0</v>
      </c>
      <c r="BF6" s="113"/>
      <c r="BG6" s="89">
        <v>0</v>
      </c>
      <c r="BH6" s="112"/>
      <c r="BI6" s="89">
        <v>0</v>
      </c>
      <c r="BJ6" s="112"/>
      <c r="BK6" s="89">
        <v>0</v>
      </c>
      <c r="BL6" s="112"/>
      <c r="BM6" s="89">
        <v>0</v>
      </c>
      <c r="BN6" s="112"/>
      <c r="BO6" s="89">
        <v>0</v>
      </c>
      <c r="BP6" s="112"/>
      <c r="BQ6" s="89">
        <v>0</v>
      </c>
      <c r="BR6" s="112"/>
      <c r="BS6" s="89">
        <f t="shared" ref="BS6:BS59" si="4">BG6+BI6+BK6+BM6+BO6+BQ6</f>
        <v>0</v>
      </c>
      <c r="BT6" s="113"/>
      <c r="BU6" s="89">
        <v>0</v>
      </c>
      <c r="BV6" s="112"/>
      <c r="BW6" s="89">
        <v>0</v>
      </c>
      <c r="BX6" s="112"/>
      <c r="BY6" s="89">
        <v>0</v>
      </c>
      <c r="BZ6" s="112"/>
      <c r="CA6" s="89">
        <v>0</v>
      </c>
      <c r="CB6" s="112"/>
      <c r="CC6" s="89">
        <v>0</v>
      </c>
      <c r="CD6" s="112"/>
      <c r="CE6" s="89">
        <v>0</v>
      </c>
      <c r="CF6" s="112"/>
      <c r="CG6" s="89">
        <f t="shared" ref="CG6:CG59" si="5">BU6+BW6+BY6+CA6+CC6+CE6</f>
        <v>0</v>
      </c>
      <c r="CH6" s="113"/>
      <c r="CI6" s="89">
        <v>0</v>
      </c>
      <c r="CJ6" s="112"/>
      <c r="CK6" s="89">
        <v>0</v>
      </c>
      <c r="CL6" s="112"/>
      <c r="CM6" s="89">
        <v>0</v>
      </c>
      <c r="CN6" s="112"/>
      <c r="CO6" s="89">
        <v>0</v>
      </c>
      <c r="CP6" s="112"/>
      <c r="CQ6" s="89">
        <v>0</v>
      </c>
      <c r="CR6" s="112"/>
      <c r="CS6" s="89">
        <v>0</v>
      </c>
      <c r="CT6" s="112"/>
      <c r="CU6" s="89">
        <f t="shared" ref="CU6:CU59" si="6">CI6+CK6+CM6+CO6+CQ6+CS6</f>
        <v>0</v>
      </c>
      <c r="CV6" s="113"/>
    </row>
    <row r="7" spans="1:100" ht="19.95" customHeight="1">
      <c r="A7" s="86"/>
      <c r="B7" s="87" t="s">
        <v>116</v>
      </c>
      <c r="C7" s="88">
        <v>2</v>
      </c>
      <c r="D7" s="1" t="s">
        <v>124</v>
      </c>
      <c r="E7" s="88">
        <f>E5</f>
        <v>35.6</v>
      </c>
      <c r="F7" s="89">
        <v>6.1</v>
      </c>
      <c r="G7" s="89">
        <f>E7*F7</f>
        <v>217.16</v>
      </c>
      <c r="H7" s="90">
        <v>1.5</v>
      </c>
      <c r="I7" s="90">
        <v>1.2</v>
      </c>
      <c r="J7" s="90">
        <v>28</v>
      </c>
      <c r="K7" s="91">
        <f>(H7*I7)*J7</f>
        <v>50.399999999999991</v>
      </c>
      <c r="M7" s="89"/>
      <c r="N7" s="95">
        <f>G7-K7</f>
        <v>166.76</v>
      </c>
      <c r="O7" s="89"/>
      <c r="P7" s="89">
        <f t="shared" si="0"/>
        <v>166.76</v>
      </c>
      <c r="Q7" s="89">
        <v>0</v>
      </c>
      <c r="R7" s="112">
        <f t="shared" ref="R7:T61" si="7">Q7/$P7</f>
        <v>0</v>
      </c>
      <c r="S7" s="89">
        <v>0</v>
      </c>
      <c r="T7" s="112">
        <f t="shared" si="7"/>
        <v>0</v>
      </c>
      <c r="U7" s="89">
        <v>0</v>
      </c>
      <c r="V7" s="112">
        <f t="shared" ref="V7" si="8">U7/$P7</f>
        <v>0</v>
      </c>
      <c r="W7" s="89">
        <v>0</v>
      </c>
      <c r="X7" s="112">
        <f t="shared" ref="X7" si="9">W7/$P7</f>
        <v>0</v>
      </c>
      <c r="Y7" s="89">
        <v>0</v>
      </c>
      <c r="Z7" s="112">
        <f t="shared" ref="Z7" si="10">Y7/$P7</f>
        <v>0</v>
      </c>
      <c r="AA7" s="89">
        <v>0</v>
      </c>
      <c r="AB7" s="112">
        <f t="shared" ref="AB7" si="11">AA7/$P7</f>
        <v>0</v>
      </c>
      <c r="AC7" s="89">
        <f t="shared" si="1"/>
        <v>0</v>
      </c>
      <c r="AD7" s="113">
        <f t="shared" ref="AD7:AD61" si="12">AC7/$P7</f>
        <v>0</v>
      </c>
      <c r="AE7" s="89">
        <v>0</v>
      </c>
      <c r="AF7" s="112">
        <f t="shared" ref="AF7" si="13">AE7/$P7</f>
        <v>0</v>
      </c>
      <c r="AG7" s="89">
        <v>0</v>
      </c>
      <c r="AH7" s="112">
        <f t="shared" ref="AH7" si="14">AG7/$P7</f>
        <v>0</v>
      </c>
      <c r="AI7" s="89">
        <v>0</v>
      </c>
      <c r="AJ7" s="112">
        <f t="shared" ref="AJ7" si="15">AI7/$P7</f>
        <v>0</v>
      </c>
      <c r="AK7" s="89">
        <v>0</v>
      </c>
      <c r="AL7" s="112">
        <f t="shared" ref="AL7" si="16">AK7/$P7</f>
        <v>0</v>
      </c>
      <c r="AM7" s="89">
        <v>0</v>
      </c>
      <c r="AN7" s="112">
        <f t="shared" ref="AN7" si="17">AM7/$P7</f>
        <v>0</v>
      </c>
      <c r="AO7" s="89">
        <v>0</v>
      </c>
      <c r="AP7" s="112">
        <f t="shared" ref="AP7" si="18">AO7/$P7</f>
        <v>0</v>
      </c>
      <c r="AQ7" s="89">
        <f t="shared" si="2"/>
        <v>0</v>
      </c>
      <c r="AR7" s="113">
        <f t="shared" ref="AR7:AR61" si="19">AQ7/$P7</f>
        <v>0</v>
      </c>
      <c r="AS7" s="89">
        <v>0</v>
      </c>
      <c r="AT7" s="112">
        <f t="shared" ref="AT7" si="20">AS7/$P7</f>
        <v>0</v>
      </c>
      <c r="AU7" s="89">
        <v>0</v>
      </c>
      <c r="AV7" s="112">
        <f t="shared" ref="AV7" si="21">AU7/$P7</f>
        <v>0</v>
      </c>
      <c r="AW7" s="89">
        <v>0</v>
      </c>
      <c r="AX7" s="112">
        <f t="shared" ref="AX7" si="22">AW7/$P7</f>
        <v>0</v>
      </c>
      <c r="AY7" s="89">
        <v>0</v>
      </c>
      <c r="AZ7" s="112">
        <f t="shared" ref="AZ7" si="23">AY7/$P7</f>
        <v>0</v>
      </c>
      <c r="BA7" s="89">
        <v>0</v>
      </c>
      <c r="BB7" s="112">
        <f t="shared" ref="BB7" si="24">BA7/$P7</f>
        <v>0</v>
      </c>
      <c r="BC7" s="89">
        <v>0</v>
      </c>
      <c r="BD7" s="112">
        <f t="shared" ref="BD7" si="25">BC7/$P7</f>
        <v>0</v>
      </c>
      <c r="BE7" s="89">
        <f t="shared" si="3"/>
        <v>0</v>
      </c>
      <c r="BF7" s="113">
        <f t="shared" ref="BF7:BF61" si="26">BE7/$P7</f>
        <v>0</v>
      </c>
      <c r="BG7" s="89">
        <v>0</v>
      </c>
      <c r="BH7" s="112">
        <f t="shared" ref="BH7" si="27">BG7/$P7</f>
        <v>0</v>
      </c>
      <c r="BI7" s="89">
        <v>0</v>
      </c>
      <c r="BJ7" s="112">
        <f t="shared" ref="BJ7" si="28">BI7/$P7</f>
        <v>0</v>
      </c>
      <c r="BK7" s="89">
        <v>0</v>
      </c>
      <c r="BL7" s="112">
        <f t="shared" ref="BL7" si="29">BK7/$P7</f>
        <v>0</v>
      </c>
      <c r="BM7" s="89">
        <v>0</v>
      </c>
      <c r="BN7" s="112">
        <f t="shared" ref="BN7" si="30">BM7/$P7</f>
        <v>0</v>
      </c>
      <c r="BO7" s="89">
        <v>0</v>
      </c>
      <c r="BP7" s="112">
        <f t="shared" ref="BP7" si="31">BO7/$P7</f>
        <v>0</v>
      </c>
      <c r="BQ7" s="89">
        <v>0</v>
      </c>
      <c r="BR7" s="112">
        <f t="shared" ref="BR7" si="32">BQ7/$P7</f>
        <v>0</v>
      </c>
      <c r="BS7" s="89">
        <f t="shared" si="4"/>
        <v>0</v>
      </c>
      <c r="BT7" s="113">
        <f t="shared" ref="BT7:BT61" si="33">BS7/$P7</f>
        <v>0</v>
      </c>
      <c r="BU7" s="89">
        <v>0</v>
      </c>
      <c r="BV7" s="112">
        <f t="shared" ref="BV7" si="34">BU7/$P7</f>
        <v>0</v>
      </c>
      <c r="BW7" s="89">
        <v>0</v>
      </c>
      <c r="BX7" s="112">
        <f t="shared" ref="BX7" si="35">BW7/$P7</f>
        <v>0</v>
      </c>
      <c r="BY7" s="89">
        <v>0</v>
      </c>
      <c r="BZ7" s="112">
        <f t="shared" ref="BZ7" si="36">BY7/$P7</f>
        <v>0</v>
      </c>
      <c r="CA7" s="89">
        <v>0</v>
      </c>
      <c r="CB7" s="112">
        <f t="shared" ref="CB7" si="37">CA7/$P7</f>
        <v>0</v>
      </c>
      <c r="CC7" s="89">
        <v>0</v>
      </c>
      <c r="CD7" s="112">
        <f t="shared" ref="CD7" si="38">CC7/$P7</f>
        <v>0</v>
      </c>
      <c r="CE7" s="89">
        <v>0</v>
      </c>
      <c r="CF7" s="112">
        <f t="shared" ref="CF7" si="39">CE7/$P7</f>
        <v>0</v>
      </c>
      <c r="CG7" s="89">
        <f t="shared" si="5"/>
        <v>0</v>
      </c>
      <c r="CH7" s="113">
        <f t="shared" ref="CH7:CH61" si="40">CG7/$P7</f>
        <v>0</v>
      </c>
      <c r="CI7" s="89">
        <v>0</v>
      </c>
      <c r="CJ7" s="112">
        <f t="shared" ref="CJ7" si="41">CI7/$P7</f>
        <v>0</v>
      </c>
      <c r="CK7" s="89">
        <v>0</v>
      </c>
      <c r="CL7" s="112">
        <f t="shared" ref="CL7" si="42">CK7/$P7</f>
        <v>0</v>
      </c>
      <c r="CM7" s="89">
        <v>0</v>
      </c>
      <c r="CN7" s="112">
        <f t="shared" ref="CN7" si="43">CM7/$P7</f>
        <v>0</v>
      </c>
      <c r="CO7" s="89">
        <v>0</v>
      </c>
      <c r="CP7" s="112">
        <f t="shared" ref="CP7" si="44">CO7/$P7</f>
        <v>0</v>
      </c>
      <c r="CQ7" s="89">
        <v>0</v>
      </c>
      <c r="CR7" s="112">
        <f t="shared" ref="CR7" si="45">CQ7/$P7</f>
        <v>0</v>
      </c>
      <c r="CS7" s="89">
        <v>0</v>
      </c>
      <c r="CT7" s="112">
        <f t="shared" ref="CT7" si="46">CS7/$P7</f>
        <v>0</v>
      </c>
      <c r="CU7" s="89">
        <f t="shared" si="6"/>
        <v>0</v>
      </c>
      <c r="CV7" s="113">
        <f t="shared" ref="CV7:CV61" si="47">CU7/$P7</f>
        <v>0</v>
      </c>
    </row>
    <row r="8" spans="1:100" ht="19.95" customHeight="1">
      <c r="B8" s="87"/>
      <c r="C8" s="88">
        <v>3</v>
      </c>
      <c r="D8" s="1" t="s">
        <v>191</v>
      </c>
      <c r="E8" s="88">
        <v>35</v>
      </c>
      <c r="F8" s="89">
        <v>3.1</v>
      </c>
      <c r="G8" s="89">
        <f>E8*F8</f>
        <v>108.5</v>
      </c>
      <c r="H8" s="90">
        <v>0.25</v>
      </c>
      <c r="I8" s="90">
        <v>3.1</v>
      </c>
      <c r="J8" s="90">
        <v>14</v>
      </c>
      <c r="K8" s="91">
        <f>(H8*I8)*J8</f>
        <v>10.85</v>
      </c>
      <c r="L8" s="89"/>
      <c r="M8" s="89"/>
      <c r="N8" s="95">
        <f>G8-K8</f>
        <v>97.65</v>
      </c>
      <c r="O8" s="89"/>
      <c r="P8" s="89">
        <f t="shared" si="0"/>
        <v>97.65</v>
      </c>
      <c r="Q8" s="89">
        <v>0</v>
      </c>
      <c r="R8" s="112">
        <f t="shared" si="7"/>
        <v>0</v>
      </c>
      <c r="S8" s="89">
        <v>0</v>
      </c>
      <c r="T8" s="112">
        <f t="shared" si="7"/>
        <v>0</v>
      </c>
      <c r="U8" s="89">
        <v>0</v>
      </c>
      <c r="V8" s="112">
        <f t="shared" ref="V8" si="48">U8/$P8</f>
        <v>0</v>
      </c>
      <c r="W8" s="89">
        <v>0</v>
      </c>
      <c r="X8" s="112">
        <f t="shared" ref="X8" si="49">W8/$P8</f>
        <v>0</v>
      </c>
      <c r="Y8" s="89">
        <v>0</v>
      </c>
      <c r="Z8" s="112">
        <f t="shared" ref="Z8" si="50">Y8/$P8</f>
        <v>0</v>
      </c>
      <c r="AA8" s="89">
        <v>0</v>
      </c>
      <c r="AB8" s="112">
        <f t="shared" ref="AB8" si="51">AA8/$P8</f>
        <v>0</v>
      </c>
      <c r="AC8" s="89">
        <f t="shared" si="1"/>
        <v>0</v>
      </c>
      <c r="AD8" s="113">
        <f t="shared" si="12"/>
        <v>0</v>
      </c>
      <c r="AE8" s="89">
        <v>0</v>
      </c>
      <c r="AF8" s="112">
        <f t="shared" ref="AF8" si="52">AE8/$P8</f>
        <v>0</v>
      </c>
      <c r="AG8" s="89">
        <v>0</v>
      </c>
      <c r="AH8" s="112">
        <f t="shared" ref="AH8" si="53">AG8/$P8</f>
        <v>0</v>
      </c>
      <c r="AI8" s="89">
        <v>0</v>
      </c>
      <c r="AJ8" s="112">
        <f t="shared" ref="AJ8" si="54">AI8/$P8</f>
        <v>0</v>
      </c>
      <c r="AK8" s="89">
        <v>0</v>
      </c>
      <c r="AL8" s="112">
        <f t="shared" ref="AL8" si="55">AK8/$P8</f>
        <v>0</v>
      </c>
      <c r="AM8" s="89">
        <v>0</v>
      </c>
      <c r="AN8" s="112">
        <f t="shared" ref="AN8" si="56">AM8/$P8</f>
        <v>0</v>
      </c>
      <c r="AO8" s="89">
        <v>0</v>
      </c>
      <c r="AP8" s="112">
        <f t="shared" ref="AP8" si="57">AO8/$P8</f>
        <v>0</v>
      </c>
      <c r="AQ8" s="89">
        <f t="shared" si="2"/>
        <v>0</v>
      </c>
      <c r="AR8" s="113">
        <f t="shared" si="19"/>
        <v>0</v>
      </c>
      <c r="AS8" s="89">
        <v>0</v>
      </c>
      <c r="AT8" s="112">
        <f t="shared" ref="AT8" si="58">AS8/$P8</f>
        <v>0</v>
      </c>
      <c r="AU8" s="89">
        <v>0</v>
      </c>
      <c r="AV8" s="112">
        <f t="shared" ref="AV8" si="59">AU8/$P8</f>
        <v>0</v>
      </c>
      <c r="AW8" s="89">
        <v>0</v>
      </c>
      <c r="AX8" s="112">
        <f t="shared" ref="AX8" si="60">AW8/$P8</f>
        <v>0</v>
      </c>
      <c r="AY8" s="89">
        <v>0</v>
      </c>
      <c r="AZ8" s="112">
        <f t="shared" ref="AZ8" si="61">AY8/$P8</f>
        <v>0</v>
      </c>
      <c r="BA8" s="89">
        <v>0</v>
      </c>
      <c r="BB8" s="112">
        <f t="shared" ref="BB8" si="62">BA8/$P8</f>
        <v>0</v>
      </c>
      <c r="BC8" s="89">
        <v>0</v>
      </c>
      <c r="BD8" s="112">
        <f t="shared" ref="BD8" si="63">BC8/$P8</f>
        <v>0</v>
      </c>
      <c r="BE8" s="89">
        <f t="shared" si="3"/>
        <v>0</v>
      </c>
      <c r="BF8" s="113">
        <f t="shared" si="26"/>
        <v>0</v>
      </c>
      <c r="BG8" s="89">
        <v>0</v>
      </c>
      <c r="BH8" s="112">
        <f t="shared" ref="BH8" si="64">BG8/$P8</f>
        <v>0</v>
      </c>
      <c r="BI8" s="89">
        <v>0</v>
      </c>
      <c r="BJ8" s="112">
        <f t="shared" ref="BJ8" si="65">BI8/$P8</f>
        <v>0</v>
      </c>
      <c r="BK8" s="89">
        <v>0</v>
      </c>
      <c r="BL8" s="112">
        <f t="shared" ref="BL8" si="66">BK8/$P8</f>
        <v>0</v>
      </c>
      <c r="BM8" s="89">
        <v>0</v>
      </c>
      <c r="BN8" s="112">
        <f t="shared" ref="BN8" si="67">BM8/$P8</f>
        <v>0</v>
      </c>
      <c r="BO8" s="89">
        <v>0</v>
      </c>
      <c r="BP8" s="112">
        <f t="shared" ref="BP8" si="68">BO8/$P8</f>
        <v>0</v>
      </c>
      <c r="BQ8" s="89">
        <v>0</v>
      </c>
      <c r="BR8" s="112">
        <f t="shared" ref="BR8" si="69">BQ8/$P8</f>
        <v>0</v>
      </c>
      <c r="BS8" s="89">
        <f t="shared" si="4"/>
        <v>0</v>
      </c>
      <c r="BT8" s="113">
        <f t="shared" si="33"/>
        <v>0</v>
      </c>
      <c r="BU8" s="89">
        <v>0</v>
      </c>
      <c r="BV8" s="112">
        <f t="shared" ref="BV8" si="70">BU8/$P8</f>
        <v>0</v>
      </c>
      <c r="BW8" s="89">
        <v>0</v>
      </c>
      <c r="BX8" s="112">
        <f t="shared" ref="BX8" si="71">BW8/$P8</f>
        <v>0</v>
      </c>
      <c r="BY8" s="89">
        <v>0</v>
      </c>
      <c r="BZ8" s="112">
        <f t="shared" ref="BZ8" si="72">BY8/$P8</f>
        <v>0</v>
      </c>
      <c r="CA8" s="89">
        <v>0</v>
      </c>
      <c r="CB8" s="112">
        <f t="shared" ref="CB8" si="73">CA8/$P8</f>
        <v>0</v>
      </c>
      <c r="CC8" s="89">
        <v>0</v>
      </c>
      <c r="CD8" s="112">
        <f t="shared" ref="CD8" si="74">CC8/$P8</f>
        <v>0</v>
      </c>
      <c r="CE8" s="89">
        <v>0</v>
      </c>
      <c r="CF8" s="112">
        <f t="shared" ref="CF8" si="75">CE8/$P8</f>
        <v>0</v>
      </c>
      <c r="CG8" s="89">
        <f t="shared" si="5"/>
        <v>0</v>
      </c>
      <c r="CH8" s="113">
        <f t="shared" si="40"/>
        <v>0</v>
      </c>
      <c r="CI8" s="89">
        <v>0</v>
      </c>
      <c r="CJ8" s="112">
        <f t="shared" ref="CJ8" si="76">CI8/$P8</f>
        <v>0</v>
      </c>
      <c r="CK8" s="89">
        <v>0</v>
      </c>
      <c r="CL8" s="112">
        <f t="shared" ref="CL8" si="77">CK8/$P8</f>
        <v>0</v>
      </c>
      <c r="CM8" s="89">
        <v>0</v>
      </c>
      <c r="CN8" s="112">
        <f t="shared" ref="CN8" si="78">CM8/$P8</f>
        <v>0</v>
      </c>
      <c r="CO8" s="89">
        <v>0</v>
      </c>
      <c r="CP8" s="112">
        <f t="shared" ref="CP8" si="79">CO8/$P8</f>
        <v>0</v>
      </c>
      <c r="CQ8" s="89">
        <v>0</v>
      </c>
      <c r="CR8" s="112">
        <f t="shared" ref="CR8" si="80">CQ8/$P8</f>
        <v>0</v>
      </c>
      <c r="CS8" s="89">
        <v>0</v>
      </c>
      <c r="CT8" s="112">
        <f t="shared" ref="CT8" si="81">CS8/$P8</f>
        <v>0</v>
      </c>
      <c r="CU8" s="89">
        <f t="shared" si="6"/>
        <v>0</v>
      </c>
      <c r="CV8" s="113">
        <f t="shared" si="47"/>
        <v>0</v>
      </c>
    </row>
    <row r="9" spans="1:100" ht="19.95" customHeight="1">
      <c r="B9" s="86"/>
      <c r="C9" s="88">
        <v>4</v>
      </c>
      <c r="D9" s="1" t="s">
        <v>192</v>
      </c>
      <c r="E9" s="88">
        <v>35</v>
      </c>
      <c r="F9" s="88">
        <v>2.15</v>
      </c>
      <c r="G9" s="89">
        <f>E9*F9</f>
        <v>75.25</v>
      </c>
      <c r="H9" s="90"/>
      <c r="I9" s="91"/>
      <c r="J9" s="90"/>
      <c r="K9" s="91"/>
      <c r="L9" s="95">
        <f>G9-K9</f>
        <v>75.25</v>
      </c>
      <c r="M9" s="89"/>
      <c r="N9" s="1"/>
      <c r="O9" s="89"/>
      <c r="P9" s="89">
        <f t="shared" si="0"/>
        <v>75.25</v>
      </c>
      <c r="Q9" s="89">
        <v>0</v>
      </c>
      <c r="R9" s="112">
        <f t="shared" si="7"/>
        <v>0</v>
      </c>
      <c r="S9" s="89">
        <v>0</v>
      </c>
      <c r="T9" s="112">
        <f t="shared" si="7"/>
        <v>0</v>
      </c>
      <c r="U9" s="89">
        <v>0</v>
      </c>
      <c r="V9" s="112">
        <f t="shared" ref="V9" si="82">U9/$P9</f>
        <v>0</v>
      </c>
      <c r="W9" s="89">
        <v>0</v>
      </c>
      <c r="X9" s="112">
        <f t="shared" ref="X9" si="83">W9/$P9</f>
        <v>0</v>
      </c>
      <c r="Y9" s="89">
        <v>0</v>
      </c>
      <c r="Z9" s="112">
        <f t="shared" ref="Z9" si="84">Y9/$P9</f>
        <v>0</v>
      </c>
      <c r="AA9" s="89">
        <v>0</v>
      </c>
      <c r="AB9" s="112">
        <f t="shared" ref="AB9" si="85">AA9/$P9</f>
        <v>0</v>
      </c>
      <c r="AC9" s="89">
        <f t="shared" si="1"/>
        <v>0</v>
      </c>
      <c r="AD9" s="113">
        <f t="shared" si="12"/>
        <v>0</v>
      </c>
      <c r="AE9" s="89">
        <v>0</v>
      </c>
      <c r="AF9" s="112">
        <f t="shared" ref="AF9" si="86">AE9/$P9</f>
        <v>0</v>
      </c>
      <c r="AG9" s="89">
        <v>0</v>
      </c>
      <c r="AH9" s="112">
        <f t="shared" ref="AH9" si="87">AG9/$P9</f>
        <v>0</v>
      </c>
      <c r="AI9" s="89">
        <v>0</v>
      </c>
      <c r="AJ9" s="112">
        <f t="shared" ref="AJ9" si="88">AI9/$P9</f>
        <v>0</v>
      </c>
      <c r="AK9" s="89">
        <v>0</v>
      </c>
      <c r="AL9" s="112">
        <f t="shared" ref="AL9" si="89">AK9/$P9</f>
        <v>0</v>
      </c>
      <c r="AM9" s="89">
        <v>0</v>
      </c>
      <c r="AN9" s="112">
        <f t="shared" ref="AN9" si="90">AM9/$P9</f>
        <v>0</v>
      </c>
      <c r="AO9" s="89">
        <v>0</v>
      </c>
      <c r="AP9" s="112">
        <f t="shared" ref="AP9" si="91">AO9/$P9</f>
        <v>0</v>
      </c>
      <c r="AQ9" s="89">
        <f t="shared" si="2"/>
        <v>0</v>
      </c>
      <c r="AR9" s="113">
        <f t="shared" si="19"/>
        <v>0</v>
      </c>
      <c r="AS9" s="89">
        <v>0</v>
      </c>
      <c r="AT9" s="112">
        <f t="shared" ref="AT9" si="92">AS9/$P9</f>
        <v>0</v>
      </c>
      <c r="AU9" s="89">
        <v>0</v>
      </c>
      <c r="AV9" s="112">
        <f t="shared" ref="AV9" si="93">AU9/$P9</f>
        <v>0</v>
      </c>
      <c r="AW9" s="89">
        <v>0</v>
      </c>
      <c r="AX9" s="112">
        <f t="shared" ref="AX9" si="94">AW9/$P9</f>
        <v>0</v>
      </c>
      <c r="AY9" s="89">
        <v>0</v>
      </c>
      <c r="AZ9" s="112">
        <f t="shared" ref="AZ9" si="95">AY9/$P9</f>
        <v>0</v>
      </c>
      <c r="BA9" s="89">
        <v>0</v>
      </c>
      <c r="BB9" s="112">
        <f t="shared" ref="BB9" si="96">BA9/$P9</f>
        <v>0</v>
      </c>
      <c r="BC9" s="89">
        <v>0</v>
      </c>
      <c r="BD9" s="112">
        <f t="shared" ref="BD9" si="97">BC9/$P9</f>
        <v>0</v>
      </c>
      <c r="BE9" s="89">
        <f t="shared" si="3"/>
        <v>0</v>
      </c>
      <c r="BF9" s="113">
        <f t="shared" si="26"/>
        <v>0</v>
      </c>
      <c r="BG9" s="89">
        <v>0</v>
      </c>
      <c r="BH9" s="112">
        <f t="shared" ref="BH9" si="98">BG9/$P9</f>
        <v>0</v>
      </c>
      <c r="BI9" s="89">
        <v>0</v>
      </c>
      <c r="BJ9" s="112">
        <f t="shared" ref="BJ9" si="99">BI9/$P9</f>
        <v>0</v>
      </c>
      <c r="BK9" s="89">
        <v>0</v>
      </c>
      <c r="BL9" s="112">
        <f t="shared" ref="BL9" si="100">BK9/$P9</f>
        <v>0</v>
      </c>
      <c r="BM9" s="89">
        <v>0</v>
      </c>
      <c r="BN9" s="112">
        <f t="shared" ref="BN9" si="101">BM9/$P9</f>
        <v>0</v>
      </c>
      <c r="BO9" s="89">
        <v>0</v>
      </c>
      <c r="BP9" s="112">
        <f t="shared" ref="BP9" si="102">BO9/$P9</f>
        <v>0</v>
      </c>
      <c r="BQ9" s="89">
        <v>0</v>
      </c>
      <c r="BR9" s="112">
        <f t="shared" ref="BR9" si="103">BQ9/$P9</f>
        <v>0</v>
      </c>
      <c r="BS9" s="89">
        <f t="shared" si="4"/>
        <v>0</v>
      </c>
      <c r="BT9" s="113">
        <f t="shared" si="33"/>
        <v>0</v>
      </c>
      <c r="BU9" s="89">
        <v>0</v>
      </c>
      <c r="BV9" s="112">
        <f t="shared" ref="BV9" si="104">BU9/$P9</f>
        <v>0</v>
      </c>
      <c r="BW9" s="89">
        <v>0</v>
      </c>
      <c r="BX9" s="112">
        <f t="shared" ref="BX9" si="105">BW9/$P9</f>
        <v>0</v>
      </c>
      <c r="BY9" s="89">
        <v>0</v>
      </c>
      <c r="BZ9" s="112">
        <f t="shared" ref="BZ9" si="106">BY9/$P9</f>
        <v>0</v>
      </c>
      <c r="CA9" s="89">
        <v>0</v>
      </c>
      <c r="CB9" s="112">
        <f t="shared" ref="CB9" si="107">CA9/$P9</f>
        <v>0</v>
      </c>
      <c r="CC9" s="89">
        <v>0</v>
      </c>
      <c r="CD9" s="112">
        <f t="shared" ref="CD9" si="108">CC9/$P9</f>
        <v>0</v>
      </c>
      <c r="CE9" s="89">
        <v>0</v>
      </c>
      <c r="CF9" s="112">
        <f t="shared" ref="CF9" si="109">CE9/$P9</f>
        <v>0</v>
      </c>
      <c r="CG9" s="89">
        <f t="shared" si="5"/>
        <v>0</v>
      </c>
      <c r="CH9" s="113">
        <f t="shared" si="40"/>
        <v>0</v>
      </c>
      <c r="CI9" s="89">
        <v>0</v>
      </c>
      <c r="CJ9" s="112">
        <f t="shared" ref="CJ9" si="110">CI9/$P9</f>
        <v>0</v>
      </c>
      <c r="CK9" s="89">
        <v>0</v>
      </c>
      <c r="CL9" s="112">
        <f t="shared" ref="CL9" si="111">CK9/$P9</f>
        <v>0</v>
      </c>
      <c r="CM9" s="89">
        <v>0</v>
      </c>
      <c r="CN9" s="112">
        <f t="shared" ref="CN9" si="112">CM9/$P9</f>
        <v>0</v>
      </c>
      <c r="CO9" s="89">
        <v>0</v>
      </c>
      <c r="CP9" s="112">
        <f t="shared" ref="CP9" si="113">CO9/$P9</f>
        <v>0</v>
      </c>
      <c r="CQ9" s="89">
        <v>0</v>
      </c>
      <c r="CR9" s="112">
        <f t="shared" ref="CR9" si="114">CQ9/$P9</f>
        <v>0</v>
      </c>
      <c r="CS9" s="89">
        <v>0</v>
      </c>
      <c r="CT9" s="112">
        <f t="shared" ref="CT9" si="115">CS9/$P9</f>
        <v>0</v>
      </c>
      <c r="CU9" s="89">
        <f t="shared" si="6"/>
        <v>0</v>
      </c>
      <c r="CV9" s="113">
        <f t="shared" si="47"/>
        <v>0</v>
      </c>
    </row>
    <row r="10" spans="1:100" ht="19.95" customHeight="1">
      <c r="B10" s="86"/>
      <c r="C10" s="88">
        <v>5</v>
      </c>
      <c r="D10" s="1" t="s">
        <v>192</v>
      </c>
      <c r="E10" s="88">
        <f>E8</f>
        <v>35</v>
      </c>
      <c r="F10" s="88">
        <v>1.8</v>
      </c>
      <c r="G10" s="89">
        <f t="shared" ref="G10:G11" si="116">E10*F10</f>
        <v>63</v>
      </c>
      <c r="H10" s="90"/>
      <c r="I10" s="91"/>
      <c r="J10" s="90"/>
      <c r="K10" s="91"/>
      <c r="L10" s="95">
        <f>G10-K10</f>
        <v>63</v>
      </c>
      <c r="M10" s="89"/>
      <c r="N10" s="1"/>
      <c r="O10" s="89"/>
      <c r="P10" s="89">
        <f t="shared" si="0"/>
        <v>63</v>
      </c>
      <c r="Q10" s="89">
        <v>0</v>
      </c>
      <c r="R10" s="112">
        <f t="shared" si="7"/>
        <v>0</v>
      </c>
      <c r="S10" s="89">
        <v>0</v>
      </c>
      <c r="T10" s="112">
        <f t="shared" si="7"/>
        <v>0</v>
      </c>
      <c r="U10" s="89">
        <v>0</v>
      </c>
      <c r="V10" s="112">
        <f t="shared" ref="V10" si="117">U10/$P10</f>
        <v>0</v>
      </c>
      <c r="W10" s="89">
        <v>0</v>
      </c>
      <c r="X10" s="112">
        <f t="shared" ref="X10" si="118">W10/$P10</f>
        <v>0</v>
      </c>
      <c r="Y10" s="89">
        <v>0</v>
      </c>
      <c r="Z10" s="112">
        <f t="shared" ref="Z10" si="119">Y10/$P10</f>
        <v>0</v>
      </c>
      <c r="AA10" s="89">
        <v>0</v>
      </c>
      <c r="AB10" s="112">
        <f t="shared" ref="AB10" si="120">AA10/$P10</f>
        <v>0</v>
      </c>
      <c r="AC10" s="89">
        <f t="shared" si="1"/>
        <v>0</v>
      </c>
      <c r="AD10" s="113">
        <f t="shared" si="12"/>
        <v>0</v>
      </c>
      <c r="AE10" s="89">
        <v>0</v>
      </c>
      <c r="AF10" s="112">
        <f t="shared" ref="AF10" si="121">AE10/$P10</f>
        <v>0</v>
      </c>
      <c r="AG10" s="89">
        <v>0</v>
      </c>
      <c r="AH10" s="112">
        <f t="shared" ref="AH10" si="122">AG10/$P10</f>
        <v>0</v>
      </c>
      <c r="AI10" s="89">
        <v>0</v>
      </c>
      <c r="AJ10" s="112">
        <f t="shared" ref="AJ10" si="123">AI10/$P10</f>
        <v>0</v>
      </c>
      <c r="AK10" s="89">
        <v>0</v>
      </c>
      <c r="AL10" s="112">
        <f t="shared" ref="AL10" si="124">AK10/$P10</f>
        <v>0</v>
      </c>
      <c r="AM10" s="89">
        <v>0</v>
      </c>
      <c r="AN10" s="112">
        <f t="shared" ref="AN10" si="125">AM10/$P10</f>
        <v>0</v>
      </c>
      <c r="AO10" s="89">
        <v>0</v>
      </c>
      <c r="AP10" s="112">
        <f t="shared" ref="AP10" si="126">AO10/$P10</f>
        <v>0</v>
      </c>
      <c r="AQ10" s="89">
        <f t="shared" si="2"/>
        <v>0</v>
      </c>
      <c r="AR10" s="113">
        <f t="shared" si="19"/>
        <v>0</v>
      </c>
      <c r="AS10" s="89">
        <v>0</v>
      </c>
      <c r="AT10" s="112">
        <f t="shared" ref="AT10" si="127">AS10/$P10</f>
        <v>0</v>
      </c>
      <c r="AU10" s="89">
        <v>0</v>
      </c>
      <c r="AV10" s="112">
        <f t="shared" ref="AV10" si="128">AU10/$P10</f>
        <v>0</v>
      </c>
      <c r="AW10" s="89">
        <v>0</v>
      </c>
      <c r="AX10" s="112">
        <f t="shared" ref="AX10" si="129">AW10/$P10</f>
        <v>0</v>
      </c>
      <c r="AY10" s="89">
        <v>0</v>
      </c>
      <c r="AZ10" s="112">
        <f t="shared" ref="AZ10" si="130">AY10/$P10</f>
        <v>0</v>
      </c>
      <c r="BA10" s="89">
        <v>0</v>
      </c>
      <c r="BB10" s="112">
        <f t="shared" ref="BB10" si="131">BA10/$P10</f>
        <v>0</v>
      </c>
      <c r="BC10" s="89">
        <v>0</v>
      </c>
      <c r="BD10" s="112">
        <f t="shared" ref="BD10" si="132">BC10/$P10</f>
        <v>0</v>
      </c>
      <c r="BE10" s="89">
        <f t="shared" si="3"/>
        <v>0</v>
      </c>
      <c r="BF10" s="113">
        <f t="shared" si="26"/>
        <v>0</v>
      </c>
      <c r="BG10" s="89">
        <v>0</v>
      </c>
      <c r="BH10" s="112">
        <f t="shared" ref="BH10" si="133">BG10/$P10</f>
        <v>0</v>
      </c>
      <c r="BI10" s="89">
        <v>0</v>
      </c>
      <c r="BJ10" s="112">
        <f t="shared" ref="BJ10" si="134">BI10/$P10</f>
        <v>0</v>
      </c>
      <c r="BK10" s="89">
        <v>0</v>
      </c>
      <c r="BL10" s="112">
        <f t="shared" ref="BL10" si="135">BK10/$P10</f>
        <v>0</v>
      </c>
      <c r="BM10" s="89">
        <v>0</v>
      </c>
      <c r="BN10" s="112">
        <f t="shared" ref="BN10" si="136">BM10/$P10</f>
        <v>0</v>
      </c>
      <c r="BO10" s="89">
        <v>0</v>
      </c>
      <c r="BP10" s="112">
        <f t="shared" ref="BP10" si="137">BO10/$P10</f>
        <v>0</v>
      </c>
      <c r="BQ10" s="89">
        <v>0</v>
      </c>
      <c r="BR10" s="112">
        <f t="shared" ref="BR10" si="138">BQ10/$P10</f>
        <v>0</v>
      </c>
      <c r="BS10" s="89">
        <f t="shared" si="4"/>
        <v>0</v>
      </c>
      <c r="BT10" s="113">
        <f t="shared" si="33"/>
        <v>0</v>
      </c>
      <c r="BU10" s="89">
        <v>0</v>
      </c>
      <c r="BV10" s="112">
        <f t="shared" ref="BV10" si="139">BU10/$P10</f>
        <v>0</v>
      </c>
      <c r="BW10" s="89">
        <v>0</v>
      </c>
      <c r="BX10" s="112">
        <f t="shared" ref="BX10" si="140">BW10/$P10</f>
        <v>0</v>
      </c>
      <c r="BY10" s="89">
        <v>0</v>
      </c>
      <c r="BZ10" s="112">
        <f t="shared" ref="BZ10" si="141">BY10/$P10</f>
        <v>0</v>
      </c>
      <c r="CA10" s="89">
        <v>0</v>
      </c>
      <c r="CB10" s="112">
        <f t="shared" ref="CB10" si="142">CA10/$P10</f>
        <v>0</v>
      </c>
      <c r="CC10" s="89">
        <v>0</v>
      </c>
      <c r="CD10" s="112">
        <f t="shared" ref="CD10" si="143">CC10/$P10</f>
        <v>0</v>
      </c>
      <c r="CE10" s="89">
        <v>0</v>
      </c>
      <c r="CF10" s="112">
        <f t="shared" ref="CF10" si="144">CE10/$P10</f>
        <v>0</v>
      </c>
      <c r="CG10" s="89">
        <f t="shared" si="5"/>
        <v>0</v>
      </c>
      <c r="CH10" s="113">
        <f t="shared" si="40"/>
        <v>0</v>
      </c>
      <c r="CI10" s="89">
        <v>0</v>
      </c>
      <c r="CJ10" s="112">
        <f t="shared" ref="CJ10" si="145">CI10/$P10</f>
        <v>0</v>
      </c>
      <c r="CK10" s="89">
        <v>0</v>
      </c>
      <c r="CL10" s="112">
        <f t="shared" ref="CL10" si="146">CK10/$P10</f>
        <v>0</v>
      </c>
      <c r="CM10" s="89">
        <v>0</v>
      </c>
      <c r="CN10" s="112">
        <f t="shared" ref="CN10" si="147">CM10/$P10</f>
        <v>0</v>
      </c>
      <c r="CO10" s="89">
        <v>0</v>
      </c>
      <c r="CP10" s="112">
        <f t="shared" ref="CP10" si="148">CO10/$P10</f>
        <v>0</v>
      </c>
      <c r="CQ10" s="89">
        <v>0</v>
      </c>
      <c r="CR10" s="112">
        <f t="shared" ref="CR10" si="149">CQ10/$P10</f>
        <v>0</v>
      </c>
      <c r="CS10" s="89">
        <v>0</v>
      </c>
      <c r="CT10" s="112">
        <f t="shared" ref="CT10" si="150">CS10/$P10</f>
        <v>0</v>
      </c>
      <c r="CU10" s="89">
        <f t="shared" si="6"/>
        <v>0</v>
      </c>
      <c r="CV10" s="113">
        <f t="shared" si="47"/>
        <v>0</v>
      </c>
    </row>
    <row r="11" spans="1:100" ht="19.95" customHeight="1">
      <c r="B11" s="86"/>
      <c r="C11" s="88">
        <v>6</v>
      </c>
      <c r="D11" s="1" t="s">
        <v>192</v>
      </c>
      <c r="E11" s="88">
        <f>E8</f>
        <v>35</v>
      </c>
      <c r="F11" s="88">
        <v>2.0499999999999998</v>
      </c>
      <c r="G11" s="89">
        <f t="shared" si="116"/>
        <v>71.75</v>
      </c>
      <c r="H11" s="90"/>
      <c r="I11" s="91"/>
      <c r="J11" s="90"/>
      <c r="K11" s="91"/>
      <c r="L11" s="95">
        <f>G11-K11</f>
        <v>71.75</v>
      </c>
      <c r="M11" s="89"/>
      <c r="N11" s="1"/>
      <c r="O11" s="89"/>
      <c r="P11" s="89">
        <f t="shared" si="0"/>
        <v>71.75</v>
      </c>
      <c r="Q11" s="89">
        <v>0</v>
      </c>
      <c r="R11" s="112">
        <f t="shared" si="7"/>
        <v>0</v>
      </c>
      <c r="S11" s="89">
        <v>0</v>
      </c>
      <c r="T11" s="112">
        <f t="shared" si="7"/>
        <v>0</v>
      </c>
      <c r="U11" s="89">
        <v>0</v>
      </c>
      <c r="V11" s="112">
        <f t="shared" ref="V11" si="151">U11/$P11</f>
        <v>0</v>
      </c>
      <c r="W11" s="89">
        <v>0</v>
      </c>
      <c r="X11" s="112">
        <f t="shared" ref="X11" si="152">W11/$P11</f>
        <v>0</v>
      </c>
      <c r="Y11" s="89">
        <v>0</v>
      </c>
      <c r="Z11" s="112">
        <f t="shared" ref="Z11" si="153">Y11/$P11</f>
        <v>0</v>
      </c>
      <c r="AA11" s="89">
        <v>0</v>
      </c>
      <c r="AB11" s="112">
        <f t="shared" ref="AB11" si="154">AA11/$P11</f>
        <v>0</v>
      </c>
      <c r="AC11" s="89">
        <f t="shared" si="1"/>
        <v>0</v>
      </c>
      <c r="AD11" s="113">
        <f t="shared" si="12"/>
        <v>0</v>
      </c>
      <c r="AE11" s="89">
        <v>0</v>
      </c>
      <c r="AF11" s="112">
        <f t="shared" ref="AF11" si="155">AE11/$P11</f>
        <v>0</v>
      </c>
      <c r="AG11" s="89">
        <v>0</v>
      </c>
      <c r="AH11" s="112">
        <f t="shared" ref="AH11" si="156">AG11/$P11</f>
        <v>0</v>
      </c>
      <c r="AI11" s="89">
        <v>0</v>
      </c>
      <c r="AJ11" s="112">
        <f t="shared" ref="AJ11" si="157">AI11/$P11</f>
        <v>0</v>
      </c>
      <c r="AK11" s="89">
        <v>0</v>
      </c>
      <c r="AL11" s="112">
        <f t="shared" ref="AL11" si="158">AK11/$P11</f>
        <v>0</v>
      </c>
      <c r="AM11" s="89">
        <v>0</v>
      </c>
      <c r="AN11" s="112">
        <f t="shared" ref="AN11" si="159">AM11/$P11</f>
        <v>0</v>
      </c>
      <c r="AO11" s="89">
        <v>0</v>
      </c>
      <c r="AP11" s="112">
        <f t="shared" ref="AP11" si="160">AO11/$P11</f>
        <v>0</v>
      </c>
      <c r="AQ11" s="89">
        <f t="shared" si="2"/>
        <v>0</v>
      </c>
      <c r="AR11" s="113">
        <f t="shared" si="19"/>
        <v>0</v>
      </c>
      <c r="AS11" s="89">
        <v>0</v>
      </c>
      <c r="AT11" s="112">
        <f t="shared" ref="AT11" si="161">AS11/$P11</f>
        <v>0</v>
      </c>
      <c r="AU11" s="89">
        <v>0</v>
      </c>
      <c r="AV11" s="112">
        <f t="shared" ref="AV11" si="162">AU11/$P11</f>
        <v>0</v>
      </c>
      <c r="AW11" s="89">
        <v>0</v>
      </c>
      <c r="AX11" s="112">
        <f t="shared" ref="AX11" si="163">AW11/$P11</f>
        <v>0</v>
      </c>
      <c r="AY11" s="89">
        <v>0</v>
      </c>
      <c r="AZ11" s="112">
        <f t="shared" ref="AZ11" si="164">AY11/$P11</f>
        <v>0</v>
      </c>
      <c r="BA11" s="89">
        <v>0</v>
      </c>
      <c r="BB11" s="112">
        <f t="shared" ref="BB11" si="165">BA11/$P11</f>
        <v>0</v>
      </c>
      <c r="BC11" s="89">
        <v>0</v>
      </c>
      <c r="BD11" s="112">
        <f t="shared" ref="BD11" si="166">BC11/$P11</f>
        <v>0</v>
      </c>
      <c r="BE11" s="89">
        <f t="shared" si="3"/>
        <v>0</v>
      </c>
      <c r="BF11" s="113">
        <f t="shared" si="26"/>
        <v>0</v>
      </c>
      <c r="BG11" s="89">
        <v>0</v>
      </c>
      <c r="BH11" s="112">
        <f t="shared" ref="BH11" si="167">BG11/$P11</f>
        <v>0</v>
      </c>
      <c r="BI11" s="89">
        <v>0</v>
      </c>
      <c r="BJ11" s="112">
        <f t="shared" ref="BJ11" si="168">BI11/$P11</f>
        <v>0</v>
      </c>
      <c r="BK11" s="89">
        <v>0</v>
      </c>
      <c r="BL11" s="112">
        <f t="shared" ref="BL11" si="169">BK11/$P11</f>
        <v>0</v>
      </c>
      <c r="BM11" s="89">
        <v>0</v>
      </c>
      <c r="BN11" s="112">
        <f t="shared" ref="BN11" si="170">BM11/$P11</f>
        <v>0</v>
      </c>
      <c r="BO11" s="89">
        <v>0</v>
      </c>
      <c r="BP11" s="112">
        <f t="shared" ref="BP11" si="171">BO11/$P11</f>
        <v>0</v>
      </c>
      <c r="BQ11" s="89">
        <v>0</v>
      </c>
      <c r="BR11" s="112">
        <f t="shared" ref="BR11" si="172">BQ11/$P11</f>
        <v>0</v>
      </c>
      <c r="BS11" s="89">
        <f t="shared" si="4"/>
        <v>0</v>
      </c>
      <c r="BT11" s="113">
        <f t="shared" si="33"/>
        <v>0</v>
      </c>
      <c r="BU11" s="89">
        <v>0</v>
      </c>
      <c r="BV11" s="112">
        <f t="shared" ref="BV11" si="173">BU11/$P11</f>
        <v>0</v>
      </c>
      <c r="BW11" s="89">
        <v>0</v>
      </c>
      <c r="BX11" s="112">
        <f t="shared" ref="BX11" si="174">BW11/$P11</f>
        <v>0</v>
      </c>
      <c r="BY11" s="89">
        <v>0</v>
      </c>
      <c r="BZ11" s="112">
        <f t="shared" ref="BZ11" si="175">BY11/$P11</f>
        <v>0</v>
      </c>
      <c r="CA11" s="89">
        <v>0</v>
      </c>
      <c r="CB11" s="112">
        <f t="shared" ref="CB11" si="176">CA11/$P11</f>
        <v>0</v>
      </c>
      <c r="CC11" s="89">
        <v>0</v>
      </c>
      <c r="CD11" s="112">
        <f t="shared" ref="CD11" si="177">CC11/$P11</f>
        <v>0</v>
      </c>
      <c r="CE11" s="89">
        <v>0</v>
      </c>
      <c r="CF11" s="112">
        <f t="shared" ref="CF11" si="178">CE11/$P11</f>
        <v>0</v>
      </c>
      <c r="CG11" s="89">
        <f t="shared" si="5"/>
        <v>0</v>
      </c>
      <c r="CH11" s="113">
        <f t="shared" si="40"/>
        <v>0</v>
      </c>
      <c r="CI11" s="89">
        <v>0</v>
      </c>
      <c r="CJ11" s="112">
        <f t="shared" ref="CJ11" si="179">CI11/$P11</f>
        <v>0</v>
      </c>
      <c r="CK11" s="89">
        <v>0</v>
      </c>
      <c r="CL11" s="112">
        <f t="shared" ref="CL11" si="180">CK11/$P11</f>
        <v>0</v>
      </c>
      <c r="CM11" s="89">
        <v>0</v>
      </c>
      <c r="CN11" s="112">
        <f t="shared" ref="CN11" si="181">CM11/$P11</f>
        <v>0</v>
      </c>
      <c r="CO11" s="89">
        <v>0</v>
      </c>
      <c r="CP11" s="112">
        <f t="shared" ref="CP11" si="182">CO11/$P11</f>
        <v>0</v>
      </c>
      <c r="CQ11" s="89">
        <v>0</v>
      </c>
      <c r="CR11" s="112">
        <f t="shared" ref="CR11" si="183">CQ11/$P11</f>
        <v>0</v>
      </c>
      <c r="CS11" s="89">
        <v>0</v>
      </c>
      <c r="CT11" s="112">
        <f t="shared" ref="CT11" si="184">CS11/$P11</f>
        <v>0</v>
      </c>
      <c r="CU11" s="89">
        <f t="shared" si="6"/>
        <v>0</v>
      </c>
      <c r="CV11" s="113">
        <f t="shared" si="47"/>
        <v>0</v>
      </c>
    </row>
    <row r="12" spans="1:100" ht="19.95" customHeight="1">
      <c r="B12" s="86"/>
      <c r="C12" s="88">
        <v>7</v>
      </c>
      <c r="D12" s="1" t="s">
        <v>194</v>
      </c>
      <c r="E12" s="88">
        <v>0.5</v>
      </c>
      <c r="F12" s="88">
        <v>1.44</v>
      </c>
      <c r="G12" s="89">
        <f>E12*F12*14</f>
        <v>10.08</v>
      </c>
      <c r="H12" s="90"/>
      <c r="I12" s="90"/>
      <c r="J12" s="90"/>
      <c r="K12" s="91"/>
      <c r="L12" s="95">
        <f>G12-K12</f>
        <v>10.08</v>
      </c>
      <c r="O12" s="89"/>
      <c r="P12" s="89">
        <f t="shared" si="0"/>
        <v>10.08</v>
      </c>
      <c r="Q12" s="89">
        <v>0</v>
      </c>
      <c r="R12" s="112">
        <f t="shared" si="7"/>
        <v>0</v>
      </c>
      <c r="S12" s="89">
        <v>0</v>
      </c>
      <c r="T12" s="112">
        <f t="shared" si="7"/>
        <v>0</v>
      </c>
      <c r="U12" s="89">
        <v>0</v>
      </c>
      <c r="V12" s="112">
        <f t="shared" ref="V12" si="185">U12/$P12</f>
        <v>0</v>
      </c>
      <c r="W12" s="89">
        <v>0</v>
      </c>
      <c r="X12" s="112">
        <f t="shared" ref="X12" si="186">W12/$P12</f>
        <v>0</v>
      </c>
      <c r="Y12" s="89">
        <v>0</v>
      </c>
      <c r="Z12" s="112">
        <f t="shared" ref="Z12" si="187">Y12/$P12</f>
        <v>0</v>
      </c>
      <c r="AA12" s="89">
        <v>0</v>
      </c>
      <c r="AB12" s="112">
        <f t="shared" ref="AB12" si="188">AA12/$P12</f>
        <v>0</v>
      </c>
      <c r="AC12" s="89">
        <f t="shared" si="1"/>
        <v>0</v>
      </c>
      <c r="AD12" s="113">
        <f t="shared" si="12"/>
        <v>0</v>
      </c>
      <c r="AE12" s="89">
        <v>0</v>
      </c>
      <c r="AF12" s="112">
        <f t="shared" ref="AF12" si="189">AE12/$P12</f>
        <v>0</v>
      </c>
      <c r="AG12" s="89">
        <v>0</v>
      </c>
      <c r="AH12" s="112">
        <f t="shared" ref="AH12" si="190">AG12/$P12</f>
        <v>0</v>
      </c>
      <c r="AI12" s="89">
        <v>0</v>
      </c>
      <c r="AJ12" s="112">
        <f t="shared" ref="AJ12" si="191">AI12/$P12</f>
        <v>0</v>
      </c>
      <c r="AK12" s="89">
        <v>0</v>
      </c>
      <c r="AL12" s="112">
        <f t="shared" ref="AL12" si="192">AK12/$P12</f>
        <v>0</v>
      </c>
      <c r="AM12" s="89">
        <v>0</v>
      </c>
      <c r="AN12" s="112">
        <f t="shared" ref="AN12" si="193">AM12/$P12</f>
        <v>0</v>
      </c>
      <c r="AO12" s="89">
        <v>0</v>
      </c>
      <c r="AP12" s="112">
        <f t="shared" ref="AP12" si="194">AO12/$P12</f>
        <v>0</v>
      </c>
      <c r="AQ12" s="89">
        <f t="shared" si="2"/>
        <v>0</v>
      </c>
      <c r="AR12" s="113">
        <f t="shared" si="19"/>
        <v>0</v>
      </c>
      <c r="AS12" s="89">
        <v>0</v>
      </c>
      <c r="AT12" s="112">
        <f t="shared" ref="AT12" si="195">AS12/$P12</f>
        <v>0</v>
      </c>
      <c r="AU12" s="89">
        <v>0</v>
      </c>
      <c r="AV12" s="112">
        <f t="shared" ref="AV12" si="196">AU12/$P12</f>
        <v>0</v>
      </c>
      <c r="AW12" s="89">
        <v>0</v>
      </c>
      <c r="AX12" s="112">
        <f t="shared" ref="AX12" si="197">AW12/$P12</f>
        <v>0</v>
      </c>
      <c r="AY12" s="89">
        <v>0</v>
      </c>
      <c r="AZ12" s="112">
        <f t="shared" ref="AZ12" si="198">AY12/$P12</f>
        <v>0</v>
      </c>
      <c r="BA12" s="89">
        <v>0</v>
      </c>
      <c r="BB12" s="112">
        <f t="shared" ref="BB12" si="199">BA12/$P12</f>
        <v>0</v>
      </c>
      <c r="BC12" s="89">
        <v>0</v>
      </c>
      <c r="BD12" s="112">
        <f t="shared" ref="BD12" si="200">BC12/$P12</f>
        <v>0</v>
      </c>
      <c r="BE12" s="89">
        <f t="shared" si="3"/>
        <v>0</v>
      </c>
      <c r="BF12" s="113">
        <f t="shared" si="26"/>
        <v>0</v>
      </c>
      <c r="BG12" s="89">
        <v>0</v>
      </c>
      <c r="BH12" s="112">
        <f t="shared" ref="BH12" si="201">BG12/$P12</f>
        <v>0</v>
      </c>
      <c r="BI12" s="89">
        <v>0</v>
      </c>
      <c r="BJ12" s="112">
        <f t="shared" ref="BJ12" si="202">BI12/$P12</f>
        <v>0</v>
      </c>
      <c r="BK12" s="89">
        <v>0</v>
      </c>
      <c r="BL12" s="112">
        <f t="shared" ref="BL12" si="203">BK12/$P12</f>
        <v>0</v>
      </c>
      <c r="BM12" s="89">
        <v>0</v>
      </c>
      <c r="BN12" s="112">
        <f t="shared" ref="BN12" si="204">BM12/$P12</f>
        <v>0</v>
      </c>
      <c r="BO12" s="89">
        <v>0</v>
      </c>
      <c r="BP12" s="112">
        <f t="shared" ref="BP12" si="205">BO12/$P12</f>
        <v>0</v>
      </c>
      <c r="BQ12" s="89">
        <v>0</v>
      </c>
      <c r="BR12" s="112">
        <f t="shared" ref="BR12" si="206">BQ12/$P12</f>
        <v>0</v>
      </c>
      <c r="BS12" s="89">
        <f t="shared" si="4"/>
        <v>0</v>
      </c>
      <c r="BT12" s="113">
        <f t="shared" si="33"/>
        <v>0</v>
      </c>
      <c r="BU12" s="89">
        <v>0</v>
      </c>
      <c r="BV12" s="112">
        <f t="shared" ref="BV12" si="207">BU12/$P12</f>
        <v>0</v>
      </c>
      <c r="BW12" s="89">
        <v>0</v>
      </c>
      <c r="BX12" s="112">
        <f t="shared" ref="BX12" si="208">BW12/$P12</f>
        <v>0</v>
      </c>
      <c r="BY12" s="89">
        <v>0</v>
      </c>
      <c r="BZ12" s="112">
        <f t="shared" ref="BZ12" si="209">BY12/$P12</f>
        <v>0</v>
      </c>
      <c r="CA12" s="89">
        <v>0</v>
      </c>
      <c r="CB12" s="112">
        <f t="shared" ref="CB12" si="210">CA12/$P12</f>
        <v>0</v>
      </c>
      <c r="CC12" s="89">
        <v>0</v>
      </c>
      <c r="CD12" s="112">
        <f t="shared" ref="CD12" si="211">CC12/$P12</f>
        <v>0</v>
      </c>
      <c r="CE12" s="89">
        <v>0</v>
      </c>
      <c r="CF12" s="112">
        <f t="shared" ref="CF12" si="212">CE12/$P12</f>
        <v>0</v>
      </c>
      <c r="CG12" s="89">
        <f t="shared" si="5"/>
        <v>0</v>
      </c>
      <c r="CH12" s="113">
        <f t="shared" si="40"/>
        <v>0</v>
      </c>
      <c r="CI12" s="89">
        <v>0</v>
      </c>
      <c r="CJ12" s="112">
        <f t="shared" ref="CJ12" si="213">CI12/$P12</f>
        <v>0</v>
      </c>
      <c r="CK12" s="89">
        <v>0</v>
      </c>
      <c r="CL12" s="112">
        <f t="shared" ref="CL12" si="214">CK12/$P12</f>
        <v>0</v>
      </c>
      <c r="CM12" s="89">
        <v>0</v>
      </c>
      <c r="CN12" s="112">
        <f t="shared" ref="CN12" si="215">CM12/$P12</f>
        <v>0</v>
      </c>
      <c r="CO12" s="89">
        <v>0</v>
      </c>
      <c r="CP12" s="112">
        <f t="shared" ref="CP12" si="216">CO12/$P12</f>
        <v>0</v>
      </c>
      <c r="CQ12" s="89">
        <v>0</v>
      </c>
      <c r="CR12" s="112">
        <f t="shared" ref="CR12" si="217">CQ12/$P12</f>
        <v>0</v>
      </c>
      <c r="CS12" s="89">
        <v>0</v>
      </c>
      <c r="CT12" s="112">
        <f t="shared" ref="CT12" si="218">CS12/$P12</f>
        <v>0</v>
      </c>
      <c r="CU12" s="89">
        <f t="shared" si="6"/>
        <v>0</v>
      </c>
      <c r="CV12" s="113">
        <f t="shared" si="47"/>
        <v>0</v>
      </c>
    </row>
    <row r="13" spans="1:100" ht="19.95" customHeight="1">
      <c r="B13" s="86"/>
      <c r="C13" s="88">
        <v>8</v>
      </c>
      <c r="D13" s="1" t="s">
        <v>192</v>
      </c>
      <c r="E13" s="88">
        <v>35</v>
      </c>
      <c r="F13" s="88">
        <v>5.18</v>
      </c>
      <c r="G13" s="89">
        <f>E13*F13</f>
        <v>181.29999999999998</v>
      </c>
      <c r="H13" s="90">
        <v>0.25</v>
      </c>
      <c r="I13" s="90">
        <v>3.1</v>
      </c>
      <c r="J13" s="90">
        <v>14</v>
      </c>
      <c r="K13" s="91">
        <f>(H13*I13)*J13</f>
        <v>10.85</v>
      </c>
      <c r="L13" s="95">
        <f>G13-K13</f>
        <v>170.45</v>
      </c>
      <c r="O13" s="89"/>
      <c r="P13" s="89">
        <f t="shared" si="0"/>
        <v>170.45</v>
      </c>
      <c r="Q13" s="89">
        <v>0</v>
      </c>
      <c r="R13" s="112">
        <f t="shared" si="7"/>
        <v>0</v>
      </c>
      <c r="S13" s="89">
        <v>0</v>
      </c>
      <c r="T13" s="112">
        <f t="shared" si="7"/>
        <v>0</v>
      </c>
      <c r="U13" s="89">
        <v>0</v>
      </c>
      <c r="V13" s="112">
        <f t="shared" ref="V13" si="219">U13/$P13</f>
        <v>0</v>
      </c>
      <c r="W13" s="89">
        <v>0</v>
      </c>
      <c r="X13" s="112">
        <f t="shared" ref="X13" si="220">W13/$P13</f>
        <v>0</v>
      </c>
      <c r="Y13" s="89">
        <v>0</v>
      </c>
      <c r="Z13" s="112">
        <f t="shared" ref="Z13" si="221">Y13/$P13</f>
        <v>0</v>
      </c>
      <c r="AA13" s="89">
        <v>0</v>
      </c>
      <c r="AB13" s="112">
        <f t="shared" ref="AB13" si="222">AA13/$P13</f>
        <v>0</v>
      </c>
      <c r="AC13" s="89">
        <f t="shared" si="1"/>
        <v>0</v>
      </c>
      <c r="AD13" s="113">
        <f t="shared" si="12"/>
        <v>0</v>
      </c>
      <c r="AE13" s="89">
        <v>0</v>
      </c>
      <c r="AF13" s="112">
        <f t="shared" ref="AF13" si="223">AE13/$P13</f>
        <v>0</v>
      </c>
      <c r="AG13" s="89">
        <v>0</v>
      </c>
      <c r="AH13" s="112">
        <f t="shared" ref="AH13" si="224">AG13/$P13</f>
        <v>0</v>
      </c>
      <c r="AI13" s="89">
        <v>0</v>
      </c>
      <c r="AJ13" s="112">
        <f t="shared" ref="AJ13" si="225">AI13/$P13</f>
        <v>0</v>
      </c>
      <c r="AK13" s="89">
        <v>0</v>
      </c>
      <c r="AL13" s="112">
        <f t="shared" ref="AL13" si="226">AK13/$P13</f>
        <v>0</v>
      </c>
      <c r="AM13" s="89">
        <v>0</v>
      </c>
      <c r="AN13" s="112">
        <f t="shared" ref="AN13" si="227">AM13/$P13</f>
        <v>0</v>
      </c>
      <c r="AO13" s="89">
        <v>0</v>
      </c>
      <c r="AP13" s="112">
        <f t="shared" ref="AP13" si="228">AO13/$P13</f>
        <v>0</v>
      </c>
      <c r="AQ13" s="89">
        <f t="shared" si="2"/>
        <v>0</v>
      </c>
      <c r="AR13" s="113">
        <f t="shared" si="19"/>
        <v>0</v>
      </c>
      <c r="AS13" s="89">
        <v>0</v>
      </c>
      <c r="AT13" s="112">
        <f t="shared" ref="AT13" si="229">AS13/$P13</f>
        <v>0</v>
      </c>
      <c r="AU13" s="89">
        <v>0</v>
      </c>
      <c r="AV13" s="112">
        <f t="shared" ref="AV13" si="230">AU13/$P13</f>
        <v>0</v>
      </c>
      <c r="AW13" s="89">
        <v>0</v>
      </c>
      <c r="AX13" s="112">
        <f t="shared" ref="AX13" si="231">AW13/$P13</f>
        <v>0</v>
      </c>
      <c r="AY13" s="89">
        <v>0</v>
      </c>
      <c r="AZ13" s="112">
        <f t="shared" ref="AZ13" si="232">AY13/$P13</f>
        <v>0</v>
      </c>
      <c r="BA13" s="89">
        <v>0</v>
      </c>
      <c r="BB13" s="112">
        <f t="shared" ref="BB13" si="233">BA13/$P13</f>
        <v>0</v>
      </c>
      <c r="BC13" s="89">
        <v>0</v>
      </c>
      <c r="BD13" s="112">
        <f t="shared" ref="BD13" si="234">BC13/$P13</f>
        <v>0</v>
      </c>
      <c r="BE13" s="89">
        <f t="shared" si="3"/>
        <v>0</v>
      </c>
      <c r="BF13" s="113">
        <f t="shared" si="26"/>
        <v>0</v>
      </c>
      <c r="BG13" s="89">
        <v>0</v>
      </c>
      <c r="BH13" s="112">
        <f t="shared" ref="BH13" si="235">BG13/$P13</f>
        <v>0</v>
      </c>
      <c r="BI13" s="89">
        <v>0</v>
      </c>
      <c r="BJ13" s="112">
        <f t="shared" ref="BJ13" si="236">BI13/$P13</f>
        <v>0</v>
      </c>
      <c r="BK13" s="89">
        <v>0</v>
      </c>
      <c r="BL13" s="112">
        <f t="shared" ref="BL13" si="237">BK13/$P13</f>
        <v>0</v>
      </c>
      <c r="BM13" s="89">
        <v>0</v>
      </c>
      <c r="BN13" s="112">
        <f t="shared" ref="BN13" si="238">BM13/$P13</f>
        <v>0</v>
      </c>
      <c r="BO13" s="89">
        <v>0</v>
      </c>
      <c r="BP13" s="112">
        <f t="shared" ref="BP13" si="239">BO13/$P13</f>
        <v>0</v>
      </c>
      <c r="BQ13" s="89">
        <v>0</v>
      </c>
      <c r="BR13" s="112">
        <f t="shared" ref="BR13" si="240">BQ13/$P13</f>
        <v>0</v>
      </c>
      <c r="BS13" s="89">
        <f t="shared" si="4"/>
        <v>0</v>
      </c>
      <c r="BT13" s="113">
        <f t="shared" si="33"/>
        <v>0</v>
      </c>
      <c r="BU13" s="89">
        <v>0</v>
      </c>
      <c r="BV13" s="112">
        <f t="shared" ref="BV13" si="241">BU13/$P13</f>
        <v>0</v>
      </c>
      <c r="BW13" s="89">
        <v>0</v>
      </c>
      <c r="BX13" s="112">
        <f t="shared" ref="BX13" si="242">BW13/$P13</f>
        <v>0</v>
      </c>
      <c r="BY13" s="89">
        <v>0</v>
      </c>
      <c r="BZ13" s="112">
        <f t="shared" ref="BZ13" si="243">BY13/$P13</f>
        <v>0</v>
      </c>
      <c r="CA13" s="89">
        <v>0</v>
      </c>
      <c r="CB13" s="112">
        <f t="shared" ref="CB13" si="244">CA13/$P13</f>
        <v>0</v>
      </c>
      <c r="CC13" s="89">
        <v>0</v>
      </c>
      <c r="CD13" s="112">
        <f t="shared" ref="CD13" si="245">CC13/$P13</f>
        <v>0</v>
      </c>
      <c r="CE13" s="89">
        <v>0</v>
      </c>
      <c r="CF13" s="112">
        <f t="shared" ref="CF13" si="246">CE13/$P13</f>
        <v>0</v>
      </c>
      <c r="CG13" s="89">
        <f t="shared" si="5"/>
        <v>0</v>
      </c>
      <c r="CH13" s="113">
        <f t="shared" si="40"/>
        <v>0</v>
      </c>
      <c r="CI13" s="89">
        <v>0</v>
      </c>
      <c r="CJ13" s="112">
        <f t="shared" ref="CJ13" si="247">CI13/$P13</f>
        <v>0</v>
      </c>
      <c r="CK13" s="89">
        <v>0</v>
      </c>
      <c r="CL13" s="112">
        <f t="shared" ref="CL13" si="248">CK13/$P13</f>
        <v>0</v>
      </c>
      <c r="CM13" s="89">
        <v>0</v>
      </c>
      <c r="CN13" s="112">
        <f t="shared" ref="CN13" si="249">CM13/$P13</f>
        <v>0</v>
      </c>
      <c r="CO13" s="89">
        <v>0</v>
      </c>
      <c r="CP13" s="112">
        <f t="shared" ref="CP13" si="250">CO13/$P13</f>
        <v>0</v>
      </c>
      <c r="CQ13" s="89">
        <v>0</v>
      </c>
      <c r="CR13" s="112">
        <f t="shared" ref="CR13" si="251">CQ13/$P13</f>
        <v>0</v>
      </c>
      <c r="CS13" s="89">
        <v>0</v>
      </c>
      <c r="CT13" s="112">
        <f t="shared" ref="CT13" si="252">CS13/$P13</f>
        <v>0</v>
      </c>
      <c r="CU13" s="89">
        <f t="shared" si="6"/>
        <v>0</v>
      </c>
      <c r="CV13" s="113">
        <f t="shared" si="47"/>
        <v>0</v>
      </c>
    </row>
    <row r="14" spans="1:100" ht="19.95" customHeight="1">
      <c r="B14" s="86"/>
      <c r="C14" s="88" t="s">
        <v>201</v>
      </c>
      <c r="D14" s="1" t="s">
        <v>193</v>
      </c>
      <c r="E14" s="88">
        <v>1</v>
      </c>
      <c r="F14" s="88">
        <f>2.15+1.44</f>
        <v>3.59</v>
      </c>
      <c r="G14" s="89">
        <f>E14*F14*14</f>
        <v>50.26</v>
      </c>
      <c r="H14" s="90"/>
      <c r="I14" s="90"/>
      <c r="J14" s="90"/>
      <c r="K14" s="91"/>
      <c r="L14" s="89"/>
      <c r="O14" s="95">
        <f>G14</f>
        <v>50.26</v>
      </c>
      <c r="P14" s="89">
        <f>SUM(L14:O14)</f>
        <v>50.26</v>
      </c>
      <c r="Q14" s="89">
        <v>0</v>
      </c>
      <c r="R14" s="112">
        <f t="shared" si="7"/>
        <v>0</v>
      </c>
      <c r="S14" s="89">
        <v>0</v>
      </c>
      <c r="T14" s="112">
        <f t="shared" si="7"/>
        <v>0</v>
      </c>
      <c r="U14" s="89">
        <v>0</v>
      </c>
      <c r="V14" s="112">
        <f t="shared" ref="V14" si="253">U14/$P14</f>
        <v>0</v>
      </c>
      <c r="W14" s="89">
        <v>0</v>
      </c>
      <c r="X14" s="112">
        <f t="shared" ref="X14" si="254">W14/$P14</f>
        <v>0</v>
      </c>
      <c r="Y14" s="89">
        <v>0</v>
      </c>
      <c r="Z14" s="112">
        <f t="shared" ref="Z14" si="255">Y14/$P14</f>
        <v>0</v>
      </c>
      <c r="AA14" s="89">
        <v>0</v>
      </c>
      <c r="AB14" s="112">
        <f t="shared" ref="AB14" si="256">AA14/$P14</f>
        <v>0</v>
      </c>
      <c r="AC14" s="89">
        <f t="shared" si="1"/>
        <v>0</v>
      </c>
      <c r="AD14" s="113">
        <f t="shared" si="12"/>
        <v>0</v>
      </c>
      <c r="AE14" s="89">
        <v>0</v>
      </c>
      <c r="AF14" s="112">
        <f t="shared" ref="AF14" si="257">AE14/$P14</f>
        <v>0</v>
      </c>
      <c r="AG14" s="89">
        <v>0</v>
      </c>
      <c r="AH14" s="112">
        <f t="shared" ref="AH14" si="258">AG14/$P14</f>
        <v>0</v>
      </c>
      <c r="AI14" s="89">
        <v>0</v>
      </c>
      <c r="AJ14" s="112">
        <f t="shared" ref="AJ14" si="259">AI14/$P14</f>
        <v>0</v>
      </c>
      <c r="AK14" s="89">
        <v>0</v>
      </c>
      <c r="AL14" s="112">
        <f t="shared" ref="AL14" si="260">AK14/$P14</f>
        <v>0</v>
      </c>
      <c r="AM14" s="89">
        <v>0</v>
      </c>
      <c r="AN14" s="112">
        <f t="shared" ref="AN14" si="261">AM14/$P14</f>
        <v>0</v>
      </c>
      <c r="AO14" s="89">
        <v>0</v>
      </c>
      <c r="AP14" s="112">
        <f t="shared" ref="AP14" si="262">AO14/$P14</f>
        <v>0</v>
      </c>
      <c r="AQ14" s="89">
        <f t="shared" si="2"/>
        <v>0</v>
      </c>
      <c r="AR14" s="113">
        <f t="shared" si="19"/>
        <v>0</v>
      </c>
      <c r="AS14" s="89">
        <v>0</v>
      </c>
      <c r="AT14" s="112">
        <f t="shared" ref="AT14" si="263">AS14/$P14</f>
        <v>0</v>
      </c>
      <c r="AU14" s="89">
        <v>0</v>
      </c>
      <c r="AV14" s="112">
        <f t="shared" ref="AV14" si="264">AU14/$P14</f>
        <v>0</v>
      </c>
      <c r="AW14" s="89">
        <v>0</v>
      </c>
      <c r="AX14" s="112">
        <f t="shared" ref="AX14" si="265">AW14/$P14</f>
        <v>0</v>
      </c>
      <c r="AY14" s="89">
        <v>0</v>
      </c>
      <c r="AZ14" s="112">
        <f t="shared" ref="AZ14" si="266">AY14/$P14</f>
        <v>0</v>
      </c>
      <c r="BA14" s="89">
        <v>0</v>
      </c>
      <c r="BB14" s="112">
        <f t="shared" ref="BB14" si="267">BA14/$P14</f>
        <v>0</v>
      </c>
      <c r="BC14" s="89">
        <v>0</v>
      </c>
      <c r="BD14" s="112">
        <f t="shared" ref="BD14" si="268">BC14/$P14</f>
        <v>0</v>
      </c>
      <c r="BE14" s="89">
        <f t="shared" si="3"/>
        <v>0</v>
      </c>
      <c r="BF14" s="113">
        <f t="shared" si="26"/>
        <v>0</v>
      </c>
      <c r="BG14" s="89">
        <v>0</v>
      </c>
      <c r="BH14" s="112">
        <f t="shared" ref="BH14" si="269">BG14/$P14</f>
        <v>0</v>
      </c>
      <c r="BI14" s="89">
        <v>0</v>
      </c>
      <c r="BJ14" s="112">
        <f t="shared" ref="BJ14" si="270">BI14/$P14</f>
        <v>0</v>
      </c>
      <c r="BK14" s="89">
        <v>0</v>
      </c>
      <c r="BL14" s="112">
        <f t="shared" ref="BL14" si="271">BK14/$P14</f>
        <v>0</v>
      </c>
      <c r="BM14" s="89">
        <v>0</v>
      </c>
      <c r="BN14" s="112">
        <f t="shared" ref="BN14" si="272">BM14/$P14</f>
        <v>0</v>
      </c>
      <c r="BO14" s="89">
        <v>0</v>
      </c>
      <c r="BP14" s="112">
        <f t="shared" ref="BP14" si="273">BO14/$P14</f>
        <v>0</v>
      </c>
      <c r="BQ14" s="89">
        <v>0</v>
      </c>
      <c r="BR14" s="112">
        <f t="shared" ref="BR14" si="274">BQ14/$P14</f>
        <v>0</v>
      </c>
      <c r="BS14" s="89">
        <f t="shared" si="4"/>
        <v>0</v>
      </c>
      <c r="BT14" s="113">
        <f t="shared" si="33"/>
        <v>0</v>
      </c>
      <c r="BU14" s="89">
        <v>0</v>
      </c>
      <c r="BV14" s="112">
        <f t="shared" ref="BV14" si="275">BU14/$P14</f>
        <v>0</v>
      </c>
      <c r="BW14" s="89">
        <v>0</v>
      </c>
      <c r="BX14" s="112">
        <f t="shared" ref="BX14" si="276">BW14/$P14</f>
        <v>0</v>
      </c>
      <c r="BY14" s="89">
        <v>0</v>
      </c>
      <c r="BZ14" s="112">
        <f t="shared" ref="BZ14" si="277">BY14/$P14</f>
        <v>0</v>
      </c>
      <c r="CA14" s="89">
        <v>0</v>
      </c>
      <c r="CB14" s="112">
        <f t="shared" ref="CB14" si="278">CA14/$P14</f>
        <v>0</v>
      </c>
      <c r="CC14" s="89">
        <v>0</v>
      </c>
      <c r="CD14" s="112">
        <f t="shared" ref="CD14" si="279">CC14/$P14</f>
        <v>0</v>
      </c>
      <c r="CE14" s="89">
        <v>0</v>
      </c>
      <c r="CF14" s="112">
        <f t="shared" ref="CF14" si="280">CE14/$P14</f>
        <v>0</v>
      </c>
      <c r="CG14" s="89">
        <f t="shared" si="5"/>
        <v>0</v>
      </c>
      <c r="CH14" s="113">
        <f t="shared" si="40"/>
        <v>0</v>
      </c>
      <c r="CI14" s="89">
        <v>0</v>
      </c>
      <c r="CJ14" s="112">
        <f t="shared" ref="CJ14" si="281">CI14/$P14</f>
        <v>0</v>
      </c>
      <c r="CK14" s="89">
        <v>0</v>
      </c>
      <c r="CL14" s="112">
        <f t="shared" ref="CL14" si="282">CK14/$P14</f>
        <v>0</v>
      </c>
      <c r="CM14" s="89">
        <v>0</v>
      </c>
      <c r="CN14" s="112">
        <f t="shared" ref="CN14" si="283">CM14/$P14</f>
        <v>0</v>
      </c>
      <c r="CO14" s="89">
        <v>0</v>
      </c>
      <c r="CP14" s="112">
        <f t="shared" ref="CP14" si="284">CO14/$P14</f>
        <v>0</v>
      </c>
      <c r="CQ14" s="89">
        <v>0</v>
      </c>
      <c r="CR14" s="112">
        <f t="shared" ref="CR14" si="285">CQ14/$P14</f>
        <v>0</v>
      </c>
      <c r="CS14" s="89">
        <v>0</v>
      </c>
      <c r="CT14" s="112">
        <f t="shared" ref="CT14" si="286">CS14/$P14</f>
        <v>0</v>
      </c>
      <c r="CU14" s="89">
        <f t="shared" si="6"/>
        <v>0</v>
      </c>
      <c r="CV14" s="113">
        <f t="shared" si="47"/>
        <v>0</v>
      </c>
    </row>
    <row r="15" spans="1:100" ht="19.95" customHeight="1">
      <c r="B15" s="86"/>
      <c r="C15" s="88">
        <v>9</v>
      </c>
      <c r="D15" s="1" t="s">
        <v>195</v>
      </c>
      <c r="E15" s="88">
        <f>E5</f>
        <v>35.6</v>
      </c>
      <c r="F15" s="89">
        <v>5.3</v>
      </c>
      <c r="G15" s="89">
        <f>E15*F15</f>
        <v>188.68</v>
      </c>
      <c r="H15" s="90">
        <v>1.5</v>
      </c>
      <c r="I15" s="90">
        <v>1.2</v>
      </c>
      <c r="J15" s="90">
        <v>28</v>
      </c>
      <c r="K15" s="91">
        <f>(H15*I15)*J15</f>
        <v>50.399999999999991</v>
      </c>
      <c r="M15" s="95">
        <f>G15-K15</f>
        <v>138.28000000000003</v>
      </c>
      <c r="N15" s="89"/>
      <c r="P15" s="89">
        <f t="shared" si="0"/>
        <v>138.28000000000003</v>
      </c>
      <c r="Q15" s="89">
        <v>0</v>
      </c>
      <c r="R15" s="112">
        <f t="shared" si="7"/>
        <v>0</v>
      </c>
      <c r="S15" s="89">
        <v>0</v>
      </c>
      <c r="T15" s="112">
        <f t="shared" si="7"/>
        <v>0</v>
      </c>
      <c r="U15" s="89">
        <v>0</v>
      </c>
      <c r="V15" s="112">
        <f t="shared" ref="V15" si="287">U15/$P15</f>
        <v>0</v>
      </c>
      <c r="W15" s="89">
        <v>0</v>
      </c>
      <c r="X15" s="112">
        <f t="shared" ref="X15" si="288">W15/$P15</f>
        <v>0</v>
      </c>
      <c r="Y15" s="89">
        <v>0</v>
      </c>
      <c r="Z15" s="112">
        <f t="shared" ref="Z15" si="289">Y15/$P15</f>
        <v>0</v>
      </c>
      <c r="AA15" s="89">
        <v>0</v>
      </c>
      <c r="AB15" s="112">
        <f t="shared" ref="AB15" si="290">AA15/$P15</f>
        <v>0</v>
      </c>
      <c r="AC15" s="89">
        <f t="shared" si="1"/>
        <v>0</v>
      </c>
      <c r="AD15" s="113">
        <f t="shared" si="12"/>
        <v>0</v>
      </c>
      <c r="AE15" s="89">
        <v>0</v>
      </c>
      <c r="AF15" s="112">
        <f t="shared" ref="AF15" si="291">AE15/$P15</f>
        <v>0</v>
      </c>
      <c r="AG15" s="89">
        <v>0</v>
      </c>
      <c r="AH15" s="112">
        <f t="shared" ref="AH15" si="292">AG15/$P15</f>
        <v>0</v>
      </c>
      <c r="AI15" s="89">
        <v>0</v>
      </c>
      <c r="AJ15" s="112">
        <f t="shared" ref="AJ15" si="293">AI15/$P15</f>
        <v>0</v>
      </c>
      <c r="AK15" s="89">
        <v>0</v>
      </c>
      <c r="AL15" s="112">
        <f t="shared" ref="AL15" si="294">AK15/$P15</f>
        <v>0</v>
      </c>
      <c r="AM15" s="89">
        <v>0</v>
      </c>
      <c r="AN15" s="112">
        <f t="shared" ref="AN15" si="295">AM15/$P15</f>
        <v>0</v>
      </c>
      <c r="AO15" s="89">
        <v>0</v>
      </c>
      <c r="AP15" s="112">
        <f t="shared" ref="AP15" si="296">AO15/$P15</f>
        <v>0</v>
      </c>
      <c r="AQ15" s="89">
        <f t="shared" si="2"/>
        <v>0</v>
      </c>
      <c r="AR15" s="113">
        <f t="shared" si="19"/>
        <v>0</v>
      </c>
      <c r="AS15" s="89">
        <v>0</v>
      </c>
      <c r="AT15" s="112">
        <f t="shared" ref="AT15" si="297">AS15/$P15</f>
        <v>0</v>
      </c>
      <c r="AU15" s="89">
        <v>0</v>
      </c>
      <c r="AV15" s="112">
        <f t="shared" ref="AV15" si="298">AU15/$P15</f>
        <v>0</v>
      </c>
      <c r="AW15" s="89">
        <v>0</v>
      </c>
      <c r="AX15" s="112">
        <f t="shared" ref="AX15" si="299">AW15/$P15</f>
        <v>0</v>
      </c>
      <c r="AY15" s="89">
        <v>0</v>
      </c>
      <c r="AZ15" s="112">
        <f t="shared" ref="AZ15" si="300">AY15/$P15</f>
        <v>0</v>
      </c>
      <c r="BA15" s="89">
        <v>0</v>
      </c>
      <c r="BB15" s="112">
        <f t="shared" ref="BB15" si="301">BA15/$P15</f>
        <v>0</v>
      </c>
      <c r="BC15" s="89">
        <v>0</v>
      </c>
      <c r="BD15" s="112">
        <f t="shared" ref="BD15" si="302">BC15/$P15</f>
        <v>0</v>
      </c>
      <c r="BE15" s="89">
        <f t="shared" si="3"/>
        <v>0</v>
      </c>
      <c r="BF15" s="113">
        <f t="shared" si="26"/>
        <v>0</v>
      </c>
      <c r="BG15" s="89">
        <v>0</v>
      </c>
      <c r="BH15" s="112">
        <f t="shared" ref="BH15" si="303">BG15/$P15</f>
        <v>0</v>
      </c>
      <c r="BI15" s="89">
        <v>0</v>
      </c>
      <c r="BJ15" s="112">
        <f t="shared" ref="BJ15" si="304">BI15/$P15</f>
        <v>0</v>
      </c>
      <c r="BK15" s="89">
        <v>0</v>
      </c>
      <c r="BL15" s="112">
        <f t="shared" ref="BL15" si="305">BK15/$P15</f>
        <v>0</v>
      </c>
      <c r="BM15" s="89">
        <v>0</v>
      </c>
      <c r="BN15" s="112">
        <f t="shared" ref="BN15" si="306">BM15/$P15</f>
        <v>0</v>
      </c>
      <c r="BO15" s="89">
        <v>0</v>
      </c>
      <c r="BP15" s="112">
        <f t="shared" ref="BP15" si="307">BO15/$P15</f>
        <v>0</v>
      </c>
      <c r="BQ15" s="89">
        <v>0</v>
      </c>
      <c r="BR15" s="112">
        <f t="shared" ref="BR15" si="308">BQ15/$P15</f>
        <v>0</v>
      </c>
      <c r="BS15" s="89">
        <f t="shared" si="4"/>
        <v>0</v>
      </c>
      <c r="BT15" s="113">
        <f t="shared" si="33"/>
        <v>0</v>
      </c>
      <c r="BU15" s="89">
        <v>0</v>
      </c>
      <c r="BV15" s="112">
        <f t="shared" ref="BV15" si="309">BU15/$P15</f>
        <v>0</v>
      </c>
      <c r="BW15" s="89">
        <v>0</v>
      </c>
      <c r="BX15" s="112">
        <f t="shared" ref="BX15" si="310">BW15/$P15</f>
        <v>0</v>
      </c>
      <c r="BY15" s="89">
        <v>0</v>
      </c>
      <c r="BZ15" s="112">
        <f t="shared" ref="BZ15" si="311">BY15/$P15</f>
        <v>0</v>
      </c>
      <c r="CA15" s="89">
        <v>0</v>
      </c>
      <c r="CB15" s="112">
        <f t="shared" ref="CB15" si="312">CA15/$P15</f>
        <v>0</v>
      </c>
      <c r="CC15" s="89">
        <v>0</v>
      </c>
      <c r="CD15" s="112">
        <f t="shared" ref="CD15" si="313">CC15/$P15</f>
        <v>0</v>
      </c>
      <c r="CE15" s="89">
        <v>0</v>
      </c>
      <c r="CF15" s="112">
        <f t="shared" ref="CF15" si="314">CE15/$P15</f>
        <v>0</v>
      </c>
      <c r="CG15" s="89">
        <f t="shared" si="5"/>
        <v>0</v>
      </c>
      <c r="CH15" s="113">
        <f t="shared" si="40"/>
        <v>0</v>
      </c>
      <c r="CI15" s="89">
        <v>0</v>
      </c>
      <c r="CJ15" s="112">
        <f t="shared" ref="CJ15" si="315">CI15/$P15</f>
        <v>0</v>
      </c>
      <c r="CK15" s="89">
        <v>0</v>
      </c>
      <c r="CL15" s="112">
        <f t="shared" ref="CL15" si="316">CK15/$P15</f>
        <v>0</v>
      </c>
      <c r="CM15" s="89">
        <v>0</v>
      </c>
      <c r="CN15" s="112">
        <f t="shared" ref="CN15" si="317">CM15/$P15</f>
        <v>0</v>
      </c>
      <c r="CO15" s="89">
        <v>0</v>
      </c>
      <c r="CP15" s="112">
        <f t="shared" ref="CP15" si="318">CO15/$P15</f>
        <v>0</v>
      </c>
      <c r="CQ15" s="89">
        <v>0</v>
      </c>
      <c r="CR15" s="112">
        <f t="shared" ref="CR15" si="319">CQ15/$P15</f>
        <v>0</v>
      </c>
      <c r="CS15" s="89">
        <v>0</v>
      </c>
      <c r="CT15" s="112">
        <f t="shared" ref="CT15" si="320">CS15/$P15</f>
        <v>0</v>
      </c>
      <c r="CU15" s="89">
        <f t="shared" si="6"/>
        <v>0</v>
      </c>
      <c r="CV15" s="113">
        <f t="shared" si="47"/>
        <v>0</v>
      </c>
    </row>
    <row r="16" spans="1:100" ht="19.95" customHeight="1">
      <c r="B16" s="86"/>
      <c r="C16" s="88">
        <v>10</v>
      </c>
      <c r="D16" s="1" t="s">
        <v>200</v>
      </c>
      <c r="E16" s="88">
        <v>0.3</v>
      </c>
      <c r="F16" s="88">
        <v>2.91</v>
      </c>
      <c r="G16" s="89">
        <f>E16*F16*14</f>
        <v>12.222</v>
      </c>
      <c r="H16" s="90"/>
      <c r="I16" s="90"/>
      <c r="J16" s="90"/>
      <c r="K16" s="91"/>
      <c r="M16" s="89"/>
      <c r="N16" s="95">
        <f>G16</f>
        <v>12.222</v>
      </c>
      <c r="O16" s="89"/>
      <c r="P16" s="89">
        <f t="shared" si="0"/>
        <v>12.222</v>
      </c>
      <c r="Q16" s="89">
        <v>0</v>
      </c>
      <c r="R16" s="112">
        <f t="shared" si="7"/>
        <v>0</v>
      </c>
      <c r="S16" s="89">
        <v>0</v>
      </c>
      <c r="T16" s="112">
        <f t="shared" si="7"/>
        <v>0</v>
      </c>
      <c r="U16" s="89">
        <v>0</v>
      </c>
      <c r="V16" s="112">
        <f t="shared" ref="V16" si="321">U16/$P16</f>
        <v>0</v>
      </c>
      <c r="W16" s="89">
        <v>0</v>
      </c>
      <c r="X16" s="112">
        <f t="shared" ref="X16" si="322">W16/$P16</f>
        <v>0</v>
      </c>
      <c r="Y16" s="89">
        <v>0</v>
      </c>
      <c r="Z16" s="112">
        <f t="shared" ref="Z16" si="323">Y16/$P16</f>
        <v>0</v>
      </c>
      <c r="AA16" s="89">
        <v>0</v>
      </c>
      <c r="AB16" s="112">
        <f t="shared" ref="AB16" si="324">AA16/$P16</f>
        <v>0</v>
      </c>
      <c r="AC16" s="89">
        <f t="shared" si="1"/>
        <v>0</v>
      </c>
      <c r="AD16" s="113">
        <f t="shared" si="12"/>
        <v>0</v>
      </c>
      <c r="AE16" s="89">
        <v>0</v>
      </c>
      <c r="AF16" s="112">
        <f t="shared" ref="AF16" si="325">AE16/$P16</f>
        <v>0</v>
      </c>
      <c r="AG16" s="89">
        <v>0</v>
      </c>
      <c r="AH16" s="112">
        <f t="shared" ref="AH16" si="326">AG16/$P16</f>
        <v>0</v>
      </c>
      <c r="AI16" s="89">
        <v>0</v>
      </c>
      <c r="AJ16" s="112">
        <f t="shared" ref="AJ16" si="327">AI16/$P16</f>
        <v>0</v>
      </c>
      <c r="AK16" s="89">
        <v>0</v>
      </c>
      <c r="AL16" s="112">
        <f t="shared" ref="AL16" si="328">AK16/$P16</f>
        <v>0</v>
      </c>
      <c r="AM16" s="89">
        <v>0</v>
      </c>
      <c r="AN16" s="112">
        <f t="shared" ref="AN16" si="329">AM16/$P16</f>
        <v>0</v>
      </c>
      <c r="AO16" s="89">
        <v>0</v>
      </c>
      <c r="AP16" s="112">
        <f t="shared" ref="AP16" si="330">AO16/$P16</f>
        <v>0</v>
      </c>
      <c r="AQ16" s="89">
        <f t="shared" si="2"/>
        <v>0</v>
      </c>
      <c r="AR16" s="113">
        <f t="shared" si="19"/>
        <v>0</v>
      </c>
      <c r="AS16" s="89">
        <v>0</v>
      </c>
      <c r="AT16" s="112">
        <f t="shared" ref="AT16" si="331">AS16/$P16</f>
        <v>0</v>
      </c>
      <c r="AU16" s="89">
        <v>0</v>
      </c>
      <c r="AV16" s="112">
        <f t="shared" ref="AV16" si="332">AU16/$P16</f>
        <v>0</v>
      </c>
      <c r="AW16" s="89">
        <v>0</v>
      </c>
      <c r="AX16" s="112">
        <f t="shared" ref="AX16" si="333">AW16/$P16</f>
        <v>0</v>
      </c>
      <c r="AY16" s="89">
        <v>0</v>
      </c>
      <c r="AZ16" s="112">
        <f t="shared" ref="AZ16" si="334">AY16/$P16</f>
        <v>0</v>
      </c>
      <c r="BA16" s="89">
        <v>0</v>
      </c>
      <c r="BB16" s="112">
        <f t="shared" ref="BB16" si="335">BA16/$P16</f>
        <v>0</v>
      </c>
      <c r="BC16" s="89">
        <v>0</v>
      </c>
      <c r="BD16" s="112">
        <f t="shared" ref="BD16" si="336">BC16/$P16</f>
        <v>0</v>
      </c>
      <c r="BE16" s="89">
        <f t="shared" si="3"/>
        <v>0</v>
      </c>
      <c r="BF16" s="113">
        <f t="shared" si="26"/>
        <v>0</v>
      </c>
      <c r="BG16" s="89">
        <v>0</v>
      </c>
      <c r="BH16" s="112">
        <f t="shared" ref="BH16" si="337">BG16/$P16</f>
        <v>0</v>
      </c>
      <c r="BI16" s="89">
        <v>0</v>
      </c>
      <c r="BJ16" s="112">
        <f t="shared" ref="BJ16" si="338">BI16/$P16</f>
        <v>0</v>
      </c>
      <c r="BK16" s="89">
        <v>0</v>
      </c>
      <c r="BL16" s="112">
        <f t="shared" ref="BL16" si="339">BK16/$P16</f>
        <v>0</v>
      </c>
      <c r="BM16" s="89">
        <v>0</v>
      </c>
      <c r="BN16" s="112">
        <f t="shared" ref="BN16" si="340">BM16/$P16</f>
        <v>0</v>
      </c>
      <c r="BO16" s="89">
        <v>0</v>
      </c>
      <c r="BP16" s="112">
        <f t="shared" ref="BP16" si="341">BO16/$P16</f>
        <v>0</v>
      </c>
      <c r="BQ16" s="89">
        <v>0</v>
      </c>
      <c r="BR16" s="112">
        <f t="shared" ref="BR16" si="342">BQ16/$P16</f>
        <v>0</v>
      </c>
      <c r="BS16" s="89">
        <f t="shared" si="4"/>
        <v>0</v>
      </c>
      <c r="BT16" s="113">
        <f t="shared" si="33"/>
        <v>0</v>
      </c>
      <c r="BU16" s="89">
        <v>0</v>
      </c>
      <c r="BV16" s="112">
        <f t="shared" ref="BV16" si="343">BU16/$P16</f>
        <v>0</v>
      </c>
      <c r="BW16" s="89">
        <v>0</v>
      </c>
      <c r="BX16" s="112">
        <f t="shared" ref="BX16" si="344">BW16/$P16</f>
        <v>0</v>
      </c>
      <c r="BY16" s="89">
        <v>0</v>
      </c>
      <c r="BZ16" s="112">
        <f t="shared" ref="BZ16" si="345">BY16/$P16</f>
        <v>0</v>
      </c>
      <c r="CA16" s="89">
        <v>0</v>
      </c>
      <c r="CB16" s="112">
        <f t="shared" ref="CB16" si="346">CA16/$P16</f>
        <v>0</v>
      </c>
      <c r="CC16" s="89">
        <v>0</v>
      </c>
      <c r="CD16" s="112">
        <f t="shared" ref="CD16" si="347">CC16/$P16</f>
        <v>0</v>
      </c>
      <c r="CE16" s="89">
        <v>0</v>
      </c>
      <c r="CF16" s="112">
        <f t="shared" ref="CF16" si="348">CE16/$P16</f>
        <v>0</v>
      </c>
      <c r="CG16" s="89">
        <f t="shared" si="5"/>
        <v>0</v>
      </c>
      <c r="CH16" s="113">
        <f t="shared" si="40"/>
        <v>0</v>
      </c>
      <c r="CI16" s="89">
        <v>0</v>
      </c>
      <c r="CJ16" s="112">
        <f t="shared" ref="CJ16" si="349">CI16/$P16</f>
        <v>0</v>
      </c>
      <c r="CK16" s="89">
        <v>0</v>
      </c>
      <c r="CL16" s="112">
        <f t="shared" ref="CL16" si="350">CK16/$P16</f>
        <v>0</v>
      </c>
      <c r="CM16" s="89">
        <v>0</v>
      </c>
      <c r="CN16" s="112">
        <f t="shared" ref="CN16" si="351">CM16/$P16</f>
        <v>0</v>
      </c>
      <c r="CO16" s="89">
        <v>0</v>
      </c>
      <c r="CP16" s="112">
        <f t="shared" ref="CP16" si="352">CO16/$P16</f>
        <v>0</v>
      </c>
      <c r="CQ16" s="89">
        <v>0</v>
      </c>
      <c r="CR16" s="112">
        <f t="shared" ref="CR16" si="353">CQ16/$P16</f>
        <v>0</v>
      </c>
      <c r="CS16" s="89">
        <v>0</v>
      </c>
      <c r="CT16" s="112">
        <f t="shared" ref="CT16" si="354">CS16/$P16</f>
        <v>0</v>
      </c>
      <c r="CU16" s="89">
        <f t="shared" si="6"/>
        <v>0</v>
      </c>
      <c r="CV16" s="113">
        <f t="shared" si="47"/>
        <v>0</v>
      </c>
    </row>
    <row r="17" spans="2:100" ht="19.95" customHeight="1">
      <c r="B17" s="86"/>
      <c r="C17" s="88" t="s">
        <v>203</v>
      </c>
      <c r="D17" s="1" t="s">
        <v>202</v>
      </c>
      <c r="E17" s="88">
        <v>0.6</v>
      </c>
      <c r="F17" s="88">
        <v>1.71</v>
      </c>
      <c r="G17" s="89">
        <f>E17*F17*14</f>
        <v>14.364000000000001</v>
      </c>
      <c r="H17" s="90"/>
      <c r="I17" s="90"/>
      <c r="J17" s="90"/>
      <c r="K17" s="91"/>
      <c r="L17" s="89"/>
      <c r="O17" s="95">
        <f>G17</f>
        <v>14.364000000000001</v>
      </c>
      <c r="P17" s="89">
        <f t="shared" si="0"/>
        <v>14.364000000000001</v>
      </c>
      <c r="Q17" s="89">
        <v>0</v>
      </c>
      <c r="R17" s="112">
        <f t="shared" si="7"/>
        <v>0</v>
      </c>
      <c r="S17" s="89">
        <v>0</v>
      </c>
      <c r="T17" s="112">
        <f t="shared" si="7"/>
        <v>0</v>
      </c>
      <c r="U17" s="89">
        <v>0</v>
      </c>
      <c r="V17" s="112">
        <f t="shared" ref="V17" si="355">U17/$P17</f>
        <v>0</v>
      </c>
      <c r="W17" s="89">
        <v>0</v>
      </c>
      <c r="X17" s="112">
        <f t="shared" ref="X17" si="356">W17/$P17</f>
        <v>0</v>
      </c>
      <c r="Y17" s="89">
        <v>0</v>
      </c>
      <c r="Z17" s="112">
        <f t="shared" ref="Z17" si="357">Y17/$P17</f>
        <v>0</v>
      </c>
      <c r="AA17" s="89">
        <v>0</v>
      </c>
      <c r="AB17" s="112">
        <f t="shared" ref="AB17" si="358">AA17/$P17</f>
        <v>0</v>
      </c>
      <c r="AC17" s="89">
        <f t="shared" si="1"/>
        <v>0</v>
      </c>
      <c r="AD17" s="113">
        <f t="shared" si="12"/>
        <v>0</v>
      </c>
      <c r="AE17" s="89">
        <v>0</v>
      </c>
      <c r="AF17" s="112">
        <f t="shared" ref="AF17" si="359">AE17/$P17</f>
        <v>0</v>
      </c>
      <c r="AG17" s="89">
        <v>0</v>
      </c>
      <c r="AH17" s="112">
        <f t="shared" ref="AH17" si="360">AG17/$P17</f>
        <v>0</v>
      </c>
      <c r="AI17" s="89">
        <v>0</v>
      </c>
      <c r="AJ17" s="112">
        <f t="shared" ref="AJ17" si="361">AI17/$P17</f>
        <v>0</v>
      </c>
      <c r="AK17" s="89">
        <v>0</v>
      </c>
      <c r="AL17" s="112">
        <f t="shared" ref="AL17" si="362">AK17/$P17</f>
        <v>0</v>
      </c>
      <c r="AM17" s="89">
        <v>0</v>
      </c>
      <c r="AN17" s="112">
        <f t="shared" ref="AN17" si="363">AM17/$P17</f>
        <v>0</v>
      </c>
      <c r="AO17" s="89">
        <v>0</v>
      </c>
      <c r="AP17" s="112">
        <f t="shared" ref="AP17" si="364">AO17/$P17</f>
        <v>0</v>
      </c>
      <c r="AQ17" s="89">
        <f t="shared" si="2"/>
        <v>0</v>
      </c>
      <c r="AR17" s="113">
        <f t="shared" si="19"/>
        <v>0</v>
      </c>
      <c r="AS17" s="89">
        <v>0</v>
      </c>
      <c r="AT17" s="112">
        <f t="shared" ref="AT17" si="365">AS17/$P17</f>
        <v>0</v>
      </c>
      <c r="AU17" s="89">
        <v>0</v>
      </c>
      <c r="AV17" s="112">
        <f t="shared" ref="AV17" si="366">AU17/$P17</f>
        <v>0</v>
      </c>
      <c r="AW17" s="89">
        <v>0</v>
      </c>
      <c r="AX17" s="112">
        <f t="shared" ref="AX17" si="367">AW17/$P17</f>
        <v>0</v>
      </c>
      <c r="AY17" s="89">
        <v>0</v>
      </c>
      <c r="AZ17" s="112">
        <f t="shared" ref="AZ17" si="368">AY17/$P17</f>
        <v>0</v>
      </c>
      <c r="BA17" s="89">
        <v>0</v>
      </c>
      <c r="BB17" s="112">
        <f t="shared" ref="BB17" si="369">BA17/$P17</f>
        <v>0</v>
      </c>
      <c r="BC17" s="89">
        <v>0</v>
      </c>
      <c r="BD17" s="112">
        <f t="shared" ref="BD17" si="370">BC17/$P17</f>
        <v>0</v>
      </c>
      <c r="BE17" s="89">
        <f t="shared" si="3"/>
        <v>0</v>
      </c>
      <c r="BF17" s="113">
        <f t="shared" si="26"/>
        <v>0</v>
      </c>
      <c r="BG17" s="89">
        <v>0</v>
      </c>
      <c r="BH17" s="112">
        <f t="shared" ref="BH17" si="371">BG17/$P17</f>
        <v>0</v>
      </c>
      <c r="BI17" s="89">
        <v>0</v>
      </c>
      <c r="BJ17" s="112">
        <f t="shared" ref="BJ17" si="372">BI17/$P17</f>
        <v>0</v>
      </c>
      <c r="BK17" s="89">
        <v>0</v>
      </c>
      <c r="BL17" s="112">
        <f t="shared" ref="BL17" si="373">BK17/$P17</f>
        <v>0</v>
      </c>
      <c r="BM17" s="89">
        <v>0</v>
      </c>
      <c r="BN17" s="112">
        <f t="shared" ref="BN17" si="374">BM17/$P17</f>
        <v>0</v>
      </c>
      <c r="BO17" s="89">
        <v>0</v>
      </c>
      <c r="BP17" s="112">
        <f t="shared" ref="BP17" si="375">BO17/$P17</f>
        <v>0</v>
      </c>
      <c r="BQ17" s="89">
        <v>0</v>
      </c>
      <c r="BR17" s="112">
        <f t="shared" ref="BR17" si="376">BQ17/$P17</f>
        <v>0</v>
      </c>
      <c r="BS17" s="89">
        <f t="shared" si="4"/>
        <v>0</v>
      </c>
      <c r="BT17" s="113">
        <f t="shared" si="33"/>
        <v>0</v>
      </c>
      <c r="BU17" s="89">
        <v>0</v>
      </c>
      <c r="BV17" s="112">
        <f t="shared" ref="BV17" si="377">BU17/$P17</f>
        <v>0</v>
      </c>
      <c r="BW17" s="89">
        <v>0</v>
      </c>
      <c r="BX17" s="112">
        <f t="shared" ref="BX17" si="378">BW17/$P17</f>
        <v>0</v>
      </c>
      <c r="BY17" s="89">
        <v>0</v>
      </c>
      <c r="BZ17" s="112">
        <f t="shared" ref="BZ17" si="379">BY17/$P17</f>
        <v>0</v>
      </c>
      <c r="CA17" s="89">
        <v>0</v>
      </c>
      <c r="CB17" s="112">
        <f t="shared" ref="CB17" si="380">CA17/$P17</f>
        <v>0</v>
      </c>
      <c r="CC17" s="89">
        <v>0</v>
      </c>
      <c r="CD17" s="112">
        <f t="shared" ref="CD17" si="381">CC17/$P17</f>
        <v>0</v>
      </c>
      <c r="CE17" s="89">
        <v>0</v>
      </c>
      <c r="CF17" s="112">
        <f t="shared" ref="CF17" si="382">CE17/$P17</f>
        <v>0</v>
      </c>
      <c r="CG17" s="89">
        <f t="shared" si="5"/>
        <v>0</v>
      </c>
      <c r="CH17" s="113">
        <f t="shared" si="40"/>
        <v>0</v>
      </c>
      <c r="CI17" s="89">
        <v>0</v>
      </c>
      <c r="CJ17" s="112">
        <f t="shared" ref="CJ17" si="383">CI17/$P17</f>
        <v>0</v>
      </c>
      <c r="CK17" s="89">
        <v>0</v>
      </c>
      <c r="CL17" s="112">
        <f t="shared" ref="CL17" si="384">CK17/$P17</f>
        <v>0</v>
      </c>
      <c r="CM17" s="89">
        <v>0</v>
      </c>
      <c r="CN17" s="112">
        <f t="shared" ref="CN17" si="385">CM17/$P17</f>
        <v>0</v>
      </c>
      <c r="CO17" s="89">
        <v>0</v>
      </c>
      <c r="CP17" s="112">
        <f t="shared" ref="CP17" si="386">CO17/$P17</f>
        <v>0</v>
      </c>
      <c r="CQ17" s="89">
        <v>0</v>
      </c>
      <c r="CR17" s="112">
        <f t="shared" ref="CR17" si="387">CQ17/$P17</f>
        <v>0</v>
      </c>
      <c r="CS17" s="89">
        <v>0</v>
      </c>
      <c r="CT17" s="112">
        <f t="shared" ref="CT17" si="388">CS17/$P17</f>
        <v>0</v>
      </c>
      <c r="CU17" s="89">
        <f t="shared" si="6"/>
        <v>0</v>
      </c>
      <c r="CV17" s="113">
        <f t="shared" si="47"/>
        <v>0</v>
      </c>
    </row>
    <row r="18" spans="2:100" ht="19.95" customHeight="1">
      <c r="B18" s="86"/>
      <c r="C18" s="88">
        <v>11</v>
      </c>
      <c r="D18" s="1" t="s">
        <v>195</v>
      </c>
      <c r="E18" s="88">
        <f>E5</f>
        <v>35.6</v>
      </c>
      <c r="F18" s="89">
        <v>4.62</v>
      </c>
      <c r="G18" s="89">
        <f>E18*F18</f>
        <v>164.47200000000001</v>
      </c>
      <c r="H18" s="90">
        <v>1</v>
      </c>
      <c r="I18" s="90">
        <v>0.75</v>
      </c>
      <c r="J18" s="90">
        <v>28</v>
      </c>
      <c r="K18" s="91">
        <f>(H18*I18)*J18</f>
        <v>21</v>
      </c>
      <c r="M18" s="95">
        <f>G18-K18</f>
        <v>143.47200000000001</v>
      </c>
      <c r="N18" s="89"/>
      <c r="P18" s="89">
        <f t="shared" si="0"/>
        <v>143.47200000000001</v>
      </c>
      <c r="Q18" s="89">
        <v>0</v>
      </c>
      <c r="R18" s="112">
        <f t="shared" si="7"/>
        <v>0</v>
      </c>
      <c r="S18" s="89">
        <v>0</v>
      </c>
      <c r="T18" s="112">
        <f t="shared" si="7"/>
        <v>0</v>
      </c>
      <c r="U18" s="89">
        <v>0</v>
      </c>
      <c r="V18" s="112">
        <f t="shared" ref="V18" si="389">U18/$P18</f>
        <v>0</v>
      </c>
      <c r="W18" s="89">
        <v>0</v>
      </c>
      <c r="X18" s="112">
        <f t="shared" ref="X18" si="390">W18/$P18</f>
        <v>0</v>
      </c>
      <c r="Y18" s="89">
        <v>0</v>
      </c>
      <c r="Z18" s="112">
        <f t="shared" ref="Z18" si="391">Y18/$P18</f>
        <v>0</v>
      </c>
      <c r="AA18" s="89">
        <v>0</v>
      </c>
      <c r="AB18" s="112">
        <f t="shared" ref="AB18" si="392">AA18/$P18</f>
        <v>0</v>
      </c>
      <c r="AC18" s="89">
        <f t="shared" si="1"/>
        <v>0</v>
      </c>
      <c r="AD18" s="113">
        <f t="shared" si="12"/>
        <v>0</v>
      </c>
      <c r="AE18" s="89">
        <v>0</v>
      </c>
      <c r="AF18" s="112">
        <f t="shared" ref="AF18" si="393">AE18/$P18</f>
        <v>0</v>
      </c>
      <c r="AG18" s="89">
        <v>0</v>
      </c>
      <c r="AH18" s="112">
        <f t="shared" ref="AH18" si="394">AG18/$P18</f>
        <v>0</v>
      </c>
      <c r="AI18" s="89">
        <v>0</v>
      </c>
      <c r="AJ18" s="112">
        <f t="shared" ref="AJ18" si="395">AI18/$P18</f>
        <v>0</v>
      </c>
      <c r="AK18" s="89">
        <v>0</v>
      </c>
      <c r="AL18" s="112">
        <f t="shared" ref="AL18" si="396">AK18/$P18</f>
        <v>0</v>
      </c>
      <c r="AM18" s="89">
        <v>0</v>
      </c>
      <c r="AN18" s="112">
        <f t="shared" ref="AN18" si="397">AM18/$P18</f>
        <v>0</v>
      </c>
      <c r="AO18" s="89">
        <v>0</v>
      </c>
      <c r="AP18" s="112">
        <f t="shared" ref="AP18" si="398">AO18/$P18</f>
        <v>0</v>
      </c>
      <c r="AQ18" s="89">
        <f t="shared" si="2"/>
        <v>0</v>
      </c>
      <c r="AR18" s="113">
        <f t="shared" si="19"/>
        <v>0</v>
      </c>
      <c r="AS18" s="89">
        <v>0</v>
      </c>
      <c r="AT18" s="112">
        <f t="shared" ref="AT18" si="399">AS18/$P18</f>
        <v>0</v>
      </c>
      <c r="AU18" s="89">
        <v>0</v>
      </c>
      <c r="AV18" s="112">
        <f t="shared" ref="AV18" si="400">AU18/$P18</f>
        <v>0</v>
      </c>
      <c r="AW18" s="89">
        <v>0</v>
      </c>
      <c r="AX18" s="112">
        <f t="shared" ref="AX18" si="401">AW18/$P18</f>
        <v>0</v>
      </c>
      <c r="AY18" s="89">
        <v>0</v>
      </c>
      <c r="AZ18" s="112">
        <f t="shared" ref="AZ18" si="402">AY18/$P18</f>
        <v>0</v>
      </c>
      <c r="BA18" s="89">
        <v>0</v>
      </c>
      <c r="BB18" s="112">
        <f t="shared" ref="BB18" si="403">BA18/$P18</f>
        <v>0</v>
      </c>
      <c r="BC18" s="89">
        <v>0</v>
      </c>
      <c r="BD18" s="112">
        <f t="shared" ref="BD18" si="404">BC18/$P18</f>
        <v>0</v>
      </c>
      <c r="BE18" s="89">
        <f t="shared" si="3"/>
        <v>0</v>
      </c>
      <c r="BF18" s="113">
        <f t="shared" si="26"/>
        <v>0</v>
      </c>
      <c r="BG18" s="89">
        <v>0</v>
      </c>
      <c r="BH18" s="112">
        <f t="shared" ref="BH18" si="405">BG18/$P18</f>
        <v>0</v>
      </c>
      <c r="BI18" s="89">
        <v>0</v>
      </c>
      <c r="BJ18" s="112">
        <f t="shared" ref="BJ18" si="406">BI18/$P18</f>
        <v>0</v>
      </c>
      <c r="BK18" s="89">
        <v>0</v>
      </c>
      <c r="BL18" s="112">
        <f t="shared" ref="BL18" si="407">BK18/$P18</f>
        <v>0</v>
      </c>
      <c r="BM18" s="89">
        <v>0</v>
      </c>
      <c r="BN18" s="112">
        <f t="shared" ref="BN18" si="408">BM18/$P18</f>
        <v>0</v>
      </c>
      <c r="BO18" s="89">
        <v>0</v>
      </c>
      <c r="BP18" s="112">
        <f t="shared" ref="BP18" si="409">BO18/$P18</f>
        <v>0</v>
      </c>
      <c r="BQ18" s="89">
        <v>0</v>
      </c>
      <c r="BR18" s="112">
        <f t="shared" ref="BR18" si="410">BQ18/$P18</f>
        <v>0</v>
      </c>
      <c r="BS18" s="89">
        <f t="shared" si="4"/>
        <v>0</v>
      </c>
      <c r="BT18" s="113">
        <f t="shared" si="33"/>
        <v>0</v>
      </c>
      <c r="BU18" s="89">
        <v>0</v>
      </c>
      <c r="BV18" s="112">
        <f t="shared" ref="BV18" si="411">BU18/$P18</f>
        <v>0</v>
      </c>
      <c r="BW18" s="89">
        <v>0</v>
      </c>
      <c r="BX18" s="112">
        <f t="shared" ref="BX18" si="412">BW18/$P18</f>
        <v>0</v>
      </c>
      <c r="BY18" s="89">
        <v>0</v>
      </c>
      <c r="BZ18" s="112">
        <f t="shared" ref="BZ18" si="413">BY18/$P18</f>
        <v>0</v>
      </c>
      <c r="CA18" s="89">
        <v>0</v>
      </c>
      <c r="CB18" s="112">
        <f t="shared" ref="CB18" si="414">CA18/$P18</f>
        <v>0</v>
      </c>
      <c r="CC18" s="89">
        <v>0</v>
      </c>
      <c r="CD18" s="112">
        <f t="shared" ref="CD18" si="415">CC18/$P18</f>
        <v>0</v>
      </c>
      <c r="CE18" s="89">
        <v>0</v>
      </c>
      <c r="CF18" s="112">
        <f t="shared" ref="CF18" si="416">CE18/$P18</f>
        <v>0</v>
      </c>
      <c r="CG18" s="89">
        <f t="shared" si="5"/>
        <v>0</v>
      </c>
      <c r="CH18" s="113">
        <f t="shared" si="40"/>
        <v>0</v>
      </c>
      <c r="CI18" s="89">
        <v>0</v>
      </c>
      <c r="CJ18" s="112">
        <f t="shared" ref="CJ18" si="417">CI18/$P18</f>
        <v>0</v>
      </c>
      <c r="CK18" s="89">
        <v>0</v>
      </c>
      <c r="CL18" s="112">
        <f t="shared" ref="CL18" si="418">CK18/$P18</f>
        <v>0</v>
      </c>
      <c r="CM18" s="89">
        <v>0</v>
      </c>
      <c r="CN18" s="112">
        <f t="shared" ref="CN18" si="419">CM18/$P18</f>
        <v>0</v>
      </c>
      <c r="CO18" s="89">
        <v>0</v>
      </c>
      <c r="CP18" s="112">
        <f t="shared" ref="CP18" si="420">CO18/$P18</f>
        <v>0</v>
      </c>
      <c r="CQ18" s="89">
        <v>0</v>
      </c>
      <c r="CR18" s="112">
        <f t="shared" ref="CR18" si="421">CQ18/$P18</f>
        <v>0</v>
      </c>
      <c r="CS18" s="89">
        <v>0</v>
      </c>
      <c r="CT18" s="112">
        <f t="shared" ref="CT18" si="422">CS18/$P18</f>
        <v>0</v>
      </c>
      <c r="CU18" s="89">
        <f t="shared" si="6"/>
        <v>0</v>
      </c>
      <c r="CV18" s="113">
        <f t="shared" si="47"/>
        <v>0</v>
      </c>
    </row>
    <row r="19" spans="2:100" ht="19.95" customHeight="1">
      <c r="B19" s="86"/>
      <c r="C19" s="88">
        <v>12</v>
      </c>
      <c r="D19" s="1" t="s">
        <v>200</v>
      </c>
      <c r="E19" s="88">
        <v>0.3</v>
      </c>
      <c r="F19" s="88">
        <v>2.91</v>
      </c>
      <c r="G19" s="89">
        <f>E19*F19*14</f>
        <v>12.222</v>
      </c>
      <c r="H19" s="90"/>
      <c r="I19" s="90"/>
      <c r="J19" s="90"/>
      <c r="K19" s="91"/>
      <c r="M19" s="89"/>
      <c r="N19" s="95">
        <f>G19</f>
        <v>12.222</v>
      </c>
      <c r="O19" s="89"/>
      <c r="P19" s="89">
        <f t="shared" si="0"/>
        <v>12.222</v>
      </c>
      <c r="Q19" s="89">
        <v>0</v>
      </c>
      <c r="R19" s="112">
        <f t="shared" si="7"/>
        <v>0</v>
      </c>
      <c r="S19" s="89">
        <v>0</v>
      </c>
      <c r="T19" s="112">
        <f t="shared" si="7"/>
        <v>0</v>
      </c>
      <c r="U19" s="89">
        <v>0</v>
      </c>
      <c r="V19" s="112">
        <f t="shared" ref="V19" si="423">U19/$P19</f>
        <v>0</v>
      </c>
      <c r="W19" s="89">
        <v>0</v>
      </c>
      <c r="X19" s="112">
        <f t="shared" ref="X19" si="424">W19/$P19</f>
        <v>0</v>
      </c>
      <c r="Y19" s="89">
        <v>0</v>
      </c>
      <c r="Z19" s="112">
        <f t="shared" ref="Z19" si="425">Y19/$P19</f>
        <v>0</v>
      </c>
      <c r="AA19" s="89">
        <v>0</v>
      </c>
      <c r="AB19" s="112">
        <f t="shared" ref="AB19" si="426">AA19/$P19</f>
        <v>0</v>
      </c>
      <c r="AC19" s="89">
        <f t="shared" si="1"/>
        <v>0</v>
      </c>
      <c r="AD19" s="113">
        <f t="shared" si="12"/>
        <v>0</v>
      </c>
      <c r="AE19" s="89">
        <v>0</v>
      </c>
      <c r="AF19" s="112">
        <f t="shared" ref="AF19" si="427">AE19/$P19</f>
        <v>0</v>
      </c>
      <c r="AG19" s="89">
        <v>0</v>
      </c>
      <c r="AH19" s="112">
        <f t="shared" ref="AH19" si="428">AG19/$P19</f>
        <v>0</v>
      </c>
      <c r="AI19" s="89">
        <v>0</v>
      </c>
      <c r="AJ19" s="112">
        <f t="shared" ref="AJ19" si="429">AI19/$P19</f>
        <v>0</v>
      </c>
      <c r="AK19" s="89">
        <v>0</v>
      </c>
      <c r="AL19" s="112">
        <f t="shared" ref="AL19" si="430">AK19/$P19</f>
        <v>0</v>
      </c>
      <c r="AM19" s="89">
        <v>0</v>
      </c>
      <c r="AN19" s="112">
        <f t="shared" ref="AN19" si="431">AM19/$P19</f>
        <v>0</v>
      </c>
      <c r="AO19" s="89">
        <v>0</v>
      </c>
      <c r="AP19" s="112">
        <f t="shared" ref="AP19" si="432">AO19/$P19</f>
        <v>0</v>
      </c>
      <c r="AQ19" s="89">
        <f t="shared" si="2"/>
        <v>0</v>
      </c>
      <c r="AR19" s="113">
        <f t="shared" si="19"/>
        <v>0</v>
      </c>
      <c r="AS19" s="89">
        <v>0</v>
      </c>
      <c r="AT19" s="112">
        <f t="shared" ref="AT19" si="433">AS19/$P19</f>
        <v>0</v>
      </c>
      <c r="AU19" s="89">
        <v>0</v>
      </c>
      <c r="AV19" s="112">
        <f t="shared" ref="AV19" si="434">AU19/$P19</f>
        <v>0</v>
      </c>
      <c r="AW19" s="89">
        <v>0</v>
      </c>
      <c r="AX19" s="112">
        <f t="shared" ref="AX19" si="435">AW19/$P19</f>
        <v>0</v>
      </c>
      <c r="AY19" s="89">
        <v>0</v>
      </c>
      <c r="AZ19" s="112">
        <f t="shared" ref="AZ19" si="436">AY19/$P19</f>
        <v>0</v>
      </c>
      <c r="BA19" s="89">
        <v>0</v>
      </c>
      <c r="BB19" s="112">
        <f t="shared" ref="BB19" si="437">BA19/$P19</f>
        <v>0</v>
      </c>
      <c r="BC19" s="89">
        <v>0</v>
      </c>
      <c r="BD19" s="112">
        <f t="shared" ref="BD19" si="438">BC19/$P19</f>
        <v>0</v>
      </c>
      <c r="BE19" s="89">
        <f t="shared" si="3"/>
        <v>0</v>
      </c>
      <c r="BF19" s="113">
        <f t="shared" si="26"/>
        <v>0</v>
      </c>
      <c r="BG19" s="89">
        <v>0</v>
      </c>
      <c r="BH19" s="112">
        <f t="shared" ref="BH19" si="439">BG19/$P19</f>
        <v>0</v>
      </c>
      <c r="BI19" s="89">
        <v>0</v>
      </c>
      <c r="BJ19" s="112">
        <f t="shared" ref="BJ19" si="440">BI19/$P19</f>
        <v>0</v>
      </c>
      <c r="BK19" s="89">
        <v>0</v>
      </c>
      <c r="BL19" s="112">
        <f t="shared" ref="BL19" si="441">BK19/$P19</f>
        <v>0</v>
      </c>
      <c r="BM19" s="89">
        <v>0</v>
      </c>
      <c r="BN19" s="112">
        <f t="shared" ref="BN19" si="442">BM19/$P19</f>
        <v>0</v>
      </c>
      <c r="BO19" s="89">
        <v>0</v>
      </c>
      <c r="BP19" s="112">
        <f t="shared" ref="BP19" si="443">BO19/$P19</f>
        <v>0</v>
      </c>
      <c r="BQ19" s="89">
        <v>0</v>
      </c>
      <c r="BR19" s="112">
        <f t="shared" ref="BR19" si="444">BQ19/$P19</f>
        <v>0</v>
      </c>
      <c r="BS19" s="89">
        <f t="shared" si="4"/>
        <v>0</v>
      </c>
      <c r="BT19" s="113">
        <f t="shared" si="33"/>
        <v>0</v>
      </c>
      <c r="BU19" s="89">
        <v>0</v>
      </c>
      <c r="BV19" s="112">
        <f t="shared" ref="BV19" si="445">BU19/$P19</f>
        <v>0</v>
      </c>
      <c r="BW19" s="89">
        <v>0</v>
      </c>
      <c r="BX19" s="112">
        <f t="shared" ref="BX19" si="446">BW19/$P19</f>
        <v>0</v>
      </c>
      <c r="BY19" s="89">
        <v>0</v>
      </c>
      <c r="BZ19" s="112">
        <f t="shared" ref="BZ19" si="447">BY19/$P19</f>
        <v>0</v>
      </c>
      <c r="CA19" s="89">
        <v>0</v>
      </c>
      <c r="CB19" s="112">
        <f t="shared" ref="CB19" si="448">CA19/$P19</f>
        <v>0</v>
      </c>
      <c r="CC19" s="89">
        <v>0</v>
      </c>
      <c r="CD19" s="112">
        <f t="shared" ref="CD19" si="449">CC19/$P19</f>
        <v>0</v>
      </c>
      <c r="CE19" s="89">
        <v>0</v>
      </c>
      <c r="CF19" s="112">
        <f t="shared" ref="CF19" si="450">CE19/$P19</f>
        <v>0</v>
      </c>
      <c r="CG19" s="89">
        <f t="shared" si="5"/>
        <v>0</v>
      </c>
      <c r="CH19" s="113">
        <f t="shared" si="40"/>
        <v>0</v>
      </c>
      <c r="CI19" s="89">
        <v>0</v>
      </c>
      <c r="CJ19" s="112">
        <f t="shared" ref="CJ19" si="451">CI19/$P19</f>
        <v>0</v>
      </c>
      <c r="CK19" s="89">
        <v>0</v>
      </c>
      <c r="CL19" s="112">
        <f t="shared" ref="CL19" si="452">CK19/$P19</f>
        <v>0</v>
      </c>
      <c r="CM19" s="89">
        <v>0</v>
      </c>
      <c r="CN19" s="112">
        <f t="shared" ref="CN19" si="453">CM19/$P19</f>
        <v>0</v>
      </c>
      <c r="CO19" s="89">
        <v>0</v>
      </c>
      <c r="CP19" s="112">
        <f t="shared" ref="CP19" si="454">CO19/$P19</f>
        <v>0</v>
      </c>
      <c r="CQ19" s="89">
        <v>0</v>
      </c>
      <c r="CR19" s="112">
        <f t="shared" ref="CR19" si="455">CQ19/$P19</f>
        <v>0</v>
      </c>
      <c r="CS19" s="89">
        <v>0</v>
      </c>
      <c r="CT19" s="112">
        <f t="shared" ref="CT19" si="456">CS19/$P19</f>
        <v>0</v>
      </c>
      <c r="CU19" s="89">
        <f t="shared" si="6"/>
        <v>0</v>
      </c>
      <c r="CV19" s="113">
        <f t="shared" si="47"/>
        <v>0</v>
      </c>
    </row>
    <row r="20" spans="2:100" ht="19.95" customHeight="1">
      <c r="B20" s="86"/>
      <c r="C20" s="88" t="s">
        <v>221</v>
      </c>
      <c r="D20" s="1" t="s">
        <v>202</v>
      </c>
      <c r="E20" s="88">
        <v>0.6</v>
      </c>
      <c r="F20" s="88">
        <v>1.71</v>
      </c>
      <c r="G20" s="89">
        <f>E20*F20*14</f>
        <v>14.364000000000001</v>
      </c>
      <c r="H20" s="90"/>
      <c r="I20" s="90"/>
      <c r="J20" s="90"/>
      <c r="K20" s="91"/>
      <c r="L20" s="89"/>
      <c r="O20" s="95">
        <f>G20</f>
        <v>14.364000000000001</v>
      </c>
      <c r="P20" s="89">
        <f t="shared" si="0"/>
        <v>14.364000000000001</v>
      </c>
      <c r="Q20" s="89">
        <v>0</v>
      </c>
      <c r="R20" s="112">
        <f t="shared" si="7"/>
        <v>0</v>
      </c>
      <c r="S20" s="89">
        <v>0</v>
      </c>
      <c r="T20" s="112">
        <f t="shared" si="7"/>
        <v>0</v>
      </c>
      <c r="U20" s="89">
        <v>0</v>
      </c>
      <c r="V20" s="112">
        <f t="shared" ref="V20" si="457">U20/$P20</f>
        <v>0</v>
      </c>
      <c r="W20" s="89">
        <v>0</v>
      </c>
      <c r="X20" s="112">
        <f t="shared" ref="X20" si="458">W20/$P20</f>
        <v>0</v>
      </c>
      <c r="Y20" s="89">
        <v>0</v>
      </c>
      <c r="Z20" s="112">
        <f t="shared" ref="Z20" si="459">Y20/$P20</f>
        <v>0</v>
      </c>
      <c r="AA20" s="89">
        <v>0</v>
      </c>
      <c r="AB20" s="112">
        <f t="shared" ref="AB20" si="460">AA20/$P20</f>
        <v>0</v>
      </c>
      <c r="AC20" s="89">
        <f t="shared" si="1"/>
        <v>0</v>
      </c>
      <c r="AD20" s="113">
        <f t="shared" si="12"/>
        <v>0</v>
      </c>
      <c r="AE20" s="89">
        <v>0</v>
      </c>
      <c r="AF20" s="112">
        <f t="shared" ref="AF20" si="461">AE20/$P20</f>
        <v>0</v>
      </c>
      <c r="AG20" s="89">
        <v>0</v>
      </c>
      <c r="AH20" s="112">
        <f t="shared" ref="AH20" si="462">AG20/$P20</f>
        <v>0</v>
      </c>
      <c r="AI20" s="89">
        <v>0</v>
      </c>
      <c r="AJ20" s="112">
        <f t="shared" ref="AJ20" si="463">AI20/$P20</f>
        <v>0</v>
      </c>
      <c r="AK20" s="89">
        <v>0</v>
      </c>
      <c r="AL20" s="112">
        <f t="shared" ref="AL20" si="464">AK20/$P20</f>
        <v>0</v>
      </c>
      <c r="AM20" s="89">
        <v>0</v>
      </c>
      <c r="AN20" s="112">
        <f t="shared" ref="AN20" si="465">AM20/$P20</f>
        <v>0</v>
      </c>
      <c r="AO20" s="89">
        <v>0</v>
      </c>
      <c r="AP20" s="112">
        <f t="shared" ref="AP20" si="466">AO20/$P20</f>
        <v>0</v>
      </c>
      <c r="AQ20" s="89">
        <f t="shared" si="2"/>
        <v>0</v>
      </c>
      <c r="AR20" s="113">
        <f t="shared" si="19"/>
        <v>0</v>
      </c>
      <c r="AS20" s="89">
        <v>0</v>
      </c>
      <c r="AT20" s="112">
        <f t="shared" ref="AT20" si="467">AS20/$P20</f>
        <v>0</v>
      </c>
      <c r="AU20" s="89">
        <v>0</v>
      </c>
      <c r="AV20" s="112">
        <f t="shared" ref="AV20" si="468">AU20/$P20</f>
        <v>0</v>
      </c>
      <c r="AW20" s="89">
        <v>0</v>
      </c>
      <c r="AX20" s="112">
        <f t="shared" ref="AX20" si="469">AW20/$P20</f>
        <v>0</v>
      </c>
      <c r="AY20" s="89">
        <v>0</v>
      </c>
      <c r="AZ20" s="112">
        <f t="shared" ref="AZ20" si="470">AY20/$P20</f>
        <v>0</v>
      </c>
      <c r="BA20" s="89">
        <v>0</v>
      </c>
      <c r="BB20" s="112">
        <f t="shared" ref="BB20" si="471">BA20/$P20</f>
        <v>0</v>
      </c>
      <c r="BC20" s="89">
        <v>0</v>
      </c>
      <c r="BD20" s="112">
        <f t="shared" ref="BD20" si="472">BC20/$P20</f>
        <v>0</v>
      </c>
      <c r="BE20" s="89">
        <f t="shared" si="3"/>
        <v>0</v>
      </c>
      <c r="BF20" s="113">
        <f t="shared" si="26"/>
        <v>0</v>
      </c>
      <c r="BG20" s="89">
        <v>0</v>
      </c>
      <c r="BH20" s="112">
        <f t="shared" ref="BH20" si="473">BG20/$P20</f>
        <v>0</v>
      </c>
      <c r="BI20" s="89">
        <v>0</v>
      </c>
      <c r="BJ20" s="112">
        <f t="shared" ref="BJ20" si="474">BI20/$P20</f>
        <v>0</v>
      </c>
      <c r="BK20" s="89">
        <v>0</v>
      </c>
      <c r="BL20" s="112">
        <f t="shared" ref="BL20" si="475">BK20/$P20</f>
        <v>0</v>
      </c>
      <c r="BM20" s="89">
        <v>0</v>
      </c>
      <c r="BN20" s="112">
        <f t="shared" ref="BN20" si="476">BM20/$P20</f>
        <v>0</v>
      </c>
      <c r="BO20" s="89">
        <v>0</v>
      </c>
      <c r="BP20" s="112">
        <f t="shared" ref="BP20" si="477">BO20/$P20</f>
        <v>0</v>
      </c>
      <c r="BQ20" s="89">
        <v>0</v>
      </c>
      <c r="BR20" s="112">
        <f t="shared" ref="BR20" si="478">BQ20/$P20</f>
        <v>0</v>
      </c>
      <c r="BS20" s="89">
        <f t="shared" si="4"/>
        <v>0</v>
      </c>
      <c r="BT20" s="113">
        <f t="shared" si="33"/>
        <v>0</v>
      </c>
      <c r="BU20" s="89">
        <v>0</v>
      </c>
      <c r="BV20" s="112">
        <f t="shared" ref="BV20" si="479">BU20/$P20</f>
        <v>0</v>
      </c>
      <c r="BW20" s="89">
        <v>0</v>
      </c>
      <c r="BX20" s="112">
        <f t="shared" ref="BX20" si="480">BW20/$P20</f>
        <v>0</v>
      </c>
      <c r="BY20" s="89">
        <v>0</v>
      </c>
      <c r="BZ20" s="112">
        <f t="shared" ref="BZ20" si="481">BY20/$P20</f>
        <v>0</v>
      </c>
      <c r="CA20" s="89">
        <v>0</v>
      </c>
      <c r="CB20" s="112">
        <f t="shared" ref="CB20" si="482">CA20/$P20</f>
        <v>0</v>
      </c>
      <c r="CC20" s="89">
        <v>0</v>
      </c>
      <c r="CD20" s="112">
        <f t="shared" ref="CD20" si="483">CC20/$P20</f>
        <v>0</v>
      </c>
      <c r="CE20" s="89">
        <v>0</v>
      </c>
      <c r="CF20" s="112">
        <f t="shared" ref="CF20" si="484">CE20/$P20</f>
        <v>0</v>
      </c>
      <c r="CG20" s="89">
        <f t="shared" si="5"/>
        <v>0</v>
      </c>
      <c r="CH20" s="113">
        <f t="shared" si="40"/>
        <v>0</v>
      </c>
      <c r="CI20" s="89">
        <v>0</v>
      </c>
      <c r="CJ20" s="112">
        <f t="shared" ref="CJ20" si="485">CI20/$P20</f>
        <v>0</v>
      </c>
      <c r="CK20" s="89">
        <v>0</v>
      </c>
      <c r="CL20" s="112">
        <f t="shared" ref="CL20" si="486">CK20/$P20</f>
        <v>0</v>
      </c>
      <c r="CM20" s="89">
        <v>0</v>
      </c>
      <c r="CN20" s="112">
        <f t="shared" ref="CN20" si="487">CM20/$P20</f>
        <v>0</v>
      </c>
      <c r="CO20" s="89">
        <v>0</v>
      </c>
      <c r="CP20" s="112">
        <f t="shared" ref="CP20" si="488">CO20/$P20</f>
        <v>0</v>
      </c>
      <c r="CQ20" s="89">
        <v>0</v>
      </c>
      <c r="CR20" s="112">
        <f t="shared" ref="CR20" si="489">CQ20/$P20</f>
        <v>0</v>
      </c>
      <c r="CS20" s="89">
        <v>0</v>
      </c>
      <c r="CT20" s="112">
        <f t="shared" ref="CT20" si="490">CS20/$P20</f>
        <v>0</v>
      </c>
      <c r="CU20" s="89">
        <f t="shared" si="6"/>
        <v>0</v>
      </c>
      <c r="CV20" s="113">
        <f t="shared" si="47"/>
        <v>0</v>
      </c>
    </row>
    <row r="21" spans="2:100" ht="19.95" customHeight="1">
      <c r="B21" s="86"/>
      <c r="C21" s="88">
        <v>13</v>
      </c>
      <c r="D21" s="1" t="s">
        <v>102</v>
      </c>
      <c r="E21" s="88">
        <f>E5</f>
        <v>35.6</v>
      </c>
      <c r="F21" s="89">
        <v>5.3</v>
      </c>
      <c r="G21" s="89">
        <f>E21*F21</f>
        <v>188.68</v>
      </c>
      <c r="H21" s="90">
        <v>1.5</v>
      </c>
      <c r="I21" s="90">
        <v>1.2</v>
      </c>
      <c r="J21" s="90">
        <v>28</v>
      </c>
      <c r="K21" s="91">
        <f>(H21*I21)*J21</f>
        <v>50.399999999999991</v>
      </c>
      <c r="L21" s="95">
        <f>G21-K21</f>
        <v>138.28000000000003</v>
      </c>
      <c r="M21" s="1"/>
      <c r="N21" s="89"/>
      <c r="P21" s="89">
        <f t="shared" si="0"/>
        <v>138.28000000000003</v>
      </c>
      <c r="Q21" s="89">
        <v>0</v>
      </c>
      <c r="R21" s="112">
        <f t="shared" si="7"/>
        <v>0</v>
      </c>
      <c r="S21" s="89">
        <v>0</v>
      </c>
      <c r="T21" s="112">
        <f t="shared" si="7"/>
        <v>0</v>
      </c>
      <c r="U21" s="89">
        <v>0</v>
      </c>
      <c r="V21" s="112">
        <f t="shared" ref="V21" si="491">U21/$P21</f>
        <v>0</v>
      </c>
      <c r="W21" s="89">
        <v>0</v>
      </c>
      <c r="X21" s="112">
        <f t="shared" ref="X21" si="492">W21/$P21</f>
        <v>0</v>
      </c>
      <c r="Y21" s="89">
        <v>0</v>
      </c>
      <c r="Z21" s="112">
        <f t="shared" ref="Z21" si="493">Y21/$P21</f>
        <v>0</v>
      </c>
      <c r="AA21" s="89">
        <v>0</v>
      </c>
      <c r="AB21" s="112">
        <f t="shared" ref="AB21" si="494">AA21/$P21</f>
        <v>0</v>
      </c>
      <c r="AC21" s="89">
        <f t="shared" si="1"/>
        <v>0</v>
      </c>
      <c r="AD21" s="113">
        <f t="shared" si="12"/>
        <v>0</v>
      </c>
      <c r="AE21" s="89">
        <v>0</v>
      </c>
      <c r="AF21" s="112">
        <f t="shared" ref="AF21" si="495">AE21/$P21</f>
        <v>0</v>
      </c>
      <c r="AG21" s="89">
        <v>0</v>
      </c>
      <c r="AH21" s="112">
        <f t="shared" ref="AH21" si="496">AG21/$P21</f>
        <v>0</v>
      </c>
      <c r="AI21" s="89">
        <v>0</v>
      </c>
      <c r="AJ21" s="112">
        <f t="shared" ref="AJ21" si="497">AI21/$P21</f>
        <v>0</v>
      </c>
      <c r="AK21" s="89">
        <v>0</v>
      </c>
      <c r="AL21" s="112">
        <f t="shared" ref="AL21" si="498">AK21/$P21</f>
        <v>0</v>
      </c>
      <c r="AM21" s="89">
        <v>0</v>
      </c>
      <c r="AN21" s="112">
        <f t="shared" ref="AN21" si="499">AM21/$P21</f>
        <v>0</v>
      </c>
      <c r="AO21" s="89">
        <v>0</v>
      </c>
      <c r="AP21" s="112">
        <f t="shared" ref="AP21" si="500">AO21/$P21</f>
        <v>0</v>
      </c>
      <c r="AQ21" s="89">
        <f t="shared" si="2"/>
        <v>0</v>
      </c>
      <c r="AR21" s="113">
        <f t="shared" si="19"/>
        <v>0</v>
      </c>
      <c r="AS21" s="89">
        <v>0</v>
      </c>
      <c r="AT21" s="112">
        <f t="shared" ref="AT21" si="501">AS21/$P21</f>
        <v>0</v>
      </c>
      <c r="AU21" s="89">
        <v>0</v>
      </c>
      <c r="AV21" s="112">
        <f t="shared" ref="AV21" si="502">AU21/$P21</f>
        <v>0</v>
      </c>
      <c r="AW21" s="89">
        <v>0</v>
      </c>
      <c r="AX21" s="112">
        <f t="shared" ref="AX21" si="503">AW21/$P21</f>
        <v>0</v>
      </c>
      <c r="AY21" s="89">
        <v>0</v>
      </c>
      <c r="AZ21" s="112">
        <f t="shared" ref="AZ21" si="504">AY21/$P21</f>
        <v>0</v>
      </c>
      <c r="BA21" s="89">
        <v>0</v>
      </c>
      <c r="BB21" s="112">
        <f t="shared" ref="BB21" si="505">BA21/$P21</f>
        <v>0</v>
      </c>
      <c r="BC21" s="89">
        <v>0</v>
      </c>
      <c r="BD21" s="112">
        <f t="shared" ref="BD21" si="506">BC21/$P21</f>
        <v>0</v>
      </c>
      <c r="BE21" s="89">
        <f t="shared" si="3"/>
        <v>0</v>
      </c>
      <c r="BF21" s="113">
        <f t="shared" si="26"/>
        <v>0</v>
      </c>
      <c r="BG21" s="89">
        <v>0</v>
      </c>
      <c r="BH21" s="112">
        <f t="shared" ref="BH21" si="507">BG21/$P21</f>
        <v>0</v>
      </c>
      <c r="BI21" s="89">
        <v>0</v>
      </c>
      <c r="BJ21" s="112">
        <f t="shared" ref="BJ21" si="508">BI21/$P21</f>
        <v>0</v>
      </c>
      <c r="BK21" s="89">
        <v>0</v>
      </c>
      <c r="BL21" s="112">
        <f t="shared" ref="BL21" si="509">BK21/$P21</f>
        <v>0</v>
      </c>
      <c r="BM21" s="89">
        <v>0</v>
      </c>
      <c r="BN21" s="112">
        <f t="shared" ref="BN21" si="510">BM21/$P21</f>
        <v>0</v>
      </c>
      <c r="BO21" s="89">
        <v>0</v>
      </c>
      <c r="BP21" s="112">
        <f t="shared" ref="BP21" si="511">BO21/$P21</f>
        <v>0</v>
      </c>
      <c r="BQ21" s="89">
        <v>0</v>
      </c>
      <c r="BR21" s="112">
        <f t="shared" ref="BR21" si="512">BQ21/$P21</f>
        <v>0</v>
      </c>
      <c r="BS21" s="89">
        <f t="shared" si="4"/>
        <v>0</v>
      </c>
      <c r="BT21" s="113">
        <f t="shared" si="33"/>
        <v>0</v>
      </c>
      <c r="BU21" s="89">
        <v>0</v>
      </c>
      <c r="BV21" s="112">
        <f t="shared" ref="BV21" si="513">BU21/$P21</f>
        <v>0</v>
      </c>
      <c r="BW21" s="89">
        <v>0</v>
      </c>
      <c r="BX21" s="112">
        <f t="shared" ref="BX21" si="514">BW21/$P21</f>
        <v>0</v>
      </c>
      <c r="BY21" s="89">
        <v>0</v>
      </c>
      <c r="BZ21" s="112">
        <f t="shared" ref="BZ21" si="515">BY21/$P21</f>
        <v>0</v>
      </c>
      <c r="CA21" s="89">
        <v>0</v>
      </c>
      <c r="CB21" s="112">
        <f t="shared" ref="CB21" si="516">CA21/$P21</f>
        <v>0</v>
      </c>
      <c r="CC21" s="89">
        <v>0</v>
      </c>
      <c r="CD21" s="112">
        <f t="shared" ref="CD21" si="517">CC21/$P21</f>
        <v>0</v>
      </c>
      <c r="CE21" s="89">
        <v>0</v>
      </c>
      <c r="CF21" s="112">
        <f t="shared" ref="CF21" si="518">CE21/$P21</f>
        <v>0</v>
      </c>
      <c r="CG21" s="89">
        <f t="shared" si="5"/>
        <v>0</v>
      </c>
      <c r="CH21" s="113">
        <f t="shared" si="40"/>
        <v>0</v>
      </c>
      <c r="CI21" s="89">
        <v>0</v>
      </c>
      <c r="CJ21" s="112">
        <f t="shared" ref="CJ21" si="519">CI21/$P21</f>
        <v>0</v>
      </c>
      <c r="CK21" s="89">
        <v>0</v>
      </c>
      <c r="CL21" s="112">
        <f t="shared" ref="CL21" si="520">CK21/$P21</f>
        <v>0</v>
      </c>
      <c r="CM21" s="89">
        <v>0</v>
      </c>
      <c r="CN21" s="112">
        <f t="shared" ref="CN21" si="521">CM21/$P21</f>
        <v>0</v>
      </c>
      <c r="CO21" s="89">
        <v>0</v>
      </c>
      <c r="CP21" s="112">
        <f t="shared" ref="CP21" si="522">CO21/$P21</f>
        <v>0</v>
      </c>
      <c r="CQ21" s="89">
        <v>0</v>
      </c>
      <c r="CR21" s="112">
        <f t="shared" ref="CR21" si="523">CQ21/$P21</f>
        <v>0</v>
      </c>
      <c r="CS21" s="89">
        <v>0</v>
      </c>
      <c r="CT21" s="112">
        <f t="shared" ref="CT21" si="524">CS21/$P21</f>
        <v>0</v>
      </c>
      <c r="CU21" s="89">
        <f t="shared" si="6"/>
        <v>0</v>
      </c>
      <c r="CV21" s="113">
        <f t="shared" si="47"/>
        <v>0</v>
      </c>
    </row>
    <row r="22" spans="2:100" ht="19.95" customHeight="1">
      <c r="B22" s="86"/>
      <c r="C22" s="88">
        <v>14</v>
      </c>
      <c r="D22" s="1" t="s">
        <v>192</v>
      </c>
      <c r="E22" s="88">
        <v>35</v>
      </c>
      <c r="F22" s="89">
        <v>4.8</v>
      </c>
      <c r="G22" s="89">
        <f>E22*F22</f>
        <v>168</v>
      </c>
      <c r="H22" s="90">
        <v>0.25</v>
      </c>
      <c r="I22" s="90">
        <v>3.1</v>
      </c>
      <c r="J22" s="90">
        <v>14</v>
      </c>
      <c r="K22" s="91">
        <f>(H22*I22)*J22</f>
        <v>10.85</v>
      </c>
      <c r="L22" s="95">
        <f>G22-K22</f>
        <v>157.15</v>
      </c>
      <c r="M22" s="89"/>
      <c r="O22" s="89"/>
      <c r="P22" s="89">
        <f t="shared" si="0"/>
        <v>157.15</v>
      </c>
      <c r="Q22" s="89">
        <v>0</v>
      </c>
      <c r="R22" s="112">
        <f t="shared" si="7"/>
        <v>0</v>
      </c>
      <c r="S22" s="89">
        <v>0</v>
      </c>
      <c r="T22" s="112">
        <f t="shared" si="7"/>
        <v>0</v>
      </c>
      <c r="U22" s="89">
        <v>0</v>
      </c>
      <c r="V22" s="112">
        <f t="shared" ref="V22" si="525">U22/$P22</f>
        <v>0</v>
      </c>
      <c r="W22" s="89">
        <v>0</v>
      </c>
      <c r="X22" s="112">
        <f t="shared" ref="X22" si="526">W22/$P22</f>
        <v>0</v>
      </c>
      <c r="Y22" s="89">
        <v>0</v>
      </c>
      <c r="Z22" s="112">
        <f t="shared" ref="Z22" si="527">Y22/$P22</f>
        <v>0</v>
      </c>
      <c r="AA22" s="89">
        <v>0</v>
      </c>
      <c r="AB22" s="112">
        <f t="shared" ref="AB22" si="528">AA22/$P22</f>
        <v>0</v>
      </c>
      <c r="AC22" s="89">
        <f t="shared" si="1"/>
        <v>0</v>
      </c>
      <c r="AD22" s="113">
        <f t="shared" si="12"/>
        <v>0</v>
      </c>
      <c r="AE22" s="89">
        <v>0</v>
      </c>
      <c r="AF22" s="112">
        <f t="shared" ref="AF22" si="529">AE22/$P22</f>
        <v>0</v>
      </c>
      <c r="AG22" s="89">
        <v>0</v>
      </c>
      <c r="AH22" s="112">
        <f t="shared" ref="AH22" si="530">AG22/$P22</f>
        <v>0</v>
      </c>
      <c r="AI22" s="89">
        <v>0</v>
      </c>
      <c r="AJ22" s="112">
        <f t="shared" ref="AJ22" si="531">AI22/$P22</f>
        <v>0</v>
      </c>
      <c r="AK22" s="89">
        <v>0</v>
      </c>
      <c r="AL22" s="112">
        <f t="shared" ref="AL22" si="532">AK22/$P22</f>
        <v>0</v>
      </c>
      <c r="AM22" s="89">
        <v>0</v>
      </c>
      <c r="AN22" s="112">
        <f t="shared" ref="AN22" si="533">AM22/$P22</f>
        <v>0</v>
      </c>
      <c r="AO22" s="89">
        <v>0</v>
      </c>
      <c r="AP22" s="112">
        <f t="shared" ref="AP22" si="534">AO22/$P22</f>
        <v>0</v>
      </c>
      <c r="AQ22" s="89">
        <f t="shared" si="2"/>
        <v>0</v>
      </c>
      <c r="AR22" s="113">
        <f t="shared" si="19"/>
        <v>0</v>
      </c>
      <c r="AS22" s="89">
        <v>0</v>
      </c>
      <c r="AT22" s="112">
        <f t="shared" ref="AT22" si="535">AS22/$P22</f>
        <v>0</v>
      </c>
      <c r="AU22" s="89">
        <v>0</v>
      </c>
      <c r="AV22" s="112">
        <f t="shared" ref="AV22" si="536">AU22/$P22</f>
        <v>0</v>
      </c>
      <c r="AW22" s="89">
        <v>0</v>
      </c>
      <c r="AX22" s="112">
        <f t="shared" ref="AX22" si="537">AW22/$P22</f>
        <v>0</v>
      </c>
      <c r="AY22" s="89">
        <v>0</v>
      </c>
      <c r="AZ22" s="112">
        <f t="shared" ref="AZ22" si="538">AY22/$P22</f>
        <v>0</v>
      </c>
      <c r="BA22" s="89">
        <v>0</v>
      </c>
      <c r="BB22" s="112">
        <f t="shared" ref="BB22" si="539">BA22/$P22</f>
        <v>0</v>
      </c>
      <c r="BC22" s="89">
        <v>0</v>
      </c>
      <c r="BD22" s="112">
        <f t="shared" ref="BD22" si="540">BC22/$P22</f>
        <v>0</v>
      </c>
      <c r="BE22" s="89">
        <f t="shared" si="3"/>
        <v>0</v>
      </c>
      <c r="BF22" s="113">
        <f t="shared" si="26"/>
        <v>0</v>
      </c>
      <c r="BG22" s="89">
        <v>0</v>
      </c>
      <c r="BH22" s="112">
        <f t="shared" ref="BH22" si="541">BG22/$P22</f>
        <v>0</v>
      </c>
      <c r="BI22" s="89">
        <v>0</v>
      </c>
      <c r="BJ22" s="112">
        <f t="shared" ref="BJ22" si="542">BI22/$P22</f>
        <v>0</v>
      </c>
      <c r="BK22" s="89">
        <v>0</v>
      </c>
      <c r="BL22" s="112">
        <f t="shared" ref="BL22" si="543">BK22/$P22</f>
        <v>0</v>
      </c>
      <c r="BM22" s="89">
        <v>0</v>
      </c>
      <c r="BN22" s="112">
        <f t="shared" ref="BN22" si="544">BM22/$P22</f>
        <v>0</v>
      </c>
      <c r="BO22" s="89">
        <v>0</v>
      </c>
      <c r="BP22" s="112">
        <f t="shared" ref="BP22" si="545">BO22/$P22</f>
        <v>0</v>
      </c>
      <c r="BQ22" s="89">
        <v>0</v>
      </c>
      <c r="BR22" s="112">
        <f t="shared" ref="BR22" si="546">BQ22/$P22</f>
        <v>0</v>
      </c>
      <c r="BS22" s="89">
        <f t="shared" si="4"/>
        <v>0</v>
      </c>
      <c r="BT22" s="113">
        <f t="shared" si="33"/>
        <v>0</v>
      </c>
      <c r="BU22" s="89">
        <v>0</v>
      </c>
      <c r="BV22" s="112">
        <f t="shared" ref="BV22" si="547">BU22/$P22</f>
        <v>0</v>
      </c>
      <c r="BW22" s="89">
        <v>0</v>
      </c>
      <c r="BX22" s="112">
        <f t="shared" ref="BX22" si="548">BW22/$P22</f>
        <v>0</v>
      </c>
      <c r="BY22" s="89">
        <v>0</v>
      </c>
      <c r="BZ22" s="112">
        <f t="shared" ref="BZ22" si="549">BY22/$P22</f>
        <v>0</v>
      </c>
      <c r="CA22" s="89">
        <v>0</v>
      </c>
      <c r="CB22" s="112">
        <f t="shared" ref="CB22" si="550">CA22/$P22</f>
        <v>0</v>
      </c>
      <c r="CC22" s="89">
        <v>0</v>
      </c>
      <c r="CD22" s="112">
        <f t="shared" ref="CD22" si="551">CC22/$P22</f>
        <v>0</v>
      </c>
      <c r="CE22" s="89">
        <v>0</v>
      </c>
      <c r="CF22" s="112">
        <f t="shared" ref="CF22" si="552">CE22/$P22</f>
        <v>0</v>
      </c>
      <c r="CG22" s="89">
        <f t="shared" si="5"/>
        <v>0</v>
      </c>
      <c r="CH22" s="113">
        <f t="shared" si="40"/>
        <v>0</v>
      </c>
      <c r="CI22" s="89">
        <v>0</v>
      </c>
      <c r="CJ22" s="112">
        <f t="shared" ref="CJ22" si="553">CI22/$P22</f>
        <v>0</v>
      </c>
      <c r="CK22" s="89">
        <v>0</v>
      </c>
      <c r="CL22" s="112">
        <f t="shared" ref="CL22" si="554">CK22/$P22</f>
        <v>0</v>
      </c>
      <c r="CM22" s="89">
        <v>0</v>
      </c>
      <c r="CN22" s="112">
        <f t="shared" ref="CN22" si="555">CM22/$P22</f>
        <v>0</v>
      </c>
      <c r="CO22" s="89">
        <v>0</v>
      </c>
      <c r="CP22" s="112">
        <f t="shared" ref="CP22" si="556">CO22/$P22</f>
        <v>0</v>
      </c>
      <c r="CQ22" s="89">
        <v>0</v>
      </c>
      <c r="CR22" s="112">
        <f t="shared" ref="CR22" si="557">CQ22/$P22</f>
        <v>0</v>
      </c>
      <c r="CS22" s="89">
        <v>0</v>
      </c>
      <c r="CT22" s="112">
        <f t="shared" ref="CT22" si="558">CS22/$P22</f>
        <v>0</v>
      </c>
      <c r="CU22" s="89">
        <f t="shared" si="6"/>
        <v>0</v>
      </c>
      <c r="CV22" s="113">
        <f t="shared" si="47"/>
        <v>0</v>
      </c>
    </row>
    <row r="23" spans="2:100" ht="19.95" customHeight="1">
      <c r="B23" s="86"/>
      <c r="C23" s="88">
        <v>15</v>
      </c>
      <c r="D23" s="1" t="s">
        <v>192</v>
      </c>
      <c r="E23" s="88">
        <v>35</v>
      </c>
      <c r="F23" s="88">
        <v>2.15</v>
      </c>
      <c r="G23" s="89">
        <f>E23*F23</f>
        <v>75.25</v>
      </c>
      <c r="H23" s="90"/>
      <c r="I23" s="91"/>
      <c r="J23" s="90"/>
      <c r="K23" s="91"/>
      <c r="L23" s="95">
        <f>G23-K23</f>
        <v>75.25</v>
      </c>
      <c r="M23" s="89"/>
      <c r="N23" s="1"/>
      <c r="O23" s="89"/>
      <c r="P23" s="89">
        <f t="shared" si="0"/>
        <v>75.25</v>
      </c>
      <c r="Q23" s="89">
        <v>0</v>
      </c>
      <c r="R23" s="112">
        <f t="shared" si="7"/>
        <v>0</v>
      </c>
      <c r="S23" s="89">
        <v>0</v>
      </c>
      <c r="T23" s="112">
        <f t="shared" si="7"/>
        <v>0</v>
      </c>
      <c r="U23" s="89">
        <v>0</v>
      </c>
      <c r="V23" s="112">
        <f t="shared" ref="V23" si="559">U23/$P23</f>
        <v>0</v>
      </c>
      <c r="W23" s="89">
        <v>0</v>
      </c>
      <c r="X23" s="112">
        <f t="shared" ref="X23" si="560">W23/$P23</f>
        <v>0</v>
      </c>
      <c r="Y23" s="89">
        <v>0</v>
      </c>
      <c r="Z23" s="112">
        <f t="shared" ref="Z23" si="561">Y23/$P23</f>
        <v>0</v>
      </c>
      <c r="AA23" s="89">
        <v>0</v>
      </c>
      <c r="AB23" s="112">
        <f t="shared" ref="AB23" si="562">AA23/$P23</f>
        <v>0</v>
      </c>
      <c r="AC23" s="89">
        <f t="shared" si="1"/>
        <v>0</v>
      </c>
      <c r="AD23" s="113">
        <f t="shared" si="12"/>
        <v>0</v>
      </c>
      <c r="AE23" s="89">
        <v>0</v>
      </c>
      <c r="AF23" s="112">
        <f t="shared" ref="AF23" si="563">AE23/$P23</f>
        <v>0</v>
      </c>
      <c r="AG23" s="89">
        <v>0</v>
      </c>
      <c r="AH23" s="112">
        <f t="shared" ref="AH23" si="564">AG23/$P23</f>
        <v>0</v>
      </c>
      <c r="AI23" s="89">
        <v>0</v>
      </c>
      <c r="AJ23" s="112">
        <f t="shared" ref="AJ23" si="565">AI23/$P23</f>
        <v>0</v>
      </c>
      <c r="AK23" s="89">
        <v>0</v>
      </c>
      <c r="AL23" s="112">
        <f t="shared" ref="AL23" si="566">AK23/$P23</f>
        <v>0</v>
      </c>
      <c r="AM23" s="89">
        <v>0</v>
      </c>
      <c r="AN23" s="112">
        <f t="shared" ref="AN23" si="567">AM23/$P23</f>
        <v>0</v>
      </c>
      <c r="AO23" s="89">
        <v>0</v>
      </c>
      <c r="AP23" s="112">
        <f t="shared" ref="AP23" si="568">AO23/$P23</f>
        <v>0</v>
      </c>
      <c r="AQ23" s="89">
        <f t="shared" si="2"/>
        <v>0</v>
      </c>
      <c r="AR23" s="113">
        <f t="shared" si="19"/>
        <v>0</v>
      </c>
      <c r="AS23" s="89">
        <v>0</v>
      </c>
      <c r="AT23" s="112">
        <f t="shared" ref="AT23" si="569">AS23/$P23</f>
        <v>0</v>
      </c>
      <c r="AU23" s="89">
        <v>0</v>
      </c>
      <c r="AV23" s="112">
        <f t="shared" ref="AV23" si="570">AU23/$P23</f>
        <v>0</v>
      </c>
      <c r="AW23" s="89">
        <v>0</v>
      </c>
      <c r="AX23" s="112">
        <f t="shared" ref="AX23" si="571">AW23/$P23</f>
        <v>0</v>
      </c>
      <c r="AY23" s="89">
        <v>0</v>
      </c>
      <c r="AZ23" s="112">
        <f t="shared" ref="AZ23" si="572">AY23/$P23</f>
        <v>0</v>
      </c>
      <c r="BA23" s="89">
        <v>0</v>
      </c>
      <c r="BB23" s="112">
        <f t="shared" ref="BB23" si="573">BA23/$P23</f>
        <v>0</v>
      </c>
      <c r="BC23" s="89">
        <v>0</v>
      </c>
      <c r="BD23" s="112">
        <f t="shared" ref="BD23" si="574">BC23/$P23</f>
        <v>0</v>
      </c>
      <c r="BE23" s="89">
        <f t="shared" si="3"/>
        <v>0</v>
      </c>
      <c r="BF23" s="113">
        <f t="shared" si="26"/>
        <v>0</v>
      </c>
      <c r="BG23" s="89">
        <v>0</v>
      </c>
      <c r="BH23" s="112">
        <f t="shared" ref="BH23" si="575">BG23/$P23</f>
        <v>0</v>
      </c>
      <c r="BI23" s="89">
        <v>0</v>
      </c>
      <c r="BJ23" s="112">
        <f t="shared" ref="BJ23" si="576">BI23/$P23</f>
        <v>0</v>
      </c>
      <c r="BK23" s="89">
        <v>0</v>
      </c>
      <c r="BL23" s="112">
        <f t="shared" ref="BL23" si="577">BK23/$P23</f>
        <v>0</v>
      </c>
      <c r="BM23" s="89">
        <v>0</v>
      </c>
      <c r="BN23" s="112">
        <f t="shared" ref="BN23" si="578">BM23/$P23</f>
        <v>0</v>
      </c>
      <c r="BO23" s="89">
        <v>0</v>
      </c>
      <c r="BP23" s="112">
        <f t="shared" ref="BP23" si="579">BO23/$P23</f>
        <v>0</v>
      </c>
      <c r="BQ23" s="89">
        <v>0</v>
      </c>
      <c r="BR23" s="112">
        <f t="shared" ref="BR23" si="580">BQ23/$P23</f>
        <v>0</v>
      </c>
      <c r="BS23" s="89">
        <f t="shared" si="4"/>
        <v>0</v>
      </c>
      <c r="BT23" s="113">
        <f t="shared" si="33"/>
        <v>0</v>
      </c>
      <c r="BU23" s="89">
        <v>0</v>
      </c>
      <c r="BV23" s="112">
        <f t="shared" ref="BV23" si="581">BU23/$P23</f>
        <v>0</v>
      </c>
      <c r="BW23" s="89">
        <v>0</v>
      </c>
      <c r="BX23" s="112">
        <f t="shared" ref="BX23" si="582">BW23/$P23</f>
        <v>0</v>
      </c>
      <c r="BY23" s="89">
        <v>0</v>
      </c>
      <c r="BZ23" s="112">
        <f t="shared" ref="BZ23" si="583">BY23/$P23</f>
        <v>0</v>
      </c>
      <c r="CA23" s="89">
        <v>0</v>
      </c>
      <c r="CB23" s="112">
        <f t="shared" ref="CB23" si="584">CA23/$P23</f>
        <v>0</v>
      </c>
      <c r="CC23" s="89">
        <v>0</v>
      </c>
      <c r="CD23" s="112">
        <f t="shared" ref="CD23" si="585">CC23/$P23</f>
        <v>0</v>
      </c>
      <c r="CE23" s="89">
        <v>0</v>
      </c>
      <c r="CF23" s="112">
        <f t="shared" ref="CF23" si="586">CE23/$P23</f>
        <v>0</v>
      </c>
      <c r="CG23" s="89">
        <f t="shared" si="5"/>
        <v>0</v>
      </c>
      <c r="CH23" s="113">
        <f t="shared" si="40"/>
        <v>0</v>
      </c>
      <c r="CI23" s="89">
        <v>0</v>
      </c>
      <c r="CJ23" s="112">
        <f t="shared" ref="CJ23" si="587">CI23/$P23</f>
        <v>0</v>
      </c>
      <c r="CK23" s="89">
        <v>0</v>
      </c>
      <c r="CL23" s="112">
        <f t="shared" ref="CL23" si="588">CK23/$P23</f>
        <v>0</v>
      </c>
      <c r="CM23" s="89">
        <v>0</v>
      </c>
      <c r="CN23" s="112">
        <f t="shared" ref="CN23" si="589">CM23/$P23</f>
        <v>0</v>
      </c>
      <c r="CO23" s="89">
        <v>0</v>
      </c>
      <c r="CP23" s="112">
        <f t="shared" ref="CP23" si="590">CO23/$P23</f>
        <v>0</v>
      </c>
      <c r="CQ23" s="89">
        <v>0</v>
      </c>
      <c r="CR23" s="112">
        <f t="shared" ref="CR23" si="591">CQ23/$P23</f>
        <v>0</v>
      </c>
      <c r="CS23" s="89">
        <v>0</v>
      </c>
      <c r="CT23" s="112">
        <f t="shared" ref="CT23" si="592">CS23/$P23</f>
        <v>0</v>
      </c>
      <c r="CU23" s="89">
        <f t="shared" si="6"/>
        <v>0</v>
      </c>
      <c r="CV23" s="113">
        <f t="shared" si="47"/>
        <v>0</v>
      </c>
    </row>
    <row r="24" spans="2:100" ht="19.95" customHeight="1">
      <c r="B24" s="86"/>
      <c r="C24" s="88">
        <v>16</v>
      </c>
      <c r="D24" s="1" t="s">
        <v>192</v>
      </c>
      <c r="E24" s="88">
        <v>35</v>
      </c>
      <c r="F24" s="89">
        <v>1.42</v>
      </c>
      <c r="G24" s="89">
        <f>E24*F24</f>
        <v>49.699999999999996</v>
      </c>
      <c r="H24" s="90">
        <v>0.25</v>
      </c>
      <c r="I24" s="90">
        <v>3.1</v>
      </c>
      <c r="J24" s="90">
        <v>14</v>
      </c>
      <c r="K24" s="91">
        <f>(H24*I24)*J24</f>
        <v>10.85</v>
      </c>
      <c r="L24" s="95">
        <f>G24-K24</f>
        <v>38.849999999999994</v>
      </c>
      <c r="M24" s="89"/>
      <c r="O24" s="89"/>
      <c r="P24" s="89">
        <f t="shared" si="0"/>
        <v>38.849999999999994</v>
      </c>
      <c r="Q24" s="89">
        <v>0</v>
      </c>
      <c r="R24" s="112">
        <f t="shared" si="7"/>
        <v>0</v>
      </c>
      <c r="S24" s="89">
        <v>0</v>
      </c>
      <c r="T24" s="112">
        <f t="shared" si="7"/>
        <v>0</v>
      </c>
      <c r="U24" s="89">
        <v>0</v>
      </c>
      <c r="V24" s="112">
        <f t="shared" ref="V24" si="593">U24/$P24</f>
        <v>0</v>
      </c>
      <c r="W24" s="89">
        <v>0</v>
      </c>
      <c r="X24" s="112">
        <f t="shared" ref="X24" si="594">W24/$P24</f>
        <v>0</v>
      </c>
      <c r="Y24" s="89">
        <v>0</v>
      </c>
      <c r="Z24" s="112">
        <f t="shared" ref="Z24" si="595">Y24/$P24</f>
        <v>0</v>
      </c>
      <c r="AA24" s="89">
        <v>0</v>
      </c>
      <c r="AB24" s="112">
        <f t="shared" ref="AB24" si="596">AA24/$P24</f>
        <v>0</v>
      </c>
      <c r="AC24" s="89">
        <f t="shared" si="1"/>
        <v>0</v>
      </c>
      <c r="AD24" s="113">
        <f t="shared" si="12"/>
        <v>0</v>
      </c>
      <c r="AE24" s="89">
        <v>0</v>
      </c>
      <c r="AF24" s="112">
        <f t="shared" ref="AF24" si="597">AE24/$P24</f>
        <v>0</v>
      </c>
      <c r="AG24" s="89">
        <v>0</v>
      </c>
      <c r="AH24" s="112">
        <f t="shared" ref="AH24" si="598">AG24/$P24</f>
        <v>0</v>
      </c>
      <c r="AI24" s="89">
        <v>0</v>
      </c>
      <c r="AJ24" s="112">
        <f t="shared" ref="AJ24" si="599">AI24/$P24</f>
        <v>0</v>
      </c>
      <c r="AK24" s="89">
        <v>0</v>
      </c>
      <c r="AL24" s="112">
        <f t="shared" ref="AL24" si="600">AK24/$P24</f>
        <v>0</v>
      </c>
      <c r="AM24" s="89">
        <v>0</v>
      </c>
      <c r="AN24" s="112">
        <f t="shared" ref="AN24" si="601">AM24/$P24</f>
        <v>0</v>
      </c>
      <c r="AO24" s="89">
        <v>0</v>
      </c>
      <c r="AP24" s="112">
        <f t="shared" ref="AP24" si="602">AO24/$P24</f>
        <v>0</v>
      </c>
      <c r="AQ24" s="89">
        <f t="shared" si="2"/>
        <v>0</v>
      </c>
      <c r="AR24" s="113">
        <f t="shared" si="19"/>
        <v>0</v>
      </c>
      <c r="AS24" s="89">
        <v>0</v>
      </c>
      <c r="AT24" s="112">
        <f t="shared" ref="AT24" si="603">AS24/$P24</f>
        <v>0</v>
      </c>
      <c r="AU24" s="89">
        <v>0</v>
      </c>
      <c r="AV24" s="112">
        <f t="shared" ref="AV24" si="604">AU24/$P24</f>
        <v>0</v>
      </c>
      <c r="AW24" s="89">
        <v>0</v>
      </c>
      <c r="AX24" s="112">
        <f t="shared" ref="AX24" si="605">AW24/$P24</f>
        <v>0</v>
      </c>
      <c r="AY24" s="89">
        <v>0</v>
      </c>
      <c r="AZ24" s="112">
        <f t="shared" ref="AZ24" si="606">AY24/$P24</f>
        <v>0</v>
      </c>
      <c r="BA24" s="89">
        <v>0</v>
      </c>
      <c r="BB24" s="112">
        <f t="shared" ref="BB24" si="607">BA24/$P24</f>
        <v>0</v>
      </c>
      <c r="BC24" s="89">
        <v>0</v>
      </c>
      <c r="BD24" s="112">
        <f t="shared" ref="BD24" si="608">BC24/$P24</f>
        <v>0</v>
      </c>
      <c r="BE24" s="89">
        <f t="shared" si="3"/>
        <v>0</v>
      </c>
      <c r="BF24" s="113">
        <f t="shared" si="26"/>
        <v>0</v>
      </c>
      <c r="BG24" s="89">
        <v>0</v>
      </c>
      <c r="BH24" s="112">
        <f t="shared" ref="BH24" si="609">BG24/$P24</f>
        <v>0</v>
      </c>
      <c r="BI24" s="89">
        <v>0</v>
      </c>
      <c r="BJ24" s="112">
        <f t="shared" ref="BJ24" si="610">BI24/$P24</f>
        <v>0</v>
      </c>
      <c r="BK24" s="89">
        <v>0</v>
      </c>
      <c r="BL24" s="112">
        <f t="shared" ref="BL24" si="611">BK24/$P24</f>
        <v>0</v>
      </c>
      <c r="BM24" s="89">
        <v>0</v>
      </c>
      <c r="BN24" s="112">
        <f t="shared" ref="BN24" si="612">BM24/$P24</f>
        <v>0</v>
      </c>
      <c r="BO24" s="89">
        <v>0</v>
      </c>
      <c r="BP24" s="112">
        <f t="shared" ref="BP24" si="613">BO24/$P24</f>
        <v>0</v>
      </c>
      <c r="BQ24" s="89">
        <v>0</v>
      </c>
      <c r="BR24" s="112">
        <f t="shared" ref="BR24" si="614">BQ24/$P24</f>
        <v>0</v>
      </c>
      <c r="BS24" s="89">
        <f t="shared" si="4"/>
        <v>0</v>
      </c>
      <c r="BT24" s="113">
        <f t="shared" si="33"/>
        <v>0</v>
      </c>
      <c r="BU24" s="89">
        <v>0</v>
      </c>
      <c r="BV24" s="112">
        <f t="shared" ref="BV24" si="615">BU24/$P24</f>
        <v>0</v>
      </c>
      <c r="BW24" s="89">
        <v>0</v>
      </c>
      <c r="BX24" s="112">
        <f t="shared" ref="BX24" si="616">BW24/$P24</f>
        <v>0</v>
      </c>
      <c r="BY24" s="89">
        <v>0</v>
      </c>
      <c r="BZ24" s="112">
        <f t="shared" ref="BZ24" si="617">BY24/$P24</f>
        <v>0</v>
      </c>
      <c r="CA24" s="89">
        <v>0</v>
      </c>
      <c r="CB24" s="112">
        <f t="shared" ref="CB24" si="618">CA24/$P24</f>
        <v>0</v>
      </c>
      <c r="CC24" s="89">
        <v>0</v>
      </c>
      <c r="CD24" s="112">
        <f t="shared" ref="CD24" si="619">CC24/$P24</f>
        <v>0</v>
      </c>
      <c r="CE24" s="89">
        <v>0</v>
      </c>
      <c r="CF24" s="112">
        <f t="shared" ref="CF24" si="620">CE24/$P24</f>
        <v>0</v>
      </c>
      <c r="CG24" s="89">
        <f t="shared" si="5"/>
        <v>0</v>
      </c>
      <c r="CH24" s="113">
        <f t="shared" si="40"/>
        <v>0</v>
      </c>
      <c r="CI24" s="89">
        <v>0</v>
      </c>
      <c r="CJ24" s="112">
        <f t="shared" ref="CJ24" si="621">CI24/$P24</f>
        <v>0</v>
      </c>
      <c r="CK24" s="89">
        <v>0</v>
      </c>
      <c r="CL24" s="112">
        <f t="shared" ref="CL24" si="622">CK24/$P24</f>
        <v>0</v>
      </c>
      <c r="CM24" s="89">
        <v>0</v>
      </c>
      <c r="CN24" s="112">
        <f t="shared" ref="CN24" si="623">CM24/$P24</f>
        <v>0</v>
      </c>
      <c r="CO24" s="89">
        <v>0</v>
      </c>
      <c r="CP24" s="112">
        <f t="shared" ref="CP24" si="624">CO24/$P24</f>
        <v>0</v>
      </c>
      <c r="CQ24" s="89">
        <v>0</v>
      </c>
      <c r="CR24" s="112">
        <f t="shared" ref="CR24" si="625">CQ24/$P24</f>
        <v>0</v>
      </c>
      <c r="CS24" s="89">
        <v>0</v>
      </c>
      <c r="CT24" s="112">
        <f t="shared" ref="CT24" si="626">CS24/$P24</f>
        <v>0</v>
      </c>
      <c r="CU24" s="89">
        <f t="shared" si="6"/>
        <v>0</v>
      </c>
      <c r="CV24" s="113">
        <f t="shared" si="47"/>
        <v>0</v>
      </c>
    </row>
    <row r="25" spans="2:100" ht="19.95" customHeight="1">
      <c r="B25" s="86"/>
      <c r="C25" s="88" t="s">
        <v>222</v>
      </c>
      <c r="D25" s="1" t="s">
        <v>202</v>
      </c>
      <c r="E25" s="88">
        <v>1</v>
      </c>
      <c r="F25" s="88">
        <v>1.9</v>
      </c>
      <c r="G25" s="89">
        <f>E25*F25*14</f>
        <v>26.599999999999998</v>
      </c>
      <c r="H25" s="90"/>
      <c r="I25" s="90"/>
      <c r="J25" s="90"/>
      <c r="K25" s="91"/>
      <c r="L25" s="89"/>
      <c r="O25" s="95">
        <f>G25</f>
        <v>26.599999999999998</v>
      </c>
      <c r="P25" s="89">
        <f t="shared" si="0"/>
        <v>26.599999999999998</v>
      </c>
      <c r="Q25" s="89">
        <v>0</v>
      </c>
      <c r="R25" s="112">
        <f t="shared" si="7"/>
        <v>0</v>
      </c>
      <c r="S25" s="89">
        <v>0</v>
      </c>
      <c r="T25" s="112">
        <f t="shared" si="7"/>
        <v>0</v>
      </c>
      <c r="U25" s="89">
        <v>0</v>
      </c>
      <c r="V25" s="112">
        <f t="shared" ref="V25" si="627">U25/$P25</f>
        <v>0</v>
      </c>
      <c r="W25" s="89">
        <v>0</v>
      </c>
      <c r="X25" s="112">
        <f t="shared" ref="X25" si="628">W25/$P25</f>
        <v>0</v>
      </c>
      <c r="Y25" s="89">
        <v>0</v>
      </c>
      <c r="Z25" s="112">
        <f t="shared" ref="Z25" si="629">Y25/$P25</f>
        <v>0</v>
      </c>
      <c r="AA25" s="89">
        <v>0</v>
      </c>
      <c r="AB25" s="112">
        <f t="shared" ref="AB25" si="630">AA25/$P25</f>
        <v>0</v>
      </c>
      <c r="AC25" s="89">
        <f t="shared" si="1"/>
        <v>0</v>
      </c>
      <c r="AD25" s="113">
        <f t="shared" si="12"/>
        <v>0</v>
      </c>
      <c r="AE25" s="89">
        <v>0</v>
      </c>
      <c r="AF25" s="112">
        <f t="shared" ref="AF25" si="631">AE25/$P25</f>
        <v>0</v>
      </c>
      <c r="AG25" s="89">
        <v>0</v>
      </c>
      <c r="AH25" s="112">
        <f t="shared" ref="AH25" si="632">AG25/$P25</f>
        <v>0</v>
      </c>
      <c r="AI25" s="89">
        <v>0</v>
      </c>
      <c r="AJ25" s="112">
        <f t="shared" ref="AJ25" si="633">AI25/$P25</f>
        <v>0</v>
      </c>
      <c r="AK25" s="89">
        <v>0</v>
      </c>
      <c r="AL25" s="112">
        <f t="shared" ref="AL25" si="634">AK25/$P25</f>
        <v>0</v>
      </c>
      <c r="AM25" s="89">
        <v>0</v>
      </c>
      <c r="AN25" s="112">
        <f t="shared" ref="AN25" si="635">AM25/$P25</f>
        <v>0</v>
      </c>
      <c r="AO25" s="89">
        <v>0</v>
      </c>
      <c r="AP25" s="112">
        <f t="shared" ref="AP25" si="636">AO25/$P25</f>
        <v>0</v>
      </c>
      <c r="AQ25" s="89">
        <f t="shared" si="2"/>
        <v>0</v>
      </c>
      <c r="AR25" s="113">
        <f t="shared" si="19"/>
        <v>0</v>
      </c>
      <c r="AS25" s="89">
        <v>0</v>
      </c>
      <c r="AT25" s="112">
        <f t="shared" ref="AT25" si="637">AS25/$P25</f>
        <v>0</v>
      </c>
      <c r="AU25" s="89">
        <v>0</v>
      </c>
      <c r="AV25" s="112">
        <f t="shared" ref="AV25" si="638">AU25/$P25</f>
        <v>0</v>
      </c>
      <c r="AW25" s="89">
        <v>0</v>
      </c>
      <c r="AX25" s="112">
        <f t="shared" ref="AX25" si="639">AW25/$P25</f>
        <v>0</v>
      </c>
      <c r="AY25" s="89">
        <v>0</v>
      </c>
      <c r="AZ25" s="112">
        <f t="shared" ref="AZ25" si="640">AY25/$P25</f>
        <v>0</v>
      </c>
      <c r="BA25" s="89">
        <v>0</v>
      </c>
      <c r="BB25" s="112">
        <f t="shared" ref="BB25" si="641">BA25/$P25</f>
        <v>0</v>
      </c>
      <c r="BC25" s="89">
        <v>0</v>
      </c>
      <c r="BD25" s="112">
        <f t="shared" ref="BD25" si="642">BC25/$P25</f>
        <v>0</v>
      </c>
      <c r="BE25" s="89">
        <f t="shared" si="3"/>
        <v>0</v>
      </c>
      <c r="BF25" s="113">
        <f t="shared" si="26"/>
        <v>0</v>
      </c>
      <c r="BG25" s="89">
        <v>0</v>
      </c>
      <c r="BH25" s="112">
        <f t="shared" ref="BH25" si="643">BG25/$P25</f>
        <v>0</v>
      </c>
      <c r="BI25" s="89">
        <v>0</v>
      </c>
      <c r="BJ25" s="112">
        <f t="shared" ref="BJ25" si="644">BI25/$P25</f>
        <v>0</v>
      </c>
      <c r="BK25" s="89">
        <v>0</v>
      </c>
      <c r="BL25" s="112">
        <f t="shared" ref="BL25" si="645">BK25/$P25</f>
        <v>0</v>
      </c>
      <c r="BM25" s="89">
        <v>0</v>
      </c>
      <c r="BN25" s="112">
        <f t="shared" ref="BN25" si="646">BM25/$P25</f>
        <v>0</v>
      </c>
      <c r="BO25" s="89">
        <v>0</v>
      </c>
      <c r="BP25" s="112">
        <f t="shared" ref="BP25" si="647">BO25/$P25</f>
        <v>0</v>
      </c>
      <c r="BQ25" s="89">
        <v>0</v>
      </c>
      <c r="BR25" s="112">
        <f t="shared" ref="BR25" si="648">BQ25/$P25</f>
        <v>0</v>
      </c>
      <c r="BS25" s="89">
        <f t="shared" si="4"/>
        <v>0</v>
      </c>
      <c r="BT25" s="113">
        <f t="shared" si="33"/>
        <v>0</v>
      </c>
      <c r="BU25" s="89">
        <v>0</v>
      </c>
      <c r="BV25" s="112">
        <f t="shared" ref="BV25" si="649">BU25/$P25</f>
        <v>0</v>
      </c>
      <c r="BW25" s="89">
        <v>0</v>
      </c>
      <c r="BX25" s="112">
        <f t="shared" ref="BX25" si="650">BW25/$P25</f>
        <v>0</v>
      </c>
      <c r="BY25" s="89">
        <v>0</v>
      </c>
      <c r="BZ25" s="112">
        <f t="shared" ref="BZ25" si="651">BY25/$P25</f>
        <v>0</v>
      </c>
      <c r="CA25" s="89">
        <v>0</v>
      </c>
      <c r="CB25" s="112">
        <f t="shared" ref="CB25" si="652">CA25/$P25</f>
        <v>0</v>
      </c>
      <c r="CC25" s="89">
        <v>0</v>
      </c>
      <c r="CD25" s="112">
        <f t="shared" ref="CD25" si="653">CC25/$P25</f>
        <v>0</v>
      </c>
      <c r="CE25" s="89">
        <v>0</v>
      </c>
      <c r="CF25" s="112">
        <f t="shared" ref="CF25" si="654">CE25/$P25</f>
        <v>0</v>
      </c>
      <c r="CG25" s="89">
        <f t="shared" si="5"/>
        <v>0</v>
      </c>
      <c r="CH25" s="113">
        <f t="shared" si="40"/>
        <v>0</v>
      </c>
      <c r="CI25" s="89">
        <v>0</v>
      </c>
      <c r="CJ25" s="112">
        <f t="shared" ref="CJ25" si="655">CI25/$P25</f>
        <v>0</v>
      </c>
      <c r="CK25" s="89">
        <v>0</v>
      </c>
      <c r="CL25" s="112">
        <f t="shared" ref="CL25" si="656">CK25/$P25</f>
        <v>0</v>
      </c>
      <c r="CM25" s="89">
        <v>0</v>
      </c>
      <c r="CN25" s="112">
        <f t="shared" ref="CN25" si="657">CM25/$P25</f>
        <v>0</v>
      </c>
      <c r="CO25" s="89">
        <v>0</v>
      </c>
      <c r="CP25" s="112">
        <f t="shared" ref="CP25" si="658">CO25/$P25</f>
        <v>0</v>
      </c>
      <c r="CQ25" s="89">
        <v>0</v>
      </c>
      <c r="CR25" s="112">
        <f t="shared" ref="CR25" si="659">CQ25/$P25</f>
        <v>0</v>
      </c>
      <c r="CS25" s="89">
        <v>0</v>
      </c>
      <c r="CT25" s="112">
        <f t="shared" ref="CT25" si="660">CS25/$P25</f>
        <v>0</v>
      </c>
      <c r="CU25" s="89">
        <f t="shared" si="6"/>
        <v>0</v>
      </c>
      <c r="CV25" s="113">
        <f t="shared" si="47"/>
        <v>0</v>
      </c>
    </row>
    <row r="26" spans="2:100" ht="19.95" customHeight="1">
      <c r="B26" s="86" t="s">
        <v>205</v>
      </c>
      <c r="C26" s="88">
        <v>17</v>
      </c>
      <c r="D26" s="1" t="s">
        <v>206</v>
      </c>
      <c r="E26" s="88">
        <v>35</v>
      </c>
      <c r="F26" s="89">
        <v>1.67</v>
      </c>
      <c r="G26" s="89">
        <f>E26*F26</f>
        <v>58.449999999999996</v>
      </c>
      <c r="H26" s="90"/>
      <c r="I26" s="90"/>
      <c r="J26" s="90"/>
      <c r="K26" s="91"/>
      <c r="L26" s="95">
        <f>G26-K26</f>
        <v>58.449999999999996</v>
      </c>
      <c r="M26" s="89"/>
      <c r="N26" s="89"/>
      <c r="O26" s="89"/>
      <c r="P26" s="89">
        <f t="shared" si="0"/>
        <v>58.449999999999996</v>
      </c>
      <c r="Q26" s="89">
        <v>0</v>
      </c>
      <c r="R26" s="112">
        <f t="shared" si="7"/>
        <v>0</v>
      </c>
      <c r="S26" s="89">
        <v>0</v>
      </c>
      <c r="T26" s="112">
        <f t="shared" si="7"/>
        <v>0</v>
      </c>
      <c r="U26" s="89">
        <v>0</v>
      </c>
      <c r="V26" s="112">
        <f t="shared" ref="V26" si="661">U26/$P26</f>
        <v>0</v>
      </c>
      <c r="W26" s="89">
        <v>0</v>
      </c>
      <c r="X26" s="112">
        <f t="shared" ref="X26" si="662">W26/$P26</f>
        <v>0</v>
      </c>
      <c r="Y26" s="89">
        <v>0</v>
      </c>
      <c r="Z26" s="112">
        <f t="shared" ref="Z26" si="663">Y26/$P26</f>
        <v>0</v>
      </c>
      <c r="AA26" s="89">
        <v>0</v>
      </c>
      <c r="AB26" s="112">
        <f t="shared" ref="AB26" si="664">AA26/$P26</f>
        <v>0</v>
      </c>
      <c r="AC26" s="89">
        <f t="shared" si="1"/>
        <v>0</v>
      </c>
      <c r="AD26" s="113">
        <f t="shared" si="12"/>
        <v>0</v>
      </c>
      <c r="AE26" s="89">
        <v>0</v>
      </c>
      <c r="AF26" s="112">
        <f t="shared" ref="AF26" si="665">AE26/$P26</f>
        <v>0</v>
      </c>
      <c r="AG26" s="89">
        <v>0</v>
      </c>
      <c r="AH26" s="112">
        <f t="shared" ref="AH26" si="666">AG26/$P26</f>
        <v>0</v>
      </c>
      <c r="AI26" s="89">
        <v>0</v>
      </c>
      <c r="AJ26" s="112">
        <f t="shared" ref="AJ26" si="667">AI26/$P26</f>
        <v>0</v>
      </c>
      <c r="AK26" s="89">
        <v>0</v>
      </c>
      <c r="AL26" s="112">
        <f t="shared" ref="AL26" si="668">AK26/$P26</f>
        <v>0</v>
      </c>
      <c r="AM26" s="89">
        <v>0</v>
      </c>
      <c r="AN26" s="112">
        <f t="shared" ref="AN26" si="669">AM26/$P26</f>
        <v>0</v>
      </c>
      <c r="AO26" s="89">
        <v>0</v>
      </c>
      <c r="AP26" s="112">
        <f t="shared" ref="AP26" si="670">AO26/$P26</f>
        <v>0</v>
      </c>
      <c r="AQ26" s="89">
        <f t="shared" si="2"/>
        <v>0</v>
      </c>
      <c r="AR26" s="113">
        <f t="shared" si="19"/>
        <v>0</v>
      </c>
      <c r="AS26" s="89">
        <v>0</v>
      </c>
      <c r="AT26" s="112">
        <f t="shared" ref="AT26" si="671">AS26/$P26</f>
        <v>0</v>
      </c>
      <c r="AU26" s="89">
        <v>0</v>
      </c>
      <c r="AV26" s="112">
        <f t="shared" ref="AV26" si="672">AU26/$P26</f>
        <v>0</v>
      </c>
      <c r="AW26" s="89">
        <v>0</v>
      </c>
      <c r="AX26" s="112">
        <f t="shared" ref="AX26" si="673">AW26/$P26</f>
        <v>0</v>
      </c>
      <c r="AY26" s="89">
        <v>0</v>
      </c>
      <c r="AZ26" s="112">
        <f t="shared" ref="AZ26" si="674">AY26/$P26</f>
        <v>0</v>
      </c>
      <c r="BA26" s="89">
        <v>0</v>
      </c>
      <c r="BB26" s="112">
        <f t="shared" ref="BB26" si="675">BA26/$P26</f>
        <v>0</v>
      </c>
      <c r="BC26" s="89">
        <v>0</v>
      </c>
      <c r="BD26" s="112">
        <f t="shared" ref="BD26" si="676">BC26/$P26</f>
        <v>0</v>
      </c>
      <c r="BE26" s="89">
        <f t="shared" si="3"/>
        <v>0</v>
      </c>
      <c r="BF26" s="113">
        <f t="shared" si="26"/>
        <v>0</v>
      </c>
      <c r="BG26" s="89">
        <v>0</v>
      </c>
      <c r="BH26" s="112">
        <f t="shared" ref="BH26" si="677">BG26/$P26</f>
        <v>0</v>
      </c>
      <c r="BI26" s="89">
        <v>0</v>
      </c>
      <c r="BJ26" s="112">
        <f t="shared" ref="BJ26" si="678">BI26/$P26</f>
        <v>0</v>
      </c>
      <c r="BK26" s="89">
        <v>0</v>
      </c>
      <c r="BL26" s="112">
        <f t="shared" ref="BL26" si="679">BK26/$P26</f>
        <v>0</v>
      </c>
      <c r="BM26" s="89">
        <v>0</v>
      </c>
      <c r="BN26" s="112">
        <f t="shared" ref="BN26" si="680">BM26/$P26</f>
        <v>0</v>
      </c>
      <c r="BO26" s="89">
        <v>0</v>
      </c>
      <c r="BP26" s="112">
        <f t="shared" ref="BP26" si="681">BO26/$P26</f>
        <v>0</v>
      </c>
      <c r="BQ26" s="89">
        <v>0</v>
      </c>
      <c r="BR26" s="112">
        <f t="shared" ref="BR26" si="682">BQ26/$P26</f>
        <v>0</v>
      </c>
      <c r="BS26" s="89">
        <f t="shared" si="4"/>
        <v>0</v>
      </c>
      <c r="BT26" s="113">
        <f t="shared" si="33"/>
        <v>0</v>
      </c>
      <c r="BU26" s="89">
        <v>0</v>
      </c>
      <c r="BV26" s="112">
        <f t="shared" ref="BV26" si="683">BU26/$P26</f>
        <v>0</v>
      </c>
      <c r="BW26" s="89">
        <v>0</v>
      </c>
      <c r="BX26" s="112">
        <f t="shared" ref="BX26" si="684">BW26/$P26</f>
        <v>0</v>
      </c>
      <c r="BY26" s="89">
        <v>0</v>
      </c>
      <c r="BZ26" s="112">
        <f t="shared" ref="BZ26" si="685">BY26/$P26</f>
        <v>0</v>
      </c>
      <c r="CA26" s="89">
        <v>0</v>
      </c>
      <c r="CB26" s="112">
        <f t="shared" ref="CB26" si="686">CA26/$P26</f>
        <v>0</v>
      </c>
      <c r="CC26" s="89">
        <v>0</v>
      </c>
      <c r="CD26" s="112">
        <f t="shared" ref="CD26" si="687">CC26/$P26</f>
        <v>0</v>
      </c>
      <c r="CE26" s="89">
        <v>0</v>
      </c>
      <c r="CF26" s="112">
        <f t="shared" ref="CF26" si="688">CE26/$P26</f>
        <v>0</v>
      </c>
      <c r="CG26" s="89">
        <f t="shared" si="5"/>
        <v>0</v>
      </c>
      <c r="CH26" s="113">
        <f t="shared" si="40"/>
        <v>0</v>
      </c>
      <c r="CI26" s="89">
        <v>0</v>
      </c>
      <c r="CJ26" s="112">
        <f t="shared" ref="CJ26" si="689">CI26/$P26</f>
        <v>0</v>
      </c>
      <c r="CK26" s="89">
        <v>0</v>
      </c>
      <c r="CL26" s="112">
        <f t="shared" ref="CL26" si="690">CK26/$P26</f>
        <v>0</v>
      </c>
      <c r="CM26" s="89">
        <v>0</v>
      </c>
      <c r="CN26" s="112">
        <f t="shared" ref="CN26" si="691">CM26/$P26</f>
        <v>0</v>
      </c>
      <c r="CO26" s="89">
        <v>0</v>
      </c>
      <c r="CP26" s="112">
        <f t="shared" ref="CP26" si="692">CO26/$P26</f>
        <v>0</v>
      </c>
      <c r="CQ26" s="89">
        <v>0</v>
      </c>
      <c r="CR26" s="112">
        <f t="shared" ref="CR26" si="693">CQ26/$P26</f>
        <v>0</v>
      </c>
      <c r="CS26" s="89">
        <v>0</v>
      </c>
      <c r="CT26" s="112">
        <f t="shared" ref="CT26" si="694">CS26/$P26</f>
        <v>0</v>
      </c>
      <c r="CU26" s="89">
        <f t="shared" si="6"/>
        <v>0</v>
      </c>
      <c r="CV26" s="113">
        <f t="shared" si="47"/>
        <v>0</v>
      </c>
    </row>
    <row r="27" spans="2:100" ht="19.95" customHeight="1">
      <c r="B27" s="86"/>
      <c r="C27" s="88">
        <v>18</v>
      </c>
      <c r="D27" s="1" t="s">
        <v>207</v>
      </c>
      <c r="E27" s="88">
        <v>0.5</v>
      </c>
      <c r="F27" s="88">
        <v>1.26</v>
      </c>
      <c r="G27" s="89">
        <f>E27*F27*14</f>
        <v>8.82</v>
      </c>
      <c r="H27" s="90"/>
      <c r="I27" s="90"/>
      <c r="J27" s="90"/>
      <c r="K27" s="91"/>
      <c r="L27" s="1"/>
      <c r="N27" s="95">
        <f>G27-K27</f>
        <v>8.82</v>
      </c>
      <c r="O27" s="89"/>
      <c r="P27" s="89">
        <f t="shared" si="0"/>
        <v>8.82</v>
      </c>
      <c r="Q27" s="89">
        <v>0</v>
      </c>
      <c r="R27" s="112">
        <f t="shared" si="7"/>
        <v>0</v>
      </c>
      <c r="S27" s="89">
        <v>0</v>
      </c>
      <c r="T27" s="112">
        <f t="shared" si="7"/>
        <v>0</v>
      </c>
      <c r="U27" s="89">
        <v>0</v>
      </c>
      <c r="V27" s="112">
        <f t="shared" ref="V27" si="695">U27/$P27</f>
        <v>0</v>
      </c>
      <c r="W27" s="89">
        <v>0</v>
      </c>
      <c r="X27" s="112">
        <f t="shared" ref="X27" si="696">W27/$P27</f>
        <v>0</v>
      </c>
      <c r="Y27" s="89">
        <v>0</v>
      </c>
      <c r="Z27" s="112">
        <f t="shared" ref="Z27" si="697">Y27/$P27</f>
        <v>0</v>
      </c>
      <c r="AA27" s="89">
        <v>0</v>
      </c>
      <c r="AB27" s="112">
        <f t="shared" ref="AB27" si="698">AA27/$P27</f>
        <v>0</v>
      </c>
      <c r="AC27" s="89">
        <f t="shared" si="1"/>
        <v>0</v>
      </c>
      <c r="AD27" s="113">
        <f t="shared" si="12"/>
        <v>0</v>
      </c>
      <c r="AE27" s="89">
        <v>0</v>
      </c>
      <c r="AF27" s="112">
        <f t="shared" ref="AF27" si="699">AE27/$P27</f>
        <v>0</v>
      </c>
      <c r="AG27" s="89">
        <v>0</v>
      </c>
      <c r="AH27" s="112">
        <f t="shared" ref="AH27" si="700">AG27/$P27</f>
        <v>0</v>
      </c>
      <c r="AI27" s="89">
        <v>0</v>
      </c>
      <c r="AJ27" s="112">
        <f t="shared" ref="AJ27" si="701">AI27/$P27</f>
        <v>0</v>
      </c>
      <c r="AK27" s="89">
        <v>0</v>
      </c>
      <c r="AL27" s="112">
        <f t="shared" ref="AL27" si="702">AK27/$P27</f>
        <v>0</v>
      </c>
      <c r="AM27" s="89">
        <v>0</v>
      </c>
      <c r="AN27" s="112">
        <f t="shared" ref="AN27" si="703">AM27/$P27</f>
        <v>0</v>
      </c>
      <c r="AO27" s="89">
        <v>0</v>
      </c>
      <c r="AP27" s="112">
        <f t="shared" ref="AP27" si="704">AO27/$P27</f>
        <v>0</v>
      </c>
      <c r="AQ27" s="89">
        <f t="shared" si="2"/>
        <v>0</v>
      </c>
      <c r="AR27" s="113">
        <f t="shared" si="19"/>
        <v>0</v>
      </c>
      <c r="AS27" s="89">
        <v>0</v>
      </c>
      <c r="AT27" s="112">
        <f t="shared" ref="AT27" si="705">AS27/$P27</f>
        <v>0</v>
      </c>
      <c r="AU27" s="89">
        <v>0</v>
      </c>
      <c r="AV27" s="112">
        <f t="shared" ref="AV27" si="706">AU27/$P27</f>
        <v>0</v>
      </c>
      <c r="AW27" s="89">
        <v>0</v>
      </c>
      <c r="AX27" s="112">
        <f t="shared" ref="AX27" si="707">AW27/$P27</f>
        <v>0</v>
      </c>
      <c r="AY27" s="89">
        <v>0</v>
      </c>
      <c r="AZ27" s="112">
        <f t="shared" ref="AZ27" si="708">AY27/$P27</f>
        <v>0</v>
      </c>
      <c r="BA27" s="89">
        <v>0</v>
      </c>
      <c r="BB27" s="112">
        <f t="shared" ref="BB27" si="709">BA27/$P27</f>
        <v>0</v>
      </c>
      <c r="BC27" s="89">
        <v>0</v>
      </c>
      <c r="BD27" s="112">
        <f t="shared" ref="BD27" si="710">BC27/$P27</f>
        <v>0</v>
      </c>
      <c r="BE27" s="89">
        <f t="shared" si="3"/>
        <v>0</v>
      </c>
      <c r="BF27" s="113">
        <f t="shared" si="26"/>
        <v>0</v>
      </c>
      <c r="BG27" s="89">
        <v>0</v>
      </c>
      <c r="BH27" s="112">
        <f t="shared" ref="BH27" si="711">BG27/$P27</f>
        <v>0</v>
      </c>
      <c r="BI27" s="89">
        <v>0</v>
      </c>
      <c r="BJ27" s="112">
        <f t="shared" ref="BJ27" si="712">BI27/$P27</f>
        <v>0</v>
      </c>
      <c r="BK27" s="89">
        <v>0</v>
      </c>
      <c r="BL27" s="112">
        <f t="shared" ref="BL27" si="713">BK27/$P27</f>
        <v>0</v>
      </c>
      <c r="BM27" s="89">
        <v>0</v>
      </c>
      <c r="BN27" s="112">
        <f t="shared" ref="BN27" si="714">BM27/$P27</f>
        <v>0</v>
      </c>
      <c r="BO27" s="89">
        <v>0</v>
      </c>
      <c r="BP27" s="112">
        <f t="shared" ref="BP27" si="715">BO27/$P27</f>
        <v>0</v>
      </c>
      <c r="BQ27" s="89">
        <v>0</v>
      </c>
      <c r="BR27" s="112">
        <f t="shared" ref="BR27" si="716">BQ27/$P27</f>
        <v>0</v>
      </c>
      <c r="BS27" s="89">
        <f t="shared" si="4"/>
        <v>0</v>
      </c>
      <c r="BT27" s="113">
        <f t="shared" si="33"/>
        <v>0</v>
      </c>
      <c r="BU27" s="89">
        <v>0</v>
      </c>
      <c r="BV27" s="112">
        <f t="shared" ref="BV27" si="717">BU27/$P27</f>
        <v>0</v>
      </c>
      <c r="BW27" s="89">
        <v>0</v>
      </c>
      <c r="BX27" s="112">
        <f t="shared" ref="BX27" si="718">BW27/$P27</f>
        <v>0</v>
      </c>
      <c r="BY27" s="89">
        <v>0</v>
      </c>
      <c r="BZ27" s="112">
        <f t="shared" ref="BZ27" si="719">BY27/$P27</f>
        <v>0</v>
      </c>
      <c r="CA27" s="89">
        <v>0</v>
      </c>
      <c r="CB27" s="112">
        <f t="shared" ref="CB27" si="720">CA27/$P27</f>
        <v>0</v>
      </c>
      <c r="CC27" s="89">
        <v>0</v>
      </c>
      <c r="CD27" s="112">
        <f t="shared" ref="CD27" si="721">CC27/$P27</f>
        <v>0</v>
      </c>
      <c r="CE27" s="89">
        <v>0</v>
      </c>
      <c r="CF27" s="112">
        <f t="shared" ref="CF27" si="722">CE27/$P27</f>
        <v>0</v>
      </c>
      <c r="CG27" s="89">
        <f t="shared" si="5"/>
        <v>0</v>
      </c>
      <c r="CH27" s="113">
        <f t="shared" si="40"/>
        <v>0</v>
      </c>
      <c r="CI27" s="89">
        <v>0</v>
      </c>
      <c r="CJ27" s="112">
        <f t="shared" ref="CJ27" si="723">CI27/$P27</f>
        <v>0</v>
      </c>
      <c r="CK27" s="89">
        <v>0</v>
      </c>
      <c r="CL27" s="112">
        <f t="shared" ref="CL27" si="724">CK27/$P27</f>
        <v>0</v>
      </c>
      <c r="CM27" s="89">
        <v>0</v>
      </c>
      <c r="CN27" s="112">
        <f t="shared" ref="CN27" si="725">CM27/$P27</f>
        <v>0</v>
      </c>
      <c r="CO27" s="89">
        <v>0</v>
      </c>
      <c r="CP27" s="112">
        <f t="shared" ref="CP27" si="726">CO27/$P27</f>
        <v>0</v>
      </c>
      <c r="CQ27" s="89">
        <v>0</v>
      </c>
      <c r="CR27" s="112">
        <f t="shared" ref="CR27" si="727">CQ27/$P27</f>
        <v>0</v>
      </c>
      <c r="CS27" s="89">
        <v>0</v>
      </c>
      <c r="CT27" s="112">
        <f t="shared" ref="CT27" si="728">CS27/$P27</f>
        <v>0</v>
      </c>
      <c r="CU27" s="89">
        <f t="shared" si="6"/>
        <v>0</v>
      </c>
      <c r="CV27" s="113">
        <f t="shared" si="47"/>
        <v>0</v>
      </c>
    </row>
    <row r="28" spans="2:100" ht="19.95" customHeight="1">
      <c r="B28" s="1"/>
      <c r="C28" s="88">
        <v>19</v>
      </c>
      <c r="D28" s="1" t="s">
        <v>121</v>
      </c>
      <c r="E28" s="88">
        <f>E5</f>
        <v>35.6</v>
      </c>
      <c r="F28" s="89">
        <v>2.5</v>
      </c>
      <c r="G28" s="89">
        <f t="shared" ref="G28:G35" si="729">E28*F28</f>
        <v>89</v>
      </c>
      <c r="H28" s="90"/>
      <c r="I28" s="90"/>
      <c r="J28" s="90"/>
      <c r="K28" s="91"/>
      <c r="L28" s="1"/>
      <c r="M28" s="89"/>
      <c r="N28" s="95">
        <f>G28-K28</f>
        <v>89</v>
      </c>
      <c r="O28" s="89"/>
      <c r="P28" s="89">
        <f t="shared" si="0"/>
        <v>89</v>
      </c>
      <c r="Q28" s="89">
        <v>0</v>
      </c>
      <c r="R28" s="112">
        <f t="shared" si="7"/>
        <v>0</v>
      </c>
      <c r="S28" s="89">
        <v>0</v>
      </c>
      <c r="T28" s="112">
        <f t="shared" si="7"/>
        <v>0</v>
      </c>
      <c r="U28" s="89">
        <v>0</v>
      </c>
      <c r="V28" s="112">
        <f t="shared" ref="V28" si="730">U28/$P28</f>
        <v>0</v>
      </c>
      <c r="W28" s="89">
        <v>0</v>
      </c>
      <c r="X28" s="112">
        <f t="shared" ref="X28" si="731">W28/$P28</f>
        <v>0</v>
      </c>
      <c r="Y28" s="89">
        <v>0</v>
      </c>
      <c r="Z28" s="112">
        <f t="shared" ref="Z28" si="732">Y28/$P28</f>
        <v>0</v>
      </c>
      <c r="AA28" s="89">
        <v>0</v>
      </c>
      <c r="AB28" s="112">
        <f t="shared" ref="AB28" si="733">AA28/$P28</f>
        <v>0</v>
      </c>
      <c r="AC28" s="89">
        <f t="shared" si="1"/>
        <v>0</v>
      </c>
      <c r="AD28" s="113">
        <f t="shared" si="12"/>
        <v>0</v>
      </c>
      <c r="AE28" s="89">
        <v>0</v>
      </c>
      <c r="AF28" s="112">
        <f t="shared" ref="AF28" si="734">AE28/$P28</f>
        <v>0</v>
      </c>
      <c r="AG28" s="89">
        <v>0</v>
      </c>
      <c r="AH28" s="112">
        <f t="shared" ref="AH28" si="735">AG28/$P28</f>
        <v>0</v>
      </c>
      <c r="AI28" s="89">
        <v>0</v>
      </c>
      <c r="AJ28" s="112">
        <f t="shared" ref="AJ28" si="736">AI28/$P28</f>
        <v>0</v>
      </c>
      <c r="AK28" s="89">
        <v>0</v>
      </c>
      <c r="AL28" s="112">
        <f t="shared" ref="AL28" si="737">AK28/$P28</f>
        <v>0</v>
      </c>
      <c r="AM28" s="89">
        <v>0</v>
      </c>
      <c r="AN28" s="112">
        <f t="shared" ref="AN28" si="738">AM28/$P28</f>
        <v>0</v>
      </c>
      <c r="AO28" s="89">
        <v>0</v>
      </c>
      <c r="AP28" s="112">
        <f t="shared" ref="AP28" si="739">AO28/$P28</f>
        <v>0</v>
      </c>
      <c r="AQ28" s="89">
        <f t="shared" si="2"/>
        <v>0</v>
      </c>
      <c r="AR28" s="113">
        <f t="shared" si="19"/>
        <v>0</v>
      </c>
      <c r="AS28" s="89">
        <v>0</v>
      </c>
      <c r="AT28" s="112">
        <f t="shared" ref="AT28" si="740">AS28/$P28</f>
        <v>0</v>
      </c>
      <c r="AU28" s="89">
        <v>0</v>
      </c>
      <c r="AV28" s="112">
        <f t="shared" ref="AV28" si="741">AU28/$P28</f>
        <v>0</v>
      </c>
      <c r="AW28" s="89">
        <v>0</v>
      </c>
      <c r="AX28" s="112">
        <f t="shared" ref="AX28" si="742">AW28/$P28</f>
        <v>0</v>
      </c>
      <c r="AY28" s="89">
        <v>0</v>
      </c>
      <c r="AZ28" s="112">
        <f t="shared" ref="AZ28" si="743">AY28/$P28</f>
        <v>0</v>
      </c>
      <c r="BA28" s="89">
        <v>0</v>
      </c>
      <c r="BB28" s="112">
        <f t="shared" ref="BB28" si="744">BA28/$P28</f>
        <v>0</v>
      </c>
      <c r="BC28" s="89">
        <v>0</v>
      </c>
      <c r="BD28" s="112">
        <f t="shared" ref="BD28" si="745">BC28/$P28</f>
        <v>0</v>
      </c>
      <c r="BE28" s="89">
        <f t="shared" si="3"/>
        <v>0</v>
      </c>
      <c r="BF28" s="113">
        <f t="shared" si="26"/>
        <v>0</v>
      </c>
      <c r="BG28" s="89">
        <v>0</v>
      </c>
      <c r="BH28" s="112">
        <f t="shared" ref="BH28" si="746">BG28/$P28</f>
        <v>0</v>
      </c>
      <c r="BI28" s="89">
        <v>0</v>
      </c>
      <c r="BJ28" s="112">
        <f t="shared" ref="BJ28" si="747">BI28/$P28</f>
        <v>0</v>
      </c>
      <c r="BK28" s="89">
        <v>0</v>
      </c>
      <c r="BL28" s="112">
        <f t="shared" ref="BL28" si="748">BK28/$P28</f>
        <v>0</v>
      </c>
      <c r="BM28" s="89">
        <v>0</v>
      </c>
      <c r="BN28" s="112">
        <f t="shared" ref="BN28" si="749">BM28/$P28</f>
        <v>0</v>
      </c>
      <c r="BO28" s="89">
        <v>0</v>
      </c>
      <c r="BP28" s="112">
        <f t="shared" ref="BP28" si="750">BO28/$P28</f>
        <v>0</v>
      </c>
      <c r="BQ28" s="89">
        <v>0</v>
      </c>
      <c r="BR28" s="112">
        <f t="shared" ref="BR28" si="751">BQ28/$P28</f>
        <v>0</v>
      </c>
      <c r="BS28" s="89">
        <f t="shared" si="4"/>
        <v>0</v>
      </c>
      <c r="BT28" s="113">
        <f t="shared" si="33"/>
        <v>0</v>
      </c>
      <c r="BU28" s="89">
        <v>0</v>
      </c>
      <c r="BV28" s="112">
        <f t="shared" ref="BV28" si="752">BU28/$P28</f>
        <v>0</v>
      </c>
      <c r="BW28" s="89">
        <v>0</v>
      </c>
      <c r="BX28" s="112">
        <f t="shared" ref="BX28" si="753">BW28/$P28</f>
        <v>0</v>
      </c>
      <c r="BY28" s="89">
        <v>0</v>
      </c>
      <c r="BZ28" s="112">
        <f t="shared" ref="BZ28" si="754">BY28/$P28</f>
        <v>0</v>
      </c>
      <c r="CA28" s="89">
        <v>0</v>
      </c>
      <c r="CB28" s="112">
        <f t="shared" ref="CB28" si="755">CA28/$P28</f>
        <v>0</v>
      </c>
      <c r="CC28" s="89">
        <v>0</v>
      </c>
      <c r="CD28" s="112">
        <f t="shared" ref="CD28" si="756">CC28/$P28</f>
        <v>0</v>
      </c>
      <c r="CE28" s="89">
        <v>0</v>
      </c>
      <c r="CF28" s="112">
        <f t="shared" ref="CF28" si="757">CE28/$P28</f>
        <v>0</v>
      </c>
      <c r="CG28" s="89">
        <f t="shared" si="5"/>
        <v>0</v>
      </c>
      <c r="CH28" s="113">
        <f t="shared" si="40"/>
        <v>0</v>
      </c>
      <c r="CI28" s="89">
        <v>0</v>
      </c>
      <c r="CJ28" s="112">
        <f t="shared" ref="CJ28" si="758">CI28/$P28</f>
        <v>0</v>
      </c>
      <c r="CK28" s="89">
        <v>0</v>
      </c>
      <c r="CL28" s="112">
        <f t="shared" ref="CL28" si="759">CK28/$P28</f>
        <v>0</v>
      </c>
      <c r="CM28" s="89">
        <v>0</v>
      </c>
      <c r="CN28" s="112">
        <f t="shared" ref="CN28" si="760">CM28/$P28</f>
        <v>0</v>
      </c>
      <c r="CO28" s="89">
        <v>0</v>
      </c>
      <c r="CP28" s="112">
        <f t="shared" ref="CP28" si="761">CO28/$P28</f>
        <v>0</v>
      </c>
      <c r="CQ28" s="89">
        <v>0</v>
      </c>
      <c r="CR28" s="112">
        <f t="shared" ref="CR28" si="762">CQ28/$P28</f>
        <v>0</v>
      </c>
      <c r="CS28" s="89">
        <v>0</v>
      </c>
      <c r="CT28" s="112">
        <f t="shared" ref="CT28" si="763">CS28/$P28</f>
        <v>0</v>
      </c>
      <c r="CU28" s="89">
        <f t="shared" si="6"/>
        <v>0</v>
      </c>
      <c r="CV28" s="113">
        <f t="shared" si="47"/>
        <v>0</v>
      </c>
    </row>
    <row r="29" spans="2:100" ht="19.95" customHeight="1">
      <c r="B29" s="86"/>
      <c r="C29" s="88">
        <v>20</v>
      </c>
      <c r="D29" s="1" t="s">
        <v>122</v>
      </c>
      <c r="E29" s="88">
        <f>E5</f>
        <v>35.6</v>
      </c>
      <c r="F29" s="89">
        <v>2.33</v>
      </c>
      <c r="G29" s="89">
        <f t="shared" si="729"/>
        <v>82.948000000000008</v>
      </c>
      <c r="H29" s="90">
        <v>1</v>
      </c>
      <c r="I29" s="90">
        <v>0.75</v>
      </c>
      <c r="J29" s="90">
        <v>14</v>
      </c>
      <c r="K29" s="91">
        <f>(H29*I29)*J29</f>
        <v>10.5</v>
      </c>
      <c r="L29" s="95">
        <f t="shared" ref="L29:L35" si="764">G29-K29</f>
        <v>72.448000000000008</v>
      </c>
      <c r="M29" s="1"/>
      <c r="N29" s="89"/>
      <c r="P29" s="89">
        <f t="shared" si="0"/>
        <v>72.448000000000008</v>
      </c>
      <c r="Q29" s="89">
        <v>0</v>
      </c>
      <c r="R29" s="112">
        <f t="shared" si="7"/>
        <v>0</v>
      </c>
      <c r="S29" s="89">
        <v>0</v>
      </c>
      <c r="T29" s="112">
        <f t="shared" si="7"/>
        <v>0</v>
      </c>
      <c r="U29" s="89">
        <v>0</v>
      </c>
      <c r="V29" s="112">
        <f t="shared" ref="V29" si="765">U29/$P29</f>
        <v>0</v>
      </c>
      <c r="W29" s="89">
        <v>0</v>
      </c>
      <c r="X29" s="112">
        <f t="shared" ref="X29" si="766">W29/$P29</f>
        <v>0</v>
      </c>
      <c r="Y29" s="89">
        <v>0</v>
      </c>
      <c r="Z29" s="112">
        <f t="shared" ref="Z29" si="767">Y29/$P29</f>
        <v>0</v>
      </c>
      <c r="AA29" s="89">
        <v>0</v>
      </c>
      <c r="AB29" s="112">
        <f t="shared" ref="AB29" si="768">AA29/$P29</f>
        <v>0</v>
      </c>
      <c r="AC29" s="89">
        <f t="shared" si="1"/>
        <v>0</v>
      </c>
      <c r="AD29" s="113">
        <f t="shared" si="12"/>
        <v>0</v>
      </c>
      <c r="AE29" s="89">
        <v>0</v>
      </c>
      <c r="AF29" s="112">
        <f t="shared" ref="AF29" si="769">AE29/$P29</f>
        <v>0</v>
      </c>
      <c r="AG29" s="89">
        <v>0</v>
      </c>
      <c r="AH29" s="112">
        <f t="shared" ref="AH29" si="770">AG29/$P29</f>
        <v>0</v>
      </c>
      <c r="AI29" s="89">
        <v>0</v>
      </c>
      <c r="AJ29" s="112">
        <f t="shared" ref="AJ29" si="771">AI29/$P29</f>
        <v>0</v>
      </c>
      <c r="AK29" s="89">
        <v>0</v>
      </c>
      <c r="AL29" s="112">
        <f t="shared" ref="AL29" si="772">AK29/$P29</f>
        <v>0</v>
      </c>
      <c r="AM29" s="89">
        <v>0</v>
      </c>
      <c r="AN29" s="112">
        <f t="shared" ref="AN29" si="773">AM29/$P29</f>
        <v>0</v>
      </c>
      <c r="AO29" s="89">
        <v>0</v>
      </c>
      <c r="AP29" s="112">
        <f t="shared" ref="AP29" si="774">AO29/$P29</f>
        <v>0</v>
      </c>
      <c r="AQ29" s="89">
        <f t="shared" si="2"/>
        <v>0</v>
      </c>
      <c r="AR29" s="113">
        <f t="shared" si="19"/>
        <v>0</v>
      </c>
      <c r="AS29" s="89">
        <v>0</v>
      </c>
      <c r="AT29" s="112">
        <f t="shared" ref="AT29" si="775">AS29/$P29</f>
        <v>0</v>
      </c>
      <c r="AU29" s="89">
        <v>0</v>
      </c>
      <c r="AV29" s="112">
        <f t="shared" ref="AV29" si="776">AU29/$P29</f>
        <v>0</v>
      </c>
      <c r="AW29" s="89">
        <v>0</v>
      </c>
      <c r="AX29" s="112">
        <f t="shared" ref="AX29" si="777">AW29/$P29</f>
        <v>0</v>
      </c>
      <c r="AY29" s="89">
        <v>0</v>
      </c>
      <c r="AZ29" s="112">
        <f t="shared" ref="AZ29" si="778">AY29/$P29</f>
        <v>0</v>
      </c>
      <c r="BA29" s="89">
        <v>0</v>
      </c>
      <c r="BB29" s="112">
        <f t="shared" ref="BB29" si="779">BA29/$P29</f>
        <v>0</v>
      </c>
      <c r="BC29" s="89">
        <v>0</v>
      </c>
      <c r="BD29" s="112">
        <f t="shared" ref="BD29" si="780">BC29/$P29</f>
        <v>0</v>
      </c>
      <c r="BE29" s="89">
        <f t="shared" si="3"/>
        <v>0</v>
      </c>
      <c r="BF29" s="113">
        <f t="shared" si="26"/>
        <v>0</v>
      </c>
      <c r="BG29" s="89">
        <v>0</v>
      </c>
      <c r="BH29" s="112">
        <f t="shared" ref="BH29" si="781">BG29/$P29</f>
        <v>0</v>
      </c>
      <c r="BI29" s="89">
        <v>0</v>
      </c>
      <c r="BJ29" s="112">
        <f t="shared" ref="BJ29" si="782">BI29/$P29</f>
        <v>0</v>
      </c>
      <c r="BK29" s="89">
        <v>0</v>
      </c>
      <c r="BL29" s="112">
        <f t="shared" ref="BL29" si="783">BK29/$P29</f>
        <v>0</v>
      </c>
      <c r="BM29" s="89">
        <v>0</v>
      </c>
      <c r="BN29" s="112">
        <f t="shared" ref="BN29" si="784">BM29/$P29</f>
        <v>0</v>
      </c>
      <c r="BO29" s="89">
        <v>0</v>
      </c>
      <c r="BP29" s="112">
        <f t="shared" ref="BP29" si="785">BO29/$P29</f>
        <v>0</v>
      </c>
      <c r="BQ29" s="89">
        <v>0</v>
      </c>
      <c r="BR29" s="112">
        <f t="shared" ref="BR29" si="786">BQ29/$P29</f>
        <v>0</v>
      </c>
      <c r="BS29" s="89">
        <f t="shared" si="4"/>
        <v>0</v>
      </c>
      <c r="BT29" s="113">
        <f t="shared" si="33"/>
        <v>0</v>
      </c>
      <c r="BU29" s="89">
        <v>0</v>
      </c>
      <c r="BV29" s="112">
        <f t="shared" ref="BV29" si="787">BU29/$P29</f>
        <v>0</v>
      </c>
      <c r="BW29" s="89">
        <v>0</v>
      </c>
      <c r="BX29" s="112">
        <f t="shared" ref="BX29" si="788">BW29/$P29</f>
        <v>0</v>
      </c>
      <c r="BY29" s="89">
        <v>0</v>
      </c>
      <c r="BZ29" s="112">
        <f t="shared" ref="BZ29" si="789">BY29/$P29</f>
        <v>0</v>
      </c>
      <c r="CA29" s="89">
        <v>0</v>
      </c>
      <c r="CB29" s="112">
        <f t="shared" ref="CB29" si="790">CA29/$P29</f>
        <v>0</v>
      </c>
      <c r="CC29" s="89">
        <v>0</v>
      </c>
      <c r="CD29" s="112">
        <f t="shared" ref="CD29" si="791">CC29/$P29</f>
        <v>0</v>
      </c>
      <c r="CE29" s="89">
        <v>0</v>
      </c>
      <c r="CF29" s="112">
        <f t="shared" ref="CF29" si="792">CE29/$P29</f>
        <v>0</v>
      </c>
      <c r="CG29" s="89">
        <f t="shared" si="5"/>
        <v>0</v>
      </c>
      <c r="CH29" s="113">
        <f t="shared" si="40"/>
        <v>0</v>
      </c>
      <c r="CI29" s="89">
        <v>0</v>
      </c>
      <c r="CJ29" s="112">
        <f t="shared" ref="CJ29" si="793">CI29/$P29</f>
        <v>0</v>
      </c>
      <c r="CK29" s="89">
        <v>0</v>
      </c>
      <c r="CL29" s="112">
        <f t="shared" ref="CL29" si="794">CK29/$P29</f>
        <v>0</v>
      </c>
      <c r="CM29" s="89">
        <v>0</v>
      </c>
      <c r="CN29" s="112">
        <f t="shared" ref="CN29" si="795">CM29/$P29</f>
        <v>0</v>
      </c>
      <c r="CO29" s="89">
        <v>0</v>
      </c>
      <c r="CP29" s="112">
        <f t="shared" ref="CP29" si="796">CO29/$P29</f>
        <v>0</v>
      </c>
      <c r="CQ29" s="89">
        <v>0</v>
      </c>
      <c r="CR29" s="112">
        <f t="shared" ref="CR29" si="797">CQ29/$P29</f>
        <v>0</v>
      </c>
      <c r="CS29" s="89">
        <v>0</v>
      </c>
      <c r="CT29" s="112">
        <f t="shared" ref="CT29" si="798">CS29/$P29</f>
        <v>0</v>
      </c>
      <c r="CU29" s="89">
        <f t="shared" si="6"/>
        <v>0</v>
      </c>
      <c r="CV29" s="113">
        <f t="shared" si="47"/>
        <v>0</v>
      </c>
    </row>
    <row r="30" spans="2:100" ht="19.95" customHeight="1">
      <c r="B30" s="1"/>
      <c r="C30" s="88">
        <v>21</v>
      </c>
      <c r="D30" s="1" t="s">
        <v>206</v>
      </c>
      <c r="E30" s="88">
        <f>E5</f>
        <v>35.6</v>
      </c>
      <c r="F30" s="89">
        <v>0.8</v>
      </c>
      <c r="G30" s="89">
        <f t="shared" si="729"/>
        <v>28.480000000000004</v>
      </c>
      <c r="H30" s="90"/>
      <c r="I30" s="90"/>
      <c r="J30" s="90"/>
      <c r="K30" s="91"/>
      <c r="L30" s="95">
        <f t="shared" si="764"/>
        <v>28.480000000000004</v>
      </c>
      <c r="M30" s="89"/>
      <c r="O30" s="89"/>
      <c r="P30" s="89">
        <f t="shared" si="0"/>
        <v>28.480000000000004</v>
      </c>
      <c r="Q30" s="89">
        <v>0</v>
      </c>
      <c r="R30" s="112">
        <f t="shared" si="7"/>
        <v>0</v>
      </c>
      <c r="S30" s="89">
        <v>0</v>
      </c>
      <c r="T30" s="112">
        <f t="shared" si="7"/>
        <v>0</v>
      </c>
      <c r="U30" s="89">
        <v>0</v>
      </c>
      <c r="V30" s="112">
        <f t="shared" ref="V30" si="799">U30/$P30</f>
        <v>0</v>
      </c>
      <c r="W30" s="89">
        <v>0</v>
      </c>
      <c r="X30" s="112">
        <f t="shared" ref="X30" si="800">W30/$P30</f>
        <v>0</v>
      </c>
      <c r="Y30" s="89">
        <v>0</v>
      </c>
      <c r="Z30" s="112">
        <f t="shared" ref="Z30" si="801">Y30/$P30</f>
        <v>0</v>
      </c>
      <c r="AA30" s="89">
        <v>0</v>
      </c>
      <c r="AB30" s="112">
        <f t="shared" ref="AB30" si="802">AA30/$P30</f>
        <v>0</v>
      </c>
      <c r="AC30" s="89">
        <f t="shared" si="1"/>
        <v>0</v>
      </c>
      <c r="AD30" s="113">
        <f t="shared" si="12"/>
        <v>0</v>
      </c>
      <c r="AE30" s="89">
        <v>0</v>
      </c>
      <c r="AF30" s="112">
        <f t="shared" ref="AF30" si="803">AE30/$P30</f>
        <v>0</v>
      </c>
      <c r="AG30" s="89">
        <v>0</v>
      </c>
      <c r="AH30" s="112">
        <f t="shared" ref="AH30" si="804">AG30/$P30</f>
        <v>0</v>
      </c>
      <c r="AI30" s="89">
        <v>0</v>
      </c>
      <c r="AJ30" s="112">
        <f t="shared" ref="AJ30" si="805">AI30/$P30</f>
        <v>0</v>
      </c>
      <c r="AK30" s="89">
        <v>0</v>
      </c>
      <c r="AL30" s="112">
        <f t="shared" ref="AL30" si="806">AK30/$P30</f>
        <v>0</v>
      </c>
      <c r="AM30" s="89">
        <v>0</v>
      </c>
      <c r="AN30" s="112">
        <f t="shared" ref="AN30" si="807">AM30/$P30</f>
        <v>0</v>
      </c>
      <c r="AO30" s="89">
        <v>0</v>
      </c>
      <c r="AP30" s="112">
        <f t="shared" ref="AP30" si="808">AO30/$P30</f>
        <v>0</v>
      </c>
      <c r="AQ30" s="89">
        <f t="shared" si="2"/>
        <v>0</v>
      </c>
      <c r="AR30" s="113">
        <f t="shared" si="19"/>
        <v>0</v>
      </c>
      <c r="AS30" s="89">
        <v>0</v>
      </c>
      <c r="AT30" s="112">
        <f t="shared" ref="AT30" si="809">AS30/$P30</f>
        <v>0</v>
      </c>
      <c r="AU30" s="89">
        <v>0</v>
      </c>
      <c r="AV30" s="112">
        <f t="shared" ref="AV30" si="810">AU30/$P30</f>
        <v>0</v>
      </c>
      <c r="AW30" s="89">
        <v>0</v>
      </c>
      <c r="AX30" s="112">
        <f t="shared" ref="AX30" si="811">AW30/$P30</f>
        <v>0</v>
      </c>
      <c r="AY30" s="89">
        <v>0</v>
      </c>
      <c r="AZ30" s="112">
        <f t="shared" ref="AZ30" si="812">AY30/$P30</f>
        <v>0</v>
      </c>
      <c r="BA30" s="89">
        <v>0</v>
      </c>
      <c r="BB30" s="112">
        <f t="shared" ref="BB30" si="813">BA30/$P30</f>
        <v>0</v>
      </c>
      <c r="BC30" s="89">
        <v>0</v>
      </c>
      <c r="BD30" s="112">
        <f t="shared" ref="BD30" si="814">BC30/$P30</f>
        <v>0</v>
      </c>
      <c r="BE30" s="89">
        <f t="shared" si="3"/>
        <v>0</v>
      </c>
      <c r="BF30" s="113">
        <f t="shared" si="26"/>
        <v>0</v>
      </c>
      <c r="BG30" s="89">
        <v>0</v>
      </c>
      <c r="BH30" s="112">
        <f t="shared" ref="BH30" si="815">BG30/$P30</f>
        <v>0</v>
      </c>
      <c r="BI30" s="89">
        <v>0</v>
      </c>
      <c r="BJ30" s="112">
        <f t="shared" ref="BJ30" si="816">BI30/$P30</f>
        <v>0</v>
      </c>
      <c r="BK30" s="89">
        <v>0</v>
      </c>
      <c r="BL30" s="112">
        <f t="shared" ref="BL30" si="817">BK30/$P30</f>
        <v>0</v>
      </c>
      <c r="BM30" s="89">
        <v>0</v>
      </c>
      <c r="BN30" s="112">
        <f t="shared" ref="BN30" si="818">BM30/$P30</f>
        <v>0</v>
      </c>
      <c r="BO30" s="89">
        <v>0</v>
      </c>
      <c r="BP30" s="112">
        <f t="shared" ref="BP30" si="819">BO30/$P30</f>
        <v>0</v>
      </c>
      <c r="BQ30" s="89">
        <v>0</v>
      </c>
      <c r="BR30" s="112">
        <f t="shared" ref="BR30" si="820">BQ30/$P30</f>
        <v>0</v>
      </c>
      <c r="BS30" s="89">
        <f t="shared" si="4"/>
        <v>0</v>
      </c>
      <c r="BT30" s="113">
        <f t="shared" si="33"/>
        <v>0</v>
      </c>
      <c r="BU30" s="89">
        <v>0</v>
      </c>
      <c r="BV30" s="112">
        <f t="shared" ref="BV30" si="821">BU30/$P30</f>
        <v>0</v>
      </c>
      <c r="BW30" s="89">
        <v>0</v>
      </c>
      <c r="BX30" s="112">
        <f t="shared" ref="BX30" si="822">BW30/$P30</f>
        <v>0</v>
      </c>
      <c r="BY30" s="89">
        <v>0</v>
      </c>
      <c r="BZ30" s="112">
        <f t="shared" ref="BZ30" si="823">BY30/$P30</f>
        <v>0</v>
      </c>
      <c r="CA30" s="89">
        <v>0</v>
      </c>
      <c r="CB30" s="112">
        <f t="shared" ref="CB30" si="824">CA30/$P30</f>
        <v>0</v>
      </c>
      <c r="CC30" s="89">
        <v>0</v>
      </c>
      <c r="CD30" s="112">
        <f t="shared" ref="CD30" si="825">CC30/$P30</f>
        <v>0</v>
      </c>
      <c r="CE30" s="89">
        <v>0</v>
      </c>
      <c r="CF30" s="112">
        <f t="shared" ref="CF30" si="826">CE30/$P30</f>
        <v>0</v>
      </c>
      <c r="CG30" s="89">
        <f t="shared" si="5"/>
        <v>0</v>
      </c>
      <c r="CH30" s="113">
        <f t="shared" si="40"/>
        <v>0</v>
      </c>
      <c r="CI30" s="89">
        <v>0</v>
      </c>
      <c r="CJ30" s="112">
        <f t="shared" ref="CJ30" si="827">CI30/$P30</f>
        <v>0</v>
      </c>
      <c r="CK30" s="89">
        <v>0</v>
      </c>
      <c r="CL30" s="112">
        <f t="shared" ref="CL30" si="828">CK30/$P30</f>
        <v>0</v>
      </c>
      <c r="CM30" s="89">
        <v>0</v>
      </c>
      <c r="CN30" s="112">
        <f t="shared" ref="CN30" si="829">CM30/$P30</f>
        <v>0</v>
      </c>
      <c r="CO30" s="89">
        <v>0</v>
      </c>
      <c r="CP30" s="112">
        <f t="shared" ref="CP30" si="830">CO30/$P30</f>
        <v>0</v>
      </c>
      <c r="CQ30" s="89">
        <v>0</v>
      </c>
      <c r="CR30" s="112">
        <f t="shared" ref="CR30" si="831">CQ30/$P30</f>
        <v>0</v>
      </c>
      <c r="CS30" s="89">
        <v>0</v>
      </c>
      <c r="CT30" s="112">
        <f t="shared" ref="CT30" si="832">CS30/$P30</f>
        <v>0</v>
      </c>
      <c r="CU30" s="89">
        <f t="shared" si="6"/>
        <v>0</v>
      </c>
      <c r="CV30" s="113">
        <f t="shared" si="47"/>
        <v>0</v>
      </c>
    </row>
    <row r="31" spans="2:100" ht="19.95" customHeight="1">
      <c r="B31" s="86"/>
      <c r="C31" s="88">
        <v>22</v>
      </c>
      <c r="D31" s="1" t="s">
        <v>122</v>
      </c>
      <c r="E31" s="88">
        <f>E5</f>
        <v>35.6</v>
      </c>
      <c r="F31" s="89">
        <v>1.42</v>
      </c>
      <c r="G31" s="89">
        <f t="shared" si="729"/>
        <v>50.552</v>
      </c>
      <c r="H31" s="90">
        <v>0.3</v>
      </c>
      <c r="I31" s="90">
        <v>0.3</v>
      </c>
      <c r="J31" s="90">
        <v>14</v>
      </c>
      <c r="K31" s="91">
        <f>(H31*I31)*J31</f>
        <v>1.26</v>
      </c>
      <c r="L31" s="95">
        <f t="shared" si="764"/>
        <v>49.292000000000002</v>
      </c>
      <c r="M31" s="1"/>
      <c r="N31" s="89"/>
      <c r="P31" s="89">
        <f t="shared" si="0"/>
        <v>49.292000000000002</v>
      </c>
      <c r="Q31" s="89">
        <v>0</v>
      </c>
      <c r="R31" s="112">
        <f t="shared" si="7"/>
        <v>0</v>
      </c>
      <c r="S31" s="89">
        <v>0</v>
      </c>
      <c r="T31" s="112">
        <f t="shared" si="7"/>
        <v>0</v>
      </c>
      <c r="U31" s="89">
        <v>0</v>
      </c>
      <c r="V31" s="112">
        <f t="shared" ref="V31" si="833">U31/$P31</f>
        <v>0</v>
      </c>
      <c r="W31" s="89">
        <v>0</v>
      </c>
      <c r="X31" s="112">
        <f t="shared" ref="X31" si="834">W31/$P31</f>
        <v>0</v>
      </c>
      <c r="Y31" s="89">
        <v>0</v>
      </c>
      <c r="Z31" s="112">
        <f t="shared" ref="Z31" si="835">Y31/$P31</f>
        <v>0</v>
      </c>
      <c r="AA31" s="89">
        <v>0</v>
      </c>
      <c r="AB31" s="112">
        <f t="shared" ref="AB31" si="836">AA31/$P31</f>
        <v>0</v>
      </c>
      <c r="AC31" s="89">
        <f t="shared" ref="AC31:AC59" si="837">Q31+S31+U31+W31+Y31+AA31</f>
        <v>0</v>
      </c>
      <c r="AD31" s="113">
        <f t="shared" si="12"/>
        <v>0</v>
      </c>
      <c r="AE31" s="89">
        <v>0</v>
      </c>
      <c r="AF31" s="112">
        <f t="shared" ref="AF31" si="838">AE31/$P31</f>
        <v>0</v>
      </c>
      <c r="AG31" s="89">
        <v>0</v>
      </c>
      <c r="AH31" s="112">
        <f t="shared" ref="AH31" si="839">AG31/$P31</f>
        <v>0</v>
      </c>
      <c r="AI31" s="89">
        <v>0</v>
      </c>
      <c r="AJ31" s="112">
        <f t="shared" ref="AJ31" si="840">AI31/$P31</f>
        <v>0</v>
      </c>
      <c r="AK31" s="89">
        <v>0</v>
      </c>
      <c r="AL31" s="112">
        <f t="shared" ref="AL31" si="841">AK31/$P31</f>
        <v>0</v>
      </c>
      <c r="AM31" s="89">
        <v>0</v>
      </c>
      <c r="AN31" s="112">
        <f t="shared" ref="AN31" si="842">AM31/$P31</f>
        <v>0</v>
      </c>
      <c r="AO31" s="89">
        <v>0</v>
      </c>
      <c r="AP31" s="112">
        <f t="shared" ref="AP31" si="843">AO31/$P31</f>
        <v>0</v>
      </c>
      <c r="AQ31" s="89">
        <f t="shared" si="2"/>
        <v>0</v>
      </c>
      <c r="AR31" s="113">
        <f t="shared" si="19"/>
        <v>0</v>
      </c>
      <c r="AS31" s="89">
        <v>0</v>
      </c>
      <c r="AT31" s="112">
        <f t="shared" ref="AT31" si="844">AS31/$P31</f>
        <v>0</v>
      </c>
      <c r="AU31" s="89">
        <v>0</v>
      </c>
      <c r="AV31" s="112">
        <f t="shared" ref="AV31" si="845">AU31/$P31</f>
        <v>0</v>
      </c>
      <c r="AW31" s="89">
        <v>0</v>
      </c>
      <c r="AX31" s="112">
        <f t="shared" ref="AX31" si="846">AW31/$P31</f>
        <v>0</v>
      </c>
      <c r="AY31" s="89">
        <v>0</v>
      </c>
      <c r="AZ31" s="112">
        <f t="shared" ref="AZ31" si="847">AY31/$P31</f>
        <v>0</v>
      </c>
      <c r="BA31" s="89">
        <v>0</v>
      </c>
      <c r="BB31" s="112">
        <f t="shared" ref="BB31" si="848">BA31/$P31</f>
        <v>0</v>
      </c>
      <c r="BC31" s="89">
        <v>0</v>
      </c>
      <c r="BD31" s="112">
        <f t="shared" ref="BD31" si="849">BC31/$P31</f>
        <v>0</v>
      </c>
      <c r="BE31" s="89">
        <f t="shared" si="3"/>
        <v>0</v>
      </c>
      <c r="BF31" s="113">
        <f t="shared" si="26"/>
        <v>0</v>
      </c>
      <c r="BG31" s="89">
        <v>0</v>
      </c>
      <c r="BH31" s="112">
        <f t="shared" ref="BH31" si="850">BG31/$P31</f>
        <v>0</v>
      </c>
      <c r="BI31" s="89">
        <v>0</v>
      </c>
      <c r="BJ31" s="112">
        <f t="shared" ref="BJ31" si="851">BI31/$P31</f>
        <v>0</v>
      </c>
      <c r="BK31" s="89">
        <v>0</v>
      </c>
      <c r="BL31" s="112">
        <f t="shared" ref="BL31" si="852">BK31/$P31</f>
        <v>0</v>
      </c>
      <c r="BM31" s="89">
        <v>0</v>
      </c>
      <c r="BN31" s="112">
        <f t="shared" ref="BN31" si="853">BM31/$P31</f>
        <v>0</v>
      </c>
      <c r="BO31" s="89">
        <v>0</v>
      </c>
      <c r="BP31" s="112">
        <f t="shared" ref="BP31" si="854">BO31/$P31</f>
        <v>0</v>
      </c>
      <c r="BQ31" s="89">
        <v>0</v>
      </c>
      <c r="BR31" s="112">
        <f t="shared" ref="BR31" si="855">BQ31/$P31</f>
        <v>0</v>
      </c>
      <c r="BS31" s="89">
        <f t="shared" si="4"/>
        <v>0</v>
      </c>
      <c r="BT31" s="113">
        <f t="shared" si="33"/>
        <v>0</v>
      </c>
      <c r="BU31" s="89">
        <v>0</v>
      </c>
      <c r="BV31" s="112">
        <f t="shared" ref="BV31" si="856">BU31/$P31</f>
        <v>0</v>
      </c>
      <c r="BW31" s="89">
        <v>0</v>
      </c>
      <c r="BX31" s="112">
        <f t="shared" ref="BX31" si="857">BW31/$P31</f>
        <v>0</v>
      </c>
      <c r="BY31" s="89">
        <v>0</v>
      </c>
      <c r="BZ31" s="112">
        <f t="shared" ref="BZ31" si="858">BY31/$P31</f>
        <v>0</v>
      </c>
      <c r="CA31" s="89">
        <v>0</v>
      </c>
      <c r="CB31" s="112">
        <f t="shared" ref="CB31" si="859">CA31/$P31</f>
        <v>0</v>
      </c>
      <c r="CC31" s="89">
        <v>0</v>
      </c>
      <c r="CD31" s="112">
        <f t="shared" ref="CD31" si="860">CC31/$P31</f>
        <v>0</v>
      </c>
      <c r="CE31" s="89">
        <v>0</v>
      </c>
      <c r="CF31" s="112">
        <f t="shared" ref="CF31" si="861">CE31/$P31</f>
        <v>0</v>
      </c>
      <c r="CG31" s="89">
        <f t="shared" si="5"/>
        <v>0</v>
      </c>
      <c r="CH31" s="113">
        <f t="shared" si="40"/>
        <v>0</v>
      </c>
      <c r="CI31" s="89">
        <v>0</v>
      </c>
      <c r="CJ31" s="112">
        <f t="shared" ref="CJ31" si="862">CI31/$P31</f>
        <v>0</v>
      </c>
      <c r="CK31" s="89">
        <v>0</v>
      </c>
      <c r="CL31" s="112">
        <f t="shared" ref="CL31" si="863">CK31/$P31</f>
        <v>0</v>
      </c>
      <c r="CM31" s="89">
        <v>0</v>
      </c>
      <c r="CN31" s="112">
        <f t="shared" ref="CN31" si="864">CM31/$P31</f>
        <v>0</v>
      </c>
      <c r="CO31" s="89">
        <v>0</v>
      </c>
      <c r="CP31" s="112">
        <f t="shared" ref="CP31" si="865">CO31/$P31</f>
        <v>0</v>
      </c>
      <c r="CQ31" s="89">
        <v>0</v>
      </c>
      <c r="CR31" s="112">
        <f t="shared" ref="CR31" si="866">CQ31/$P31</f>
        <v>0</v>
      </c>
      <c r="CS31" s="89">
        <v>0</v>
      </c>
      <c r="CT31" s="112">
        <f t="shared" ref="CT31" si="867">CS31/$P31</f>
        <v>0</v>
      </c>
      <c r="CU31" s="89">
        <f t="shared" si="6"/>
        <v>0</v>
      </c>
      <c r="CV31" s="113">
        <f t="shared" si="47"/>
        <v>0</v>
      </c>
    </row>
    <row r="32" spans="2:100" ht="19.95" customHeight="1">
      <c r="B32" s="86"/>
      <c r="C32" s="88">
        <v>23</v>
      </c>
      <c r="D32" s="1" t="s">
        <v>206</v>
      </c>
      <c r="E32" s="88">
        <f>E5</f>
        <v>35.6</v>
      </c>
      <c r="F32" s="89">
        <v>1.72</v>
      </c>
      <c r="G32" s="89">
        <f t="shared" si="729"/>
        <v>61.231999999999999</v>
      </c>
      <c r="H32" s="90"/>
      <c r="I32" s="90"/>
      <c r="J32" s="90"/>
      <c r="K32" s="91"/>
      <c r="L32" s="95">
        <f t="shared" si="764"/>
        <v>61.231999999999999</v>
      </c>
      <c r="M32" s="1"/>
      <c r="N32" s="89"/>
      <c r="P32" s="89">
        <f t="shared" si="0"/>
        <v>61.231999999999999</v>
      </c>
      <c r="Q32" s="89">
        <v>0</v>
      </c>
      <c r="R32" s="112">
        <f t="shared" si="7"/>
        <v>0</v>
      </c>
      <c r="S32" s="89">
        <v>0</v>
      </c>
      <c r="T32" s="112">
        <f t="shared" si="7"/>
        <v>0</v>
      </c>
      <c r="U32" s="89">
        <v>0</v>
      </c>
      <c r="V32" s="112">
        <f t="shared" ref="V32" si="868">U32/$P32</f>
        <v>0</v>
      </c>
      <c r="W32" s="89">
        <v>0</v>
      </c>
      <c r="X32" s="112">
        <f t="shared" ref="X32" si="869">W32/$P32</f>
        <v>0</v>
      </c>
      <c r="Y32" s="89">
        <v>0</v>
      </c>
      <c r="Z32" s="112">
        <f t="shared" ref="Z32" si="870">Y32/$P32</f>
        <v>0</v>
      </c>
      <c r="AA32" s="89">
        <v>0</v>
      </c>
      <c r="AB32" s="112">
        <f t="shared" ref="AB32" si="871">AA32/$P32</f>
        <v>0</v>
      </c>
      <c r="AC32" s="89">
        <f t="shared" si="837"/>
        <v>0</v>
      </c>
      <c r="AD32" s="113">
        <f t="shared" si="12"/>
        <v>0</v>
      </c>
      <c r="AE32" s="89">
        <v>0</v>
      </c>
      <c r="AF32" s="112">
        <f t="shared" ref="AF32" si="872">AE32/$P32</f>
        <v>0</v>
      </c>
      <c r="AG32" s="89">
        <v>0</v>
      </c>
      <c r="AH32" s="112">
        <f t="shared" ref="AH32" si="873">AG32/$P32</f>
        <v>0</v>
      </c>
      <c r="AI32" s="89">
        <v>0</v>
      </c>
      <c r="AJ32" s="112">
        <f t="shared" ref="AJ32" si="874">AI32/$P32</f>
        <v>0</v>
      </c>
      <c r="AK32" s="89">
        <v>0</v>
      </c>
      <c r="AL32" s="112">
        <f t="shared" ref="AL32" si="875">AK32/$P32</f>
        <v>0</v>
      </c>
      <c r="AM32" s="89">
        <v>0</v>
      </c>
      <c r="AN32" s="112">
        <f t="shared" ref="AN32" si="876">AM32/$P32</f>
        <v>0</v>
      </c>
      <c r="AO32" s="89">
        <v>0</v>
      </c>
      <c r="AP32" s="112">
        <f t="shared" ref="AP32" si="877">AO32/$P32</f>
        <v>0</v>
      </c>
      <c r="AQ32" s="89">
        <f t="shared" si="2"/>
        <v>0</v>
      </c>
      <c r="AR32" s="113">
        <f t="shared" si="19"/>
        <v>0</v>
      </c>
      <c r="AS32" s="89">
        <v>0</v>
      </c>
      <c r="AT32" s="112">
        <f t="shared" ref="AT32" si="878">AS32/$P32</f>
        <v>0</v>
      </c>
      <c r="AU32" s="89">
        <v>0</v>
      </c>
      <c r="AV32" s="112">
        <f t="shared" ref="AV32" si="879">AU32/$P32</f>
        <v>0</v>
      </c>
      <c r="AW32" s="89">
        <v>0</v>
      </c>
      <c r="AX32" s="112">
        <f t="shared" ref="AX32" si="880">AW32/$P32</f>
        <v>0</v>
      </c>
      <c r="AY32" s="89">
        <v>0</v>
      </c>
      <c r="AZ32" s="112">
        <f t="shared" ref="AZ32" si="881">AY32/$P32</f>
        <v>0</v>
      </c>
      <c r="BA32" s="89">
        <v>0</v>
      </c>
      <c r="BB32" s="112">
        <f t="shared" ref="BB32" si="882">BA32/$P32</f>
        <v>0</v>
      </c>
      <c r="BC32" s="89">
        <v>0</v>
      </c>
      <c r="BD32" s="112">
        <f t="shared" ref="BD32" si="883">BC32/$P32</f>
        <v>0</v>
      </c>
      <c r="BE32" s="89">
        <f t="shared" si="3"/>
        <v>0</v>
      </c>
      <c r="BF32" s="113">
        <f t="shared" si="26"/>
        <v>0</v>
      </c>
      <c r="BG32" s="89">
        <v>0</v>
      </c>
      <c r="BH32" s="112">
        <f t="shared" ref="BH32" si="884">BG32/$P32</f>
        <v>0</v>
      </c>
      <c r="BI32" s="89">
        <v>0</v>
      </c>
      <c r="BJ32" s="112">
        <f t="shared" ref="BJ32" si="885">BI32/$P32</f>
        <v>0</v>
      </c>
      <c r="BK32" s="89">
        <v>0</v>
      </c>
      <c r="BL32" s="112">
        <f t="shared" ref="BL32" si="886">BK32/$P32</f>
        <v>0</v>
      </c>
      <c r="BM32" s="89">
        <v>0</v>
      </c>
      <c r="BN32" s="112">
        <f t="shared" ref="BN32" si="887">BM32/$P32</f>
        <v>0</v>
      </c>
      <c r="BO32" s="89">
        <v>0</v>
      </c>
      <c r="BP32" s="112">
        <f t="shared" ref="BP32" si="888">BO32/$P32</f>
        <v>0</v>
      </c>
      <c r="BQ32" s="89">
        <v>0</v>
      </c>
      <c r="BR32" s="112">
        <f t="shared" ref="BR32" si="889">BQ32/$P32</f>
        <v>0</v>
      </c>
      <c r="BS32" s="89">
        <f t="shared" si="4"/>
        <v>0</v>
      </c>
      <c r="BT32" s="113">
        <f t="shared" si="33"/>
        <v>0</v>
      </c>
      <c r="BU32" s="89">
        <v>0</v>
      </c>
      <c r="BV32" s="112">
        <f t="shared" ref="BV32" si="890">BU32/$P32</f>
        <v>0</v>
      </c>
      <c r="BW32" s="89">
        <v>0</v>
      </c>
      <c r="BX32" s="112">
        <f t="shared" ref="BX32" si="891">BW32/$P32</f>
        <v>0</v>
      </c>
      <c r="BY32" s="89">
        <v>0</v>
      </c>
      <c r="BZ32" s="112">
        <f t="shared" ref="BZ32" si="892">BY32/$P32</f>
        <v>0</v>
      </c>
      <c r="CA32" s="89">
        <v>0</v>
      </c>
      <c r="CB32" s="112">
        <f t="shared" ref="CB32" si="893">CA32/$P32</f>
        <v>0</v>
      </c>
      <c r="CC32" s="89">
        <v>0</v>
      </c>
      <c r="CD32" s="112">
        <f t="shared" ref="CD32" si="894">CC32/$P32</f>
        <v>0</v>
      </c>
      <c r="CE32" s="89">
        <v>0</v>
      </c>
      <c r="CF32" s="112">
        <f t="shared" ref="CF32" si="895">CE32/$P32</f>
        <v>0</v>
      </c>
      <c r="CG32" s="89">
        <f t="shared" si="5"/>
        <v>0</v>
      </c>
      <c r="CH32" s="113">
        <f t="shared" si="40"/>
        <v>0</v>
      </c>
      <c r="CI32" s="89">
        <v>0</v>
      </c>
      <c r="CJ32" s="112">
        <f t="shared" ref="CJ32" si="896">CI32/$P32</f>
        <v>0</v>
      </c>
      <c r="CK32" s="89">
        <v>0</v>
      </c>
      <c r="CL32" s="112">
        <f t="shared" ref="CL32" si="897">CK32/$P32</f>
        <v>0</v>
      </c>
      <c r="CM32" s="89">
        <v>0</v>
      </c>
      <c r="CN32" s="112">
        <f t="shared" ref="CN32" si="898">CM32/$P32</f>
        <v>0</v>
      </c>
      <c r="CO32" s="89">
        <v>0</v>
      </c>
      <c r="CP32" s="112">
        <f t="shared" ref="CP32" si="899">CO32/$P32</f>
        <v>0</v>
      </c>
      <c r="CQ32" s="89">
        <v>0</v>
      </c>
      <c r="CR32" s="112">
        <f t="shared" ref="CR32" si="900">CQ32/$P32</f>
        <v>0</v>
      </c>
      <c r="CS32" s="89">
        <v>0</v>
      </c>
      <c r="CT32" s="112">
        <f t="shared" ref="CT32" si="901">CS32/$P32</f>
        <v>0</v>
      </c>
      <c r="CU32" s="89">
        <f t="shared" si="6"/>
        <v>0</v>
      </c>
      <c r="CV32" s="113">
        <f t="shared" si="47"/>
        <v>0</v>
      </c>
    </row>
    <row r="33" spans="2:100" ht="19.95" customHeight="1">
      <c r="B33" s="86"/>
      <c r="C33" s="88">
        <v>24</v>
      </c>
      <c r="D33" s="1" t="s">
        <v>206</v>
      </c>
      <c r="E33" s="88">
        <f>E5</f>
        <v>35.6</v>
      </c>
      <c r="F33" s="89">
        <v>1.31</v>
      </c>
      <c r="G33" s="89">
        <f t="shared" si="729"/>
        <v>46.636000000000003</v>
      </c>
      <c r="H33" s="90"/>
      <c r="I33" s="90"/>
      <c r="J33" s="90"/>
      <c r="K33" s="91"/>
      <c r="L33" s="95">
        <f t="shared" si="764"/>
        <v>46.636000000000003</v>
      </c>
      <c r="M33" s="1"/>
      <c r="N33" s="89"/>
      <c r="P33" s="89">
        <f t="shared" si="0"/>
        <v>46.636000000000003</v>
      </c>
      <c r="Q33" s="89">
        <v>0</v>
      </c>
      <c r="R33" s="112">
        <f t="shared" si="7"/>
        <v>0</v>
      </c>
      <c r="S33" s="89">
        <v>0</v>
      </c>
      <c r="T33" s="112">
        <f t="shared" si="7"/>
        <v>0</v>
      </c>
      <c r="U33" s="89">
        <v>0</v>
      </c>
      <c r="V33" s="112">
        <f t="shared" ref="V33" si="902">U33/$P33</f>
        <v>0</v>
      </c>
      <c r="W33" s="89">
        <v>0</v>
      </c>
      <c r="X33" s="112">
        <f t="shared" ref="X33" si="903">W33/$P33</f>
        <v>0</v>
      </c>
      <c r="Y33" s="89">
        <v>0</v>
      </c>
      <c r="Z33" s="112">
        <f t="shared" ref="Z33" si="904">Y33/$P33</f>
        <v>0</v>
      </c>
      <c r="AA33" s="89">
        <v>0</v>
      </c>
      <c r="AB33" s="112">
        <f t="shared" ref="AB33" si="905">AA33/$P33</f>
        <v>0</v>
      </c>
      <c r="AC33" s="89">
        <f t="shared" si="837"/>
        <v>0</v>
      </c>
      <c r="AD33" s="113">
        <f t="shared" si="12"/>
        <v>0</v>
      </c>
      <c r="AE33" s="89">
        <v>0</v>
      </c>
      <c r="AF33" s="112">
        <f t="shared" ref="AF33" si="906">AE33/$P33</f>
        <v>0</v>
      </c>
      <c r="AG33" s="89">
        <v>0</v>
      </c>
      <c r="AH33" s="112">
        <f t="shared" ref="AH33" si="907">AG33/$P33</f>
        <v>0</v>
      </c>
      <c r="AI33" s="89">
        <v>0</v>
      </c>
      <c r="AJ33" s="112">
        <f t="shared" ref="AJ33" si="908">AI33/$P33</f>
        <v>0</v>
      </c>
      <c r="AK33" s="89">
        <v>0</v>
      </c>
      <c r="AL33" s="112">
        <f t="shared" ref="AL33" si="909">AK33/$P33</f>
        <v>0</v>
      </c>
      <c r="AM33" s="89">
        <v>0</v>
      </c>
      <c r="AN33" s="112">
        <f t="shared" ref="AN33" si="910">AM33/$P33</f>
        <v>0</v>
      </c>
      <c r="AO33" s="89">
        <v>0</v>
      </c>
      <c r="AP33" s="112">
        <f t="shared" ref="AP33" si="911">AO33/$P33</f>
        <v>0</v>
      </c>
      <c r="AQ33" s="89">
        <f t="shared" si="2"/>
        <v>0</v>
      </c>
      <c r="AR33" s="113">
        <f t="shared" si="19"/>
        <v>0</v>
      </c>
      <c r="AS33" s="89">
        <v>0</v>
      </c>
      <c r="AT33" s="112">
        <f t="shared" ref="AT33" si="912">AS33/$P33</f>
        <v>0</v>
      </c>
      <c r="AU33" s="89">
        <v>0</v>
      </c>
      <c r="AV33" s="112">
        <f t="shared" ref="AV33" si="913">AU33/$P33</f>
        <v>0</v>
      </c>
      <c r="AW33" s="89">
        <v>0</v>
      </c>
      <c r="AX33" s="112">
        <f t="shared" ref="AX33" si="914">AW33/$P33</f>
        <v>0</v>
      </c>
      <c r="AY33" s="89">
        <v>0</v>
      </c>
      <c r="AZ33" s="112">
        <f t="shared" ref="AZ33" si="915">AY33/$P33</f>
        <v>0</v>
      </c>
      <c r="BA33" s="89">
        <v>0</v>
      </c>
      <c r="BB33" s="112">
        <f t="shared" ref="BB33" si="916">BA33/$P33</f>
        <v>0</v>
      </c>
      <c r="BC33" s="89">
        <v>0</v>
      </c>
      <c r="BD33" s="112">
        <f t="shared" ref="BD33" si="917">BC33/$P33</f>
        <v>0</v>
      </c>
      <c r="BE33" s="89">
        <f t="shared" si="3"/>
        <v>0</v>
      </c>
      <c r="BF33" s="113">
        <f t="shared" si="26"/>
        <v>0</v>
      </c>
      <c r="BG33" s="89">
        <v>0</v>
      </c>
      <c r="BH33" s="112">
        <f t="shared" ref="BH33" si="918">BG33/$P33</f>
        <v>0</v>
      </c>
      <c r="BI33" s="89">
        <v>0</v>
      </c>
      <c r="BJ33" s="112">
        <f t="shared" ref="BJ33" si="919">BI33/$P33</f>
        <v>0</v>
      </c>
      <c r="BK33" s="89">
        <v>0</v>
      </c>
      <c r="BL33" s="112">
        <f t="shared" ref="BL33" si="920">BK33/$P33</f>
        <v>0</v>
      </c>
      <c r="BM33" s="89">
        <v>0</v>
      </c>
      <c r="BN33" s="112">
        <f t="shared" ref="BN33" si="921">BM33/$P33</f>
        <v>0</v>
      </c>
      <c r="BO33" s="89">
        <v>0</v>
      </c>
      <c r="BP33" s="112">
        <f t="shared" ref="BP33" si="922">BO33/$P33</f>
        <v>0</v>
      </c>
      <c r="BQ33" s="89">
        <v>0</v>
      </c>
      <c r="BR33" s="112">
        <f t="shared" ref="BR33" si="923">BQ33/$P33</f>
        <v>0</v>
      </c>
      <c r="BS33" s="89">
        <f t="shared" si="4"/>
        <v>0</v>
      </c>
      <c r="BT33" s="113">
        <f t="shared" si="33"/>
        <v>0</v>
      </c>
      <c r="BU33" s="89">
        <v>0</v>
      </c>
      <c r="BV33" s="112">
        <f t="shared" ref="BV33" si="924">BU33/$P33</f>
        <v>0</v>
      </c>
      <c r="BW33" s="89">
        <v>0</v>
      </c>
      <c r="BX33" s="112">
        <f t="shared" ref="BX33" si="925">BW33/$P33</f>
        <v>0</v>
      </c>
      <c r="BY33" s="89">
        <v>0</v>
      </c>
      <c r="BZ33" s="112">
        <f t="shared" ref="BZ33" si="926">BY33/$P33</f>
        <v>0</v>
      </c>
      <c r="CA33" s="89">
        <v>0</v>
      </c>
      <c r="CB33" s="112">
        <f t="shared" ref="CB33" si="927">CA33/$P33</f>
        <v>0</v>
      </c>
      <c r="CC33" s="89">
        <v>0</v>
      </c>
      <c r="CD33" s="112">
        <f t="shared" ref="CD33" si="928">CC33/$P33</f>
        <v>0</v>
      </c>
      <c r="CE33" s="89">
        <v>0</v>
      </c>
      <c r="CF33" s="112">
        <f t="shared" ref="CF33" si="929">CE33/$P33</f>
        <v>0</v>
      </c>
      <c r="CG33" s="89">
        <f t="shared" si="5"/>
        <v>0</v>
      </c>
      <c r="CH33" s="113">
        <f t="shared" si="40"/>
        <v>0</v>
      </c>
      <c r="CI33" s="89">
        <v>0</v>
      </c>
      <c r="CJ33" s="112">
        <f t="shared" ref="CJ33" si="930">CI33/$P33</f>
        <v>0</v>
      </c>
      <c r="CK33" s="89">
        <v>0</v>
      </c>
      <c r="CL33" s="112">
        <f t="shared" ref="CL33" si="931">CK33/$P33</f>
        <v>0</v>
      </c>
      <c r="CM33" s="89">
        <v>0</v>
      </c>
      <c r="CN33" s="112">
        <f t="shared" ref="CN33" si="932">CM33/$P33</f>
        <v>0</v>
      </c>
      <c r="CO33" s="89">
        <v>0</v>
      </c>
      <c r="CP33" s="112">
        <f t="shared" ref="CP33" si="933">CO33/$P33</f>
        <v>0</v>
      </c>
      <c r="CQ33" s="89">
        <v>0</v>
      </c>
      <c r="CR33" s="112">
        <f t="shared" ref="CR33" si="934">CQ33/$P33</f>
        <v>0</v>
      </c>
      <c r="CS33" s="89">
        <v>0</v>
      </c>
      <c r="CT33" s="112">
        <f t="shared" ref="CT33" si="935">CS33/$P33</f>
        <v>0</v>
      </c>
      <c r="CU33" s="89">
        <f t="shared" si="6"/>
        <v>0</v>
      </c>
      <c r="CV33" s="113">
        <f t="shared" si="47"/>
        <v>0</v>
      </c>
    </row>
    <row r="34" spans="2:100" ht="19.95" customHeight="1">
      <c r="B34" s="86"/>
      <c r="C34" s="88">
        <v>25</v>
      </c>
      <c r="D34" s="1" t="s">
        <v>122</v>
      </c>
      <c r="E34" s="88">
        <f>E7</f>
        <v>35.6</v>
      </c>
      <c r="F34" s="89">
        <v>2.73</v>
      </c>
      <c r="G34" s="89">
        <f t="shared" si="729"/>
        <v>97.188000000000002</v>
      </c>
      <c r="H34" s="90">
        <v>1.5</v>
      </c>
      <c r="I34" s="90">
        <v>1.2</v>
      </c>
      <c r="J34" s="90">
        <v>14</v>
      </c>
      <c r="K34" s="91">
        <f>(H34*I34)*J34</f>
        <v>25.199999999999996</v>
      </c>
      <c r="L34" s="95">
        <f t="shared" si="764"/>
        <v>71.988</v>
      </c>
      <c r="M34" s="1"/>
      <c r="N34" s="89"/>
      <c r="P34" s="89">
        <f t="shared" si="0"/>
        <v>71.988</v>
      </c>
      <c r="Q34" s="89">
        <v>0</v>
      </c>
      <c r="R34" s="112">
        <f t="shared" si="7"/>
        <v>0</v>
      </c>
      <c r="S34" s="89">
        <v>0</v>
      </c>
      <c r="T34" s="112">
        <f t="shared" si="7"/>
        <v>0</v>
      </c>
      <c r="U34" s="89">
        <v>0</v>
      </c>
      <c r="V34" s="112">
        <f t="shared" ref="V34" si="936">U34/$P34</f>
        <v>0</v>
      </c>
      <c r="W34" s="89">
        <v>0</v>
      </c>
      <c r="X34" s="112">
        <f t="shared" ref="X34" si="937">W34/$P34</f>
        <v>0</v>
      </c>
      <c r="Y34" s="89">
        <v>0</v>
      </c>
      <c r="Z34" s="112">
        <f t="shared" ref="Z34" si="938">Y34/$P34</f>
        <v>0</v>
      </c>
      <c r="AA34" s="89">
        <v>0</v>
      </c>
      <c r="AB34" s="112">
        <f t="shared" ref="AB34" si="939">AA34/$P34</f>
        <v>0</v>
      </c>
      <c r="AC34" s="89">
        <f t="shared" si="837"/>
        <v>0</v>
      </c>
      <c r="AD34" s="113">
        <f t="shared" si="12"/>
        <v>0</v>
      </c>
      <c r="AE34" s="89">
        <v>0</v>
      </c>
      <c r="AF34" s="112">
        <f t="shared" ref="AF34" si="940">AE34/$P34</f>
        <v>0</v>
      </c>
      <c r="AG34" s="89">
        <v>0</v>
      </c>
      <c r="AH34" s="112">
        <f t="shared" ref="AH34" si="941">AG34/$P34</f>
        <v>0</v>
      </c>
      <c r="AI34" s="89">
        <v>0</v>
      </c>
      <c r="AJ34" s="112">
        <f t="shared" ref="AJ34" si="942">AI34/$P34</f>
        <v>0</v>
      </c>
      <c r="AK34" s="89">
        <v>0</v>
      </c>
      <c r="AL34" s="112">
        <f t="shared" ref="AL34" si="943">AK34/$P34</f>
        <v>0</v>
      </c>
      <c r="AM34" s="89">
        <v>0</v>
      </c>
      <c r="AN34" s="112">
        <f t="shared" ref="AN34" si="944">AM34/$P34</f>
        <v>0</v>
      </c>
      <c r="AO34" s="89">
        <v>0</v>
      </c>
      <c r="AP34" s="112">
        <f t="shared" ref="AP34" si="945">AO34/$P34</f>
        <v>0</v>
      </c>
      <c r="AQ34" s="89">
        <f t="shared" si="2"/>
        <v>0</v>
      </c>
      <c r="AR34" s="113">
        <f t="shared" si="19"/>
        <v>0</v>
      </c>
      <c r="AS34" s="89">
        <v>0</v>
      </c>
      <c r="AT34" s="112">
        <f t="shared" ref="AT34" si="946">AS34/$P34</f>
        <v>0</v>
      </c>
      <c r="AU34" s="89">
        <v>0</v>
      </c>
      <c r="AV34" s="112">
        <f t="shared" ref="AV34" si="947">AU34/$P34</f>
        <v>0</v>
      </c>
      <c r="AW34" s="89">
        <v>0</v>
      </c>
      <c r="AX34" s="112">
        <f t="shared" ref="AX34" si="948">AW34/$P34</f>
        <v>0</v>
      </c>
      <c r="AY34" s="89">
        <v>0</v>
      </c>
      <c r="AZ34" s="112">
        <f t="shared" ref="AZ34" si="949">AY34/$P34</f>
        <v>0</v>
      </c>
      <c r="BA34" s="89">
        <v>0</v>
      </c>
      <c r="BB34" s="112">
        <f t="shared" ref="BB34" si="950">BA34/$P34</f>
        <v>0</v>
      </c>
      <c r="BC34" s="89">
        <v>0</v>
      </c>
      <c r="BD34" s="112">
        <f t="shared" ref="BD34" si="951">BC34/$P34</f>
        <v>0</v>
      </c>
      <c r="BE34" s="89">
        <f t="shared" si="3"/>
        <v>0</v>
      </c>
      <c r="BF34" s="113">
        <f t="shared" si="26"/>
        <v>0</v>
      </c>
      <c r="BG34" s="89">
        <v>0</v>
      </c>
      <c r="BH34" s="112">
        <f t="shared" ref="BH34" si="952">BG34/$P34</f>
        <v>0</v>
      </c>
      <c r="BI34" s="89">
        <v>0</v>
      </c>
      <c r="BJ34" s="112">
        <f t="shared" ref="BJ34" si="953">BI34/$P34</f>
        <v>0</v>
      </c>
      <c r="BK34" s="89">
        <v>0</v>
      </c>
      <c r="BL34" s="112">
        <f t="shared" ref="BL34" si="954">BK34/$P34</f>
        <v>0</v>
      </c>
      <c r="BM34" s="89">
        <v>0</v>
      </c>
      <c r="BN34" s="112">
        <f t="shared" ref="BN34" si="955">BM34/$P34</f>
        <v>0</v>
      </c>
      <c r="BO34" s="89">
        <v>0</v>
      </c>
      <c r="BP34" s="112">
        <f t="shared" ref="BP34" si="956">BO34/$P34</f>
        <v>0</v>
      </c>
      <c r="BQ34" s="89">
        <v>0</v>
      </c>
      <c r="BR34" s="112">
        <f t="shared" ref="BR34" si="957">BQ34/$P34</f>
        <v>0</v>
      </c>
      <c r="BS34" s="89">
        <f t="shared" si="4"/>
        <v>0</v>
      </c>
      <c r="BT34" s="113">
        <f t="shared" si="33"/>
        <v>0</v>
      </c>
      <c r="BU34" s="89">
        <v>0</v>
      </c>
      <c r="BV34" s="112">
        <f t="shared" ref="BV34" si="958">BU34/$P34</f>
        <v>0</v>
      </c>
      <c r="BW34" s="89">
        <v>0</v>
      </c>
      <c r="BX34" s="112">
        <f t="shared" ref="BX34" si="959">BW34/$P34</f>
        <v>0</v>
      </c>
      <c r="BY34" s="89">
        <v>0</v>
      </c>
      <c r="BZ34" s="112">
        <f t="shared" ref="BZ34" si="960">BY34/$P34</f>
        <v>0</v>
      </c>
      <c r="CA34" s="89">
        <v>0</v>
      </c>
      <c r="CB34" s="112">
        <f t="shared" ref="CB34" si="961">CA34/$P34</f>
        <v>0</v>
      </c>
      <c r="CC34" s="89">
        <v>0</v>
      </c>
      <c r="CD34" s="112">
        <f t="shared" ref="CD34" si="962">CC34/$P34</f>
        <v>0</v>
      </c>
      <c r="CE34" s="89">
        <v>0</v>
      </c>
      <c r="CF34" s="112">
        <f t="shared" ref="CF34" si="963">CE34/$P34</f>
        <v>0</v>
      </c>
      <c r="CG34" s="89">
        <f t="shared" si="5"/>
        <v>0</v>
      </c>
      <c r="CH34" s="113">
        <f t="shared" si="40"/>
        <v>0</v>
      </c>
      <c r="CI34" s="89">
        <v>0</v>
      </c>
      <c r="CJ34" s="112">
        <f t="shared" ref="CJ34" si="964">CI34/$P34</f>
        <v>0</v>
      </c>
      <c r="CK34" s="89">
        <v>0</v>
      </c>
      <c r="CL34" s="112">
        <f t="shared" ref="CL34" si="965">CK34/$P34</f>
        <v>0</v>
      </c>
      <c r="CM34" s="89">
        <v>0</v>
      </c>
      <c r="CN34" s="112">
        <f t="shared" ref="CN34" si="966">CM34/$P34</f>
        <v>0</v>
      </c>
      <c r="CO34" s="89">
        <v>0</v>
      </c>
      <c r="CP34" s="112">
        <f t="shared" ref="CP34" si="967">CO34/$P34</f>
        <v>0</v>
      </c>
      <c r="CQ34" s="89">
        <v>0</v>
      </c>
      <c r="CR34" s="112">
        <f t="shared" ref="CR34" si="968">CQ34/$P34</f>
        <v>0</v>
      </c>
      <c r="CS34" s="89">
        <v>0</v>
      </c>
      <c r="CT34" s="112">
        <f t="shared" ref="CT34" si="969">CS34/$P34</f>
        <v>0</v>
      </c>
      <c r="CU34" s="89">
        <f t="shared" si="6"/>
        <v>0</v>
      </c>
      <c r="CV34" s="113">
        <f t="shared" si="47"/>
        <v>0</v>
      </c>
    </row>
    <row r="35" spans="2:100" ht="19.95" customHeight="1">
      <c r="B35" s="86" t="s">
        <v>101</v>
      </c>
      <c r="C35" s="88">
        <v>26</v>
      </c>
      <c r="D35" s="1" t="s">
        <v>123</v>
      </c>
      <c r="E35" s="88">
        <f>E5</f>
        <v>35.6</v>
      </c>
      <c r="F35" s="88">
        <v>4.66</v>
      </c>
      <c r="G35" s="89">
        <f t="shared" si="729"/>
        <v>165.89600000000002</v>
      </c>
      <c r="H35" s="90"/>
      <c r="I35" s="90"/>
      <c r="J35" s="90"/>
      <c r="K35" s="91"/>
      <c r="L35" s="95">
        <f t="shared" si="764"/>
        <v>165.89600000000002</v>
      </c>
      <c r="M35" s="89"/>
      <c r="N35" s="89"/>
      <c r="O35" s="89"/>
      <c r="P35" s="89">
        <f t="shared" si="0"/>
        <v>165.89600000000002</v>
      </c>
      <c r="Q35" s="89">
        <v>0</v>
      </c>
      <c r="R35" s="112">
        <f t="shared" si="7"/>
        <v>0</v>
      </c>
      <c r="S35" s="89">
        <v>0</v>
      </c>
      <c r="T35" s="112">
        <f t="shared" si="7"/>
        <v>0</v>
      </c>
      <c r="U35" s="89">
        <v>0</v>
      </c>
      <c r="V35" s="112">
        <f t="shared" ref="V35" si="970">U35/$P35</f>
        <v>0</v>
      </c>
      <c r="W35" s="89">
        <v>0</v>
      </c>
      <c r="X35" s="112">
        <f t="shared" ref="X35" si="971">W35/$P35</f>
        <v>0</v>
      </c>
      <c r="Y35" s="89">
        <v>0</v>
      </c>
      <c r="Z35" s="112">
        <f t="shared" ref="Z35" si="972">Y35/$P35</f>
        <v>0</v>
      </c>
      <c r="AA35" s="89">
        <v>0</v>
      </c>
      <c r="AB35" s="112">
        <f t="shared" ref="AB35" si="973">AA35/$P35</f>
        <v>0</v>
      </c>
      <c r="AC35" s="89">
        <f t="shared" si="837"/>
        <v>0</v>
      </c>
      <c r="AD35" s="113">
        <f t="shared" si="12"/>
        <v>0</v>
      </c>
      <c r="AE35" s="89">
        <v>0</v>
      </c>
      <c r="AF35" s="112">
        <f t="shared" ref="AF35" si="974">AE35/$P35</f>
        <v>0</v>
      </c>
      <c r="AG35" s="89">
        <v>0</v>
      </c>
      <c r="AH35" s="112">
        <f t="shared" ref="AH35" si="975">AG35/$P35</f>
        <v>0</v>
      </c>
      <c r="AI35" s="89">
        <v>0</v>
      </c>
      <c r="AJ35" s="112">
        <f t="shared" ref="AJ35" si="976">AI35/$P35</f>
        <v>0</v>
      </c>
      <c r="AK35" s="89">
        <v>0</v>
      </c>
      <c r="AL35" s="112">
        <f t="shared" ref="AL35" si="977">AK35/$P35</f>
        <v>0</v>
      </c>
      <c r="AM35" s="89">
        <v>0</v>
      </c>
      <c r="AN35" s="112">
        <f t="shared" ref="AN35" si="978">AM35/$P35</f>
        <v>0</v>
      </c>
      <c r="AO35" s="89">
        <v>0</v>
      </c>
      <c r="AP35" s="112">
        <f t="shared" ref="AP35" si="979">AO35/$P35</f>
        <v>0</v>
      </c>
      <c r="AQ35" s="89">
        <f t="shared" si="2"/>
        <v>0</v>
      </c>
      <c r="AR35" s="113">
        <f t="shared" si="19"/>
        <v>0</v>
      </c>
      <c r="AS35" s="89">
        <v>0</v>
      </c>
      <c r="AT35" s="112">
        <f t="shared" ref="AT35" si="980">AS35/$P35</f>
        <v>0</v>
      </c>
      <c r="AU35" s="89">
        <v>0</v>
      </c>
      <c r="AV35" s="112">
        <f t="shared" ref="AV35" si="981">AU35/$P35</f>
        <v>0</v>
      </c>
      <c r="AW35" s="89">
        <v>0</v>
      </c>
      <c r="AX35" s="112">
        <f t="shared" ref="AX35" si="982">AW35/$P35</f>
        <v>0</v>
      </c>
      <c r="AY35" s="89">
        <v>0</v>
      </c>
      <c r="AZ35" s="112">
        <f t="shared" ref="AZ35" si="983">AY35/$P35</f>
        <v>0</v>
      </c>
      <c r="BA35" s="89">
        <v>0</v>
      </c>
      <c r="BB35" s="112">
        <f t="shared" ref="BB35" si="984">BA35/$P35</f>
        <v>0</v>
      </c>
      <c r="BC35" s="89">
        <v>0</v>
      </c>
      <c r="BD35" s="112">
        <f t="shared" ref="BD35" si="985">BC35/$P35</f>
        <v>0</v>
      </c>
      <c r="BE35" s="89">
        <f t="shared" si="3"/>
        <v>0</v>
      </c>
      <c r="BF35" s="113">
        <f t="shared" si="26"/>
        <v>0</v>
      </c>
      <c r="BG35" s="89">
        <v>0</v>
      </c>
      <c r="BH35" s="112">
        <f t="shared" ref="BH35" si="986">BG35/$P35</f>
        <v>0</v>
      </c>
      <c r="BI35" s="89">
        <v>0</v>
      </c>
      <c r="BJ35" s="112">
        <f t="shared" ref="BJ35" si="987">BI35/$P35</f>
        <v>0</v>
      </c>
      <c r="BK35" s="89">
        <v>0</v>
      </c>
      <c r="BL35" s="112">
        <f t="shared" ref="BL35" si="988">BK35/$P35</f>
        <v>0</v>
      </c>
      <c r="BM35" s="89">
        <v>0</v>
      </c>
      <c r="BN35" s="112">
        <f t="shared" ref="BN35" si="989">BM35/$P35</f>
        <v>0</v>
      </c>
      <c r="BO35" s="89">
        <v>0</v>
      </c>
      <c r="BP35" s="112">
        <f t="shared" ref="BP35" si="990">BO35/$P35</f>
        <v>0</v>
      </c>
      <c r="BQ35" s="89">
        <v>0</v>
      </c>
      <c r="BR35" s="112">
        <f t="shared" ref="BR35" si="991">BQ35/$P35</f>
        <v>0</v>
      </c>
      <c r="BS35" s="89">
        <f t="shared" si="4"/>
        <v>0</v>
      </c>
      <c r="BT35" s="113">
        <f t="shared" si="33"/>
        <v>0</v>
      </c>
      <c r="BU35" s="89">
        <v>0</v>
      </c>
      <c r="BV35" s="112">
        <f t="shared" ref="BV35" si="992">BU35/$P35</f>
        <v>0</v>
      </c>
      <c r="BW35" s="89">
        <v>0</v>
      </c>
      <c r="BX35" s="112">
        <f t="shared" ref="BX35" si="993">BW35/$P35</f>
        <v>0</v>
      </c>
      <c r="BY35" s="89">
        <v>0</v>
      </c>
      <c r="BZ35" s="112">
        <f t="shared" ref="BZ35" si="994">BY35/$P35</f>
        <v>0</v>
      </c>
      <c r="CA35" s="89">
        <v>0</v>
      </c>
      <c r="CB35" s="112">
        <f t="shared" ref="CB35" si="995">CA35/$P35</f>
        <v>0</v>
      </c>
      <c r="CC35" s="89">
        <v>0</v>
      </c>
      <c r="CD35" s="112">
        <f t="shared" ref="CD35" si="996">CC35/$P35</f>
        <v>0</v>
      </c>
      <c r="CE35" s="89">
        <v>1000</v>
      </c>
      <c r="CF35" s="112">
        <f t="shared" ref="CF35" si="997">CE35/$P35</f>
        <v>6.0278728842166167</v>
      </c>
      <c r="CG35" s="89">
        <f t="shared" si="5"/>
        <v>1000</v>
      </c>
      <c r="CH35" s="113">
        <f t="shared" si="40"/>
        <v>6.0278728842166167</v>
      </c>
      <c r="CI35" s="89">
        <v>0</v>
      </c>
      <c r="CJ35" s="112">
        <f t="shared" ref="CJ35" si="998">CI35/$P35</f>
        <v>0</v>
      </c>
      <c r="CK35" s="89">
        <v>0</v>
      </c>
      <c r="CL35" s="112">
        <f t="shared" ref="CL35" si="999">CK35/$P35</f>
        <v>0</v>
      </c>
      <c r="CM35" s="89">
        <v>0</v>
      </c>
      <c r="CN35" s="112">
        <f t="shared" ref="CN35" si="1000">CM35/$P35</f>
        <v>0</v>
      </c>
      <c r="CO35" s="89">
        <v>0</v>
      </c>
      <c r="CP35" s="112">
        <f t="shared" ref="CP35" si="1001">CO35/$P35</f>
        <v>0</v>
      </c>
      <c r="CQ35" s="89">
        <v>0</v>
      </c>
      <c r="CR35" s="112">
        <f t="shared" ref="CR35" si="1002">CQ35/$P35</f>
        <v>0</v>
      </c>
      <c r="CS35" s="89">
        <v>0</v>
      </c>
      <c r="CT35" s="112">
        <f t="shared" ref="CT35" si="1003">CS35/$P35</f>
        <v>0</v>
      </c>
      <c r="CU35" s="89">
        <f t="shared" si="6"/>
        <v>0</v>
      </c>
      <c r="CV35" s="113">
        <f t="shared" si="47"/>
        <v>0</v>
      </c>
    </row>
    <row r="36" spans="2:100" ht="19.95" customHeight="1">
      <c r="B36" s="86"/>
      <c r="C36" s="88">
        <v>27</v>
      </c>
      <c r="D36" s="1" t="s">
        <v>200</v>
      </c>
      <c r="E36" s="88">
        <v>0.3</v>
      </c>
      <c r="F36" s="88">
        <v>2.91</v>
      </c>
      <c r="G36" s="89">
        <f>E36*F36*14</f>
        <v>12.222</v>
      </c>
      <c r="H36" s="90"/>
      <c r="I36" s="90"/>
      <c r="J36" s="90"/>
      <c r="K36" s="91"/>
      <c r="M36" s="89"/>
      <c r="N36" s="95">
        <f>G36</f>
        <v>12.222</v>
      </c>
      <c r="O36" s="89"/>
      <c r="P36" s="89">
        <v>0</v>
      </c>
      <c r="Q36" s="89">
        <v>0</v>
      </c>
      <c r="R36" s="112" t="e">
        <f t="shared" si="7"/>
        <v>#DIV/0!</v>
      </c>
      <c r="S36" s="89">
        <v>0</v>
      </c>
      <c r="T36" s="112" t="e">
        <f t="shared" si="7"/>
        <v>#DIV/0!</v>
      </c>
      <c r="U36" s="89">
        <v>0</v>
      </c>
      <c r="V36" s="112" t="e">
        <f t="shared" ref="V36" si="1004">U36/$P36</f>
        <v>#DIV/0!</v>
      </c>
      <c r="W36" s="89">
        <v>0</v>
      </c>
      <c r="X36" s="112" t="e">
        <f t="shared" ref="X36" si="1005">W36/$P36</f>
        <v>#DIV/0!</v>
      </c>
      <c r="Y36" s="89">
        <v>0</v>
      </c>
      <c r="Z36" s="112" t="e">
        <f t="shared" ref="Z36" si="1006">Y36/$P36</f>
        <v>#DIV/0!</v>
      </c>
      <c r="AA36" s="89">
        <v>0</v>
      </c>
      <c r="AB36" s="112" t="e">
        <f t="shared" ref="AB36" si="1007">AA36/$P36</f>
        <v>#DIV/0!</v>
      </c>
      <c r="AC36" s="89">
        <f t="shared" si="837"/>
        <v>0</v>
      </c>
      <c r="AD36" s="113" t="e">
        <f t="shared" si="12"/>
        <v>#DIV/0!</v>
      </c>
      <c r="AE36" s="89">
        <v>0</v>
      </c>
      <c r="AF36" s="112" t="e">
        <f t="shared" ref="AF36" si="1008">AE36/$P36</f>
        <v>#DIV/0!</v>
      </c>
      <c r="AG36" s="89">
        <v>0</v>
      </c>
      <c r="AH36" s="112" t="e">
        <f t="shared" ref="AH36" si="1009">AG36/$P36</f>
        <v>#DIV/0!</v>
      </c>
      <c r="AI36" s="89">
        <v>0</v>
      </c>
      <c r="AJ36" s="112" t="e">
        <f t="shared" ref="AJ36" si="1010">AI36/$P36</f>
        <v>#DIV/0!</v>
      </c>
      <c r="AK36" s="89">
        <v>0</v>
      </c>
      <c r="AL36" s="112" t="e">
        <f t="shared" ref="AL36" si="1011">AK36/$P36</f>
        <v>#DIV/0!</v>
      </c>
      <c r="AM36" s="89">
        <v>0</v>
      </c>
      <c r="AN36" s="112" t="e">
        <f t="shared" ref="AN36" si="1012">AM36/$P36</f>
        <v>#DIV/0!</v>
      </c>
      <c r="AO36" s="89">
        <v>0</v>
      </c>
      <c r="AP36" s="112" t="e">
        <f t="shared" ref="AP36" si="1013">AO36/$P36</f>
        <v>#DIV/0!</v>
      </c>
      <c r="AQ36" s="89">
        <f t="shared" si="2"/>
        <v>0</v>
      </c>
      <c r="AR36" s="113" t="e">
        <f t="shared" si="19"/>
        <v>#DIV/0!</v>
      </c>
      <c r="AS36" s="89">
        <v>0</v>
      </c>
      <c r="AT36" s="112" t="e">
        <f t="shared" ref="AT36" si="1014">AS36/$P36</f>
        <v>#DIV/0!</v>
      </c>
      <c r="AU36" s="89">
        <v>0</v>
      </c>
      <c r="AV36" s="112" t="e">
        <f t="shared" ref="AV36" si="1015">AU36/$P36</f>
        <v>#DIV/0!</v>
      </c>
      <c r="AW36" s="89">
        <v>0</v>
      </c>
      <c r="AX36" s="112" t="e">
        <f t="shared" ref="AX36" si="1016">AW36/$P36</f>
        <v>#DIV/0!</v>
      </c>
      <c r="AY36" s="89">
        <v>0</v>
      </c>
      <c r="AZ36" s="112" t="e">
        <f t="shared" ref="AZ36" si="1017">AY36/$P36</f>
        <v>#DIV/0!</v>
      </c>
      <c r="BA36" s="89">
        <v>0</v>
      </c>
      <c r="BB36" s="112" t="e">
        <f t="shared" ref="BB36" si="1018">BA36/$P36</f>
        <v>#DIV/0!</v>
      </c>
      <c r="BC36" s="89">
        <v>0</v>
      </c>
      <c r="BD36" s="112" t="e">
        <f t="shared" ref="BD36" si="1019">BC36/$P36</f>
        <v>#DIV/0!</v>
      </c>
      <c r="BE36" s="89">
        <f t="shared" si="3"/>
        <v>0</v>
      </c>
      <c r="BF36" s="113" t="e">
        <f t="shared" si="26"/>
        <v>#DIV/0!</v>
      </c>
      <c r="BG36" s="89">
        <v>0</v>
      </c>
      <c r="BH36" s="112" t="e">
        <f t="shared" ref="BH36" si="1020">BG36/$P36</f>
        <v>#DIV/0!</v>
      </c>
      <c r="BI36" s="89">
        <v>0</v>
      </c>
      <c r="BJ36" s="112" t="e">
        <f t="shared" ref="BJ36" si="1021">BI36/$P36</f>
        <v>#DIV/0!</v>
      </c>
      <c r="BK36" s="89">
        <v>0</v>
      </c>
      <c r="BL36" s="112" t="e">
        <f t="shared" ref="BL36" si="1022">BK36/$P36</f>
        <v>#DIV/0!</v>
      </c>
      <c r="BM36" s="89">
        <v>0</v>
      </c>
      <c r="BN36" s="112" t="e">
        <f t="shared" ref="BN36" si="1023">BM36/$P36</f>
        <v>#DIV/0!</v>
      </c>
      <c r="BO36" s="89">
        <v>0</v>
      </c>
      <c r="BP36" s="112" t="e">
        <f t="shared" ref="BP36" si="1024">BO36/$P36</f>
        <v>#DIV/0!</v>
      </c>
      <c r="BQ36" s="89">
        <v>0</v>
      </c>
      <c r="BR36" s="112" t="e">
        <f t="shared" ref="BR36" si="1025">BQ36/$P36</f>
        <v>#DIV/0!</v>
      </c>
      <c r="BS36" s="89">
        <f t="shared" si="4"/>
        <v>0</v>
      </c>
      <c r="BT36" s="113" t="e">
        <f t="shared" si="33"/>
        <v>#DIV/0!</v>
      </c>
      <c r="BU36" s="89">
        <v>0</v>
      </c>
      <c r="BV36" s="112" t="e">
        <f t="shared" ref="BV36" si="1026">BU36/$P36</f>
        <v>#DIV/0!</v>
      </c>
      <c r="BW36" s="89">
        <v>0</v>
      </c>
      <c r="BX36" s="112" t="e">
        <f t="shared" ref="BX36" si="1027">BW36/$P36</f>
        <v>#DIV/0!</v>
      </c>
      <c r="BY36" s="89">
        <v>0</v>
      </c>
      <c r="BZ36" s="112" t="e">
        <f t="shared" ref="BZ36" si="1028">BY36/$P36</f>
        <v>#DIV/0!</v>
      </c>
      <c r="CA36" s="89">
        <v>0</v>
      </c>
      <c r="CB36" s="112" t="e">
        <f t="shared" ref="CB36" si="1029">CA36/$P36</f>
        <v>#DIV/0!</v>
      </c>
      <c r="CC36" s="89">
        <v>0</v>
      </c>
      <c r="CD36" s="112" t="e">
        <f t="shared" ref="CD36" si="1030">CC36/$P36</f>
        <v>#DIV/0!</v>
      </c>
      <c r="CE36" s="89">
        <v>0</v>
      </c>
      <c r="CF36" s="112" t="e">
        <f t="shared" ref="CF36" si="1031">CE36/$P36</f>
        <v>#DIV/0!</v>
      </c>
      <c r="CG36" s="89">
        <f t="shared" si="5"/>
        <v>0</v>
      </c>
      <c r="CH36" s="113" t="e">
        <f t="shared" si="40"/>
        <v>#DIV/0!</v>
      </c>
      <c r="CI36" s="89">
        <v>0</v>
      </c>
      <c r="CJ36" s="112" t="e">
        <f t="shared" ref="CJ36" si="1032">CI36/$P36</f>
        <v>#DIV/0!</v>
      </c>
      <c r="CK36" s="89">
        <v>0</v>
      </c>
      <c r="CL36" s="112" t="e">
        <f t="shared" ref="CL36" si="1033">CK36/$P36</f>
        <v>#DIV/0!</v>
      </c>
      <c r="CM36" s="89">
        <v>0</v>
      </c>
      <c r="CN36" s="112" t="e">
        <f t="shared" ref="CN36" si="1034">CM36/$P36</f>
        <v>#DIV/0!</v>
      </c>
      <c r="CO36" s="89">
        <v>0</v>
      </c>
      <c r="CP36" s="112" t="e">
        <f t="shared" ref="CP36" si="1035">CO36/$P36</f>
        <v>#DIV/0!</v>
      </c>
      <c r="CQ36" s="89">
        <v>0</v>
      </c>
      <c r="CR36" s="112" t="e">
        <f t="shared" ref="CR36" si="1036">CQ36/$P36</f>
        <v>#DIV/0!</v>
      </c>
      <c r="CS36" s="89">
        <v>0</v>
      </c>
      <c r="CT36" s="112" t="e">
        <f t="shared" ref="CT36" si="1037">CS36/$P36</f>
        <v>#DIV/0!</v>
      </c>
      <c r="CU36" s="89">
        <f t="shared" si="6"/>
        <v>0</v>
      </c>
      <c r="CV36" s="113" t="e">
        <f t="shared" si="47"/>
        <v>#DIV/0!</v>
      </c>
    </row>
    <row r="37" spans="2:100" ht="19.95" customHeight="1">
      <c r="B37" s="86"/>
      <c r="C37" s="88" t="s">
        <v>223</v>
      </c>
      <c r="D37" s="1" t="s">
        <v>202</v>
      </c>
      <c r="E37" s="88">
        <v>0.6</v>
      </c>
      <c r="F37" s="88">
        <v>1.71</v>
      </c>
      <c r="G37" s="89">
        <f>E37*F37*14</f>
        <v>14.364000000000001</v>
      </c>
      <c r="H37" s="90"/>
      <c r="I37" s="90"/>
      <c r="J37" s="90"/>
      <c r="K37" s="91"/>
      <c r="L37" s="89"/>
      <c r="O37" s="95">
        <f>G37</f>
        <v>14.364000000000001</v>
      </c>
      <c r="P37" s="89">
        <v>0</v>
      </c>
      <c r="Q37" s="89">
        <v>0</v>
      </c>
      <c r="R37" s="112" t="e">
        <f t="shared" si="7"/>
        <v>#DIV/0!</v>
      </c>
      <c r="S37" s="89">
        <v>0</v>
      </c>
      <c r="T37" s="112" t="e">
        <f t="shared" si="7"/>
        <v>#DIV/0!</v>
      </c>
      <c r="U37" s="89">
        <v>0</v>
      </c>
      <c r="V37" s="112" t="e">
        <f t="shared" ref="V37" si="1038">U37/$P37</f>
        <v>#DIV/0!</v>
      </c>
      <c r="W37" s="89">
        <v>0</v>
      </c>
      <c r="X37" s="112" t="e">
        <f t="shared" ref="X37" si="1039">W37/$P37</f>
        <v>#DIV/0!</v>
      </c>
      <c r="Y37" s="89">
        <v>0</v>
      </c>
      <c r="Z37" s="112" t="e">
        <f t="shared" ref="Z37" si="1040">Y37/$P37</f>
        <v>#DIV/0!</v>
      </c>
      <c r="AA37" s="89">
        <v>0</v>
      </c>
      <c r="AB37" s="112" t="e">
        <f t="shared" ref="AB37" si="1041">AA37/$P37</f>
        <v>#DIV/0!</v>
      </c>
      <c r="AC37" s="89">
        <f t="shared" si="837"/>
        <v>0</v>
      </c>
      <c r="AD37" s="113" t="e">
        <f t="shared" si="12"/>
        <v>#DIV/0!</v>
      </c>
      <c r="AE37" s="89">
        <v>0</v>
      </c>
      <c r="AF37" s="112" t="e">
        <f t="shared" ref="AF37" si="1042">AE37/$P37</f>
        <v>#DIV/0!</v>
      </c>
      <c r="AG37" s="89">
        <v>0</v>
      </c>
      <c r="AH37" s="112" t="e">
        <f t="shared" ref="AH37" si="1043">AG37/$P37</f>
        <v>#DIV/0!</v>
      </c>
      <c r="AI37" s="89">
        <v>0</v>
      </c>
      <c r="AJ37" s="112" t="e">
        <f t="shared" ref="AJ37" si="1044">AI37/$P37</f>
        <v>#DIV/0!</v>
      </c>
      <c r="AK37" s="89">
        <v>0</v>
      </c>
      <c r="AL37" s="112" t="e">
        <f t="shared" ref="AL37" si="1045">AK37/$P37</f>
        <v>#DIV/0!</v>
      </c>
      <c r="AM37" s="89">
        <v>0</v>
      </c>
      <c r="AN37" s="112" t="e">
        <f t="shared" ref="AN37" si="1046">AM37/$P37</f>
        <v>#DIV/0!</v>
      </c>
      <c r="AO37" s="89">
        <v>0</v>
      </c>
      <c r="AP37" s="112" t="e">
        <f t="shared" ref="AP37" si="1047">AO37/$P37</f>
        <v>#DIV/0!</v>
      </c>
      <c r="AQ37" s="89">
        <f t="shared" si="2"/>
        <v>0</v>
      </c>
      <c r="AR37" s="113" t="e">
        <f t="shared" si="19"/>
        <v>#DIV/0!</v>
      </c>
      <c r="AS37" s="89">
        <v>0</v>
      </c>
      <c r="AT37" s="112" t="e">
        <f t="shared" ref="AT37" si="1048">AS37/$P37</f>
        <v>#DIV/0!</v>
      </c>
      <c r="AU37" s="89">
        <v>0</v>
      </c>
      <c r="AV37" s="112" t="e">
        <f t="shared" ref="AV37" si="1049">AU37/$P37</f>
        <v>#DIV/0!</v>
      </c>
      <c r="AW37" s="89">
        <v>0</v>
      </c>
      <c r="AX37" s="112" t="e">
        <f t="shared" ref="AX37" si="1050">AW37/$P37</f>
        <v>#DIV/0!</v>
      </c>
      <c r="AY37" s="89">
        <v>0</v>
      </c>
      <c r="AZ37" s="112" t="e">
        <f t="shared" ref="AZ37" si="1051">AY37/$P37</f>
        <v>#DIV/0!</v>
      </c>
      <c r="BA37" s="89">
        <v>0</v>
      </c>
      <c r="BB37" s="112" t="e">
        <f t="shared" ref="BB37" si="1052">BA37/$P37</f>
        <v>#DIV/0!</v>
      </c>
      <c r="BC37" s="89">
        <v>0</v>
      </c>
      <c r="BD37" s="112" t="e">
        <f t="shared" ref="BD37" si="1053">BC37/$P37</f>
        <v>#DIV/0!</v>
      </c>
      <c r="BE37" s="89">
        <f t="shared" si="3"/>
        <v>0</v>
      </c>
      <c r="BF37" s="113" t="e">
        <f t="shared" si="26"/>
        <v>#DIV/0!</v>
      </c>
      <c r="BG37" s="89">
        <v>0</v>
      </c>
      <c r="BH37" s="112" t="e">
        <f t="shared" ref="BH37" si="1054">BG37/$P37</f>
        <v>#DIV/0!</v>
      </c>
      <c r="BI37" s="89">
        <v>0</v>
      </c>
      <c r="BJ37" s="112" t="e">
        <f t="shared" ref="BJ37" si="1055">BI37/$P37</f>
        <v>#DIV/0!</v>
      </c>
      <c r="BK37" s="89">
        <v>0</v>
      </c>
      <c r="BL37" s="112" t="e">
        <f t="shared" ref="BL37" si="1056">BK37/$P37</f>
        <v>#DIV/0!</v>
      </c>
      <c r="BM37" s="89">
        <v>0</v>
      </c>
      <c r="BN37" s="112" t="e">
        <f t="shared" ref="BN37" si="1057">BM37/$P37</f>
        <v>#DIV/0!</v>
      </c>
      <c r="BO37" s="89">
        <v>0</v>
      </c>
      <c r="BP37" s="112" t="e">
        <f t="shared" ref="BP37" si="1058">BO37/$P37</f>
        <v>#DIV/0!</v>
      </c>
      <c r="BQ37" s="89">
        <v>0</v>
      </c>
      <c r="BR37" s="112" t="e">
        <f t="shared" ref="BR37" si="1059">BQ37/$P37</f>
        <v>#DIV/0!</v>
      </c>
      <c r="BS37" s="89">
        <f t="shared" si="4"/>
        <v>0</v>
      </c>
      <c r="BT37" s="113" t="e">
        <f t="shared" si="33"/>
        <v>#DIV/0!</v>
      </c>
      <c r="BU37" s="89">
        <v>0</v>
      </c>
      <c r="BV37" s="112" t="e">
        <f t="shared" ref="BV37" si="1060">BU37/$P37</f>
        <v>#DIV/0!</v>
      </c>
      <c r="BW37" s="89">
        <v>0</v>
      </c>
      <c r="BX37" s="112" t="e">
        <f t="shared" ref="BX37" si="1061">BW37/$P37</f>
        <v>#DIV/0!</v>
      </c>
      <c r="BY37" s="89">
        <v>0</v>
      </c>
      <c r="BZ37" s="112" t="e">
        <f t="shared" ref="BZ37" si="1062">BY37/$P37</f>
        <v>#DIV/0!</v>
      </c>
      <c r="CA37" s="89">
        <v>0</v>
      </c>
      <c r="CB37" s="112" t="e">
        <f t="shared" ref="CB37" si="1063">CA37/$P37</f>
        <v>#DIV/0!</v>
      </c>
      <c r="CC37" s="89">
        <v>0</v>
      </c>
      <c r="CD37" s="112" t="e">
        <f t="shared" ref="CD37" si="1064">CC37/$P37</f>
        <v>#DIV/0!</v>
      </c>
      <c r="CE37" s="89">
        <v>0</v>
      </c>
      <c r="CF37" s="112" t="e">
        <f t="shared" ref="CF37" si="1065">CE37/$P37</f>
        <v>#DIV/0!</v>
      </c>
      <c r="CG37" s="89">
        <f t="shared" si="5"/>
        <v>0</v>
      </c>
      <c r="CH37" s="113" t="e">
        <f t="shared" si="40"/>
        <v>#DIV/0!</v>
      </c>
      <c r="CI37" s="89">
        <v>0</v>
      </c>
      <c r="CJ37" s="112" t="e">
        <f t="shared" ref="CJ37" si="1066">CI37/$P37</f>
        <v>#DIV/0!</v>
      </c>
      <c r="CK37" s="89">
        <v>0</v>
      </c>
      <c r="CL37" s="112" t="e">
        <f t="shared" ref="CL37" si="1067">CK37/$P37</f>
        <v>#DIV/0!</v>
      </c>
      <c r="CM37" s="89">
        <v>0</v>
      </c>
      <c r="CN37" s="112" t="e">
        <f t="shared" ref="CN37" si="1068">CM37/$P37</f>
        <v>#DIV/0!</v>
      </c>
      <c r="CO37" s="89">
        <v>0</v>
      </c>
      <c r="CP37" s="112" t="e">
        <f t="shared" ref="CP37" si="1069">CO37/$P37</f>
        <v>#DIV/0!</v>
      </c>
      <c r="CQ37" s="89">
        <v>0</v>
      </c>
      <c r="CR37" s="112" t="e">
        <f t="shared" ref="CR37" si="1070">CQ37/$P37</f>
        <v>#DIV/0!</v>
      </c>
      <c r="CS37" s="89">
        <v>0</v>
      </c>
      <c r="CT37" s="112" t="e">
        <f t="shared" ref="CT37" si="1071">CS37/$P37</f>
        <v>#DIV/0!</v>
      </c>
      <c r="CU37" s="89">
        <f t="shared" si="6"/>
        <v>0</v>
      </c>
      <c r="CV37" s="113" t="e">
        <f t="shared" si="47"/>
        <v>#DIV/0!</v>
      </c>
    </row>
    <row r="38" spans="2:100" ht="19.95" customHeight="1">
      <c r="B38" s="86"/>
      <c r="C38" s="88">
        <v>28</v>
      </c>
      <c r="D38" s="1" t="s">
        <v>122</v>
      </c>
      <c r="E38" s="88">
        <f>E5</f>
        <v>35.6</v>
      </c>
      <c r="F38" s="88">
        <v>3.19</v>
      </c>
      <c r="G38" s="89">
        <f>E38*F38</f>
        <v>113.56400000000001</v>
      </c>
      <c r="H38" s="90">
        <v>1.5</v>
      </c>
      <c r="I38" s="90">
        <v>1.2</v>
      </c>
      <c r="J38" s="90">
        <v>14</v>
      </c>
      <c r="K38" s="91">
        <f>(H38*I38)*J38</f>
        <v>25.199999999999996</v>
      </c>
      <c r="L38" s="95">
        <f>G38-K38</f>
        <v>88.364000000000004</v>
      </c>
      <c r="O38" s="89"/>
      <c r="P38" s="89">
        <v>0</v>
      </c>
      <c r="Q38" s="89">
        <v>0</v>
      </c>
      <c r="R38" s="112" t="e">
        <f t="shared" si="7"/>
        <v>#DIV/0!</v>
      </c>
      <c r="S38" s="89">
        <v>0</v>
      </c>
      <c r="T38" s="112" t="e">
        <f t="shared" si="7"/>
        <v>#DIV/0!</v>
      </c>
      <c r="U38" s="89">
        <v>0</v>
      </c>
      <c r="V38" s="112" t="e">
        <f t="shared" ref="V38" si="1072">U38/$P38</f>
        <v>#DIV/0!</v>
      </c>
      <c r="W38" s="89">
        <v>0</v>
      </c>
      <c r="X38" s="112" t="e">
        <f t="shared" ref="X38" si="1073">W38/$P38</f>
        <v>#DIV/0!</v>
      </c>
      <c r="Y38" s="89">
        <v>0</v>
      </c>
      <c r="Z38" s="112" t="e">
        <f t="shared" ref="Z38" si="1074">Y38/$P38</f>
        <v>#DIV/0!</v>
      </c>
      <c r="AA38" s="89">
        <v>0</v>
      </c>
      <c r="AB38" s="112" t="e">
        <f t="shared" ref="AB38" si="1075">AA38/$P38</f>
        <v>#DIV/0!</v>
      </c>
      <c r="AC38" s="89">
        <f t="shared" si="837"/>
        <v>0</v>
      </c>
      <c r="AD38" s="113" t="e">
        <f t="shared" si="12"/>
        <v>#DIV/0!</v>
      </c>
      <c r="AE38" s="89">
        <v>0</v>
      </c>
      <c r="AF38" s="112" t="e">
        <f t="shared" ref="AF38" si="1076">AE38/$P38</f>
        <v>#DIV/0!</v>
      </c>
      <c r="AG38" s="89">
        <v>0</v>
      </c>
      <c r="AH38" s="112" t="e">
        <f t="shared" ref="AH38" si="1077">AG38/$P38</f>
        <v>#DIV/0!</v>
      </c>
      <c r="AI38" s="89">
        <v>0</v>
      </c>
      <c r="AJ38" s="112" t="e">
        <f t="shared" ref="AJ38" si="1078">AI38/$P38</f>
        <v>#DIV/0!</v>
      </c>
      <c r="AK38" s="89">
        <v>0</v>
      </c>
      <c r="AL38" s="112" t="e">
        <f t="shared" ref="AL38" si="1079">AK38/$P38</f>
        <v>#DIV/0!</v>
      </c>
      <c r="AM38" s="89">
        <v>0</v>
      </c>
      <c r="AN38" s="112" t="e">
        <f t="shared" ref="AN38" si="1080">AM38/$P38</f>
        <v>#DIV/0!</v>
      </c>
      <c r="AO38" s="89">
        <v>0</v>
      </c>
      <c r="AP38" s="112" t="e">
        <f t="shared" ref="AP38" si="1081">AO38/$P38</f>
        <v>#DIV/0!</v>
      </c>
      <c r="AQ38" s="89">
        <f t="shared" si="2"/>
        <v>0</v>
      </c>
      <c r="AR38" s="113" t="e">
        <f t="shared" si="19"/>
        <v>#DIV/0!</v>
      </c>
      <c r="AS38" s="89">
        <v>0</v>
      </c>
      <c r="AT38" s="112" t="e">
        <f t="shared" ref="AT38" si="1082">AS38/$P38</f>
        <v>#DIV/0!</v>
      </c>
      <c r="AU38" s="89">
        <v>0</v>
      </c>
      <c r="AV38" s="112" t="e">
        <f t="shared" ref="AV38" si="1083">AU38/$P38</f>
        <v>#DIV/0!</v>
      </c>
      <c r="AW38" s="89">
        <v>0</v>
      </c>
      <c r="AX38" s="112" t="e">
        <f t="shared" ref="AX38" si="1084">AW38/$P38</f>
        <v>#DIV/0!</v>
      </c>
      <c r="AY38" s="89">
        <v>0</v>
      </c>
      <c r="AZ38" s="112" t="e">
        <f t="shared" ref="AZ38" si="1085">AY38/$P38</f>
        <v>#DIV/0!</v>
      </c>
      <c r="BA38" s="89">
        <v>0</v>
      </c>
      <c r="BB38" s="112" t="e">
        <f t="shared" ref="BB38" si="1086">BA38/$P38</f>
        <v>#DIV/0!</v>
      </c>
      <c r="BC38" s="89">
        <v>0</v>
      </c>
      <c r="BD38" s="112" t="e">
        <f t="shared" ref="BD38" si="1087">BC38/$P38</f>
        <v>#DIV/0!</v>
      </c>
      <c r="BE38" s="89">
        <f t="shared" si="3"/>
        <v>0</v>
      </c>
      <c r="BF38" s="113" t="e">
        <f t="shared" si="26"/>
        <v>#DIV/0!</v>
      </c>
      <c r="BG38" s="89">
        <v>0</v>
      </c>
      <c r="BH38" s="112" t="e">
        <f t="shared" ref="BH38" si="1088">BG38/$P38</f>
        <v>#DIV/0!</v>
      </c>
      <c r="BI38" s="89">
        <v>0</v>
      </c>
      <c r="BJ38" s="112" t="e">
        <f t="shared" ref="BJ38" si="1089">BI38/$P38</f>
        <v>#DIV/0!</v>
      </c>
      <c r="BK38" s="89">
        <v>0</v>
      </c>
      <c r="BL38" s="112" t="e">
        <f t="shared" ref="BL38" si="1090">BK38/$P38</f>
        <v>#DIV/0!</v>
      </c>
      <c r="BM38" s="89">
        <v>0</v>
      </c>
      <c r="BN38" s="112" t="e">
        <f t="shared" ref="BN38" si="1091">BM38/$P38</f>
        <v>#DIV/0!</v>
      </c>
      <c r="BO38" s="89">
        <v>0</v>
      </c>
      <c r="BP38" s="112" t="e">
        <f t="shared" ref="BP38" si="1092">BO38/$P38</f>
        <v>#DIV/0!</v>
      </c>
      <c r="BQ38" s="89">
        <v>0</v>
      </c>
      <c r="BR38" s="112" t="e">
        <f t="shared" ref="BR38" si="1093">BQ38/$P38</f>
        <v>#DIV/0!</v>
      </c>
      <c r="BS38" s="89">
        <f t="shared" si="4"/>
        <v>0</v>
      </c>
      <c r="BT38" s="113" t="e">
        <f t="shared" si="33"/>
        <v>#DIV/0!</v>
      </c>
      <c r="BU38" s="89">
        <v>0</v>
      </c>
      <c r="BV38" s="112" t="e">
        <f t="shared" ref="BV38" si="1094">BU38/$P38</f>
        <v>#DIV/0!</v>
      </c>
      <c r="BW38" s="89">
        <v>0</v>
      </c>
      <c r="BX38" s="112" t="e">
        <f t="shared" ref="BX38" si="1095">BW38/$P38</f>
        <v>#DIV/0!</v>
      </c>
      <c r="BY38" s="89">
        <v>0</v>
      </c>
      <c r="BZ38" s="112" t="e">
        <f t="shared" ref="BZ38" si="1096">BY38/$P38</f>
        <v>#DIV/0!</v>
      </c>
      <c r="CA38" s="89">
        <v>0</v>
      </c>
      <c r="CB38" s="112" t="e">
        <f t="shared" ref="CB38" si="1097">CA38/$P38</f>
        <v>#DIV/0!</v>
      </c>
      <c r="CC38" s="89">
        <v>0</v>
      </c>
      <c r="CD38" s="112" t="e">
        <f t="shared" ref="CD38" si="1098">CC38/$P38</f>
        <v>#DIV/0!</v>
      </c>
      <c r="CE38" s="89">
        <v>0</v>
      </c>
      <c r="CF38" s="112" t="e">
        <f t="shared" ref="CF38" si="1099">CE38/$P38</f>
        <v>#DIV/0!</v>
      </c>
      <c r="CG38" s="89">
        <f t="shared" si="5"/>
        <v>0</v>
      </c>
      <c r="CH38" s="113" t="e">
        <f t="shared" si="40"/>
        <v>#DIV/0!</v>
      </c>
      <c r="CI38" s="89">
        <v>0</v>
      </c>
      <c r="CJ38" s="112" t="e">
        <f t="shared" ref="CJ38" si="1100">CI38/$P38</f>
        <v>#DIV/0!</v>
      </c>
      <c r="CK38" s="89">
        <v>0</v>
      </c>
      <c r="CL38" s="112" t="e">
        <f t="shared" ref="CL38" si="1101">CK38/$P38</f>
        <v>#DIV/0!</v>
      </c>
      <c r="CM38" s="89">
        <v>0</v>
      </c>
      <c r="CN38" s="112" t="e">
        <f t="shared" ref="CN38" si="1102">CM38/$P38</f>
        <v>#DIV/0!</v>
      </c>
      <c r="CO38" s="89">
        <v>0</v>
      </c>
      <c r="CP38" s="112" t="e">
        <f t="shared" ref="CP38" si="1103">CO38/$P38</f>
        <v>#DIV/0!</v>
      </c>
      <c r="CQ38" s="89">
        <v>0</v>
      </c>
      <c r="CR38" s="112" t="e">
        <f t="shared" ref="CR38" si="1104">CQ38/$P38</f>
        <v>#DIV/0!</v>
      </c>
      <c r="CS38" s="89">
        <v>0</v>
      </c>
      <c r="CT38" s="112" t="e">
        <f t="shared" ref="CT38" si="1105">CS38/$P38</f>
        <v>#DIV/0!</v>
      </c>
      <c r="CU38" s="89">
        <f t="shared" si="6"/>
        <v>0</v>
      </c>
      <c r="CV38" s="113" t="e">
        <f t="shared" si="47"/>
        <v>#DIV/0!</v>
      </c>
    </row>
    <row r="39" spans="2:100" ht="19.95" customHeight="1">
      <c r="B39" s="86"/>
      <c r="C39" s="88">
        <v>29</v>
      </c>
      <c r="D39" s="1" t="s">
        <v>104</v>
      </c>
      <c r="E39" s="88">
        <f>E5</f>
        <v>35.6</v>
      </c>
      <c r="F39" s="88">
        <v>4.32</v>
      </c>
      <c r="G39" s="89">
        <f>E39*F39</f>
        <v>153.79200000000003</v>
      </c>
      <c r="H39" s="90">
        <v>1.5</v>
      </c>
      <c r="I39" s="90">
        <v>1.2</v>
      </c>
      <c r="J39" s="90">
        <v>14</v>
      </c>
      <c r="K39" s="91">
        <f>(H39*I39)*J39</f>
        <v>25.199999999999996</v>
      </c>
      <c r="L39" s="95">
        <f>G39-(K39+K40)</f>
        <v>78.192000000000036</v>
      </c>
      <c r="O39" s="89"/>
      <c r="P39" s="89">
        <v>0</v>
      </c>
      <c r="Q39" s="89">
        <v>0</v>
      </c>
      <c r="R39" s="112" t="e">
        <f t="shared" si="7"/>
        <v>#DIV/0!</v>
      </c>
      <c r="S39" s="89">
        <v>0</v>
      </c>
      <c r="T39" s="112" t="e">
        <f t="shared" si="7"/>
        <v>#DIV/0!</v>
      </c>
      <c r="U39" s="89">
        <v>0</v>
      </c>
      <c r="V39" s="112" t="e">
        <f t="shared" ref="V39" si="1106">U39/$P39</f>
        <v>#DIV/0!</v>
      </c>
      <c r="W39" s="89">
        <v>0</v>
      </c>
      <c r="X39" s="112" t="e">
        <f t="shared" ref="X39" si="1107">W39/$P39</f>
        <v>#DIV/0!</v>
      </c>
      <c r="Y39" s="89">
        <v>0</v>
      </c>
      <c r="Z39" s="112" t="e">
        <f t="shared" ref="Z39" si="1108">Y39/$P39</f>
        <v>#DIV/0!</v>
      </c>
      <c r="AA39" s="89">
        <v>0</v>
      </c>
      <c r="AB39" s="112" t="e">
        <f t="shared" ref="AB39" si="1109">AA39/$P39</f>
        <v>#DIV/0!</v>
      </c>
      <c r="AC39" s="89">
        <f t="shared" si="837"/>
        <v>0</v>
      </c>
      <c r="AD39" s="113" t="e">
        <f t="shared" si="12"/>
        <v>#DIV/0!</v>
      </c>
      <c r="AE39" s="89">
        <v>0</v>
      </c>
      <c r="AF39" s="112" t="e">
        <f t="shared" ref="AF39" si="1110">AE39/$P39</f>
        <v>#DIV/0!</v>
      </c>
      <c r="AG39" s="89">
        <v>0</v>
      </c>
      <c r="AH39" s="112" t="e">
        <f t="shared" ref="AH39" si="1111">AG39/$P39</f>
        <v>#DIV/0!</v>
      </c>
      <c r="AI39" s="89">
        <v>0</v>
      </c>
      <c r="AJ39" s="112" t="e">
        <f t="shared" ref="AJ39" si="1112">AI39/$P39</f>
        <v>#DIV/0!</v>
      </c>
      <c r="AK39" s="89">
        <v>0</v>
      </c>
      <c r="AL39" s="112" t="e">
        <f t="shared" ref="AL39" si="1113">AK39/$P39</f>
        <v>#DIV/0!</v>
      </c>
      <c r="AM39" s="89">
        <v>0</v>
      </c>
      <c r="AN39" s="112" t="e">
        <f t="shared" ref="AN39" si="1114">AM39/$P39</f>
        <v>#DIV/0!</v>
      </c>
      <c r="AO39" s="89">
        <v>0</v>
      </c>
      <c r="AP39" s="112" t="e">
        <f t="shared" ref="AP39" si="1115">AO39/$P39</f>
        <v>#DIV/0!</v>
      </c>
      <c r="AQ39" s="89">
        <f t="shared" si="2"/>
        <v>0</v>
      </c>
      <c r="AR39" s="113" t="e">
        <f t="shared" si="19"/>
        <v>#DIV/0!</v>
      </c>
      <c r="AS39" s="89">
        <v>0</v>
      </c>
      <c r="AT39" s="112" t="e">
        <f t="shared" ref="AT39" si="1116">AS39/$P39</f>
        <v>#DIV/0!</v>
      </c>
      <c r="AU39" s="89">
        <v>0</v>
      </c>
      <c r="AV39" s="112" t="e">
        <f t="shared" ref="AV39" si="1117">AU39/$P39</f>
        <v>#DIV/0!</v>
      </c>
      <c r="AW39" s="89">
        <v>0</v>
      </c>
      <c r="AX39" s="112" t="e">
        <f t="shared" ref="AX39" si="1118">AW39/$P39</f>
        <v>#DIV/0!</v>
      </c>
      <c r="AY39" s="89">
        <v>0</v>
      </c>
      <c r="AZ39" s="112" t="e">
        <f t="shared" ref="AZ39" si="1119">AY39/$P39</f>
        <v>#DIV/0!</v>
      </c>
      <c r="BA39" s="89">
        <v>0</v>
      </c>
      <c r="BB39" s="112" t="e">
        <f t="shared" ref="BB39" si="1120">BA39/$P39</f>
        <v>#DIV/0!</v>
      </c>
      <c r="BC39" s="89">
        <v>0</v>
      </c>
      <c r="BD39" s="112" t="e">
        <f t="shared" ref="BD39" si="1121">BC39/$P39</f>
        <v>#DIV/0!</v>
      </c>
      <c r="BE39" s="89">
        <f t="shared" si="3"/>
        <v>0</v>
      </c>
      <c r="BF39" s="113" t="e">
        <f t="shared" si="26"/>
        <v>#DIV/0!</v>
      </c>
      <c r="BG39" s="89">
        <v>0</v>
      </c>
      <c r="BH39" s="112" t="e">
        <f t="shared" ref="BH39" si="1122">BG39/$P39</f>
        <v>#DIV/0!</v>
      </c>
      <c r="BI39" s="89">
        <v>0</v>
      </c>
      <c r="BJ39" s="112" t="e">
        <f t="shared" ref="BJ39" si="1123">BI39/$P39</f>
        <v>#DIV/0!</v>
      </c>
      <c r="BK39" s="89">
        <v>0</v>
      </c>
      <c r="BL39" s="112" t="e">
        <f t="shared" ref="BL39" si="1124">BK39/$P39</f>
        <v>#DIV/0!</v>
      </c>
      <c r="BM39" s="89">
        <v>0</v>
      </c>
      <c r="BN39" s="112" t="e">
        <f t="shared" ref="BN39" si="1125">BM39/$P39</f>
        <v>#DIV/0!</v>
      </c>
      <c r="BO39" s="89">
        <v>0</v>
      </c>
      <c r="BP39" s="112" t="e">
        <f t="shared" ref="BP39" si="1126">BO39/$P39</f>
        <v>#DIV/0!</v>
      </c>
      <c r="BQ39" s="89">
        <v>0</v>
      </c>
      <c r="BR39" s="112" t="e">
        <f t="shared" ref="BR39" si="1127">BQ39/$P39</f>
        <v>#DIV/0!</v>
      </c>
      <c r="BS39" s="89">
        <f t="shared" si="4"/>
        <v>0</v>
      </c>
      <c r="BT39" s="113" t="e">
        <f t="shared" si="33"/>
        <v>#DIV/0!</v>
      </c>
      <c r="BU39" s="89">
        <v>0</v>
      </c>
      <c r="BV39" s="112" t="e">
        <f t="shared" ref="BV39" si="1128">BU39/$P39</f>
        <v>#DIV/0!</v>
      </c>
      <c r="BW39" s="89">
        <v>0</v>
      </c>
      <c r="BX39" s="112" t="e">
        <f t="shared" ref="BX39" si="1129">BW39/$P39</f>
        <v>#DIV/0!</v>
      </c>
      <c r="BY39" s="89">
        <v>0</v>
      </c>
      <c r="BZ39" s="112" t="e">
        <f t="shared" ref="BZ39" si="1130">BY39/$P39</f>
        <v>#DIV/0!</v>
      </c>
      <c r="CA39" s="89">
        <v>0</v>
      </c>
      <c r="CB39" s="112" t="e">
        <f t="shared" ref="CB39" si="1131">CA39/$P39</f>
        <v>#DIV/0!</v>
      </c>
      <c r="CC39" s="89">
        <v>0</v>
      </c>
      <c r="CD39" s="112" t="e">
        <f t="shared" ref="CD39" si="1132">CC39/$P39</f>
        <v>#DIV/0!</v>
      </c>
      <c r="CE39" s="89">
        <v>0</v>
      </c>
      <c r="CF39" s="112" t="e">
        <f t="shared" ref="CF39" si="1133">CE39/$P39</f>
        <v>#DIV/0!</v>
      </c>
      <c r="CG39" s="89">
        <f t="shared" si="5"/>
        <v>0</v>
      </c>
      <c r="CH39" s="113" t="e">
        <f t="shared" si="40"/>
        <v>#DIV/0!</v>
      </c>
      <c r="CI39" s="89">
        <v>0</v>
      </c>
      <c r="CJ39" s="112" t="e">
        <f t="shared" ref="CJ39" si="1134">CI39/$P39</f>
        <v>#DIV/0!</v>
      </c>
      <c r="CK39" s="89">
        <v>0</v>
      </c>
      <c r="CL39" s="112" t="e">
        <f t="shared" ref="CL39" si="1135">CK39/$P39</f>
        <v>#DIV/0!</v>
      </c>
      <c r="CM39" s="89">
        <v>0</v>
      </c>
      <c r="CN39" s="112" t="e">
        <f t="shared" ref="CN39" si="1136">CM39/$P39</f>
        <v>#DIV/0!</v>
      </c>
      <c r="CO39" s="89">
        <v>0</v>
      </c>
      <c r="CP39" s="112" t="e">
        <f t="shared" ref="CP39" si="1137">CO39/$P39</f>
        <v>#DIV/0!</v>
      </c>
      <c r="CQ39" s="89">
        <v>0</v>
      </c>
      <c r="CR39" s="112" t="e">
        <f t="shared" ref="CR39" si="1138">CQ39/$P39</f>
        <v>#DIV/0!</v>
      </c>
      <c r="CS39" s="89">
        <v>0</v>
      </c>
      <c r="CT39" s="112" t="e">
        <f t="shared" ref="CT39" si="1139">CS39/$P39</f>
        <v>#DIV/0!</v>
      </c>
      <c r="CU39" s="89">
        <f t="shared" si="6"/>
        <v>0</v>
      </c>
      <c r="CV39" s="113" t="e">
        <f t="shared" si="47"/>
        <v>#DIV/0!</v>
      </c>
    </row>
    <row r="40" spans="2:100" ht="19.95" customHeight="1">
      <c r="B40" s="86"/>
      <c r="G40" s="89"/>
      <c r="H40" s="90">
        <v>2.4</v>
      </c>
      <c r="I40" s="90">
        <v>1.5</v>
      </c>
      <c r="J40" s="90">
        <v>14</v>
      </c>
      <c r="K40" s="91">
        <f>(H40*I40)*J40</f>
        <v>50.399999999999991</v>
      </c>
      <c r="L40" s="89"/>
      <c r="M40" s="89"/>
      <c r="N40" s="89"/>
      <c r="O40" s="89"/>
      <c r="P40" s="89">
        <v>0</v>
      </c>
      <c r="Q40" s="89">
        <v>0</v>
      </c>
      <c r="R40" s="112"/>
      <c r="S40" s="89">
        <v>0</v>
      </c>
      <c r="T40" s="112"/>
      <c r="U40" s="89">
        <v>0</v>
      </c>
      <c r="V40" s="112"/>
      <c r="W40" s="89">
        <v>0</v>
      </c>
      <c r="X40" s="112"/>
      <c r="Y40" s="89">
        <v>0</v>
      </c>
      <c r="Z40" s="112"/>
      <c r="AA40" s="89">
        <v>0</v>
      </c>
      <c r="AB40" s="112"/>
      <c r="AC40" s="89">
        <f t="shared" si="837"/>
        <v>0</v>
      </c>
      <c r="AD40" s="113"/>
      <c r="AE40" s="89">
        <v>0</v>
      </c>
      <c r="AF40" s="112"/>
      <c r="AG40" s="89">
        <v>0</v>
      </c>
      <c r="AH40" s="112"/>
      <c r="AI40" s="89">
        <v>0</v>
      </c>
      <c r="AJ40" s="112"/>
      <c r="AK40" s="89">
        <v>0</v>
      </c>
      <c r="AL40" s="112"/>
      <c r="AM40" s="89">
        <v>0</v>
      </c>
      <c r="AN40" s="112"/>
      <c r="AO40" s="89">
        <v>0</v>
      </c>
      <c r="AP40" s="112"/>
      <c r="AQ40" s="89">
        <f t="shared" si="2"/>
        <v>0</v>
      </c>
      <c r="AR40" s="113"/>
      <c r="AS40" s="89">
        <v>0</v>
      </c>
      <c r="AT40" s="112"/>
      <c r="AU40" s="89">
        <v>0</v>
      </c>
      <c r="AV40" s="112"/>
      <c r="AW40" s="89">
        <v>0</v>
      </c>
      <c r="AX40" s="112"/>
      <c r="AY40" s="89">
        <v>0</v>
      </c>
      <c r="AZ40" s="112"/>
      <c r="BA40" s="89">
        <v>0</v>
      </c>
      <c r="BB40" s="112"/>
      <c r="BC40" s="89">
        <v>0</v>
      </c>
      <c r="BD40" s="112"/>
      <c r="BE40" s="89">
        <f t="shared" si="3"/>
        <v>0</v>
      </c>
      <c r="BF40" s="113"/>
      <c r="BG40" s="89">
        <v>0</v>
      </c>
      <c r="BH40" s="112"/>
      <c r="BI40" s="89">
        <v>0</v>
      </c>
      <c r="BJ40" s="112"/>
      <c r="BK40" s="89">
        <v>0</v>
      </c>
      <c r="BL40" s="112"/>
      <c r="BM40" s="89">
        <v>0</v>
      </c>
      <c r="BN40" s="112"/>
      <c r="BO40" s="89">
        <v>0</v>
      </c>
      <c r="BP40" s="112"/>
      <c r="BQ40" s="89">
        <v>0</v>
      </c>
      <c r="BR40" s="112"/>
      <c r="BS40" s="89">
        <f t="shared" si="4"/>
        <v>0</v>
      </c>
      <c r="BT40" s="113"/>
      <c r="BU40" s="89">
        <v>0</v>
      </c>
      <c r="BV40" s="112"/>
      <c r="BW40" s="89">
        <v>0</v>
      </c>
      <c r="BX40" s="112"/>
      <c r="BY40" s="89">
        <v>0</v>
      </c>
      <c r="BZ40" s="112"/>
      <c r="CA40" s="89">
        <v>0</v>
      </c>
      <c r="CB40" s="112"/>
      <c r="CC40" s="89">
        <v>0</v>
      </c>
      <c r="CD40" s="112"/>
      <c r="CE40" s="89">
        <v>0</v>
      </c>
      <c r="CF40" s="112"/>
      <c r="CG40" s="89">
        <f t="shared" si="5"/>
        <v>0</v>
      </c>
      <c r="CH40" s="113"/>
      <c r="CI40" s="89">
        <v>0</v>
      </c>
      <c r="CJ40" s="112"/>
      <c r="CK40" s="89">
        <v>0</v>
      </c>
      <c r="CL40" s="112"/>
      <c r="CM40" s="89">
        <v>0</v>
      </c>
      <c r="CN40" s="112"/>
      <c r="CO40" s="89">
        <v>0</v>
      </c>
      <c r="CP40" s="112"/>
      <c r="CQ40" s="89">
        <v>0</v>
      </c>
      <c r="CR40" s="112"/>
      <c r="CS40" s="89">
        <v>0</v>
      </c>
      <c r="CT40" s="112"/>
      <c r="CU40" s="89">
        <f t="shared" si="6"/>
        <v>0</v>
      </c>
      <c r="CV40" s="113"/>
    </row>
    <row r="41" spans="2:100" ht="19.95" customHeight="1">
      <c r="B41" s="86"/>
      <c r="C41" s="88">
        <v>30</v>
      </c>
      <c r="D41" s="1" t="s">
        <v>200</v>
      </c>
      <c r="E41" s="88">
        <v>0.3</v>
      </c>
      <c r="F41" s="88">
        <v>5.0999999999999996</v>
      </c>
      <c r="G41" s="89">
        <f>E41*F41*14</f>
        <v>21.419999999999998</v>
      </c>
      <c r="H41" s="90"/>
      <c r="I41" s="90"/>
      <c r="J41" s="90"/>
      <c r="K41" s="91"/>
      <c r="M41" s="89"/>
      <c r="N41" s="95">
        <f>G41</f>
        <v>21.419999999999998</v>
      </c>
      <c r="O41" s="89"/>
      <c r="P41" s="89">
        <v>0</v>
      </c>
      <c r="Q41" s="89">
        <v>0</v>
      </c>
      <c r="R41" s="112" t="e">
        <f t="shared" si="7"/>
        <v>#DIV/0!</v>
      </c>
      <c r="S41" s="89">
        <v>0</v>
      </c>
      <c r="T41" s="112" t="e">
        <f t="shared" si="7"/>
        <v>#DIV/0!</v>
      </c>
      <c r="U41" s="89">
        <v>0</v>
      </c>
      <c r="V41" s="112" t="e">
        <f t="shared" ref="V41" si="1140">U41/$P41</f>
        <v>#DIV/0!</v>
      </c>
      <c r="W41" s="89">
        <v>0</v>
      </c>
      <c r="X41" s="112" t="e">
        <f t="shared" ref="X41" si="1141">W41/$P41</f>
        <v>#DIV/0!</v>
      </c>
      <c r="Y41" s="89">
        <v>0</v>
      </c>
      <c r="Z41" s="112" t="e">
        <f t="shared" ref="Z41" si="1142">Y41/$P41</f>
        <v>#DIV/0!</v>
      </c>
      <c r="AA41" s="89">
        <v>0</v>
      </c>
      <c r="AB41" s="112" t="e">
        <f t="shared" ref="AB41" si="1143">AA41/$P41</f>
        <v>#DIV/0!</v>
      </c>
      <c r="AC41" s="89">
        <f t="shared" si="837"/>
        <v>0</v>
      </c>
      <c r="AD41" s="113" t="e">
        <f t="shared" si="12"/>
        <v>#DIV/0!</v>
      </c>
      <c r="AE41" s="89">
        <v>0</v>
      </c>
      <c r="AF41" s="112" t="e">
        <f t="shared" ref="AF41" si="1144">AE41/$P41</f>
        <v>#DIV/0!</v>
      </c>
      <c r="AG41" s="89">
        <v>0</v>
      </c>
      <c r="AH41" s="112" t="e">
        <f t="shared" ref="AH41" si="1145">AG41/$P41</f>
        <v>#DIV/0!</v>
      </c>
      <c r="AI41" s="89">
        <v>0</v>
      </c>
      <c r="AJ41" s="112" t="e">
        <f t="shared" ref="AJ41" si="1146">AI41/$P41</f>
        <v>#DIV/0!</v>
      </c>
      <c r="AK41" s="89">
        <v>0</v>
      </c>
      <c r="AL41" s="112" t="e">
        <f t="shared" ref="AL41" si="1147">AK41/$P41</f>
        <v>#DIV/0!</v>
      </c>
      <c r="AM41" s="89">
        <v>0</v>
      </c>
      <c r="AN41" s="112" t="e">
        <f t="shared" ref="AN41" si="1148">AM41/$P41</f>
        <v>#DIV/0!</v>
      </c>
      <c r="AO41" s="89">
        <v>0</v>
      </c>
      <c r="AP41" s="112" t="e">
        <f t="shared" ref="AP41" si="1149">AO41/$P41</f>
        <v>#DIV/0!</v>
      </c>
      <c r="AQ41" s="89">
        <f t="shared" si="2"/>
        <v>0</v>
      </c>
      <c r="AR41" s="113" t="e">
        <f t="shared" si="19"/>
        <v>#DIV/0!</v>
      </c>
      <c r="AS41" s="89">
        <v>0</v>
      </c>
      <c r="AT41" s="112" t="e">
        <f t="shared" ref="AT41" si="1150">AS41/$P41</f>
        <v>#DIV/0!</v>
      </c>
      <c r="AU41" s="89">
        <v>0</v>
      </c>
      <c r="AV41" s="112" t="e">
        <f t="shared" ref="AV41" si="1151">AU41/$P41</f>
        <v>#DIV/0!</v>
      </c>
      <c r="AW41" s="89">
        <v>0</v>
      </c>
      <c r="AX41" s="112" t="e">
        <f t="shared" ref="AX41" si="1152">AW41/$P41</f>
        <v>#DIV/0!</v>
      </c>
      <c r="AY41" s="89">
        <v>0</v>
      </c>
      <c r="AZ41" s="112" t="e">
        <f t="shared" ref="AZ41" si="1153">AY41/$P41</f>
        <v>#DIV/0!</v>
      </c>
      <c r="BA41" s="89">
        <v>0</v>
      </c>
      <c r="BB41" s="112" t="e">
        <f t="shared" ref="BB41" si="1154">BA41/$P41</f>
        <v>#DIV/0!</v>
      </c>
      <c r="BC41" s="89">
        <v>0</v>
      </c>
      <c r="BD41" s="112" t="e">
        <f t="shared" ref="BD41" si="1155">BC41/$P41</f>
        <v>#DIV/0!</v>
      </c>
      <c r="BE41" s="89">
        <f t="shared" si="3"/>
        <v>0</v>
      </c>
      <c r="BF41" s="113" t="e">
        <f t="shared" si="26"/>
        <v>#DIV/0!</v>
      </c>
      <c r="BG41" s="89">
        <v>0</v>
      </c>
      <c r="BH41" s="112" t="e">
        <f t="shared" ref="BH41" si="1156">BG41/$P41</f>
        <v>#DIV/0!</v>
      </c>
      <c r="BI41" s="89">
        <v>0</v>
      </c>
      <c r="BJ41" s="112" t="e">
        <f t="shared" ref="BJ41" si="1157">BI41/$P41</f>
        <v>#DIV/0!</v>
      </c>
      <c r="BK41" s="89">
        <v>0</v>
      </c>
      <c r="BL41" s="112" t="e">
        <f t="shared" ref="BL41" si="1158">BK41/$P41</f>
        <v>#DIV/0!</v>
      </c>
      <c r="BM41" s="89">
        <v>0</v>
      </c>
      <c r="BN41" s="112" t="e">
        <f t="shared" ref="BN41" si="1159">BM41/$P41</f>
        <v>#DIV/0!</v>
      </c>
      <c r="BO41" s="89">
        <v>0</v>
      </c>
      <c r="BP41" s="112" t="e">
        <f t="shared" ref="BP41" si="1160">BO41/$P41</f>
        <v>#DIV/0!</v>
      </c>
      <c r="BQ41" s="89">
        <v>0</v>
      </c>
      <c r="BR41" s="112" t="e">
        <f t="shared" ref="BR41" si="1161">BQ41/$P41</f>
        <v>#DIV/0!</v>
      </c>
      <c r="BS41" s="89">
        <f t="shared" si="4"/>
        <v>0</v>
      </c>
      <c r="BT41" s="113" t="e">
        <f t="shared" si="33"/>
        <v>#DIV/0!</v>
      </c>
      <c r="BU41" s="89">
        <v>0</v>
      </c>
      <c r="BV41" s="112" t="e">
        <f t="shared" ref="BV41" si="1162">BU41/$P41</f>
        <v>#DIV/0!</v>
      </c>
      <c r="BW41" s="89">
        <v>0</v>
      </c>
      <c r="BX41" s="112" t="e">
        <f t="shared" ref="BX41" si="1163">BW41/$P41</f>
        <v>#DIV/0!</v>
      </c>
      <c r="BY41" s="89">
        <v>0</v>
      </c>
      <c r="BZ41" s="112" t="e">
        <f t="shared" ref="BZ41" si="1164">BY41/$P41</f>
        <v>#DIV/0!</v>
      </c>
      <c r="CA41" s="89">
        <v>0</v>
      </c>
      <c r="CB41" s="112" t="e">
        <f t="shared" ref="CB41" si="1165">CA41/$P41</f>
        <v>#DIV/0!</v>
      </c>
      <c r="CC41" s="89">
        <v>0</v>
      </c>
      <c r="CD41" s="112" t="e">
        <f t="shared" ref="CD41" si="1166">CC41/$P41</f>
        <v>#DIV/0!</v>
      </c>
      <c r="CE41" s="89">
        <v>0</v>
      </c>
      <c r="CF41" s="112" t="e">
        <f t="shared" ref="CF41" si="1167">CE41/$P41</f>
        <v>#DIV/0!</v>
      </c>
      <c r="CG41" s="89">
        <f t="shared" si="5"/>
        <v>0</v>
      </c>
      <c r="CH41" s="113" t="e">
        <f t="shared" si="40"/>
        <v>#DIV/0!</v>
      </c>
      <c r="CI41" s="89">
        <v>0</v>
      </c>
      <c r="CJ41" s="112" t="e">
        <f t="shared" ref="CJ41" si="1168">CI41/$P41</f>
        <v>#DIV/0!</v>
      </c>
      <c r="CK41" s="89">
        <v>0</v>
      </c>
      <c r="CL41" s="112" t="e">
        <f t="shared" ref="CL41" si="1169">CK41/$P41</f>
        <v>#DIV/0!</v>
      </c>
      <c r="CM41" s="89">
        <v>0</v>
      </c>
      <c r="CN41" s="112" t="e">
        <f t="shared" ref="CN41" si="1170">CM41/$P41</f>
        <v>#DIV/0!</v>
      </c>
      <c r="CO41" s="89">
        <v>0</v>
      </c>
      <c r="CP41" s="112" t="e">
        <f t="shared" ref="CP41" si="1171">CO41/$P41</f>
        <v>#DIV/0!</v>
      </c>
      <c r="CQ41" s="89">
        <v>0</v>
      </c>
      <c r="CR41" s="112" t="e">
        <f t="shared" ref="CR41" si="1172">CQ41/$P41</f>
        <v>#DIV/0!</v>
      </c>
      <c r="CS41" s="89">
        <v>0</v>
      </c>
      <c r="CT41" s="112" t="e">
        <f t="shared" ref="CT41" si="1173">CS41/$P41</f>
        <v>#DIV/0!</v>
      </c>
      <c r="CU41" s="89">
        <f t="shared" si="6"/>
        <v>0</v>
      </c>
      <c r="CV41" s="113" t="e">
        <f t="shared" si="47"/>
        <v>#DIV/0!</v>
      </c>
    </row>
    <row r="42" spans="2:100" ht="19.95" customHeight="1">
      <c r="B42" s="86"/>
      <c r="C42" s="88" t="s">
        <v>224</v>
      </c>
      <c r="D42" s="1" t="s">
        <v>202</v>
      </c>
      <c r="E42" s="88">
        <v>0.6</v>
      </c>
      <c r="F42" s="88">
        <v>5.0999999999999996</v>
      </c>
      <c r="G42" s="89">
        <f>E42*F42*14</f>
        <v>42.839999999999996</v>
      </c>
      <c r="H42" s="90"/>
      <c r="I42" s="90"/>
      <c r="J42" s="90"/>
      <c r="K42" s="91"/>
      <c r="L42" s="89"/>
      <c r="O42" s="95">
        <f>G42</f>
        <v>42.839999999999996</v>
      </c>
      <c r="P42" s="89">
        <v>0</v>
      </c>
      <c r="Q42" s="89">
        <v>0</v>
      </c>
      <c r="R42" s="112" t="e">
        <f t="shared" si="7"/>
        <v>#DIV/0!</v>
      </c>
      <c r="S42" s="89">
        <v>0</v>
      </c>
      <c r="T42" s="112" t="e">
        <f t="shared" si="7"/>
        <v>#DIV/0!</v>
      </c>
      <c r="U42" s="89">
        <v>0</v>
      </c>
      <c r="V42" s="112" t="e">
        <f t="shared" ref="V42" si="1174">U42/$P42</f>
        <v>#DIV/0!</v>
      </c>
      <c r="W42" s="89">
        <v>0</v>
      </c>
      <c r="X42" s="112" t="e">
        <f t="shared" ref="X42" si="1175">W42/$P42</f>
        <v>#DIV/0!</v>
      </c>
      <c r="Y42" s="89">
        <v>0</v>
      </c>
      <c r="Z42" s="112" t="e">
        <f t="shared" ref="Z42" si="1176">Y42/$P42</f>
        <v>#DIV/0!</v>
      </c>
      <c r="AA42" s="89">
        <v>0</v>
      </c>
      <c r="AB42" s="112" t="e">
        <f t="shared" ref="AB42" si="1177">AA42/$P42</f>
        <v>#DIV/0!</v>
      </c>
      <c r="AC42" s="89">
        <f t="shared" si="837"/>
        <v>0</v>
      </c>
      <c r="AD42" s="113" t="e">
        <f t="shared" si="12"/>
        <v>#DIV/0!</v>
      </c>
      <c r="AE42" s="89">
        <v>0</v>
      </c>
      <c r="AF42" s="112" t="e">
        <f t="shared" ref="AF42" si="1178">AE42/$P42</f>
        <v>#DIV/0!</v>
      </c>
      <c r="AG42" s="89">
        <v>0</v>
      </c>
      <c r="AH42" s="112" t="e">
        <f t="shared" ref="AH42" si="1179">AG42/$P42</f>
        <v>#DIV/0!</v>
      </c>
      <c r="AI42" s="89">
        <v>0</v>
      </c>
      <c r="AJ42" s="112" t="e">
        <f t="shared" ref="AJ42" si="1180">AI42/$P42</f>
        <v>#DIV/0!</v>
      </c>
      <c r="AK42" s="89">
        <v>0</v>
      </c>
      <c r="AL42" s="112" t="e">
        <f t="shared" ref="AL42" si="1181">AK42/$P42</f>
        <v>#DIV/0!</v>
      </c>
      <c r="AM42" s="89">
        <v>0</v>
      </c>
      <c r="AN42" s="112" t="e">
        <f t="shared" ref="AN42" si="1182">AM42/$P42</f>
        <v>#DIV/0!</v>
      </c>
      <c r="AO42" s="89">
        <v>0</v>
      </c>
      <c r="AP42" s="112" t="e">
        <f t="shared" ref="AP42" si="1183">AO42/$P42</f>
        <v>#DIV/0!</v>
      </c>
      <c r="AQ42" s="89">
        <f t="shared" si="2"/>
        <v>0</v>
      </c>
      <c r="AR42" s="113" t="e">
        <f t="shared" si="19"/>
        <v>#DIV/0!</v>
      </c>
      <c r="AS42" s="89">
        <v>0</v>
      </c>
      <c r="AT42" s="112" t="e">
        <f t="shared" ref="AT42" si="1184">AS42/$P42</f>
        <v>#DIV/0!</v>
      </c>
      <c r="AU42" s="89">
        <v>0</v>
      </c>
      <c r="AV42" s="112" t="e">
        <f t="shared" ref="AV42" si="1185">AU42/$P42</f>
        <v>#DIV/0!</v>
      </c>
      <c r="AW42" s="89">
        <v>0</v>
      </c>
      <c r="AX42" s="112" t="e">
        <f t="shared" ref="AX42" si="1186">AW42/$P42</f>
        <v>#DIV/0!</v>
      </c>
      <c r="AY42" s="89">
        <v>0</v>
      </c>
      <c r="AZ42" s="112" t="e">
        <f t="shared" ref="AZ42" si="1187">AY42/$P42</f>
        <v>#DIV/0!</v>
      </c>
      <c r="BA42" s="89">
        <v>0</v>
      </c>
      <c r="BB42" s="112" t="e">
        <f t="shared" ref="BB42" si="1188">BA42/$P42</f>
        <v>#DIV/0!</v>
      </c>
      <c r="BC42" s="89">
        <v>0</v>
      </c>
      <c r="BD42" s="112" t="e">
        <f t="shared" ref="BD42" si="1189">BC42/$P42</f>
        <v>#DIV/0!</v>
      </c>
      <c r="BE42" s="89">
        <f t="shared" si="3"/>
        <v>0</v>
      </c>
      <c r="BF42" s="113" t="e">
        <f t="shared" si="26"/>
        <v>#DIV/0!</v>
      </c>
      <c r="BG42" s="89">
        <v>0</v>
      </c>
      <c r="BH42" s="112" t="e">
        <f t="shared" ref="BH42" si="1190">BG42/$P42</f>
        <v>#DIV/0!</v>
      </c>
      <c r="BI42" s="89">
        <v>0</v>
      </c>
      <c r="BJ42" s="112" t="e">
        <f t="shared" ref="BJ42" si="1191">BI42/$P42</f>
        <v>#DIV/0!</v>
      </c>
      <c r="BK42" s="89">
        <v>0</v>
      </c>
      <c r="BL42" s="112" t="e">
        <f t="shared" ref="BL42" si="1192">BK42/$P42</f>
        <v>#DIV/0!</v>
      </c>
      <c r="BM42" s="89">
        <v>0</v>
      </c>
      <c r="BN42" s="112" t="e">
        <f t="shared" ref="BN42" si="1193">BM42/$P42</f>
        <v>#DIV/0!</v>
      </c>
      <c r="BO42" s="89">
        <v>0</v>
      </c>
      <c r="BP42" s="112" t="e">
        <f t="shared" ref="BP42" si="1194">BO42/$P42</f>
        <v>#DIV/0!</v>
      </c>
      <c r="BQ42" s="89">
        <v>0</v>
      </c>
      <c r="BR42" s="112" t="e">
        <f t="shared" ref="BR42" si="1195">BQ42/$P42</f>
        <v>#DIV/0!</v>
      </c>
      <c r="BS42" s="89">
        <f t="shared" si="4"/>
        <v>0</v>
      </c>
      <c r="BT42" s="113" t="e">
        <f t="shared" si="33"/>
        <v>#DIV/0!</v>
      </c>
      <c r="BU42" s="89">
        <v>0</v>
      </c>
      <c r="BV42" s="112" t="e">
        <f t="shared" ref="BV42" si="1196">BU42/$P42</f>
        <v>#DIV/0!</v>
      </c>
      <c r="BW42" s="89">
        <v>0</v>
      </c>
      <c r="BX42" s="112" t="e">
        <f t="shared" ref="BX42" si="1197">BW42/$P42</f>
        <v>#DIV/0!</v>
      </c>
      <c r="BY42" s="89">
        <v>0</v>
      </c>
      <c r="BZ42" s="112" t="e">
        <f t="shared" ref="BZ42" si="1198">BY42/$P42</f>
        <v>#DIV/0!</v>
      </c>
      <c r="CA42" s="89">
        <v>0</v>
      </c>
      <c r="CB42" s="112" t="e">
        <f t="shared" ref="CB42" si="1199">CA42/$P42</f>
        <v>#DIV/0!</v>
      </c>
      <c r="CC42" s="89">
        <v>0</v>
      </c>
      <c r="CD42" s="112" t="e">
        <f t="shared" ref="CD42" si="1200">CC42/$P42</f>
        <v>#DIV/0!</v>
      </c>
      <c r="CE42" s="89">
        <v>0</v>
      </c>
      <c r="CF42" s="112" t="e">
        <f t="shared" ref="CF42" si="1201">CE42/$P42</f>
        <v>#DIV/0!</v>
      </c>
      <c r="CG42" s="89">
        <f t="shared" si="5"/>
        <v>0</v>
      </c>
      <c r="CH42" s="113" t="e">
        <f t="shared" si="40"/>
        <v>#DIV/0!</v>
      </c>
      <c r="CI42" s="89">
        <v>0</v>
      </c>
      <c r="CJ42" s="112" t="e">
        <f t="shared" ref="CJ42" si="1202">CI42/$P42</f>
        <v>#DIV/0!</v>
      </c>
      <c r="CK42" s="89">
        <v>0</v>
      </c>
      <c r="CL42" s="112" t="e">
        <f t="shared" ref="CL42" si="1203">CK42/$P42</f>
        <v>#DIV/0!</v>
      </c>
      <c r="CM42" s="89">
        <v>0</v>
      </c>
      <c r="CN42" s="112" t="e">
        <f t="shared" ref="CN42" si="1204">CM42/$P42</f>
        <v>#DIV/0!</v>
      </c>
      <c r="CO42" s="89">
        <v>0</v>
      </c>
      <c r="CP42" s="112" t="e">
        <f t="shared" ref="CP42" si="1205">CO42/$P42</f>
        <v>#DIV/0!</v>
      </c>
      <c r="CQ42" s="89">
        <v>0</v>
      </c>
      <c r="CR42" s="112" t="e">
        <f t="shared" ref="CR42" si="1206">CQ42/$P42</f>
        <v>#DIV/0!</v>
      </c>
      <c r="CS42" s="89">
        <v>0</v>
      </c>
      <c r="CT42" s="112" t="e">
        <f t="shared" ref="CT42" si="1207">CS42/$P42</f>
        <v>#DIV/0!</v>
      </c>
      <c r="CU42" s="89">
        <f t="shared" si="6"/>
        <v>0</v>
      </c>
      <c r="CV42" s="113" t="e">
        <f t="shared" si="47"/>
        <v>#DIV/0!</v>
      </c>
    </row>
    <row r="43" spans="2:100" ht="19.95" customHeight="1">
      <c r="B43" s="86"/>
      <c r="C43" s="88">
        <v>31</v>
      </c>
      <c r="D43" s="1" t="s">
        <v>121</v>
      </c>
      <c r="E43" s="88">
        <f>E5</f>
        <v>35.6</v>
      </c>
      <c r="F43" s="89">
        <v>0.7</v>
      </c>
      <c r="G43" s="89">
        <f t="shared" ref="G43:G44" si="1208">E43*F43</f>
        <v>24.919999999999998</v>
      </c>
      <c r="H43" s="90"/>
      <c r="I43" s="90"/>
      <c r="J43" s="90"/>
      <c r="K43" s="91"/>
      <c r="L43" s="1"/>
      <c r="N43" s="95">
        <f>G43-K43</f>
        <v>24.919999999999998</v>
      </c>
      <c r="O43" s="89"/>
      <c r="P43" s="89">
        <v>0</v>
      </c>
      <c r="Q43" s="89">
        <v>0</v>
      </c>
      <c r="R43" s="112" t="e">
        <f t="shared" si="7"/>
        <v>#DIV/0!</v>
      </c>
      <c r="S43" s="89">
        <v>0</v>
      </c>
      <c r="T43" s="112" t="e">
        <f t="shared" si="7"/>
        <v>#DIV/0!</v>
      </c>
      <c r="U43" s="89">
        <v>0</v>
      </c>
      <c r="V43" s="112" t="e">
        <f t="shared" ref="V43" si="1209">U43/$P43</f>
        <v>#DIV/0!</v>
      </c>
      <c r="W43" s="89">
        <v>0</v>
      </c>
      <c r="X43" s="112" t="e">
        <f t="shared" ref="X43" si="1210">W43/$P43</f>
        <v>#DIV/0!</v>
      </c>
      <c r="Y43" s="89">
        <v>0</v>
      </c>
      <c r="Z43" s="112" t="e">
        <f t="shared" ref="Z43" si="1211">Y43/$P43</f>
        <v>#DIV/0!</v>
      </c>
      <c r="AA43" s="89">
        <v>0</v>
      </c>
      <c r="AB43" s="112" t="e">
        <f t="shared" ref="AB43" si="1212">AA43/$P43</f>
        <v>#DIV/0!</v>
      </c>
      <c r="AC43" s="89">
        <f t="shared" si="837"/>
        <v>0</v>
      </c>
      <c r="AD43" s="113" t="e">
        <f t="shared" si="12"/>
        <v>#DIV/0!</v>
      </c>
      <c r="AE43" s="89">
        <v>0</v>
      </c>
      <c r="AF43" s="112" t="e">
        <f t="shared" ref="AF43" si="1213">AE43/$P43</f>
        <v>#DIV/0!</v>
      </c>
      <c r="AG43" s="89">
        <v>0</v>
      </c>
      <c r="AH43" s="112" t="e">
        <f t="shared" ref="AH43" si="1214">AG43/$P43</f>
        <v>#DIV/0!</v>
      </c>
      <c r="AI43" s="89">
        <v>0</v>
      </c>
      <c r="AJ43" s="112" t="e">
        <f t="shared" ref="AJ43" si="1215">AI43/$P43</f>
        <v>#DIV/0!</v>
      </c>
      <c r="AK43" s="89">
        <v>0</v>
      </c>
      <c r="AL43" s="112" t="e">
        <f t="shared" ref="AL43" si="1216">AK43/$P43</f>
        <v>#DIV/0!</v>
      </c>
      <c r="AM43" s="89">
        <v>0</v>
      </c>
      <c r="AN43" s="112" t="e">
        <f t="shared" ref="AN43" si="1217">AM43/$P43</f>
        <v>#DIV/0!</v>
      </c>
      <c r="AO43" s="89">
        <v>0</v>
      </c>
      <c r="AP43" s="112" t="e">
        <f t="shared" ref="AP43" si="1218">AO43/$P43</f>
        <v>#DIV/0!</v>
      </c>
      <c r="AQ43" s="89">
        <f t="shared" si="2"/>
        <v>0</v>
      </c>
      <c r="AR43" s="113" t="e">
        <f t="shared" si="19"/>
        <v>#DIV/0!</v>
      </c>
      <c r="AS43" s="89">
        <v>0</v>
      </c>
      <c r="AT43" s="112" t="e">
        <f t="shared" ref="AT43" si="1219">AS43/$P43</f>
        <v>#DIV/0!</v>
      </c>
      <c r="AU43" s="89">
        <v>0</v>
      </c>
      <c r="AV43" s="112" t="e">
        <f t="shared" ref="AV43" si="1220">AU43/$P43</f>
        <v>#DIV/0!</v>
      </c>
      <c r="AW43" s="89">
        <v>0</v>
      </c>
      <c r="AX43" s="112" t="e">
        <f t="shared" ref="AX43" si="1221">AW43/$P43</f>
        <v>#DIV/0!</v>
      </c>
      <c r="AY43" s="89">
        <v>0</v>
      </c>
      <c r="AZ43" s="112" t="e">
        <f t="shared" ref="AZ43" si="1222">AY43/$P43</f>
        <v>#DIV/0!</v>
      </c>
      <c r="BA43" s="89">
        <v>0</v>
      </c>
      <c r="BB43" s="112" t="e">
        <f t="shared" ref="BB43" si="1223">BA43/$P43</f>
        <v>#DIV/0!</v>
      </c>
      <c r="BC43" s="89">
        <v>0</v>
      </c>
      <c r="BD43" s="112" t="e">
        <f t="shared" ref="BD43" si="1224">BC43/$P43</f>
        <v>#DIV/0!</v>
      </c>
      <c r="BE43" s="89">
        <f t="shared" si="3"/>
        <v>0</v>
      </c>
      <c r="BF43" s="113" t="e">
        <f t="shared" si="26"/>
        <v>#DIV/0!</v>
      </c>
      <c r="BG43" s="89">
        <v>0</v>
      </c>
      <c r="BH43" s="112" t="e">
        <f t="shared" ref="BH43" si="1225">BG43/$P43</f>
        <v>#DIV/0!</v>
      </c>
      <c r="BI43" s="89">
        <v>0</v>
      </c>
      <c r="BJ43" s="112" t="e">
        <f t="shared" ref="BJ43" si="1226">BI43/$P43</f>
        <v>#DIV/0!</v>
      </c>
      <c r="BK43" s="89">
        <v>0</v>
      </c>
      <c r="BL43" s="112" t="e">
        <f t="shared" ref="BL43" si="1227">BK43/$P43</f>
        <v>#DIV/0!</v>
      </c>
      <c r="BM43" s="89">
        <v>0</v>
      </c>
      <c r="BN43" s="112" t="e">
        <f t="shared" ref="BN43" si="1228">BM43/$P43</f>
        <v>#DIV/0!</v>
      </c>
      <c r="BO43" s="89">
        <v>0</v>
      </c>
      <c r="BP43" s="112" t="e">
        <f t="shared" ref="BP43" si="1229">BO43/$P43</f>
        <v>#DIV/0!</v>
      </c>
      <c r="BQ43" s="89">
        <v>0</v>
      </c>
      <c r="BR43" s="112" t="e">
        <f t="shared" ref="BR43" si="1230">BQ43/$P43</f>
        <v>#DIV/0!</v>
      </c>
      <c r="BS43" s="89">
        <f t="shared" si="4"/>
        <v>0</v>
      </c>
      <c r="BT43" s="113" t="e">
        <f t="shared" si="33"/>
        <v>#DIV/0!</v>
      </c>
      <c r="BU43" s="89">
        <v>0</v>
      </c>
      <c r="BV43" s="112" t="e">
        <f t="shared" ref="BV43" si="1231">BU43/$P43</f>
        <v>#DIV/0!</v>
      </c>
      <c r="BW43" s="89">
        <v>0</v>
      </c>
      <c r="BX43" s="112" t="e">
        <f t="shared" ref="BX43" si="1232">BW43/$P43</f>
        <v>#DIV/0!</v>
      </c>
      <c r="BY43" s="89">
        <v>0</v>
      </c>
      <c r="BZ43" s="112" t="e">
        <f t="shared" ref="BZ43" si="1233">BY43/$P43</f>
        <v>#DIV/0!</v>
      </c>
      <c r="CA43" s="89">
        <v>0</v>
      </c>
      <c r="CB43" s="112" t="e">
        <f t="shared" ref="CB43" si="1234">CA43/$P43</f>
        <v>#DIV/0!</v>
      </c>
      <c r="CC43" s="89">
        <v>0</v>
      </c>
      <c r="CD43" s="112" t="e">
        <f t="shared" ref="CD43" si="1235">CC43/$P43</f>
        <v>#DIV/0!</v>
      </c>
      <c r="CE43" s="89">
        <v>0</v>
      </c>
      <c r="CF43" s="112" t="e">
        <f t="shared" ref="CF43" si="1236">CE43/$P43</f>
        <v>#DIV/0!</v>
      </c>
      <c r="CG43" s="89">
        <f t="shared" si="5"/>
        <v>0</v>
      </c>
      <c r="CH43" s="113" t="e">
        <f t="shared" si="40"/>
        <v>#DIV/0!</v>
      </c>
      <c r="CI43" s="89">
        <v>0</v>
      </c>
      <c r="CJ43" s="112" t="e">
        <f t="shared" ref="CJ43" si="1237">CI43/$P43</f>
        <v>#DIV/0!</v>
      </c>
      <c r="CK43" s="89">
        <v>0</v>
      </c>
      <c r="CL43" s="112" t="e">
        <f t="shared" ref="CL43" si="1238">CK43/$P43</f>
        <v>#DIV/0!</v>
      </c>
      <c r="CM43" s="89">
        <v>0</v>
      </c>
      <c r="CN43" s="112" t="e">
        <f t="shared" ref="CN43" si="1239">CM43/$P43</f>
        <v>#DIV/0!</v>
      </c>
      <c r="CO43" s="89">
        <v>0</v>
      </c>
      <c r="CP43" s="112" t="e">
        <f t="shared" ref="CP43" si="1240">CO43/$P43</f>
        <v>#DIV/0!</v>
      </c>
      <c r="CQ43" s="89">
        <v>0</v>
      </c>
      <c r="CR43" s="112" t="e">
        <f t="shared" ref="CR43" si="1241">CQ43/$P43</f>
        <v>#DIV/0!</v>
      </c>
      <c r="CS43" s="89">
        <v>0</v>
      </c>
      <c r="CT43" s="112" t="e">
        <f t="shared" ref="CT43" si="1242">CS43/$P43</f>
        <v>#DIV/0!</v>
      </c>
      <c r="CU43" s="89">
        <f t="shared" si="6"/>
        <v>0</v>
      </c>
      <c r="CV43" s="113" t="e">
        <f t="shared" si="47"/>
        <v>#DIV/0!</v>
      </c>
    </row>
    <row r="44" spans="2:100" ht="19.95" customHeight="1">
      <c r="B44" s="86"/>
      <c r="C44" s="88">
        <v>32</v>
      </c>
      <c r="D44" s="1" t="s">
        <v>121</v>
      </c>
      <c r="E44" s="88">
        <f>E5</f>
        <v>35.6</v>
      </c>
      <c r="F44" s="89">
        <v>1.45</v>
      </c>
      <c r="G44" s="89">
        <f t="shared" si="1208"/>
        <v>51.62</v>
      </c>
      <c r="H44" s="90"/>
      <c r="I44" s="90"/>
      <c r="J44" s="90"/>
      <c r="K44" s="91"/>
      <c r="L44" s="1"/>
      <c r="N44" s="95">
        <f>G44-K44</f>
        <v>51.62</v>
      </c>
      <c r="O44" s="89"/>
      <c r="P44" s="89">
        <v>0</v>
      </c>
      <c r="Q44" s="89">
        <v>0</v>
      </c>
      <c r="R44" s="112" t="e">
        <f t="shared" si="7"/>
        <v>#DIV/0!</v>
      </c>
      <c r="S44" s="89">
        <v>0</v>
      </c>
      <c r="T44" s="112" t="e">
        <f t="shared" si="7"/>
        <v>#DIV/0!</v>
      </c>
      <c r="U44" s="89">
        <v>0</v>
      </c>
      <c r="V44" s="112" t="e">
        <f t="shared" ref="V44" si="1243">U44/$P44</f>
        <v>#DIV/0!</v>
      </c>
      <c r="W44" s="89">
        <v>0</v>
      </c>
      <c r="X44" s="112" t="e">
        <f t="shared" ref="X44" si="1244">W44/$P44</f>
        <v>#DIV/0!</v>
      </c>
      <c r="Y44" s="89">
        <v>0</v>
      </c>
      <c r="Z44" s="112" t="e">
        <f t="shared" ref="Z44" si="1245">Y44/$P44</f>
        <v>#DIV/0!</v>
      </c>
      <c r="AA44" s="89">
        <v>0</v>
      </c>
      <c r="AB44" s="112" t="e">
        <f t="shared" ref="AB44" si="1246">AA44/$P44</f>
        <v>#DIV/0!</v>
      </c>
      <c r="AC44" s="89">
        <f t="shared" si="837"/>
        <v>0</v>
      </c>
      <c r="AD44" s="113" t="e">
        <f t="shared" si="12"/>
        <v>#DIV/0!</v>
      </c>
      <c r="AE44" s="89">
        <v>0</v>
      </c>
      <c r="AF44" s="112" t="e">
        <f t="shared" ref="AF44" si="1247">AE44/$P44</f>
        <v>#DIV/0!</v>
      </c>
      <c r="AG44" s="89">
        <v>0</v>
      </c>
      <c r="AH44" s="112" t="e">
        <f t="shared" ref="AH44" si="1248">AG44/$P44</f>
        <v>#DIV/0!</v>
      </c>
      <c r="AI44" s="89">
        <v>0</v>
      </c>
      <c r="AJ44" s="112" t="e">
        <f t="shared" ref="AJ44" si="1249">AI44/$P44</f>
        <v>#DIV/0!</v>
      </c>
      <c r="AK44" s="89">
        <v>0</v>
      </c>
      <c r="AL44" s="112" t="e">
        <f t="shared" ref="AL44" si="1250">AK44/$P44</f>
        <v>#DIV/0!</v>
      </c>
      <c r="AM44" s="89">
        <v>0</v>
      </c>
      <c r="AN44" s="112" t="e">
        <f t="shared" ref="AN44" si="1251">AM44/$P44</f>
        <v>#DIV/0!</v>
      </c>
      <c r="AO44" s="89">
        <v>0</v>
      </c>
      <c r="AP44" s="112" t="e">
        <f t="shared" ref="AP44" si="1252">AO44/$P44</f>
        <v>#DIV/0!</v>
      </c>
      <c r="AQ44" s="89">
        <f t="shared" si="2"/>
        <v>0</v>
      </c>
      <c r="AR44" s="113" t="e">
        <f t="shared" si="19"/>
        <v>#DIV/0!</v>
      </c>
      <c r="AS44" s="89">
        <v>0</v>
      </c>
      <c r="AT44" s="112" t="e">
        <f t="shared" ref="AT44" si="1253">AS44/$P44</f>
        <v>#DIV/0!</v>
      </c>
      <c r="AU44" s="89">
        <v>0</v>
      </c>
      <c r="AV44" s="112" t="e">
        <f t="shared" ref="AV44" si="1254">AU44/$P44</f>
        <v>#DIV/0!</v>
      </c>
      <c r="AW44" s="89">
        <v>0</v>
      </c>
      <c r="AX44" s="112" t="e">
        <f t="shared" ref="AX44" si="1255">AW44/$P44</f>
        <v>#DIV/0!</v>
      </c>
      <c r="AY44" s="89">
        <v>0</v>
      </c>
      <c r="AZ44" s="112" t="e">
        <f t="shared" ref="AZ44" si="1256">AY44/$P44</f>
        <v>#DIV/0!</v>
      </c>
      <c r="BA44" s="89">
        <v>0</v>
      </c>
      <c r="BB44" s="112" t="e">
        <f t="shared" ref="BB44" si="1257">BA44/$P44</f>
        <v>#DIV/0!</v>
      </c>
      <c r="BC44" s="89">
        <v>0</v>
      </c>
      <c r="BD44" s="112" t="e">
        <f t="shared" ref="BD44" si="1258">BC44/$P44</f>
        <v>#DIV/0!</v>
      </c>
      <c r="BE44" s="89">
        <f t="shared" si="3"/>
        <v>0</v>
      </c>
      <c r="BF44" s="113" t="e">
        <f t="shared" si="26"/>
        <v>#DIV/0!</v>
      </c>
      <c r="BG44" s="89">
        <v>0</v>
      </c>
      <c r="BH44" s="112" t="e">
        <f t="shared" ref="BH44" si="1259">BG44/$P44</f>
        <v>#DIV/0!</v>
      </c>
      <c r="BI44" s="89">
        <v>0</v>
      </c>
      <c r="BJ44" s="112" t="e">
        <f t="shared" ref="BJ44" si="1260">BI44/$P44</f>
        <v>#DIV/0!</v>
      </c>
      <c r="BK44" s="89">
        <v>0</v>
      </c>
      <c r="BL44" s="112" t="e">
        <f t="shared" ref="BL44" si="1261">BK44/$P44</f>
        <v>#DIV/0!</v>
      </c>
      <c r="BM44" s="89">
        <v>0</v>
      </c>
      <c r="BN44" s="112" t="e">
        <f t="shared" ref="BN44" si="1262">BM44/$P44</f>
        <v>#DIV/0!</v>
      </c>
      <c r="BO44" s="89">
        <v>0</v>
      </c>
      <c r="BP44" s="112" t="e">
        <f t="shared" ref="BP44" si="1263">BO44/$P44</f>
        <v>#DIV/0!</v>
      </c>
      <c r="BQ44" s="89">
        <v>0</v>
      </c>
      <c r="BR44" s="112" t="e">
        <f t="shared" ref="BR44" si="1264">BQ44/$P44</f>
        <v>#DIV/0!</v>
      </c>
      <c r="BS44" s="89">
        <f t="shared" si="4"/>
        <v>0</v>
      </c>
      <c r="BT44" s="113" t="e">
        <f t="shared" si="33"/>
        <v>#DIV/0!</v>
      </c>
      <c r="BU44" s="89">
        <v>0</v>
      </c>
      <c r="BV44" s="112" t="e">
        <f t="shared" ref="BV44" si="1265">BU44/$P44</f>
        <v>#DIV/0!</v>
      </c>
      <c r="BW44" s="89">
        <v>0</v>
      </c>
      <c r="BX44" s="112" t="e">
        <f t="shared" ref="BX44" si="1266">BW44/$P44</f>
        <v>#DIV/0!</v>
      </c>
      <c r="BY44" s="89">
        <v>0</v>
      </c>
      <c r="BZ44" s="112" t="e">
        <f t="shared" ref="BZ44" si="1267">BY44/$P44</f>
        <v>#DIV/0!</v>
      </c>
      <c r="CA44" s="89">
        <v>0</v>
      </c>
      <c r="CB44" s="112" t="e">
        <f t="shared" ref="CB44" si="1268">CA44/$P44</f>
        <v>#DIV/0!</v>
      </c>
      <c r="CC44" s="89">
        <v>0</v>
      </c>
      <c r="CD44" s="112" t="e">
        <f t="shared" ref="CD44" si="1269">CC44/$P44</f>
        <v>#DIV/0!</v>
      </c>
      <c r="CE44" s="89">
        <v>0</v>
      </c>
      <c r="CF44" s="112" t="e">
        <f t="shared" ref="CF44" si="1270">CE44/$P44</f>
        <v>#DIV/0!</v>
      </c>
      <c r="CG44" s="89">
        <f t="shared" si="5"/>
        <v>0</v>
      </c>
      <c r="CH44" s="113" t="e">
        <f t="shared" si="40"/>
        <v>#DIV/0!</v>
      </c>
      <c r="CI44" s="89">
        <v>0</v>
      </c>
      <c r="CJ44" s="112" t="e">
        <f t="shared" ref="CJ44" si="1271">CI44/$P44</f>
        <v>#DIV/0!</v>
      </c>
      <c r="CK44" s="89">
        <v>0</v>
      </c>
      <c r="CL44" s="112" t="e">
        <f t="shared" ref="CL44" si="1272">CK44/$P44</f>
        <v>#DIV/0!</v>
      </c>
      <c r="CM44" s="89">
        <v>0</v>
      </c>
      <c r="CN44" s="112" t="e">
        <f t="shared" ref="CN44" si="1273">CM44/$P44</f>
        <v>#DIV/0!</v>
      </c>
      <c r="CO44" s="89">
        <v>0</v>
      </c>
      <c r="CP44" s="112" t="e">
        <f t="shared" ref="CP44" si="1274">CO44/$P44</f>
        <v>#DIV/0!</v>
      </c>
      <c r="CQ44" s="89">
        <v>0</v>
      </c>
      <c r="CR44" s="112" t="e">
        <f t="shared" ref="CR44" si="1275">CQ44/$P44</f>
        <v>#DIV/0!</v>
      </c>
      <c r="CS44" s="89">
        <v>0</v>
      </c>
      <c r="CT44" s="112" t="e">
        <f t="shared" ref="CT44" si="1276">CS44/$P44</f>
        <v>#DIV/0!</v>
      </c>
      <c r="CU44" s="89">
        <f t="shared" si="6"/>
        <v>0</v>
      </c>
      <c r="CV44" s="113" t="e">
        <f t="shared" si="47"/>
        <v>#DIV/0!</v>
      </c>
    </row>
    <row r="45" spans="2:100" ht="19.95" customHeight="1">
      <c r="B45" s="86"/>
      <c r="C45" s="88">
        <v>33</v>
      </c>
      <c r="D45" s="1" t="s">
        <v>211</v>
      </c>
      <c r="E45" s="88">
        <v>34</v>
      </c>
      <c r="F45" s="88">
        <v>3.3</v>
      </c>
      <c r="G45" s="89">
        <f>E45*F45</f>
        <v>112.19999999999999</v>
      </c>
      <c r="H45" s="90">
        <v>1.5</v>
      </c>
      <c r="I45" s="90">
        <v>1</v>
      </c>
      <c r="J45" s="90">
        <v>14</v>
      </c>
      <c r="K45" s="91">
        <f>(H45*I45)*J45</f>
        <v>21</v>
      </c>
      <c r="N45" s="95">
        <f>G45-(K45)</f>
        <v>91.199999999999989</v>
      </c>
      <c r="O45" s="89"/>
      <c r="P45" s="89">
        <v>0</v>
      </c>
      <c r="Q45" s="89">
        <v>0</v>
      </c>
      <c r="R45" s="112" t="e">
        <f t="shared" si="7"/>
        <v>#DIV/0!</v>
      </c>
      <c r="S45" s="89">
        <v>0</v>
      </c>
      <c r="T45" s="112" t="e">
        <f t="shared" si="7"/>
        <v>#DIV/0!</v>
      </c>
      <c r="U45" s="89">
        <v>0</v>
      </c>
      <c r="V45" s="112" t="e">
        <f t="shared" ref="V45" si="1277">U45/$P45</f>
        <v>#DIV/0!</v>
      </c>
      <c r="W45" s="89">
        <v>0</v>
      </c>
      <c r="X45" s="112" t="e">
        <f t="shared" ref="X45" si="1278">W45/$P45</f>
        <v>#DIV/0!</v>
      </c>
      <c r="Y45" s="89">
        <v>0</v>
      </c>
      <c r="Z45" s="112" t="e">
        <f t="shared" ref="Z45" si="1279">Y45/$P45</f>
        <v>#DIV/0!</v>
      </c>
      <c r="AA45" s="89">
        <v>0</v>
      </c>
      <c r="AB45" s="112" t="e">
        <f t="shared" ref="AB45" si="1280">AA45/$P45</f>
        <v>#DIV/0!</v>
      </c>
      <c r="AC45" s="89">
        <f t="shared" si="837"/>
        <v>0</v>
      </c>
      <c r="AD45" s="113" t="e">
        <f t="shared" si="12"/>
        <v>#DIV/0!</v>
      </c>
      <c r="AE45" s="89">
        <v>0</v>
      </c>
      <c r="AF45" s="112" t="e">
        <f t="shared" ref="AF45" si="1281">AE45/$P45</f>
        <v>#DIV/0!</v>
      </c>
      <c r="AG45" s="89">
        <v>0</v>
      </c>
      <c r="AH45" s="112" t="e">
        <f t="shared" ref="AH45" si="1282">AG45/$P45</f>
        <v>#DIV/0!</v>
      </c>
      <c r="AI45" s="89">
        <v>0</v>
      </c>
      <c r="AJ45" s="112" t="e">
        <f t="shared" ref="AJ45" si="1283">AI45/$P45</f>
        <v>#DIV/0!</v>
      </c>
      <c r="AK45" s="89">
        <v>0</v>
      </c>
      <c r="AL45" s="112" t="e">
        <f t="shared" ref="AL45" si="1284">AK45/$P45</f>
        <v>#DIV/0!</v>
      </c>
      <c r="AM45" s="89">
        <v>0</v>
      </c>
      <c r="AN45" s="112" t="e">
        <f t="shared" ref="AN45" si="1285">AM45/$P45</f>
        <v>#DIV/0!</v>
      </c>
      <c r="AO45" s="89">
        <v>0</v>
      </c>
      <c r="AP45" s="112" t="e">
        <f t="shared" ref="AP45" si="1286">AO45/$P45</f>
        <v>#DIV/0!</v>
      </c>
      <c r="AQ45" s="89">
        <f t="shared" si="2"/>
        <v>0</v>
      </c>
      <c r="AR45" s="113" t="e">
        <f t="shared" si="19"/>
        <v>#DIV/0!</v>
      </c>
      <c r="AS45" s="89">
        <v>0</v>
      </c>
      <c r="AT45" s="112" t="e">
        <f t="shared" ref="AT45" si="1287">AS45/$P45</f>
        <v>#DIV/0!</v>
      </c>
      <c r="AU45" s="89">
        <v>0</v>
      </c>
      <c r="AV45" s="112" t="e">
        <f t="shared" ref="AV45" si="1288">AU45/$P45</f>
        <v>#DIV/0!</v>
      </c>
      <c r="AW45" s="89">
        <v>0</v>
      </c>
      <c r="AX45" s="112" t="e">
        <f t="shared" ref="AX45" si="1289">AW45/$P45</f>
        <v>#DIV/0!</v>
      </c>
      <c r="AY45" s="89">
        <v>0</v>
      </c>
      <c r="AZ45" s="112" t="e">
        <f t="shared" ref="AZ45" si="1290">AY45/$P45</f>
        <v>#DIV/0!</v>
      </c>
      <c r="BA45" s="89">
        <v>0</v>
      </c>
      <c r="BB45" s="112" t="e">
        <f t="shared" ref="BB45" si="1291">BA45/$P45</f>
        <v>#DIV/0!</v>
      </c>
      <c r="BC45" s="89">
        <v>0</v>
      </c>
      <c r="BD45" s="112" t="e">
        <f t="shared" ref="BD45" si="1292">BC45/$P45</f>
        <v>#DIV/0!</v>
      </c>
      <c r="BE45" s="89">
        <f t="shared" si="3"/>
        <v>0</v>
      </c>
      <c r="BF45" s="113" t="e">
        <f t="shared" si="26"/>
        <v>#DIV/0!</v>
      </c>
      <c r="BG45" s="89">
        <v>0</v>
      </c>
      <c r="BH45" s="112" t="e">
        <f t="shared" ref="BH45" si="1293">BG45/$P45</f>
        <v>#DIV/0!</v>
      </c>
      <c r="BI45" s="89">
        <v>0</v>
      </c>
      <c r="BJ45" s="112" t="e">
        <f t="shared" ref="BJ45" si="1294">BI45/$P45</f>
        <v>#DIV/0!</v>
      </c>
      <c r="BK45" s="89">
        <v>0</v>
      </c>
      <c r="BL45" s="112" t="e">
        <f t="shared" ref="BL45" si="1295">BK45/$P45</f>
        <v>#DIV/0!</v>
      </c>
      <c r="BM45" s="89">
        <v>0</v>
      </c>
      <c r="BN45" s="112" t="e">
        <f t="shared" ref="BN45" si="1296">BM45/$P45</f>
        <v>#DIV/0!</v>
      </c>
      <c r="BO45" s="89">
        <v>0</v>
      </c>
      <c r="BP45" s="112" t="e">
        <f t="shared" ref="BP45" si="1297">BO45/$P45</f>
        <v>#DIV/0!</v>
      </c>
      <c r="BQ45" s="89">
        <v>0</v>
      </c>
      <c r="BR45" s="112" t="e">
        <f t="shared" ref="BR45" si="1298">BQ45/$P45</f>
        <v>#DIV/0!</v>
      </c>
      <c r="BS45" s="89">
        <f t="shared" si="4"/>
        <v>0</v>
      </c>
      <c r="BT45" s="113" t="e">
        <f t="shared" si="33"/>
        <v>#DIV/0!</v>
      </c>
      <c r="BU45" s="89">
        <v>0</v>
      </c>
      <c r="BV45" s="112" t="e">
        <f t="shared" ref="BV45" si="1299">BU45/$P45</f>
        <v>#DIV/0!</v>
      </c>
      <c r="BW45" s="89">
        <v>0</v>
      </c>
      <c r="BX45" s="112" t="e">
        <f t="shared" ref="BX45" si="1300">BW45/$P45</f>
        <v>#DIV/0!</v>
      </c>
      <c r="BY45" s="89">
        <v>0</v>
      </c>
      <c r="BZ45" s="112" t="e">
        <f t="shared" ref="BZ45" si="1301">BY45/$P45</f>
        <v>#DIV/0!</v>
      </c>
      <c r="CA45" s="89">
        <v>0</v>
      </c>
      <c r="CB45" s="112" t="e">
        <f t="shared" ref="CB45" si="1302">CA45/$P45</f>
        <v>#DIV/0!</v>
      </c>
      <c r="CC45" s="89">
        <v>0</v>
      </c>
      <c r="CD45" s="112" t="e">
        <f t="shared" ref="CD45" si="1303">CC45/$P45</f>
        <v>#DIV/0!</v>
      </c>
      <c r="CE45" s="89">
        <v>0</v>
      </c>
      <c r="CF45" s="112" t="e">
        <f t="shared" ref="CF45" si="1304">CE45/$P45</f>
        <v>#DIV/0!</v>
      </c>
      <c r="CG45" s="89">
        <f t="shared" si="5"/>
        <v>0</v>
      </c>
      <c r="CH45" s="113" t="e">
        <f t="shared" si="40"/>
        <v>#DIV/0!</v>
      </c>
      <c r="CI45" s="89">
        <v>0</v>
      </c>
      <c r="CJ45" s="112" t="e">
        <f t="shared" ref="CJ45" si="1305">CI45/$P45</f>
        <v>#DIV/0!</v>
      </c>
      <c r="CK45" s="89">
        <v>0</v>
      </c>
      <c r="CL45" s="112" t="e">
        <f t="shared" ref="CL45" si="1306">CK45/$P45</f>
        <v>#DIV/0!</v>
      </c>
      <c r="CM45" s="89">
        <v>0</v>
      </c>
      <c r="CN45" s="112" t="e">
        <f t="shared" ref="CN45" si="1307">CM45/$P45</f>
        <v>#DIV/0!</v>
      </c>
      <c r="CO45" s="89">
        <v>0</v>
      </c>
      <c r="CP45" s="112" t="e">
        <f t="shared" ref="CP45" si="1308">CO45/$P45</f>
        <v>#DIV/0!</v>
      </c>
      <c r="CQ45" s="89">
        <v>0</v>
      </c>
      <c r="CR45" s="112" t="e">
        <f t="shared" ref="CR45" si="1309">CQ45/$P45</f>
        <v>#DIV/0!</v>
      </c>
      <c r="CS45" s="89">
        <v>0</v>
      </c>
      <c r="CT45" s="112" t="e">
        <f t="shared" ref="CT45" si="1310">CS45/$P45</f>
        <v>#DIV/0!</v>
      </c>
      <c r="CU45" s="89">
        <f t="shared" si="6"/>
        <v>0</v>
      </c>
      <c r="CV45" s="113" t="e">
        <f t="shared" si="47"/>
        <v>#DIV/0!</v>
      </c>
    </row>
    <row r="46" spans="2:100" ht="19.95" customHeight="1">
      <c r="B46" s="86"/>
      <c r="C46" s="88">
        <v>34</v>
      </c>
      <c r="D46" s="1" t="s">
        <v>210</v>
      </c>
      <c r="E46" s="88">
        <f>E5</f>
        <v>35.6</v>
      </c>
      <c r="F46" s="88">
        <v>2</v>
      </c>
      <c r="G46" s="89">
        <f>E46*F46</f>
        <v>71.2</v>
      </c>
      <c r="H46" s="90"/>
      <c r="I46" s="90"/>
      <c r="J46" s="90"/>
      <c r="K46" s="91"/>
      <c r="L46" s="95">
        <f>G46-(K46)</f>
        <v>71.2</v>
      </c>
      <c r="M46" s="89"/>
      <c r="N46" s="89"/>
      <c r="O46" s="89"/>
      <c r="P46" s="89">
        <v>0</v>
      </c>
      <c r="Q46" s="89">
        <v>0</v>
      </c>
      <c r="R46" s="112" t="e">
        <f t="shared" si="7"/>
        <v>#DIV/0!</v>
      </c>
      <c r="S46" s="89">
        <v>0</v>
      </c>
      <c r="T46" s="112" t="e">
        <f t="shared" si="7"/>
        <v>#DIV/0!</v>
      </c>
      <c r="U46" s="89">
        <v>0</v>
      </c>
      <c r="V46" s="112" t="e">
        <f t="shared" ref="V46" si="1311">U46/$P46</f>
        <v>#DIV/0!</v>
      </c>
      <c r="W46" s="89">
        <v>0</v>
      </c>
      <c r="X46" s="112" t="e">
        <f t="shared" ref="X46" si="1312">W46/$P46</f>
        <v>#DIV/0!</v>
      </c>
      <c r="Y46" s="89">
        <v>0</v>
      </c>
      <c r="Z46" s="112" t="e">
        <f t="shared" ref="Z46" si="1313">Y46/$P46</f>
        <v>#DIV/0!</v>
      </c>
      <c r="AA46" s="89">
        <v>0</v>
      </c>
      <c r="AB46" s="112" t="e">
        <f t="shared" ref="AB46" si="1314">AA46/$P46</f>
        <v>#DIV/0!</v>
      </c>
      <c r="AC46" s="89">
        <f t="shared" si="837"/>
        <v>0</v>
      </c>
      <c r="AD46" s="113" t="e">
        <f t="shared" si="12"/>
        <v>#DIV/0!</v>
      </c>
      <c r="AE46" s="89">
        <v>0</v>
      </c>
      <c r="AF46" s="112" t="e">
        <f t="shared" ref="AF46" si="1315">AE46/$P46</f>
        <v>#DIV/0!</v>
      </c>
      <c r="AG46" s="89">
        <v>0</v>
      </c>
      <c r="AH46" s="112" t="e">
        <f t="shared" ref="AH46" si="1316">AG46/$P46</f>
        <v>#DIV/0!</v>
      </c>
      <c r="AI46" s="89">
        <v>0</v>
      </c>
      <c r="AJ46" s="112" t="e">
        <f t="shared" ref="AJ46" si="1317">AI46/$P46</f>
        <v>#DIV/0!</v>
      </c>
      <c r="AK46" s="89">
        <v>0</v>
      </c>
      <c r="AL46" s="112" t="e">
        <f t="shared" ref="AL46" si="1318">AK46/$P46</f>
        <v>#DIV/0!</v>
      </c>
      <c r="AM46" s="89">
        <v>0</v>
      </c>
      <c r="AN46" s="112" t="e">
        <f t="shared" ref="AN46" si="1319">AM46/$P46</f>
        <v>#DIV/0!</v>
      </c>
      <c r="AO46" s="89">
        <v>0</v>
      </c>
      <c r="AP46" s="112" t="e">
        <f t="shared" ref="AP46" si="1320">AO46/$P46</f>
        <v>#DIV/0!</v>
      </c>
      <c r="AQ46" s="89">
        <f t="shared" si="2"/>
        <v>0</v>
      </c>
      <c r="AR46" s="113" t="e">
        <f t="shared" si="19"/>
        <v>#DIV/0!</v>
      </c>
      <c r="AS46" s="89">
        <v>0</v>
      </c>
      <c r="AT46" s="112" t="e">
        <f t="shared" ref="AT46" si="1321">AS46/$P46</f>
        <v>#DIV/0!</v>
      </c>
      <c r="AU46" s="89">
        <v>0</v>
      </c>
      <c r="AV46" s="112" t="e">
        <f t="shared" ref="AV46" si="1322">AU46/$P46</f>
        <v>#DIV/0!</v>
      </c>
      <c r="AW46" s="89">
        <v>0</v>
      </c>
      <c r="AX46" s="112" t="e">
        <f t="shared" ref="AX46" si="1323">AW46/$P46</f>
        <v>#DIV/0!</v>
      </c>
      <c r="AY46" s="89">
        <v>0</v>
      </c>
      <c r="AZ46" s="112" t="e">
        <f t="shared" ref="AZ46" si="1324">AY46/$P46</f>
        <v>#DIV/0!</v>
      </c>
      <c r="BA46" s="89">
        <v>0</v>
      </c>
      <c r="BB46" s="112" t="e">
        <f t="shared" ref="BB46" si="1325">BA46/$P46</f>
        <v>#DIV/0!</v>
      </c>
      <c r="BC46" s="89">
        <v>0</v>
      </c>
      <c r="BD46" s="112" t="e">
        <f t="shared" ref="BD46" si="1326">BC46/$P46</f>
        <v>#DIV/0!</v>
      </c>
      <c r="BE46" s="89">
        <f t="shared" si="3"/>
        <v>0</v>
      </c>
      <c r="BF46" s="113" t="e">
        <f t="shared" si="26"/>
        <v>#DIV/0!</v>
      </c>
      <c r="BG46" s="89">
        <v>0</v>
      </c>
      <c r="BH46" s="112" t="e">
        <f t="shared" ref="BH46" si="1327">BG46/$P46</f>
        <v>#DIV/0!</v>
      </c>
      <c r="BI46" s="89">
        <v>0</v>
      </c>
      <c r="BJ46" s="112" t="e">
        <f t="shared" ref="BJ46" si="1328">BI46/$P46</f>
        <v>#DIV/0!</v>
      </c>
      <c r="BK46" s="89">
        <v>0</v>
      </c>
      <c r="BL46" s="112" t="e">
        <f t="shared" ref="BL46" si="1329">BK46/$P46</f>
        <v>#DIV/0!</v>
      </c>
      <c r="BM46" s="89">
        <v>0</v>
      </c>
      <c r="BN46" s="112" t="e">
        <f t="shared" ref="BN46" si="1330">BM46/$P46</f>
        <v>#DIV/0!</v>
      </c>
      <c r="BO46" s="89">
        <v>0</v>
      </c>
      <c r="BP46" s="112" t="e">
        <f t="shared" ref="BP46" si="1331">BO46/$P46</f>
        <v>#DIV/0!</v>
      </c>
      <c r="BQ46" s="89">
        <v>0</v>
      </c>
      <c r="BR46" s="112" t="e">
        <f t="shared" ref="BR46" si="1332">BQ46/$P46</f>
        <v>#DIV/0!</v>
      </c>
      <c r="BS46" s="89">
        <f t="shared" si="4"/>
        <v>0</v>
      </c>
      <c r="BT46" s="113" t="e">
        <f t="shared" si="33"/>
        <v>#DIV/0!</v>
      </c>
      <c r="BU46" s="89">
        <v>0</v>
      </c>
      <c r="BV46" s="112" t="e">
        <f t="shared" ref="BV46" si="1333">BU46/$P46</f>
        <v>#DIV/0!</v>
      </c>
      <c r="BW46" s="89">
        <v>0</v>
      </c>
      <c r="BX46" s="112" t="e">
        <f t="shared" ref="BX46" si="1334">BW46/$P46</f>
        <v>#DIV/0!</v>
      </c>
      <c r="BY46" s="89">
        <v>0</v>
      </c>
      <c r="BZ46" s="112" t="e">
        <f t="shared" ref="BZ46" si="1335">BY46/$P46</f>
        <v>#DIV/0!</v>
      </c>
      <c r="CA46" s="89">
        <v>0</v>
      </c>
      <c r="CB46" s="112" t="e">
        <f t="shared" ref="CB46" si="1336">CA46/$P46</f>
        <v>#DIV/0!</v>
      </c>
      <c r="CC46" s="89">
        <v>0</v>
      </c>
      <c r="CD46" s="112" t="e">
        <f t="shared" ref="CD46" si="1337">CC46/$P46</f>
        <v>#DIV/0!</v>
      </c>
      <c r="CE46" s="89">
        <v>0</v>
      </c>
      <c r="CF46" s="112" t="e">
        <f t="shared" ref="CF46" si="1338">CE46/$P46</f>
        <v>#DIV/0!</v>
      </c>
      <c r="CG46" s="89">
        <f t="shared" si="5"/>
        <v>0</v>
      </c>
      <c r="CH46" s="113" t="e">
        <f t="shared" si="40"/>
        <v>#DIV/0!</v>
      </c>
      <c r="CI46" s="89">
        <v>0</v>
      </c>
      <c r="CJ46" s="112" t="e">
        <f t="shared" ref="CJ46" si="1339">CI46/$P46</f>
        <v>#DIV/0!</v>
      </c>
      <c r="CK46" s="89">
        <v>0</v>
      </c>
      <c r="CL46" s="112" t="e">
        <f t="shared" ref="CL46" si="1340">CK46/$P46</f>
        <v>#DIV/0!</v>
      </c>
      <c r="CM46" s="89">
        <v>0</v>
      </c>
      <c r="CN46" s="112" t="e">
        <f t="shared" ref="CN46" si="1341">CM46/$P46</f>
        <v>#DIV/0!</v>
      </c>
      <c r="CO46" s="89">
        <v>0</v>
      </c>
      <c r="CP46" s="112" t="e">
        <f t="shared" ref="CP46" si="1342">CO46/$P46</f>
        <v>#DIV/0!</v>
      </c>
      <c r="CQ46" s="89">
        <v>0</v>
      </c>
      <c r="CR46" s="112" t="e">
        <f t="shared" ref="CR46" si="1343">CQ46/$P46</f>
        <v>#DIV/0!</v>
      </c>
      <c r="CS46" s="89">
        <v>0</v>
      </c>
      <c r="CT46" s="112" t="e">
        <f t="shared" ref="CT46" si="1344">CS46/$P46</f>
        <v>#DIV/0!</v>
      </c>
      <c r="CU46" s="89">
        <f t="shared" si="6"/>
        <v>0</v>
      </c>
      <c r="CV46" s="113" t="e">
        <f t="shared" si="47"/>
        <v>#DIV/0!</v>
      </c>
    </row>
    <row r="47" spans="2:100" ht="19.95" customHeight="1">
      <c r="B47" s="86"/>
      <c r="C47" s="88">
        <v>35</v>
      </c>
      <c r="D47" s="1" t="s">
        <v>210</v>
      </c>
      <c r="E47" s="88">
        <f>E5</f>
        <v>35.6</v>
      </c>
      <c r="F47" s="88">
        <v>2.04</v>
      </c>
      <c r="G47" s="89">
        <f>E47*F47</f>
        <v>72.624000000000009</v>
      </c>
      <c r="H47" s="90">
        <v>32</v>
      </c>
      <c r="I47" s="90">
        <v>1</v>
      </c>
      <c r="J47" s="90">
        <v>1</v>
      </c>
      <c r="K47" s="91">
        <f>(H47*I47)*J47</f>
        <v>32</v>
      </c>
      <c r="L47" s="95">
        <f>G47-(K47)</f>
        <v>40.624000000000009</v>
      </c>
      <c r="M47" s="89"/>
      <c r="N47" s="89"/>
      <c r="O47" s="89"/>
      <c r="P47" s="89">
        <v>0</v>
      </c>
      <c r="Q47" s="89">
        <v>0</v>
      </c>
      <c r="R47" s="112" t="e">
        <f t="shared" si="7"/>
        <v>#DIV/0!</v>
      </c>
      <c r="S47" s="89">
        <v>0</v>
      </c>
      <c r="T47" s="112" t="e">
        <f t="shared" si="7"/>
        <v>#DIV/0!</v>
      </c>
      <c r="U47" s="89">
        <v>0</v>
      </c>
      <c r="V47" s="112" t="e">
        <f t="shared" ref="V47" si="1345">U47/$P47</f>
        <v>#DIV/0!</v>
      </c>
      <c r="W47" s="89">
        <v>0</v>
      </c>
      <c r="X47" s="112" t="e">
        <f t="shared" ref="X47" si="1346">W47/$P47</f>
        <v>#DIV/0!</v>
      </c>
      <c r="Y47" s="89">
        <v>0</v>
      </c>
      <c r="Z47" s="112" t="e">
        <f t="shared" ref="Z47" si="1347">Y47/$P47</f>
        <v>#DIV/0!</v>
      </c>
      <c r="AA47" s="89">
        <v>0</v>
      </c>
      <c r="AB47" s="112" t="e">
        <f t="shared" ref="AB47" si="1348">AA47/$P47</f>
        <v>#DIV/0!</v>
      </c>
      <c r="AC47" s="89">
        <f t="shared" si="837"/>
        <v>0</v>
      </c>
      <c r="AD47" s="113" t="e">
        <f t="shared" si="12"/>
        <v>#DIV/0!</v>
      </c>
      <c r="AE47" s="89">
        <v>0</v>
      </c>
      <c r="AF47" s="112" t="e">
        <f t="shared" ref="AF47" si="1349">AE47/$P47</f>
        <v>#DIV/0!</v>
      </c>
      <c r="AG47" s="89">
        <v>0</v>
      </c>
      <c r="AH47" s="112" t="e">
        <f t="shared" ref="AH47" si="1350">AG47/$P47</f>
        <v>#DIV/0!</v>
      </c>
      <c r="AI47" s="89">
        <v>0</v>
      </c>
      <c r="AJ47" s="112" t="e">
        <f t="shared" ref="AJ47" si="1351">AI47/$P47</f>
        <v>#DIV/0!</v>
      </c>
      <c r="AK47" s="89">
        <v>0</v>
      </c>
      <c r="AL47" s="112" t="e">
        <f t="shared" ref="AL47" si="1352">AK47/$P47</f>
        <v>#DIV/0!</v>
      </c>
      <c r="AM47" s="89">
        <v>0</v>
      </c>
      <c r="AN47" s="112" t="e">
        <f t="shared" ref="AN47" si="1353">AM47/$P47</f>
        <v>#DIV/0!</v>
      </c>
      <c r="AO47" s="89">
        <v>0</v>
      </c>
      <c r="AP47" s="112" t="e">
        <f t="shared" ref="AP47" si="1354">AO47/$P47</f>
        <v>#DIV/0!</v>
      </c>
      <c r="AQ47" s="89">
        <f t="shared" si="2"/>
        <v>0</v>
      </c>
      <c r="AR47" s="113" t="e">
        <f t="shared" si="19"/>
        <v>#DIV/0!</v>
      </c>
      <c r="AS47" s="89">
        <v>0</v>
      </c>
      <c r="AT47" s="112" t="e">
        <f t="shared" ref="AT47" si="1355">AS47/$P47</f>
        <v>#DIV/0!</v>
      </c>
      <c r="AU47" s="89">
        <v>0</v>
      </c>
      <c r="AV47" s="112" t="e">
        <f t="shared" ref="AV47" si="1356">AU47/$P47</f>
        <v>#DIV/0!</v>
      </c>
      <c r="AW47" s="89">
        <v>0</v>
      </c>
      <c r="AX47" s="112" t="e">
        <f t="shared" ref="AX47" si="1357">AW47/$P47</f>
        <v>#DIV/0!</v>
      </c>
      <c r="AY47" s="89">
        <v>0</v>
      </c>
      <c r="AZ47" s="112" t="e">
        <f t="shared" ref="AZ47" si="1358">AY47/$P47</f>
        <v>#DIV/0!</v>
      </c>
      <c r="BA47" s="89">
        <v>0</v>
      </c>
      <c r="BB47" s="112" t="e">
        <f t="shared" ref="BB47" si="1359">BA47/$P47</f>
        <v>#DIV/0!</v>
      </c>
      <c r="BC47" s="89">
        <v>0</v>
      </c>
      <c r="BD47" s="112" t="e">
        <f t="shared" ref="BD47" si="1360">BC47/$P47</f>
        <v>#DIV/0!</v>
      </c>
      <c r="BE47" s="89">
        <f t="shared" si="3"/>
        <v>0</v>
      </c>
      <c r="BF47" s="113" t="e">
        <f t="shared" si="26"/>
        <v>#DIV/0!</v>
      </c>
      <c r="BG47" s="89">
        <v>0</v>
      </c>
      <c r="BH47" s="112" t="e">
        <f t="shared" ref="BH47" si="1361">BG47/$P47</f>
        <v>#DIV/0!</v>
      </c>
      <c r="BI47" s="89">
        <v>0</v>
      </c>
      <c r="BJ47" s="112" t="e">
        <f t="shared" ref="BJ47" si="1362">BI47/$P47</f>
        <v>#DIV/0!</v>
      </c>
      <c r="BK47" s="89">
        <v>0</v>
      </c>
      <c r="BL47" s="112" t="e">
        <f t="shared" ref="BL47" si="1363">BK47/$P47</f>
        <v>#DIV/0!</v>
      </c>
      <c r="BM47" s="89">
        <v>0</v>
      </c>
      <c r="BN47" s="112" t="e">
        <f t="shared" ref="BN47" si="1364">BM47/$P47</f>
        <v>#DIV/0!</v>
      </c>
      <c r="BO47" s="89">
        <v>0</v>
      </c>
      <c r="BP47" s="112" t="e">
        <f t="shared" ref="BP47" si="1365">BO47/$P47</f>
        <v>#DIV/0!</v>
      </c>
      <c r="BQ47" s="89">
        <v>0</v>
      </c>
      <c r="BR47" s="112" t="e">
        <f t="shared" ref="BR47" si="1366">BQ47/$P47</f>
        <v>#DIV/0!</v>
      </c>
      <c r="BS47" s="89">
        <f t="shared" si="4"/>
        <v>0</v>
      </c>
      <c r="BT47" s="113" t="e">
        <f t="shared" si="33"/>
        <v>#DIV/0!</v>
      </c>
      <c r="BU47" s="89">
        <v>0</v>
      </c>
      <c r="BV47" s="112" t="e">
        <f t="shared" ref="BV47" si="1367">BU47/$P47</f>
        <v>#DIV/0!</v>
      </c>
      <c r="BW47" s="89">
        <v>0</v>
      </c>
      <c r="BX47" s="112" t="e">
        <f t="shared" ref="BX47" si="1368">BW47/$P47</f>
        <v>#DIV/0!</v>
      </c>
      <c r="BY47" s="89">
        <v>0</v>
      </c>
      <c r="BZ47" s="112" t="e">
        <f t="shared" ref="BZ47" si="1369">BY47/$P47</f>
        <v>#DIV/0!</v>
      </c>
      <c r="CA47" s="89">
        <v>0</v>
      </c>
      <c r="CB47" s="112" t="e">
        <f t="shared" ref="CB47" si="1370">CA47/$P47</f>
        <v>#DIV/0!</v>
      </c>
      <c r="CC47" s="89">
        <v>0</v>
      </c>
      <c r="CD47" s="112" t="e">
        <f t="shared" ref="CD47" si="1371">CC47/$P47</f>
        <v>#DIV/0!</v>
      </c>
      <c r="CE47" s="89">
        <v>0</v>
      </c>
      <c r="CF47" s="112" t="e">
        <f t="shared" ref="CF47" si="1372">CE47/$P47</f>
        <v>#DIV/0!</v>
      </c>
      <c r="CG47" s="89">
        <f t="shared" si="5"/>
        <v>0</v>
      </c>
      <c r="CH47" s="113" t="e">
        <f t="shared" si="40"/>
        <v>#DIV/0!</v>
      </c>
      <c r="CI47" s="89">
        <v>0</v>
      </c>
      <c r="CJ47" s="112" t="e">
        <f t="shared" ref="CJ47" si="1373">CI47/$P47</f>
        <v>#DIV/0!</v>
      </c>
      <c r="CK47" s="89">
        <v>0</v>
      </c>
      <c r="CL47" s="112" t="e">
        <f t="shared" ref="CL47" si="1374">CK47/$P47</f>
        <v>#DIV/0!</v>
      </c>
      <c r="CM47" s="89">
        <v>0</v>
      </c>
      <c r="CN47" s="112" t="e">
        <f t="shared" ref="CN47" si="1375">CM47/$P47</f>
        <v>#DIV/0!</v>
      </c>
      <c r="CO47" s="89">
        <v>0</v>
      </c>
      <c r="CP47" s="112" t="e">
        <f t="shared" ref="CP47" si="1376">CO47/$P47</f>
        <v>#DIV/0!</v>
      </c>
      <c r="CQ47" s="89">
        <v>0</v>
      </c>
      <c r="CR47" s="112" t="e">
        <f t="shared" ref="CR47" si="1377">CQ47/$P47</f>
        <v>#DIV/0!</v>
      </c>
      <c r="CS47" s="89">
        <v>0</v>
      </c>
      <c r="CT47" s="112" t="e">
        <f t="shared" ref="CT47" si="1378">CS47/$P47</f>
        <v>#DIV/0!</v>
      </c>
      <c r="CU47" s="89">
        <f t="shared" si="6"/>
        <v>0</v>
      </c>
      <c r="CV47" s="113" t="e">
        <f t="shared" si="47"/>
        <v>#DIV/0!</v>
      </c>
    </row>
    <row r="48" spans="2:100" ht="19.95" customHeight="1">
      <c r="B48" s="86"/>
      <c r="C48" s="88">
        <v>36</v>
      </c>
      <c r="D48" s="1" t="s">
        <v>210</v>
      </c>
      <c r="E48" s="88">
        <f>E7</f>
        <v>35.6</v>
      </c>
      <c r="F48" s="88">
        <v>2</v>
      </c>
      <c r="G48" s="89">
        <f>E48*F48</f>
        <v>71.2</v>
      </c>
      <c r="H48" s="90"/>
      <c r="I48" s="90"/>
      <c r="J48" s="90"/>
      <c r="K48" s="91"/>
      <c r="L48" s="95">
        <f>G48-(K48)</f>
        <v>71.2</v>
      </c>
      <c r="M48" s="89"/>
      <c r="N48" s="89"/>
      <c r="O48" s="89"/>
      <c r="P48" s="89">
        <v>0</v>
      </c>
      <c r="Q48" s="89">
        <v>0</v>
      </c>
      <c r="R48" s="112" t="e">
        <f t="shared" si="7"/>
        <v>#DIV/0!</v>
      </c>
      <c r="S48" s="89">
        <v>0</v>
      </c>
      <c r="T48" s="112" t="e">
        <f t="shared" si="7"/>
        <v>#DIV/0!</v>
      </c>
      <c r="U48" s="89">
        <v>0</v>
      </c>
      <c r="V48" s="112" t="e">
        <f t="shared" ref="V48" si="1379">U48/$P48</f>
        <v>#DIV/0!</v>
      </c>
      <c r="W48" s="89">
        <v>0</v>
      </c>
      <c r="X48" s="112" t="e">
        <f t="shared" ref="X48" si="1380">W48/$P48</f>
        <v>#DIV/0!</v>
      </c>
      <c r="Y48" s="89">
        <v>0</v>
      </c>
      <c r="Z48" s="112" t="e">
        <f t="shared" ref="Z48" si="1381">Y48/$P48</f>
        <v>#DIV/0!</v>
      </c>
      <c r="AA48" s="89">
        <v>0</v>
      </c>
      <c r="AB48" s="112" t="e">
        <f t="shared" ref="AB48" si="1382">AA48/$P48</f>
        <v>#DIV/0!</v>
      </c>
      <c r="AC48" s="89">
        <f t="shared" si="837"/>
        <v>0</v>
      </c>
      <c r="AD48" s="113" t="e">
        <f t="shared" si="12"/>
        <v>#DIV/0!</v>
      </c>
      <c r="AE48" s="89">
        <v>0</v>
      </c>
      <c r="AF48" s="112" t="e">
        <f t="shared" ref="AF48" si="1383">AE48/$P48</f>
        <v>#DIV/0!</v>
      </c>
      <c r="AG48" s="89">
        <v>0</v>
      </c>
      <c r="AH48" s="112" t="e">
        <f t="shared" ref="AH48" si="1384">AG48/$P48</f>
        <v>#DIV/0!</v>
      </c>
      <c r="AI48" s="89">
        <v>0</v>
      </c>
      <c r="AJ48" s="112" t="e">
        <f t="shared" ref="AJ48" si="1385">AI48/$P48</f>
        <v>#DIV/0!</v>
      </c>
      <c r="AK48" s="89">
        <v>0</v>
      </c>
      <c r="AL48" s="112" t="e">
        <f t="shared" ref="AL48" si="1386">AK48/$P48</f>
        <v>#DIV/0!</v>
      </c>
      <c r="AM48" s="89">
        <v>0</v>
      </c>
      <c r="AN48" s="112" t="e">
        <f t="shared" ref="AN48" si="1387">AM48/$P48</f>
        <v>#DIV/0!</v>
      </c>
      <c r="AO48" s="89">
        <v>0</v>
      </c>
      <c r="AP48" s="112" t="e">
        <f t="shared" ref="AP48" si="1388">AO48/$P48</f>
        <v>#DIV/0!</v>
      </c>
      <c r="AQ48" s="89">
        <f t="shared" si="2"/>
        <v>0</v>
      </c>
      <c r="AR48" s="113" t="e">
        <f t="shared" si="19"/>
        <v>#DIV/0!</v>
      </c>
      <c r="AS48" s="89">
        <v>0</v>
      </c>
      <c r="AT48" s="112" t="e">
        <f t="shared" ref="AT48" si="1389">AS48/$P48</f>
        <v>#DIV/0!</v>
      </c>
      <c r="AU48" s="89">
        <v>0</v>
      </c>
      <c r="AV48" s="112" t="e">
        <f t="shared" ref="AV48" si="1390">AU48/$P48</f>
        <v>#DIV/0!</v>
      </c>
      <c r="AW48" s="89">
        <v>0</v>
      </c>
      <c r="AX48" s="112" t="e">
        <f t="shared" ref="AX48" si="1391">AW48/$P48</f>
        <v>#DIV/0!</v>
      </c>
      <c r="AY48" s="89">
        <v>0</v>
      </c>
      <c r="AZ48" s="112" t="e">
        <f t="shared" ref="AZ48" si="1392">AY48/$P48</f>
        <v>#DIV/0!</v>
      </c>
      <c r="BA48" s="89">
        <v>0</v>
      </c>
      <c r="BB48" s="112" t="e">
        <f t="shared" ref="BB48" si="1393">BA48/$P48</f>
        <v>#DIV/0!</v>
      </c>
      <c r="BC48" s="89">
        <v>0</v>
      </c>
      <c r="BD48" s="112" t="e">
        <f t="shared" ref="BD48" si="1394">BC48/$P48</f>
        <v>#DIV/0!</v>
      </c>
      <c r="BE48" s="89">
        <f t="shared" si="3"/>
        <v>0</v>
      </c>
      <c r="BF48" s="113" t="e">
        <f t="shared" si="26"/>
        <v>#DIV/0!</v>
      </c>
      <c r="BG48" s="89">
        <v>0</v>
      </c>
      <c r="BH48" s="112" t="e">
        <f t="shared" ref="BH48" si="1395">BG48/$P48</f>
        <v>#DIV/0!</v>
      </c>
      <c r="BI48" s="89">
        <v>0</v>
      </c>
      <c r="BJ48" s="112" t="e">
        <f t="shared" ref="BJ48" si="1396">BI48/$P48</f>
        <v>#DIV/0!</v>
      </c>
      <c r="BK48" s="89">
        <v>0</v>
      </c>
      <c r="BL48" s="112" t="e">
        <f t="shared" ref="BL48" si="1397">BK48/$P48</f>
        <v>#DIV/0!</v>
      </c>
      <c r="BM48" s="89">
        <v>0</v>
      </c>
      <c r="BN48" s="112" t="e">
        <f t="shared" ref="BN48" si="1398">BM48/$P48</f>
        <v>#DIV/0!</v>
      </c>
      <c r="BO48" s="89">
        <v>0</v>
      </c>
      <c r="BP48" s="112" t="e">
        <f t="shared" ref="BP48" si="1399">BO48/$P48</f>
        <v>#DIV/0!</v>
      </c>
      <c r="BQ48" s="89">
        <v>0</v>
      </c>
      <c r="BR48" s="112" t="e">
        <f t="shared" ref="BR48" si="1400">BQ48/$P48</f>
        <v>#DIV/0!</v>
      </c>
      <c r="BS48" s="89">
        <f t="shared" si="4"/>
        <v>0</v>
      </c>
      <c r="BT48" s="113" t="e">
        <f t="shared" si="33"/>
        <v>#DIV/0!</v>
      </c>
      <c r="BU48" s="89">
        <v>0</v>
      </c>
      <c r="BV48" s="112" t="e">
        <f t="shared" ref="BV48" si="1401">BU48/$P48</f>
        <v>#DIV/0!</v>
      </c>
      <c r="BW48" s="89">
        <v>0</v>
      </c>
      <c r="BX48" s="112" t="e">
        <f t="shared" ref="BX48" si="1402">BW48/$P48</f>
        <v>#DIV/0!</v>
      </c>
      <c r="BY48" s="89">
        <v>0</v>
      </c>
      <c r="BZ48" s="112" t="e">
        <f t="shared" ref="BZ48" si="1403">BY48/$P48</f>
        <v>#DIV/0!</v>
      </c>
      <c r="CA48" s="89">
        <v>0</v>
      </c>
      <c r="CB48" s="112" t="e">
        <f t="shared" ref="CB48" si="1404">CA48/$P48</f>
        <v>#DIV/0!</v>
      </c>
      <c r="CC48" s="89">
        <v>0</v>
      </c>
      <c r="CD48" s="112" t="e">
        <f t="shared" ref="CD48" si="1405">CC48/$P48</f>
        <v>#DIV/0!</v>
      </c>
      <c r="CE48" s="89">
        <v>0</v>
      </c>
      <c r="CF48" s="112" t="e">
        <f t="shared" ref="CF48" si="1406">CE48/$P48</f>
        <v>#DIV/0!</v>
      </c>
      <c r="CG48" s="89">
        <f t="shared" si="5"/>
        <v>0</v>
      </c>
      <c r="CH48" s="113" t="e">
        <f t="shared" si="40"/>
        <v>#DIV/0!</v>
      </c>
      <c r="CI48" s="89">
        <v>0</v>
      </c>
      <c r="CJ48" s="112" t="e">
        <f t="shared" ref="CJ48" si="1407">CI48/$P48</f>
        <v>#DIV/0!</v>
      </c>
      <c r="CK48" s="89">
        <v>0</v>
      </c>
      <c r="CL48" s="112" t="e">
        <f t="shared" ref="CL48" si="1408">CK48/$P48</f>
        <v>#DIV/0!</v>
      </c>
      <c r="CM48" s="89">
        <v>0</v>
      </c>
      <c r="CN48" s="112" t="e">
        <f t="shared" ref="CN48" si="1409">CM48/$P48</f>
        <v>#DIV/0!</v>
      </c>
      <c r="CO48" s="89">
        <v>0</v>
      </c>
      <c r="CP48" s="112" t="e">
        <f t="shared" ref="CP48" si="1410">CO48/$P48</f>
        <v>#DIV/0!</v>
      </c>
      <c r="CQ48" s="89">
        <v>0</v>
      </c>
      <c r="CR48" s="112" t="e">
        <f t="shared" ref="CR48" si="1411">CQ48/$P48</f>
        <v>#DIV/0!</v>
      </c>
      <c r="CS48" s="89">
        <v>0</v>
      </c>
      <c r="CT48" s="112" t="e">
        <f t="shared" ref="CT48" si="1412">CS48/$P48</f>
        <v>#DIV/0!</v>
      </c>
      <c r="CU48" s="89">
        <f t="shared" si="6"/>
        <v>0</v>
      </c>
      <c r="CV48" s="113" t="e">
        <f t="shared" si="47"/>
        <v>#DIV/0!</v>
      </c>
    </row>
    <row r="49" spans="2:100" ht="19.95" customHeight="1">
      <c r="B49" s="86"/>
      <c r="C49" s="88">
        <v>37</v>
      </c>
      <c r="D49" s="1" t="s">
        <v>211</v>
      </c>
      <c r="E49" s="88">
        <v>34</v>
      </c>
      <c r="F49" s="88">
        <v>3.3</v>
      </c>
      <c r="G49" s="89">
        <f>E49*F49</f>
        <v>112.19999999999999</v>
      </c>
      <c r="H49" s="90">
        <v>1.5</v>
      </c>
      <c r="I49" s="90">
        <v>1</v>
      </c>
      <c r="J49" s="90">
        <v>14</v>
      </c>
      <c r="K49" s="91">
        <f>(H49*I49)*J49</f>
        <v>21</v>
      </c>
      <c r="N49" s="95">
        <f>G49-(K49+K50)</f>
        <v>91.199999999999989</v>
      </c>
      <c r="O49" s="89"/>
      <c r="P49" s="89">
        <v>0</v>
      </c>
      <c r="Q49" s="89">
        <v>0</v>
      </c>
      <c r="R49" s="112" t="e">
        <f t="shared" si="7"/>
        <v>#DIV/0!</v>
      </c>
      <c r="S49" s="89">
        <v>0</v>
      </c>
      <c r="T49" s="112" t="e">
        <f t="shared" si="7"/>
        <v>#DIV/0!</v>
      </c>
      <c r="U49" s="89">
        <v>0</v>
      </c>
      <c r="V49" s="112" t="e">
        <f t="shared" ref="V49" si="1413">U49/$P49</f>
        <v>#DIV/0!</v>
      </c>
      <c r="W49" s="89">
        <v>0</v>
      </c>
      <c r="X49" s="112" t="e">
        <f t="shared" ref="X49" si="1414">W49/$P49</f>
        <v>#DIV/0!</v>
      </c>
      <c r="Y49" s="89">
        <v>0</v>
      </c>
      <c r="Z49" s="112" t="e">
        <f t="shared" ref="Z49" si="1415">Y49/$P49</f>
        <v>#DIV/0!</v>
      </c>
      <c r="AA49" s="89">
        <v>0</v>
      </c>
      <c r="AB49" s="112" t="e">
        <f t="shared" ref="AB49" si="1416">AA49/$P49</f>
        <v>#DIV/0!</v>
      </c>
      <c r="AC49" s="89">
        <f t="shared" si="837"/>
        <v>0</v>
      </c>
      <c r="AD49" s="113" t="e">
        <f t="shared" si="12"/>
        <v>#DIV/0!</v>
      </c>
      <c r="AE49" s="89">
        <v>0</v>
      </c>
      <c r="AF49" s="112" t="e">
        <f t="shared" ref="AF49" si="1417">AE49/$P49</f>
        <v>#DIV/0!</v>
      </c>
      <c r="AG49" s="89">
        <v>0</v>
      </c>
      <c r="AH49" s="112" t="e">
        <f t="shared" ref="AH49" si="1418">AG49/$P49</f>
        <v>#DIV/0!</v>
      </c>
      <c r="AI49" s="89">
        <v>0</v>
      </c>
      <c r="AJ49" s="112" t="e">
        <f t="shared" ref="AJ49" si="1419">AI49/$P49</f>
        <v>#DIV/0!</v>
      </c>
      <c r="AK49" s="89">
        <v>0</v>
      </c>
      <c r="AL49" s="112" t="e">
        <f t="shared" ref="AL49" si="1420">AK49/$P49</f>
        <v>#DIV/0!</v>
      </c>
      <c r="AM49" s="89">
        <v>0</v>
      </c>
      <c r="AN49" s="112" t="e">
        <f t="shared" ref="AN49" si="1421">AM49/$P49</f>
        <v>#DIV/0!</v>
      </c>
      <c r="AO49" s="89">
        <v>0</v>
      </c>
      <c r="AP49" s="112" t="e">
        <f t="shared" ref="AP49" si="1422">AO49/$P49</f>
        <v>#DIV/0!</v>
      </c>
      <c r="AQ49" s="89">
        <f t="shared" si="2"/>
        <v>0</v>
      </c>
      <c r="AR49" s="113" t="e">
        <f t="shared" si="19"/>
        <v>#DIV/0!</v>
      </c>
      <c r="AS49" s="89">
        <v>0</v>
      </c>
      <c r="AT49" s="112" t="e">
        <f t="shared" ref="AT49" si="1423">AS49/$P49</f>
        <v>#DIV/0!</v>
      </c>
      <c r="AU49" s="89">
        <v>0</v>
      </c>
      <c r="AV49" s="112" t="e">
        <f t="shared" ref="AV49" si="1424">AU49/$P49</f>
        <v>#DIV/0!</v>
      </c>
      <c r="AW49" s="89">
        <v>0</v>
      </c>
      <c r="AX49" s="112" t="e">
        <f t="shared" ref="AX49" si="1425">AW49/$P49</f>
        <v>#DIV/0!</v>
      </c>
      <c r="AY49" s="89">
        <v>0</v>
      </c>
      <c r="AZ49" s="112" t="e">
        <f t="shared" ref="AZ49" si="1426">AY49/$P49</f>
        <v>#DIV/0!</v>
      </c>
      <c r="BA49" s="89">
        <v>0</v>
      </c>
      <c r="BB49" s="112" t="e">
        <f t="shared" ref="BB49" si="1427">BA49/$P49</f>
        <v>#DIV/0!</v>
      </c>
      <c r="BC49" s="89">
        <v>0</v>
      </c>
      <c r="BD49" s="112" t="e">
        <f t="shared" ref="BD49" si="1428">BC49/$P49</f>
        <v>#DIV/0!</v>
      </c>
      <c r="BE49" s="89">
        <f t="shared" si="3"/>
        <v>0</v>
      </c>
      <c r="BF49" s="113" t="e">
        <f t="shared" si="26"/>
        <v>#DIV/0!</v>
      </c>
      <c r="BG49" s="89">
        <v>0</v>
      </c>
      <c r="BH49" s="112" t="e">
        <f t="shared" ref="BH49" si="1429">BG49/$P49</f>
        <v>#DIV/0!</v>
      </c>
      <c r="BI49" s="89">
        <v>0</v>
      </c>
      <c r="BJ49" s="112" t="e">
        <f t="shared" ref="BJ49" si="1430">BI49/$P49</f>
        <v>#DIV/0!</v>
      </c>
      <c r="BK49" s="89">
        <v>0</v>
      </c>
      <c r="BL49" s="112" t="e">
        <f t="shared" ref="BL49" si="1431">BK49/$P49</f>
        <v>#DIV/0!</v>
      </c>
      <c r="BM49" s="89">
        <v>0</v>
      </c>
      <c r="BN49" s="112" t="e">
        <f t="shared" ref="BN49" si="1432">BM49/$P49</f>
        <v>#DIV/0!</v>
      </c>
      <c r="BO49" s="89">
        <v>0</v>
      </c>
      <c r="BP49" s="112" t="e">
        <f t="shared" ref="BP49" si="1433">BO49/$P49</f>
        <v>#DIV/0!</v>
      </c>
      <c r="BQ49" s="89">
        <v>0</v>
      </c>
      <c r="BR49" s="112" t="e">
        <f t="shared" ref="BR49" si="1434">BQ49/$P49</f>
        <v>#DIV/0!</v>
      </c>
      <c r="BS49" s="89">
        <f t="shared" si="4"/>
        <v>0</v>
      </c>
      <c r="BT49" s="113" t="e">
        <f t="shared" si="33"/>
        <v>#DIV/0!</v>
      </c>
      <c r="BU49" s="89">
        <v>0</v>
      </c>
      <c r="BV49" s="112" t="e">
        <f t="shared" ref="BV49" si="1435">BU49/$P49</f>
        <v>#DIV/0!</v>
      </c>
      <c r="BW49" s="89">
        <v>0</v>
      </c>
      <c r="BX49" s="112" t="e">
        <f t="shared" ref="BX49" si="1436">BW49/$P49</f>
        <v>#DIV/0!</v>
      </c>
      <c r="BY49" s="89">
        <v>0</v>
      </c>
      <c r="BZ49" s="112" t="e">
        <f t="shared" ref="BZ49" si="1437">BY49/$P49</f>
        <v>#DIV/0!</v>
      </c>
      <c r="CA49" s="89">
        <v>0</v>
      </c>
      <c r="CB49" s="112" t="e">
        <f t="shared" ref="CB49" si="1438">CA49/$P49</f>
        <v>#DIV/0!</v>
      </c>
      <c r="CC49" s="89">
        <v>0</v>
      </c>
      <c r="CD49" s="112" t="e">
        <f t="shared" ref="CD49" si="1439">CC49/$P49</f>
        <v>#DIV/0!</v>
      </c>
      <c r="CE49" s="89">
        <v>0</v>
      </c>
      <c r="CF49" s="112" t="e">
        <f t="shared" ref="CF49" si="1440">CE49/$P49</f>
        <v>#DIV/0!</v>
      </c>
      <c r="CG49" s="89">
        <f t="shared" si="5"/>
        <v>0</v>
      </c>
      <c r="CH49" s="113" t="e">
        <f t="shared" si="40"/>
        <v>#DIV/0!</v>
      </c>
      <c r="CI49" s="89">
        <v>0</v>
      </c>
      <c r="CJ49" s="112" t="e">
        <f t="shared" ref="CJ49" si="1441">CI49/$P49</f>
        <v>#DIV/0!</v>
      </c>
      <c r="CK49" s="89">
        <v>0</v>
      </c>
      <c r="CL49" s="112" t="e">
        <f t="shared" ref="CL49" si="1442">CK49/$P49</f>
        <v>#DIV/0!</v>
      </c>
      <c r="CM49" s="89">
        <v>0</v>
      </c>
      <c r="CN49" s="112" t="e">
        <f t="shared" ref="CN49" si="1443">CM49/$P49</f>
        <v>#DIV/0!</v>
      </c>
      <c r="CO49" s="89">
        <v>0</v>
      </c>
      <c r="CP49" s="112" t="e">
        <f t="shared" ref="CP49" si="1444">CO49/$P49</f>
        <v>#DIV/0!</v>
      </c>
      <c r="CQ49" s="89">
        <v>0</v>
      </c>
      <c r="CR49" s="112" t="e">
        <f t="shared" ref="CR49" si="1445">CQ49/$P49</f>
        <v>#DIV/0!</v>
      </c>
      <c r="CS49" s="89">
        <v>0</v>
      </c>
      <c r="CT49" s="112" t="e">
        <f t="shared" ref="CT49" si="1446">CS49/$P49</f>
        <v>#DIV/0!</v>
      </c>
      <c r="CU49" s="89">
        <f t="shared" si="6"/>
        <v>0</v>
      </c>
      <c r="CV49" s="113" t="e">
        <f t="shared" si="47"/>
        <v>#DIV/0!</v>
      </c>
    </row>
    <row r="50" spans="2:100" ht="19.95" customHeight="1">
      <c r="B50" s="86"/>
      <c r="C50" s="88">
        <v>38</v>
      </c>
      <c r="D50" s="1" t="s">
        <v>121</v>
      </c>
      <c r="E50" s="88">
        <f>E5</f>
        <v>35.6</v>
      </c>
      <c r="F50" s="89">
        <v>0.7</v>
      </c>
      <c r="G50" s="89">
        <f t="shared" ref="G50:G58" si="1447">E50*F50</f>
        <v>24.919999999999998</v>
      </c>
      <c r="H50" s="90"/>
      <c r="I50" s="90"/>
      <c r="J50" s="90"/>
      <c r="K50" s="91"/>
      <c r="L50" s="1"/>
      <c r="N50" s="95">
        <f>G50-K50</f>
        <v>24.919999999999998</v>
      </c>
      <c r="O50" s="89"/>
      <c r="P50" s="89">
        <v>0</v>
      </c>
      <c r="Q50" s="89">
        <v>0</v>
      </c>
      <c r="R50" s="112" t="e">
        <f t="shared" si="7"/>
        <v>#DIV/0!</v>
      </c>
      <c r="S50" s="89">
        <v>0</v>
      </c>
      <c r="T50" s="112" t="e">
        <f t="shared" si="7"/>
        <v>#DIV/0!</v>
      </c>
      <c r="U50" s="89">
        <v>0</v>
      </c>
      <c r="V50" s="112" t="e">
        <f t="shared" ref="V50" si="1448">U50/$P50</f>
        <v>#DIV/0!</v>
      </c>
      <c r="W50" s="89">
        <v>0</v>
      </c>
      <c r="X50" s="112" t="e">
        <f t="shared" ref="X50" si="1449">W50/$P50</f>
        <v>#DIV/0!</v>
      </c>
      <c r="Y50" s="89">
        <v>0</v>
      </c>
      <c r="Z50" s="112" t="e">
        <f t="shared" ref="Z50" si="1450">Y50/$P50</f>
        <v>#DIV/0!</v>
      </c>
      <c r="AA50" s="89">
        <v>0</v>
      </c>
      <c r="AB50" s="112" t="e">
        <f t="shared" ref="AB50" si="1451">AA50/$P50</f>
        <v>#DIV/0!</v>
      </c>
      <c r="AC50" s="89">
        <f t="shared" si="837"/>
        <v>0</v>
      </c>
      <c r="AD50" s="113" t="e">
        <f t="shared" si="12"/>
        <v>#DIV/0!</v>
      </c>
      <c r="AE50" s="89">
        <v>0</v>
      </c>
      <c r="AF50" s="112" t="e">
        <f t="shared" ref="AF50" si="1452">AE50/$P50</f>
        <v>#DIV/0!</v>
      </c>
      <c r="AG50" s="89">
        <v>0</v>
      </c>
      <c r="AH50" s="112" t="e">
        <f t="shared" ref="AH50" si="1453">AG50/$P50</f>
        <v>#DIV/0!</v>
      </c>
      <c r="AI50" s="89">
        <v>0</v>
      </c>
      <c r="AJ50" s="112" t="e">
        <f t="shared" ref="AJ50" si="1454">AI50/$P50</f>
        <v>#DIV/0!</v>
      </c>
      <c r="AK50" s="89">
        <v>0</v>
      </c>
      <c r="AL50" s="112" t="e">
        <f t="shared" ref="AL50" si="1455">AK50/$P50</f>
        <v>#DIV/0!</v>
      </c>
      <c r="AM50" s="89">
        <v>0</v>
      </c>
      <c r="AN50" s="112" t="e">
        <f t="shared" ref="AN50" si="1456">AM50/$P50</f>
        <v>#DIV/0!</v>
      </c>
      <c r="AO50" s="89">
        <v>0</v>
      </c>
      <c r="AP50" s="112" t="e">
        <f t="shared" ref="AP50" si="1457">AO50/$P50</f>
        <v>#DIV/0!</v>
      </c>
      <c r="AQ50" s="89">
        <f t="shared" si="2"/>
        <v>0</v>
      </c>
      <c r="AR50" s="113" t="e">
        <f t="shared" si="19"/>
        <v>#DIV/0!</v>
      </c>
      <c r="AS50" s="89">
        <v>0</v>
      </c>
      <c r="AT50" s="112" t="e">
        <f t="shared" ref="AT50" si="1458">AS50/$P50</f>
        <v>#DIV/0!</v>
      </c>
      <c r="AU50" s="89">
        <v>0</v>
      </c>
      <c r="AV50" s="112" t="e">
        <f t="shared" ref="AV50" si="1459">AU50/$P50</f>
        <v>#DIV/0!</v>
      </c>
      <c r="AW50" s="89">
        <v>0</v>
      </c>
      <c r="AX50" s="112" t="e">
        <f t="shared" ref="AX50" si="1460">AW50/$P50</f>
        <v>#DIV/0!</v>
      </c>
      <c r="AY50" s="89">
        <v>0</v>
      </c>
      <c r="AZ50" s="112" t="e">
        <f t="shared" ref="AZ50" si="1461">AY50/$P50</f>
        <v>#DIV/0!</v>
      </c>
      <c r="BA50" s="89">
        <v>0</v>
      </c>
      <c r="BB50" s="112" t="e">
        <f t="shared" ref="BB50" si="1462">BA50/$P50</f>
        <v>#DIV/0!</v>
      </c>
      <c r="BC50" s="89">
        <v>0</v>
      </c>
      <c r="BD50" s="112" t="e">
        <f t="shared" ref="BD50" si="1463">BC50/$P50</f>
        <v>#DIV/0!</v>
      </c>
      <c r="BE50" s="89">
        <f t="shared" si="3"/>
        <v>0</v>
      </c>
      <c r="BF50" s="113" t="e">
        <f t="shared" si="26"/>
        <v>#DIV/0!</v>
      </c>
      <c r="BG50" s="89">
        <v>0</v>
      </c>
      <c r="BH50" s="112" t="e">
        <f t="shared" ref="BH50" si="1464">BG50/$P50</f>
        <v>#DIV/0!</v>
      </c>
      <c r="BI50" s="89">
        <v>0</v>
      </c>
      <c r="BJ50" s="112" t="e">
        <f t="shared" ref="BJ50" si="1465">BI50/$P50</f>
        <v>#DIV/0!</v>
      </c>
      <c r="BK50" s="89">
        <v>0</v>
      </c>
      <c r="BL50" s="112" t="e">
        <f t="shared" ref="BL50" si="1466">BK50/$P50</f>
        <v>#DIV/0!</v>
      </c>
      <c r="BM50" s="89">
        <v>0</v>
      </c>
      <c r="BN50" s="112" t="e">
        <f t="shared" ref="BN50" si="1467">BM50/$P50</f>
        <v>#DIV/0!</v>
      </c>
      <c r="BO50" s="89">
        <v>0</v>
      </c>
      <c r="BP50" s="112" t="e">
        <f t="shared" ref="BP50" si="1468">BO50/$P50</f>
        <v>#DIV/0!</v>
      </c>
      <c r="BQ50" s="89">
        <v>0</v>
      </c>
      <c r="BR50" s="112" t="e">
        <f t="shared" ref="BR50" si="1469">BQ50/$P50</f>
        <v>#DIV/0!</v>
      </c>
      <c r="BS50" s="89">
        <f t="shared" si="4"/>
        <v>0</v>
      </c>
      <c r="BT50" s="113" t="e">
        <f t="shared" si="33"/>
        <v>#DIV/0!</v>
      </c>
      <c r="BU50" s="89">
        <v>0</v>
      </c>
      <c r="BV50" s="112" t="e">
        <f t="shared" ref="BV50" si="1470">BU50/$P50</f>
        <v>#DIV/0!</v>
      </c>
      <c r="BW50" s="89">
        <v>0</v>
      </c>
      <c r="BX50" s="112" t="e">
        <f t="shared" ref="BX50" si="1471">BW50/$P50</f>
        <v>#DIV/0!</v>
      </c>
      <c r="BY50" s="89">
        <v>0</v>
      </c>
      <c r="BZ50" s="112" t="e">
        <f t="shared" ref="BZ50" si="1472">BY50/$P50</f>
        <v>#DIV/0!</v>
      </c>
      <c r="CA50" s="89">
        <v>0</v>
      </c>
      <c r="CB50" s="112" t="e">
        <f t="shared" ref="CB50" si="1473">CA50/$P50</f>
        <v>#DIV/0!</v>
      </c>
      <c r="CC50" s="89">
        <v>0</v>
      </c>
      <c r="CD50" s="112" t="e">
        <f t="shared" ref="CD50" si="1474">CC50/$P50</f>
        <v>#DIV/0!</v>
      </c>
      <c r="CE50" s="89">
        <v>0</v>
      </c>
      <c r="CF50" s="112" t="e">
        <f t="shared" ref="CF50" si="1475">CE50/$P50</f>
        <v>#DIV/0!</v>
      </c>
      <c r="CG50" s="89">
        <f t="shared" si="5"/>
        <v>0</v>
      </c>
      <c r="CH50" s="113" t="e">
        <f t="shared" si="40"/>
        <v>#DIV/0!</v>
      </c>
      <c r="CI50" s="89">
        <v>0</v>
      </c>
      <c r="CJ50" s="112" t="e">
        <f t="shared" ref="CJ50" si="1476">CI50/$P50</f>
        <v>#DIV/0!</v>
      </c>
      <c r="CK50" s="89">
        <v>0</v>
      </c>
      <c r="CL50" s="112" t="e">
        <f t="shared" ref="CL50" si="1477">CK50/$P50</f>
        <v>#DIV/0!</v>
      </c>
      <c r="CM50" s="89">
        <v>0</v>
      </c>
      <c r="CN50" s="112" t="e">
        <f t="shared" ref="CN50" si="1478">CM50/$P50</f>
        <v>#DIV/0!</v>
      </c>
      <c r="CO50" s="89">
        <v>0</v>
      </c>
      <c r="CP50" s="112" t="e">
        <f t="shared" ref="CP50" si="1479">CO50/$P50</f>
        <v>#DIV/0!</v>
      </c>
      <c r="CQ50" s="89">
        <v>0</v>
      </c>
      <c r="CR50" s="112" t="e">
        <f t="shared" ref="CR50" si="1480">CQ50/$P50</f>
        <v>#DIV/0!</v>
      </c>
      <c r="CS50" s="89">
        <v>0</v>
      </c>
      <c r="CT50" s="112" t="e">
        <f t="shared" ref="CT50" si="1481">CS50/$P50</f>
        <v>#DIV/0!</v>
      </c>
      <c r="CU50" s="89">
        <f t="shared" si="6"/>
        <v>0</v>
      </c>
      <c r="CV50" s="113" t="e">
        <f t="shared" si="47"/>
        <v>#DIV/0!</v>
      </c>
    </row>
    <row r="51" spans="2:100" ht="19.95" customHeight="1">
      <c r="C51" s="88">
        <v>39</v>
      </c>
      <c r="D51" s="1" t="s">
        <v>121</v>
      </c>
      <c r="E51" s="88">
        <f>E5</f>
        <v>35.6</v>
      </c>
      <c r="F51" s="89">
        <v>1.45</v>
      </c>
      <c r="G51" s="89">
        <f t="shared" si="1447"/>
        <v>51.62</v>
      </c>
      <c r="H51" s="90"/>
      <c r="I51" s="90"/>
      <c r="J51" s="90"/>
      <c r="K51" s="91"/>
      <c r="L51" s="1"/>
      <c r="N51" s="95">
        <f>G51-K51</f>
        <v>51.62</v>
      </c>
      <c r="O51" s="89"/>
      <c r="P51" s="89">
        <v>0</v>
      </c>
      <c r="Q51" s="89">
        <v>0</v>
      </c>
      <c r="R51" s="112" t="e">
        <f t="shared" si="7"/>
        <v>#DIV/0!</v>
      </c>
      <c r="S51" s="89">
        <v>0</v>
      </c>
      <c r="T51" s="112" t="e">
        <f t="shared" si="7"/>
        <v>#DIV/0!</v>
      </c>
      <c r="U51" s="89">
        <v>0</v>
      </c>
      <c r="V51" s="112" t="e">
        <f t="shared" ref="V51" si="1482">U51/$P51</f>
        <v>#DIV/0!</v>
      </c>
      <c r="W51" s="89">
        <v>0</v>
      </c>
      <c r="X51" s="112" t="e">
        <f t="shared" ref="X51" si="1483">W51/$P51</f>
        <v>#DIV/0!</v>
      </c>
      <c r="Y51" s="89">
        <v>0</v>
      </c>
      <c r="Z51" s="112" t="e">
        <f t="shared" ref="Z51" si="1484">Y51/$P51</f>
        <v>#DIV/0!</v>
      </c>
      <c r="AA51" s="89">
        <v>0</v>
      </c>
      <c r="AB51" s="112" t="e">
        <f t="shared" ref="AB51" si="1485">AA51/$P51</f>
        <v>#DIV/0!</v>
      </c>
      <c r="AC51" s="89">
        <f t="shared" si="837"/>
        <v>0</v>
      </c>
      <c r="AD51" s="113" t="e">
        <f t="shared" si="12"/>
        <v>#DIV/0!</v>
      </c>
      <c r="AE51" s="89">
        <v>0</v>
      </c>
      <c r="AF51" s="112" t="e">
        <f t="shared" ref="AF51" si="1486">AE51/$P51</f>
        <v>#DIV/0!</v>
      </c>
      <c r="AG51" s="89">
        <v>0</v>
      </c>
      <c r="AH51" s="112" t="e">
        <f t="shared" ref="AH51" si="1487">AG51/$P51</f>
        <v>#DIV/0!</v>
      </c>
      <c r="AI51" s="89">
        <v>0</v>
      </c>
      <c r="AJ51" s="112" t="e">
        <f t="shared" ref="AJ51" si="1488">AI51/$P51</f>
        <v>#DIV/0!</v>
      </c>
      <c r="AK51" s="89">
        <v>0</v>
      </c>
      <c r="AL51" s="112" t="e">
        <f t="shared" ref="AL51" si="1489">AK51/$P51</f>
        <v>#DIV/0!</v>
      </c>
      <c r="AM51" s="89">
        <v>0</v>
      </c>
      <c r="AN51" s="112" t="e">
        <f t="shared" ref="AN51" si="1490">AM51/$P51</f>
        <v>#DIV/0!</v>
      </c>
      <c r="AO51" s="89">
        <v>0</v>
      </c>
      <c r="AP51" s="112" t="e">
        <f t="shared" ref="AP51" si="1491">AO51/$P51</f>
        <v>#DIV/0!</v>
      </c>
      <c r="AQ51" s="89">
        <f t="shared" si="2"/>
        <v>0</v>
      </c>
      <c r="AR51" s="113" t="e">
        <f t="shared" si="19"/>
        <v>#DIV/0!</v>
      </c>
      <c r="AS51" s="89">
        <v>0</v>
      </c>
      <c r="AT51" s="112" t="e">
        <f t="shared" ref="AT51" si="1492">AS51/$P51</f>
        <v>#DIV/0!</v>
      </c>
      <c r="AU51" s="89">
        <v>0</v>
      </c>
      <c r="AV51" s="112" t="e">
        <f t="shared" ref="AV51" si="1493">AU51/$P51</f>
        <v>#DIV/0!</v>
      </c>
      <c r="AW51" s="89">
        <v>0</v>
      </c>
      <c r="AX51" s="112" t="e">
        <f t="shared" ref="AX51" si="1494">AW51/$P51</f>
        <v>#DIV/0!</v>
      </c>
      <c r="AY51" s="89">
        <v>0</v>
      </c>
      <c r="AZ51" s="112" t="e">
        <f t="shared" ref="AZ51" si="1495">AY51/$P51</f>
        <v>#DIV/0!</v>
      </c>
      <c r="BA51" s="89">
        <v>0</v>
      </c>
      <c r="BB51" s="112" t="e">
        <f t="shared" ref="BB51" si="1496">BA51/$P51</f>
        <v>#DIV/0!</v>
      </c>
      <c r="BC51" s="89">
        <v>0</v>
      </c>
      <c r="BD51" s="112" t="e">
        <f t="shared" ref="BD51" si="1497">BC51/$P51</f>
        <v>#DIV/0!</v>
      </c>
      <c r="BE51" s="89">
        <f t="shared" si="3"/>
        <v>0</v>
      </c>
      <c r="BF51" s="113" t="e">
        <f t="shared" si="26"/>
        <v>#DIV/0!</v>
      </c>
      <c r="BG51" s="89">
        <v>0</v>
      </c>
      <c r="BH51" s="112" t="e">
        <f t="shared" ref="BH51" si="1498">BG51/$P51</f>
        <v>#DIV/0!</v>
      </c>
      <c r="BI51" s="89">
        <v>0</v>
      </c>
      <c r="BJ51" s="112" t="e">
        <f t="shared" ref="BJ51" si="1499">BI51/$P51</f>
        <v>#DIV/0!</v>
      </c>
      <c r="BK51" s="89">
        <v>0</v>
      </c>
      <c r="BL51" s="112" t="e">
        <f t="shared" ref="BL51" si="1500">BK51/$P51</f>
        <v>#DIV/0!</v>
      </c>
      <c r="BM51" s="89">
        <v>0</v>
      </c>
      <c r="BN51" s="112" t="e">
        <f t="shared" ref="BN51" si="1501">BM51/$P51</f>
        <v>#DIV/0!</v>
      </c>
      <c r="BO51" s="89">
        <v>0</v>
      </c>
      <c r="BP51" s="112" t="e">
        <f t="shared" ref="BP51" si="1502">BO51/$P51</f>
        <v>#DIV/0!</v>
      </c>
      <c r="BQ51" s="89">
        <v>0</v>
      </c>
      <c r="BR51" s="112" t="e">
        <f t="shared" ref="BR51" si="1503">BQ51/$P51</f>
        <v>#DIV/0!</v>
      </c>
      <c r="BS51" s="89">
        <f t="shared" si="4"/>
        <v>0</v>
      </c>
      <c r="BT51" s="113" t="e">
        <f t="shared" si="33"/>
        <v>#DIV/0!</v>
      </c>
      <c r="BU51" s="89">
        <v>0</v>
      </c>
      <c r="BV51" s="112" t="e">
        <f t="shared" ref="BV51" si="1504">BU51/$P51</f>
        <v>#DIV/0!</v>
      </c>
      <c r="BW51" s="89">
        <v>0</v>
      </c>
      <c r="BX51" s="112" t="e">
        <f t="shared" ref="BX51" si="1505">BW51/$P51</f>
        <v>#DIV/0!</v>
      </c>
      <c r="BY51" s="89">
        <v>0</v>
      </c>
      <c r="BZ51" s="112" t="e">
        <f t="shared" ref="BZ51" si="1506">BY51/$P51</f>
        <v>#DIV/0!</v>
      </c>
      <c r="CA51" s="89">
        <v>0</v>
      </c>
      <c r="CB51" s="112" t="e">
        <f t="shared" ref="CB51" si="1507">CA51/$P51</f>
        <v>#DIV/0!</v>
      </c>
      <c r="CC51" s="89">
        <v>0</v>
      </c>
      <c r="CD51" s="112" t="e">
        <f t="shared" ref="CD51" si="1508">CC51/$P51</f>
        <v>#DIV/0!</v>
      </c>
      <c r="CE51" s="89">
        <v>0</v>
      </c>
      <c r="CF51" s="112" t="e">
        <f t="shared" ref="CF51" si="1509">CE51/$P51</f>
        <v>#DIV/0!</v>
      </c>
      <c r="CG51" s="89">
        <f t="shared" si="5"/>
        <v>0</v>
      </c>
      <c r="CH51" s="113" t="e">
        <f t="shared" si="40"/>
        <v>#DIV/0!</v>
      </c>
      <c r="CI51" s="89">
        <v>0</v>
      </c>
      <c r="CJ51" s="112" t="e">
        <f t="shared" ref="CJ51" si="1510">CI51/$P51</f>
        <v>#DIV/0!</v>
      </c>
      <c r="CK51" s="89">
        <v>0</v>
      </c>
      <c r="CL51" s="112" t="e">
        <f t="shared" ref="CL51" si="1511">CK51/$P51</f>
        <v>#DIV/0!</v>
      </c>
      <c r="CM51" s="89">
        <v>0</v>
      </c>
      <c r="CN51" s="112" t="e">
        <f t="shared" ref="CN51" si="1512">CM51/$P51</f>
        <v>#DIV/0!</v>
      </c>
      <c r="CO51" s="89">
        <v>0</v>
      </c>
      <c r="CP51" s="112" t="e">
        <f t="shared" ref="CP51" si="1513">CO51/$P51</f>
        <v>#DIV/0!</v>
      </c>
      <c r="CQ51" s="89">
        <v>0</v>
      </c>
      <c r="CR51" s="112" t="e">
        <f t="shared" ref="CR51" si="1514">CQ51/$P51</f>
        <v>#DIV/0!</v>
      </c>
      <c r="CS51" s="89">
        <v>0</v>
      </c>
      <c r="CT51" s="112" t="e">
        <f t="shared" ref="CT51" si="1515">CS51/$P51</f>
        <v>#DIV/0!</v>
      </c>
      <c r="CU51" s="89">
        <f t="shared" si="6"/>
        <v>0</v>
      </c>
      <c r="CV51" s="113" t="e">
        <f t="shared" si="47"/>
        <v>#DIV/0!</v>
      </c>
    </row>
    <row r="52" spans="2:100" ht="19.95" customHeight="1">
      <c r="C52" s="88">
        <v>40</v>
      </c>
      <c r="D52" s="1" t="s">
        <v>212</v>
      </c>
      <c r="E52" s="88">
        <f>E5</f>
        <v>35.6</v>
      </c>
      <c r="F52" s="89">
        <v>4.0199999999999996</v>
      </c>
      <c r="G52" s="89">
        <f t="shared" si="1447"/>
        <v>143.11199999999999</v>
      </c>
      <c r="H52" s="90">
        <v>1.5</v>
      </c>
      <c r="I52" s="90">
        <v>1.2</v>
      </c>
      <c r="J52" s="90">
        <v>14</v>
      </c>
      <c r="K52" s="91">
        <f>(H52*I52)*J52</f>
        <v>25.199999999999996</v>
      </c>
      <c r="L52" s="1"/>
      <c r="M52" s="95">
        <f>G52-(K52+K53)</f>
        <v>117.91200000000001</v>
      </c>
      <c r="N52" s="1"/>
      <c r="O52" s="89"/>
      <c r="P52" s="89">
        <v>0</v>
      </c>
      <c r="Q52" s="89">
        <v>0</v>
      </c>
      <c r="R52" s="112" t="e">
        <f t="shared" si="7"/>
        <v>#DIV/0!</v>
      </c>
      <c r="S52" s="89">
        <v>0</v>
      </c>
      <c r="T52" s="112" t="e">
        <f t="shared" si="7"/>
        <v>#DIV/0!</v>
      </c>
      <c r="U52" s="89">
        <v>0</v>
      </c>
      <c r="V52" s="112" t="e">
        <f t="shared" ref="V52" si="1516">U52/$P52</f>
        <v>#DIV/0!</v>
      </c>
      <c r="W52" s="89">
        <v>0</v>
      </c>
      <c r="X52" s="112" t="e">
        <f t="shared" ref="X52" si="1517">W52/$P52</f>
        <v>#DIV/0!</v>
      </c>
      <c r="Y52" s="89">
        <v>0</v>
      </c>
      <c r="Z52" s="112" t="e">
        <f t="shared" ref="Z52" si="1518">Y52/$P52</f>
        <v>#DIV/0!</v>
      </c>
      <c r="AA52" s="89">
        <v>0</v>
      </c>
      <c r="AB52" s="112" t="e">
        <f t="shared" ref="AB52" si="1519">AA52/$P52</f>
        <v>#DIV/0!</v>
      </c>
      <c r="AC52" s="89">
        <f t="shared" si="837"/>
        <v>0</v>
      </c>
      <c r="AD52" s="113" t="e">
        <f t="shared" si="12"/>
        <v>#DIV/0!</v>
      </c>
      <c r="AE52" s="89">
        <v>0</v>
      </c>
      <c r="AF52" s="112" t="e">
        <f t="shared" ref="AF52" si="1520">AE52/$P52</f>
        <v>#DIV/0!</v>
      </c>
      <c r="AG52" s="89">
        <v>0</v>
      </c>
      <c r="AH52" s="112" t="e">
        <f t="shared" ref="AH52" si="1521">AG52/$P52</f>
        <v>#DIV/0!</v>
      </c>
      <c r="AI52" s="89">
        <v>0</v>
      </c>
      <c r="AJ52" s="112" t="e">
        <f t="shared" ref="AJ52" si="1522">AI52/$P52</f>
        <v>#DIV/0!</v>
      </c>
      <c r="AK52" s="89">
        <v>0</v>
      </c>
      <c r="AL52" s="112" t="e">
        <f t="shared" ref="AL52" si="1523">AK52/$P52</f>
        <v>#DIV/0!</v>
      </c>
      <c r="AM52" s="89">
        <v>0</v>
      </c>
      <c r="AN52" s="112" t="e">
        <f t="shared" ref="AN52" si="1524">AM52/$P52</f>
        <v>#DIV/0!</v>
      </c>
      <c r="AO52" s="89">
        <v>0</v>
      </c>
      <c r="AP52" s="112" t="e">
        <f t="shared" ref="AP52" si="1525">AO52/$P52</f>
        <v>#DIV/0!</v>
      </c>
      <c r="AQ52" s="89">
        <f t="shared" si="2"/>
        <v>0</v>
      </c>
      <c r="AR52" s="113" t="e">
        <f t="shared" si="19"/>
        <v>#DIV/0!</v>
      </c>
      <c r="AS52" s="89">
        <v>0</v>
      </c>
      <c r="AT52" s="112" t="e">
        <f t="shared" ref="AT52" si="1526">AS52/$P52</f>
        <v>#DIV/0!</v>
      </c>
      <c r="AU52" s="89">
        <v>0</v>
      </c>
      <c r="AV52" s="112" t="e">
        <f t="shared" ref="AV52" si="1527">AU52/$P52</f>
        <v>#DIV/0!</v>
      </c>
      <c r="AW52" s="89">
        <v>0</v>
      </c>
      <c r="AX52" s="112" t="e">
        <f t="shared" ref="AX52" si="1528">AW52/$P52</f>
        <v>#DIV/0!</v>
      </c>
      <c r="AY52" s="89">
        <v>0</v>
      </c>
      <c r="AZ52" s="112" t="e">
        <f t="shared" ref="AZ52" si="1529">AY52/$P52</f>
        <v>#DIV/0!</v>
      </c>
      <c r="BA52" s="89">
        <v>0</v>
      </c>
      <c r="BB52" s="112" t="e">
        <f t="shared" ref="BB52" si="1530">BA52/$P52</f>
        <v>#DIV/0!</v>
      </c>
      <c r="BC52" s="89">
        <v>0</v>
      </c>
      <c r="BD52" s="112" t="e">
        <f t="shared" ref="BD52" si="1531">BC52/$P52</f>
        <v>#DIV/0!</v>
      </c>
      <c r="BE52" s="89">
        <f t="shared" si="3"/>
        <v>0</v>
      </c>
      <c r="BF52" s="113" t="e">
        <f t="shared" si="26"/>
        <v>#DIV/0!</v>
      </c>
      <c r="BG52" s="89">
        <v>0</v>
      </c>
      <c r="BH52" s="112" t="e">
        <f t="shared" ref="BH52" si="1532">BG52/$P52</f>
        <v>#DIV/0!</v>
      </c>
      <c r="BI52" s="89">
        <v>0</v>
      </c>
      <c r="BJ52" s="112" t="e">
        <f t="shared" ref="BJ52" si="1533">BI52/$P52</f>
        <v>#DIV/0!</v>
      </c>
      <c r="BK52" s="89">
        <v>0</v>
      </c>
      <c r="BL52" s="112" t="e">
        <f t="shared" ref="BL52" si="1534">BK52/$P52</f>
        <v>#DIV/0!</v>
      </c>
      <c r="BM52" s="89">
        <v>0</v>
      </c>
      <c r="BN52" s="112" t="e">
        <f t="shared" ref="BN52" si="1535">BM52/$P52</f>
        <v>#DIV/0!</v>
      </c>
      <c r="BO52" s="89">
        <v>0</v>
      </c>
      <c r="BP52" s="112" t="e">
        <f t="shared" ref="BP52" si="1536">BO52/$P52</f>
        <v>#DIV/0!</v>
      </c>
      <c r="BQ52" s="89">
        <v>0</v>
      </c>
      <c r="BR52" s="112" t="e">
        <f t="shared" ref="BR52" si="1537">BQ52/$P52</f>
        <v>#DIV/0!</v>
      </c>
      <c r="BS52" s="89">
        <f t="shared" si="4"/>
        <v>0</v>
      </c>
      <c r="BT52" s="113" t="e">
        <f t="shared" si="33"/>
        <v>#DIV/0!</v>
      </c>
      <c r="BU52" s="89">
        <v>0</v>
      </c>
      <c r="BV52" s="112" t="e">
        <f t="shared" ref="BV52" si="1538">BU52/$P52</f>
        <v>#DIV/0!</v>
      </c>
      <c r="BW52" s="89">
        <v>0</v>
      </c>
      <c r="BX52" s="112" t="e">
        <f t="shared" ref="BX52" si="1539">BW52/$P52</f>
        <v>#DIV/0!</v>
      </c>
      <c r="BY52" s="89">
        <v>0</v>
      </c>
      <c r="BZ52" s="112" t="e">
        <f t="shared" ref="BZ52" si="1540">BY52/$P52</f>
        <v>#DIV/0!</v>
      </c>
      <c r="CA52" s="89">
        <v>0</v>
      </c>
      <c r="CB52" s="112" t="e">
        <f t="shared" ref="CB52" si="1541">CA52/$P52</f>
        <v>#DIV/0!</v>
      </c>
      <c r="CC52" s="89">
        <v>0</v>
      </c>
      <c r="CD52" s="112" t="e">
        <f t="shared" ref="CD52" si="1542">CC52/$P52</f>
        <v>#DIV/0!</v>
      </c>
      <c r="CE52" s="89">
        <v>0</v>
      </c>
      <c r="CF52" s="112" t="e">
        <f t="shared" ref="CF52" si="1543">CE52/$P52</f>
        <v>#DIV/0!</v>
      </c>
      <c r="CG52" s="89">
        <f t="shared" si="5"/>
        <v>0</v>
      </c>
      <c r="CH52" s="113" t="e">
        <f t="shared" si="40"/>
        <v>#DIV/0!</v>
      </c>
      <c r="CI52" s="89">
        <v>0</v>
      </c>
      <c r="CJ52" s="112" t="e">
        <f t="shared" ref="CJ52" si="1544">CI52/$P52</f>
        <v>#DIV/0!</v>
      </c>
      <c r="CK52" s="89">
        <v>0</v>
      </c>
      <c r="CL52" s="112" t="e">
        <f t="shared" ref="CL52" si="1545">CK52/$P52</f>
        <v>#DIV/0!</v>
      </c>
      <c r="CM52" s="89">
        <v>0</v>
      </c>
      <c r="CN52" s="112" t="e">
        <f t="shared" ref="CN52" si="1546">CM52/$P52</f>
        <v>#DIV/0!</v>
      </c>
      <c r="CO52" s="89">
        <v>0</v>
      </c>
      <c r="CP52" s="112" t="e">
        <f t="shared" ref="CP52" si="1547">CO52/$P52</f>
        <v>#DIV/0!</v>
      </c>
      <c r="CQ52" s="89">
        <v>0</v>
      </c>
      <c r="CR52" s="112" t="e">
        <f t="shared" ref="CR52" si="1548">CQ52/$P52</f>
        <v>#DIV/0!</v>
      </c>
      <c r="CS52" s="89">
        <v>0</v>
      </c>
      <c r="CT52" s="112" t="e">
        <f t="shared" ref="CT52" si="1549">CS52/$P52</f>
        <v>#DIV/0!</v>
      </c>
      <c r="CU52" s="89">
        <f t="shared" si="6"/>
        <v>0</v>
      </c>
      <c r="CV52" s="113" t="e">
        <f t="shared" si="47"/>
        <v>#DIV/0!</v>
      </c>
    </row>
    <row r="53" spans="2:100" ht="19.95" customHeight="1">
      <c r="C53" s="88">
        <v>41</v>
      </c>
      <c r="D53" s="1" t="s">
        <v>200</v>
      </c>
      <c r="E53" s="88">
        <v>0.3</v>
      </c>
      <c r="F53" s="88">
        <v>5.0999999999999996</v>
      </c>
      <c r="G53" s="89">
        <f>E53*F53*14</f>
        <v>21.419999999999998</v>
      </c>
      <c r="H53" s="90"/>
      <c r="I53" s="90"/>
      <c r="J53" s="90"/>
      <c r="K53" s="91"/>
      <c r="M53" s="89"/>
      <c r="N53" s="95">
        <f>G53</f>
        <v>21.419999999999998</v>
      </c>
      <c r="O53" s="89"/>
      <c r="P53" s="89">
        <v>0</v>
      </c>
      <c r="Q53" s="89">
        <v>0</v>
      </c>
      <c r="R53" s="112" t="e">
        <f t="shared" si="7"/>
        <v>#DIV/0!</v>
      </c>
      <c r="S53" s="89">
        <v>0</v>
      </c>
      <c r="T53" s="112" t="e">
        <f t="shared" si="7"/>
        <v>#DIV/0!</v>
      </c>
      <c r="U53" s="89">
        <v>0</v>
      </c>
      <c r="V53" s="112" t="e">
        <f t="shared" ref="V53" si="1550">U53/$P53</f>
        <v>#DIV/0!</v>
      </c>
      <c r="W53" s="89">
        <v>0</v>
      </c>
      <c r="X53" s="112" t="e">
        <f t="shared" ref="X53" si="1551">W53/$P53</f>
        <v>#DIV/0!</v>
      </c>
      <c r="Y53" s="89">
        <v>0</v>
      </c>
      <c r="Z53" s="112" t="e">
        <f t="shared" ref="Z53" si="1552">Y53/$P53</f>
        <v>#DIV/0!</v>
      </c>
      <c r="AA53" s="89">
        <v>0</v>
      </c>
      <c r="AB53" s="112" t="e">
        <f t="shared" ref="AB53" si="1553">AA53/$P53</f>
        <v>#DIV/0!</v>
      </c>
      <c r="AC53" s="89">
        <f t="shared" si="837"/>
        <v>0</v>
      </c>
      <c r="AD53" s="113" t="e">
        <f t="shared" si="12"/>
        <v>#DIV/0!</v>
      </c>
      <c r="AE53" s="89">
        <v>0</v>
      </c>
      <c r="AF53" s="112" t="e">
        <f t="shared" ref="AF53" si="1554">AE53/$P53</f>
        <v>#DIV/0!</v>
      </c>
      <c r="AG53" s="89">
        <v>0</v>
      </c>
      <c r="AH53" s="112" t="e">
        <f t="shared" ref="AH53" si="1555">AG53/$P53</f>
        <v>#DIV/0!</v>
      </c>
      <c r="AI53" s="89">
        <v>0</v>
      </c>
      <c r="AJ53" s="112" t="e">
        <f t="shared" ref="AJ53" si="1556">AI53/$P53</f>
        <v>#DIV/0!</v>
      </c>
      <c r="AK53" s="89">
        <v>0</v>
      </c>
      <c r="AL53" s="112" t="e">
        <f t="shared" ref="AL53" si="1557">AK53/$P53</f>
        <v>#DIV/0!</v>
      </c>
      <c r="AM53" s="89">
        <v>0</v>
      </c>
      <c r="AN53" s="112" t="e">
        <f t="shared" ref="AN53" si="1558">AM53/$P53</f>
        <v>#DIV/0!</v>
      </c>
      <c r="AO53" s="89">
        <v>0</v>
      </c>
      <c r="AP53" s="112" t="e">
        <f t="shared" ref="AP53" si="1559">AO53/$P53</f>
        <v>#DIV/0!</v>
      </c>
      <c r="AQ53" s="89">
        <f t="shared" si="2"/>
        <v>0</v>
      </c>
      <c r="AR53" s="113" t="e">
        <f t="shared" si="19"/>
        <v>#DIV/0!</v>
      </c>
      <c r="AS53" s="89">
        <v>0</v>
      </c>
      <c r="AT53" s="112" t="e">
        <f t="shared" ref="AT53" si="1560">AS53/$P53</f>
        <v>#DIV/0!</v>
      </c>
      <c r="AU53" s="89">
        <v>0</v>
      </c>
      <c r="AV53" s="112" t="e">
        <f t="shared" ref="AV53" si="1561">AU53/$P53</f>
        <v>#DIV/0!</v>
      </c>
      <c r="AW53" s="89">
        <v>0</v>
      </c>
      <c r="AX53" s="112" t="e">
        <f t="shared" ref="AX53" si="1562">AW53/$P53</f>
        <v>#DIV/0!</v>
      </c>
      <c r="AY53" s="89">
        <v>0</v>
      </c>
      <c r="AZ53" s="112" t="e">
        <f t="shared" ref="AZ53" si="1563">AY53/$P53</f>
        <v>#DIV/0!</v>
      </c>
      <c r="BA53" s="89">
        <v>0</v>
      </c>
      <c r="BB53" s="112" t="e">
        <f t="shared" ref="BB53" si="1564">BA53/$P53</f>
        <v>#DIV/0!</v>
      </c>
      <c r="BC53" s="89">
        <v>0</v>
      </c>
      <c r="BD53" s="112" t="e">
        <f t="shared" ref="BD53" si="1565">BC53/$P53</f>
        <v>#DIV/0!</v>
      </c>
      <c r="BE53" s="89">
        <f t="shared" si="3"/>
        <v>0</v>
      </c>
      <c r="BF53" s="113" t="e">
        <f t="shared" si="26"/>
        <v>#DIV/0!</v>
      </c>
      <c r="BG53" s="89">
        <v>0</v>
      </c>
      <c r="BH53" s="112" t="e">
        <f t="shared" ref="BH53" si="1566">BG53/$P53</f>
        <v>#DIV/0!</v>
      </c>
      <c r="BI53" s="89">
        <v>0</v>
      </c>
      <c r="BJ53" s="112" t="e">
        <f t="shared" ref="BJ53" si="1567">BI53/$P53</f>
        <v>#DIV/0!</v>
      </c>
      <c r="BK53" s="89">
        <v>0</v>
      </c>
      <c r="BL53" s="112" t="e">
        <f t="shared" ref="BL53" si="1568">BK53/$P53</f>
        <v>#DIV/0!</v>
      </c>
      <c r="BM53" s="89">
        <v>0</v>
      </c>
      <c r="BN53" s="112" t="e">
        <f t="shared" ref="BN53" si="1569">BM53/$P53</f>
        <v>#DIV/0!</v>
      </c>
      <c r="BO53" s="89">
        <v>0</v>
      </c>
      <c r="BP53" s="112" t="e">
        <f t="shared" ref="BP53" si="1570">BO53/$P53</f>
        <v>#DIV/0!</v>
      </c>
      <c r="BQ53" s="89">
        <v>0</v>
      </c>
      <c r="BR53" s="112" t="e">
        <f t="shared" ref="BR53" si="1571">BQ53/$P53</f>
        <v>#DIV/0!</v>
      </c>
      <c r="BS53" s="89">
        <f t="shared" si="4"/>
        <v>0</v>
      </c>
      <c r="BT53" s="113" t="e">
        <f t="shared" si="33"/>
        <v>#DIV/0!</v>
      </c>
      <c r="BU53" s="89">
        <v>0</v>
      </c>
      <c r="BV53" s="112" t="e">
        <f t="shared" ref="BV53" si="1572">BU53/$P53</f>
        <v>#DIV/0!</v>
      </c>
      <c r="BW53" s="89">
        <v>0</v>
      </c>
      <c r="BX53" s="112" t="e">
        <f t="shared" ref="BX53" si="1573">BW53/$P53</f>
        <v>#DIV/0!</v>
      </c>
      <c r="BY53" s="89">
        <v>0</v>
      </c>
      <c r="BZ53" s="112" t="e">
        <f t="shared" ref="BZ53" si="1574">BY53/$P53</f>
        <v>#DIV/0!</v>
      </c>
      <c r="CA53" s="89">
        <v>0</v>
      </c>
      <c r="CB53" s="112" t="e">
        <f t="shared" ref="CB53" si="1575">CA53/$P53</f>
        <v>#DIV/0!</v>
      </c>
      <c r="CC53" s="89">
        <v>0</v>
      </c>
      <c r="CD53" s="112" t="e">
        <f t="shared" ref="CD53" si="1576">CC53/$P53</f>
        <v>#DIV/0!</v>
      </c>
      <c r="CE53" s="89">
        <v>0</v>
      </c>
      <c r="CF53" s="112" t="e">
        <f t="shared" ref="CF53" si="1577">CE53/$P53</f>
        <v>#DIV/0!</v>
      </c>
      <c r="CG53" s="89">
        <f t="shared" si="5"/>
        <v>0</v>
      </c>
      <c r="CH53" s="113" t="e">
        <f t="shared" si="40"/>
        <v>#DIV/0!</v>
      </c>
      <c r="CI53" s="89">
        <v>0</v>
      </c>
      <c r="CJ53" s="112" t="e">
        <f t="shared" ref="CJ53" si="1578">CI53/$P53</f>
        <v>#DIV/0!</v>
      </c>
      <c r="CK53" s="89">
        <v>0</v>
      </c>
      <c r="CL53" s="112" t="e">
        <f t="shared" ref="CL53" si="1579">CK53/$P53</f>
        <v>#DIV/0!</v>
      </c>
      <c r="CM53" s="89">
        <v>0</v>
      </c>
      <c r="CN53" s="112" t="e">
        <f t="shared" ref="CN53" si="1580">CM53/$P53</f>
        <v>#DIV/0!</v>
      </c>
      <c r="CO53" s="89">
        <v>0</v>
      </c>
      <c r="CP53" s="112" t="e">
        <f t="shared" ref="CP53" si="1581">CO53/$P53</f>
        <v>#DIV/0!</v>
      </c>
      <c r="CQ53" s="89">
        <v>0</v>
      </c>
      <c r="CR53" s="112" t="e">
        <f t="shared" ref="CR53" si="1582">CQ53/$P53</f>
        <v>#DIV/0!</v>
      </c>
      <c r="CS53" s="89">
        <v>0</v>
      </c>
      <c r="CT53" s="112" t="e">
        <f t="shared" ref="CT53" si="1583">CS53/$P53</f>
        <v>#DIV/0!</v>
      </c>
      <c r="CU53" s="89">
        <f t="shared" si="6"/>
        <v>0</v>
      </c>
      <c r="CV53" s="113" t="e">
        <f t="shared" si="47"/>
        <v>#DIV/0!</v>
      </c>
    </row>
    <row r="54" spans="2:100" ht="19.95" customHeight="1">
      <c r="C54" s="88" t="s">
        <v>225</v>
      </c>
      <c r="D54" s="1" t="s">
        <v>202</v>
      </c>
      <c r="E54" s="88">
        <v>0.6</v>
      </c>
      <c r="F54" s="88">
        <v>5.0999999999999996</v>
      </c>
      <c r="G54" s="89">
        <f>E54*F54*14</f>
        <v>42.839999999999996</v>
      </c>
      <c r="H54" s="90"/>
      <c r="I54" s="90"/>
      <c r="J54" s="90"/>
      <c r="K54" s="91"/>
      <c r="L54" s="89"/>
      <c r="O54" s="95">
        <f>G54</f>
        <v>42.839999999999996</v>
      </c>
      <c r="P54" s="89">
        <v>0</v>
      </c>
      <c r="Q54" s="89">
        <v>0</v>
      </c>
      <c r="R54" s="112" t="e">
        <f t="shared" si="7"/>
        <v>#DIV/0!</v>
      </c>
      <c r="S54" s="89">
        <v>0</v>
      </c>
      <c r="T54" s="112" t="e">
        <f t="shared" si="7"/>
        <v>#DIV/0!</v>
      </c>
      <c r="U54" s="89">
        <v>0</v>
      </c>
      <c r="V54" s="112" t="e">
        <f t="shared" ref="V54" si="1584">U54/$P54</f>
        <v>#DIV/0!</v>
      </c>
      <c r="W54" s="89">
        <v>0</v>
      </c>
      <c r="X54" s="112" t="e">
        <f t="shared" ref="X54" si="1585">W54/$P54</f>
        <v>#DIV/0!</v>
      </c>
      <c r="Y54" s="89">
        <v>0</v>
      </c>
      <c r="Z54" s="112" t="e">
        <f t="shared" ref="Z54" si="1586">Y54/$P54</f>
        <v>#DIV/0!</v>
      </c>
      <c r="AA54" s="89">
        <v>0</v>
      </c>
      <c r="AB54" s="112" t="e">
        <f t="shared" ref="AB54" si="1587">AA54/$P54</f>
        <v>#DIV/0!</v>
      </c>
      <c r="AC54" s="89">
        <f t="shared" si="837"/>
        <v>0</v>
      </c>
      <c r="AD54" s="113" t="e">
        <f t="shared" si="12"/>
        <v>#DIV/0!</v>
      </c>
      <c r="AE54" s="89">
        <v>0</v>
      </c>
      <c r="AF54" s="112" t="e">
        <f t="shared" ref="AF54" si="1588">AE54/$P54</f>
        <v>#DIV/0!</v>
      </c>
      <c r="AG54" s="89">
        <v>0</v>
      </c>
      <c r="AH54" s="112" t="e">
        <f t="shared" ref="AH54" si="1589">AG54/$P54</f>
        <v>#DIV/0!</v>
      </c>
      <c r="AI54" s="89">
        <v>0</v>
      </c>
      <c r="AJ54" s="112" t="e">
        <f t="shared" ref="AJ54" si="1590">AI54/$P54</f>
        <v>#DIV/0!</v>
      </c>
      <c r="AK54" s="89">
        <v>0</v>
      </c>
      <c r="AL54" s="112" t="e">
        <f t="shared" ref="AL54" si="1591">AK54/$P54</f>
        <v>#DIV/0!</v>
      </c>
      <c r="AM54" s="89">
        <v>0</v>
      </c>
      <c r="AN54" s="112" t="e">
        <f t="shared" ref="AN54" si="1592">AM54/$P54</f>
        <v>#DIV/0!</v>
      </c>
      <c r="AO54" s="89">
        <v>0</v>
      </c>
      <c r="AP54" s="112" t="e">
        <f t="shared" ref="AP54" si="1593">AO54/$P54</f>
        <v>#DIV/0!</v>
      </c>
      <c r="AQ54" s="89">
        <f t="shared" si="2"/>
        <v>0</v>
      </c>
      <c r="AR54" s="113" t="e">
        <f t="shared" si="19"/>
        <v>#DIV/0!</v>
      </c>
      <c r="AS54" s="89">
        <v>0</v>
      </c>
      <c r="AT54" s="112" t="e">
        <f t="shared" ref="AT54" si="1594">AS54/$P54</f>
        <v>#DIV/0!</v>
      </c>
      <c r="AU54" s="89">
        <v>0</v>
      </c>
      <c r="AV54" s="112" t="e">
        <f t="shared" ref="AV54" si="1595">AU54/$P54</f>
        <v>#DIV/0!</v>
      </c>
      <c r="AW54" s="89">
        <v>0</v>
      </c>
      <c r="AX54" s="112" t="e">
        <f t="shared" ref="AX54" si="1596">AW54/$P54</f>
        <v>#DIV/0!</v>
      </c>
      <c r="AY54" s="89">
        <v>0</v>
      </c>
      <c r="AZ54" s="112" t="e">
        <f t="shared" ref="AZ54" si="1597">AY54/$P54</f>
        <v>#DIV/0!</v>
      </c>
      <c r="BA54" s="89">
        <v>0</v>
      </c>
      <c r="BB54" s="112" t="e">
        <f t="shared" ref="BB54" si="1598">BA54/$P54</f>
        <v>#DIV/0!</v>
      </c>
      <c r="BC54" s="89">
        <v>0</v>
      </c>
      <c r="BD54" s="112" t="e">
        <f t="shared" ref="BD54" si="1599">BC54/$P54</f>
        <v>#DIV/0!</v>
      </c>
      <c r="BE54" s="89">
        <f t="shared" si="3"/>
        <v>0</v>
      </c>
      <c r="BF54" s="113" t="e">
        <f t="shared" si="26"/>
        <v>#DIV/0!</v>
      </c>
      <c r="BG54" s="89">
        <v>0</v>
      </c>
      <c r="BH54" s="112" t="e">
        <f t="shared" ref="BH54" si="1600">BG54/$P54</f>
        <v>#DIV/0!</v>
      </c>
      <c r="BI54" s="89">
        <v>0</v>
      </c>
      <c r="BJ54" s="112" t="e">
        <f t="shared" ref="BJ54" si="1601">BI54/$P54</f>
        <v>#DIV/0!</v>
      </c>
      <c r="BK54" s="89">
        <v>0</v>
      </c>
      <c r="BL54" s="112" t="e">
        <f t="shared" ref="BL54" si="1602">BK54/$P54</f>
        <v>#DIV/0!</v>
      </c>
      <c r="BM54" s="89">
        <v>0</v>
      </c>
      <c r="BN54" s="112" t="e">
        <f t="shared" ref="BN54" si="1603">BM54/$P54</f>
        <v>#DIV/0!</v>
      </c>
      <c r="BO54" s="89">
        <v>0</v>
      </c>
      <c r="BP54" s="112" t="e">
        <f t="shared" ref="BP54" si="1604">BO54/$P54</f>
        <v>#DIV/0!</v>
      </c>
      <c r="BQ54" s="89">
        <v>0</v>
      </c>
      <c r="BR54" s="112" t="e">
        <f t="shared" ref="BR54" si="1605">BQ54/$P54</f>
        <v>#DIV/0!</v>
      </c>
      <c r="BS54" s="89">
        <f t="shared" si="4"/>
        <v>0</v>
      </c>
      <c r="BT54" s="113" t="e">
        <f t="shared" si="33"/>
        <v>#DIV/0!</v>
      </c>
      <c r="BU54" s="89">
        <v>0</v>
      </c>
      <c r="BV54" s="112" t="e">
        <f t="shared" ref="BV54" si="1606">BU54/$P54</f>
        <v>#DIV/0!</v>
      </c>
      <c r="BW54" s="89">
        <v>0</v>
      </c>
      <c r="BX54" s="112" t="e">
        <f t="shared" ref="BX54" si="1607">BW54/$P54</f>
        <v>#DIV/0!</v>
      </c>
      <c r="BY54" s="89">
        <v>0</v>
      </c>
      <c r="BZ54" s="112" t="e">
        <f t="shared" ref="BZ54" si="1608">BY54/$P54</f>
        <v>#DIV/0!</v>
      </c>
      <c r="CA54" s="89">
        <v>0</v>
      </c>
      <c r="CB54" s="112" t="e">
        <f t="shared" ref="CB54" si="1609">CA54/$P54</f>
        <v>#DIV/0!</v>
      </c>
      <c r="CC54" s="89">
        <v>0</v>
      </c>
      <c r="CD54" s="112" t="e">
        <f t="shared" ref="CD54" si="1610">CC54/$P54</f>
        <v>#DIV/0!</v>
      </c>
      <c r="CE54" s="89">
        <v>0</v>
      </c>
      <c r="CF54" s="112" t="e">
        <f t="shared" ref="CF54" si="1611">CE54/$P54</f>
        <v>#DIV/0!</v>
      </c>
      <c r="CG54" s="89">
        <f t="shared" si="5"/>
        <v>0</v>
      </c>
      <c r="CH54" s="113" t="e">
        <f t="shared" si="40"/>
        <v>#DIV/0!</v>
      </c>
      <c r="CI54" s="89">
        <v>0</v>
      </c>
      <c r="CJ54" s="112" t="e">
        <f t="shared" ref="CJ54" si="1612">CI54/$P54</f>
        <v>#DIV/0!</v>
      </c>
      <c r="CK54" s="89">
        <v>0</v>
      </c>
      <c r="CL54" s="112" t="e">
        <f t="shared" ref="CL54" si="1613">CK54/$P54</f>
        <v>#DIV/0!</v>
      </c>
      <c r="CM54" s="89">
        <v>0</v>
      </c>
      <c r="CN54" s="112" t="e">
        <f t="shared" ref="CN54" si="1614">CM54/$P54</f>
        <v>#DIV/0!</v>
      </c>
      <c r="CO54" s="89">
        <v>0</v>
      </c>
      <c r="CP54" s="112" t="e">
        <f t="shared" ref="CP54" si="1615">CO54/$P54</f>
        <v>#DIV/0!</v>
      </c>
      <c r="CQ54" s="89">
        <v>0</v>
      </c>
      <c r="CR54" s="112" t="e">
        <f t="shared" ref="CR54" si="1616">CQ54/$P54</f>
        <v>#DIV/0!</v>
      </c>
      <c r="CS54" s="89">
        <v>0</v>
      </c>
      <c r="CT54" s="112" t="e">
        <f t="shared" ref="CT54" si="1617">CS54/$P54</f>
        <v>#DIV/0!</v>
      </c>
      <c r="CU54" s="89">
        <f t="shared" si="6"/>
        <v>0</v>
      </c>
      <c r="CV54" s="113" t="e">
        <f t="shared" si="47"/>
        <v>#DIV/0!</v>
      </c>
    </row>
    <row r="55" spans="2:100" ht="19.95" customHeight="1">
      <c r="C55" s="88">
        <v>42</v>
      </c>
      <c r="D55" s="1" t="s">
        <v>213</v>
      </c>
      <c r="E55" s="88">
        <f>E5</f>
        <v>35.6</v>
      </c>
      <c r="F55" s="89">
        <v>5.12</v>
      </c>
      <c r="G55" s="89">
        <f t="shared" si="1447"/>
        <v>182.27200000000002</v>
      </c>
      <c r="H55" s="90">
        <v>1.5</v>
      </c>
      <c r="I55" s="90">
        <v>1.2</v>
      </c>
      <c r="J55" s="90">
        <v>28</v>
      </c>
      <c r="K55" s="91">
        <f>(H55*I55)*J55</f>
        <v>50.399999999999991</v>
      </c>
      <c r="L55" s="1"/>
      <c r="M55" s="95">
        <f>G55-(K55+K56)</f>
        <v>131.87200000000001</v>
      </c>
      <c r="N55" s="1"/>
      <c r="O55" s="89"/>
      <c r="P55" s="89">
        <v>0</v>
      </c>
      <c r="Q55" s="89">
        <v>0</v>
      </c>
      <c r="R55" s="112" t="e">
        <f t="shared" si="7"/>
        <v>#DIV/0!</v>
      </c>
      <c r="S55" s="89">
        <v>0</v>
      </c>
      <c r="T55" s="112" t="e">
        <f t="shared" si="7"/>
        <v>#DIV/0!</v>
      </c>
      <c r="U55" s="89">
        <v>0</v>
      </c>
      <c r="V55" s="112" t="e">
        <f t="shared" ref="V55" si="1618">U55/$P55</f>
        <v>#DIV/0!</v>
      </c>
      <c r="W55" s="89">
        <v>0</v>
      </c>
      <c r="X55" s="112" t="e">
        <f t="shared" ref="X55" si="1619">W55/$P55</f>
        <v>#DIV/0!</v>
      </c>
      <c r="Y55" s="89">
        <v>0</v>
      </c>
      <c r="Z55" s="112" t="e">
        <f t="shared" ref="Z55" si="1620">Y55/$P55</f>
        <v>#DIV/0!</v>
      </c>
      <c r="AA55" s="89">
        <v>0</v>
      </c>
      <c r="AB55" s="112" t="e">
        <f t="shared" ref="AB55" si="1621">AA55/$P55</f>
        <v>#DIV/0!</v>
      </c>
      <c r="AC55" s="89">
        <f t="shared" si="837"/>
        <v>0</v>
      </c>
      <c r="AD55" s="113" t="e">
        <f t="shared" si="12"/>
        <v>#DIV/0!</v>
      </c>
      <c r="AE55" s="89">
        <v>0</v>
      </c>
      <c r="AF55" s="112" t="e">
        <f t="shared" ref="AF55" si="1622">AE55/$P55</f>
        <v>#DIV/0!</v>
      </c>
      <c r="AG55" s="89">
        <v>0</v>
      </c>
      <c r="AH55" s="112" t="e">
        <f t="shared" ref="AH55" si="1623">AG55/$P55</f>
        <v>#DIV/0!</v>
      </c>
      <c r="AI55" s="89">
        <v>0</v>
      </c>
      <c r="AJ55" s="112" t="e">
        <f t="shared" ref="AJ55" si="1624">AI55/$P55</f>
        <v>#DIV/0!</v>
      </c>
      <c r="AK55" s="89">
        <v>0</v>
      </c>
      <c r="AL55" s="112" t="e">
        <f t="shared" ref="AL55" si="1625">AK55/$P55</f>
        <v>#DIV/0!</v>
      </c>
      <c r="AM55" s="89">
        <v>0</v>
      </c>
      <c r="AN55" s="112" t="e">
        <f t="shared" ref="AN55" si="1626">AM55/$P55</f>
        <v>#DIV/0!</v>
      </c>
      <c r="AO55" s="89">
        <v>0</v>
      </c>
      <c r="AP55" s="112" t="e">
        <f t="shared" ref="AP55" si="1627">AO55/$P55</f>
        <v>#DIV/0!</v>
      </c>
      <c r="AQ55" s="89">
        <f t="shared" si="2"/>
        <v>0</v>
      </c>
      <c r="AR55" s="113" t="e">
        <f t="shared" si="19"/>
        <v>#DIV/0!</v>
      </c>
      <c r="AS55" s="89">
        <v>0</v>
      </c>
      <c r="AT55" s="112" t="e">
        <f t="shared" ref="AT55" si="1628">AS55/$P55</f>
        <v>#DIV/0!</v>
      </c>
      <c r="AU55" s="89">
        <v>0</v>
      </c>
      <c r="AV55" s="112" t="e">
        <f t="shared" ref="AV55" si="1629">AU55/$P55</f>
        <v>#DIV/0!</v>
      </c>
      <c r="AW55" s="89">
        <v>0</v>
      </c>
      <c r="AX55" s="112" t="e">
        <f t="shared" ref="AX55" si="1630">AW55/$P55</f>
        <v>#DIV/0!</v>
      </c>
      <c r="AY55" s="89">
        <v>0</v>
      </c>
      <c r="AZ55" s="112" t="e">
        <f t="shared" ref="AZ55" si="1631">AY55/$P55</f>
        <v>#DIV/0!</v>
      </c>
      <c r="BA55" s="89">
        <v>0</v>
      </c>
      <c r="BB55" s="112" t="e">
        <f t="shared" ref="BB55" si="1632">BA55/$P55</f>
        <v>#DIV/0!</v>
      </c>
      <c r="BC55" s="89">
        <v>0</v>
      </c>
      <c r="BD55" s="112" t="e">
        <f t="shared" ref="BD55" si="1633">BC55/$P55</f>
        <v>#DIV/0!</v>
      </c>
      <c r="BE55" s="89">
        <f t="shared" si="3"/>
        <v>0</v>
      </c>
      <c r="BF55" s="113" t="e">
        <f t="shared" si="26"/>
        <v>#DIV/0!</v>
      </c>
      <c r="BG55" s="89">
        <v>0</v>
      </c>
      <c r="BH55" s="112" t="e">
        <f t="shared" ref="BH55" si="1634">BG55/$P55</f>
        <v>#DIV/0!</v>
      </c>
      <c r="BI55" s="89">
        <v>0</v>
      </c>
      <c r="BJ55" s="112" t="e">
        <f t="shared" ref="BJ55" si="1635">BI55/$P55</f>
        <v>#DIV/0!</v>
      </c>
      <c r="BK55" s="89">
        <v>0</v>
      </c>
      <c r="BL55" s="112" t="e">
        <f t="shared" ref="BL55" si="1636">BK55/$P55</f>
        <v>#DIV/0!</v>
      </c>
      <c r="BM55" s="89">
        <v>0</v>
      </c>
      <c r="BN55" s="112" t="e">
        <f t="shared" ref="BN55" si="1637">BM55/$P55</f>
        <v>#DIV/0!</v>
      </c>
      <c r="BO55" s="89">
        <v>0</v>
      </c>
      <c r="BP55" s="112" t="e">
        <f t="shared" ref="BP55" si="1638">BO55/$P55</f>
        <v>#DIV/0!</v>
      </c>
      <c r="BQ55" s="89">
        <v>0</v>
      </c>
      <c r="BR55" s="112" t="e">
        <f t="shared" ref="BR55" si="1639">BQ55/$P55</f>
        <v>#DIV/0!</v>
      </c>
      <c r="BS55" s="89">
        <f t="shared" si="4"/>
        <v>0</v>
      </c>
      <c r="BT55" s="113" t="e">
        <f t="shared" si="33"/>
        <v>#DIV/0!</v>
      </c>
      <c r="BU55" s="89">
        <v>0</v>
      </c>
      <c r="BV55" s="112" t="e">
        <f t="shared" ref="BV55" si="1640">BU55/$P55</f>
        <v>#DIV/0!</v>
      </c>
      <c r="BW55" s="89">
        <v>0</v>
      </c>
      <c r="BX55" s="112" t="e">
        <f t="shared" ref="BX55" si="1641">BW55/$P55</f>
        <v>#DIV/0!</v>
      </c>
      <c r="BY55" s="89">
        <v>0</v>
      </c>
      <c r="BZ55" s="112" t="e">
        <f t="shared" ref="BZ55" si="1642">BY55/$P55</f>
        <v>#DIV/0!</v>
      </c>
      <c r="CA55" s="89">
        <v>0</v>
      </c>
      <c r="CB55" s="112" t="e">
        <f t="shared" ref="CB55" si="1643">CA55/$P55</f>
        <v>#DIV/0!</v>
      </c>
      <c r="CC55" s="89">
        <v>0</v>
      </c>
      <c r="CD55" s="112" t="e">
        <f t="shared" ref="CD55" si="1644">CC55/$P55</f>
        <v>#DIV/0!</v>
      </c>
      <c r="CE55" s="89">
        <v>0</v>
      </c>
      <c r="CF55" s="112" t="e">
        <f t="shared" ref="CF55" si="1645">CE55/$P55</f>
        <v>#DIV/0!</v>
      </c>
      <c r="CG55" s="89">
        <f t="shared" si="5"/>
        <v>0</v>
      </c>
      <c r="CH55" s="113" t="e">
        <f t="shared" si="40"/>
        <v>#DIV/0!</v>
      </c>
      <c r="CI55" s="89">
        <v>0</v>
      </c>
      <c r="CJ55" s="112" t="e">
        <f t="shared" ref="CJ55" si="1646">CI55/$P55</f>
        <v>#DIV/0!</v>
      </c>
      <c r="CK55" s="89">
        <v>0</v>
      </c>
      <c r="CL55" s="112" t="e">
        <f t="shared" ref="CL55" si="1647">CK55/$P55</f>
        <v>#DIV/0!</v>
      </c>
      <c r="CM55" s="89">
        <v>0</v>
      </c>
      <c r="CN55" s="112" t="e">
        <f t="shared" ref="CN55" si="1648">CM55/$P55</f>
        <v>#DIV/0!</v>
      </c>
      <c r="CO55" s="89">
        <v>0</v>
      </c>
      <c r="CP55" s="112" t="e">
        <f t="shared" ref="CP55" si="1649">CO55/$P55</f>
        <v>#DIV/0!</v>
      </c>
      <c r="CQ55" s="89">
        <v>0</v>
      </c>
      <c r="CR55" s="112" t="e">
        <f t="shared" ref="CR55" si="1650">CQ55/$P55</f>
        <v>#DIV/0!</v>
      </c>
      <c r="CS55" s="89">
        <v>0</v>
      </c>
      <c r="CT55" s="112" t="e">
        <f t="shared" ref="CT55" si="1651">CS55/$P55</f>
        <v>#DIV/0!</v>
      </c>
      <c r="CU55" s="89">
        <f t="shared" si="6"/>
        <v>0</v>
      </c>
      <c r="CV55" s="113" t="e">
        <f t="shared" si="47"/>
        <v>#DIV/0!</v>
      </c>
    </row>
    <row r="56" spans="2:100" ht="19.95" customHeight="1">
      <c r="C56" s="88">
        <v>43</v>
      </c>
      <c r="D56" s="1" t="s">
        <v>209</v>
      </c>
      <c r="E56" s="88">
        <f>E5</f>
        <v>35.6</v>
      </c>
      <c r="F56" s="89">
        <v>0.7</v>
      </c>
      <c r="G56" s="89">
        <f t="shared" si="1447"/>
        <v>24.919999999999998</v>
      </c>
      <c r="H56" s="90"/>
      <c r="I56" s="90"/>
      <c r="J56" s="90"/>
      <c r="K56" s="91"/>
      <c r="L56" s="1"/>
      <c r="M56" s="95">
        <f>G56-K56</f>
        <v>24.919999999999998</v>
      </c>
      <c r="O56" s="89"/>
      <c r="P56" s="89">
        <v>0</v>
      </c>
      <c r="Q56" s="89">
        <v>0</v>
      </c>
      <c r="R56" s="112" t="e">
        <f t="shared" si="7"/>
        <v>#DIV/0!</v>
      </c>
      <c r="S56" s="89">
        <v>0</v>
      </c>
      <c r="T56" s="112" t="e">
        <f t="shared" si="7"/>
        <v>#DIV/0!</v>
      </c>
      <c r="U56" s="89">
        <v>0</v>
      </c>
      <c r="V56" s="112" t="e">
        <f t="shared" ref="V56" si="1652">U56/$P56</f>
        <v>#DIV/0!</v>
      </c>
      <c r="W56" s="89">
        <v>0</v>
      </c>
      <c r="X56" s="112" t="e">
        <f t="shared" ref="X56" si="1653">W56/$P56</f>
        <v>#DIV/0!</v>
      </c>
      <c r="Y56" s="89">
        <v>0</v>
      </c>
      <c r="Z56" s="112" t="e">
        <f t="shared" ref="Z56" si="1654">Y56/$P56</f>
        <v>#DIV/0!</v>
      </c>
      <c r="AA56" s="89">
        <v>0</v>
      </c>
      <c r="AB56" s="112" t="e">
        <f t="shared" ref="AB56" si="1655">AA56/$P56</f>
        <v>#DIV/0!</v>
      </c>
      <c r="AC56" s="89">
        <f t="shared" si="837"/>
        <v>0</v>
      </c>
      <c r="AD56" s="113" t="e">
        <f t="shared" si="12"/>
        <v>#DIV/0!</v>
      </c>
      <c r="AE56" s="89">
        <v>0</v>
      </c>
      <c r="AF56" s="112" t="e">
        <f t="shared" ref="AF56" si="1656">AE56/$P56</f>
        <v>#DIV/0!</v>
      </c>
      <c r="AG56" s="89">
        <v>0</v>
      </c>
      <c r="AH56" s="112" t="e">
        <f t="shared" ref="AH56" si="1657">AG56/$P56</f>
        <v>#DIV/0!</v>
      </c>
      <c r="AI56" s="89">
        <v>0</v>
      </c>
      <c r="AJ56" s="112" t="e">
        <f t="shared" ref="AJ56" si="1658">AI56/$P56</f>
        <v>#DIV/0!</v>
      </c>
      <c r="AK56" s="89">
        <v>0</v>
      </c>
      <c r="AL56" s="112" t="e">
        <f t="shared" ref="AL56" si="1659">AK56/$P56</f>
        <v>#DIV/0!</v>
      </c>
      <c r="AM56" s="89">
        <v>0</v>
      </c>
      <c r="AN56" s="112" t="e">
        <f t="shared" ref="AN56" si="1660">AM56/$P56</f>
        <v>#DIV/0!</v>
      </c>
      <c r="AO56" s="89">
        <v>0</v>
      </c>
      <c r="AP56" s="112" t="e">
        <f t="shared" ref="AP56" si="1661">AO56/$P56</f>
        <v>#DIV/0!</v>
      </c>
      <c r="AQ56" s="89">
        <f t="shared" si="2"/>
        <v>0</v>
      </c>
      <c r="AR56" s="113" t="e">
        <f t="shared" si="19"/>
        <v>#DIV/0!</v>
      </c>
      <c r="AS56" s="89">
        <v>0</v>
      </c>
      <c r="AT56" s="112" t="e">
        <f t="shared" ref="AT56" si="1662">AS56/$P56</f>
        <v>#DIV/0!</v>
      </c>
      <c r="AU56" s="89">
        <v>0</v>
      </c>
      <c r="AV56" s="112" t="e">
        <f t="shared" ref="AV56" si="1663">AU56/$P56</f>
        <v>#DIV/0!</v>
      </c>
      <c r="AW56" s="89">
        <v>0</v>
      </c>
      <c r="AX56" s="112" t="e">
        <f t="shared" ref="AX56" si="1664">AW56/$P56</f>
        <v>#DIV/0!</v>
      </c>
      <c r="AY56" s="89">
        <v>0</v>
      </c>
      <c r="AZ56" s="112" t="e">
        <f t="shared" ref="AZ56" si="1665">AY56/$P56</f>
        <v>#DIV/0!</v>
      </c>
      <c r="BA56" s="89">
        <v>0</v>
      </c>
      <c r="BB56" s="112" t="e">
        <f t="shared" ref="BB56" si="1666">BA56/$P56</f>
        <v>#DIV/0!</v>
      </c>
      <c r="BC56" s="89">
        <v>0</v>
      </c>
      <c r="BD56" s="112" t="e">
        <f t="shared" ref="BD56" si="1667">BC56/$P56</f>
        <v>#DIV/0!</v>
      </c>
      <c r="BE56" s="89">
        <f t="shared" si="3"/>
        <v>0</v>
      </c>
      <c r="BF56" s="113" t="e">
        <f t="shared" si="26"/>
        <v>#DIV/0!</v>
      </c>
      <c r="BG56" s="89">
        <v>0</v>
      </c>
      <c r="BH56" s="112" t="e">
        <f t="shared" ref="BH56" si="1668">BG56/$P56</f>
        <v>#DIV/0!</v>
      </c>
      <c r="BI56" s="89">
        <v>0</v>
      </c>
      <c r="BJ56" s="112" t="e">
        <f t="shared" ref="BJ56" si="1669">BI56/$P56</f>
        <v>#DIV/0!</v>
      </c>
      <c r="BK56" s="89">
        <v>0</v>
      </c>
      <c r="BL56" s="112" t="e">
        <f t="shared" ref="BL56" si="1670">BK56/$P56</f>
        <v>#DIV/0!</v>
      </c>
      <c r="BM56" s="89">
        <v>0</v>
      </c>
      <c r="BN56" s="112" t="e">
        <f t="shared" ref="BN56" si="1671">BM56/$P56</f>
        <v>#DIV/0!</v>
      </c>
      <c r="BO56" s="89">
        <v>0</v>
      </c>
      <c r="BP56" s="112" t="e">
        <f t="shared" ref="BP56" si="1672">BO56/$P56</f>
        <v>#DIV/0!</v>
      </c>
      <c r="BQ56" s="89">
        <v>0</v>
      </c>
      <c r="BR56" s="112" t="e">
        <f t="shared" ref="BR56" si="1673">BQ56/$P56</f>
        <v>#DIV/0!</v>
      </c>
      <c r="BS56" s="89">
        <f t="shared" si="4"/>
        <v>0</v>
      </c>
      <c r="BT56" s="113" t="e">
        <f t="shared" si="33"/>
        <v>#DIV/0!</v>
      </c>
      <c r="BU56" s="89">
        <v>0</v>
      </c>
      <c r="BV56" s="112" t="e">
        <f t="shared" ref="BV56" si="1674">BU56/$P56</f>
        <v>#DIV/0!</v>
      </c>
      <c r="BW56" s="89">
        <v>0</v>
      </c>
      <c r="BX56" s="112" t="e">
        <f t="shared" ref="BX56" si="1675">BW56/$P56</f>
        <v>#DIV/0!</v>
      </c>
      <c r="BY56" s="89">
        <v>0</v>
      </c>
      <c r="BZ56" s="112" t="e">
        <f t="shared" ref="BZ56" si="1676">BY56/$P56</f>
        <v>#DIV/0!</v>
      </c>
      <c r="CA56" s="89">
        <v>0</v>
      </c>
      <c r="CB56" s="112" t="e">
        <f t="shared" ref="CB56" si="1677">CA56/$P56</f>
        <v>#DIV/0!</v>
      </c>
      <c r="CC56" s="89">
        <v>0</v>
      </c>
      <c r="CD56" s="112" t="e">
        <f t="shared" ref="CD56" si="1678">CC56/$P56</f>
        <v>#DIV/0!</v>
      </c>
      <c r="CE56" s="89">
        <v>0</v>
      </c>
      <c r="CF56" s="112" t="e">
        <f t="shared" ref="CF56" si="1679">CE56/$P56</f>
        <v>#DIV/0!</v>
      </c>
      <c r="CG56" s="89">
        <f t="shared" si="5"/>
        <v>0</v>
      </c>
      <c r="CH56" s="113" t="e">
        <f t="shared" si="40"/>
        <v>#DIV/0!</v>
      </c>
      <c r="CI56" s="89">
        <v>0</v>
      </c>
      <c r="CJ56" s="112" t="e">
        <f t="shared" ref="CJ56" si="1680">CI56/$P56</f>
        <v>#DIV/0!</v>
      </c>
      <c r="CK56" s="89">
        <v>0</v>
      </c>
      <c r="CL56" s="112" t="e">
        <f t="shared" ref="CL56" si="1681">CK56/$P56</f>
        <v>#DIV/0!</v>
      </c>
      <c r="CM56" s="89">
        <v>0</v>
      </c>
      <c r="CN56" s="112" t="e">
        <f t="shared" ref="CN56" si="1682">CM56/$P56</f>
        <v>#DIV/0!</v>
      </c>
      <c r="CO56" s="89">
        <v>0</v>
      </c>
      <c r="CP56" s="112" t="e">
        <f t="shared" ref="CP56" si="1683">CO56/$P56</f>
        <v>#DIV/0!</v>
      </c>
      <c r="CQ56" s="89">
        <v>0</v>
      </c>
      <c r="CR56" s="112" t="e">
        <f t="shared" ref="CR56" si="1684">CQ56/$P56</f>
        <v>#DIV/0!</v>
      </c>
      <c r="CS56" s="89">
        <v>0</v>
      </c>
      <c r="CT56" s="112" t="e">
        <f t="shared" ref="CT56" si="1685">CS56/$P56</f>
        <v>#DIV/0!</v>
      </c>
      <c r="CU56" s="89">
        <f t="shared" si="6"/>
        <v>0</v>
      </c>
      <c r="CV56" s="113" t="e">
        <f t="shared" si="47"/>
        <v>#DIV/0!</v>
      </c>
    </row>
    <row r="57" spans="2:100" ht="19.95" customHeight="1">
      <c r="C57" s="88">
        <v>44</v>
      </c>
      <c r="D57" s="1" t="s">
        <v>121</v>
      </c>
      <c r="E57" s="88">
        <f>E5</f>
        <v>35.6</v>
      </c>
      <c r="F57" s="89">
        <v>1.45</v>
      </c>
      <c r="G57" s="89">
        <f t="shared" si="1447"/>
        <v>51.62</v>
      </c>
      <c r="H57" s="90"/>
      <c r="I57" s="90"/>
      <c r="J57" s="90"/>
      <c r="K57" s="91"/>
      <c r="L57" s="1"/>
      <c r="N57" s="95">
        <f>G57-K57</f>
        <v>51.62</v>
      </c>
      <c r="O57" s="89"/>
      <c r="P57" s="89">
        <v>0</v>
      </c>
      <c r="Q57" s="89">
        <v>0</v>
      </c>
      <c r="R57" s="112" t="e">
        <f t="shared" si="7"/>
        <v>#DIV/0!</v>
      </c>
      <c r="S57" s="89">
        <v>0</v>
      </c>
      <c r="T57" s="112" t="e">
        <f t="shared" si="7"/>
        <v>#DIV/0!</v>
      </c>
      <c r="U57" s="89">
        <v>0</v>
      </c>
      <c r="V57" s="112" t="e">
        <f t="shared" ref="V57" si="1686">U57/$P57</f>
        <v>#DIV/0!</v>
      </c>
      <c r="W57" s="89">
        <v>0</v>
      </c>
      <c r="X57" s="112" t="e">
        <f t="shared" ref="X57" si="1687">W57/$P57</f>
        <v>#DIV/0!</v>
      </c>
      <c r="Y57" s="89">
        <v>0</v>
      </c>
      <c r="Z57" s="112" t="e">
        <f t="shared" ref="Z57" si="1688">Y57/$P57</f>
        <v>#DIV/0!</v>
      </c>
      <c r="AA57" s="89">
        <v>0</v>
      </c>
      <c r="AB57" s="112" t="e">
        <f t="shared" ref="AB57" si="1689">AA57/$P57</f>
        <v>#DIV/0!</v>
      </c>
      <c r="AC57" s="89">
        <f t="shared" si="837"/>
        <v>0</v>
      </c>
      <c r="AD57" s="113" t="e">
        <f t="shared" si="12"/>
        <v>#DIV/0!</v>
      </c>
      <c r="AE57" s="89">
        <v>0</v>
      </c>
      <c r="AF57" s="112" t="e">
        <f t="shared" ref="AF57" si="1690">AE57/$P57</f>
        <v>#DIV/0!</v>
      </c>
      <c r="AG57" s="89">
        <v>0</v>
      </c>
      <c r="AH57" s="112" t="e">
        <f t="shared" ref="AH57" si="1691">AG57/$P57</f>
        <v>#DIV/0!</v>
      </c>
      <c r="AI57" s="89">
        <v>0</v>
      </c>
      <c r="AJ57" s="112" t="e">
        <f t="shared" ref="AJ57" si="1692">AI57/$P57</f>
        <v>#DIV/0!</v>
      </c>
      <c r="AK57" s="89">
        <v>0</v>
      </c>
      <c r="AL57" s="112" t="e">
        <f t="shared" ref="AL57" si="1693">AK57/$P57</f>
        <v>#DIV/0!</v>
      </c>
      <c r="AM57" s="89">
        <v>0</v>
      </c>
      <c r="AN57" s="112" t="e">
        <f t="shared" ref="AN57" si="1694">AM57/$P57</f>
        <v>#DIV/0!</v>
      </c>
      <c r="AO57" s="89">
        <v>0</v>
      </c>
      <c r="AP57" s="112" t="e">
        <f t="shared" ref="AP57" si="1695">AO57/$P57</f>
        <v>#DIV/0!</v>
      </c>
      <c r="AQ57" s="89">
        <f t="shared" si="2"/>
        <v>0</v>
      </c>
      <c r="AR57" s="113" t="e">
        <f t="shared" si="19"/>
        <v>#DIV/0!</v>
      </c>
      <c r="AS57" s="89">
        <v>0</v>
      </c>
      <c r="AT57" s="112" t="e">
        <f t="shared" ref="AT57" si="1696">AS57/$P57</f>
        <v>#DIV/0!</v>
      </c>
      <c r="AU57" s="89">
        <v>0</v>
      </c>
      <c r="AV57" s="112" t="e">
        <f t="shared" ref="AV57" si="1697">AU57/$P57</f>
        <v>#DIV/0!</v>
      </c>
      <c r="AW57" s="89">
        <v>0</v>
      </c>
      <c r="AX57" s="112" t="e">
        <f t="shared" ref="AX57" si="1698">AW57/$P57</f>
        <v>#DIV/0!</v>
      </c>
      <c r="AY57" s="89">
        <v>0</v>
      </c>
      <c r="AZ57" s="112" t="e">
        <f t="shared" ref="AZ57" si="1699">AY57/$P57</f>
        <v>#DIV/0!</v>
      </c>
      <c r="BA57" s="89">
        <v>0</v>
      </c>
      <c r="BB57" s="112" t="e">
        <f t="shared" ref="BB57" si="1700">BA57/$P57</f>
        <v>#DIV/0!</v>
      </c>
      <c r="BC57" s="89">
        <v>0</v>
      </c>
      <c r="BD57" s="112" t="e">
        <f t="shared" ref="BD57" si="1701">BC57/$P57</f>
        <v>#DIV/0!</v>
      </c>
      <c r="BE57" s="89">
        <f t="shared" si="3"/>
        <v>0</v>
      </c>
      <c r="BF57" s="113" t="e">
        <f t="shared" si="26"/>
        <v>#DIV/0!</v>
      </c>
      <c r="BG57" s="89">
        <v>0</v>
      </c>
      <c r="BH57" s="112" t="e">
        <f t="shared" ref="BH57" si="1702">BG57/$P57</f>
        <v>#DIV/0!</v>
      </c>
      <c r="BI57" s="89">
        <v>0</v>
      </c>
      <c r="BJ57" s="112" t="e">
        <f t="shared" ref="BJ57" si="1703">BI57/$P57</f>
        <v>#DIV/0!</v>
      </c>
      <c r="BK57" s="89">
        <v>0</v>
      </c>
      <c r="BL57" s="112" t="e">
        <f t="shared" ref="BL57" si="1704">BK57/$P57</f>
        <v>#DIV/0!</v>
      </c>
      <c r="BM57" s="89">
        <v>0</v>
      </c>
      <c r="BN57" s="112" t="e">
        <f t="shared" ref="BN57" si="1705">BM57/$P57</f>
        <v>#DIV/0!</v>
      </c>
      <c r="BO57" s="89">
        <v>0</v>
      </c>
      <c r="BP57" s="112" t="e">
        <f t="shared" ref="BP57" si="1706">BO57/$P57</f>
        <v>#DIV/0!</v>
      </c>
      <c r="BQ57" s="89">
        <v>0</v>
      </c>
      <c r="BR57" s="112" t="e">
        <f t="shared" ref="BR57" si="1707">BQ57/$P57</f>
        <v>#DIV/0!</v>
      </c>
      <c r="BS57" s="89">
        <f t="shared" si="4"/>
        <v>0</v>
      </c>
      <c r="BT57" s="113" t="e">
        <f t="shared" si="33"/>
        <v>#DIV/0!</v>
      </c>
      <c r="BU57" s="89">
        <v>0</v>
      </c>
      <c r="BV57" s="112" t="e">
        <f t="shared" ref="BV57" si="1708">BU57/$P57</f>
        <v>#DIV/0!</v>
      </c>
      <c r="BW57" s="89">
        <v>0</v>
      </c>
      <c r="BX57" s="112" t="e">
        <f t="shared" ref="BX57" si="1709">BW57/$P57</f>
        <v>#DIV/0!</v>
      </c>
      <c r="BY57" s="89">
        <v>0</v>
      </c>
      <c r="BZ57" s="112" t="e">
        <f t="shared" ref="BZ57" si="1710">BY57/$P57</f>
        <v>#DIV/0!</v>
      </c>
      <c r="CA57" s="89">
        <v>0</v>
      </c>
      <c r="CB57" s="112" t="e">
        <f t="shared" ref="CB57" si="1711">CA57/$P57</f>
        <v>#DIV/0!</v>
      </c>
      <c r="CC57" s="89">
        <v>0</v>
      </c>
      <c r="CD57" s="112" t="e">
        <f t="shared" ref="CD57" si="1712">CC57/$P57</f>
        <v>#DIV/0!</v>
      </c>
      <c r="CE57" s="89">
        <v>0</v>
      </c>
      <c r="CF57" s="112" t="e">
        <f t="shared" ref="CF57" si="1713">CE57/$P57</f>
        <v>#DIV/0!</v>
      </c>
      <c r="CG57" s="89">
        <f t="shared" si="5"/>
        <v>0</v>
      </c>
      <c r="CH57" s="113" t="e">
        <f t="shared" si="40"/>
        <v>#DIV/0!</v>
      </c>
      <c r="CI57" s="89">
        <v>0</v>
      </c>
      <c r="CJ57" s="112" t="e">
        <f t="shared" ref="CJ57" si="1714">CI57/$P57</f>
        <v>#DIV/0!</v>
      </c>
      <c r="CK57" s="89">
        <v>0</v>
      </c>
      <c r="CL57" s="112" t="e">
        <f t="shared" ref="CL57" si="1715">CK57/$P57</f>
        <v>#DIV/0!</v>
      </c>
      <c r="CM57" s="89">
        <v>0</v>
      </c>
      <c r="CN57" s="112" t="e">
        <f t="shared" ref="CN57" si="1716">CM57/$P57</f>
        <v>#DIV/0!</v>
      </c>
      <c r="CO57" s="89">
        <v>0</v>
      </c>
      <c r="CP57" s="112" t="e">
        <f t="shared" ref="CP57" si="1717">CO57/$P57</f>
        <v>#DIV/0!</v>
      </c>
      <c r="CQ57" s="89">
        <v>0</v>
      </c>
      <c r="CR57" s="112" t="e">
        <f t="shared" ref="CR57" si="1718">CQ57/$P57</f>
        <v>#DIV/0!</v>
      </c>
      <c r="CS57" s="89">
        <v>0</v>
      </c>
      <c r="CT57" s="112" t="e">
        <f t="shared" ref="CT57" si="1719">CS57/$P57</f>
        <v>#DIV/0!</v>
      </c>
      <c r="CU57" s="89">
        <f t="shared" si="6"/>
        <v>0</v>
      </c>
      <c r="CV57" s="113" t="e">
        <f t="shared" si="47"/>
        <v>#DIV/0!</v>
      </c>
    </row>
    <row r="58" spans="2:100" ht="19.95" customHeight="1">
      <c r="C58" s="88">
        <v>45</v>
      </c>
      <c r="D58" s="1" t="s">
        <v>211</v>
      </c>
      <c r="E58" s="88">
        <f>E5</f>
        <v>35.6</v>
      </c>
      <c r="F58" s="89">
        <v>1.2</v>
      </c>
      <c r="G58" s="89">
        <f t="shared" si="1447"/>
        <v>42.72</v>
      </c>
      <c r="H58" s="90">
        <v>1</v>
      </c>
      <c r="I58" s="90">
        <v>0.75</v>
      </c>
      <c r="J58" s="90">
        <v>14</v>
      </c>
      <c r="K58" s="91">
        <f>(H58*I58)*J58</f>
        <v>10.5</v>
      </c>
      <c r="L58" s="1"/>
      <c r="M58" s="1"/>
      <c r="N58" s="95">
        <f>G58-(K58+K62)</f>
        <v>32.22</v>
      </c>
      <c r="O58" s="89"/>
      <c r="P58" s="89">
        <v>0</v>
      </c>
      <c r="Q58" s="89">
        <v>0</v>
      </c>
      <c r="R58" s="112" t="e">
        <f t="shared" si="7"/>
        <v>#DIV/0!</v>
      </c>
      <c r="S58" s="89">
        <v>0</v>
      </c>
      <c r="T58" s="112" t="e">
        <f t="shared" si="7"/>
        <v>#DIV/0!</v>
      </c>
      <c r="U58" s="89">
        <v>0</v>
      </c>
      <c r="V58" s="112" t="e">
        <f t="shared" ref="V58" si="1720">U58/$P58</f>
        <v>#DIV/0!</v>
      </c>
      <c r="W58" s="89">
        <v>0</v>
      </c>
      <c r="X58" s="112" t="e">
        <f t="shared" ref="X58" si="1721">W58/$P58</f>
        <v>#DIV/0!</v>
      </c>
      <c r="Y58" s="89">
        <v>0</v>
      </c>
      <c r="Z58" s="112" t="e">
        <f t="shared" ref="Z58" si="1722">Y58/$P58</f>
        <v>#DIV/0!</v>
      </c>
      <c r="AA58" s="89">
        <v>0</v>
      </c>
      <c r="AB58" s="112" t="e">
        <f t="shared" ref="AB58" si="1723">AA58/$P58</f>
        <v>#DIV/0!</v>
      </c>
      <c r="AC58" s="89">
        <f t="shared" si="837"/>
        <v>0</v>
      </c>
      <c r="AD58" s="113" t="e">
        <f t="shared" si="12"/>
        <v>#DIV/0!</v>
      </c>
      <c r="AE58" s="89">
        <v>0</v>
      </c>
      <c r="AF58" s="112" t="e">
        <f t="shared" ref="AF58" si="1724">AE58/$P58</f>
        <v>#DIV/0!</v>
      </c>
      <c r="AG58" s="89">
        <v>0</v>
      </c>
      <c r="AH58" s="112" t="e">
        <f t="shared" ref="AH58" si="1725">AG58/$P58</f>
        <v>#DIV/0!</v>
      </c>
      <c r="AI58" s="89">
        <v>0</v>
      </c>
      <c r="AJ58" s="112" t="e">
        <f t="shared" ref="AJ58" si="1726">AI58/$P58</f>
        <v>#DIV/0!</v>
      </c>
      <c r="AK58" s="89">
        <v>0</v>
      </c>
      <c r="AL58" s="112" t="e">
        <f t="shared" ref="AL58" si="1727">AK58/$P58</f>
        <v>#DIV/0!</v>
      </c>
      <c r="AM58" s="89">
        <v>0</v>
      </c>
      <c r="AN58" s="112" t="e">
        <f t="shared" ref="AN58" si="1728">AM58/$P58</f>
        <v>#DIV/0!</v>
      </c>
      <c r="AO58" s="89">
        <v>0</v>
      </c>
      <c r="AP58" s="112" t="e">
        <f t="shared" ref="AP58" si="1729">AO58/$P58</f>
        <v>#DIV/0!</v>
      </c>
      <c r="AQ58" s="89">
        <f t="shared" si="2"/>
        <v>0</v>
      </c>
      <c r="AR58" s="113" t="e">
        <f t="shared" si="19"/>
        <v>#DIV/0!</v>
      </c>
      <c r="AS58" s="89">
        <v>0</v>
      </c>
      <c r="AT58" s="112" t="e">
        <f t="shared" ref="AT58" si="1730">AS58/$P58</f>
        <v>#DIV/0!</v>
      </c>
      <c r="AU58" s="89">
        <v>0</v>
      </c>
      <c r="AV58" s="112" t="e">
        <f t="shared" ref="AV58" si="1731">AU58/$P58</f>
        <v>#DIV/0!</v>
      </c>
      <c r="AW58" s="89">
        <v>0</v>
      </c>
      <c r="AX58" s="112" t="e">
        <f t="shared" ref="AX58" si="1732">AW58/$P58</f>
        <v>#DIV/0!</v>
      </c>
      <c r="AY58" s="89">
        <v>0</v>
      </c>
      <c r="AZ58" s="112" t="e">
        <f t="shared" ref="AZ58" si="1733">AY58/$P58</f>
        <v>#DIV/0!</v>
      </c>
      <c r="BA58" s="89">
        <v>0</v>
      </c>
      <c r="BB58" s="112" t="e">
        <f t="shared" ref="BB58" si="1734">BA58/$P58</f>
        <v>#DIV/0!</v>
      </c>
      <c r="BC58" s="89">
        <v>0</v>
      </c>
      <c r="BD58" s="112" t="e">
        <f t="shared" ref="BD58" si="1735">BC58/$P58</f>
        <v>#DIV/0!</v>
      </c>
      <c r="BE58" s="89">
        <f t="shared" si="3"/>
        <v>0</v>
      </c>
      <c r="BF58" s="113" t="e">
        <f t="shared" si="26"/>
        <v>#DIV/0!</v>
      </c>
      <c r="BG58" s="89">
        <v>0</v>
      </c>
      <c r="BH58" s="112" t="e">
        <f t="shared" ref="BH58" si="1736">BG58/$P58</f>
        <v>#DIV/0!</v>
      </c>
      <c r="BI58" s="89">
        <v>0</v>
      </c>
      <c r="BJ58" s="112" t="e">
        <f t="shared" ref="BJ58" si="1737">BI58/$P58</f>
        <v>#DIV/0!</v>
      </c>
      <c r="BK58" s="89">
        <v>0</v>
      </c>
      <c r="BL58" s="112" t="e">
        <f t="shared" ref="BL58" si="1738">BK58/$P58</f>
        <v>#DIV/0!</v>
      </c>
      <c r="BM58" s="89">
        <v>0</v>
      </c>
      <c r="BN58" s="112" t="e">
        <f t="shared" ref="BN58" si="1739">BM58/$P58</f>
        <v>#DIV/0!</v>
      </c>
      <c r="BO58" s="89">
        <v>0</v>
      </c>
      <c r="BP58" s="112" t="e">
        <f t="shared" ref="BP58" si="1740">BO58/$P58</f>
        <v>#DIV/0!</v>
      </c>
      <c r="BQ58" s="89">
        <v>0</v>
      </c>
      <c r="BR58" s="112" t="e">
        <f t="shared" ref="BR58" si="1741">BQ58/$P58</f>
        <v>#DIV/0!</v>
      </c>
      <c r="BS58" s="89">
        <f t="shared" si="4"/>
        <v>0</v>
      </c>
      <c r="BT58" s="113" t="e">
        <f t="shared" si="33"/>
        <v>#DIV/0!</v>
      </c>
      <c r="BU58" s="89">
        <v>0</v>
      </c>
      <c r="BV58" s="112" t="e">
        <f t="shared" ref="BV58" si="1742">BU58/$P58</f>
        <v>#DIV/0!</v>
      </c>
      <c r="BW58" s="89">
        <v>0</v>
      </c>
      <c r="BX58" s="112" t="e">
        <f t="shared" ref="BX58" si="1743">BW58/$P58</f>
        <v>#DIV/0!</v>
      </c>
      <c r="BY58" s="89">
        <v>0</v>
      </c>
      <c r="BZ58" s="112" t="e">
        <f t="shared" ref="BZ58" si="1744">BY58/$P58</f>
        <v>#DIV/0!</v>
      </c>
      <c r="CA58" s="89">
        <v>0</v>
      </c>
      <c r="CB58" s="112" t="e">
        <f t="shared" ref="CB58" si="1745">CA58/$P58</f>
        <v>#DIV/0!</v>
      </c>
      <c r="CC58" s="89">
        <v>0</v>
      </c>
      <c r="CD58" s="112" t="e">
        <f t="shared" ref="CD58" si="1746">CC58/$P58</f>
        <v>#DIV/0!</v>
      </c>
      <c r="CE58" s="89">
        <v>0</v>
      </c>
      <c r="CF58" s="112" t="e">
        <f t="shared" ref="CF58" si="1747">CE58/$P58</f>
        <v>#DIV/0!</v>
      </c>
      <c r="CG58" s="89">
        <f t="shared" si="5"/>
        <v>0</v>
      </c>
      <c r="CH58" s="113" t="e">
        <f t="shared" si="40"/>
        <v>#DIV/0!</v>
      </c>
      <c r="CI58" s="89">
        <v>0</v>
      </c>
      <c r="CJ58" s="112" t="e">
        <f t="shared" ref="CJ58" si="1748">CI58/$P58</f>
        <v>#DIV/0!</v>
      </c>
      <c r="CK58" s="89">
        <v>0</v>
      </c>
      <c r="CL58" s="112" t="e">
        <f t="shared" ref="CL58" si="1749">CK58/$P58</f>
        <v>#DIV/0!</v>
      </c>
      <c r="CM58" s="89">
        <v>0</v>
      </c>
      <c r="CN58" s="112" t="e">
        <f t="shared" ref="CN58" si="1750">CM58/$P58</f>
        <v>#DIV/0!</v>
      </c>
      <c r="CO58" s="89">
        <v>0</v>
      </c>
      <c r="CP58" s="112" t="e">
        <f t="shared" ref="CP58" si="1751">CO58/$P58</f>
        <v>#DIV/0!</v>
      </c>
      <c r="CQ58" s="89">
        <v>0</v>
      </c>
      <c r="CR58" s="112" t="e">
        <f t="shared" ref="CR58" si="1752">CQ58/$P58</f>
        <v>#DIV/0!</v>
      </c>
      <c r="CS58" s="89">
        <v>0</v>
      </c>
      <c r="CT58" s="112" t="e">
        <f t="shared" ref="CT58" si="1753">CS58/$P58</f>
        <v>#DIV/0!</v>
      </c>
      <c r="CU58" s="89">
        <f t="shared" si="6"/>
        <v>0</v>
      </c>
      <c r="CV58" s="113" t="e">
        <f t="shared" si="47"/>
        <v>#DIV/0!</v>
      </c>
    </row>
    <row r="59" spans="2:100" ht="19.95" customHeight="1">
      <c r="C59" s="88">
        <v>46</v>
      </c>
      <c r="D59" s="1" t="s">
        <v>200</v>
      </c>
      <c r="E59" s="88">
        <v>0.3</v>
      </c>
      <c r="F59" s="88">
        <v>2.52</v>
      </c>
      <c r="G59" s="89">
        <f>E59*F59*14</f>
        <v>10.584</v>
      </c>
      <c r="H59" s="90"/>
      <c r="I59" s="90"/>
      <c r="J59" s="90"/>
      <c r="K59" s="91"/>
      <c r="M59" s="89"/>
      <c r="N59" s="95">
        <f>G59</f>
        <v>10.584</v>
      </c>
      <c r="O59" s="89"/>
      <c r="P59" s="89">
        <v>0</v>
      </c>
      <c r="Q59" s="89">
        <v>0</v>
      </c>
      <c r="R59" s="112" t="e">
        <f t="shared" si="7"/>
        <v>#DIV/0!</v>
      </c>
      <c r="S59" s="89">
        <v>0</v>
      </c>
      <c r="T59" s="112" t="e">
        <f t="shared" si="7"/>
        <v>#DIV/0!</v>
      </c>
      <c r="U59" s="89">
        <v>0</v>
      </c>
      <c r="V59" s="112" t="e">
        <f t="shared" ref="V59" si="1754">U59/$P59</f>
        <v>#DIV/0!</v>
      </c>
      <c r="W59" s="89">
        <v>0</v>
      </c>
      <c r="X59" s="112" t="e">
        <f t="shared" ref="X59" si="1755">W59/$P59</f>
        <v>#DIV/0!</v>
      </c>
      <c r="Y59" s="89">
        <v>0</v>
      </c>
      <c r="Z59" s="112" t="e">
        <f t="shared" ref="Z59" si="1756">Y59/$P59</f>
        <v>#DIV/0!</v>
      </c>
      <c r="AA59" s="89">
        <v>0</v>
      </c>
      <c r="AB59" s="112" t="e">
        <f t="shared" ref="AB59" si="1757">AA59/$P59</f>
        <v>#DIV/0!</v>
      </c>
      <c r="AC59" s="89">
        <f t="shared" si="837"/>
        <v>0</v>
      </c>
      <c r="AD59" s="113" t="e">
        <f t="shared" si="12"/>
        <v>#DIV/0!</v>
      </c>
      <c r="AE59" s="89">
        <v>0</v>
      </c>
      <c r="AF59" s="112" t="e">
        <f t="shared" ref="AF59" si="1758">AE59/$P59</f>
        <v>#DIV/0!</v>
      </c>
      <c r="AG59" s="89">
        <v>0</v>
      </c>
      <c r="AH59" s="112" t="e">
        <f t="shared" ref="AH59" si="1759">AG59/$P59</f>
        <v>#DIV/0!</v>
      </c>
      <c r="AI59" s="89">
        <v>0</v>
      </c>
      <c r="AJ59" s="112" t="e">
        <f t="shared" ref="AJ59" si="1760">AI59/$P59</f>
        <v>#DIV/0!</v>
      </c>
      <c r="AK59" s="89">
        <v>0</v>
      </c>
      <c r="AL59" s="112" t="e">
        <f t="shared" ref="AL59" si="1761">AK59/$P59</f>
        <v>#DIV/0!</v>
      </c>
      <c r="AM59" s="89">
        <v>0</v>
      </c>
      <c r="AN59" s="112" t="e">
        <f t="shared" ref="AN59" si="1762">AM59/$P59</f>
        <v>#DIV/0!</v>
      </c>
      <c r="AO59" s="89">
        <v>0</v>
      </c>
      <c r="AP59" s="112" t="e">
        <f t="shared" ref="AP59" si="1763">AO59/$P59</f>
        <v>#DIV/0!</v>
      </c>
      <c r="AQ59" s="89">
        <f t="shared" si="2"/>
        <v>0</v>
      </c>
      <c r="AR59" s="113" t="e">
        <f t="shared" si="19"/>
        <v>#DIV/0!</v>
      </c>
      <c r="AS59" s="89">
        <v>0</v>
      </c>
      <c r="AT59" s="112" t="e">
        <f t="shared" ref="AT59" si="1764">AS59/$P59</f>
        <v>#DIV/0!</v>
      </c>
      <c r="AU59" s="89">
        <v>0</v>
      </c>
      <c r="AV59" s="112" t="e">
        <f t="shared" ref="AV59" si="1765">AU59/$P59</f>
        <v>#DIV/0!</v>
      </c>
      <c r="AW59" s="89">
        <v>0</v>
      </c>
      <c r="AX59" s="112" t="e">
        <f t="shared" ref="AX59" si="1766">AW59/$P59</f>
        <v>#DIV/0!</v>
      </c>
      <c r="AY59" s="89">
        <v>0</v>
      </c>
      <c r="AZ59" s="112" t="e">
        <f t="shared" ref="AZ59" si="1767">AY59/$P59</f>
        <v>#DIV/0!</v>
      </c>
      <c r="BA59" s="89">
        <v>0</v>
      </c>
      <c r="BB59" s="112" t="e">
        <f t="shared" ref="BB59" si="1768">BA59/$P59</f>
        <v>#DIV/0!</v>
      </c>
      <c r="BC59" s="89">
        <v>0</v>
      </c>
      <c r="BD59" s="112" t="e">
        <f t="shared" ref="BD59" si="1769">BC59/$P59</f>
        <v>#DIV/0!</v>
      </c>
      <c r="BE59" s="89">
        <f t="shared" si="3"/>
        <v>0</v>
      </c>
      <c r="BF59" s="113" t="e">
        <f t="shared" si="26"/>
        <v>#DIV/0!</v>
      </c>
      <c r="BG59" s="89">
        <v>0</v>
      </c>
      <c r="BH59" s="112" t="e">
        <f t="shared" ref="BH59" si="1770">BG59/$P59</f>
        <v>#DIV/0!</v>
      </c>
      <c r="BI59" s="89">
        <v>0</v>
      </c>
      <c r="BJ59" s="112" t="e">
        <f t="shared" ref="BJ59" si="1771">BI59/$P59</f>
        <v>#DIV/0!</v>
      </c>
      <c r="BK59" s="89">
        <v>0</v>
      </c>
      <c r="BL59" s="112" t="e">
        <f t="shared" ref="BL59" si="1772">BK59/$P59</f>
        <v>#DIV/0!</v>
      </c>
      <c r="BM59" s="89">
        <v>0</v>
      </c>
      <c r="BN59" s="112" t="e">
        <f t="shared" ref="BN59" si="1773">BM59/$P59</f>
        <v>#DIV/0!</v>
      </c>
      <c r="BO59" s="89">
        <v>0</v>
      </c>
      <c r="BP59" s="112" t="e">
        <f t="shared" ref="BP59" si="1774">BO59/$P59</f>
        <v>#DIV/0!</v>
      </c>
      <c r="BQ59" s="89">
        <v>0</v>
      </c>
      <c r="BR59" s="112" t="e">
        <f t="shared" ref="BR59" si="1775">BQ59/$P59</f>
        <v>#DIV/0!</v>
      </c>
      <c r="BS59" s="89">
        <f t="shared" si="4"/>
        <v>0</v>
      </c>
      <c r="BT59" s="113" t="e">
        <f t="shared" si="33"/>
        <v>#DIV/0!</v>
      </c>
      <c r="BU59" s="89">
        <v>0</v>
      </c>
      <c r="BV59" s="112" t="e">
        <f t="shared" ref="BV59" si="1776">BU59/$P59</f>
        <v>#DIV/0!</v>
      </c>
      <c r="BW59" s="89">
        <v>0</v>
      </c>
      <c r="BX59" s="112" t="e">
        <f t="shared" ref="BX59" si="1777">BW59/$P59</f>
        <v>#DIV/0!</v>
      </c>
      <c r="BY59" s="89">
        <v>0</v>
      </c>
      <c r="BZ59" s="112" t="e">
        <f t="shared" ref="BZ59" si="1778">BY59/$P59</f>
        <v>#DIV/0!</v>
      </c>
      <c r="CA59" s="89">
        <v>0</v>
      </c>
      <c r="CB59" s="112" t="e">
        <f t="shared" ref="CB59" si="1779">CA59/$P59</f>
        <v>#DIV/0!</v>
      </c>
      <c r="CC59" s="89">
        <v>0</v>
      </c>
      <c r="CD59" s="112" t="e">
        <f t="shared" ref="CD59" si="1780">CC59/$P59</f>
        <v>#DIV/0!</v>
      </c>
      <c r="CE59" s="89">
        <v>0</v>
      </c>
      <c r="CF59" s="112" t="e">
        <f t="shared" ref="CF59" si="1781">CE59/$P59</f>
        <v>#DIV/0!</v>
      </c>
      <c r="CG59" s="89">
        <f t="shared" si="5"/>
        <v>0</v>
      </c>
      <c r="CH59" s="113" t="e">
        <f t="shared" si="40"/>
        <v>#DIV/0!</v>
      </c>
      <c r="CI59" s="89">
        <v>0</v>
      </c>
      <c r="CJ59" s="112" t="e">
        <f t="shared" ref="CJ59" si="1782">CI59/$P59</f>
        <v>#DIV/0!</v>
      </c>
      <c r="CK59" s="89">
        <v>0</v>
      </c>
      <c r="CL59" s="112" t="e">
        <f t="shared" ref="CL59" si="1783">CK59/$P59</f>
        <v>#DIV/0!</v>
      </c>
      <c r="CM59" s="89">
        <v>0</v>
      </c>
      <c r="CN59" s="112" t="e">
        <f t="shared" ref="CN59" si="1784">CM59/$P59</f>
        <v>#DIV/0!</v>
      </c>
      <c r="CO59" s="89">
        <v>0</v>
      </c>
      <c r="CP59" s="112" t="e">
        <f t="shared" ref="CP59" si="1785">CO59/$P59</f>
        <v>#DIV/0!</v>
      </c>
      <c r="CQ59" s="89">
        <v>0</v>
      </c>
      <c r="CR59" s="112" t="e">
        <f t="shared" ref="CR59" si="1786">CQ59/$P59</f>
        <v>#DIV/0!</v>
      </c>
      <c r="CS59" s="89">
        <v>0</v>
      </c>
      <c r="CT59" s="112" t="e">
        <f t="shared" ref="CT59" si="1787">CS59/$P59</f>
        <v>#DIV/0!</v>
      </c>
      <c r="CU59" s="89">
        <f t="shared" si="6"/>
        <v>0</v>
      </c>
      <c r="CV59" s="113" t="e">
        <f t="shared" si="47"/>
        <v>#DIV/0!</v>
      </c>
    </row>
    <row r="60" spans="2:100" ht="19.95" customHeight="1">
      <c r="C60" s="88" t="s">
        <v>226</v>
      </c>
      <c r="D60" s="1" t="s">
        <v>202</v>
      </c>
      <c r="E60" s="88">
        <v>0.6</v>
      </c>
      <c r="F60" s="88">
        <v>2.52</v>
      </c>
      <c r="G60" s="89">
        <f>E60*F60*14</f>
        <v>21.167999999999999</v>
      </c>
      <c r="H60" s="90"/>
      <c r="I60" s="90"/>
      <c r="J60" s="90"/>
      <c r="K60" s="91"/>
      <c r="L60" s="89"/>
      <c r="O60" s="95">
        <f>G60</f>
        <v>21.167999999999999</v>
      </c>
      <c r="P60" s="89">
        <v>0</v>
      </c>
      <c r="Q60" s="89">
        <v>0</v>
      </c>
      <c r="R60" s="112" t="e">
        <f t="shared" si="7"/>
        <v>#DIV/0!</v>
      </c>
      <c r="S60" s="89">
        <v>0</v>
      </c>
      <c r="T60" s="112" t="e">
        <f t="shared" si="7"/>
        <v>#DIV/0!</v>
      </c>
      <c r="U60" s="89">
        <v>0</v>
      </c>
      <c r="V60" s="112" t="e">
        <f t="shared" ref="V60" si="1788">U60/$P60</f>
        <v>#DIV/0!</v>
      </c>
      <c r="W60" s="89">
        <v>0</v>
      </c>
      <c r="X60" s="112" t="e">
        <f t="shared" ref="X60" si="1789">W60/$P60</f>
        <v>#DIV/0!</v>
      </c>
      <c r="Y60" s="89">
        <v>0</v>
      </c>
      <c r="Z60" s="112" t="e">
        <f t="shared" ref="Z60" si="1790">Y60/$P60</f>
        <v>#DIV/0!</v>
      </c>
      <c r="AA60" s="89">
        <v>0</v>
      </c>
      <c r="AB60" s="112" t="e">
        <f t="shared" ref="AB60" si="1791">AA60/$P60</f>
        <v>#DIV/0!</v>
      </c>
      <c r="AC60" s="89">
        <f t="shared" ref="AC60:AC61" si="1792">Q60+S60+U60+W60+Y60+AA60</f>
        <v>0</v>
      </c>
      <c r="AD60" s="113" t="e">
        <f t="shared" si="12"/>
        <v>#DIV/0!</v>
      </c>
      <c r="AE60" s="89">
        <v>0</v>
      </c>
      <c r="AF60" s="112" t="e">
        <f t="shared" ref="AF60" si="1793">AE60/$P60</f>
        <v>#DIV/0!</v>
      </c>
      <c r="AG60" s="89">
        <v>0</v>
      </c>
      <c r="AH60" s="112" t="e">
        <f t="shared" ref="AH60" si="1794">AG60/$P60</f>
        <v>#DIV/0!</v>
      </c>
      <c r="AI60" s="89">
        <v>0</v>
      </c>
      <c r="AJ60" s="112" t="e">
        <f t="shared" ref="AJ60" si="1795">AI60/$P60</f>
        <v>#DIV/0!</v>
      </c>
      <c r="AK60" s="89">
        <v>0</v>
      </c>
      <c r="AL60" s="112" t="e">
        <f t="shared" ref="AL60" si="1796">AK60/$P60</f>
        <v>#DIV/0!</v>
      </c>
      <c r="AM60" s="89">
        <v>0</v>
      </c>
      <c r="AN60" s="112" t="e">
        <f t="shared" ref="AN60" si="1797">AM60/$P60</f>
        <v>#DIV/0!</v>
      </c>
      <c r="AO60" s="89">
        <v>0</v>
      </c>
      <c r="AP60" s="112" t="e">
        <f t="shared" ref="AP60" si="1798">AO60/$P60</f>
        <v>#DIV/0!</v>
      </c>
      <c r="AQ60" s="89">
        <f t="shared" ref="AQ60:AQ61" si="1799">AE60+AG60+AI60+AK60+AM60+AO60</f>
        <v>0</v>
      </c>
      <c r="AR60" s="113" t="e">
        <f t="shared" si="19"/>
        <v>#DIV/0!</v>
      </c>
      <c r="AS60" s="89">
        <v>0</v>
      </c>
      <c r="AT60" s="112" t="e">
        <f t="shared" ref="AT60" si="1800">AS60/$P60</f>
        <v>#DIV/0!</v>
      </c>
      <c r="AU60" s="89">
        <v>0</v>
      </c>
      <c r="AV60" s="112" t="e">
        <f t="shared" ref="AV60" si="1801">AU60/$P60</f>
        <v>#DIV/0!</v>
      </c>
      <c r="AW60" s="89">
        <v>0</v>
      </c>
      <c r="AX60" s="112" t="e">
        <f t="shared" ref="AX60" si="1802">AW60/$P60</f>
        <v>#DIV/0!</v>
      </c>
      <c r="AY60" s="89">
        <v>0</v>
      </c>
      <c r="AZ60" s="112" t="e">
        <f t="shared" ref="AZ60" si="1803">AY60/$P60</f>
        <v>#DIV/0!</v>
      </c>
      <c r="BA60" s="89">
        <v>0</v>
      </c>
      <c r="BB60" s="112" t="e">
        <f t="shared" ref="BB60" si="1804">BA60/$P60</f>
        <v>#DIV/0!</v>
      </c>
      <c r="BC60" s="89">
        <v>0</v>
      </c>
      <c r="BD60" s="112" t="e">
        <f t="shared" ref="BD60" si="1805">BC60/$P60</f>
        <v>#DIV/0!</v>
      </c>
      <c r="BE60" s="89">
        <f t="shared" ref="BE60:BE61" si="1806">AS60+AU60+AW60+AY60+BA60+BC60</f>
        <v>0</v>
      </c>
      <c r="BF60" s="113" t="e">
        <f t="shared" si="26"/>
        <v>#DIV/0!</v>
      </c>
      <c r="BG60" s="89">
        <v>0</v>
      </c>
      <c r="BH60" s="112" t="e">
        <f t="shared" ref="BH60" si="1807">BG60/$P60</f>
        <v>#DIV/0!</v>
      </c>
      <c r="BI60" s="89">
        <v>0</v>
      </c>
      <c r="BJ60" s="112" t="e">
        <f t="shared" ref="BJ60" si="1808">BI60/$P60</f>
        <v>#DIV/0!</v>
      </c>
      <c r="BK60" s="89">
        <v>0</v>
      </c>
      <c r="BL60" s="112" t="e">
        <f t="shared" ref="BL60" si="1809">BK60/$P60</f>
        <v>#DIV/0!</v>
      </c>
      <c r="BM60" s="89">
        <v>0</v>
      </c>
      <c r="BN60" s="112" t="e">
        <f t="shared" ref="BN60" si="1810">BM60/$P60</f>
        <v>#DIV/0!</v>
      </c>
      <c r="BO60" s="89">
        <v>0</v>
      </c>
      <c r="BP60" s="112" t="e">
        <f t="shared" ref="BP60" si="1811">BO60/$P60</f>
        <v>#DIV/0!</v>
      </c>
      <c r="BQ60" s="89">
        <v>0</v>
      </c>
      <c r="BR60" s="112" t="e">
        <f t="shared" ref="BR60" si="1812">BQ60/$P60</f>
        <v>#DIV/0!</v>
      </c>
      <c r="BS60" s="89">
        <f t="shared" ref="BS60:BS61" si="1813">BG60+BI60+BK60+BM60+BO60+BQ60</f>
        <v>0</v>
      </c>
      <c r="BT60" s="113" t="e">
        <f t="shared" si="33"/>
        <v>#DIV/0!</v>
      </c>
      <c r="BU60" s="89">
        <v>0</v>
      </c>
      <c r="BV60" s="112" t="e">
        <f t="shared" ref="BV60" si="1814">BU60/$P60</f>
        <v>#DIV/0!</v>
      </c>
      <c r="BW60" s="89">
        <v>0</v>
      </c>
      <c r="BX60" s="112" t="e">
        <f t="shared" ref="BX60" si="1815">BW60/$P60</f>
        <v>#DIV/0!</v>
      </c>
      <c r="BY60" s="89">
        <v>0</v>
      </c>
      <c r="BZ60" s="112" t="e">
        <f t="shared" ref="BZ60" si="1816">BY60/$P60</f>
        <v>#DIV/0!</v>
      </c>
      <c r="CA60" s="89">
        <v>0</v>
      </c>
      <c r="CB60" s="112" t="e">
        <f t="shared" ref="CB60" si="1817">CA60/$P60</f>
        <v>#DIV/0!</v>
      </c>
      <c r="CC60" s="89">
        <v>0</v>
      </c>
      <c r="CD60" s="112" t="e">
        <f t="shared" ref="CD60" si="1818">CC60/$P60</f>
        <v>#DIV/0!</v>
      </c>
      <c r="CE60" s="89">
        <v>0</v>
      </c>
      <c r="CF60" s="112" t="e">
        <f t="shared" ref="CF60" si="1819">CE60/$P60</f>
        <v>#DIV/0!</v>
      </c>
      <c r="CG60" s="89">
        <f t="shared" ref="CG60:CG61" si="1820">BU60+BW60+BY60+CA60+CC60+CE60</f>
        <v>0</v>
      </c>
      <c r="CH60" s="113" t="e">
        <f t="shared" si="40"/>
        <v>#DIV/0!</v>
      </c>
      <c r="CI60" s="89">
        <v>0</v>
      </c>
      <c r="CJ60" s="112" t="e">
        <f t="shared" ref="CJ60" si="1821">CI60/$P60</f>
        <v>#DIV/0!</v>
      </c>
      <c r="CK60" s="89">
        <v>0</v>
      </c>
      <c r="CL60" s="112" t="e">
        <f t="shared" ref="CL60" si="1822">CK60/$P60</f>
        <v>#DIV/0!</v>
      </c>
      <c r="CM60" s="89">
        <v>0</v>
      </c>
      <c r="CN60" s="112" t="e">
        <f t="shared" ref="CN60" si="1823">CM60/$P60</f>
        <v>#DIV/0!</v>
      </c>
      <c r="CO60" s="89">
        <v>0</v>
      </c>
      <c r="CP60" s="112" t="e">
        <f t="shared" ref="CP60" si="1824">CO60/$P60</f>
        <v>#DIV/0!</v>
      </c>
      <c r="CQ60" s="89">
        <v>0</v>
      </c>
      <c r="CR60" s="112" t="e">
        <f t="shared" ref="CR60" si="1825">CQ60/$P60</f>
        <v>#DIV/0!</v>
      </c>
      <c r="CS60" s="89">
        <v>0</v>
      </c>
      <c r="CT60" s="112" t="e">
        <f t="shared" ref="CT60" si="1826">CS60/$P60</f>
        <v>#DIV/0!</v>
      </c>
      <c r="CU60" s="89">
        <f t="shared" ref="CU60:CU61" si="1827">CI60+CK60+CM60+CO60+CQ60+CS60</f>
        <v>0</v>
      </c>
      <c r="CV60" s="113" t="e">
        <f t="shared" si="47"/>
        <v>#DIV/0!</v>
      </c>
    </row>
    <row r="61" spans="2:100" ht="19.95" customHeight="1">
      <c r="C61" s="88">
        <v>47</v>
      </c>
      <c r="D61" s="1" t="s">
        <v>211</v>
      </c>
      <c r="E61" s="88">
        <f>E5</f>
        <v>35.6</v>
      </c>
      <c r="F61" s="89">
        <v>2.54</v>
      </c>
      <c r="G61" s="89">
        <f t="shared" ref="G61" si="1828">E61*F61</f>
        <v>90.424000000000007</v>
      </c>
      <c r="H61" s="90">
        <v>1.5</v>
      </c>
      <c r="I61" s="90">
        <v>1.2</v>
      </c>
      <c r="J61" s="90">
        <v>14</v>
      </c>
      <c r="K61" s="91">
        <f>(H61*I61)*J61</f>
        <v>25.199999999999996</v>
      </c>
      <c r="L61" s="1"/>
      <c r="M61" s="95">
        <f>G61-(K61+K62)</f>
        <v>65.224000000000018</v>
      </c>
      <c r="N61" s="1"/>
      <c r="O61" s="89"/>
      <c r="P61" s="89">
        <v>0</v>
      </c>
      <c r="Q61" s="89">
        <v>0</v>
      </c>
      <c r="R61" s="112" t="e">
        <f t="shared" si="7"/>
        <v>#DIV/0!</v>
      </c>
      <c r="S61" s="89">
        <v>0</v>
      </c>
      <c r="T61" s="112" t="e">
        <f t="shared" si="7"/>
        <v>#DIV/0!</v>
      </c>
      <c r="U61" s="89">
        <v>0</v>
      </c>
      <c r="V61" s="112" t="e">
        <f t="shared" ref="V61" si="1829">U61/$P61</f>
        <v>#DIV/0!</v>
      </c>
      <c r="W61" s="89">
        <v>0</v>
      </c>
      <c r="X61" s="112" t="e">
        <f t="shared" ref="X61" si="1830">W61/$P61</f>
        <v>#DIV/0!</v>
      </c>
      <c r="Y61" s="89">
        <v>0</v>
      </c>
      <c r="Z61" s="112" t="e">
        <f t="shared" ref="Z61" si="1831">Y61/$P61</f>
        <v>#DIV/0!</v>
      </c>
      <c r="AA61" s="89">
        <v>0</v>
      </c>
      <c r="AB61" s="112" t="e">
        <f t="shared" ref="AB61" si="1832">AA61/$P61</f>
        <v>#DIV/0!</v>
      </c>
      <c r="AC61" s="89">
        <f t="shared" si="1792"/>
        <v>0</v>
      </c>
      <c r="AD61" s="113" t="e">
        <f t="shared" si="12"/>
        <v>#DIV/0!</v>
      </c>
      <c r="AE61" s="89">
        <v>0</v>
      </c>
      <c r="AF61" s="112" t="e">
        <f t="shared" ref="AF61" si="1833">AE61/$P61</f>
        <v>#DIV/0!</v>
      </c>
      <c r="AG61" s="89">
        <v>0</v>
      </c>
      <c r="AH61" s="112" t="e">
        <f t="shared" ref="AH61" si="1834">AG61/$P61</f>
        <v>#DIV/0!</v>
      </c>
      <c r="AI61" s="89">
        <v>0</v>
      </c>
      <c r="AJ61" s="112" t="e">
        <f t="shared" ref="AJ61" si="1835">AI61/$P61</f>
        <v>#DIV/0!</v>
      </c>
      <c r="AK61" s="89">
        <v>0</v>
      </c>
      <c r="AL61" s="112" t="e">
        <f t="shared" ref="AL61" si="1836">AK61/$P61</f>
        <v>#DIV/0!</v>
      </c>
      <c r="AM61" s="89">
        <v>0</v>
      </c>
      <c r="AN61" s="112" t="e">
        <f t="shared" ref="AN61" si="1837">AM61/$P61</f>
        <v>#DIV/0!</v>
      </c>
      <c r="AO61" s="89">
        <v>0</v>
      </c>
      <c r="AP61" s="112" t="e">
        <f t="shared" ref="AP61" si="1838">AO61/$P61</f>
        <v>#DIV/0!</v>
      </c>
      <c r="AQ61" s="89">
        <f t="shared" si="1799"/>
        <v>0</v>
      </c>
      <c r="AR61" s="113" t="e">
        <f t="shared" si="19"/>
        <v>#DIV/0!</v>
      </c>
      <c r="AS61" s="89">
        <v>0</v>
      </c>
      <c r="AT61" s="112" t="e">
        <f t="shared" ref="AT61" si="1839">AS61/$P61</f>
        <v>#DIV/0!</v>
      </c>
      <c r="AU61" s="89">
        <v>0</v>
      </c>
      <c r="AV61" s="112" t="e">
        <f t="shared" ref="AV61" si="1840">AU61/$P61</f>
        <v>#DIV/0!</v>
      </c>
      <c r="AW61" s="89">
        <v>0</v>
      </c>
      <c r="AX61" s="112" t="e">
        <f t="shared" ref="AX61" si="1841">AW61/$P61</f>
        <v>#DIV/0!</v>
      </c>
      <c r="AY61" s="89">
        <v>0</v>
      </c>
      <c r="AZ61" s="112" t="e">
        <f t="shared" ref="AZ61" si="1842">AY61/$P61</f>
        <v>#DIV/0!</v>
      </c>
      <c r="BA61" s="89">
        <v>0</v>
      </c>
      <c r="BB61" s="112" t="e">
        <f t="shared" ref="BB61" si="1843">BA61/$P61</f>
        <v>#DIV/0!</v>
      </c>
      <c r="BC61" s="89">
        <v>0</v>
      </c>
      <c r="BD61" s="112" t="e">
        <f t="shared" ref="BD61" si="1844">BC61/$P61</f>
        <v>#DIV/0!</v>
      </c>
      <c r="BE61" s="89">
        <f t="shared" si="1806"/>
        <v>0</v>
      </c>
      <c r="BF61" s="113" t="e">
        <f t="shared" si="26"/>
        <v>#DIV/0!</v>
      </c>
      <c r="BG61" s="89">
        <v>0</v>
      </c>
      <c r="BH61" s="112" t="e">
        <f t="shared" ref="BH61" si="1845">BG61/$P61</f>
        <v>#DIV/0!</v>
      </c>
      <c r="BI61" s="89">
        <v>0</v>
      </c>
      <c r="BJ61" s="112" t="e">
        <f t="shared" ref="BJ61" si="1846">BI61/$P61</f>
        <v>#DIV/0!</v>
      </c>
      <c r="BK61" s="89">
        <v>0</v>
      </c>
      <c r="BL61" s="112" t="e">
        <f t="shared" ref="BL61" si="1847">BK61/$P61</f>
        <v>#DIV/0!</v>
      </c>
      <c r="BM61" s="89">
        <v>0</v>
      </c>
      <c r="BN61" s="112" t="e">
        <f t="shared" ref="BN61" si="1848">BM61/$P61</f>
        <v>#DIV/0!</v>
      </c>
      <c r="BO61" s="89">
        <v>0</v>
      </c>
      <c r="BP61" s="112" t="e">
        <f t="shared" ref="BP61" si="1849">BO61/$P61</f>
        <v>#DIV/0!</v>
      </c>
      <c r="BQ61" s="89">
        <v>0</v>
      </c>
      <c r="BR61" s="112" t="e">
        <f t="shared" ref="BR61" si="1850">BQ61/$P61</f>
        <v>#DIV/0!</v>
      </c>
      <c r="BS61" s="89">
        <f t="shared" si="1813"/>
        <v>0</v>
      </c>
      <c r="BT61" s="113" t="e">
        <f t="shared" si="33"/>
        <v>#DIV/0!</v>
      </c>
      <c r="BU61" s="89">
        <v>0</v>
      </c>
      <c r="BV61" s="112" t="e">
        <f t="shared" ref="BV61" si="1851">BU61/$P61</f>
        <v>#DIV/0!</v>
      </c>
      <c r="BW61" s="89">
        <v>0</v>
      </c>
      <c r="BX61" s="112" t="e">
        <f t="shared" ref="BX61" si="1852">BW61/$P61</f>
        <v>#DIV/0!</v>
      </c>
      <c r="BY61" s="89">
        <v>0</v>
      </c>
      <c r="BZ61" s="112" t="e">
        <f t="shared" ref="BZ61" si="1853">BY61/$P61</f>
        <v>#DIV/0!</v>
      </c>
      <c r="CA61" s="89">
        <v>0</v>
      </c>
      <c r="CB61" s="112" t="e">
        <f t="shared" ref="CB61" si="1854">CA61/$P61</f>
        <v>#DIV/0!</v>
      </c>
      <c r="CC61" s="89">
        <v>0</v>
      </c>
      <c r="CD61" s="112" t="e">
        <f t="shared" ref="CD61" si="1855">CC61/$P61</f>
        <v>#DIV/0!</v>
      </c>
      <c r="CE61" s="89">
        <v>0</v>
      </c>
      <c r="CF61" s="112" t="e">
        <f t="shared" ref="CF61" si="1856">CE61/$P61</f>
        <v>#DIV/0!</v>
      </c>
      <c r="CG61" s="89">
        <f t="shared" si="1820"/>
        <v>0</v>
      </c>
      <c r="CH61" s="113" t="e">
        <f t="shared" si="40"/>
        <v>#DIV/0!</v>
      </c>
      <c r="CI61" s="89">
        <v>0</v>
      </c>
      <c r="CJ61" s="112" t="e">
        <f t="shared" ref="CJ61" si="1857">CI61/$P61</f>
        <v>#DIV/0!</v>
      </c>
      <c r="CK61" s="89">
        <v>0</v>
      </c>
      <c r="CL61" s="112" t="e">
        <f t="shared" ref="CL61" si="1858">CK61/$P61</f>
        <v>#DIV/0!</v>
      </c>
      <c r="CM61" s="89">
        <v>0</v>
      </c>
      <c r="CN61" s="112" t="e">
        <f t="shared" ref="CN61" si="1859">CM61/$P61</f>
        <v>#DIV/0!</v>
      </c>
      <c r="CO61" s="89">
        <v>0</v>
      </c>
      <c r="CP61" s="112" t="e">
        <f t="shared" ref="CP61" si="1860">CO61/$P61</f>
        <v>#DIV/0!</v>
      </c>
      <c r="CQ61" s="89">
        <v>0</v>
      </c>
      <c r="CR61" s="112" t="e">
        <f t="shared" ref="CR61" si="1861">CQ61/$P61</f>
        <v>#DIV/0!</v>
      </c>
      <c r="CS61" s="89">
        <v>0</v>
      </c>
      <c r="CT61" s="112" t="e">
        <f t="shared" ref="CT61" si="1862">CS61/$P61</f>
        <v>#DIV/0!</v>
      </c>
      <c r="CU61" s="89">
        <f t="shared" si="1827"/>
        <v>0</v>
      </c>
      <c r="CV61" s="113" t="e">
        <f t="shared" si="47"/>
        <v>#DIV/0!</v>
      </c>
    </row>
    <row r="62" spans="2:100" ht="19.95" customHeight="1">
      <c r="G62" s="89"/>
      <c r="H62" s="90"/>
      <c r="I62" s="90"/>
      <c r="J62" s="90"/>
      <c r="K62" s="93"/>
      <c r="L62" s="95"/>
      <c r="M62" s="95"/>
      <c r="N62" s="95"/>
      <c r="O62" s="89"/>
      <c r="P62" s="89"/>
      <c r="Q62" s="116">
        <f t="shared" ref="Q62:AC62" si="1863">SUM(Q5:Q59)</f>
        <v>0</v>
      </c>
      <c r="R62" s="126" t="e">
        <f t="shared" si="1863"/>
        <v>#DIV/0!</v>
      </c>
      <c r="S62" s="116">
        <f t="shared" si="1863"/>
        <v>0</v>
      </c>
      <c r="T62" s="126" t="e">
        <f t="shared" si="1863"/>
        <v>#DIV/0!</v>
      </c>
      <c r="U62" s="116">
        <f t="shared" si="1863"/>
        <v>0</v>
      </c>
      <c r="V62" s="126" t="e">
        <f t="shared" si="1863"/>
        <v>#DIV/0!</v>
      </c>
      <c r="W62" s="116">
        <f t="shared" si="1863"/>
        <v>0</v>
      </c>
      <c r="X62" s="126" t="e">
        <f t="shared" si="1863"/>
        <v>#DIV/0!</v>
      </c>
      <c r="Y62" s="116">
        <f t="shared" si="1863"/>
        <v>0</v>
      </c>
      <c r="Z62" s="126" t="e">
        <f t="shared" si="1863"/>
        <v>#DIV/0!</v>
      </c>
      <c r="AA62" s="116">
        <f t="shared" si="1863"/>
        <v>0</v>
      </c>
      <c r="AB62" s="126" t="e">
        <f t="shared" si="1863"/>
        <v>#DIV/0!</v>
      </c>
      <c r="AC62" s="116">
        <f t="shared" si="1863"/>
        <v>0</v>
      </c>
      <c r="AD62" s="119">
        <v>0</v>
      </c>
      <c r="AE62" s="116">
        <f t="shared" ref="AE62:AQ62" si="1864">SUM(AE5:AE59)</f>
        <v>0</v>
      </c>
      <c r="AF62" s="126" t="e">
        <f t="shared" si="1864"/>
        <v>#DIV/0!</v>
      </c>
      <c r="AG62" s="116">
        <f t="shared" si="1864"/>
        <v>0</v>
      </c>
      <c r="AH62" s="126" t="e">
        <f t="shared" si="1864"/>
        <v>#DIV/0!</v>
      </c>
      <c r="AI62" s="116">
        <f t="shared" si="1864"/>
        <v>0</v>
      </c>
      <c r="AJ62" s="126" t="e">
        <f t="shared" si="1864"/>
        <v>#DIV/0!</v>
      </c>
      <c r="AK62" s="116">
        <f t="shared" si="1864"/>
        <v>0</v>
      </c>
      <c r="AL62" s="126" t="e">
        <f t="shared" si="1864"/>
        <v>#DIV/0!</v>
      </c>
      <c r="AM62" s="116">
        <f t="shared" si="1864"/>
        <v>0</v>
      </c>
      <c r="AN62" s="126" t="e">
        <f t="shared" si="1864"/>
        <v>#DIV/0!</v>
      </c>
      <c r="AO62" s="116">
        <f t="shared" si="1864"/>
        <v>0</v>
      </c>
      <c r="AP62" s="126" t="e">
        <f t="shared" si="1864"/>
        <v>#DIV/0!</v>
      </c>
      <c r="AQ62" s="116">
        <f t="shared" si="1864"/>
        <v>0</v>
      </c>
      <c r="AR62" s="119">
        <f>AQ62/$R64</f>
        <v>0</v>
      </c>
      <c r="AS62" s="116">
        <f t="shared" ref="AS62:BE62" si="1865">SUM(AS5:AS59)</f>
        <v>0</v>
      </c>
      <c r="AT62" s="126" t="e">
        <f t="shared" si="1865"/>
        <v>#DIV/0!</v>
      </c>
      <c r="AU62" s="116">
        <f t="shared" si="1865"/>
        <v>0</v>
      </c>
      <c r="AV62" s="126" t="e">
        <f t="shared" si="1865"/>
        <v>#DIV/0!</v>
      </c>
      <c r="AW62" s="116">
        <f t="shared" si="1865"/>
        <v>0</v>
      </c>
      <c r="AX62" s="126" t="e">
        <f t="shared" si="1865"/>
        <v>#DIV/0!</v>
      </c>
      <c r="AY62" s="116">
        <f t="shared" si="1865"/>
        <v>0</v>
      </c>
      <c r="AZ62" s="126" t="e">
        <f t="shared" si="1865"/>
        <v>#DIV/0!</v>
      </c>
      <c r="BA62" s="116">
        <f t="shared" si="1865"/>
        <v>0</v>
      </c>
      <c r="BB62" s="126" t="e">
        <f t="shared" si="1865"/>
        <v>#DIV/0!</v>
      </c>
      <c r="BC62" s="116">
        <f t="shared" si="1865"/>
        <v>0</v>
      </c>
      <c r="BD62" s="126" t="e">
        <f t="shared" si="1865"/>
        <v>#DIV/0!</v>
      </c>
      <c r="BE62" s="116">
        <f t="shared" si="1865"/>
        <v>0</v>
      </c>
      <c r="BF62" s="119">
        <f>BE62/$R64</f>
        <v>0</v>
      </c>
      <c r="BG62" s="116">
        <f t="shared" ref="BG62:BS62" si="1866">SUM(BG5:BG59)</f>
        <v>0</v>
      </c>
      <c r="BH62" s="126" t="e">
        <f t="shared" si="1866"/>
        <v>#DIV/0!</v>
      </c>
      <c r="BI62" s="116">
        <f t="shared" si="1866"/>
        <v>0</v>
      </c>
      <c r="BJ62" s="126" t="e">
        <f t="shared" si="1866"/>
        <v>#DIV/0!</v>
      </c>
      <c r="BK62" s="116">
        <f t="shared" si="1866"/>
        <v>0</v>
      </c>
      <c r="BL62" s="126" t="e">
        <f t="shared" si="1866"/>
        <v>#DIV/0!</v>
      </c>
      <c r="BM62" s="116">
        <f t="shared" si="1866"/>
        <v>0</v>
      </c>
      <c r="BN62" s="126" t="e">
        <f t="shared" si="1866"/>
        <v>#DIV/0!</v>
      </c>
      <c r="BO62" s="116">
        <f t="shared" si="1866"/>
        <v>0</v>
      </c>
      <c r="BP62" s="126" t="e">
        <f t="shared" si="1866"/>
        <v>#DIV/0!</v>
      </c>
      <c r="BQ62" s="116">
        <f t="shared" si="1866"/>
        <v>0</v>
      </c>
      <c r="BR62" s="126" t="e">
        <f t="shared" si="1866"/>
        <v>#DIV/0!</v>
      </c>
      <c r="BS62" s="116">
        <f t="shared" si="1866"/>
        <v>0</v>
      </c>
      <c r="BT62" s="119">
        <f>BS62/$R64</f>
        <v>0</v>
      </c>
      <c r="BU62" s="116">
        <f t="shared" ref="BU62:CG62" si="1867">SUM(BU5:BU59)</f>
        <v>0</v>
      </c>
      <c r="BV62" s="126" t="e">
        <f t="shared" si="1867"/>
        <v>#DIV/0!</v>
      </c>
      <c r="BW62" s="116">
        <f t="shared" si="1867"/>
        <v>0</v>
      </c>
      <c r="BX62" s="126" t="e">
        <f t="shared" si="1867"/>
        <v>#DIV/0!</v>
      </c>
      <c r="BY62" s="116">
        <f t="shared" si="1867"/>
        <v>0</v>
      </c>
      <c r="BZ62" s="126" t="e">
        <f t="shared" si="1867"/>
        <v>#DIV/0!</v>
      </c>
      <c r="CA62" s="116">
        <f t="shared" si="1867"/>
        <v>0</v>
      </c>
      <c r="CB62" s="126" t="e">
        <f t="shared" si="1867"/>
        <v>#DIV/0!</v>
      </c>
      <c r="CC62" s="116">
        <f t="shared" si="1867"/>
        <v>0</v>
      </c>
      <c r="CD62" s="126" t="e">
        <f t="shared" si="1867"/>
        <v>#DIV/0!</v>
      </c>
      <c r="CE62" s="116">
        <f t="shared" si="1867"/>
        <v>1000</v>
      </c>
      <c r="CF62" s="126" t="e">
        <f t="shared" si="1867"/>
        <v>#DIV/0!</v>
      </c>
      <c r="CG62" s="116">
        <f t="shared" si="1867"/>
        <v>1000</v>
      </c>
      <c r="CH62" s="119">
        <f>CG62/$R64</f>
        <v>0.40860422431391269</v>
      </c>
      <c r="CI62" s="116">
        <f t="shared" ref="CI62:CU62" si="1868">SUM(CI5:CI59)</f>
        <v>0</v>
      </c>
      <c r="CJ62" s="126" t="e">
        <f t="shared" si="1868"/>
        <v>#DIV/0!</v>
      </c>
      <c r="CK62" s="116">
        <f t="shared" si="1868"/>
        <v>0</v>
      </c>
      <c r="CL62" s="126" t="e">
        <f t="shared" si="1868"/>
        <v>#DIV/0!</v>
      </c>
      <c r="CM62" s="116">
        <f t="shared" si="1868"/>
        <v>0</v>
      </c>
      <c r="CN62" s="126" t="e">
        <f t="shared" si="1868"/>
        <v>#DIV/0!</v>
      </c>
      <c r="CO62" s="116">
        <f t="shared" si="1868"/>
        <v>0</v>
      </c>
      <c r="CP62" s="126" t="e">
        <f t="shared" si="1868"/>
        <v>#DIV/0!</v>
      </c>
      <c r="CQ62" s="116">
        <f t="shared" si="1868"/>
        <v>0</v>
      </c>
      <c r="CR62" s="126" t="e">
        <f t="shared" si="1868"/>
        <v>#DIV/0!</v>
      </c>
      <c r="CS62" s="116">
        <f t="shared" si="1868"/>
        <v>0</v>
      </c>
      <c r="CT62" s="126" t="e">
        <f t="shared" si="1868"/>
        <v>#DIV/0!</v>
      </c>
      <c r="CU62" s="116">
        <f t="shared" si="1868"/>
        <v>0</v>
      </c>
      <c r="CV62" s="119">
        <f>CU62/$R64</f>
        <v>0</v>
      </c>
    </row>
    <row r="63" spans="2:100" ht="19.95" customHeight="1">
      <c r="F63" s="88">
        <f>SUM(F5:F62)-(F13+F14+F25+F27+F36+F37+F41+F42+F53+F54+F59+F60+F16+F17+F19+F20)</f>
        <v>108.54999999999995</v>
      </c>
      <c r="G63" s="1"/>
      <c r="H63" s="90"/>
      <c r="I63" s="90"/>
      <c r="J63" s="90"/>
      <c r="K63" s="93">
        <f>SUM(K5:K62)</f>
        <v>565.11999999999989</v>
      </c>
      <c r="L63" s="95"/>
      <c r="M63" s="95"/>
      <c r="N63" s="95"/>
      <c r="O63" s="89"/>
      <c r="P63" s="89"/>
      <c r="AD63" s="207"/>
    </row>
    <row r="64" spans="2:100" ht="19.95" customHeight="1">
      <c r="D64" s="83" t="s">
        <v>125</v>
      </c>
      <c r="E64" s="82"/>
      <c r="F64" s="82"/>
      <c r="G64" s="96">
        <f>SUM(G5:G63)</f>
        <v>4308.1620000000003</v>
      </c>
      <c r="I64" s="97"/>
      <c r="J64" s="98" t="s">
        <v>126</v>
      </c>
      <c r="K64" s="99"/>
      <c r="L64" s="82"/>
      <c r="M64" s="82"/>
      <c r="N64" s="96">
        <f>SUM(L5:L63)</f>
        <v>1704.0620000000001</v>
      </c>
      <c r="O64" s="96">
        <f>SUM(M5:M63)</f>
        <v>621.68000000000006</v>
      </c>
      <c r="P64" s="96">
        <f>SUM(N5:N63)</f>
        <v>1190.5</v>
      </c>
      <c r="Q64" s="96">
        <f>SUM(O5:O61)</f>
        <v>226.8</v>
      </c>
      <c r="R64" s="181">
        <f>SUM(P5:P61)</f>
        <v>2447.3559999999998</v>
      </c>
    </row>
    <row r="65" spans="4:106" ht="19.95" customHeight="1">
      <c r="F65" s="89">
        <f>F63*35.8</f>
        <v>3886.0899999999979</v>
      </c>
      <c r="G65" s="88">
        <v>4222.2299999999996</v>
      </c>
      <c r="H65" s="89">
        <f>G64-N65</f>
        <v>565.11999999999989</v>
      </c>
      <c r="J65" s="140"/>
      <c r="K65" s="140"/>
      <c r="L65" s="140"/>
      <c r="M65" s="151">
        <f>F65-H65</f>
        <v>3320.969999999998</v>
      </c>
      <c r="N65" s="116">
        <f>SUM(N64:Q64)</f>
        <v>3743.0420000000004</v>
      </c>
      <c r="O65" s="89"/>
      <c r="P65" s="89"/>
    </row>
    <row r="66" spans="4:106" ht="19.95" customHeight="1"/>
    <row r="67" spans="4:106" ht="25.05" customHeight="1">
      <c r="G67" s="150">
        <f>G64*300</f>
        <v>1292448.6000000001</v>
      </c>
      <c r="N67" s="139" t="s">
        <v>186</v>
      </c>
      <c r="O67" s="137"/>
      <c r="P67" s="138" t="s">
        <v>190</v>
      </c>
      <c r="Q67" s="133">
        <v>65</v>
      </c>
    </row>
    <row r="68" spans="4:106" ht="27.6">
      <c r="G68" s="150">
        <f>N65*500</f>
        <v>1871521.0000000002</v>
      </c>
      <c r="K68" s="95"/>
      <c r="M68" s="95"/>
      <c r="N68" s="116" t="s">
        <v>187</v>
      </c>
      <c r="O68" s="116" t="s">
        <v>189</v>
      </c>
      <c r="P68" s="116" t="s">
        <v>188</v>
      </c>
      <c r="Q68" s="144" t="s">
        <v>199</v>
      </c>
    </row>
    <row r="69" spans="4:106" ht="19.95" customHeight="1">
      <c r="F69" s="150">
        <f>N65*500</f>
        <v>1871521.0000000002</v>
      </c>
      <c r="G69" s="150">
        <f>SUM(G67:G68)</f>
        <v>3163969.6000000006</v>
      </c>
      <c r="N69" s="141">
        <f>N64/$Q$67</f>
        <v>26.216338461538463</v>
      </c>
      <c r="O69" s="141">
        <f>O64/$Q$67</f>
        <v>9.5643076923076933</v>
      </c>
      <c r="P69" s="141">
        <f>P64/$Q$67</f>
        <v>18.315384615384616</v>
      </c>
      <c r="Q69" s="141">
        <f>Q64/$Q$67</f>
        <v>3.4892307692307694</v>
      </c>
      <c r="R69" s="145">
        <f>SUM(N69:Q69)</f>
        <v>57.585261538461545</v>
      </c>
    </row>
    <row r="70" spans="4:106" ht="19.95" customHeight="1"/>
    <row r="71" spans="4:106" ht="19.95" customHeight="1"/>
    <row r="72" spans="4:106" ht="19.95" customHeight="1">
      <c r="L72" s="178">
        <v>11200</v>
      </c>
      <c r="M72" s="179">
        <f>L72/4.2</f>
        <v>2666.6666666666665</v>
      </c>
      <c r="O72" s="110"/>
      <c r="P72" s="110" t="s">
        <v>169</v>
      </c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</row>
    <row r="73" spans="4:106" ht="18" customHeight="1">
      <c r="O73" s="83"/>
      <c r="P73" s="84" t="s">
        <v>97</v>
      </c>
      <c r="Q73" s="257" t="s">
        <v>157</v>
      </c>
      <c r="R73" s="257"/>
      <c r="S73" s="257"/>
      <c r="T73" s="257"/>
      <c r="U73" s="111"/>
      <c r="V73" s="111"/>
      <c r="W73" s="111"/>
      <c r="X73" s="111"/>
      <c r="Y73" s="111"/>
      <c r="Z73" s="111"/>
      <c r="AA73" s="111"/>
      <c r="AB73" s="111"/>
      <c r="AC73" s="256" t="s">
        <v>158</v>
      </c>
      <c r="AD73" s="256"/>
      <c r="AE73" s="257" t="s">
        <v>157</v>
      </c>
      <c r="AF73" s="257"/>
      <c r="AG73" s="257"/>
      <c r="AH73" s="257"/>
      <c r="AI73" s="111"/>
      <c r="AJ73" s="111"/>
      <c r="AK73" s="111"/>
      <c r="AL73" s="111"/>
      <c r="AM73" s="111"/>
      <c r="AN73" s="111"/>
      <c r="AO73" s="111"/>
      <c r="AP73" s="111"/>
      <c r="AQ73" s="256" t="s">
        <v>158</v>
      </c>
      <c r="AR73" s="256"/>
      <c r="AS73" s="257" t="s">
        <v>157</v>
      </c>
      <c r="AT73" s="257"/>
      <c r="AU73" s="257"/>
      <c r="AV73" s="257"/>
      <c r="AW73" s="111"/>
      <c r="AX73" s="111"/>
      <c r="AY73" s="111"/>
      <c r="AZ73" s="111"/>
      <c r="BA73" s="111"/>
      <c r="BB73" s="111"/>
      <c r="BC73" s="111"/>
      <c r="BD73" s="111"/>
      <c r="BE73" s="256" t="s">
        <v>158</v>
      </c>
      <c r="BF73" s="256"/>
      <c r="BG73" s="257" t="s">
        <v>157</v>
      </c>
      <c r="BH73" s="257"/>
      <c r="BI73" s="257"/>
      <c r="BJ73" s="257"/>
      <c r="BK73" s="111"/>
      <c r="BL73" s="111"/>
      <c r="BM73" s="111"/>
      <c r="BN73" s="111"/>
      <c r="BO73" s="111"/>
      <c r="BP73" s="111"/>
      <c r="BQ73" s="111"/>
      <c r="BR73" s="111"/>
      <c r="BS73" s="256" t="s">
        <v>158</v>
      </c>
      <c r="BT73" s="256"/>
      <c r="BU73" s="257" t="s">
        <v>157</v>
      </c>
      <c r="BV73" s="257"/>
      <c r="BW73" s="257"/>
      <c r="BX73" s="257"/>
      <c r="BY73" s="111"/>
      <c r="BZ73" s="111"/>
      <c r="CA73" s="111"/>
      <c r="CB73" s="111"/>
      <c r="CC73" s="111"/>
      <c r="CD73" s="111"/>
      <c r="CE73" s="111"/>
      <c r="CF73" s="111"/>
      <c r="CG73" s="256" t="s">
        <v>158</v>
      </c>
      <c r="CH73" s="256"/>
      <c r="CI73" s="257" t="s">
        <v>157</v>
      </c>
      <c r="CJ73" s="257"/>
      <c r="CK73" s="257"/>
      <c r="CL73" s="257"/>
      <c r="CM73" s="111"/>
      <c r="CN73" s="111"/>
      <c r="CO73" s="111"/>
      <c r="CP73" s="111"/>
      <c r="CQ73" s="111"/>
      <c r="CR73" s="111"/>
      <c r="CS73" s="111"/>
      <c r="CT73" s="111"/>
      <c r="CU73" s="256" t="s">
        <v>158</v>
      </c>
      <c r="CV73" s="256"/>
    </row>
    <row r="74" spans="4:106" ht="18" customHeight="1">
      <c r="M74" s="178">
        <f>17000000/900</f>
        <v>18888.888888888891</v>
      </c>
      <c r="O74" s="83"/>
      <c r="P74" s="84"/>
      <c r="Q74" s="254">
        <v>45817</v>
      </c>
      <c r="R74" s="254"/>
      <c r="S74" s="254">
        <f>+Q74+1</f>
        <v>45818</v>
      </c>
      <c r="T74" s="254"/>
      <c r="U74" s="254">
        <f>+S74+1</f>
        <v>45819</v>
      </c>
      <c r="V74" s="254"/>
      <c r="W74" s="254">
        <f>+U74+1</f>
        <v>45820</v>
      </c>
      <c r="X74" s="254"/>
      <c r="Y74" s="254">
        <f>+W74+1</f>
        <v>45821</v>
      </c>
      <c r="Z74" s="254"/>
      <c r="AA74" s="254">
        <f>+Y74+1</f>
        <v>45822</v>
      </c>
      <c r="AB74" s="254"/>
      <c r="AC74" s="255" t="s">
        <v>159</v>
      </c>
      <c r="AD74" s="255"/>
      <c r="AE74" s="254">
        <f>AA74+2</f>
        <v>45824</v>
      </c>
      <c r="AF74" s="254"/>
      <c r="AG74" s="254">
        <f>+AE74+1</f>
        <v>45825</v>
      </c>
      <c r="AH74" s="254"/>
      <c r="AI74" s="254">
        <f>+AG74+1</f>
        <v>45826</v>
      </c>
      <c r="AJ74" s="254"/>
      <c r="AK74" s="254">
        <f>+AI74+1</f>
        <v>45827</v>
      </c>
      <c r="AL74" s="254"/>
      <c r="AM74" s="254">
        <f>+AK74+1</f>
        <v>45828</v>
      </c>
      <c r="AN74" s="254"/>
      <c r="AO74" s="254">
        <f>+AM74+1</f>
        <v>45829</v>
      </c>
      <c r="AP74" s="254"/>
      <c r="AQ74" s="255" t="s">
        <v>160</v>
      </c>
      <c r="AR74" s="255"/>
      <c r="AS74" s="254">
        <f>AO74+2</f>
        <v>45831</v>
      </c>
      <c r="AT74" s="254"/>
      <c r="AU74" s="254">
        <f>+AS74+1</f>
        <v>45832</v>
      </c>
      <c r="AV74" s="254"/>
      <c r="AW74" s="254">
        <f>+AU74+1</f>
        <v>45833</v>
      </c>
      <c r="AX74" s="254"/>
      <c r="AY74" s="254">
        <f>+AW74+1</f>
        <v>45834</v>
      </c>
      <c r="AZ74" s="254"/>
      <c r="BA74" s="254">
        <f>+AY74+1</f>
        <v>45835</v>
      </c>
      <c r="BB74" s="254"/>
      <c r="BC74" s="254">
        <f>+BA74+1</f>
        <v>45836</v>
      </c>
      <c r="BD74" s="254"/>
      <c r="BE74" s="255" t="s">
        <v>161</v>
      </c>
      <c r="BF74" s="255"/>
      <c r="BG74" s="254">
        <f>BC74+2</f>
        <v>45838</v>
      </c>
      <c r="BH74" s="254"/>
      <c r="BI74" s="254">
        <f>+BG74+1</f>
        <v>45839</v>
      </c>
      <c r="BJ74" s="254"/>
      <c r="BK74" s="254">
        <f>+BI74+1</f>
        <v>45840</v>
      </c>
      <c r="BL74" s="254"/>
      <c r="BM74" s="254">
        <f>+BK74+1</f>
        <v>45841</v>
      </c>
      <c r="BN74" s="254"/>
      <c r="BO74" s="254">
        <f>+BM74+1</f>
        <v>45842</v>
      </c>
      <c r="BP74" s="254"/>
      <c r="BQ74" s="254">
        <f>+BO74+1</f>
        <v>45843</v>
      </c>
      <c r="BR74" s="254"/>
      <c r="BS74" s="255" t="s">
        <v>299</v>
      </c>
      <c r="BT74" s="255"/>
      <c r="BU74" s="254">
        <f>BQ74+2</f>
        <v>45845</v>
      </c>
      <c r="BV74" s="254"/>
      <c r="BW74" s="254">
        <f>+BU74+1</f>
        <v>45846</v>
      </c>
      <c r="BX74" s="254"/>
      <c r="BY74" s="254">
        <f>+BW74+1</f>
        <v>45847</v>
      </c>
      <c r="BZ74" s="254"/>
      <c r="CA74" s="254">
        <f>+BY74+1</f>
        <v>45848</v>
      </c>
      <c r="CB74" s="254"/>
      <c r="CC74" s="254">
        <f>+CA74+1</f>
        <v>45849</v>
      </c>
      <c r="CD74" s="254"/>
      <c r="CE74" s="254">
        <f>+CC74+1</f>
        <v>45850</v>
      </c>
      <c r="CF74" s="254"/>
      <c r="CG74" s="255" t="s">
        <v>300</v>
      </c>
      <c r="CH74" s="255"/>
      <c r="CI74" s="254">
        <f>CE74+2</f>
        <v>45852</v>
      </c>
      <c r="CJ74" s="254"/>
      <c r="CK74" s="254">
        <f>+CI74+1</f>
        <v>45853</v>
      </c>
      <c r="CL74" s="254"/>
      <c r="CM74" s="254">
        <f>+CK74+1</f>
        <v>45854</v>
      </c>
      <c r="CN74" s="254"/>
      <c r="CO74" s="254">
        <f>+CM74+1</f>
        <v>45855</v>
      </c>
      <c r="CP74" s="254"/>
      <c r="CQ74" s="254">
        <f>+CO74+1</f>
        <v>45856</v>
      </c>
      <c r="CR74" s="254"/>
      <c r="CS74" s="254">
        <f>+CQ74+1</f>
        <v>45857</v>
      </c>
      <c r="CT74" s="254"/>
      <c r="CU74" s="255" t="s">
        <v>301</v>
      </c>
      <c r="CV74" s="255"/>
    </row>
    <row r="75" spans="4:106" ht="18" customHeight="1">
      <c r="O75" s="82" t="s">
        <v>91</v>
      </c>
      <c r="P75" s="82" t="s">
        <v>139</v>
      </c>
      <c r="Q75" s="82" t="s">
        <v>139</v>
      </c>
      <c r="R75" s="84" t="s">
        <v>163</v>
      </c>
      <c r="S75" s="82" t="s">
        <v>139</v>
      </c>
      <c r="T75" s="84" t="s">
        <v>163</v>
      </c>
      <c r="U75" s="82" t="s">
        <v>139</v>
      </c>
      <c r="V75" s="84" t="s">
        <v>163</v>
      </c>
      <c r="W75" s="82" t="s">
        <v>139</v>
      </c>
      <c r="X75" s="84" t="s">
        <v>163</v>
      </c>
      <c r="Y75" s="82" t="s">
        <v>139</v>
      </c>
      <c r="Z75" s="84" t="s">
        <v>163</v>
      </c>
      <c r="AA75" s="82" t="s">
        <v>139</v>
      </c>
      <c r="AB75" s="84" t="s">
        <v>163</v>
      </c>
      <c r="AC75" s="82" t="s">
        <v>139</v>
      </c>
      <c r="AD75" s="84" t="s">
        <v>163</v>
      </c>
      <c r="AE75" s="82" t="s">
        <v>139</v>
      </c>
      <c r="AF75" s="84" t="s">
        <v>163</v>
      </c>
      <c r="AG75" s="82" t="s">
        <v>139</v>
      </c>
      <c r="AH75" s="84" t="s">
        <v>163</v>
      </c>
      <c r="AI75" s="82" t="s">
        <v>139</v>
      </c>
      <c r="AJ75" s="84" t="s">
        <v>163</v>
      </c>
      <c r="AK75" s="82" t="s">
        <v>139</v>
      </c>
      <c r="AL75" s="84" t="s">
        <v>163</v>
      </c>
      <c r="AM75" s="82" t="s">
        <v>139</v>
      </c>
      <c r="AN75" s="84" t="s">
        <v>163</v>
      </c>
      <c r="AO75" s="82" t="s">
        <v>139</v>
      </c>
      <c r="AP75" s="84" t="s">
        <v>163</v>
      </c>
      <c r="AQ75" s="82" t="s">
        <v>139</v>
      </c>
      <c r="AR75" s="84" t="s">
        <v>163</v>
      </c>
      <c r="AS75" s="82" t="s">
        <v>139</v>
      </c>
      <c r="AT75" s="84" t="s">
        <v>163</v>
      </c>
      <c r="AU75" s="82" t="s">
        <v>139</v>
      </c>
      <c r="AV75" s="84" t="s">
        <v>163</v>
      </c>
      <c r="AW75" s="82" t="s">
        <v>139</v>
      </c>
      <c r="AX75" s="84" t="s">
        <v>163</v>
      </c>
      <c r="AY75" s="82" t="s">
        <v>139</v>
      </c>
      <c r="AZ75" s="84" t="s">
        <v>163</v>
      </c>
      <c r="BA75" s="82" t="s">
        <v>139</v>
      </c>
      <c r="BB75" s="84" t="s">
        <v>163</v>
      </c>
      <c r="BC75" s="82" t="s">
        <v>139</v>
      </c>
      <c r="BD75" s="84" t="s">
        <v>163</v>
      </c>
      <c r="BE75" s="82" t="s">
        <v>139</v>
      </c>
      <c r="BF75" s="84" t="s">
        <v>163</v>
      </c>
      <c r="BG75" s="82" t="s">
        <v>139</v>
      </c>
      <c r="BH75" s="84" t="s">
        <v>163</v>
      </c>
      <c r="BI75" s="82" t="s">
        <v>139</v>
      </c>
      <c r="BJ75" s="84" t="s">
        <v>163</v>
      </c>
      <c r="BK75" s="82" t="s">
        <v>139</v>
      </c>
      <c r="BL75" s="84" t="s">
        <v>163</v>
      </c>
      <c r="BM75" s="82" t="s">
        <v>139</v>
      </c>
      <c r="BN75" s="84" t="s">
        <v>163</v>
      </c>
      <c r="BO75" s="82" t="s">
        <v>139</v>
      </c>
      <c r="BP75" s="84" t="s">
        <v>163</v>
      </c>
      <c r="BQ75" s="82" t="s">
        <v>139</v>
      </c>
      <c r="BR75" s="84" t="s">
        <v>163</v>
      </c>
      <c r="BS75" s="82" t="s">
        <v>139</v>
      </c>
      <c r="BT75" s="84" t="s">
        <v>163</v>
      </c>
      <c r="BU75" s="82" t="s">
        <v>139</v>
      </c>
      <c r="BV75" s="84" t="s">
        <v>163</v>
      </c>
      <c r="BW75" s="82" t="s">
        <v>139</v>
      </c>
      <c r="BX75" s="84" t="s">
        <v>163</v>
      </c>
      <c r="BY75" s="82" t="s">
        <v>139</v>
      </c>
      <c r="BZ75" s="84" t="s">
        <v>163</v>
      </c>
      <c r="CA75" s="82" t="s">
        <v>139</v>
      </c>
      <c r="CB75" s="84" t="s">
        <v>163</v>
      </c>
      <c r="CC75" s="82" t="s">
        <v>139</v>
      </c>
      <c r="CD75" s="84" t="s">
        <v>163</v>
      </c>
      <c r="CE75" s="82" t="s">
        <v>139</v>
      </c>
      <c r="CF75" s="84" t="s">
        <v>163</v>
      </c>
      <c r="CG75" s="82" t="s">
        <v>139</v>
      </c>
      <c r="CH75" s="84" t="s">
        <v>163</v>
      </c>
      <c r="CI75" s="82" t="s">
        <v>139</v>
      </c>
      <c r="CJ75" s="84" t="s">
        <v>163</v>
      </c>
      <c r="CK75" s="82" t="s">
        <v>139</v>
      </c>
      <c r="CL75" s="84" t="s">
        <v>163</v>
      </c>
      <c r="CM75" s="82" t="s">
        <v>139</v>
      </c>
      <c r="CN75" s="84" t="s">
        <v>163</v>
      </c>
      <c r="CO75" s="82" t="s">
        <v>139</v>
      </c>
      <c r="CP75" s="84" t="s">
        <v>163</v>
      </c>
      <c r="CQ75" s="82" t="s">
        <v>139</v>
      </c>
      <c r="CR75" s="84" t="s">
        <v>163</v>
      </c>
      <c r="CS75" s="82" t="s">
        <v>139</v>
      </c>
      <c r="CT75" s="84" t="s">
        <v>163</v>
      </c>
      <c r="CU75" s="82" t="s">
        <v>139</v>
      </c>
      <c r="CV75" s="84" t="s">
        <v>163</v>
      </c>
    </row>
    <row r="76" spans="4:106" ht="18" customHeight="1">
      <c r="L76" s="88">
        <v>110</v>
      </c>
      <c r="M76" s="180">
        <f>L76/N65</f>
        <v>2.938786153080836E-2</v>
      </c>
      <c r="O76" s="125" t="s">
        <v>302</v>
      </c>
      <c r="P76" s="89">
        <f>SUM(P5:P6)</f>
        <v>318.86</v>
      </c>
      <c r="Q76" s="89">
        <f>SUM(Q5:Q6)</f>
        <v>0</v>
      </c>
      <c r="R76" s="112">
        <f>Q76/$P76</f>
        <v>0</v>
      </c>
      <c r="S76" s="89">
        <f>SUM(S5:S6)</f>
        <v>0</v>
      </c>
      <c r="T76" s="112">
        <f>S76/$P76</f>
        <v>0</v>
      </c>
      <c r="U76" s="89">
        <f>SUM(U5:U6)</f>
        <v>0</v>
      </c>
      <c r="V76" s="112">
        <f>U76/$P76</f>
        <v>0</v>
      </c>
      <c r="W76" s="89">
        <f>SUM(W5:W6)</f>
        <v>0</v>
      </c>
      <c r="X76" s="112">
        <f>W76/$P76</f>
        <v>0</v>
      </c>
      <c r="Y76" s="89">
        <f>SUM(Y5:Y6)</f>
        <v>0</v>
      </c>
      <c r="Z76" s="112">
        <f>Y76/$P76</f>
        <v>0</v>
      </c>
      <c r="AA76" s="89">
        <f>SUM(AA5:AA6)</f>
        <v>0</v>
      </c>
      <c r="AB76" s="112">
        <f>AA76/$P76</f>
        <v>0</v>
      </c>
      <c r="AC76" s="89">
        <f>Q76+S76+U76+W76+Y76+AA76</f>
        <v>0</v>
      </c>
      <c r="AD76" s="113">
        <f>AC76/$P76</f>
        <v>0</v>
      </c>
      <c r="AE76" s="89">
        <f>SUM(AE5:AE6)</f>
        <v>0</v>
      </c>
      <c r="AF76" s="112">
        <f>AE76/$P76</f>
        <v>0</v>
      </c>
      <c r="AG76" s="89">
        <f>SUM(AG5:AG6)</f>
        <v>0</v>
      </c>
      <c r="AH76" s="112">
        <f>AG76/$P76</f>
        <v>0</v>
      </c>
      <c r="AI76" s="89">
        <f>SUM(AI5:AI6)</f>
        <v>0</v>
      </c>
      <c r="AJ76" s="112">
        <f>AI76/$P76</f>
        <v>0</v>
      </c>
      <c r="AK76" s="89">
        <f>SUM(AK5:AK6)</f>
        <v>0</v>
      </c>
      <c r="AL76" s="112">
        <f>AK76/$P76</f>
        <v>0</v>
      </c>
      <c r="AM76" s="89">
        <f>SUM(AM5:AM6)</f>
        <v>0</v>
      </c>
      <c r="AN76" s="112">
        <f>AM76/$P76</f>
        <v>0</v>
      </c>
      <c r="AO76" s="89">
        <f>SUM(AO5:AO6)</f>
        <v>0</v>
      </c>
      <c r="AP76" s="112">
        <f>AO76/$P76</f>
        <v>0</v>
      </c>
      <c r="AQ76" s="89">
        <f>AE76+AG76+AI76+AK76+AM76+AO76</f>
        <v>0</v>
      </c>
      <c r="AR76" s="113">
        <f>AQ76/$P76</f>
        <v>0</v>
      </c>
      <c r="AS76" s="89">
        <f>SUM(AS5:AS6)</f>
        <v>0</v>
      </c>
      <c r="AT76" s="112">
        <f>AS76/$P76</f>
        <v>0</v>
      </c>
      <c r="AU76" s="89">
        <f>SUM(AU5:AU6)</f>
        <v>0</v>
      </c>
      <c r="AV76" s="112">
        <f>AU76/$P76</f>
        <v>0</v>
      </c>
      <c r="AW76" s="89">
        <f>SUM(AW5:AW6)</f>
        <v>0</v>
      </c>
      <c r="AX76" s="112">
        <f>AW76/$P76</f>
        <v>0</v>
      </c>
      <c r="AY76" s="89">
        <f>SUM(AY5:AY6)</f>
        <v>0</v>
      </c>
      <c r="AZ76" s="112">
        <f>AY76/$P76</f>
        <v>0</v>
      </c>
      <c r="BA76" s="89">
        <f>SUM(BA5:BA6)</f>
        <v>0</v>
      </c>
      <c r="BB76" s="112">
        <f>BA76/$P76</f>
        <v>0</v>
      </c>
      <c r="BC76" s="89">
        <f>SUM(BC5:BC6)</f>
        <v>0</v>
      </c>
      <c r="BD76" s="112">
        <f>BC76/$P76</f>
        <v>0</v>
      </c>
      <c r="BE76" s="89">
        <f>AS76+AU76+AW76+AY76+BA76+BC76</f>
        <v>0</v>
      </c>
      <c r="BF76" s="113">
        <f>BE76/$P76</f>
        <v>0</v>
      </c>
      <c r="BG76" s="89">
        <f>SUM(BG5:BG6)</f>
        <v>0</v>
      </c>
      <c r="BH76" s="112">
        <f>BG76/$P76</f>
        <v>0</v>
      </c>
      <c r="BI76" s="89">
        <f>SUM(BI5:BI6)</f>
        <v>0</v>
      </c>
      <c r="BJ76" s="112">
        <f>BI76/$P76</f>
        <v>0</v>
      </c>
      <c r="BK76" s="89">
        <f>SUM(BK5:BK6)</f>
        <v>0</v>
      </c>
      <c r="BL76" s="112">
        <f>BK76/$P76</f>
        <v>0</v>
      </c>
      <c r="BM76" s="89">
        <f>SUM(BM5:BM6)</f>
        <v>0</v>
      </c>
      <c r="BN76" s="112">
        <f>BM76/$P76</f>
        <v>0</v>
      </c>
      <c r="BO76" s="89">
        <f>SUM(BO5:BO6)</f>
        <v>0</v>
      </c>
      <c r="BP76" s="112">
        <f>BO76/$P76</f>
        <v>0</v>
      </c>
      <c r="BQ76" s="89">
        <f>SUM(BQ5:BQ6)</f>
        <v>0</v>
      </c>
      <c r="BR76" s="112">
        <f>BQ76/$P76</f>
        <v>0</v>
      </c>
      <c r="BS76" s="89">
        <f>BG76+BI76+BK76+BM76+BO76+BQ76</f>
        <v>0</v>
      </c>
      <c r="BT76" s="113">
        <f>BS76/$P76</f>
        <v>0</v>
      </c>
      <c r="BU76" s="89">
        <f>SUM(BU5:BU6)</f>
        <v>0</v>
      </c>
      <c r="BV76" s="112">
        <f>BU76/$P76</f>
        <v>0</v>
      </c>
      <c r="BW76" s="89">
        <f>SUM(BW5:BW6)</f>
        <v>0</v>
      </c>
      <c r="BX76" s="112">
        <f>BW76/$P76</f>
        <v>0</v>
      </c>
      <c r="BY76" s="89">
        <f>SUM(BY5:BY6)</f>
        <v>0</v>
      </c>
      <c r="BZ76" s="112">
        <f>BY76/$P76</f>
        <v>0</v>
      </c>
      <c r="CA76" s="89">
        <f>SUM(CA5:CA6)</f>
        <v>0</v>
      </c>
      <c r="CB76" s="112">
        <f>CA76/$P76</f>
        <v>0</v>
      </c>
      <c r="CC76" s="89">
        <f>SUM(CC5:CC6)</f>
        <v>0</v>
      </c>
      <c r="CD76" s="112">
        <f>CC76/$P76</f>
        <v>0</v>
      </c>
      <c r="CE76" s="89">
        <f>SUM(CE5:CE6)</f>
        <v>0</v>
      </c>
      <c r="CF76" s="112">
        <f>CE76/$P76</f>
        <v>0</v>
      </c>
      <c r="CG76" s="89">
        <f>BU76+BW76+BY76+CA76+CC76+CE76</f>
        <v>0</v>
      </c>
      <c r="CH76" s="113">
        <f>CG76/$P76</f>
        <v>0</v>
      </c>
      <c r="CI76" s="89">
        <f>SUM(CI5:CI6)</f>
        <v>0</v>
      </c>
      <c r="CJ76" s="112">
        <f>CI76/$P76</f>
        <v>0</v>
      </c>
      <c r="CK76" s="89">
        <f>SUM(CK5:CK6)</f>
        <v>0</v>
      </c>
      <c r="CL76" s="112">
        <f>CK76/$P76</f>
        <v>0</v>
      </c>
      <c r="CM76" s="89">
        <f>SUM(CM5:CM6)</f>
        <v>0</v>
      </c>
      <c r="CN76" s="112">
        <f>CM76/$P76</f>
        <v>0</v>
      </c>
      <c r="CO76" s="89">
        <f>SUM(CO5:CO6)</f>
        <v>0</v>
      </c>
      <c r="CP76" s="112">
        <f>CO76/$P76</f>
        <v>0</v>
      </c>
      <c r="CQ76" s="89">
        <f>SUM(CQ5:CQ6)</f>
        <v>0</v>
      </c>
      <c r="CR76" s="112">
        <f>CQ76/$P76</f>
        <v>0</v>
      </c>
      <c r="CS76" s="89">
        <f>SUM(CS5:CS6)</f>
        <v>0</v>
      </c>
      <c r="CT76" s="112">
        <f>CS76/$P76</f>
        <v>0</v>
      </c>
      <c r="CU76" s="89">
        <f>CI76+CK76+CM76+CO76+CQ76+CS76</f>
        <v>0</v>
      </c>
      <c r="CV76" s="113">
        <f>CU76/$P76</f>
        <v>0</v>
      </c>
    </row>
    <row r="77" spans="4:106" ht="18" customHeight="1">
      <c r="O77" s="125" t="str">
        <f>B7</f>
        <v>POSTERIOR</v>
      </c>
      <c r="P77" s="89">
        <f>SUM(P7:P25)</f>
        <v>1476.2539999999999</v>
      </c>
      <c r="Q77" s="89">
        <f>SUM(Q7:Q25)</f>
        <v>0</v>
      </c>
      <c r="R77" s="112">
        <f>Q77/$P77</f>
        <v>0</v>
      </c>
      <c r="S77" s="89">
        <f>SUM(S7:S25)</f>
        <v>0</v>
      </c>
      <c r="T77" s="112">
        <f>S77/$P77</f>
        <v>0</v>
      </c>
      <c r="U77" s="89">
        <f>SUM(U7:U25)</f>
        <v>0</v>
      </c>
      <c r="V77" s="112">
        <f>U77/$P77</f>
        <v>0</v>
      </c>
      <c r="W77" s="89">
        <f>SUM(W7:W25)</f>
        <v>0</v>
      </c>
      <c r="X77" s="112">
        <f>W77/$P77</f>
        <v>0</v>
      </c>
      <c r="Y77" s="89">
        <f>SUM(Y7:Y25)</f>
        <v>0</v>
      </c>
      <c r="Z77" s="112">
        <f>Y77/$P77</f>
        <v>0</v>
      </c>
      <c r="AA77" s="89">
        <f>SUM(AA7:AA25)</f>
        <v>0</v>
      </c>
      <c r="AB77" s="112">
        <f>AA77/$P77</f>
        <v>0</v>
      </c>
      <c r="AC77" s="89">
        <f t="shared" ref="AC77:AC79" si="1869">Q77+S77+U77+W77+Y77+AA77</f>
        <v>0</v>
      </c>
      <c r="AD77" s="113">
        <f>AC77/$P77</f>
        <v>0</v>
      </c>
      <c r="AE77" s="89">
        <f>SUM(AE7:AE25)</f>
        <v>0</v>
      </c>
      <c r="AF77" s="112">
        <f>AE77/$P77</f>
        <v>0</v>
      </c>
      <c r="AG77" s="89">
        <f>SUM(AG7:AG25)</f>
        <v>0</v>
      </c>
      <c r="AH77" s="112">
        <f>AG77/$P77</f>
        <v>0</v>
      </c>
      <c r="AI77" s="89">
        <f>SUM(AI7:AI25)</f>
        <v>0</v>
      </c>
      <c r="AJ77" s="112">
        <f>AI77/$P77</f>
        <v>0</v>
      </c>
      <c r="AK77" s="89">
        <f>SUM(AK7:AK25)</f>
        <v>0</v>
      </c>
      <c r="AL77" s="112">
        <f>AK77/$P77</f>
        <v>0</v>
      </c>
      <c r="AM77" s="89">
        <f>SUM(AM7:AM25)</f>
        <v>0</v>
      </c>
      <c r="AN77" s="112">
        <f>AM77/$P77</f>
        <v>0</v>
      </c>
      <c r="AO77" s="89">
        <f>SUM(AO7:AO25)</f>
        <v>0</v>
      </c>
      <c r="AP77" s="112">
        <f>AO77/$P77</f>
        <v>0</v>
      </c>
      <c r="AQ77" s="89">
        <f t="shared" ref="AQ77:AQ79" si="1870">AE77+AG77+AI77+AK77+AM77+AO77</f>
        <v>0</v>
      </c>
      <c r="AR77" s="113">
        <f>AQ77/$P77</f>
        <v>0</v>
      </c>
      <c r="AS77" s="89">
        <f>SUM(AS7:AS25)</f>
        <v>0</v>
      </c>
      <c r="AT77" s="112">
        <f>AS77/$P77</f>
        <v>0</v>
      </c>
      <c r="AU77" s="89">
        <f>SUM(AU7:AU25)</f>
        <v>0</v>
      </c>
      <c r="AV77" s="112">
        <f>AU77/$P77</f>
        <v>0</v>
      </c>
      <c r="AW77" s="89">
        <f>SUM(AW7:AW25)</f>
        <v>0</v>
      </c>
      <c r="AX77" s="112">
        <f>AW77/$P77</f>
        <v>0</v>
      </c>
      <c r="AY77" s="89">
        <f>SUM(AY7:AY25)</f>
        <v>0</v>
      </c>
      <c r="AZ77" s="112">
        <f>AY77/$P77</f>
        <v>0</v>
      </c>
      <c r="BA77" s="89">
        <f>SUM(BA7:BA25)</f>
        <v>0</v>
      </c>
      <c r="BB77" s="112">
        <f>BA77/$P77</f>
        <v>0</v>
      </c>
      <c r="BC77" s="89">
        <f>SUM(BC7:BC25)</f>
        <v>0</v>
      </c>
      <c r="BD77" s="112">
        <f>BC77/$P77</f>
        <v>0</v>
      </c>
      <c r="BE77" s="89">
        <f t="shared" ref="BE77:BE79" si="1871">AS77+AU77+AW77+AY77+BA77+BC77</f>
        <v>0</v>
      </c>
      <c r="BF77" s="113">
        <f>BE77/$P77</f>
        <v>0</v>
      </c>
      <c r="BG77" s="89">
        <f>SUM(BG7:BG25)</f>
        <v>0</v>
      </c>
      <c r="BH77" s="112">
        <f>BG77/$P77</f>
        <v>0</v>
      </c>
      <c r="BI77" s="89">
        <f>SUM(BI7:BI25)</f>
        <v>0</v>
      </c>
      <c r="BJ77" s="112">
        <f>BI77/$P77</f>
        <v>0</v>
      </c>
      <c r="BK77" s="89">
        <f>SUM(BK7:BK25)</f>
        <v>0</v>
      </c>
      <c r="BL77" s="112">
        <f>BK77/$P77</f>
        <v>0</v>
      </c>
      <c r="BM77" s="89">
        <f>SUM(BM7:BM25)</f>
        <v>0</v>
      </c>
      <c r="BN77" s="112">
        <f>BM77/$P77</f>
        <v>0</v>
      </c>
      <c r="BO77" s="89">
        <f>SUM(BO7:BO25)</f>
        <v>0</v>
      </c>
      <c r="BP77" s="112">
        <f>BO77/$P77</f>
        <v>0</v>
      </c>
      <c r="BQ77" s="89">
        <f>SUM(BQ7:BQ25)</f>
        <v>0</v>
      </c>
      <c r="BR77" s="112">
        <f>BQ77/$P77</f>
        <v>0</v>
      </c>
      <c r="BS77" s="89">
        <f t="shared" ref="BS77:BS79" si="1872">BG77+BI77+BK77+BM77+BO77+BQ77</f>
        <v>0</v>
      </c>
      <c r="BT77" s="113">
        <f>BS77/$P77</f>
        <v>0</v>
      </c>
      <c r="BU77" s="89">
        <f>SUM(BU7:BU25)</f>
        <v>0</v>
      </c>
      <c r="BV77" s="112">
        <f>BU77/$P77</f>
        <v>0</v>
      </c>
      <c r="BW77" s="89">
        <f>SUM(BW7:BW25)</f>
        <v>0</v>
      </c>
      <c r="BX77" s="112">
        <f>BW77/$P77</f>
        <v>0</v>
      </c>
      <c r="BY77" s="89">
        <f>SUM(BY7:BY25)</f>
        <v>0</v>
      </c>
      <c r="BZ77" s="112">
        <f>BY77/$P77</f>
        <v>0</v>
      </c>
      <c r="CA77" s="89">
        <f>SUM(CA7:CA25)</f>
        <v>0</v>
      </c>
      <c r="CB77" s="112">
        <f>CA77/$P77</f>
        <v>0</v>
      </c>
      <c r="CC77" s="89">
        <f>SUM(CC7:CC25)</f>
        <v>0</v>
      </c>
      <c r="CD77" s="112">
        <f>CC77/$P77</f>
        <v>0</v>
      </c>
      <c r="CE77" s="89">
        <f>SUM(CE7:CE25)</f>
        <v>0</v>
      </c>
      <c r="CF77" s="112">
        <f>CE77/$P77</f>
        <v>0</v>
      </c>
      <c r="CG77" s="89">
        <f t="shared" ref="CG77:CG79" si="1873">BU77+BW77+BY77+CA77+CC77+CE77</f>
        <v>0</v>
      </c>
      <c r="CH77" s="113">
        <f>CG77/$P77</f>
        <v>0</v>
      </c>
      <c r="CI77" s="89">
        <f>SUM(CI7:CI25)</f>
        <v>0</v>
      </c>
      <c r="CJ77" s="112">
        <f>CI77/$P77</f>
        <v>0</v>
      </c>
      <c r="CK77" s="89">
        <f>SUM(CK7:CK25)</f>
        <v>0</v>
      </c>
      <c r="CL77" s="112">
        <f>CK77/$P77</f>
        <v>0</v>
      </c>
      <c r="CM77" s="89">
        <f>SUM(CM7:CM25)</f>
        <v>0</v>
      </c>
      <c r="CN77" s="112">
        <f>CM77/$P77</f>
        <v>0</v>
      </c>
      <c r="CO77" s="89">
        <f>SUM(CO7:CO25)</f>
        <v>0</v>
      </c>
      <c r="CP77" s="112">
        <f>CO77/$P77</f>
        <v>0</v>
      </c>
      <c r="CQ77" s="89">
        <f>SUM(CQ7:CQ25)</f>
        <v>0</v>
      </c>
      <c r="CR77" s="112">
        <f>CQ77/$P77</f>
        <v>0</v>
      </c>
      <c r="CS77" s="89">
        <f>SUM(CS7:CS25)</f>
        <v>0</v>
      </c>
      <c r="CT77" s="112">
        <f>CS77/$P77</f>
        <v>0</v>
      </c>
      <c r="CU77" s="89">
        <f t="shared" ref="CU77:CU79" si="1874">CI77+CK77+CM77+CO77+CQ77+CS77</f>
        <v>0</v>
      </c>
      <c r="CV77" s="113">
        <f>CU77/$P77</f>
        <v>0</v>
      </c>
    </row>
    <row r="78" spans="4:106" ht="18" customHeight="1">
      <c r="O78" s="125" t="str">
        <f>B26</f>
        <v>CULATA DER</v>
      </c>
      <c r="P78" s="89">
        <f>SUM(P26:P34)</f>
        <v>486.346</v>
      </c>
      <c r="Q78" s="89">
        <f>SUM(Q26:Q34)</f>
        <v>0</v>
      </c>
      <c r="R78" s="112">
        <f>Q78/$P78</f>
        <v>0</v>
      </c>
      <c r="S78" s="89">
        <f>SUM(S26:S34)</f>
        <v>0</v>
      </c>
      <c r="T78" s="112">
        <f>S78/$P78</f>
        <v>0</v>
      </c>
      <c r="U78" s="89">
        <f>SUM(U26:U34)</f>
        <v>0</v>
      </c>
      <c r="V78" s="112">
        <f>U78/$P78</f>
        <v>0</v>
      </c>
      <c r="W78" s="89">
        <f>SUM(W26:W34)</f>
        <v>0</v>
      </c>
      <c r="X78" s="112">
        <f>W78/$P78</f>
        <v>0</v>
      </c>
      <c r="Y78" s="89">
        <f>SUM(Y26:Y34)</f>
        <v>0</v>
      </c>
      <c r="Z78" s="112">
        <f>Y78/$P78</f>
        <v>0</v>
      </c>
      <c r="AA78" s="89">
        <f>SUM(AA26:AA34)</f>
        <v>0</v>
      </c>
      <c r="AB78" s="112">
        <f>AA78/$P78</f>
        <v>0</v>
      </c>
      <c r="AC78" s="89">
        <f t="shared" si="1869"/>
        <v>0</v>
      </c>
      <c r="AD78" s="113">
        <f>AC78/$P78</f>
        <v>0</v>
      </c>
      <c r="AE78" s="89">
        <f>SUM(AE26:AE34)</f>
        <v>0</v>
      </c>
      <c r="AF78" s="112">
        <f>AE78/$P78</f>
        <v>0</v>
      </c>
      <c r="AG78" s="89">
        <f>SUM(AG26:AG34)</f>
        <v>0</v>
      </c>
      <c r="AH78" s="112">
        <f>AG78/$P78</f>
        <v>0</v>
      </c>
      <c r="AI78" s="89">
        <f>SUM(AI26:AI34)</f>
        <v>0</v>
      </c>
      <c r="AJ78" s="112">
        <f>AI78/$P78</f>
        <v>0</v>
      </c>
      <c r="AK78" s="89">
        <f>SUM(AK26:AK34)</f>
        <v>0</v>
      </c>
      <c r="AL78" s="112">
        <f>AK78/$P78</f>
        <v>0</v>
      </c>
      <c r="AM78" s="89">
        <f>SUM(AM26:AM34)</f>
        <v>0</v>
      </c>
      <c r="AN78" s="112">
        <f>AM78/$P78</f>
        <v>0</v>
      </c>
      <c r="AO78" s="89">
        <f>SUM(AO26:AO34)</f>
        <v>0</v>
      </c>
      <c r="AP78" s="112">
        <f>AO78/$P78</f>
        <v>0</v>
      </c>
      <c r="AQ78" s="89">
        <f t="shared" si="1870"/>
        <v>0</v>
      </c>
      <c r="AR78" s="113">
        <f>AQ78/$P78</f>
        <v>0</v>
      </c>
      <c r="AS78" s="89">
        <f>SUM(AS26:AS34)</f>
        <v>0</v>
      </c>
      <c r="AT78" s="112">
        <f>AS78/$P78</f>
        <v>0</v>
      </c>
      <c r="AU78" s="89">
        <f>SUM(AU26:AU34)</f>
        <v>0</v>
      </c>
      <c r="AV78" s="112">
        <f>AU78/$P78</f>
        <v>0</v>
      </c>
      <c r="AW78" s="89">
        <f>SUM(AW26:AW34)</f>
        <v>0</v>
      </c>
      <c r="AX78" s="112">
        <f>AW78/$P78</f>
        <v>0</v>
      </c>
      <c r="AY78" s="89">
        <f>SUM(AY26:AY34)</f>
        <v>0</v>
      </c>
      <c r="AZ78" s="112">
        <f>AY78/$P78</f>
        <v>0</v>
      </c>
      <c r="BA78" s="89">
        <f>SUM(BA26:BA34)</f>
        <v>0</v>
      </c>
      <c r="BB78" s="112">
        <f>BA78/$P78</f>
        <v>0</v>
      </c>
      <c r="BC78" s="89">
        <f>SUM(BC26:BC34)</f>
        <v>0</v>
      </c>
      <c r="BD78" s="112">
        <f>BC78/$P78</f>
        <v>0</v>
      </c>
      <c r="BE78" s="89">
        <f t="shared" si="1871"/>
        <v>0</v>
      </c>
      <c r="BF78" s="113">
        <f>BE78/$P78</f>
        <v>0</v>
      </c>
      <c r="BG78" s="89">
        <f>SUM(BG26:BG34)</f>
        <v>0</v>
      </c>
      <c r="BH78" s="112">
        <f>BG78/$P78</f>
        <v>0</v>
      </c>
      <c r="BI78" s="89">
        <f>SUM(BI26:BI34)</f>
        <v>0</v>
      </c>
      <c r="BJ78" s="112">
        <f>BI78/$P78</f>
        <v>0</v>
      </c>
      <c r="BK78" s="89">
        <f>SUM(BK26:BK34)</f>
        <v>0</v>
      </c>
      <c r="BL78" s="112">
        <f>BK78/$P78</f>
        <v>0</v>
      </c>
      <c r="BM78" s="89">
        <f>SUM(BM26:BM34)</f>
        <v>0</v>
      </c>
      <c r="BN78" s="112">
        <f>BM78/$P78</f>
        <v>0</v>
      </c>
      <c r="BO78" s="89">
        <f>SUM(BO26:BO34)</f>
        <v>0</v>
      </c>
      <c r="BP78" s="112">
        <f>BO78/$P78</f>
        <v>0</v>
      </c>
      <c r="BQ78" s="89">
        <f>SUM(BQ26:BQ34)</f>
        <v>0</v>
      </c>
      <c r="BR78" s="112">
        <f>BQ78/$P78</f>
        <v>0</v>
      </c>
      <c r="BS78" s="89">
        <f t="shared" si="1872"/>
        <v>0</v>
      </c>
      <c r="BT78" s="113">
        <f>BS78/$P78</f>
        <v>0</v>
      </c>
      <c r="BU78" s="89">
        <f>SUM(BU26:BU34)</f>
        <v>0</v>
      </c>
      <c r="BV78" s="112">
        <f>BU78/$P78</f>
        <v>0</v>
      </c>
      <c r="BW78" s="89">
        <f>SUM(BW26:BW34)</f>
        <v>0</v>
      </c>
      <c r="BX78" s="112">
        <f>BW78/$P78</f>
        <v>0</v>
      </c>
      <c r="BY78" s="89">
        <f>SUM(BY26:BY34)</f>
        <v>0</v>
      </c>
      <c r="BZ78" s="112">
        <f>BY78/$P78</f>
        <v>0</v>
      </c>
      <c r="CA78" s="89">
        <f>SUM(CA26:CA34)</f>
        <v>0</v>
      </c>
      <c r="CB78" s="112">
        <f>CA78/$P78</f>
        <v>0</v>
      </c>
      <c r="CC78" s="89">
        <f>SUM(CC26:CC34)</f>
        <v>0</v>
      </c>
      <c r="CD78" s="112">
        <f>CC78/$P78</f>
        <v>0</v>
      </c>
      <c r="CE78" s="89">
        <f>SUM(CE26:CE34)</f>
        <v>0</v>
      </c>
      <c r="CF78" s="112">
        <f>CE78/$P78</f>
        <v>0</v>
      </c>
      <c r="CG78" s="89">
        <f t="shared" si="1873"/>
        <v>0</v>
      </c>
      <c r="CH78" s="113">
        <f>CG78/$P78</f>
        <v>0</v>
      </c>
      <c r="CI78" s="89">
        <f>SUM(CI26:CI34)</f>
        <v>0</v>
      </c>
      <c r="CJ78" s="112">
        <f>CI78/$P78</f>
        <v>0</v>
      </c>
      <c r="CK78" s="89">
        <f>SUM(CK26:CK34)</f>
        <v>0</v>
      </c>
      <c r="CL78" s="112">
        <f>CK78/$P78</f>
        <v>0</v>
      </c>
      <c r="CM78" s="89">
        <f>SUM(CM26:CM34)</f>
        <v>0</v>
      </c>
      <c r="CN78" s="112">
        <f>CM78/$P78</f>
        <v>0</v>
      </c>
      <c r="CO78" s="89">
        <f>SUM(CO26:CO34)</f>
        <v>0</v>
      </c>
      <c r="CP78" s="112">
        <f>CO78/$P78</f>
        <v>0</v>
      </c>
      <c r="CQ78" s="89">
        <f>SUM(CQ26:CQ34)</f>
        <v>0</v>
      </c>
      <c r="CR78" s="112">
        <f>CQ78/$P78</f>
        <v>0</v>
      </c>
      <c r="CS78" s="89">
        <f>SUM(CS26:CS34)</f>
        <v>0</v>
      </c>
      <c r="CT78" s="112">
        <f>CS78/$P78</f>
        <v>0</v>
      </c>
      <c r="CU78" s="89">
        <f t="shared" si="1874"/>
        <v>0</v>
      </c>
      <c r="CV78" s="113">
        <f>CU78/$P78</f>
        <v>0</v>
      </c>
    </row>
    <row r="79" spans="4:106" ht="18" customHeight="1">
      <c r="O79" s="125" t="str">
        <f>B35</f>
        <v>FRONTAL</v>
      </c>
      <c r="P79" s="89">
        <f>SUM(P35:P61)</f>
        <v>165.89600000000002</v>
      </c>
      <c r="Q79" s="89">
        <f>SUM(Q35:Q61)</f>
        <v>0</v>
      </c>
      <c r="R79" s="112">
        <f>Q79/$P79</f>
        <v>0</v>
      </c>
      <c r="S79" s="89">
        <f>SUM(S35:S61)</f>
        <v>0</v>
      </c>
      <c r="T79" s="112">
        <f>S79/$P79</f>
        <v>0</v>
      </c>
      <c r="U79" s="89">
        <f>SUM(U35:U61)</f>
        <v>0</v>
      </c>
      <c r="V79" s="112">
        <f>U79/$P79</f>
        <v>0</v>
      </c>
      <c r="W79" s="89">
        <f>SUM(W35:W61)</f>
        <v>0</v>
      </c>
      <c r="X79" s="112">
        <f>W79/$P79</f>
        <v>0</v>
      </c>
      <c r="Y79" s="89">
        <f>SUM(Y35:Y61)</f>
        <v>0</v>
      </c>
      <c r="Z79" s="112">
        <f>Y79/$P79</f>
        <v>0</v>
      </c>
      <c r="AA79" s="89">
        <f>SUM(AA35:AA61)</f>
        <v>0</v>
      </c>
      <c r="AB79" s="112">
        <f>AA79/$P79</f>
        <v>0</v>
      </c>
      <c r="AC79" s="89">
        <f t="shared" si="1869"/>
        <v>0</v>
      </c>
      <c r="AD79" s="113">
        <f>AC79/$P79</f>
        <v>0</v>
      </c>
      <c r="AE79" s="89">
        <f>SUM(AE35:AE61)</f>
        <v>0</v>
      </c>
      <c r="AF79" s="112">
        <f>AE79/$P79</f>
        <v>0</v>
      </c>
      <c r="AG79" s="89">
        <f>SUM(AG35:AG61)</f>
        <v>0</v>
      </c>
      <c r="AH79" s="112">
        <f>AG79/$P79</f>
        <v>0</v>
      </c>
      <c r="AI79" s="89">
        <f>SUM(AI35:AI61)</f>
        <v>0</v>
      </c>
      <c r="AJ79" s="112">
        <f>AI79/$P79</f>
        <v>0</v>
      </c>
      <c r="AK79" s="89">
        <f>SUM(AK35:AK61)</f>
        <v>0</v>
      </c>
      <c r="AL79" s="112">
        <f>AK79/$P79</f>
        <v>0</v>
      </c>
      <c r="AM79" s="89">
        <f>SUM(AM35:AM61)</f>
        <v>0</v>
      </c>
      <c r="AN79" s="112">
        <f>AM79/$P79</f>
        <v>0</v>
      </c>
      <c r="AO79" s="89">
        <f>SUM(AO35:AO61)</f>
        <v>0</v>
      </c>
      <c r="AP79" s="112">
        <f>AO79/$P79</f>
        <v>0</v>
      </c>
      <c r="AQ79" s="89">
        <f t="shared" si="1870"/>
        <v>0</v>
      </c>
      <c r="AR79" s="113">
        <f>AQ79/$P79</f>
        <v>0</v>
      </c>
      <c r="AS79" s="89">
        <f>SUM(AS35:AS61)</f>
        <v>0</v>
      </c>
      <c r="AT79" s="112">
        <f>AS79/$P79</f>
        <v>0</v>
      </c>
      <c r="AU79" s="89">
        <f>SUM(AU35:AU61)</f>
        <v>0</v>
      </c>
      <c r="AV79" s="112">
        <f>AU79/$P79</f>
        <v>0</v>
      </c>
      <c r="AW79" s="89">
        <f>SUM(AW35:AW61)</f>
        <v>0</v>
      </c>
      <c r="AX79" s="112">
        <f>AW79/$P79</f>
        <v>0</v>
      </c>
      <c r="AY79" s="89">
        <f>SUM(AY35:AY61)</f>
        <v>0</v>
      </c>
      <c r="AZ79" s="112">
        <f>AY79/$P79</f>
        <v>0</v>
      </c>
      <c r="BA79" s="89">
        <f>SUM(BA35:BA61)</f>
        <v>0</v>
      </c>
      <c r="BB79" s="112">
        <f>BA79/$P79</f>
        <v>0</v>
      </c>
      <c r="BC79" s="89">
        <f>SUM(BC35:BC61)</f>
        <v>0</v>
      </c>
      <c r="BD79" s="112">
        <f>BC79/$P79</f>
        <v>0</v>
      </c>
      <c r="BE79" s="89">
        <f t="shared" si="1871"/>
        <v>0</v>
      </c>
      <c r="BF79" s="113">
        <f>BE79/$P79</f>
        <v>0</v>
      </c>
      <c r="BG79" s="89">
        <f>SUM(BG35:BG61)</f>
        <v>0</v>
      </c>
      <c r="BH79" s="112">
        <f>BG79/$P79</f>
        <v>0</v>
      </c>
      <c r="BI79" s="89">
        <f>SUM(BI35:BI61)</f>
        <v>0</v>
      </c>
      <c r="BJ79" s="112">
        <f>BI79/$P79</f>
        <v>0</v>
      </c>
      <c r="BK79" s="89">
        <f>SUM(BK35:BK61)</f>
        <v>0</v>
      </c>
      <c r="BL79" s="112">
        <f>BK79/$P79</f>
        <v>0</v>
      </c>
      <c r="BM79" s="89">
        <f>SUM(BM35:BM61)</f>
        <v>0</v>
      </c>
      <c r="BN79" s="112">
        <f>BM79/$P79</f>
        <v>0</v>
      </c>
      <c r="BO79" s="89">
        <f>SUM(BO35:BO61)</f>
        <v>0</v>
      </c>
      <c r="BP79" s="112">
        <f>BO79/$P79</f>
        <v>0</v>
      </c>
      <c r="BQ79" s="89">
        <f>SUM(BQ35:BQ61)</f>
        <v>0</v>
      </c>
      <c r="BR79" s="112">
        <f>BQ79/$P79</f>
        <v>0</v>
      </c>
      <c r="BS79" s="89">
        <f t="shared" si="1872"/>
        <v>0</v>
      </c>
      <c r="BT79" s="113">
        <f>BS79/$P79</f>
        <v>0</v>
      </c>
      <c r="BU79" s="89">
        <f>SUM(BU35:BU61)</f>
        <v>0</v>
      </c>
      <c r="BV79" s="112">
        <f>BU79/$P79</f>
        <v>0</v>
      </c>
      <c r="BW79" s="89">
        <f>SUM(BW35:BW61)</f>
        <v>0</v>
      </c>
      <c r="BX79" s="112">
        <f>BW79/$P79</f>
        <v>0</v>
      </c>
      <c r="BY79" s="89">
        <f>SUM(BY35:BY61)</f>
        <v>0</v>
      </c>
      <c r="BZ79" s="112">
        <f>BY79/$P79</f>
        <v>0</v>
      </c>
      <c r="CA79" s="89">
        <f>SUM(CA35:CA61)</f>
        <v>0</v>
      </c>
      <c r="CB79" s="112">
        <f>CA79/$P79</f>
        <v>0</v>
      </c>
      <c r="CC79" s="89">
        <f>SUM(CC35:CC61)</f>
        <v>0</v>
      </c>
      <c r="CD79" s="112">
        <f>CC79/$P79</f>
        <v>0</v>
      </c>
      <c r="CE79" s="89">
        <f>SUM(CE35:CE61)</f>
        <v>1000</v>
      </c>
      <c r="CF79" s="112">
        <f>CE79/$P79</f>
        <v>6.0278728842166167</v>
      </c>
      <c r="CG79" s="89">
        <f t="shared" si="1873"/>
        <v>1000</v>
      </c>
      <c r="CH79" s="113">
        <f>CG79/$P79</f>
        <v>6.0278728842166167</v>
      </c>
      <c r="CI79" s="89">
        <f>SUM(CI35:CI61)</f>
        <v>0</v>
      </c>
      <c r="CJ79" s="112">
        <f>CI79/$P79</f>
        <v>0</v>
      </c>
      <c r="CK79" s="89">
        <f>SUM(CK35:CK61)</f>
        <v>0</v>
      </c>
      <c r="CL79" s="112">
        <f>CK79/$P79</f>
        <v>0</v>
      </c>
      <c r="CM79" s="89">
        <f>SUM(CM35:CM61)</f>
        <v>0</v>
      </c>
      <c r="CN79" s="112">
        <f>CM79/$P79</f>
        <v>0</v>
      </c>
      <c r="CO79" s="89">
        <f>SUM(CO35:CO61)</f>
        <v>0</v>
      </c>
      <c r="CP79" s="112">
        <f>CO79/$P79</f>
        <v>0</v>
      </c>
      <c r="CQ79" s="89">
        <f>SUM(CQ35:CQ61)</f>
        <v>0</v>
      </c>
      <c r="CR79" s="112">
        <f>CQ79/$P79</f>
        <v>0</v>
      </c>
      <c r="CS79" s="89">
        <f>SUM(CS35:CS61)</f>
        <v>0</v>
      </c>
      <c r="CT79" s="112">
        <f>CS79/$P79</f>
        <v>0</v>
      </c>
      <c r="CU79" s="89">
        <f t="shared" si="1874"/>
        <v>0</v>
      </c>
      <c r="CV79" s="113">
        <f>CU79/$P79</f>
        <v>0</v>
      </c>
    </row>
    <row r="80" spans="4:106" s="88" customFormat="1" ht="18" customHeight="1">
      <c r="D80" s="1"/>
      <c r="O80" s="1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89"/>
      <c r="AD80" s="89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89"/>
      <c r="AR80" s="89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89"/>
      <c r="BF80" s="89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89"/>
      <c r="BT80" s="89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89"/>
      <c r="CH80" s="89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89"/>
      <c r="CV80" s="89"/>
      <c r="CW80" s="1"/>
      <c r="CX80" s="1"/>
      <c r="CY80" s="1"/>
      <c r="CZ80" s="1"/>
      <c r="DA80" s="1"/>
      <c r="DB80" s="1"/>
    </row>
    <row r="81" spans="4:106" s="88" customFormat="1" ht="18" customHeight="1">
      <c r="D81" s="1"/>
      <c r="O81" s="114"/>
      <c r="P81" s="115">
        <f>SUM(P76:P80)</f>
        <v>2447.3560000000002</v>
      </c>
      <c r="Q81" s="116">
        <f>SUM(Q76:Q80)</f>
        <v>0</v>
      </c>
      <c r="R81" s="112">
        <f>Q81/$P81</f>
        <v>0</v>
      </c>
      <c r="S81" s="116">
        <f>SUM(S76:S80)</f>
        <v>0</v>
      </c>
      <c r="T81" s="112">
        <f>S81/$P81</f>
        <v>0</v>
      </c>
      <c r="U81" s="116">
        <f>SUM(U76:U80)</f>
        <v>0</v>
      </c>
      <c r="V81" s="112">
        <f>U81/$P81</f>
        <v>0</v>
      </c>
      <c r="W81" s="116">
        <f>SUM(W76:W80)</f>
        <v>0</v>
      </c>
      <c r="X81" s="112">
        <f>W81/$P81</f>
        <v>0</v>
      </c>
      <c r="Y81" s="116">
        <f>SUM(Y76:Y80)</f>
        <v>0</v>
      </c>
      <c r="Z81" s="112">
        <f>Y81/$P81</f>
        <v>0</v>
      </c>
      <c r="AA81" s="116">
        <f>SUM(AA76:AA80)</f>
        <v>0</v>
      </c>
      <c r="AB81" s="112">
        <f>AA81/$P81</f>
        <v>0</v>
      </c>
      <c r="AC81" s="115">
        <f>SUM(AC76:AC80)</f>
        <v>0</v>
      </c>
      <c r="AD81" s="127">
        <f>AC81/$P81</f>
        <v>0</v>
      </c>
      <c r="AE81" s="116">
        <f>SUM(AE76:AE80)</f>
        <v>0</v>
      </c>
      <c r="AF81" s="112">
        <f>AE81/$P81</f>
        <v>0</v>
      </c>
      <c r="AG81" s="116">
        <f>SUM(AG76:AG80)</f>
        <v>0</v>
      </c>
      <c r="AH81" s="112">
        <f>AG81/$P81</f>
        <v>0</v>
      </c>
      <c r="AI81" s="116">
        <f>SUM(AI76:AI80)</f>
        <v>0</v>
      </c>
      <c r="AJ81" s="112">
        <f>AI81/$P81</f>
        <v>0</v>
      </c>
      <c r="AK81" s="116">
        <f>SUM(AK76:AK80)</f>
        <v>0</v>
      </c>
      <c r="AL81" s="112">
        <f>AK81/$P81</f>
        <v>0</v>
      </c>
      <c r="AM81" s="116">
        <f>SUM(AM76:AM80)</f>
        <v>0</v>
      </c>
      <c r="AN81" s="112">
        <f>AM81/$P81</f>
        <v>0</v>
      </c>
      <c r="AO81" s="116">
        <f>SUM(AO76:AO80)</f>
        <v>0</v>
      </c>
      <c r="AP81" s="112">
        <f>AO81/$P81</f>
        <v>0</v>
      </c>
      <c r="AQ81" s="115">
        <f>SUM(AQ76:AQ80)</f>
        <v>0</v>
      </c>
      <c r="AR81" s="127">
        <f>AQ81/$P81</f>
        <v>0</v>
      </c>
      <c r="AS81" s="116">
        <f>SUM(AS76:AS80)</f>
        <v>0</v>
      </c>
      <c r="AT81" s="112">
        <f>AS81/$P81</f>
        <v>0</v>
      </c>
      <c r="AU81" s="116">
        <f>SUM(AU76:AU80)</f>
        <v>0</v>
      </c>
      <c r="AV81" s="112">
        <f>AU81/$P81</f>
        <v>0</v>
      </c>
      <c r="AW81" s="116">
        <f>SUM(AW76:AW80)</f>
        <v>0</v>
      </c>
      <c r="AX81" s="112">
        <f>AW81/$P81</f>
        <v>0</v>
      </c>
      <c r="AY81" s="116">
        <f>SUM(AY76:AY80)</f>
        <v>0</v>
      </c>
      <c r="AZ81" s="112">
        <f>AY81/$P81</f>
        <v>0</v>
      </c>
      <c r="BA81" s="116">
        <f>SUM(BA76:BA80)</f>
        <v>0</v>
      </c>
      <c r="BB81" s="112">
        <f>BA81/$P81</f>
        <v>0</v>
      </c>
      <c r="BC81" s="116">
        <f>SUM(BC76:BC80)</f>
        <v>0</v>
      </c>
      <c r="BD81" s="112">
        <f>BC81/$P81</f>
        <v>0</v>
      </c>
      <c r="BE81" s="115">
        <f>SUM(BE76:BE80)</f>
        <v>0</v>
      </c>
      <c r="BF81" s="127">
        <f>BE81/$P81</f>
        <v>0</v>
      </c>
      <c r="BG81" s="116">
        <f>SUM(BG76:BG80)</f>
        <v>0</v>
      </c>
      <c r="BH81" s="112">
        <f>BG81/$P81</f>
        <v>0</v>
      </c>
      <c r="BI81" s="116">
        <f>SUM(BI76:BI80)</f>
        <v>0</v>
      </c>
      <c r="BJ81" s="112">
        <f>BI81/$P81</f>
        <v>0</v>
      </c>
      <c r="BK81" s="116">
        <f>SUM(BK76:BK80)</f>
        <v>0</v>
      </c>
      <c r="BL81" s="112">
        <f>BK81/$P81</f>
        <v>0</v>
      </c>
      <c r="BM81" s="116">
        <f>SUM(BM76:BM80)</f>
        <v>0</v>
      </c>
      <c r="BN81" s="112">
        <f>BM81/$P81</f>
        <v>0</v>
      </c>
      <c r="BO81" s="116">
        <f>SUM(BO76:BO80)</f>
        <v>0</v>
      </c>
      <c r="BP81" s="112">
        <f>BO81/$P81</f>
        <v>0</v>
      </c>
      <c r="BQ81" s="116">
        <f>SUM(BQ76:BQ80)</f>
        <v>0</v>
      </c>
      <c r="BR81" s="112">
        <f>BQ81/$P81</f>
        <v>0</v>
      </c>
      <c r="BS81" s="115">
        <f>SUM(BS76:BS80)</f>
        <v>0</v>
      </c>
      <c r="BT81" s="127">
        <f>BS81/$P81</f>
        <v>0</v>
      </c>
      <c r="BU81" s="116">
        <f>SUM(BU76:BU80)</f>
        <v>0</v>
      </c>
      <c r="BV81" s="112">
        <f>BU81/$P81</f>
        <v>0</v>
      </c>
      <c r="BW81" s="116">
        <f>SUM(BW76:BW80)</f>
        <v>0</v>
      </c>
      <c r="BX81" s="112">
        <f>BW81/$P81</f>
        <v>0</v>
      </c>
      <c r="BY81" s="116">
        <f>SUM(BY76:BY80)</f>
        <v>0</v>
      </c>
      <c r="BZ81" s="112">
        <f>BY81/$P81</f>
        <v>0</v>
      </c>
      <c r="CA81" s="116">
        <f>SUM(CA76:CA80)</f>
        <v>0</v>
      </c>
      <c r="CB81" s="112">
        <f>CA81/$P81</f>
        <v>0</v>
      </c>
      <c r="CC81" s="116">
        <f>SUM(CC76:CC80)</f>
        <v>0</v>
      </c>
      <c r="CD81" s="112">
        <f>CC81/$P81</f>
        <v>0</v>
      </c>
      <c r="CE81" s="116">
        <f>SUM(CE76:CE80)</f>
        <v>1000</v>
      </c>
      <c r="CF81" s="112">
        <f>CE81/$P81</f>
        <v>0.40860422431391263</v>
      </c>
      <c r="CG81" s="115">
        <f>SUM(CG76:CG80)</f>
        <v>1000</v>
      </c>
      <c r="CH81" s="127">
        <f>CG81/$P81</f>
        <v>0.40860422431391263</v>
      </c>
      <c r="CI81" s="116">
        <f>SUM(CI76:CI80)</f>
        <v>0</v>
      </c>
      <c r="CJ81" s="112">
        <f>CI81/$P81</f>
        <v>0</v>
      </c>
      <c r="CK81" s="116">
        <f>SUM(CK76:CK80)</f>
        <v>0</v>
      </c>
      <c r="CL81" s="112">
        <f>CK81/$P81</f>
        <v>0</v>
      </c>
      <c r="CM81" s="116">
        <f>SUM(CM76:CM80)</f>
        <v>0</v>
      </c>
      <c r="CN81" s="112">
        <f>CM81/$P81</f>
        <v>0</v>
      </c>
      <c r="CO81" s="116">
        <f>SUM(CO76:CO80)</f>
        <v>0</v>
      </c>
      <c r="CP81" s="112">
        <f>CO81/$P81</f>
        <v>0</v>
      </c>
      <c r="CQ81" s="116">
        <f>SUM(CQ76:CQ80)</f>
        <v>0</v>
      </c>
      <c r="CR81" s="112">
        <f>CQ81/$P81</f>
        <v>0</v>
      </c>
      <c r="CS81" s="116">
        <f>SUM(CS76:CS80)</f>
        <v>0</v>
      </c>
      <c r="CT81" s="112">
        <f>CS81/$P81</f>
        <v>0</v>
      </c>
      <c r="CU81" s="115">
        <f>SUM(CU76:CU80)</f>
        <v>0</v>
      </c>
      <c r="CV81" s="127">
        <f>CU81/$P81</f>
        <v>0</v>
      </c>
      <c r="CW81" s="1"/>
      <c r="CX81" s="1"/>
      <c r="CY81" s="1"/>
      <c r="CZ81" s="1"/>
      <c r="DA81" s="1"/>
      <c r="DB81" s="1"/>
    </row>
    <row r="82" spans="4:106" s="88" customFormat="1" ht="18" customHeight="1">
      <c r="D82" s="1"/>
      <c r="O82" s="1"/>
      <c r="AC82" s="128">
        <f>+P81-AC81</f>
        <v>2447.3560000000002</v>
      </c>
      <c r="AD82" s="129">
        <f>AC82/P81</f>
        <v>1</v>
      </c>
      <c r="AQ82" s="128">
        <f>AC82-AQ81</f>
        <v>2447.3560000000002</v>
      </c>
      <c r="AR82" s="129">
        <f>AQ82/$P81</f>
        <v>1</v>
      </c>
      <c r="BE82" s="128">
        <f>AQ82-BE81</f>
        <v>2447.3560000000002</v>
      </c>
      <c r="BF82" s="129">
        <f>BE82/$P81</f>
        <v>1</v>
      </c>
      <c r="BS82" s="128">
        <f>BE82-BS81</f>
        <v>2447.3560000000002</v>
      </c>
      <c r="BT82" s="129">
        <f>BS82/$P81</f>
        <v>1</v>
      </c>
      <c r="CG82" s="128">
        <f>BS82-CG81</f>
        <v>1447.3560000000002</v>
      </c>
      <c r="CH82" s="129">
        <f>CG82/$P81</f>
        <v>0.59139577568608737</v>
      </c>
      <c r="CU82" s="128">
        <f>CG82-CU81</f>
        <v>1447.3560000000002</v>
      </c>
      <c r="CV82" s="129">
        <f>CU82/$P81</f>
        <v>0.59139577568608737</v>
      </c>
      <c r="CW82" s="1"/>
      <c r="CX82" s="1"/>
      <c r="CY82" s="1"/>
      <c r="CZ82" s="1"/>
      <c r="DA82" s="1"/>
      <c r="DB82" s="1"/>
    </row>
  </sheetData>
  <mergeCells count="111">
    <mergeCell ref="A2:O2"/>
    <mergeCell ref="E3:G3"/>
    <mergeCell ref="H3:K3"/>
    <mergeCell ref="Q2:T2"/>
    <mergeCell ref="AC2:AD2"/>
    <mergeCell ref="Q3:R3"/>
    <mergeCell ref="S3:T3"/>
    <mergeCell ref="U3:V3"/>
    <mergeCell ref="W3:X3"/>
    <mergeCell ref="AS2:AV2"/>
    <mergeCell ref="BE2:BF2"/>
    <mergeCell ref="AS3:AT3"/>
    <mergeCell ref="AU3:AV3"/>
    <mergeCell ref="AW3:AX3"/>
    <mergeCell ref="AY3:AZ3"/>
    <mergeCell ref="BA3:BB3"/>
    <mergeCell ref="BC3:BD3"/>
    <mergeCell ref="Y3:Z3"/>
    <mergeCell ref="AA3:AB3"/>
    <mergeCell ref="AC3:AD3"/>
    <mergeCell ref="AE2:AH2"/>
    <mergeCell ref="AQ2:AR2"/>
    <mergeCell ref="AE3:AF3"/>
    <mergeCell ref="AG3:AH3"/>
    <mergeCell ref="AI3:AJ3"/>
    <mergeCell ref="AK3:AL3"/>
    <mergeCell ref="AM3:AN3"/>
    <mergeCell ref="CU2:CV2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G2:BJ2"/>
    <mergeCell ref="BS2:BT2"/>
    <mergeCell ref="BU2:BX2"/>
    <mergeCell ref="CG2:CH2"/>
    <mergeCell ref="CI2:CL2"/>
    <mergeCell ref="BY3:BZ3"/>
    <mergeCell ref="CA3:CB3"/>
    <mergeCell ref="CC3:CD3"/>
    <mergeCell ref="CE3:CF3"/>
    <mergeCell ref="Q74:R74"/>
    <mergeCell ref="S74:T74"/>
    <mergeCell ref="U74:V74"/>
    <mergeCell ref="CS3:CT3"/>
    <mergeCell ref="CU3:CV3"/>
    <mergeCell ref="Q73:T73"/>
    <mergeCell ref="AC73:AD73"/>
    <mergeCell ref="CI73:CL73"/>
    <mergeCell ref="CU73:CV73"/>
    <mergeCell ref="CG3:CH3"/>
    <mergeCell ref="CI3:CJ3"/>
    <mergeCell ref="CK3:CL3"/>
    <mergeCell ref="CM3:CN3"/>
    <mergeCell ref="CO3:CP3"/>
    <mergeCell ref="CQ3:CR3"/>
    <mergeCell ref="BE3:BF3"/>
    <mergeCell ref="AO3:AP3"/>
    <mergeCell ref="AQ3:AR3"/>
    <mergeCell ref="W74:X74"/>
    <mergeCell ref="Y74:Z74"/>
    <mergeCell ref="AA74:AB74"/>
    <mergeCell ref="AC74:AD74"/>
    <mergeCell ref="AE73:AH73"/>
    <mergeCell ref="AQ73:AR73"/>
    <mergeCell ref="CG74:CH74"/>
    <mergeCell ref="AE74:AF74"/>
    <mergeCell ref="AG74:AH74"/>
    <mergeCell ref="AI74:AJ74"/>
    <mergeCell ref="AK74:AL74"/>
    <mergeCell ref="AM74:AN74"/>
    <mergeCell ref="AO74:AP74"/>
    <mergeCell ref="AQ74:AR74"/>
    <mergeCell ref="AS73:AV73"/>
    <mergeCell ref="BE73:BF73"/>
    <mergeCell ref="AS74:AT74"/>
    <mergeCell ref="AU74:AV74"/>
    <mergeCell ref="AW74:AX74"/>
    <mergeCell ref="AY74:AZ74"/>
    <mergeCell ref="BA74:BB74"/>
    <mergeCell ref="BC74:BD74"/>
    <mergeCell ref="BE74:BF74"/>
    <mergeCell ref="BG73:BJ73"/>
    <mergeCell ref="BS73:BT73"/>
    <mergeCell ref="BG74:BH74"/>
    <mergeCell ref="BI74:BJ74"/>
    <mergeCell ref="BK74:BL74"/>
    <mergeCell ref="BM74:BN74"/>
    <mergeCell ref="BO74:BP74"/>
    <mergeCell ref="BQ74:BR74"/>
    <mergeCell ref="CU74:CV74"/>
    <mergeCell ref="CI74:CJ74"/>
    <mergeCell ref="CK74:CL74"/>
    <mergeCell ref="CM74:CN74"/>
    <mergeCell ref="CO74:CP74"/>
    <mergeCell ref="CQ74:CR74"/>
    <mergeCell ref="CS74:CT74"/>
    <mergeCell ref="BS74:BT74"/>
    <mergeCell ref="BU73:BX73"/>
    <mergeCell ref="CG73:CH73"/>
    <mergeCell ref="BU74:BV74"/>
    <mergeCell ref="BW74:BX74"/>
    <mergeCell ref="BY74:BZ74"/>
    <mergeCell ref="CA74:CB74"/>
    <mergeCell ref="CC74:CD74"/>
    <mergeCell ref="CE74:CF74"/>
  </mergeCells>
  <phoneticPr fontId="2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C20A-2DD6-444D-A281-124B20DF35CF}">
  <sheetPr>
    <tabColor rgb="FFA7C9D2"/>
  </sheetPr>
  <dimension ref="A2:T83"/>
  <sheetViews>
    <sheetView topLeftCell="C46" zoomScale="75" zoomScaleNormal="75" workbookViewId="0">
      <selection activeCell="R70" sqref="R70"/>
    </sheetView>
  </sheetViews>
  <sheetFormatPr baseColWidth="10" defaultRowHeight="13.8"/>
  <cols>
    <col min="1" max="1" width="11.5546875" style="88"/>
    <col min="2" max="2" width="14.77734375" style="88" customWidth="1"/>
    <col min="3" max="3" width="11.5546875" style="88"/>
    <col min="4" max="4" width="36.109375" style="1" customWidth="1"/>
    <col min="5" max="11" width="12.77734375" style="88" customWidth="1"/>
    <col min="12" max="17" width="15.77734375" style="88" customWidth="1"/>
    <col min="18" max="18" width="16.5546875" style="1" customWidth="1"/>
    <col min="19" max="19" width="12.77734375" style="1" customWidth="1"/>
    <col min="20" max="16384" width="11.5546875" style="1"/>
  </cols>
  <sheetData>
    <row r="2" spans="1:20" ht="25.05" customHeight="1">
      <c r="A2" s="259" t="s">
        <v>181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122"/>
      <c r="Q2" s="122"/>
      <c r="R2" s="122"/>
    </row>
    <row r="3" spans="1:20" ht="19.95" customHeight="1">
      <c r="A3" s="147" t="s">
        <v>208</v>
      </c>
      <c r="B3" s="82"/>
      <c r="C3" s="82"/>
      <c r="D3" s="83"/>
      <c r="E3" s="255" t="s">
        <v>88</v>
      </c>
      <c r="F3" s="255"/>
      <c r="G3" s="255"/>
      <c r="H3" s="258" t="s">
        <v>89</v>
      </c>
      <c r="I3" s="258"/>
      <c r="J3" s="258"/>
      <c r="K3" s="258"/>
      <c r="L3" s="82"/>
      <c r="M3" s="82"/>
      <c r="N3" s="99"/>
      <c r="O3" s="148"/>
      <c r="P3" s="149"/>
      <c r="Q3" s="149"/>
      <c r="R3" s="149"/>
    </row>
    <row r="4" spans="1:20" ht="34.950000000000003" customHeight="1">
      <c r="A4" s="82" t="s">
        <v>90</v>
      </c>
      <c r="B4" s="82" t="s">
        <v>91</v>
      </c>
      <c r="C4" s="82" t="s">
        <v>92</v>
      </c>
      <c r="D4" s="82" t="s">
        <v>93</v>
      </c>
      <c r="E4" s="82" t="s">
        <v>94</v>
      </c>
      <c r="F4" s="82" t="s">
        <v>95</v>
      </c>
      <c r="G4" s="84" t="s">
        <v>96</v>
      </c>
      <c r="H4" s="134" t="s">
        <v>94</v>
      </c>
      <c r="I4" s="134" t="s">
        <v>95</v>
      </c>
      <c r="J4" s="134" t="s">
        <v>97</v>
      </c>
      <c r="K4" s="135" t="s">
        <v>96</v>
      </c>
      <c r="L4" s="136" t="s">
        <v>98</v>
      </c>
      <c r="M4" s="136" t="s">
        <v>99</v>
      </c>
      <c r="N4" s="136" t="s">
        <v>184</v>
      </c>
      <c r="O4" s="136" t="s">
        <v>185</v>
      </c>
      <c r="P4" s="136" t="s">
        <v>183</v>
      </c>
      <c r="Q4" s="136" t="s">
        <v>100</v>
      </c>
      <c r="R4" s="136"/>
    </row>
    <row r="5" spans="1:20" ht="19.95" customHeight="1">
      <c r="A5" s="86" t="s">
        <v>182</v>
      </c>
      <c r="B5" s="87" t="s">
        <v>204</v>
      </c>
      <c r="C5" s="88">
        <v>1</v>
      </c>
      <c r="D5" s="1" t="s">
        <v>124</v>
      </c>
      <c r="E5" s="88">
        <f>(2.5*14)+0.6</f>
        <v>35.6</v>
      </c>
      <c r="F5" s="88">
        <v>9.6999999999999993</v>
      </c>
      <c r="G5" s="89">
        <f>E5*F5</f>
        <v>345.32</v>
      </c>
      <c r="H5" s="90">
        <v>1.5</v>
      </c>
      <c r="I5" s="90">
        <v>1.2</v>
      </c>
      <c r="J5" s="90">
        <v>14</v>
      </c>
      <c r="K5" s="91">
        <f>(H5*I5)*J5</f>
        <v>25.199999999999996</v>
      </c>
      <c r="L5" s="92">
        <f>((H5*2)+I5)*J5</f>
        <v>58.800000000000004</v>
      </c>
      <c r="M5" s="92">
        <f>F5*14</f>
        <v>135.79999999999998</v>
      </c>
      <c r="O5" s="89"/>
      <c r="P5" s="95">
        <f>G5-(K5+K6)</f>
        <v>318.86</v>
      </c>
      <c r="Q5" s="89"/>
      <c r="R5" s="89">
        <f>SUM(N5:Q5)</f>
        <v>318.86</v>
      </c>
    </row>
    <row r="6" spans="1:20" ht="19.95" customHeight="1">
      <c r="A6" s="86"/>
      <c r="B6" s="87"/>
      <c r="G6" s="89"/>
      <c r="H6" s="90">
        <v>0.3</v>
      </c>
      <c r="I6" s="90">
        <v>0.3</v>
      </c>
      <c r="J6" s="90">
        <v>14</v>
      </c>
      <c r="K6" s="91">
        <f>(H6*I6)*J6</f>
        <v>1.26</v>
      </c>
      <c r="L6" s="92">
        <f>((H6*2)+I6)*J6</f>
        <v>12.599999999999998</v>
      </c>
      <c r="M6" s="92"/>
      <c r="N6" s="89"/>
      <c r="O6" s="89"/>
      <c r="P6" s="89"/>
      <c r="Q6" s="89"/>
      <c r="R6" s="89">
        <f t="shared" ref="R6:R61" si="0">SUM(N6:Q6)</f>
        <v>0</v>
      </c>
    </row>
    <row r="7" spans="1:20" ht="19.95" customHeight="1">
      <c r="A7" s="86"/>
      <c r="B7" s="87" t="s">
        <v>116</v>
      </c>
      <c r="C7" s="88">
        <v>2</v>
      </c>
      <c r="D7" s="1" t="s">
        <v>124</v>
      </c>
      <c r="E7" s="88">
        <f>E5</f>
        <v>35.6</v>
      </c>
      <c r="F7" s="89">
        <v>6.1</v>
      </c>
      <c r="G7" s="89">
        <f>E7*F7</f>
        <v>217.16</v>
      </c>
      <c r="H7" s="90">
        <v>1.5</v>
      </c>
      <c r="I7" s="90">
        <v>1.2</v>
      </c>
      <c r="J7" s="90">
        <v>28</v>
      </c>
      <c r="K7" s="91">
        <f>(H7*I7)*J7</f>
        <v>50.399999999999991</v>
      </c>
      <c r="L7" s="92">
        <f>((H7*2)+I7)*J7</f>
        <v>117.60000000000001</v>
      </c>
      <c r="M7" s="92">
        <f>F7*14</f>
        <v>85.399999999999991</v>
      </c>
      <c r="O7" s="89"/>
      <c r="P7" s="95">
        <f>G7-K7</f>
        <v>166.76</v>
      </c>
      <c r="Q7" s="89"/>
      <c r="R7" s="89">
        <f t="shared" si="0"/>
        <v>166.76</v>
      </c>
    </row>
    <row r="8" spans="1:20" ht="19.95" customHeight="1">
      <c r="B8" s="87"/>
      <c r="C8" s="88">
        <v>3</v>
      </c>
      <c r="D8" s="1" t="s">
        <v>191</v>
      </c>
      <c r="E8" s="88">
        <v>35</v>
      </c>
      <c r="F8" s="89">
        <v>3.1</v>
      </c>
      <c r="G8" s="89">
        <f>E8*F8</f>
        <v>108.5</v>
      </c>
      <c r="H8" s="90">
        <v>0.25</v>
      </c>
      <c r="I8" s="90">
        <v>3.1</v>
      </c>
      <c r="J8" s="90">
        <v>14</v>
      </c>
      <c r="K8" s="91">
        <f>(H8*I8)*J8</f>
        <v>10.85</v>
      </c>
      <c r="L8" s="92"/>
      <c r="M8" s="92">
        <f>F8*14</f>
        <v>43.4</v>
      </c>
      <c r="N8" s="89"/>
      <c r="O8" s="89"/>
      <c r="P8" s="95">
        <f>G8-K8</f>
        <v>97.65</v>
      </c>
      <c r="Q8" s="89"/>
      <c r="R8" s="89">
        <f t="shared" si="0"/>
        <v>97.65</v>
      </c>
      <c r="S8" s="85"/>
    </row>
    <row r="9" spans="1:20" ht="19.95" customHeight="1">
      <c r="B9" s="86"/>
      <c r="C9" s="88">
        <v>4</v>
      </c>
      <c r="D9" s="1" t="s">
        <v>192</v>
      </c>
      <c r="E9" s="88">
        <v>35</v>
      </c>
      <c r="F9" s="88">
        <v>2.15</v>
      </c>
      <c r="G9" s="89">
        <f>E9*F9</f>
        <v>75.25</v>
      </c>
      <c r="H9" s="90"/>
      <c r="I9" s="91"/>
      <c r="J9" s="90"/>
      <c r="K9" s="91"/>
      <c r="L9" s="92"/>
      <c r="M9" s="92"/>
      <c r="N9" s="95">
        <f>G9-K9</f>
        <v>75.25</v>
      </c>
      <c r="O9" s="89"/>
      <c r="P9" s="1"/>
      <c r="Q9" s="89"/>
      <c r="R9" s="89">
        <f t="shared" si="0"/>
        <v>75.25</v>
      </c>
    </row>
    <row r="10" spans="1:20" ht="19.95" customHeight="1">
      <c r="B10" s="86"/>
      <c r="C10" s="88">
        <v>5</v>
      </c>
      <c r="D10" s="1" t="s">
        <v>192</v>
      </c>
      <c r="E10" s="88">
        <f>E8</f>
        <v>35</v>
      </c>
      <c r="F10" s="88">
        <v>1.8</v>
      </c>
      <c r="G10" s="89">
        <f t="shared" ref="G10:G11" si="1">E10*F10</f>
        <v>63</v>
      </c>
      <c r="H10" s="90"/>
      <c r="I10" s="91"/>
      <c r="J10" s="90"/>
      <c r="K10" s="91"/>
      <c r="L10" s="92"/>
      <c r="M10" s="92"/>
      <c r="N10" s="95">
        <f t="shared" ref="N10:N11" si="2">G10-K10</f>
        <v>63</v>
      </c>
      <c r="O10" s="89"/>
      <c r="P10" s="1"/>
      <c r="Q10" s="89"/>
      <c r="R10" s="89">
        <f t="shared" si="0"/>
        <v>63</v>
      </c>
      <c r="S10" s="85"/>
      <c r="T10" s="85"/>
    </row>
    <row r="11" spans="1:20" ht="19.95" customHeight="1">
      <c r="B11" s="86"/>
      <c r="C11" s="88">
        <v>6</v>
      </c>
      <c r="D11" s="1" t="s">
        <v>192</v>
      </c>
      <c r="E11" s="88">
        <f>E8</f>
        <v>35</v>
      </c>
      <c r="F11" s="88">
        <v>2.0499999999999998</v>
      </c>
      <c r="G11" s="89">
        <f t="shared" si="1"/>
        <v>71.75</v>
      </c>
      <c r="H11" s="90"/>
      <c r="I11" s="91"/>
      <c r="J11" s="90"/>
      <c r="K11" s="91"/>
      <c r="L11" s="92"/>
      <c r="M11" s="92"/>
      <c r="N11" s="95">
        <f t="shared" si="2"/>
        <v>71.75</v>
      </c>
      <c r="O11" s="89"/>
      <c r="P11" s="1"/>
      <c r="Q11" s="89"/>
      <c r="R11" s="89">
        <f t="shared" si="0"/>
        <v>71.75</v>
      </c>
    </row>
    <row r="12" spans="1:20" ht="19.95" customHeight="1">
      <c r="B12" s="86"/>
      <c r="C12" s="88">
        <v>7</v>
      </c>
      <c r="D12" s="1" t="s">
        <v>194</v>
      </c>
      <c r="E12" s="88">
        <v>0.5</v>
      </c>
      <c r="F12" s="88">
        <v>1.44</v>
      </c>
      <c r="G12" s="89">
        <f>E12*F12*14</f>
        <v>10.08</v>
      </c>
      <c r="H12" s="90"/>
      <c r="I12" s="90"/>
      <c r="J12" s="90"/>
      <c r="K12" s="91"/>
      <c r="L12" s="92"/>
      <c r="M12" s="92">
        <f>F12*14</f>
        <v>20.16</v>
      </c>
      <c r="N12" s="95">
        <f>G12-K12</f>
        <v>10.08</v>
      </c>
      <c r="Q12" s="89"/>
      <c r="R12" s="89">
        <f t="shared" si="0"/>
        <v>10.08</v>
      </c>
    </row>
    <row r="13" spans="1:20" ht="19.95" customHeight="1">
      <c r="B13" s="86"/>
      <c r="C13" s="88">
        <v>8</v>
      </c>
      <c r="D13" s="1" t="s">
        <v>192</v>
      </c>
      <c r="E13" s="88">
        <v>35</v>
      </c>
      <c r="F13" s="88">
        <v>5.18</v>
      </c>
      <c r="G13" s="89">
        <f>E13*F13</f>
        <v>181.29999999999998</v>
      </c>
      <c r="H13" s="90">
        <v>0.25</v>
      </c>
      <c r="I13" s="90">
        <v>3.1</v>
      </c>
      <c r="J13" s="90">
        <v>14</v>
      </c>
      <c r="K13" s="91">
        <f>(H13*I13)*J13</f>
        <v>10.85</v>
      </c>
      <c r="L13" s="92"/>
      <c r="M13" s="92">
        <f>F13*14</f>
        <v>72.52</v>
      </c>
      <c r="N13" s="95">
        <f>G13-K13</f>
        <v>170.45</v>
      </c>
      <c r="Q13" s="89"/>
      <c r="R13" s="89">
        <f t="shared" si="0"/>
        <v>170.45</v>
      </c>
    </row>
    <row r="14" spans="1:20" ht="19.95" customHeight="1">
      <c r="B14" s="86"/>
      <c r="C14" s="88" t="s">
        <v>201</v>
      </c>
      <c r="D14" s="1" t="s">
        <v>193</v>
      </c>
      <c r="E14" s="88">
        <v>1</v>
      </c>
      <c r="F14" s="88">
        <f>2.15+1.44</f>
        <v>3.59</v>
      </c>
      <c r="G14" s="89">
        <f>E14*F14*14</f>
        <v>50.26</v>
      </c>
      <c r="H14" s="90"/>
      <c r="I14" s="90"/>
      <c r="J14" s="90"/>
      <c r="K14" s="91"/>
      <c r="L14" s="92"/>
      <c r="M14" s="92"/>
      <c r="N14" s="89"/>
      <c r="Q14" s="95">
        <f>G14</f>
        <v>50.26</v>
      </c>
      <c r="R14" s="89">
        <f t="shared" si="0"/>
        <v>50.26</v>
      </c>
    </row>
    <row r="15" spans="1:20" ht="19.95" customHeight="1">
      <c r="B15" s="86"/>
      <c r="C15" s="88">
        <v>9</v>
      </c>
      <c r="D15" s="1" t="s">
        <v>195</v>
      </c>
      <c r="E15" s="88">
        <f>E5</f>
        <v>35.6</v>
      </c>
      <c r="F15" s="89">
        <v>5.3</v>
      </c>
      <c r="G15" s="89">
        <f>E15*F15</f>
        <v>188.68</v>
      </c>
      <c r="H15" s="90">
        <v>1.5</v>
      </c>
      <c r="I15" s="90">
        <v>1.2</v>
      </c>
      <c r="J15" s="90">
        <v>28</v>
      </c>
      <c r="K15" s="91">
        <f>(H15*I15)*J15</f>
        <v>50.399999999999991</v>
      </c>
      <c r="L15" s="92">
        <f>((H15*2)+I15)*J15</f>
        <v>117.60000000000001</v>
      </c>
      <c r="M15" s="92">
        <f>F15*14</f>
        <v>74.2</v>
      </c>
      <c r="O15" s="95">
        <f>G15-K15</f>
        <v>138.28000000000003</v>
      </c>
      <c r="P15" s="89"/>
      <c r="R15" s="89">
        <f t="shared" si="0"/>
        <v>138.28000000000003</v>
      </c>
      <c r="S15" s="85"/>
      <c r="T15" s="85"/>
    </row>
    <row r="16" spans="1:20" ht="19.95" customHeight="1">
      <c r="B16" s="86"/>
      <c r="C16" s="88">
        <v>10</v>
      </c>
      <c r="D16" s="1" t="s">
        <v>200</v>
      </c>
      <c r="E16" s="88">
        <v>0.3</v>
      </c>
      <c r="F16" s="88">
        <v>2.91</v>
      </c>
      <c r="G16" s="89">
        <f>E16*F16*14</f>
        <v>12.222</v>
      </c>
      <c r="H16" s="90"/>
      <c r="I16" s="90"/>
      <c r="J16" s="90"/>
      <c r="K16" s="91"/>
      <c r="L16" s="92">
        <v>1</v>
      </c>
      <c r="M16" s="92"/>
      <c r="O16" s="89"/>
      <c r="P16" s="95">
        <f>G16</f>
        <v>12.222</v>
      </c>
      <c r="Q16" s="89"/>
      <c r="R16" s="89">
        <f t="shared" si="0"/>
        <v>12.222</v>
      </c>
    </row>
    <row r="17" spans="2:20" ht="19.95" customHeight="1">
      <c r="B17" s="86"/>
      <c r="C17" s="88" t="s">
        <v>203</v>
      </c>
      <c r="D17" s="1" t="s">
        <v>202</v>
      </c>
      <c r="E17" s="88">
        <v>0.6</v>
      </c>
      <c r="F17" s="88">
        <v>1.71</v>
      </c>
      <c r="G17" s="89">
        <f>E17*F17*14</f>
        <v>14.364000000000001</v>
      </c>
      <c r="H17" s="90"/>
      <c r="I17" s="90"/>
      <c r="J17" s="90"/>
      <c r="K17" s="91"/>
      <c r="L17" s="92"/>
      <c r="M17" s="92"/>
      <c r="N17" s="89"/>
      <c r="Q17" s="95">
        <f>G17</f>
        <v>14.364000000000001</v>
      </c>
      <c r="R17" s="89">
        <f t="shared" si="0"/>
        <v>14.364000000000001</v>
      </c>
    </row>
    <row r="18" spans="2:20" ht="19.95" customHeight="1">
      <c r="B18" s="86"/>
      <c r="C18" s="88">
        <v>11</v>
      </c>
      <c r="D18" s="1" t="s">
        <v>195</v>
      </c>
      <c r="E18" s="88">
        <f>E5</f>
        <v>35.6</v>
      </c>
      <c r="F18" s="89">
        <v>4.62</v>
      </c>
      <c r="G18" s="89">
        <f>E18*F18</f>
        <v>164.47200000000001</v>
      </c>
      <c r="H18" s="90">
        <v>1</v>
      </c>
      <c r="I18" s="90">
        <v>0.75</v>
      </c>
      <c r="J18" s="90">
        <v>28</v>
      </c>
      <c r="K18" s="91">
        <f>(H18*I18)*J18</f>
        <v>21</v>
      </c>
      <c r="L18" s="92">
        <f>((H18*2)+I18)*J18</f>
        <v>77</v>
      </c>
      <c r="M18" s="92">
        <f>F18*14</f>
        <v>64.680000000000007</v>
      </c>
      <c r="O18" s="95">
        <f>G18-K18</f>
        <v>143.47200000000001</v>
      </c>
      <c r="P18" s="89"/>
      <c r="R18" s="89">
        <f t="shared" si="0"/>
        <v>143.47200000000001</v>
      </c>
    </row>
    <row r="19" spans="2:20" ht="19.95" customHeight="1">
      <c r="B19" s="86"/>
      <c r="C19" s="88">
        <v>12</v>
      </c>
      <c r="D19" s="1" t="s">
        <v>200</v>
      </c>
      <c r="E19" s="88">
        <v>0.3</v>
      </c>
      <c r="F19" s="88">
        <v>2.91</v>
      </c>
      <c r="G19" s="89">
        <f>E19*F19*14</f>
        <v>12.222</v>
      </c>
      <c r="H19" s="90"/>
      <c r="I19" s="90"/>
      <c r="J19" s="90"/>
      <c r="K19" s="91"/>
      <c r="L19" s="92">
        <v>1</v>
      </c>
      <c r="M19" s="92"/>
      <c r="O19" s="89"/>
      <c r="P19" s="95">
        <f>G19</f>
        <v>12.222</v>
      </c>
      <c r="Q19" s="89"/>
      <c r="R19" s="89">
        <f t="shared" si="0"/>
        <v>12.222</v>
      </c>
      <c r="T19" s="1">
        <f>2.5*14</f>
        <v>35</v>
      </c>
    </row>
    <row r="20" spans="2:20" ht="19.95" customHeight="1">
      <c r="B20" s="86"/>
      <c r="C20" s="88" t="s">
        <v>221</v>
      </c>
      <c r="D20" s="1" t="s">
        <v>202</v>
      </c>
      <c r="E20" s="88">
        <v>0.6</v>
      </c>
      <c r="F20" s="88">
        <v>1.71</v>
      </c>
      <c r="G20" s="89">
        <f>E20*F20*14</f>
        <v>14.364000000000001</v>
      </c>
      <c r="H20" s="90"/>
      <c r="I20" s="90"/>
      <c r="J20" s="90"/>
      <c r="K20" s="91"/>
      <c r="L20" s="92"/>
      <c r="M20" s="92"/>
      <c r="N20" s="89"/>
      <c r="Q20" s="95">
        <f>G20</f>
        <v>14.364000000000001</v>
      </c>
      <c r="R20" s="89">
        <f t="shared" si="0"/>
        <v>14.364000000000001</v>
      </c>
      <c r="T20" s="1">
        <f>S23/7</f>
        <v>74.52</v>
      </c>
    </row>
    <row r="21" spans="2:20" ht="19.95" customHeight="1">
      <c r="B21" s="86"/>
      <c r="C21" s="88">
        <v>13</v>
      </c>
      <c r="D21" s="1" t="s">
        <v>102</v>
      </c>
      <c r="E21" s="88">
        <f>E5</f>
        <v>35.6</v>
      </c>
      <c r="F21" s="89">
        <v>5.3</v>
      </c>
      <c r="G21" s="89">
        <f>E21*F21</f>
        <v>188.68</v>
      </c>
      <c r="H21" s="90">
        <v>1.5</v>
      </c>
      <c r="I21" s="90">
        <v>1.2</v>
      </c>
      <c r="J21" s="90">
        <v>28</v>
      </c>
      <c r="K21" s="91">
        <f>(H21*I21)*J21</f>
        <v>50.399999999999991</v>
      </c>
      <c r="L21" s="92">
        <f>((H21*2)+I21)*J21</f>
        <v>117.60000000000001</v>
      </c>
      <c r="M21" s="92">
        <f>F21*14</f>
        <v>74.2</v>
      </c>
      <c r="N21" s="95">
        <f>G21-K21</f>
        <v>138.28000000000003</v>
      </c>
      <c r="O21" s="1"/>
      <c r="P21" s="89"/>
      <c r="R21" s="89">
        <f t="shared" si="0"/>
        <v>138.28000000000003</v>
      </c>
      <c r="T21" s="1">
        <f>S23/105</f>
        <v>4.968</v>
      </c>
    </row>
    <row r="22" spans="2:20" ht="19.95" customHeight="1">
      <c r="B22" s="86"/>
      <c r="C22" s="88">
        <v>14</v>
      </c>
      <c r="D22" s="1" t="s">
        <v>192</v>
      </c>
      <c r="E22" s="88">
        <v>35</v>
      </c>
      <c r="F22" s="89">
        <v>4.8</v>
      </c>
      <c r="G22" s="89">
        <f>E22*F22</f>
        <v>168</v>
      </c>
      <c r="H22" s="90">
        <v>0.25</v>
      </c>
      <c r="I22" s="90">
        <v>3.1</v>
      </c>
      <c r="J22" s="90">
        <v>14</v>
      </c>
      <c r="K22" s="91">
        <f>(H22*I22)*J22</f>
        <v>10.85</v>
      </c>
      <c r="L22" s="92"/>
      <c r="M22" s="92">
        <f>F22*14</f>
        <v>67.2</v>
      </c>
      <c r="N22" s="95">
        <f>G22-K22</f>
        <v>157.15</v>
      </c>
      <c r="O22" s="89"/>
      <c r="Q22" s="89"/>
      <c r="R22" s="89">
        <f t="shared" si="0"/>
        <v>157.15</v>
      </c>
    </row>
    <row r="23" spans="2:20" ht="19.95" customHeight="1">
      <c r="B23" s="86"/>
      <c r="C23" s="88">
        <v>15</v>
      </c>
      <c r="D23" s="1" t="s">
        <v>192</v>
      </c>
      <c r="E23" s="88">
        <v>35</v>
      </c>
      <c r="F23" s="88">
        <v>2.15</v>
      </c>
      <c r="G23" s="89">
        <f>E23*F23</f>
        <v>75.25</v>
      </c>
      <c r="H23" s="90"/>
      <c r="I23" s="91"/>
      <c r="J23" s="90"/>
      <c r="K23" s="91"/>
      <c r="L23" s="92"/>
      <c r="M23" s="92"/>
      <c r="N23" s="95">
        <f>G23-K23</f>
        <v>75.25</v>
      </c>
      <c r="O23" s="89"/>
      <c r="P23" s="1"/>
      <c r="Q23" s="89"/>
      <c r="R23" s="89">
        <f t="shared" si="0"/>
        <v>75.25</v>
      </c>
      <c r="S23" s="85">
        <f>SUM(M7:M25)</f>
        <v>521.64</v>
      </c>
    </row>
    <row r="24" spans="2:20" ht="19.95" customHeight="1">
      <c r="B24" s="86"/>
      <c r="C24" s="88">
        <v>16</v>
      </c>
      <c r="D24" s="1" t="s">
        <v>192</v>
      </c>
      <c r="E24" s="88">
        <v>35</v>
      </c>
      <c r="F24" s="89">
        <v>1.42</v>
      </c>
      <c r="G24" s="89">
        <f>E24*F24</f>
        <v>49.699999999999996</v>
      </c>
      <c r="H24" s="90">
        <v>0.25</v>
      </c>
      <c r="I24" s="90">
        <v>3.1</v>
      </c>
      <c r="J24" s="90">
        <v>14</v>
      </c>
      <c r="K24" s="91">
        <f>(H24*I24)*J24</f>
        <v>10.85</v>
      </c>
      <c r="L24" s="92"/>
      <c r="M24" s="92">
        <f>F24*14</f>
        <v>19.88</v>
      </c>
      <c r="N24" s="95">
        <f>G24-K24</f>
        <v>38.849999999999994</v>
      </c>
      <c r="O24" s="89"/>
      <c r="Q24" s="89"/>
      <c r="R24" s="89">
        <f t="shared" si="0"/>
        <v>38.849999999999994</v>
      </c>
      <c r="S24" s="85">
        <f>SUM(R7:R24)</f>
        <v>1449.654</v>
      </c>
      <c r="T24" s="85">
        <f>S24-R8-R9-R10-R23-R24</f>
        <v>1099.654</v>
      </c>
    </row>
    <row r="25" spans="2:20" ht="19.95" customHeight="1">
      <c r="B25" s="86"/>
      <c r="C25" s="88" t="s">
        <v>222</v>
      </c>
      <c r="D25" s="1" t="s">
        <v>202</v>
      </c>
      <c r="E25" s="88">
        <v>1</v>
      </c>
      <c r="F25" s="88">
        <v>1.9</v>
      </c>
      <c r="G25" s="89">
        <f>E25*F25*14</f>
        <v>26.599999999999998</v>
      </c>
      <c r="H25" s="90"/>
      <c r="I25" s="90"/>
      <c r="J25" s="90"/>
      <c r="K25" s="91"/>
      <c r="L25" s="92"/>
      <c r="M25" s="92"/>
      <c r="N25" s="89"/>
      <c r="Q25" s="95">
        <f>G25</f>
        <v>26.599999999999998</v>
      </c>
      <c r="R25" s="89">
        <f t="shared" si="0"/>
        <v>26.599999999999998</v>
      </c>
      <c r="S25" s="85">
        <f>R23+R24</f>
        <v>114.1</v>
      </c>
      <c r="T25" s="1">
        <f>T24*0.05</f>
        <v>54.982700000000001</v>
      </c>
    </row>
    <row r="26" spans="2:20" ht="19.95" customHeight="1">
      <c r="B26" s="86" t="s">
        <v>205</v>
      </c>
      <c r="C26" s="88">
        <v>17</v>
      </c>
      <c r="D26" s="1" t="s">
        <v>206</v>
      </c>
      <c r="E26" s="88">
        <v>35</v>
      </c>
      <c r="F26" s="89">
        <v>1.67</v>
      </c>
      <c r="G26" s="89">
        <f>E26*F26</f>
        <v>58.449999999999996</v>
      </c>
      <c r="H26" s="90"/>
      <c r="I26" s="90"/>
      <c r="J26" s="90"/>
      <c r="K26" s="91"/>
      <c r="L26" s="92"/>
      <c r="M26" s="92">
        <f>F26*14</f>
        <v>23.38</v>
      </c>
      <c r="N26" s="95">
        <f>G26-K26</f>
        <v>58.449999999999996</v>
      </c>
      <c r="O26" s="89"/>
      <c r="P26" s="89"/>
      <c r="Q26" s="89"/>
      <c r="R26" s="89">
        <f t="shared" si="0"/>
        <v>58.449999999999996</v>
      </c>
    </row>
    <row r="27" spans="2:20" ht="19.95" customHeight="1">
      <c r="B27" s="86"/>
      <c r="C27" s="88">
        <v>18</v>
      </c>
      <c r="D27" s="1" t="s">
        <v>207</v>
      </c>
      <c r="E27" s="88">
        <v>0.5</v>
      </c>
      <c r="F27" s="88">
        <v>1.26</v>
      </c>
      <c r="G27" s="89">
        <f>E27*F27*14</f>
        <v>8.82</v>
      </c>
      <c r="H27" s="90"/>
      <c r="I27" s="90"/>
      <c r="J27" s="90"/>
      <c r="K27" s="91"/>
      <c r="L27" s="92"/>
      <c r="M27" s="92"/>
      <c r="N27" s="1"/>
      <c r="P27" s="95">
        <f>G27-K27</f>
        <v>8.82</v>
      </c>
      <c r="Q27" s="89"/>
      <c r="R27" s="89">
        <f t="shared" si="0"/>
        <v>8.82</v>
      </c>
    </row>
    <row r="28" spans="2:20" ht="19.95" customHeight="1">
      <c r="B28" s="1"/>
      <c r="C28" s="88">
        <v>19</v>
      </c>
      <c r="D28" s="1" t="s">
        <v>121</v>
      </c>
      <c r="E28" s="88">
        <f>E5</f>
        <v>35.6</v>
      </c>
      <c r="F28" s="89">
        <v>2.5</v>
      </c>
      <c r="G28" s="89">
        <f t="shared" ref="G28:G34" si="3">E28*F28</f>
        <v>89</v>
      </c>
      <c r="H28" s="90"/>
      <c r="I28" s="90"/>
      <c r="J28" s="90"/>
      <c r="K28" s="91"/>
      <c r="L28" s="92"/>
      <c r="M28" s="92">
        <f t="shared" ref="M28:M35" si="4">F28*14</f>
        <v>35</v>
      </c>
      <c r="N28" s="1"/>
      <c r="O28" s="89"/>
      <c r="P28" s="95">
        <f>G28-K28</f>
        <v>89</v>
      </c>
      <c r="Q28" s="89"/>
      <c r="R28" s="89">
        <f t="shared" si="0"/>
        <v>89</v>
      </c>
    </row>
    <row r="29" spans="2:20" ht="19.95" customHeight="1">
      <c r="B29" s="86"/>
      <c r="C29" s="88">
        <v>20</v>
      </c>
      <c r="D29" s="1" t="s">
        <v>122</v>
      </c>
      <c r="E29" s="88">
        <f>E5</f>
        <v>35.6</v>
      </c>
      <c r="F29" s="89">
        <v>2.33</v>
      </c>
      <c r="G29" s="89">
        <f t="shared" si="3"/>
        <v>82.948000000000008</v>
      </c>
      <c r="H29" s="90">
        <v>1</v>
      </c>
      <c r="I29" s="90">
        <v>0.75</v>
      </c>
      <c r="J29" s="90">
        <v>14</v>
      </c>
      <c r="K29" s="91">
        <f>(H29*I29)*J29</f>
        <v>10.5</v>
      </c>
      <c r="L29" s="92">
        <f>((H29*2)+I29)*J29</f>
        <v>38.5</v>
      </c>
      <c r="M29" s="92">
        <f t="shared" si="4"/>
        <v>32.620000000000005</v>
      </c>
      <c r="N29" s="95">
        <f t="shared" ref="N29:N35" si="5">G29-K29</f>
        <v>72.448000000000008</v>
      </c>
      <c r="O29" s="1"/>
      <c r="P29" s="89"/>
      <c r="R29" s="89">
        <f t="shared" si="0"/>
        <v>72.448000000000008</v>
      </c>
    </row>
    <row r="30" spans="2:20" ht="19.95" customHeight="1">
      <c r="B30" s="1"/>
      <c r="C30" s="88">
        <v>21</v>
      </c>
      <c r="D30" s="1" t="s">
        <v>206</v>
      </c>
      <c r="E30" s="88">
        <f>E5</f>
        <v>35.6</v>
      </c>
      <c r="F30" s="89">
        <v>0.8</v>
      </c>
      <c r="G30" s="89">
        <f t="shared" si="3"/>
        <v>28.480000000000004</v>
      </c>
      <c r="H30" s="90"/>
      <c r="I30" s="90"/>
      <c r="J30" s="90"/>
      <c r="K30" s="91"/>
      <c r="L30" s="92"/>
      <c r="M30" s="92">
        <f t="shared" si="4"/>
        <v>11.200000000000001</v>
      </c>
      <c r="N30" s="95">
        <f t="shared" si="5"/>
        <v>28.480000000000004</v>
      </c>
      <c r="O30" s="89"/>
      <c r="Q30" s="89"/>
      <c r="R30" s="89">
        <f t="shared" si="0"/>
        <v>28.480000000000004</v>
      </c>
    </row>
    <row r="31" spans="2:20" ht="19.95" customHeight="1">
      <c r="B31" s="86"/>
      <c r="C31" s="88">
        <v>22</v>
      </c>
      <c r="D31" s="1" t="s">
        <v>122</v>
      </c>
      <c r="E31" s="88">
        <f>E5</f>
        <v>35.6</v>
      </c>
      <c r="F31" s="89">
        <v>1.42</v>
      </c>
      <c r="G31" s="89">
        <f t="shared" si="3"/>
        <v>50.552</v>
      </c>
      <c r="H31" s="90">
        <v>0.3</v>
      </c>
      <c r="I31" s="90">
        <v>0.3</v>
      </c>
      <c r="J31" s="90">
        <v>14</v>
      </c>
      <c r="K31" s="91">
        <f>(H31*I31)*J31</f>
        <v>1.26</v>
      </c>
      <c r="L31" s="92">
        <f>((H31*2)+I31)*J31</f>
        <v>12.599999999999998</v>
      </c>
      <c r="M31" s="92">
        <f t="shared" si="4"/>
        <v>19.88</v>
      </c>
      <c r="N31" s="95">
        <f t="shared" si="5"/>
        <v>49.292000000000002</v>
      </c>
      <c r="O31" s="1"/>
      <c r="P31" s="89"/>
      <c r="R31" s="89">
        <f t="shared" si="0"/>
        <v>49.292000000000002</v>
      </c>
      <c r="S31" s="85"/>
    </row>
    <row r="32" spans="2:20" ht="19.95" customHeight="1">
      <c r="B32" s="86"/>
      <c r="C32" s="88">
        <v>23</v>
      </c>
      <c r="D32" s="1" t="s">
        <v>206</v>
      </c>
      <c r="E32" s="88">
        <f>E5</f>
        <v>35.6</v>
      </c>
      <c r="F32" s="89">
        <v>1.72</v>
      </c>
      <c r="G32" s="89">
        <f t="shared" si="3"/>
        <v>61.231999999999999</v>
      </c>
      <c r="H32" s="90"/>
      <c r="I32" s="90"/>
      <c r="J32" s="90"/>
      <c r="K32" s="91"/>
      <c r="L32" s="92"/>
      <c r="M32" s="92">
        <f t="shared" si="4"/>
        <v>24.08</v>
      </c>
      <c r="N32" s="95">
        <f t="shared" si="5"/>
        <v>61.231999999999999</v>
      </c>
      <c r="O32" s="1"/>
      <c r="P32" s="89"/>
      <c r="R32" s="89">
        <f t="shared" si="0"/>
        <v>61.231999999999999</v>
      </c>
    </row>
    <row r="33" spans="2:20" ht="19.95" customHeight="1">
      <c r="B33" s="86"/>
      <c r="C33" s="88">
        <v>24</v>
      </c>
      <c r="D33" s="1" t="s">
        <v>206</v>
      </c>
      <c r="E33" s="88">
        <f>E5</f>
        <v>35.6</v>
      </c>
      <c r="F33" s="89">
        <v>1.31</v>
      </c>
      <c r="G33" s="89">
        <f t="shared" si="3"/>
        <v>46.636000000000003</v>
      </c>
      <c r="H33" s="90"/>
      <c r="I33" s="90"/>
      <c r="J33" s="90"/>
      <c r="K33" s="91"/>
      <c r="L33" s="92"/>
      <c r="M33" s="92">
        <f t="shared" si="4"/>
        <v>18.34</v>
      </c>
      <c r="N33" s="95">
        <f t="shared" si="5"/>
        <v>46.636000000000003</v>
      </c>
      <c r="O33" s="1"/>
      <c r="P33" s="89"/>
      <c r="R33" s="89">
        <f t="shared" si="0"/>
        <v>46.636000000000003</v>
      </c>
    </row>
    <row r="34" spans="2:20" ht="19.95" customHeight="1">
      <c r="B34" s="86"/>
      <c r="C34" s="88">
        <v>25</v>
      </c>
      <c r="D34" s="1" t="s">
        <v>122</v>
      </c>
      <c r="E34" s="88">
        <f>E7</f>
        <v>35.6</v>
      </c>
      <c r="F34" s="89">
        <v>2.73</v>
      </c>
      <c r="G34" s="89">
        <f t="shared" si="3"/>
        <v>97.188000000000002</v>
      </c>
      <c r="H34" s="90">
        <v>1.5</v>
      </c>
      <c r="I34" s="90">
        <v>1.2</v>
      </c>
      <c r="J34" s="90">
        <v>14</v>
      </c>
      <c r="K34" s="91">
        <f>(H34*I34)*J34</f>
        <v>25.199999999999996</v>
      </c>
      <c r="L34" s="92">
        <f>((H34*2)+I34)*J34</f>
        <v>58.800000000000004</v>
      </c>
      <c r="M34" s="92">
        <f t="shared" si="4"/>
        <v>38.22</v>
      </c>
      <c r="N34" s="95">
        <f t="shared" si="5"/>
        <v>71.988</v>
      </c>
      <c r="O34" s="1"/>
      <c r="P34" s="89"/>
      <c r="R34" s="89">
        <f t="shared" si="0"/>
        <v>71.988</v>
      </c>
      <c r="S34" s="85">
        <f>SUM(R26:R34)</f>
        <v>486.346</v>
      </c>
      <c r="T34" s="85">
        <f>SUM(M26:M34)</f>
        <v>202.72</v>
      </c>
    </row>
    <row r="35" spans="2:20" ht="19.95" customHeight="1">
      <c r="B35" s="86" t="s">
        <v>101</v>
      </c>
      <c r="C35" s="88">
        <v>26</v>
      </c>
      <c r="D35" s="1" t="s">
        <v>123</v>
      </c>
      <c r="E35" s="88">
        <f>E5</f>
        <v>35.6</v>
      </c>
      <c r="F35" s="88">
        <v>4.66</v>
      </c>
      <c r="G35" s="89">
        <f t="shared" ref="G35" si="6">E35*F35</f>
        <v>165.89600000000002</v>
      </c>
      <c r="H35" s="90"/>
      <c r="I35" s="90"/>
      <c r="J35" s="90"/>
      <c r="K35" s="91"/>
      <c r="L35" s="92"/>
      <c r="M35" s="92">
        <f t="shared" si="4"/>
        <v>65.240000000000009</v>
      </c>
      <c r="N35" s="95">
        <f t="shared" si="5"/>
        <v>165.89600000000002</v>
      </c>
      <c r="O35" s="89"/>
      <c r="P35" s="89"/>
      <c r="Q35" s="89"/>
      <c r="R35" s="89">
        <f t="shared" si="0"/>
        <v>165.89600000000002</v>
      </c>
    </row>
    <row r="36" spans="2:20" ht="19.95" customHeight="1">
      <c r="B36" s="86"/>
      <c r="C36" s="88">
        <v>27</v>
      </c>
      <c r="D36" s="1" t="s">
        <v>200</v>
      </c>
      <c r="E36" s="88">
        <v>0.3</v>
      </c>
      <c r="F36" s="88">
        <v>2.91</v>
      </c>
      <c r="G36" s="89">
        <f>E36*F36*14</f>
        <v>12.222</v>
      </c>
      <c r="H36" s="90"/>
      <c r="I36" s="90"/>
      <c r="J36" s="90"/>
      <c r="K36" s="91"/>
      <c r="L36" s="92">
        <v>1</v>
      </c>
      <c r="M36" s="92"/>
      <c r="O36" s="89"/>
      <c r="P36" s="95">
        <f>G36</f>
        <v>12.222</v>
      </c>
      <c r="Q36" s="89"/>
      <c r="R36" s="89">
        <f t="shared" si="0"/>
        <v>12.222</v>
      </c>
    </row>
    <row r="37" spans="2:20" ht="19.95" customHeight="1">
      <c r="B37" s="86"/>
      <c r="C37" s="88" t="s">
        <v>223</v>
      </c>
      <c r="D37" s="1" t="s">
        <v>202</v>
      </c>
      <c r="E37" s="88">
        <v>0.6</v>
      </c>
      <c r="F37" s="88">
        <v>1.71</v>
      </c>
      <c r="G37" s="89">
        <f>E37*F37*14</f>
        <v>14.364000000000001</v>
      </c>
      <c r="H37" s="90"/>
      <c r="I37" s="90"/>
      <c r="J37" s="90"/>
      <c r="K37" s="91"/>
      <c r="L37" s="92"/>
      <c r="M37" s="92"/>
      <c r="N37" s="89"/>
      <c r="Q37" s="95">
        <f>G37</f>
        <v>14.364000000000001</v>
      </c>
      <c r="R37" s="89">
        <f t="shared" si="0"/>
        <v>14.364000000000001</v>
      </c>
    </row>
    <row r="38" spans="2:20" ht="19.95" customHeight="1">
      <c r="B38" s="86"/>
      <c r="C38" s="88">
        <v>28</v>
      </c>
      <c r="D38" s="1" t="s">
        <v>122</v>
      </c>
      <c r="E38" s="88">
        <f>E5</f>
        <v>35.6</v>
      </c>
      <c r="F38" s="88">
        <v>3.19</v>
      </c>
      <c r="G38" s="89">
        <f>E38*F38</f>
        <v>113.56400000000001</v>
      </c>
      <c r="H38" s="90">
        <v>1.5</v>
      </c>
      <c r="I38" s="90">
        <v>1.2</v>
      </c>
      <c r="J38" s="90">
        <v>14</v>
      </c>
      <c r="K38" s="91">
        <f>(H38*I38)*J38</f>
        <v>25.199999999999996</v>
      </c>
      <c r="L38" s="92">
        <f>((H38*2)+I38)*J38</f>
        <v>58.800000000000004</v>
      </c>
      <c r="M38" s="92">
        <f t="shared" ref="M38" si="7">F38*14</f>
        <v>44.66</v>
      </c>
      <c r="N38" s="95">
        <f t="shared" ref="N38" si="8">G38-K38</f>
        <v>88.364000000000004</v>
      </c>
      <c r="Q38" s="89"/>
      <c r="R38" s="89">
        <f t="shared" si="0"/>
        <v>88.364000000000004</v>
      </c>
    </row>
    <row r="39" spans="2:20" ht="19.95" customHeight="1">
      <c r="B39" s="86"/>
      <c r="C39" s="88">
        <v>29</v>
      </c>
      <c r="D39" s="1" t="s">
        <v>104</v>
      </c>
      <c r="E39" s="88">
        <f>E5</f>
        <v>35.6</v>
      </c>
      <c r="F39" s="88">
        <v>4.32</v>
      </c>
      <c r="G39" s="89">
        <f>E39*F39</f>
        <v>153.79200000000003</v>
      </c>
      <c r="H39" s="90">
        <v>1.5</v>
      </c>
      <c r="I39" s="90">
        <v>1.2</v>
      </c>
      <c r="J39" s="90">
        <v>14</v>
      </c>
      <c r="K39" s="91">
        <f>(H39*I39)*J39</f>
        <v>25.199999999999996</v>
      </c>
      <c r="L39" s="92">
        <f>((H39*2)+I39)*J39</f>
        <v>58.800000000000004</v>
      </c>
      <c r="M39" s="92">
        <f t="shared" ref="M39" si="9">F39*14</f>
        <v>60.480000000000004</v>
      </c>
      <c r="N39" s="95">
        <f>G39-(K39+K40)</f>
        <v>78.192000000000036</v>
      </c>
      <c r="Q39" s="89"/>
      <c r="R39" s="89">
        <f t="shared" si="0"/>
        <v>78.192000000000036</v>
      </c>
      <c r="S39" s="85"/>
    </row>
    <row r="40" spans="2:20" ht="19.95" customHeight="1">
      <c r="B40" s="86"/>
      <c r="G40" s="89"/>
      <c r="H40" s="90">
        <v>2.4</v>
      </c>
      <c r="I40" s="90">
        <v>1.5</v>
      </c>
      <c r="J40" s="90">
        <v>14</v>
      </c>
      <c r="K40" s="91">
        <f>(H40*I40)*J40</f>
        <v>50.399999999999991</v>
      </c>
      <c r="L40" s="92">
        <f>((H40*2)+I40)*J40</f>
        <v>88.2</v>
      </c>
      <c r="M40" s="92"/>
      <c r="N40" s="89"/>
      <c r="O40" s="89"/>
      <c r="P40" s="89"/>
      <c r="Q40" s="89"/>
      <c r="R40" s="89">
        <f t="shared" si="0"/>
        <v>0</v>
      </c>
      <c r="S40" s="85"/>
    </row>
    <row r="41" spans="2:20" ht="19.95" customHeight="1">
      <c r="B41" s="86"/>
      <c r="C41" s="88">
        <v>30</v>
      </c>
      <c r="D41" s="1" t="s">
        <v>200</v>
      </c>
      <c r="E41" s="88">
        <v>0.3</v>
      </c>
      <c r="F41" s="88">
        <v>5.0999999999999996</v>
      </c>
      <c r="G41" s="89">
        <f>E41*F41*14</f>
        <v>21.419999999999998</v>
      </c>
      <c r="H41" s="90"/>
      <c r="I41" s="90"/>
      <c r="J41" s="90"/>
      <c r="K41" s="91"/>
      <c r="L41" s="92">
        <v>1</v>
      </c>
      <c r="M41" s="92"/>
      <c r="O41" s="89"/>
      <c r="P41" s="95">
        <f>G41</f>
        <v>21.419999999999998</v>
      </c>
      <c r="Q41" s="89"/>
      <c r="R41" s="89">
        <f t="shared" si="0"/>
        <v>21.419999999999998</v>
      </c>
      <c r="S41" s="85"/>
    </row>
    <row r="42" spans="2:20" ht="19.95" customHeight="1">
      <c r="B42" s="86"/>
      <c r="C42" s="88" t="s">
        <v>224</v>
      </c>
      <c r="D42" s="1" t="s">
        <v>202</v>
      </c>
      <c r="E42" s="88">
        <v>0.6</v>
      </c>
      <c r="F42" s="88">
        <v>5.0999999999999996</v>
      </c>
      <c r="G42" s="89">
        <f>E42*F42*14</f>
        <v>42.839999999999996</v>
      </c>
      <c r="H42" s="90"/>
      <c r="I42" s="90"/>
      <c r="J42" s="90"/>
      <c r="K42" s="91"/>
      <c r="L42" s="92"/>
      <c r="M42" s="92"/>
      <c r="N42" s="89"/>
      <c r="Q42" s="95">
        <f>G42</f>
        <v>42.839999999999996</v>
      </c>
      <c r="R42" s="89">
        <f t="shared" si="0"/>
        <v>42.839999999999996</v>
      </c>
      <c r="S42" s="85"/>
    </row>
    <row r="43" spans="2:20" ht="19.95" customHeight="1">
      <c r="B43" s="86"/>
      <c r="C43" s="88">
        <v>31</v>
      </c>
      <c r="D43" s="1" t="s">
        <v>121</v>
      </c>
      <c r="E43" s="88">
        <f>E5</f>
        <v>35.6</v>
      </c>
      <c r="F43" s="89">
        <v>0.7</v>
      </c>
      <c r="G43" s="89">
        <f t="shared" ref="G43" si="10">E43*F43</f>
        <v>24.919999999999998</v>
      </c>
      <c r="H43" s="90"/>
      <c r="I43" s="90"/>
      <c r="J43" s="90"/>
      <c r="K43" s="91"/>
      <c r="L43" s="92"/>
      <c r="M43" s="92">
        <f t="shared" ref="M43" si="11">F43*14</f>
        <v>9.7999999999999989</v>
      </c>
      <c r="N43" s="1"/>
      <c r="P43" s="95">
        <f>G43-K43</f>
        <v>24.919999999999998</v>
      </c>
      <c r="Q43" s="89"/>
      <c r="R43" s="89">
        <f t="shared" si="0"/>
        <v>24.919999999999998</v>
      </c>
      <c r="S43" s="85"/>
    </row>
    <row r="44" spans="2:20" ht="19.95" customHeight="1">
      <c r="B44" s="86"/>
      <c r="C44" s="88">
        <v>32</v>
      </c>
      <c r="D44" s="1" t="s">
        <v>121</v>
      </c>
      <c r="E44" s="88">
        <f>E5</f>
        <v>35.6</v>
      </c>
      <c r="F44" s="89">
        <v>1.45</v>
      </c>
      <c r="G44" s="89">
        <f t="shared" ref="G44" si="12">E44*F44</f>
        <v>51.62</v>
      </c>
      <c r="H44" s="90"/>
      <c r="I44" s="90"/>
      <c r="J44" s="90"/>
      <c r="K44" s="91"/>
      <c r="L44" s="92"/>
      <c r="M44" s="92">
        <f t="shared" ref="M44:M45" si="13">F44*14</f>
        <v>20.3</v>
      </c>
      <c r="N44" s="1"/>
      <c r="P44" s="95">
        <f>G44-K44</f>
        <v>51.62</v>
      </c>
      <c r="Q44" s="89"/>
      <c r="R44" s="89">
        <f t="shared" si="0"/>
        <v>51.62</v>
      </c>
      <c r="S44" s="85"/>
    </row>
    <row r="45" spans="2:20" ht="19.95" customHeight="1">
      <c r="B45" s="86"/>
      <c r="C45" s="88">
        <v>33</v>
      </c>
      <c r="D45" s="1" t="s">
        <v>211</v>
      </c>
      <c r="E45" s="88">
        <v>34</v>
      </c>
      <c r="F45" s="88">
        <v>3.3</v>
      </c>
      <c r="G45" s="89">
        <f>E45*F45</f>
        <v>112.19999999999999</v>
      </c>
      <c r="H45" s="90">
        <v>1.5</v>
      </c>
      <c r="I45" s="90">
        <v>1</v>
      </c>
      <c r="J45" s="90">
        <v>14</v>
      </c>
      <c r="K45" s="91">
        <f>(H45*I45)*J45</f>
        <v>21</v>
      </c>
      <c r="L45" s="92">
        <f>((H45*2)+I45)*J45</f>
        <v>56</v>
      </c>
      <c r="M45" s="92">
        <f t="shared" si="13"/>
        <v>46.199999999999996</v>
      </c>
      <c r="P45" s="95">
        <f>G45-(K45)</f>
        <v>91.199999999999989</v>
      </c>
      <c r="Q45" s="89"/>
      <c r="R45" s="89">
        <f t="shared" si="0"/>
        <v>91.199999999999989</v>
      </c>
      <c r="S45" s="85"/>
    </row>
    <row r="46" spans="2:20" ht="19.95" customHeight="1">
      <c r="B46" s="86"/>
      <c r="C46" s="88">
        <v>34</v>
      </c>
      <c r="D46" s="1" t="s">
        <v>210</v>
      </c>
      <c r="E46" s="88">
        <f>E5</f>
        <v>35.6</v>
      </c>
      <c r="F46" s="88">
        <v>2</v>
      </c>
      <c r="G46" s="89">
        <f>E46*F46</f>
        <v>71.2</v>
      </c>
      <c r="H46" s="90"/>
      <c r="I46" s="90"/>
      <c r="J46" s="90"/>
      <c r="K46" s="91"/>
      <c r="L46" s="92"/>
      <c r="M46" s="92">
        <v>0</v>
      </c>
      <c r="N46" s="95">
        <f>G46-(K46)</f>
        <v>71.2</v>
      </c>
      <c r="O46" s="89"/>
      <c r="P46" s="89"/>
      <c r="Q46" s="89"/>
      <c r="R46" s="89">
        <f t="shared" si="0"/>
        <v>71.2</v>
      </c>
      <c r="S46" s="85"/>
    </row>
    <row r="47" spans="2:20" ht="19.95" customHeight="1">
      <c r="B47" s="86"/>
      <c r="C47" s="88">
        <v>35</v>
      </c>
      <c r="D47" s="1" t="s">
        <v>210</v>
      </c>
      <c r="E47" s="88">
        <f>E5</f>
        <v>35.6</v>
      </c>
      <c r="F47" s="88">
        <v>2.04</v>
      </c>
      <c r="G47" s="89">
        <f>E47*F47</f>
        <v>72.624000000000009</v>
      </c>
      <c r="H47" s="90">
        <v>32</v>
      </c>
      <c r="I47" s="90">
        <v>1</v>
      </c>
      <c r="J47" s="90">
        <v>1</v>
      </c>
      <c r="K47" s="91">
        <f>(H47*I47)*J47</f>
        <v>32</v>
      </c>
      <c r="L47" s="92">
        <f>((H47*2)+I47)*J47</f>
        <v>65</v>
      </c>
      <c r="M47" s="92">
        <v>0</v>
      </c>
      <c r="N47" s="95">
        <f>G47-(K47)</f>
        <v>40.624000000000009</v>
      </c>
      <c r="O47" s="89"/>
      <c r="P47" s="89"/>
      <c r="Q47" s="89"/>
      <c r="R47" s="89">
        <f t="shared" si="0"/>
        <v>40.624000000000009</v>
      </c>
      <c r="S47" s="85"/>
    </row>
    <row r="48" spans="2:20" ht="19.95" customHeight="1">
      <c r="B48" s="86"/>
      <c r="C48" s="88">
        <v>36</v>
      </c>
      <c r="D48" s="1" t="s">
        <v>210</v>
      </c>
      <c r="E48" s="88">
        <f>E7</f>
        <v>35.6</v>
      </c>
      <c r="F48" s="88">
        <v>2</v>
      </c>
      <c r="G48" s="89">
        <f>E48*F48</f>
        <v>71.2</v>
      </c>
      <c r="H48" s="90"/>
      <c r="I48" s="90"/>
      <c r="J48" s="90"/>
      <c r="K48" s="91"/>
      <c r="L48" s="92"/>
      <c r="M48" s="92">
        <v>0</v>
      </c>
      <c r="N48" s="95">
        <f>G48-(K48)</f>
        <v>71.2</v>
      </c>
      <c r="O48" s="89"/>
      <c r="P48" s="89"/>
      <c r="Q48" s="89"/>
      <c r="R48" s="89">
        <f t="shared" si="0"/>
        <v>71.2</v>
      </c>
      <c r="S48" s="85"/>
    </row>
    <row r="49" spans="2:20" ht="19.95" customHeight="1">
      <c r="B49" s="86"/>
      <c r="C49" s="88">
        <v>37</v>
      </c>
      <c r="D49" s="1" t="s">
        <v>211</v>
      </c>
      <c r="E49" s="88">
        <v>34</v>
      </c>
      <c r="F49" s="88">
        <v>3.3</v>
      </c>
      <c r="G49" s="89">
        <f>E49*F49</f>
        <v>112.19999999999999</v>
      </c>
      <c r="H49" s="90">
        <v>1.5</v>
      </c>
      <c r="I49" s="90">
        <v>1</v>
      </c>
      <c r="J49" s="90">
        <v>14</v>
      </c>
      <c r="K49" s="91">
        <f>(H49*I49)*J49</f>
        <v>21</v>
      </c>
      <c r="L49" s="92">
        <f>((H49*2)+I49)*J49</f>
        <v>56</v>
      </c>
      <c r="M49" s="92">
        <f t="shared" ref="M49:M55" si="14">F49*14</f>
        <v>46.199999999999996</v>
      </c>
      <c r="P49" s="95">
        <f>G49-(K49+K50)</f>
        <v>91.199999999999989</v>
      </c>
      <c r="Q49" s="89"/>
      <c r="R49" s="89">
        <f t="shared" si="0"/>
        <v>91.199999999999989</v>
      </c>
      <c r="S49" s="85"/>
    </row>
    <row r="50" spans="2:20" ht="19.95" customHeight="1">
      <c r="B50" s="86"/>
      <c r="C50" s="88">
        <v>38</v>
      </c>
      <c r="D50" s="1" t="s">
        <v>121</v>
      </c>
      <c r="E50" s="88">
        <f>E5</f>
        <v>35.6</v>
      </c>
      <c r="F50" s="89">
        <v>0.7</v>
      </c>
      <c r="G50" s="89">
        <f t="shared" ref="G50:G55" si="15">E50*F50</f>
        <v>24.919999999999998</v>
      </c>
      <c r="H50" s="90"/>
      <c r="I50" s="90"/>
      <c r="J50" s="90"/>
      <c r="K50" s="91"/>
      <c r="L50" s="92"/>
      <c r="M50" s="92">
        <f t="shared" si="14"/>
        <v>9.7999999999999989</v>
      </c>
      <c r="N50" s="1"/>
      <c r="P50" s="95">
        <f>G50-K50</f>
        <v>24.919999999999998</v>
      </c>
      <c r="Q50" s="89"/>
      <c r="R50" s="89">
        <f t="shared" si="0"/>
        <v>24.919999999999998</v>
      </c>
      <c r="S50" s="85"/>
    </row>
    <row r="51" spans="2:20" ht="19.95" customHeight="1">
      <c r="C51" s="88">
        <v>39</v>
      </c>
      <c r="D51" s="1" t="s">
        <v>121</v>
      </c>
      <c r="E51" s="88">
        <f>E5</f>
        <v>35.6</v>
      </c>
      <c r="F51" s="89">
        <v>1.45</v>
      </c>
      <c r="G51" s="89">
        <f t="shared" si="15"/>
        <v>51.62</v>
      </c>
      <c r="H51" s="90"/>
      <c r="I51" s="90"/>
      <c r="J51" s="90"/>
      <c r="K51" s="91"/>
      <c r="L51" s="92"/>
      <c r="M51" s="92">
        <f t="shared" si="14"/>
        <v>20.3</v>
      </c>
      <c r="N51" s="1"/>
      <c r="P51" s="95">
        <f>G51-K51</f>
        <v>51.62</v>
      </c>
      <c r="Q51" s="89"/>
      <c r="R51" s="89">
        <f t="shared" si="0"/>
        <v>51.62</v>
      </c>
      <c r="S51" s="85"/>
    </row>
    <row r="52" spans="2:20" ht="19.95" customHeight="1">
      <c r="C52" s="88">
        <v>40</v>
      </c>
      <c r="D52" s="1" t="s">
        <v>212</v>
      </c>
      <c r="E52" s="88">
        <f>E5</f>
        <v>35.6</v>
      </c>
      <c r="F52" s="89">
        <v>4.0199999999999996</v>
      </c>
      <c r="G52" s="89">
        <f t="shared" si="15"/>
        <v>143.11199999999999</v>
      </c>
      <c r="H52" s="90">
        <v>1.5</v>
      </c>
      <c r="I52" s="90">
        <v>1.2</v>
      </c>
      <c r="J52" s="90">
        <v>14</v>
      </c>
      <c r="K52" s="91">
        <f>(H52*I52)*J52</f>
        <v>25.199999999999996</v>
      </c>
      <c r="L52" s="92">
        <f>((H52*2)+I52)*J52</f>
        <v>58.800000000000004</v>
      </c>
      <c r="M52" s="92">
        <f t="shared" si="14"/>
        <v>56.279999999999994</v>
      </c>
      <c r="N52" s="1"/>
      <c r="O52" s="95">
        <f>G52-(K52+K53)</f>
        <v>117.91200000000001</v>
      </c>
      <c r="P52" s="1"/>
      <c r="Q52" s="89"/>
      <c r="R52" s="89">
        <f t="shared" si="0"/>
        <v>117.91200000000001</v>
      </c>
      <c r="S52" s="85"/>
    </row>
    <row r="53" spans="2:20" ht="19.95" customHeight="1">
      <c r="C53" s="88">
        <v>41</v>
      </c>
      <c r="D53" s="1" t="s">
        <v>200</v>
      </c>
      <c r="E53" s="88">
        <v>0.3</v>
      </c>
      <c r="F53" s="88">
        <v>5.0999999999999996</v>
      </c>
      <c r="G53" s="89">
        <f>E53*F53*14</f>
        <v>21.419999999999998</v>
      </c>
      <c r="H53" s="90"/>
      <c r="I53" s="90"/>
      <c r="J53" s="90"/>
      <c r="K53" s="91"/>
      <c r="L53" s="92">
        <v>1</v>
      </c>
      <c r="M53" s="92"/>
      <c r="O53" s="89"/>
      <c r="P53" s="95">
        <f>G53</f>
        <v>21.419999999999998</v>
      </c>
      <c r="Q53" s="89"/>
      <c r="R53" s="89">
        <f t="shared" si="0"/>
        <v>21.419999999999998</v>
      </c>
      <c r="S53" s="85"/>
    </row>
    <row r="54" spans="2:20" ht="19.95" customHeight="1">
      <c r="C54" s="88" t="s">
        <v>225</v>
      </c>
      <c r="D54" s="1" t="s">
        <v>202</v>
      </c>
      <c r="E54" s="88">
        <v>0.6</v>
      </c>
      <c r="F54" s="88">
        <v>5.0999999999999996</v>
      </c>
      <c r="G54" s="89">
        <f>E54*F54*14</f>
        <v>42.839999999999996</v>
      </c>
      <c r="H54" s="90"/>
      <c r="I54" s="90"/>
      <c r="J54" s="90"/>
      <c r="K54" s="91"/>
      <c r="L54" s="92"/>
      <c r="M54" s="92"/>
      <c r="N54" s="89"/>
      <c r="Q54" s="95">
        <f>G54</f>
        <v>42.839999999999996</v>
      </c>
      <c r="R54" s="89">
        <f t="shared" si="0"/>
        <v>42.839999999999996</v>
      </c>
      <c r="S54" s="85"/>
    </row>
    <row r="55" spans="2:20" ht="19.95" customHeight="1">
      <c r="C55" s="88">
        <v>42</v>
      </c>
      <c r="D55" s="1" t="s">
        <v>213</v>
      </c>
      <c r="E55" s="88">
        <f>E5</f>
        <v>35.6</v>
      </c>
      <c r="F55" s="89">
        <v>5.12</v>
      </c>
      <c r="G55" s="89">
        <f t="shared" si="15"/>
        <v>182.27200000000002</v>
      </c>
      <c r="H55" s="90">
        <v>1.5</v>
      </c>
      <c r="I55" s="90">
        <v>1.2</v>
      </c>
      <c r="J55" s="90">
        <v>28</v>
      </c>
      <c r="K55" s="91">
        <f>(H55*I55)*J55</f>
        <v>50.399999999999991</v>
      </c>
      <c r="L55" s="92">
        <f>((H55*2)+I55)*J55</f>
        <v>117.60000000000001</v>
      </c>
      <c r="M55" s="92">
        <f t="shared" si="14"/>
        <v>71.680000000000007</v>
      </c>
      <c r="N55" s="1"/>
      <c r="O55" s="95">
        <f>G55-(K55+K56)</f>
        <v>131.87200000000001</v>
      </c>
      <c r="P55" s="1"/>
      <c r="Q55" s="89"/>
      <c r="R55" s="89">
        <f t="shared" si="0"/>
        <v>131.87200000000001</v>
      </c>
      <c r="S55" s="85"/>
    </row>
    <row r="56" spans="2:20" ht="19.95" customHeight="1">
      <c r="C56" s="88">
        <v>43</v>
      </c>
      <c r="D56" s="1" t="s">
        <v>209</v>
      </c>
      <c r="E56" s="88">
        <f>E5</f>
        <v>35.6</v>
      </c>
      <c r="F56" s="89">
        <v>0.7</v>
      </c>
      <c r="G56" s="89">
        <f t="shared" ref="G56" si="16">E56*F56</f>
        <v>24.919999999999998</v>
      </c>
      <c r="H56" s="90"/>
      <c r="I56" s="90"/>
      <c r="J56" s="90"/>
      <c r="K56" s="91"/>
      <c r="L56" s="92"/>
      <c r="M56" s="92">
        <f t="shared" ref="M56" si="17">F56*14</f>
        <v>9.7999999999999989</v>
      </c>
      <c r="N56" s="1"/>
      <c r="O56" s="95">
        <f>G56-K56</f>
        <v>24.919999999999998</v>
      </c>
      <c r="Q56" s="89"/>
      <c r="R56" s="89">
        <f t="shared" si="0"/>
        <v>24.919999999999998</v>
      </c>
      <c r="S56" s="85"/>
    </row>
    <row r="57" spans="2:20" ht="19.95" customHeight="1">
      <c r="C57" s="88">
        <v>44</v>
      </c>
      <c r="D57" s="1" t="s">
        <v>121</v>
      </c>
      <c r="E57" s="88">
        <f>E5</f>
        <v>35.6</v>
      </c>
      <c r="F57" s="89">
        <v>1.45</v>
      </c>
      <c r="G57" s="89">
        <f t="shared" ref="G57:G58" si="18">E57*F57</f>
        <v>51.62</v>
      </c>
      <c r="H57" s="90"/>
      <c r="I57" s="90"/>
      <c r="J57" s="90"/>
      <c r="K57" s="91"/>
      <c r="L57" s="92"/>
      <c r="M57" s="92">
        <f t="shared" ref="M57:M58" si="19">F57*14</f>
        <v>20.3</v>
      </c>
      <c r="N57" s="1"/>
      <c r="P57" s="95">
        <f>G57-K57</f>
        <v>51.62</v>
      </c>
      <c r="Q57" s="89"/>
      <c r="R57" s="89">
        <f t="shared" si="0"/>
        <v>51.62</v>
      </c>
      <c r="S57" s="85"/>
    </row>
    <row r="58" spans="2:20" ht="19.95" customHeight="1">
      <c r="C58" s="88">
        <v>45</v>
      </c>
      <c r="D58" s="1" t="s">
        <v>211</v>
      </c>
      <c r="E58" s="88">
        <f>E5</f>
        <v>35.6</v>
      </c>
      <c r="F58" s="89">
        <v>1.2</v>
      </c>
      <c r="G58" s="89">
        <f t="shared" si="18"/>
        <v>42.72</v>
      </c>
      <c r="H58" s="90">
        <v>1</v>
      </c>
      <c r="I58" s="90">
        <v>0.75</v>
      </c>
      <c r="J58" s="90">
        <v>14</v>
      </c>
      <c r="K58" s="91">
        <f>(H58*I58)*J58</f>
        <v>10.5</v>
      </c>
      <c r="L58" s="92">
        <f>((H58*2)+I58)*J58</f>
        <v>38.5</v>
      </c>
      <c r="M58" s="92">
        <f t="shared" si="19"/>
        <v>16.8</v>
      </c>
      <c r="N58" s="1"/>
      <c r="O58" s="1"/>
      <c r="P58" s="95">
        <f>G58-(K58+K62)</f>
        <v>32.22</v>
      </c>
      <c r="Q58" s="89"/>
      <c r="R58" s="89">
        <f t="shared" si="0"/>
        <v>32.22</v>
      </c>
      <c r="S58" s="85"/>
    </row>
    <row r="59" spans="2:20" ht="19.95" customHeight="1">
      <c r="C59" s="88">
        <v>46</v>
      </c>
      <c r="D59" s="1" t="s">
        <v>200</v>
      </c>
      <c r="E59" s="88">
        <v>0.3</v>
      </c>
      <c r="F59" s="88">
        <v>2.52</v>
      </c>
      <c r="G59" s="89">
        <f>E59*F59*14</f>
        <v>10.584</v>
      </c>
      <c r="H59" s="90"/>
      <c r="I59" s="90"/>
      <c r="J59" s="90"/>
      <c r="K59" s="91"/>
      <c r="L59" s="92">
        <v>1</v>
      </c>
      <c r="M59" s="92"/>
      <c r="O59" s="89"/>
      <c r="P59" s="95">
        <f>G59</f>
        <v>10.584</v>
      </c>
      <c r="Q59" s="89"/>
      <c r="R59" s="89">
        <f t="shared" si="0"/>
        <v>10.584</v>
      </c>
      <c r="S59" s="85"/>
    </row>
    <row r="60" spans="2:20" ht="19.95" customHeight="1">
      <c r="C60" s="88" t="s">
        <v>226</v>
      </c>
      <c r="D60" s="1" t="s">
        <v>202</v>
      </c>
      <c r="E60" s="88">
        <v>0.6</v>
      </c>
      <c r="F60" s="88">
        <v>2.52</v>
      </c>
      <c r="G60" s="89">
        <f>E60*F60*14</f>
        <v>21.167999999999999</v>
      </c>
      <c r="H60" s="90"/>
      <c r="I60" s="90"/>
      <c r="J60" s="90"/>
      <c r="K60" s="91"/>
      <c r="L60" s="92"/>
      <c r="M60" s="92"/>
      <c r="N60" s="89"/>
      <c r="Q60" s="95">
        <f>G60</f>
        <v>21.167999999999999</v>
      </c>
      <c r="R60" s="89">
        <f t="shared" si="0"/>
        <v>21.167999999999999</v>
      </c>
      <c r="S60" s="85"/>
    </row>
    <row r="61" spans="2:20" ht="19.95" customHeight="1">
      <c r="C61" s="88">
        <v>47</v>
      </c>
      <c r="D61" s="1" t="s">
        <v>211</v>
      </c>
      <c r="E61" s="88">
        <f>E5</f>
        <v>35.6</v>
      </c>
      <c r="F61" s="89">
        <v>2.54</v>
      </c>
      <c r="G61" s="89">
        <f t="shared" ref="G61" si="20">E61*F61</f>
        <v>90.424000000000007</v>
      </c>
      <c r="H61" s="90">
        <v>1.5</v>
      </c>
      <c r="I61" s="90">
        <v>1.2</v>
      </c>
      <c r="J61" s="90">
        <v>14</v>
      </c>
      <c r="K61" s="91">
        <f>(H61*I61)*J61</f>
        <v>25.199999999999996</v>
      </c>
      <c r="L61" s="92">
        <f>((H61*2)+I61)*J61</f>
        <v>58.800000000000004</v>
      </c>
      <c r="M61" s="92">
        <f t="shared" ref="M61" si="21">F61*14</f>
        <v>35.56</v>
      </c>
      <c r="N61" s="1"/>
      <c r="O61" s="95">
        <f>G61-(K61+K62)</f>
        <v>65.224000000000018</v>
      </c>
      <c r="P61" s="1"/>
      <c r="Q61" s="89"/>
      <c r="R61" s="89">
        <f t="shared" si="0"/>
        <v>65.224000000000018</v>
      </c>
      <c r="S61" s="85"/>
    </row>
    <row r="62" spans="2:20" ht="19.95" customHeight="1">
      <c r="G62" s="89"/>
      <c r="H62" s="90"/>
      <c r="I62" s="90"/>
      <c r="J62" s="90"/>
      <c r="K62" s="93"/>
      <c r="L62" s="94"/>
      <c r="M62" s="94"/>
      <c r="N62" s="95"/>
      <c r="O62" s="95"/>
      <c r="P62" s="95"/>
      <c r="Q62" s="89"/>
      <c r="R62" s="89"/>
      <c r="S62" s="85"/>
      <c r="T62" s="1">
        <f>S62*2</f>
        <v>0</v>
      </c>
    </row>
    <row r="63" spans="2:20" ht="19.95" customHeight="1">
      <c r="F63" s="88">
        <f>SUM(F5:F62)-(F13+F14+F25+F27+F36+F37+F41+F42+F53+F54+F59+F60+F16+F17+F19+F20)</f>
        <v>108.54999999999995</v>
      </c>
      <c r="G63" s="1"/>
      <c r="H63" s="90"/>
      <c r="I63" s="90"/>
      <c r="J63" s="90"/>
      <c r="K63" s="93">
        <f>SUM(K5:K62)</f>
        <v>565.11999999999989</v>
      </c>
      <c r="L63" s="94">
        <f>SUM(L5:L62)</f>
        <v>1273.5999999999999</v>
      </c>
      <c r="M63" s="94">
        <f>SUM(M5:M62)</f>
        <v>1393.56</v>
      </c>
      <c r="N63" s="95"/>
      <c r="O63" s="95"/>
      <c r="P63" s="95"/>
      <c r="Q63" s="89"/>
      <c r="R63" s="89"/>
    </row>
    <row r="64" spans="2:20" ht="19.95" customHeight="1">
      <c r="D64" s="83" t="s">
        <v>125</v>
      </c>
      <c r="E64" s="82"/>
      <c r="F64" s="82"/>
      <c r="G64" s="96">
        <f>SUM(G5:G63)</f>
        <v>4308.1620000000003</v>
      </c>
      <c r="I64" s="97"/>
      <c r="J64" s="98" t="s">
        <v>126</v>
      </c>
      <c r="K64" s="99"/>
      <c r="L64" s="82"/>
      <c r="M64" s="82"/>
      <c r="N64" s="96">
        <f>SUM(N5:N63)</f>
        <v>1704.0620000000001</v>
      </c>
      <c r="O64" s="96">
        <f>SUM(O5:O63)</f>
        <v>621.68000000000006</v>
      </c>
      <c r="P64" s="96">
        <f>SUM(P5:P63)</f>
        <v>1190.5</v>
      </c>
      <c r="Q64" s="96">
        <f>SUM(Q5:Q63)</f>
        <v>226.8</v>
      </c>
      <c r="R64" s="181">
        <f>SUM(R5:R63)</f>
        <v>3743.041999999999</v>
      </c>
    </row>
    <row r="65" spans="6:18" ht="19.95" customHeight="1">
      <c r="F65" s="89">
        <f>F63*35.8</f>
        <v>3886.0899999999979</v>
      </c>
      <c r="G65" s="88">
        <v>4222.2299999999996</v>
      </c>
      <c r="H65" s="89">
        <f>G64-N65</f>
        <v>565.11999999999989</v>
      </c>
      <c r="J65" s="140"/>
      <c r="K65" s="140"/>
      <c r="L65" s="140"/>
      <c r="M65" s="151">
        <f>F65-H65</f>
        <v>3320.969999999998</v>
      </c>
      <c r="N65" s="116">
        <f>SUM(N64:Q64)</f>
        <v>3743.0420000000004</v>
      </c>
      <c r="O65" s="89"/>
      <c r="P65" s="89"/>
    </row>
    <row r="66" spans="6:18" ht="19.95" customHeight="1"/>
    <row r="67" spans="6:18" ht="25.05" customHeight="1">
      <c r="G67" s="150">
        <f>G64*300</f>
        <v>1292448.6000000001</v>
      </c>
      <c r="L67" s="143" t="s">
        <v>198</v>
      </c>
      <c r="M67" s="143"/>
      <c r="N67" s="139" t="s">
        <v>186</v>
      </c>
      <c r="O67" s="137"/>
      <c r="P67" s="138" t="s">
        <v>190</v>
      </c>
      <c r="Q67" s="133">
        <v>65</v>
      </c>
    </row>
    <row r="68" spans="6:18" ht="27.6">
      <c r="G68" s="150">
        <f>N65*500</f>
        <v>1871521.0000000002</v>
      </c>
      <c r="K68" s="95"/>
      <c r="L68" s="142" t="s">
        <v>197</v>
      </c>
      <c r="M68" s="142" t="s">
        <v>196</v>
      </c>
      <c r="N68" s="116" t="s">
        <v>187</v>
      </c>
      <c r="O68" s="116" t="s">
        <v>189</v>
      </c>
      <c r="P68" s="116" t="s">
        <v>188</v>
      </c>
      <c r="Q68" s="144" t="s">
        <v>199</v>
      </c>
    </row>
    <row r="69" spans="6:18" ht="19.95" customHeight="1">
      <c r="F69" s="150">
        <f>N65*500</f>
        <v>1871521.0000000002</v>
      </c>
      <c r="G69" s="150">
        <f>SUM(G67:G68)</f>
        <v>3163969.6000000006</v>
      </c>
      <c r="L69" s="146">
        <f>L63/24</f>
        <v>53.066666666666663</v>
      </c>
      <c r="M69" s="145">
        <f>M63/100</f>
        <v>13.935599999999999</v>
      </c>
      <c r="N69" s="141">
        <f>N64/$Q$67</f>
        <v>26.216338461538463</v>
      </c>
      <c r="O69" s="141">
        <f t="shared" ref="O69:Q69" si="22">O64/$Q$67</f>
        <v>9.5643076923076933</v>
      </c>
      <c r="P69" s="141">
        <f t="shared" si="22"/>
        <v>18.315384615384616</v>
      </c>
      <c r="Q69" s="141">
        <f t="shared" si="22"/>
        <v>3.4892307692307694</v>
      </c>
      <c r="R69" s="145">
        <f>SUM(N69:Q69)</f>
        <v>57.585261538461545</v>
      </c>
    </row>
    <row r="70" spans="6:18" ht="19.95" customHeight="1">
      <c r="R70" s="26"/>
    </row>
    <row r="71" spans="6:18" ht="19.95" customHeight="1"/>
    <row r="72" spans="6:18" ht="19.95" customHeight="1">
      <c r="L72" s="178">
        <v>11200</v>
      </c>
      <c r="M72" s="179">
        <f>L72/4.2</f>
        <v>2666.6666666666665</v>
      </c>
    </row>
    <row r="73" spans="6:18" ht="18" customHeight="1"/>
    <row r="74" spans="6:18" ht="18" customHeight="1">
      <c r="M74" s="178">
        <f>17000000/900</f>
        <v>18888.888888888891</v>
      </c>
    </row>
    <row r="75" spans="6:18" ht="18" customHeight="1"/>
    <row r="76" spans="6:18" ht="18" customHeight="1">
      <c r="L76" s="88">
        <v>110</v>
      </c>
      <c r="M76" s="180">
        <f>L76/N65</f>
        <v>2.938786153080836E-2</v>
      </c>
    </row>
    <row r="77" spans="6:18" ht="18" customHeight="1"/>
    <row r="78" spans="6:18" ht="18" customHeight="1"/>
    <row r="79" spans="6:18" ht="18" customHeight="1"/>
    <row r="80" spans="6:18" ht="18" customHeight="1"/>
    <row r="81" ht="18" customHeight="1"/>
    <row r="82" ht="18" customHeight="1"/>
    <row r="83" ht="18" customHeight="1"/>
  </sheetData>
  <mergeCells count="3">
    <mergeCell ref="E3:G3"/>
    <mergeCell ref="H3:K3"/>
    <mergeCell ref="A2:O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B748-125A-4445-8805-EE71B4522736}">
  <dimension ref="A2:AE121"/>
  <sheetViews>
    <sheetView topLeftCell="A62" zoomScale="85" zoomScaleNormal="85" workbookViewId="0">
      <selection activeCell="E74" sqref="E74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5" width="12.77734375" style="130" customWidth="1"/>
    <col min="6" max="13" width="9.77734375" style="130" customWidth="1"/>
    <col min="14" max="15" width="12.77734375" style="130" customWidth="1"/>
    <col min="16" max="17" width="12.77734375" style="24" customWidth="1"/>
    <col min="18" max="16384" width="11.5546875" style="24"/>
  </cols>
  <sheetData>
    <row r="2" spans="1:31" ht="25.05" customHeight="1">
      <c r="A2" s="259" t="s">
        <v>87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81"/>
    </row>
    <row r="3" spans="1:31" ht="25.05" customHeight="1">
      <c r="A3" s="110"/>
      <c r="B3" s="260" t="s">
        <v>156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</row>
    <row r="4" spans="1:31" s="1" customFormat="1" ht="25.05" customHeight="1">
      <c r="A4" s="82"/>
      <c r="B4" s="82"/>
      <c r="C4" s="82"/>
      <c r="D4" s="83"/>
      <c r="E4" s="84" t="s">
        <v>97</v>
      </c>
      <c r="F4" s="257" t="s">
        <v>157</v>
      </c>
      <c r="G4" s="257"/>
      <c r="H4" s="257"/>
      <c r="I4" s="257"/>
      <c r="J4" s="111"/>
      <c r="K4" s="111"/>
      <c r="L4" s="111"/>
      <c r="M4" s="111"/>
      <c r="N4" s="256" t="s">
        <v>158</v>
      </c>
      <c r="O4" s="256"/>
    </row>
    <row r="5" spans="1:31" s="1" customFormat="1" ht="19.95" customHeight="1">
      <c r="A5" s="82"/>
      <c r="B5" s="82"/>
      <c r="C5" s="82"/>
      <c r="D5" s="83"/>
      <c r="E5" s="84"/>
      <c r="F5" s="261"/>
      <c r="G5" s="261"/>
      <c r="H5" s="261" t="s">
        <v>269</v>
      </c>
      <c r="I5" s="261"/>
      <c r="J5" s="261"/>
      <c r="K5" s="261"/>
      <c r="L5" s="185"/>
      <c r="M5" s="185"/>
      <c r="N5" s="185"/>
      <c r="O5" s="185"/>
    </row>
    <row r="6" spans="1:31" s="1" customFormat="1" ht="19.95" customHeight="1">
      <c r="A6" s="82"/>
      <c r="B6" s="82"/>
      <c r="C6" s="82"/>
      <c r="D6" s="83"/>
      <c r="E6" s="84"/>
      <c r="F6" s="255" t="s">
        <v>45</v>
      </c>
      <c r="G6" s="255"/>
      <c r="H6" s="255" t="s">
        <v>46</v>
      </c>
      <c r="I6" s="255"/>
      <c r="J6" s="255" t="s">
        <v>47</v>
      </c>
      <c r="K6" s="255"/>
      <c r="L6" s="255" t="s">
        <v>48</v>
      </c>
      <c r="M6" s="255"/>
      <c r="N6" s="82"/>
      <c r="O6" s="82"/>
    </row>
    <row r="7" spans="1:31" s="1" customFormat="1" ht="19.95" customHeight="1">
      <c r="A7" s="82" t="s">
        <v>162</v>
      </c>
      <c r="B7" s="82" t="s">
        <v>91</v>
      </c>
      <c r="C7" s="82" t="s">
        <v>92</v>
      </c>
      <c r="D7" s="82" t="s">
        <v>93</v>
      </c>
      <c r="E7" s="82" t="s">
        <v>139</v>
      </c>
      <c r="F7" s="82" t="s">
        <v>139</v>
      </c>
      <c r="G7" s="84" t="s">
        <v>163</v>
      </c>
      <c r="H7" s="82" t="s">
        <v>139</v>
      </c>
      <c r="I7" s="84" t="s">
        <v>163</v>
      </c>
      <c r="J7" s="84"/>
      <c r="K7" s="84"/>
      <c r="L7" s="84"/>
      <c r="M7" s="84"/>
      <c r="N7" s="82" t="s">
        <v>139</v>
      </c>
      <c r="O7" s="84" t="s">
        <v>163</v>
      </c>
    </row>
    <row r="8" spans="1:31" s="1" customFormat="1" ht="19.95" customHeight="1">
      <c r="A8" s="86">
        <v>1</v>
      </c>
      <c r="B8" s="87" t="s">
        <v>101</v>
      </c>
      <c r="C8" s="88">
        <v>1</v>
      </c>
      <c r="D8" s="1" t="s">
        <v>124</v>
      </c>
      <c r="E8" s="151">
        <f>'CANTIDAD DE OBRA'!G5</f>
        <v>345.32</v>
      </c>
      <c r="F8" s="89">
        <f>E8</f>
        <v>345.32</v>
      </c>
      <c r="G8" s="184">
        <f>F8/E8</f>
        <v>1</v>
      </c>
      <c r="H8" s="89">
        <v>0</v>
      </c>
      <c r="I8" s="184">
        <f>H8/E8</f>
        <v>0</v>
      </c>
      <c r="J8" s="89">
        <v>0</v>
      </c>
      <c r="K8" s="184">
        <f>J8/E8</f>
        <v>0</v>
      </c>
      <c r="L8" s="89">
        <v>0</v>
      </c>
      <c r="M8" s="184">
        <f>L8/E8</f>
        <v>0</v>
      </c>
      <c r="N8" s="89">
        <f>F8+H8+J8</f>
        <v>345.32</v>
      </c>
      <c r="O8" s="113">
        <f t="shared" ref="O8:O39" si="0">N8/E8</f>
        <v>1</v>
      </c>
      <c r="P8" s="85"/>
      <c r="Q8" s="85"/>
    </row>
    <row r="9" spans="1:31" s="1" customFormat="1" ht="19.95" customHeight="1">
      <c r="A9" s="88"/>
      <c r="B9" s="87"/>
      <c r="C9" s="88">
        <v>2</v>
      </c>
      <c r="D9" s="1" t="s">
        <v>124</v>
      </c>
      <c r="E9" s="151">
        <f>'CANTIDAD DE OBRA'!G7</f>
        <v>217.16</v>
      </c>
      <c r="F9" s="89">
        <v>0</v>
      </c>
      <c r="G9" s="184">
        <f t="shared" ref="G9" si="1">F9/E9</f>
        <v>0</v>
      </c>
      <c r="H9" s="89">
        <f>E9</f>
        <v>217.16</v>
      </c>
      <c r="I9" s="184">
        <f t="shared" ref="I9" si="2">H9/E9</f>
        <v>1</v>
      </c>
      <c r="J9" s="89">
        <v>0</v>
      </c>
      <c r="K9" s="184">
        <f t="shared" ref="K9" si="3">J9/E9</f>
        <v>0</v>
      </c>
      <c r="L9" s="89">
        <v>0</v>
      </c>
      <c r="M9" s="184">
        <f t="shared" ref="M9:M62" si="4">L9/E9</f>
        <v>0</v>
      </c>
      <c r="N9" s="89">
        <f t="shared" ref="N9:N62" si="5">F9+H9+J9</f>
        <v>217.16</v>
      </c>
      <c r="O9" s="113">
        <f t="shared" si="0"/>
        <v>1</v>
      </c>
    </row>
    <row r="10" spans="1:31" s="1" customFormat="1" ht="19.95" customHeight="1">
      <c r="A10" s="88"/>
      <c r="B10" s="87"/>
      <c r="C10" s="88">
        <v>3</v>
      </c>
      <c r="D10" s="1" t="s">
        <v>191</v>
      </c>
      <c r="E10" s="151">
        <f>'CANTIDAD DE OBRA'!G8</f>
        <v>108.5</v>
      </c>
      <c r="F10" s="89">
        <v>0</v>
      </c>
      <c r="G10" s="184">
        <f t="shared" ref="G10:G62" si="6">F10/E10</f>
        <v>0</v>
      </c>
      <c r="H10" s="89">
        <f>E10*0.2</f>
        <v>21.700000000000003</v>
      </c>
      <c r="I10" s="184">
        <f t="shared" ref="I10:I62" si="7">H10/E10</f>
        <v>0.20000000000000004</v>
      </c>
      <c r="J10" s="89">
        <f>E10*0.8</f>
        <v>86.800000000000011</v>
      </c>
      <c r="K10" s="184">
        <f t="shared" ref="K10:K62" si="8">J10/E10</f>
        <v>0.80000000000000016</v>
      </c>
      <c r="L10" s="89">
        <v>0</v>
      </c>
      <c r="M10" s="184">
        <f t="shared" si="4"/>
        <v>0</v>
      </c>
      <c r="N10" s="89">
        <f t="shared" si="5"/>
        <v>108.50000000000001</v>
      </c>
      <c r="O10" s="113">
        <f t="shared" si="0"/>
        <v>1.0000000000000002</v>
      </c>
    </row>
    <row r="11" spans="1:31" s="1" customFormat="1" ht="19.95" customHeight="1">
      <c r="A11" s="88"/>
      <c r="B11" s="87"/>
      <c r="C11" s="88">
        <v>4</v>
      </c>
      <c r="D11" s="1" t="s">
        <v>192</v>
      </c>
      <c r="E11" s="151">
        <f>'CANTIDAD DE OBRA'!G9</f>
        <v>75.25</v>
      </c>
      <c r="F11" s="89">
        <v>0</v>
      </c>
      <c r="G11" s="184">
        <f t="shared" si="6"/>
        <v>0</v>
      </c>
      <c r="H11" s="89">
        <f>E11*0.2</f>
        <v>15.05</v>
      </c>
      <c r="I11" s="184">
        <f t="shared" si="7"/>
        <v>0.2</v>
      </c>
      <c r="J11" s="89">
        <f>E11*0.8</f>
        <v>60.2</v>
      </c>
      <c r="K11" s="184">
        <f t="shared" si="8"/>
        <v>0.8</v>
      </c>
      <c r="L11" s="89">
        <v>0</v>
      </c>
      <c r="M11" s="184">
        <f t="shared" si="4"/>
        <v>0</v>
      </c>
      <c r="N11" s="89">
        <f t="shared" si="5"/>
        <v>75.25</v>
      </c>
      <c r="O11" s="113">
        <f t="shared" si="0"/>
        <v>1</v>
      </c>
    </row>
    <row r="12" spans="1:31" s="1" customFormat="1" ht="19.95" customHeight="1">
      <c r="A12" s="88"/>
      <c r="B12" s="86"/>
      <c r="C12" s="88">
        <v>5</v>
      </c>
      <c r="D12" s="1" t="s">
        <v>192</v>
      </c>
      <c r="E12" s="151">
        <f>'CANTIDAD DE OBRA'!G10</f>
        <v>63</v>
      </c>
      <c r="F12" s="89">
        <v>0</v>
      </c>
      <c r="G12" s="184">
        <f t="shared" si="6"/>
        <v>0</v>
      </c>
      <c r="H12" s="89">
        <f>E12*0.2</f>
        <v>12.600000000000001</v>
      </c>
      <c r="I12" s="184">
        <f t="shared" si="7"/>
        <v>0.2</v>
      </c>
      <c r="J12" s="89">
        <f>E12*0.8</f>
        <v>50.400000000000006</v>
      </c>
      <c r="K12" s="184">
        <f t="shared" si="8"/>
        <v>0.8</v>
      </c>
      <c r="L12" s="89">
        <v>0</v>
      </c>
      <c r="M12" s="184">
        <f t="shared" si="4"/>
        <v>0</v>
      </c>
      <c r="N12" s="89">
        <f t="shared" si="5"/>
        <v>63.000000000000007</v>
      </c>
      <c r="O12" s="113">
        <f t="shared" si="0"/>
        <v>1.0000000000000002</v>
      </c>
    </row>
    <row r="13" spans="1:31" s="1" customFormat="1" ht="19.95" customHeight="1">
      <c r="A13" s="88"/>
      <c r="B13" s="86"/>
      <c r="C13" s="88">
        <v>6</v>
      </c>
      <c r="D13" s="1" t="s">
        <v>192</v>
      </c>
      <c r="E13" s="151">
        <f>'CANTIDAD DE OBRA'!G11</f>
        <v>71.75</v>
      </c>
      <c r="F13" s="89">
        <v>0</v>
      </c>
      <c r="G13" s="184">
        <f t="shared" si="6"/>
        <v>0</v>
      </c>
      <c r="H13" s="89">
        <v>0</v>
      </c>
      <c r="I13" s="184">
        <f t="shared" si="7"/>
        <v>0</v>
      </c>
      <c r="J13" s="89">
        <v>0</v>
      </c>
      <c r="K13" s="184">
        <f t="shared" si="8"/>
        <v>0</v>
      </c>
      <c r="L13" s="89">
        <v>0</v>
      </c>
      <c r="M13" s="184">
        <f t="shared" si="4"/>
        <v>0</v>
      </c>
      <c r="N13" s="89">
        <f t="shared" si="5"/>
        <v>0</v>
      </c>
      <c r="O13" s="113">
        <f t="shared" si="0"/>
        <v>0</v>
      </c>
      <c r="AE13" s="1" t="s">
        <v>270</v>
      </c>
    </row>
    <row r="14" spans="1:31" s="1" customFormat="1" ht="19.95" customHeight="1">
      <c r="A14" s="88"/>
      <c r="B14" s="86"/>
      <c r="C14" s="88">
        <v>7</v>
      </c>
      <c r="D14" s="1" t="s">
        <v>194</v>
      </c>
      <c r="E14" s="151">
        <f>'CANTIDAD DE OBRA'!G12</f>
        <v>10.08</v>
      </c>
      <c r="F14" s="89">
        <v>0</v>
      </c>
      <c r="G14" s="184">
        <f t="shared" si="6"/>
        <v>0</v>
      </c>
      <c r="H14" s="89">
        <v>0</v>
      </c>
      <c r="I14" s="184">
        <f t="shared" si="7"/>
        <v>0</v>
      </c>
      <c r="J14" s="89">
        <v>0</v>
      </c>
      <c r="K14" s="184">
        <f t="shared" si="8"/>
        <v>0</v>
      </c>
      <c r="L14" s="89">
        <v>0</v>
      </c>
      <c r="M14" s="184">
        <f t="shared" si="4"/>
        <v>0</v>
      </c>
      <c r="N14" s="89">
        <f t="shared" si="5"/>
        <v>0</v>
      </c>
      <c r="O14" s="113">
        <f t="shared" si="0"/>
        <v>0</v>
      </c>
    </row>
    <row r="15" spans="1:31" s="1" customFormat="1" ht="19.95" customHeight="1">
      <c r="A15" s="88"/>
      <c r="B15" s="86"/>
      <c r="C15" s="88">
        <v>8</v>
      </c>
      <c r="D15" s="1" t="s">
        <v>192</v>
      </c>
      <c r="E15" s="151">
        <f>'CANTIDAD DE OBRA'!G13</f>
        <v>181.29999999999998</v>
      </c>
      <c r="F15" s="89">
        <v>0</v>
      </c>
      <c r="G15" s="184">
        <f t="shared" si="6"/>
        <v>0</v>
      </c>
      <c r="H15" s="89">
        <v>0</v>
      </c>
      <c r="I15" s="184">
        <f t="shared" si="7"/>
        <v>0</v>
      </c>
      <c r="J15" s="89">
        <v>0</v>
      </c>
      <c r="K15" s="184">
        <f t="shared" si="8"/>
        <v>0</v>
      </c>
      <c r="L15" s="89">
        <v>0</v>
      </c>
      <c r="M15" s="184">
        <f t="shared" si="4"/>
        <v>0</v>
      </c>
      <c r="N15" s="89">
        <f t="shared" si="5"/>
        <v>0</v>
      </c>
      <c r="O15" s="113">
        <f t="shared" si="0"/>
        <v>0</v>
      </c>
    </row>
    <row r="16" spans="1:31" s="1" customFormat="1" ht="19.95" customHeight="1">
      <c r="A16" s="88"/>
      <c r="B16" s="86"/>
      <c r="C16" s="88" t="s">
        <v>201</v>
      </c>
      <c r="D16" s="1" t="s">
        <v>193</v>
      </c>
      <c r="E16" s="151">
        <f>'CANTIDAD DE OBRA'!G14</f>
        <v>50.26</v>
      </c>
      <c r="F16" s="89">
        <v>0</v>
      </c>
      <c r="G16" s="184">
        <f t="shared" si="6"/>
        <v>0</v>
      </c>
      <c r="H16" s="89">
        <v>0</v>
      </c>
      <c r="I16" s="184">
        <f t="shared" si="7"/>
        <v>0</v>
      </c>
      <c r="J16" s="89">
        <v>0</v>
      </c>
      <c r="K16" s="184">
        <f t="shared" si="8"/>
        <v>0</v>
      </c>
      <c r="L16" s="89">
        <v>0</v>
      </c>
      <c r="M16" s="184">
        <f t="shared" si="4"/>
        <v>0</v>
      </c>
      <c r="N16" s="89">
        <f t="shared" si="5"/>
        <v>0</v>
      </c>
      <c r="O16" s="113">
        <f t="shared" si="0"/>
        <v>0</v>
      </c>
    </row>
    <row r="17" spans="1:15" s="1" customFormat="1" ht="19.8" customHeight="1">
      <c r="A17" s="88"/>
      <c r="B17" s="86"/>
      <c r="C17" s="88">
        <v>9</v>
      </c>
      <c r="D17" s="1" t="s">
        <v>195</v>
      </c>
      <c r="E17" s="151">
        <f>'CANTIDAD DE OBRA'!G15</f>
        <v>188.68</v>
      </c>
      <c r="F17" s="89">
        <v>0</v>
      </c>
      <c r="G17" s="184">
        <f t="shared" si="6"/>
        <v>0</v>
      </c>
      <c r="H17" s="89">
        <f>E17</f>
        <v>188.68</v>
      </c>
      <c r="I17" s="184">
        <f t="shared" si="7"/>
        <v>1</v>
      </c>
      <c r="J17" s="89">
        <v>0</v>
      </c>
      <c r="K17" s="184">
        <f t="shared" si="8"/>
        <v>0</v>
      </c>
      <c r="L17" s="89">
        <v>0</v>
      </c>
      <c r="M17" s="184">
        <f t="shared" si="4"/>
        <v>0</v>
      </c>
      <c r="N17" s="89">
        <f t="shared" si="5"/>
        <v>188.68</v>
      </c>
      <c r="O17" s="113">
        <f t="shared" si="0"/>
        <v>1</v>
      </c>
    </row>
    <row r="18" spans="1:15" s="1" customFormat="1" ht="19.95" customHeight="1">
      <c r="A18" s="88"/>
      <c r="B18" s="86"/>
      <c r="C18" s="88">
        <v>10</v>
      </c>
      <c r="D18" s="1" t="s">
        <v>200</v>
      </c>
      <c r="E18" s="151">
        <f>'CANTIDAD DE OBRA'!G16</f>
        <v>12.222</v>
      </c>
      <c r="F18" s="89">
        <v>0</v>
      </c>
      <c r="G18" s="184">
        <f t="shared" si="6"/>
        <v>0</v>
      </c>
      <c r="H18" s="89">
        <v>0</v>
      </c>
      <c r="I18" s="184">
        <f t="shared" si="7"/>
        <v>0</v>
      </c>
      <c r="J18" s="89">
        <v>0</v>
      </c>
      <c r="K18" s="184">
        <f t="shared" si="8"/>
        <v>0</v>
      </c>
      <c r="L18" s="89">
        <v>0</v>
      </c>
      <c r="M18" s="184">
        <f t="shared" si="4"/>
        <v>0</v>
      </c>
      <c r="N18" s="89">
        <f t="shared" si="5"/>
        <v>0</v>
      </c>
      <c r="O18" s="113">
        <f t="shared" si="0"/>
        <v>0</v>
      </c>
    </row>
    <row r="19" spans="1:15" s="1" customFormat="1" ht="19.95" customHeight="1">
      <c r="A19" s="88"/>
      <c r="B19" s="86"/>
      <c r="C19" s="88" t="s">
        <v>203</v>
      </c>
      <c r="D19" s="1" t="s">
        <v>202</v>
      </c>
      <c r="E19" s="151">
        <f>'CANTIDAD DE OBRA'!G17</f>
        <v>14.364000000000001</v>
      </c>
      <c r="F19" s="89">
        <v>0</v>
      </c>
      <c r="G19" s="184">
        <f t="shared" si="6"/>
        <v>0</v>
      </c>
      <c r="H19" s="89">
        <v>0</v>
      </c>
      <c r="I19" s="184">
        <f t="shared" si="7"/>
        <v>0</v>
      </c>
      <c r="J19" s="89">
        <v>0</v>
      </c>
      <c r="K19" s="184">
        <f t="shared" si="8"/>
        <v>0</v>
      </c>
      <c r="L19" s="89">
        <v>0</v>
      </c>
      <c r="M19" s="184">
        <f t="shared" si="4"/>
        <v>0</v>
      </c>
      <c r="N19" s="89">
        <f t="shared" si="5"/>
        <v>0</v>
      </c>
      <c r="O19" s="113">
        <f t="shared" si="0"/>
        <v>0</v>
      </c>
    </row>
    <row r="20" spans="1:15" s="1" customFormat="1" ht="19.95" customHeight="1">
      <c r="A20" s="88"/>
      <c r="B20" s="86"/>
      <c r="C20" s="88">
        <v>11</v>
      </c>
      <c r="D20" s="1" t="s">
        <v>195</v>
      </c>
      <c r="E20" s="151">
        <f>'CANTIDAD DE OBRA'!G18</f>
        <v>164.47200000000001</v>
      </c>
      <c r="F20" s="89">
        <v>0</v>
      </c>
      <c r="G20" s="184">
        <f t="shared" si="6"/>
        <v>0</v>
      </c>
      <c r="H20" s="89">
        <v>0</v>
      </c>
      <c r="I20" s="184">
        <f t="shared" si="7"/>
        <v>0</v>
      </c>
      <c r="J20" s="89">
        <v>0</v>
      </c>
      <c r="K20" s="184">
        <f t="shared" si="8"/>
        <v>0</v>
      </c>
      <c r="L20" s="89">
        <v>0</v>
      </c>
      <c r="M20" s="184">
        <f t="shared" si="4"/>
        <v>0</v>
      </c>
      <c r="N20" s="89">
        <f t="shared" si="5"/>
        <v>0</v>
      </c>
      <c r="O20" s="113">
        <f t="shared" si="0"/>
        <v>0</v>
      </c>
    </row>
    <row r="21" spans="1:15" s="1" customFormat="1" ht="19.95" customHeight="1">
      <c r="A21" s="88"/>
      <c r="B21" s="86"/>
      <c r="C21" s="88">
        <v>12</v>
      </c>
      <c r="D21" s="1" t="s">
        <v>200</v>
      </c>
      <c r="E21" s="151">
        <f>'CANTIDAD DE OBRA'!G19</f>
        <v>12.222</v>
      </c>
      <c r="F21" s="89">
        <v>0</v>
      </c>
      <c r="G21" s="184">
        <f t="shared" si="6"/>
        <v>0</v>
      </c>
      <c r="H21" s="89">
        <v>0</v>
      </c>
      <c r="I21" s="184">
        <f t="shared" si="7"/>
        <v>0</v>
      </c>
      <c r="J21" s="89">
        <v>0</v>
      </c>
      <c r="K21" s="184">
        <f t="shared" si="8"/>
        <v>0</v>
      </c>
      <c r="L21" s="89">
        <v>0</v>
      </c>
      <c r="M21" s="184">
        <f t="shared" si="4"/>
        <v>0</v>
      </c>
      <c r="N21" s="89">
        <f t="shared" si="5"/>
        <v>0</v>
      </c>
      <c r="O21" s="113">
        <f t="shared" si="0"/>
        <v>0</v>
      </c>
    </row>
    <row r="22" spans="1:15" s="1" customFormat="1" ht="19.95" customHeight="1">
      <c r="A22" s="88"/>
      <c r="B22" s="86"/>
      <c r="C22" s="88" t="s">
        <v>221</v>
      </c>
      <c r="D22" s="1" t="s">
        <v>202</v>
      </c>
      <c r="E22" s="151">
        <f>'CANTIDAD DE OBRA'!G20</f>
        <v>14.364000000000001</v>
      </c>
      <c r="F22" s="89">
        <v>0</v>
      </c>
      <c r="G22" s="184">
        <f t="shared" si="6"/>
        <v>0</v>
      </c>
      <c r="H22" s="89">
        <v>0</v>
      </c>
      <c r="I22" s="184">
        <f t="shared" si="7"/>
        <v>0</v>
      </c>
      <c r="J22" s="89">
        <v>0</v>
      </c>
      <c r="K22" s="184">
        <f t="shared" si="8"/>
        <v>0</v>
      </c>
      <c r="L22" s="89">
        <v>0</v>
      </c>
      <c r="M22" s="184">
        <f t="shared" si="4"/>
        <v>0</v>
      </c>
      <c r="N22" s="89">
        <f t="shared" si="5"/>
        <v>0</v>
      </c>
      <c r="O22" s="113">
        <f t="shared" si="0"/>
        <v>0</v>
      </c>
    </row>
    <row r="23" spans="1:15" s="1" customFormat="1" ht="19.95" customHeight="1">
      <c r="A23" s="88"/>
      <c r="B23" s="86"/>
      <c r="C23" s="88">
        <v>13</v>
      </c>
      <c r="D23" s="1" t="s">
        <v>102</v>
      </c>
      <c r="E23" s="151">
        <f>'CANTIDAD DE OBRA'!G21</f>
        <v>188.68</v>
      </c>
      <c r="F23" s="89">
        <v>0</v>
      </c>
      <c r="G23" s="184">
        <f t="shared" si="6"/>
        <v>0</v>
      </c>
      <c r="H23" s="89">
        <v>0</v>
      </c>
      <c r="I23" s="184">
        <f t="shared" si="7"/>
        <v>0</v>
      </c>
      <c r="J23" s="89">
        <v>0</v>
      </c>
      <c r="K23" s="184">
        <f t="shared" si="8"/>
        <v>0</v>
      </c>
      <c r="L23" s="89">
        <v>0</v>
      </c>
      <c r="M23" s="184">
        <f t="shared" si="4"/>
        <v>0</v>
      </c>
      <c r="N23" s="89">
        <f t="shared" si="5"/>
        <v>0</v>
      </c>
      <c r="O23" s="113">
        <f t="shared" si="0"/>
        <v>0</v>
      </c>
    </row>
    <row r="24" spans="1:15" s="1" customFormat="1" ht="19.95" customHeight="1">
      <c r="A24" s="88"/>
      <c r="B24" s="86"/>
      <c r="C24" s="88">
        <v>14</v>
      </c>
      <c r="D24" s="1" t="s">
        <v>192</v>
      </c>
      <c r="E24" s="151">
        <f>'CANTIDAD DE OBRA'!G22</f>
        <v>168</v>
      </c>
      <c r="F24" s="89">
        <v>0</v>
      </c>
      <c r="G24" s="184">
        <f t="shared" si="6"/>
        <v>0</v>
      </c>
      <c r="H24" s="89">
        <f>E24</f>
        <v>168</v>
      </c>
      <c r="I24" s="184">
        <f t="shared" si="7"/>
        <v>1</v>
      </c>
      <c r="J24" s="89">
        <v>0</v>
      </c>
      <c r="K24" s="184">
        <f t="shared" si="8"/>
        <v>0</v>
      </c>
      <c r="L24" s="89">
        <v>0</v>
      </c>
      <c r="M24" s="184">
        <f t="shared" si="4"/>
        <v>0</v>
      </c>
      <c r="N24" s="89">
        <f t="shared" si="5"/>
        <v>168</v>
      </c>
      <c r="O24" s="113">
        <f t="shared" si="0"/>
        <v>1</v>
      </c>
    </row>
    <row r="25" spans="1:15" s="1" customFormat="1" ht="19.95" customHeight="1">
      <c r="A25" s="88"/>
      <c r="B25" s="86"/>
      <c r="C25" s="88">
        <v>15</v>
      </c>
      <c r="D25" s="1" t="s">
        <v>192</v>
      </c>
      <c r="E25" s="151">
        <f>'CANTIDAD DE OBRA'!G23</f>
        <v>75.25</v>
      </c>
      <c r="F25" s="89">
        <v>0</v>
      </c>
      <c r="G25" s="184">
        <f t="shared" si="6"/>
        <v>0</v>
      </c>
      <c r="H25" s="89">
        <f t="shared" ref="H25:H26" si="9">E25</f>
        <v>75.25</v>
      </c>
      <c r="I25" s="184">
        <f t="shared" si="7"/>
        <v>1</v>
      </c>
      <c r="J25" s="89">
        <v>0</v>
      </c>
      <c r="K25" s="184">
        <f t="shared" si="8"/>
        <v>0</v>
      </c>
      <c r="L25" s="89">
        <v>0</v>
      </c>
      <c r="M25" s="184">
        <f t="shared" si="4"/>
        <v>0</v>
      </c>
      <c r="N25" s="89">
        <f t="shared" si="5"/>
        <v>75.25</v>
      </c>
      <c r="O25" s="113">
        <f t="shared" si="0"/>
        <v>1</v>
      </c>
    </row>
    <row r="26" spans="1:15" s="1" customFormat="1" ht="19.95" customHeight="1">
      <c r="A26" s="88"/>
      <c r="B26" s="86"/>
      <c r="C26" s="88">
        <v>16</v>
      </c>
      <c r="D26" s="1" t="s">
        <v>192</v>
      </c>
      <c r="E26" s="151">
        <f>'CANTIDAD DE OBRA'!G24</f>
        <v>49.699999999999996</v>
      </c>
      <c r="F26" s="89">
        <v>0</v>
      </c>
      <c r="G26" s="184">
        <f t="shared" si="6"/>
        <v>0</v>
      </c>
      <c r="H26" s="89">
        <f t="shared" si="9"/>
        <v>49.699999999999996</v>
      </c>
      <c r="I26" s="184">
        <f t="shared" si="7"/>
        <v>1</v>
      </c>
      <c r="J26" s="89">
        <v>0</v>
      </c>
      <c r="K26" s="184">
        <f t="shared" si="8"/>
        <v>0</v>
      </c>
      <c r="L26" s="89">
        <v>0</v>
      </c>
      <c r="M26" s="184">
        <f t="shared" si="4"/>
        <v>0</v>
      </c>
      <c r="N26" s="89">
        <f t="shared" si="5"/>
        <v>49.699999999999996</v>
      </c>
      <c r="O26" s="113">
        <f t="shared" si="0"/>
        <v>1</v>
      </c>
    </row>
    <row r="27" spans="1:15" s="1" customFormat="1" ht="19.95" customHeight="1">
      <c r="A27" s="88"/>
      <c r="B27" s="86"/>
      <c r="C27" s="88" t="s">
        <v>222</v>
      </c>
      <c r="D27" s="1" t="s">
        <v>202</v>
      </c>
      <c r="E27" s="151">
        <f>'CANTIDAD DE OBRA'!G25</f>
        <v>26.599999999999998</v>
      </c>
      <c r="F27" s="89">
        <v>0</v>
      </c>
      <c r="G27" s="184">
        <f t="shared" si="6"/>
        <v>0</v>
      </c>
      <c r="H27" s="89">
        <v>0</v>
      </c>
      <c r="I27" s="184">
        <f t="shared" si="7"/>
        <v>0</v>
      </c>
      <c r="J27" s="89">
        <v>0</v>
      </c>
      <c r="K27" s="184">
        <f t="shared" si="8"/>
        <v>0</v>
      </c>
      <c r="L27" s="89">
        <v>0</v>
      </c>
      <c r="M27" s="184">
        <f t="shared" si="4"/>
        <v>0</v>
      </c>
      <c r="N27" s="89">
        <f t="shared" si="5"/>
        <v>0</v>
      </c>
      <c r="O27" s="113">
        <f t="shared" si="0"/>
        <v>0</v>
      </c>
    </row>
    <row r="28" spans="1:15" s="1" customFormat="1" ht="19.95" customHeight="1">
      <c r="A28" s="88"/>
      <c r="B28" s="86"/>
      <c r="C28" s="88">
        <v>17</v>
      </c>
      <c r="D28" s="1" t="s">
        <v>206</v>
      </c>
      <c r="E28" s="151">
        <f>'CANTIDAD DE OBRA'!G26</f>
        <v>58.449999999999996</v>
      </c>
      <c r="F28" s="89">
        <v>0</v>
      </c>
      <c r="G28" s="184">
        <f t="shared" si="6"/>
        <v>0</v>
      </c>
      <c r="H28" s="89">
        <v>0</v>
      </c>
      <c r="I28" s="184">
        <f t="shared" si="7"/>
        <v>0</v>
      </c>
      <c r="J28" s="89">
        <v>0</v>
      </c>
      <c r="K28" s="184">
        <f t="shared" si="8"/>
        <v>0</v>
      </c>
      <c r="L28" s="89">
        <v>0</v>
      </c>
      <c r="M28" s="184">
        <f t="shared" si="4"/>
        <v>0</v>
      </c>
      <c r="N28" s="89">
        <f t="shared" si="5"/>
        <v>0</v>
      </c>
      <c r="O28" s="113">
        <f t="shared" si="0"/>
        <v>0</v>
      </c>
    </row>
    <row r="29" spans="1:15" s="1" customFormat="1" ht="19.95" customHeight="1">
      <c r="A29" s="88"/>
      <c r="B29" s="86"/>
      <c r="C29" s="88">
        <v>18</v>
      </c>
      <c r="D29" s="1" t="s">
        <v>207</v>
      </c>
      <c r="E29" s="151">
        <f>'CANTIDAD DE OBRA'!G27</f>
        <v>8.82</v>
      </c>
      <c r="F29" s="89">
        <v>0</v>
      </c>
      <c r="G29" s="184">
        <f t="shared" si="6"/>
        <v>0</v>
      </c>
      <c r="H29" s="89">
        <v>0</v>
      </c>
      <c r="I29" s="184">
        <f t="shared" si="7"/>
        <v>0</v>
      </c>
      <c r="J29" s="89">
        <v>0</v>
      </c>
      <c r="K29" s="184">
        <f t="shared" si="8"/>
        <v>0</v>
      </c>
      <c r="L29" s="89">
        <v>0</v>
      </c>
      <c r="M29" s="184">
        <f t="shared" si="4"/>
        <v>0</v>
      </c>
      <c r="N29" s="89">
        <f t="shared" si="5"/>
        <v>0</v>
      </c>
      <c r="O29" s="113">
        <f t="shared" si="0"/>
        <v>0</v>
      </c>
    </row>
    <row r="30" spans="1:15" s="1" customFormat="1" ht="19.95" customHeight="1">
      <c r="A30" s="88"/>
      <c r="B30" s="86"/>
      <c r="C30" s="88">
        <v>19</v>
      </c>
      <c r="D30" s="1" t="s">
        <v>121</v>
      </c>
      <c r="E30" s="151">
        <f>'CANTIDAD DE OBRA'!G28</f>
        <v>89</v>
      </c>
      <c r="F30" s="89">
        <v>0</v>
      </c>
      <c r="G30" s="184">
        <f t="shared" si="6"/>
        <v>0</v>
      </c>
      <c r="H30" s="89">
        <v>0</v>
      </c>
      <c r="I30" s="184">
        <f t="shared" si="7"/>
        <v>0</v>
      </c>
      <c r="J30" s="89">
        <v>0</v>
      </c>
      <c r="K30" s="184">
        <f t="shared" si="8"/>
        <v>0</v>
      </c>
      <c r="L30" s="89">
        <v>0</v>
      </c>
      <c r="M30" s="184">
        <f t="shared" si="4"/>
        <v>0</v>
      </c>
      <c r="N30" s="89">
        <f t="shared" si="5"/>
        <v>0</v>
      </c>
      <c r="O30" s="113">
        <f t="shared" si="0"/>
        <v>0</v>
      </c>
    </row>
    <row r="31" spans="1:15" s="1" customFormat="1" ht="19.95" customHeight="1">
      <c r="A31" s="88"/>
      <c r="B31" s="86"/>
      <c r="C31" s="88">
        <v>20</v>
      </c>
      <c r="D31" s="1" t="s">
        <v>122</v>
      </c>
      <c r="E31" s="151">
        <f>'CANTIDAD DE OBRA'!G29</f>
        <v>82.948000000000008</v>
      </c>
      <c r="F31" s="89">
        <v>0</v>
      </c>
      <c r="G31" s="184">
        <f t="shared" si="6"/>
        <v>0</v>
      </c>
      <c r="H31" s="89">
        <v>0</v>
      </c>
      <c r="I31" s="184">
        <f t="shared" si="7"/>
        <v>0</v>
      </c>
      <c r="J31" s="89">
        <v>0</v>
      </c>
      <c r="K31" s="184">
        <f t="shared" si="8"/>
        <v>0</v>
      </c>
      <c r="L31" s="89">
        <v>0</v>
      </c>
      <c r="M31" s="184">
        <f t="shared" si="4"/>
        <v>0</v>
      </c>
      <c r="N31" s="89">
        <f t="shared" si="5"/>
        <v>0</v>
      </c>
      <c r="O31" s="113">
        <f t="shared" si="0"/>
        <v>0</v>
      </c>
    </row>
    <row r="32" spans="1:15" s="1" customFormat="1" ht="19.95" customHeight="1">
      <c r="A32" s="88"/>
      <c r="B32" s="86"/>
      <c r="C32" s="88">
        <v>21</v>
      </c>
      <c r="D32" s="1" t="s">
        <v>206</v>
      </c>
      <c r="E32" s="151">
        <f>'CANTIDAD DE OBRA'!G30</f>
        <v>28.480000000000004</v>
      </c>
      <c r="F32" s="89">
        <v>0</v>
      </c>
      <c r="G32" s="184">
        <f t="shared" si="6"/>
        <v>0</v>
      </c>
      <c r="H32" s="89">
        <v>0</v>
      </c>
      <c r="I32" s="184">
        <f t="shared" si="7"/>
        <v>0</v>
      </c>
      <c r="J32" s="89">
        <v>0</v>
      </c>
      <c r="K32" s="184">
        <f t="shared" si="8"/>
        <v>0</v>
      </c>
      <c r="L32" s="89">
        <v>0</v>
      </c>
      <c r="M32" s="184">
        <f t="shared" si="4"/>
        <v>0</v>
      </c>
      <c r="N32" s="89">
        <f t="shared" si="5"/>
        <v>0</v>
      </c>
      <c r="O32" s="113">
        <f t="shared" si="0"/>
        <v>0</v>
      </c>
    </row>
    <row r="33" spans="1:16" s="1" customFormat="1" ht="19.95" customHeight="1">
      <c r="A33" s="88"/>
      <c r="B33" s="88"/>
      <c r="C33" s="88">
        <v>22</v>
      </c>
      <c r="D33" s="1" t="s">
        <v>122</v>
      </c>
      <c r="E33" s="151">
        <f>'CANTIDAD DE OBRA'!G31</f>
        <v>50.552</v>
      </c>
      <c r="F33" s="89">
        <v>0</v>
      </c>
      <c r="G33" s="184">
        <f t="shared" si="6"/>
        <v>0</v>
      </c>
      <c r="H33" s="89">
        <v>0</v>
      </c>
      <c r="I33" s="184">
        <f t="shared" si="7"/>
        <v>0</v>
      </c>
      <c r="J33" s="89">
        <v>0</v>
      </c>
      <c r="K33" s="184">
        <f t="shared" si="8"/>
        <v>0</v>
      </c>
      <c r="L33" s="89">
        <v>0</v>
      </c>
      <c r="M33" s="184">
        <f t="shared" si="4"/>
        <v>0</v>
      </c>
      <c r="N33" s="89">
        <f t="shared" si="5"/>
        <v>0</v>
      </c>
      <c r="O33" s="113">
        <f t="shared" si="0"/>
        <v>0</v>
      </c>
    </row>
    <row r="34" spans="1:16" s="1" customFormat="1" ht="19.95" customHeight="1">
      <c r="A34" s="88"/>
      <c r="B34" s="88"/>
      <c r="C34" s="88">
        <v>23</v>
      </c>
      <c r="D34" s="1" t="s">
        <v>206</v>
      </c>
      <c r="E34" s="151">
        <f>'CANTIDAD DE OBRA'!G32</f>
        <v>61.231999999999999</v>
      </c>
      <c r="F34" s="89">
        <v>0</v>
      </c>
      <c r="G34" s="184">
        <f t="shared" si="6"/>
        <v>0</v>
      </c>
      <c r="H34" s="89">
        <v>0</v>
      </c>
      <c r="I34" s="184">
        <f t="shared" si="7"/>
        <v>0</v>
      </c>
      <c r="J34" s="89">
        <v>0</v>
      </c>
      <c r="K34" s="184">
        <f t="shared" si="8"/>
        <v>0</v>
      </c>
      <c r="L34" s="89">
        <v>0</v>
      </c>
      <c r="M34" s="184">
        <f t="shared" si="4"/>
        <v>0</v>
      </c>
      <c r="N34" s="89">
        <f t="shared" si="5"/>
        <v>0</v>
      </c>
      <c r="O34" s="113">
        <f t="shared" si="0"/>
        <v>0</v>
      </c>
      <c r="P34" s="88"/>
    </row>
    <row r="35" spans="1:16" s="1" customFormat="1" ht="19.95" customHeight="1">
      <c r="A35" s="88"/>
      <c r="B35" s="88"/>
      <c r="C35" s="88">
        <v>24</v>
      </c>
      <c r="D35" s="1" t="s">
        <v>206</v>
      </c>
      <c r="E35" s="151">
        <f>'CANTIDAD DE OBRA'!G33</f>
        <v>46.636000000000003</v>
      </c>
      <c r="F35" s="89">
        <v>0</v>
      </c>
      <c r="G35" s="184">
        <f t="shared" si="6"/>
        <v>0</v>
      </c>
      <c r="H35" s="89">
        <v>0</v>
      </c>
      <c r="I35" s="184">
        <f t="shared" si="7"/>
        <v>0</v>
      </c>
      <c r="J35" s="89">
        <v>0</v>
      </c>
      <c r="K35" s="184">
        <f t="shared" si="8"/>
        <v>0</v>
      </c>
      <c r="L35" s="89">
        <v>0</v>
      </c>
      <c r="M35" s="184">
        <f t="shared" si="4"/>
        <v>0</v>
      </c>
      <c r="N35" s="89">
        <f t="shared" si="5"/>
        <v>0</v>
      </c>
      <c r="O35" s="113">
        <f t="shared" si="0"/>
        <v>0</v>
      </c>
    </row>
    <row r="36" spans="1:16" s="1" customFormat="1" ht="19.95" customHeight="1">
      <c r="A36" s="88"/>
      <c r="B36" s="87"/>
      <c r="C36" s="88">
        <v>25</v>
      </c>
      <c r="D36" s="1" t="s">
        <v>122</v>
      </c>
      <c r="E36" s="151">
        <f>'CANTIDAD DE OBRA'!G34</f>
        <v>97.188000000000002</v>
      </c>
      <c r="F36" s="89">
        <v>0</v>
      </c>
      <c r="G36" s="184">
        <f t="shared" si="6"/>
        <v>0</v>
      </c>
      <c r="H36" s="89">
        <v>0</v>
      </c>
      <c r="I36" s="184">
        <f t="shared" si="7"/>
        <v>0</v>
      </c>
      <c r="J36" s="89">
        <v>0</v>
      </c>
      <c r="K36" s="184">
        <f t="shared" si="8"/>
        <v>0</v>
      </c>
      <c r="L36" s="89">
        <v>0</v>
      </c>
      <c r="M36" s="184">
        <f t="shared" si="4"/>
        <v>0</v>
      </c>
      <c r="N36" s="89">
        <f t="shared" si="5"/>
        <v>0</v>
      </c>
      <c r="O36" s="113">
        <f t="shared" si="0"/>
        <v>0</v>
      </c>
    </row>
    <row r="37" spans="1:16" s="1" customFormat="1" ht="19.95" customHeight="1">
      <c r="A37" s="88"/>
      <c r="B37" s="87"/>
      <c r="C37" s="88">
        <v>26</v>
      </c>
      <c r="D37" s="1" t="s">
        <v>123</v>
      </c>
      <c r="E37" s="151">
        <f>'CANTIDAD DE OBRA'!G35</f>
        <v>165.89600000000002</v>
      </c>
      <c r="F37" s="89">
        <v>0</v>
      </c>
      <c r="G37" s="184">
        <f t="shared" si="6"/>
        <v>0</v>
      </c>
      <c r="H37" s="89">
        <v>0</v>
      </c>
      <c r="I37" s="184">
        <f t="shared" si="7"/>
        <v>0</v>
      </c>
      <c r="J37" s="89">
        <v>0</v>
      </c>
      <c r="K37" s="184">
        <f t="shared" si="8"/>
        <v>0</v>
      </c>
      <c r="L37" s="89">
        <v>0</v>
      </c>
      <c r="M37" s="184">
        <f t="shared" si="4"/>
        <v>0</v>
      </c>
      <c r="N37" s="89">
        <f t="shared" si="5"/>
        <v>0</v>
      </c>
      <c r="O37" s="113">
        <f t="shared" si="0"/>
        <v>0</v>
      </c>
    </row>
    <row r="38" spans="1:16" s="1" customFormat="1" ht="19.95" customHeight="1">
      <c r="A38" s="88"/>
      <c r="B38" s="87"/>
      <c r="C38" s="88">
        <v>27</v>
      </c>
      <c r="D38" s="1" t="s">
        <v>200</v>
      </c>
      <c r="E38" s="151">
        <f>'CANTIDAD DE OBRA'!G36</f>
        <v>12.222</v>
      </c>
      <c r="F38" s="89">
        <v>0</v>
      </c>
      <c r="G38" s="184">
        <f t="shared" si="6"/>
        <v>0</v>
      </c>
      <c r="H38" s="89">
        <v>0</v>
      </c>
      <c r="I38" s="184">
        <f t="shared" si="7"/>
        <v>0</v>
      </c>
      <c r="J38" s="89">
        <v>0</v>
      </c>
      <c r="K38" s="184">
        <f t="shared" si="8"/>
        <v>0</v>
      </c>
      <c r="L38" s="89">
        <v>0</v>
      </c>
      <c r="M38" s="184">
        <f t="shared" si="4"/>
        <v>0</v>
      </c>
      <c r="N38" s="89">
        <f t="shared" si="5"/>
        <v>0</v>
      </c>
      <c r="O38" s="113">
        <f t="shared" si="0"/>
        <v>0</v>
      </c>
    </row>
    <row r="39" spans="1:16" s="1" customFormat="1" ht="19.95" customHeight="1">
      <c r="A39" s="88"/>
      <c r="B39" s="87"/>
      <c r="C39" s="88" t="s">
        <v>223</v>
      </c>
      <c r="D39" s="1" t="s">
        <v>202</v>
      </c>
      <c r="E39" s="151">
        <f>'CANTIDAD DE OBRA'!G37</f>
        <v>14.364000000000001</v>
      </c>
      <c r="F39" s="89">
        <v>0</v>
      </c>
      <c r="G39" s="184">
        <f t="shared" si="6"/>
        <v>0</v>
      </c>
      <c r="H39" s="89">
        <v>0</v>
      </c>
      <c r="I39" s="184">
        <f t="shared" si="7"/>
        <v>0</v>
      </c>
      <c r="J39" s="89">
        <v>0</v>
      </c>
      <c r="K39" s="184">
        <f t="shared" si="8"/>
        <v>0</v>
      </c>
      <c r="L39" s="89">
        <v>0</v>
      </c>
      <c r="M39" s="184">
        <f t="shared" si="4"/>
        <v>0</v>
      </c>
      <c r="N39" s="89">
        <f t="shared" si="5"/>
        <v>0</v>
      </c>
      <c r="O39" s="113">
        <f t="shared" si="0"/>
        <v>0</v>
      </c>
    </row>
    <row r="40" spans="1:16" s="1" customFormat="1" ht="19.95" customHeight="1">
      <c r="A40" s="88"/>
      <c r="B40" s="87"/>
      <c r="C40" s="88">
        <v>28</v>
      </c>
      <c r="D40" s="1" t="s">
        <v>122</v>
      </c>
      <c r="E40" s="151">
        <f>'CANTIDAD DE OBRA'!G38</f>
        <v>113.56400000000001</v>
      </c>
      <c r="F40" s="89">
        <v>0</v>
      </c>
      <c r="G40" s="184">
        <f t="shared" si="6"/>
        <v>0</v>
      </c>
      <c r="H40" s="89">
        <v>0</v>
      </c>
      <c r="I40" s="184">
        <f t="shared" si="7"/>
        <v>0</v>
      </c>
      <c r="J40" s="89">
        <v>0</v>
      </c>
      <c r="K40" s="184">
        <f t="shared" si="8"/>
        <v>0</v>
      </c>
      <c r="L40" s="89">
        <v>0</v>
      </c>
      <c r="M40" s="184">
        <f t="shared" si="4"/>
        <v>0</v>
      </c>
      <c r="N40" s="89">
        <f t="shared" si="5"/>
        <v>0</v>
      </c>
      <c r="O40" s="113">
        <f t="shared" ref="O40:O62" si="10">N40/E40</f>
        <v>0</v>
      </c>
    </row>
    <row r="41" spans="1:16" s="1" customFormat="1" ht="19.95" customHeight="1">
      <c r="A41" s="88"/>
      <c r="B41" s="87"/>
      <c r="C41" s="88">
        <v>29</v>
      </c>
      <c r="D41" s="1" t="s">
        <v>104</v>
      </c>
      <c r="E41" s="151">
        <f>'CANTIDAD DE OBRA'!G39</f>
        <v>153.79200000000003</v>
      </c>
      <c r="F41" s="89">
        <v>0</v>
      </c>
      <c r="G41" s="184">
        <f t="shared" si="6"/>
        <v>0</v>
      </c>
      <c r="H41" s="89">
        <v>0</v>
      </c>
      <c r="I41" s="184">
        <f t="shared" si="7"/>
        <v>0</v>
      </c>
      <c r="J41" s="89">
        <v>0</v>
      </c>
      <c r="K41" s="184">
        <f t="shared" si="8"/>
        <v>0</v>
      </c>
      <c r="L41" s="89">
        <v>0</v>
      </c>
      <c r="M41" s="184">
        <f t="shared" si="4"/>
        <v>0</v>
      </c>
      <c r="N41" s="89">
        <f t="shared" si="5"/>
        <v>0</v>
      </c>
      <c r="O41" s="113">
        <f t="shared" si="10"/>
        <v>0</v>
      </c>
    </row>
    <row r="42" spans="1:16" s="1" customFormat="1" ht="19.95" customHeight="1">
      <c r="A42" s="88"/>
      <c r="B42" s="87"/>
      <c r="C42" s="88">
        <v>30</v>
      </c>
      <c r="D42" s="1" t="s">
        <v>200</v>
      </c>
      <c r="E42" s="151">
        <f>'CANTIDAD DE OBRA'!G41</f>
        <v>21.419999999999998</v>
      </c>
      <c r="F42" s="89">
        <v>0</v>
      </c>
      <c r="G42" s="184">
        <f t="shared" si="6"/>
        <v>0</v>
      </c>
      <c r="H42" s="89">
        <v>0</v>
      </c>
      <c r="I42" s="184">
        <f t="shared" si="7"/>
        <v>0</v>
      </c>
      <c r="J42" s="89">
        <v>0</v>
      </c>
      <c r="K42" s="184">
        <f t="shared" si="8"/>
        <v>0</v>
      </c>
      <c r="L42" s="89">
        <v>0</v>
      </c>
      <c r="M42" s="184">
        <f t="shared" si="4"/>
        <v>0</v>
      </c>
      <c r="N42" s="89">
        <f t="shared" si="5"/>
        <v>0</v>
      </c>
      <c r="O42" s="113">
        <f t="shared" si="10"/>
        <v>0</v>
      </c>
    </row>
    <row r="43" spans="1:16" s="1" customFormat="1" ht="19.95" customHeight="1">
      <c r="A43" s="88"/>
      <c r="B43" s="88"/>
      <c r="C43" s="88" t="s">
        <v>224</v>
      </c>
      <c r="D43" s="1" t="s">
        <v>202</v>
      </c>
      <c r="E43" s="151">
        <f>'CANTIDAD DE OBRA'!G42</f>
        <v>42.839999999999996</v>
      </c>
      <c r="F43" s="89">
        <v>0</v>
      </c>
      <c r="G43" s="184">
        <f t="shared" si="6"/>
        <v>0</v>
      </c>
      <c r="H43" s="89">
        <v>0</v>
      </c>
      <c r="I43" s="184">
        <f t="shared" si="7"/>
        <v>0</v>
      </c>
      <c r="J43" s="89">
        <v>0</v>
      </c>
      <c r="K43" s="184">
        <f t="shared" si="8"/>
        <v>0</v>
      </c>
      <c r="L43" s="89">
        <v>0</v>
      </c>
      <c r="M43" s="184">
        <f t="shared" si="4"/>
        <v>0</v>
      </c>
      <c r="N43" s="89">
        <f t="shared" si="5"/>
        <v>0</v>
      </c>
      <c r="O43" s="113">
        <f t="shared" si="10"/>
        <v>0</v>
      </c>
    </row>
    <row r="44" spans="1:16" s="1" customFormat="1" ht="19.95" customHeight="1">
      <c r="A44" s="88"/>
      <c r="B44" s="88"/>
      <c r="C44" s="88">
        <v>31</v>
      </c>
      <c r="D44" s="1" t="s">
        <v>121</v>
      </c>
      <c r="E44" s="151">
        <f>'CANTIDAD DE OBRA'!G43</f>
        <v>24.919999999999998</v>
      </c>
      <c r="F44" s="89">
        <v>0</v>
      </c>
      <c r="G44" s="184">
        <f t="shared" si="6"/>
        <v>0</v>
      </c>
      <c r="H44" s="89">
        <v>0</v>
      </c>
      <c r="I44" s="184">
        <f t="shared" si="7"/>
        <v>0</v>
      </c>
      <c r="J44" s="89">
        <v>0</v>
      </c>
      <c r="K44" s="184">
        <f t="shared" si="8"/>
        <v>0</v>
      </c>
      <c r="L44" s="89">
        <v>0</v>
      </c>
      <c r="M44" s="184">
        <f t="shared" si="4"/>
        <v>0</v>
      </c>
      <c r="N44" s="89">
        <f t="shared" si="5"/>
        <v>0</v>
      </c>
      <c r="O44" s="113">
        <f t="shared" si="10"/>
        <v>0</v>
      </c>
    </row>
    <row r="45" spans="1:16" s="1" customFormat="1" ht="19.95" customHeight="1">
      <c r="A45" s="88"/>
      <c r="B45" s="88"/>
      <c r="C45" s="88">
        <v>32</v>
      </c>
      <c r="D45" s="1" t="s">
        <v>121</v>
      </c>
      <c r="E45" s="151">
        <f>'CANTIDAD DE OBRA'!G44</f>
        <v>51.62</v>
      </c>
      <c r="F45" s="89">
        <v>0</v>
      </c>
      <c r="G45" s="184">
        <f t="shared" si="6"/>
        <v>0</v>
      </c>
      <c r="H45" s="89">
        <v>0</v>
      </c>
      <c r="I45" s="184">
        <f t="shared" si="7"/>
        <v>0</v>
      </c>
      <c r="J45" s="89">
        <v>0</v>
      </c>
      <c r="K45" s="184">
        <f t="shared" si="8"/>
        <v>0</v>
      </c>
      <c r="L45" s="89">
        <v>0</v>
      </c>
      <c r="M45" s="184">
        <f t="shared" si="4"/>
        <v>0</v>
      </c>
      <c r="N45" s="89">
        <f t="shared" si="5"/>
        <v>0</v>
      </c>
      <c r="O45" s="113">
        <f t="shared" si="10"/>
        <v>0</v>
      </c>
    </row>
    <row r="46" spans="1:16" s="1" customFormat="1" ht="19.95" customHeight="1">
      <c r="A46" s="88"/>
      <c r="B46" s="87"/>
      <c r="C46" s="88">
        <v>33</v>
      </c>
      <c r="D46" s="1" t="s">
        <v>211</v>
      </c>
      <c r="E46" s="151">
        <f>'CANTIDAD DE OBRA'!G45</f>
        <v>112.19999999999999</v>
      </c>
      <c r="F46" s="89">
        <v>0</v>
      </c>
      <c r="G46" s="184">
        <f t="shared" si="6"/>
        <v>0</v>
      </c>
      <c r="H46" s="89">
        <v>0</v>
      </c>
      <c r="I46" s="184">
        <f t="shared" si="7"/>
        <v>0</v>
      </c>
      <c r="J46" s="89">
        <v>0</v>
      </c>
      <c r="K46" s="184">
        <f t="shared" si="8"/>
        <v>0</v>
      </c>
      <c r="L46" s="89">
        <v>0</v>
      </c>
      <c r="M46" s="184">
        <f t="shared" si="4"/>
        <v>0</v>
      </c>
      <c r="N46" s="89">
        <f t="shared" si="5"/>
        <v>0</v>
      </c>
      <c r="O46" s="113">
        <f t="shared" si="10"/>
        <v>0</v>
      </c>
    </row>
    <row r="47" spans="1:16" s="1" customFormat="1" ht="19.95" customHeight="1">
      <c r="A47" s="88"/>
      <c r="B47" s="87"/>
      <c r="C47" s="88">
        <v>34</v>
      </c>
      <c r="D47" s="1" t="s">
        <v>210</v>
      </c>
      <c r="E47" s="151">
        <f>'CANTIDAD DE OBRA'!G46</f>
        <v>71.2</v>
      </c>
      <c r="F47" s="89">
        <v>0</v>
      </c>
      <c r="G47" s="184">
        <f t="shared" si="6"/>
        <v>0</v>
      </c>
      <c r="H47" s="89">
        <v>0</v>
      </c>
      <c r="I47" s="184">
        <f t="shared" si="7"/>
        <v>0</v>
      </c>
      <c r="J47" s="89">
        <v>0</v>
      </c>
      <c r="K47" s="184">
        <f t="shared" si="8"/>
        <v>0</v>
      </c>
      <c r="L47" s="89">
        <v>0</v>
      </c>
      <c r="M47" s="184">
        <f t="shared" si="4"/>
        <v>0</v>
      </c>
      <c r="N47" s="89">
        <f t="shared" si="5"/>
        <v>0</v>
      </c>
      <c r="O47" s="113">
        <f t="shared" si="10"/>
        <v>0</v>
      </c>
    </row>
    <row r="48" spans="1:16" s="1" customFormat="1" ht="19.95" customHeight="1">
      <c r="A48" s="88"/>
      <c r="B48" s="87"/>
      <c r="C48" s="88">
        <v>35</v>
      </c>
      <c r="D48" s="1" t="s">
        <v>210</v>
      </c>
      <c r="E48" s="151">
        <f>'CANTIDAD DE OBRA'!G47</f>
        <v>72.624000000000009</v>
      </c>
      <c r="F48" s="89">
        <v>0</v>
      </c>
      <c r="G48" s="184">
        <f t="shared" si="6"/>
        <v>0</v>
      </c>
      <c r="H48" s="89">
        <v>0</v>
      </c>
      <c r="I48" s="184">
        <f t="shared" si="7"/>
        <v>0</v>
      </c>
      <c r="J48" s="89">
        <v>0</v>
      </c>
      <c r="K48" s="184">
        <f t="shared" si="8"/>
        <v>0</v>
      </c>
      <c r="L48" s="89">
        <v>0</v>
      </c>
      <c r="M48" s="184">
        <f t="shared" si="4"/>
        <v>0</v>
      </c>
      <c r="N48" s="89">
        <f t="shared" si="5"/>
        <v>0</v>
      </c>
      <c r="O48" s="113">
        <f t="shared" si="10"/>
        <v>0</v>
      </c>
    </row>
    <row r="49" spans="1:15" s="1" customFormat="1" ht="19.95" customHeight="1">
      <c r="A49" s="88"/>
      <c r="B49" s="87"/>
      <c r="C49" s="88">
        <v>36</v>
      </c>
      <c r="D49" s="1" t="s">
        <v>210</v>
      </c>
      <c r="E49" s="151">
        <f>'CANTIDAD DE OBRA'!G48</f>
        <v>71.2</v>
      </c>
      <c r="F49" s="89">
        <v>0</v>
      </c>
      <c r="G49" s="184">
        <f t="shared" si="6"/>
        <v>0</v>
      </c>
      <c r="H49" s="89">
        <v>0</v>
      </c>
      <c r="I49" s="184">
        <f t="shared" si="7"/>
        <v>0</v>
      </c>
      <c r="J49" s="89">
        <v>0</v>
      </c>
      <c r="K49" s="184">
        <f t="shared" si="8"/>
        <v>0</v>
      </c>
      <c r="L49" s="89">
        <v>0</v>
      </c>
      <c r="M49" s="184">
        <f t="shared" si="4"/>
        <v>0</v>
      </c>
      <c r="N49" s="89">
        <f t="shared" si="5"/>
        <v>0</v>
      </c>
      <c r="O49" s="113">
        <f t="shared" si="10"/>
        <v>0</v>
      </c>
    </row>
    <row r="50" spans="1:15" s="1" customFormat="1" ht="19.95" customHeight="1">
      <c r="A50" s="88"/>
      <c r="B50" s="88"/>
      <c r="C50" s="88">
        <v>37</v>
      </c>
      <c r="D50" s="1" t="s">
        <v>211</v>
      </c>
      <c r="E50" s="151">
        <f>'CANTIDAD DE OBRA'!G49</f>
        <v>112.19999999999999</v>
      </c>
      <c r="F50" s="89">
        <v>0</v>
      </c>
      <c r="G50" s="184">
        <f t="shared" si="6"/>
        <v>0</v>
      </c>
      <c r="H50" s="89">
        <v>0</v>
      </c>
      <c r="I50" s="184">
        <f t="shared" si="7"/>
        <v>0</v>
      </c>
      <c r="J50" s="89">
        <v>0</v>
      </c>
      <c r="K50" s="184">
        <f t="shared" si="8"/>
        <v>0</v>
      </c>
      <c r="L50" s="89">
        <v>0</v>
      </c>
      <c r="M50" s="184">
        <f t="shared" si="4"/>
        <v>0</v>
      </c>
      <c r="N50" s="89">
        <f t="shared" si="5"/>
        <v>0</v>
      </c>
      <c r="O50" s="113">
        <f t="shared" si="10"/>
        <v>0</v>
      </c>
    </row>
    <row r="51" spans="1:15" s="1" customFormat="1" ht="19.95" customHeight="1">
      <c r="A51" s="88"/>
      <c r="B51" s="88"/>
      <c r="C51" s="88">
        <v>38</v>
      </c>
      <c r="D51" s="1" t="s">
        <v>121</v>
      </c>
      <c r="E51" s="151">
        <f>'CANTIDAD DE OBRA'!G50</f>
        <v>24.919999999999998</v>
      </c>
      <c r="F51" s="89">
        <v>0</v>
      </c>
      <c r="G51" s="184">
        <f t="shared" si="6"/>
        <v>0</v>
      </c>
      <c r="H51" s="89">
        <v>0</v>
      </c>
      <c r="I51" s="184">
        <f t="shared" si="7"/>
        <v>0</v>
      </c>
      <c r="J51" s="89">
        <v>0</v>
      </c>
      <c r="K51" s="184">
        <f t="shared" si="8"/>
        <v>0</v>
      </c>
      <c r="L51" s="89">
        <v>0</v>
      </c>
      <c r="M51" s="184">
        <f t="shared" si="4"/>
        <v>0</v>
      </c>
      <c r="N51" s="89">
        <f t="shared" si="5"/>
        <v>0</v>
      </c>
      <c r="O51" s="113">
        <f t="shared" si="10"/>
        <v>0</v>
      </c>
    </row>
    <row r="52" spans="1:15" s="1" customFormat="1" ht="19.95" customHeight="1">
      <c r="A52" s="88"/>
      <c r="B52" s="88"/>
      <c r="C52" s="88">
        <v>39</v>
      </c>
      <c r="D52" s="1" t="s">
        <v>121</v>
      </c>
      <c r="E52" s="151">
        <f>'CANTIDAD DE OBRA'!G51</f>
        <v>51.62</v>
      </c>
      <c r="F52" s="89">
        <v>0</v>
      </c>
      <c r="G52" s="184">
        <f t="shared" si="6"/>
        <v>0</v>
      </c>
      <c r="H52" s="89">
        <v>0</v>
      </c>
      <c r="I52" s="184">
        <f t="shared" si="7"/>
        <v>0</v>
      </c>
      <c r="J52" s="89">
        <v>0</v>
      </c>
      <c r="K52" s="184">
        <f t="shared" si="8"/>
        <v>0</v>
      </c>
      <c r="L52" s="89">
        <v>0</v>
      </c>
      <c r="M52" s="184">
        <f t="shared" si="4"/>
        <v>0</v>
      </c>
      <c r="N52" s="89">
        <f t="shared" si="5"/>
        <v>0</v>
      </c>
      <c r="O52" s="113">
        <f t="shared" si="10"/>
        <v>0</v>
      </c>
    </row>
    <row r="53" spans="1:15" s="1" customFormat="1" ht="19.95" customHeight="1">
      <c r="A53" s="88"/>
      <c r="B53" s="88"/>
      <c r="C53" s="88">
        <v>40</v>
      </c>
      <c r="D53" s="1" t="s">
        <v>212</v>
      </c>
      <c r="E53" s="151">
        <f>'CANTIDAD DE OBRA'!G52</f>
        <v>143.11199999999999</v>
      </c>
      <c r="F53" s="89">
        <v>0</v>
      </c>
      <c r="G53" s="184">
        <f t="shared" si="6"/>
        <v>0</v>
      </c>
      <c r="H53" s="89">
        <v>0</v>
      </c>
      <c r="I53" s="184">
        <f t="shared" si="7"/>
        <v>0</v>
      </c>
      <c r="J53" s="89">
        <v>0</v>
      </c>
      <c r="K53" s="184">
        <f t="shared" si="8"/>
        <v>0</v>
      </c>
      <c r="L53" s="89">
        <v>0</v>
      </c>
      <c r="M53" s="184">
        <f t="shared" si="4"/>
        <v>0</v>
      </c>
      <c r="N53" s="89">
        <f t="shared" si="5"/>
        <v>0</v>
      </c>
      <c r="O53" s="113">
        <f t="shared" si="10"/>
        <v>0</v>
      </c>
    </row>
    <row r="54" spans="1:15" s="1" customFormat="1" ht="19.95" customHeight="1">
      <c r="A54" s="88"/>
      <c r="B54" s="88"/>
      <c r="C54" s="88">
        <v>41</v>
      </c>
      <c r="D54" s="1" t="s">
        <v>200</v>
      </c>
      <c r="E54" s="151">
        <f>'CANTIDAD DE OBRA'!G53</f>
        <v>21.419999999999998</v>
      </c>
      <c r="F54" s="89">
        <v>0</v>
      </c>
      <c r="G54" s="184">
        <f t="shared" si="6"/>
        <v>0</v>
      </c>
      <c r="H54" s="89">
        <v>0</v>
      </c>
      <c r="I54" s="184">
        <f t="shared" si="7"/>
        <v>0</v>
      </c>
      <c r="J54" s="89">
        <v>0</v>
      </c>
      <c r="K54" s="184">
        <f t="shared" si="8"/>
        <v>0</v>
      </c>
      <c r="L54" s="89">
        <v>0</v>
      </c>
      <c r="M54" s="184">
        <f t="shared" si="4"/>
        <v>0</v>
      </c>
      <c r="N54" s="89">
        <f t="shared" si="5"/>
        <v>0</v>
      </c>
      <c r="O54" s="113">
        <f t="shared" si="10"/>
        <v>0</v>
      </c>
    </row>
    <row r="55" spans="1:15" s="1" customFormat="1" ht="19.95" customHeight="1">
      <c r="A55" s="88"/>
      <c r="B55" s="88"/>
      <c r="C55" s="88" t="s">
        <v>225</v>
      </c>
      <c r="D55" s="1" t="s">
        <v>202</v>
      </c>
      <c r="E55" s="151">
        <f>'CANTIDAD DE OBRA'!G54</f>
        <v>42.839999999999996</v>
      </c>
      <c r="F55" s="89">
        <v>0</v>
      </c>
      <c r="G55" s="184">
        <f t="shared" si="6"/>
        <v>0</v>
      </c>
      <c r="H55" s="89">
        <v>0</v>
      </c>
      <c r="I55" s="184">
        <f t="shared" si="7"/>
        <v>0</v>
      </c>
      <c r="J55" s="89">
        <v>0</v>
      </c>
      <c r="K55" s="184">
        <f t="shared" si="8"/>
        <v>0</v>
      </c>
      <c r="L55" s="89">
        <v>0</v>
      </c>
      <c r="M55" s="184">
        <f t="shared" si="4"/>
        <v>0</v>
      </c>
      <c r="N55" s="89">
        <f t="shared" si="5"/>
        <v>0</v>
      </c>
      <c r="O55" s="113">
        <f t="shared" si="10"/>
        <v>0</v>
      </c>
    </row>
    <row r="56" spans="1:15" s="1" customFormat="1" ht="19.95" customHeight="1">
      <c r="A56" s="88"/>
      <c r="B56" s="88"/>
      <c r="C56" s="88">
        <v>42</v>
      </c>
      <c r="D56" s="1" t="s">
        <v>213</v>
      </c>
      <c r="E56" s="151">
        <f>'CANTIDAD DE OBRA'!G55</f>
        <v>182.27200000000002</v>
      </c>
      <c r="F56" s="89">
        <v>0</v>
      </c>
      <c r="G56" s="184">
        <f t="shared" si="6"/>
        <v>0</v>
      </c>
      <c r="H56" s="89">
        <v>0</v>
      </c>
      <c r="I56" s="184">
        <f t="shared" si="7"/>
        <v>0</v>
      </c>
      <c r="J56" s="89">
        <v>0</v>
      </c>
      <c r="K56" s="184">
        <f t="shared" si="8"/>
        <v>0</v>
      </c>
      <c r="L56" s="89">
        <v>0</v>
      </c>
      <c r="M56" s="184">
        <f t="shared" si="4"/>
        <v>0</v>
      </c>
      <c r="N56" s="89">
        <f t="shared" si="5"/>
        <v>0</v>
      </c>
      <c r="O56" s="113">
        <f t="shared" si="10"/>
        <v>0</v>
      </c>
    </row>
    <row r="57" spans="1:15" s="1" customFormat="1" ht="19.95" customHeight="1">
      <c r="A57" s="88"/>
      <c r="B57" s="88"/>
      <c r="C57" s="88">
        <v>43</v>
      </c>
      <c r="D57" s="1" t="s">
        <v>209</v>
      </c>
      <c r="E57" s="151">
        <f>'CANTIDAD DE OBRA'!G56</f>
        <v>24.919999999999998</v>
      </c>
      <c r="F57" s="89">
        <v>0</v>
      </c>
      <c r="G57" s="184">
        <f t="shared" si="6"/>
        <v>0</v>
      </c>
      <c r="H57" s="89">
        <v>0</v>
      </c>
      <c r="I57" s="184">
        <f t="shared" si="7"/>
        <v>0</v>
      </c>
      <c r="J57" s="89">
        <v>0</v>
      </c>
      <c r="K57" s="184">
        <f t="shared" si="8"/>
        <v>0</v>
      </c>
      <c r="L57" s="89">
        <v>0</v>
      </c>
      <c r="M57" s="184">
        <f t="shared" si="4"/>
        <v>0</v>
      </c>
      <c r="N57" s="89">
        <f t="shared" si="5"/>
        <v>0</v>
      </c>
      <c r="O57" s="113">
        <f t="shared" si="10"/>
        <v>0</v>
      </c>
    </row>
    <row r="58" spans="1:15" s="1" customFormat="1" ht="19.95" customHeight="1">
      <c r="A58" s="88"/>
      <c r="B58" s="88"/>
      <c r="C58" s="88">
        <v>44</v>
      </c>
      <c r="D58" s="1" t="s">
        <v>121</v>
      </c>
      <c r="E58" s="151">
        <f>'CANTIDAD DE OBRA'!G57</f>
        <v>51.62</v>
      </c>
      <c r="F58" s="89">
        <v>0</v>
      </c>
      <c r="G58" s="184">
        <f t="shared" si="6"/>
        <v>0</v>
      </c>
      <c r="H58" s="89">
        <v>0</v>
      </c>
      <c r="I58" s="184">
        <f t="shared" si="7"/>
        <v>0</v>
      </c>
      <c r="J58" s="89">
        <v>0</v>
      </c>
      <c r="K58" s="184">
        <f t="shared" si="8"/>
        <v>0</v>
      </c>
      <c r="L58" s="89">
        <v>0</v>
      </c>
      <c r="M58" s="184">
        <f t="shared" si="4"/>
        <v>0</v>
      </c>
      <c r="N58" s="89">
        <f t="shared" si="5"/>
        <v>0</v>
      </c>
      <c r="O58" s="113">
        <f t="shared" si="10"/>
        <v>0</v>
      </c>
    </row>
    <row r="59" spans="1:15" s="1" customFormat="1" ht="19.95" customHeight="1">
      <c r="A59" s="88"/>
      <c r="B59" s="88"/>
      <c r="C59" s="88">
        <v>45</v>
      </c>
      <c r="D59" s="1" t="s">
        <v>211</v>
      </c>
      <c r="E59" s="151">
        <f>'CANTIDAD DE OBRA'!G58</f>
        <v>42.72</v>
      </c>
      <c r="F59" s="89">
        <v>0</v>
      </c>
      <c r="G59" s="184">
        <f t="shared" si="6"/>
        <v>0</v>
      </c>
      <c r="H59" s="89">
        <v>0</v>
      </c>
      <c r="I59" s="184">
        <f t="shared" si="7"/>
        <v>0</v>
      </c>
      <c r="J59" s="89">
        <v>0</v>
      </c>
      <c r="K59" s="184">
        <f t="shared" si="8"/>
        <v>0</v>
      </c>
      <c r="L59" s="89">
        <v>0</v>
      </c>
      <c r="M59" s="184">
        <f t="shared" si="4"/>
        <v>0</v>
      </c>
      <c r="N59" s="89">
        <f t="shared" si="5"/>
        <v>0</v>
      </c>
      <c r="O59" s="113">
        <f t="shared" si="10"/>
        <v>0</v>
      </c>
    </row>
    <row r="60" spans="1:15" s="1" customFormat="1" ht="19.95" customHeight="1">
      <c r="A60" s="88"/>
      <c r="B60" s="88"/>
      <c r="C60" s="88">
        <v>46</v>
      </c>
      <c r="D60" s="1" t="s">
        <v>200</v>
      </c>
      <c r="E60" s="151">
        <f>'CANTIDAD DE OBRA'!G59</f>
        <v>10.584</v>
      </c>
      <c r="F60" s="89">
        <v>0</v>
      </c>
      <c r="G60" s="184">
        <f t="shared" si="6"/>
        <v>0</v>
      </c>
      <c r="H60" s="89">
        <v>0</v>
      </c>
      <c r="I60" s="184">
        <f t="shared" si="7"/>
        <v>0</v>
      </c>
      <c r="J60" s="89">
        <v>0</v>
      </c>
      <c r="K60" s="184">
        <f t="shared" si="8"/>
        <v>0</v>
      </c>
      <c r="L60" s="89">
        <v>0</v>
      </c>
      <c r="M60" s="184">
        <f t="shared" si="4"/>
        <v>0</v>
      </c>
      <c r="N60" s="89">
        <f t="shared" si="5"/>
        <v>0</v>
      </c>
      <c r="O60" s="113">
        <f t="shared" si="10"/>
        <v>0</v>
      </c>
    </row>
    <row r="61" spans="1:15" s="1" customFormat="1" ht="19.95" customHeight="1">
      <c r="A61" s="88"/>
      <c r="B61" s="88"/>
      <c r="C61" s="88" t="s">
        <v>226</v>
      </c>
      <c r="D61" s="1" t="s">
        <v>202</v>
      </c>
      <c r="E61" s="151">
        <f>'CANTIDAD DE OBRA'!G60</f>
        <v>21.167999999999999</v>
      </c>
      <c r="F61" s="89">
        <v>0</v>
      </c>
      <c r="G61" s="184">
        <f t="shared" si="6"/>
        <v>0</v>
      </c>
      <c r="H61" s="89">
        <v>0</v>
      </c>
      <c r="I61" s="184">
        <f t="shared" si="7"/>
        <v>0</v>
      </c>
      <c r="J61" s="89">
        <v>0</v>
      </c>
      <c r="K61" s="184">
        <f t="shared" si="8"/>
        <v>0</v>
      </c>
      <c r="L61" s="89">
        <v>0</v>
      </c>
      <c r="M61" s="184">
        <f t="shared" si="4"/>
        <v>0</v>
      </c>
      <c r="N61" s="89">
        <f t="shared" si="5"/>
        <v>0</v>
      </c>
      <c r="O61" s="113">
        <f t="shared" si="10"/>
        <v>0</v>
      </c>
    </row>
    <row r="62" spans="1:15" s="1" customFormat="1" ht="19.95" customHeight="1">
      <c r="A62" s="88"/>
      <c r="B62" s="88"/>
      <c r="C62" s="88">
        <v>47</v>
      </c>
      <c r="D62" s="1" t="s">
        <v>211</v>
      </c>
      <c r="E62" s="151">
        <f>'CANTIDAD DE OBRA'!G61</f>
        <v>90.424000000000007</v>
      </c>
      <c r="F62" s="89">
        <v>0</v>
      </c>
      <c r="G62" s="184">
        <f t="shared" si="6"/>
        <v>0</v>
      </c>
      <c r="H62" s="89">
        <v>0</v>
      </c>
      <c r="I62" s="184">
        <f t="shared" si="7"/>
        <v>0</v>
      </c>
      <c r="J62" s="89">
        <v>0</v>
      </c>
      <c r="K62" s="184">
        <f t="shared" si="8"/>
        <v>0</v>
      </c>
      <c r="L62" s="89">
        <v>0</v>
      </c>
      <c r="M62" s="184">
        <f t="shared" si="4"/>
        <v>0</v>
      </c>
      <c r="N62" s="89">
        <f t="shared" si="5"/>
        <v>0</v>
      </c>
      <c r="O62" s="113">
        <f t="shared" si="10"/>
        <v>0</v>
      </c>
    </row>
    <row r="63" spans="1:15" s="1" customFormat="1" ht="19.95" customHeight="1">
      <c r="A63" s="88"/>
      <c r="B63" s="88"/>
      <c r="C63" s="88"/>
      <c r="E63" s="89"/>
      <c r="F63" s="89"/>
      <c r="G63" s="184"/>
      <c r="H63" s="89"/>
      <c r="I63" s="184"/>
      <c r="J63" s="89"/>
      <c r="K63" s="184"/>
      <c r="L63" s="184"/>
      <c r="M63" s="184"/>
      <c r="N63" s="89"/>
      <c r="O63" s="184"/>
    </row>
    <row r="64" spans="1:15" s="1" customFormat="1" ht="19.95" customHeight="1">
      <c r="A64" s="88"/>
      <c r="B64" s="88"/>
      <c r="C64" s="88"/>
      <c r="E64" s="118">
        <f>SUM(E8:E63)</f>
        <v>4308.1620000000003</v>
      </c>
      <c r="F64" s="115">
        <f>SUM(F8:F63)</f>
        <v>345.32</v>
      </c>
      <c r="G64" s="187">
        <f>F64/$E$64</f>
        <v>8.015483168924474E-2</v>
      </c>
      <c r="H64" s="115">
        <f>SUM(H8:H63)</f>
        <v>748.1400000000001</v>
      </c>
      <c r="I64" s="187">
        <f>H64/$E$64</f>
        <v>0.17365642239080148</v>
      </c>
      <c r="J64" s="115">
        <f>SUM(J8:J63)</f>
        <v>197.4</v>
      </c>
      <c r="K64" s="187">
        <f>J64/$E$64</f>
        <v>4.5820003983137125E-2</v>
      </c>
      <c r="L64" s="186">
        <f>SUM(L8:L63)</f>
        <v>0</v>
      </c>
      <c r="M64" s="187">
        <f>L64/$E$64</f>
        <v>0</v>
      </c>
      <c r="N64" s="96">
        <f>SUM(N8:N62)</f>
        <v>1290.8600000000001</v>
      </c>
      <c r="O64" s="188">
        <f>N64/E64</f>
        <v>0.29963125806318336</v>
      </c>
    </row>
    <row r="65" spans="1:15" s="1" customFormat="1" ht="19.95" customHeight="1">
      <c r="A65" s="88"/>
      <c r="B65" s="88"/>
      <c r="C65" s="88"/>
      <c r="E65" s="89"/>
      <c r="F65" s="89"/>
      <c r="G65" s="184"/>
      <c r="H65" s="89"/>
      <c r="I65" s="184"/>
      <c r="J65" s="89"/>
      <c r="K65" s="184"/>
      <c r="L65" s="184"/>
      <c r="M65" s="184"/>
      <c r="N65" s="89"/>
      <c r="O65" s="184"/>
    </row>
    <row r="66" spans="1:15" s="1" customFormat="1" ht="27.6" customHeight="1">
      <c r="A66" s="120"/>
      <c r="B66" s="120"/>
      <c r="C66" s="120"/>
      <c r="D66" s="121" t="s">
        <v>181</v>
      </c>
      <c r="E66" s="122"/>
      <c r="F66" s="122"/>
      <c r="G66" s="122"/>
      <c r="H66" s="122"/>
      <c r="I66" s="122"/>
      <c r="J66" s="122"/>
      <c r="K66" s="122"/>
      <c r="L66" s="122"/>
      <c r="M66" s="81"/>
    </row>
    <row r="67" spans="1:15" s="1" customFormat="1" ht="19.95" customHeight="1">
      <c r="A67" s="123"/>
      <c r="B67" s="123"/>
      <c r="C67" s="123"/>
      <c r="D67" s="110"/>
      <c r="E67" s="110" t="s">
        <v>156</v>
      </c>
      <c r="F67" s="110"/>
      <c r="G67" s="110"/>
      <c r="H67" s="110"/>
      <c r="I67" s="110"/>
      <c r="J67" s="110"/>
      <c r="K67" s="110"/>
      <c r="L67" s="110"/>
      <c r="M67" s="110"/>
    </row>
    <row r="68" spans="1:15" s="1" customFormat="1" ht="32.4" customHeight="1">
      <c r="A68" s="124"/>
      <c r="B68" s="124"/>
      <c r="C68" s="124"/>
      <c r="D68" s="83"/>
      <c r="E68" s="84" t="s">
        <v>97</v>
      </c>
      <c r="F68" s="257" t="s">
        <v>157</v>
      </c>
      <c r="G68" s="257"/>
      <c r="H68" s="257"/>
      <c r="I68" s="257"/>
      <c r="J68" s="111"/>
      <c r="K68" s="111"/>
      <c r="L68" s="256" t="s">
        <v>158</v>
      </c>
      <c r="M68" s="256"/>
    </row>
    <row r="69" spans="1:15" s="1" customFormat="1" ht="19.95" customHeight="1">
      <c r="A69" s="124"/>
      <c r="B69" s="124"/>
      <c r="C69" s="124"/>
      <c r="D69" s="83"/>
      <c r="E69" s="84"/>
      <c r="F69" s="255" t="s">
        <v>168</v>
      </c>
      <c r="G69" s="255"/>
      <c r="H69" s="255" t="s">
        <v>160</v>
      </c>
      <c r="I69" s="255"/>
      <c r="J69" s="255" t="s">
        <v>161</v>
      </c>
      <c r="K69" s="255"/>
      <c r="L69" s="82"/>
      <c r="M69" s="82"/>
    </row>
    <row r="70" spans="1:15" s="1" customFormat="1" ht="19.95" customHeight="1">
      <c r="A70" s="124"/>
      <c r="B70" s="124"/>
      <c r="C70" s="124"/>
      <c r="D70" s="82" t="s">
        <v>91</v>
      </c>
      <c r="E70" s="82" t="s">
        <v>139</v>
      </c>
      <c r="F70" s="82" t="s">
        <v>139</v>
      </c>
      <c r="G70" s="84" t="s">
        <v>163</v>
      </c>
      <c r="H70" s="82" t="s">
        <v>139</v>
      </c>
      <c r="I70" s="84" t="s">
        <v>163</v>
      </c>
      <c r="J70" s="82" t="s">
        <v>139</v>
      </c>
      <c r="K70" s="84" t="s">
        <v>163</v>
      </c>
      <c r="L70" s="82" t="s">
        <v>139</v>
      </c>
      <c r="M70" s="84" t="s">
        <v>163</v>
      </c>
    </row>
    <row r="71" spans="1:15" s="1" customFormat="1" ht="18" customHeight="1">
      <c r="A71" s="86"/>
      <c r="B71" s="87"/>
      <c r="C71" s="88"/>
      <c r="D71" s="125" t="s">
        <v>165</v>
      </c>
      <c r="E71" s="89">
        <f>E8</f>
        <v>345.32</v>
      </c>
      <c r="F71" s="89">
        <f>N8</f>
        <v>345.32</v>
      </c>
      <c r="G71" s="112">
        <f t="shared" ref="G71:G74" si="11">F71/E71</f>
        <v>1</v>
      </c>
      <c r="H71" s="89">
        <f>H23</f>
        <v>0</v>
      </c>
      <c r="I71" s="112">
        <f t="shared" ref="I71:I74" si="12">H71/E71</f>
        <v>0</v>
      </c>
      <c r="J71" s="89">
        <f>J23</f>
        <v>0</v>
      </c>
      <c r="K71" s="112">
        <f t="shared" ref="K71:K74" si="13">J71/E71</f>
        <v>0</v>
      </c>
      <c r="L71" s="89">
        <f>F71+H71+J71</f>
        <v>345.32</v>
      </c>
      <c r="M71" s="113">
        <f>L71/E71</f>
        <v>1</v>
      </c>
    </row>
    <row r="72" spans="1:15" s="1" customFormat="1" ht="18" customHeight="1">
      <c r="A72" s="86"/>
      <c r="B72" s="87"/>
      <c r="C72" s="88"/>
      <c r="D72" s="125" t="s">
        <v>116</v>
      </c>
      <c r="E72" s="89">
        <f>SUM(E9:E26)</f>
        <v>1665.2540000000001</v>
      </c>
      <c r="F72" s="89">
        <f>SUM(N9:N27)</f>
        <v>945.54000000000008</v>
      </c>
      <c r="G72" s="112">
        <f t="shared" si="11"/>
        <v>0.56780527174833384</v>
      </c>
      <c r="H72" s="89">
        <v>0</v>
      </c>
      <c r="I72" s="112">
        <f t="shared" si="12"/>
        <v>0</v>
      </c>
      <c r="J72" s="89">
        <f>J28</f>
        <v>0</v>
      </c>
      <c r="K72" s="112">
        <f t="shared" si="13"/>
        <v>0</v>
      </c>
      <c r="L72" s="89">
        <f>F72+H72+J72</f>
        <v>945.54000000000008</v>
      </c>
      <c r="M72" s="113">
        <f>L72/E72</f>
        <v>0.56780527174833384</v>
      </c>
    </row>
    <row r="73" spans="1:15" ht="18" customHeight="1">
      <c r="A73" s="88"/>
      <c r="B73" s="87"/>
      <c r="C73" s="88"/>
      <c r="D73" s="125" t="s">
        <v>164</v>
      </c>
      <c r="E73" s="89">
        <f>SUM(E27:E36)</f>
        <v>549.90600000000006</v>
      </c>
      <c r="F73" s="89">
        <v>0</v>
      </c>
      <c r="G73" s="112">
        <f t="shared" si="11"/>
        <v>0</v>
      </c>
      <c r="H73" s="89">
        <v>0</v>
      </c>
      <c r="I73" s="112">
        <f t="shared" si="12"/>
        <v>0</v>
      </c>
      <c r="J73" s="89">
        <v>0</v>
      </c>
      <c r="K73" s="112">
        <f t="shared" si="13"/>
        <v>0</v>
      </c>
      <c r="L73" s="89">
        <f t="shared" ref="L73" si="14">F73+H73+J73</f>
        <v>0</v>
      </c>
      <c r="M73" s="113">
        <f>L73/E73</f>
        <v>0</v>
      </c>
      <c r="N73" s="24"/>
      <c r="O73" s="24"/>
    </row>
    <row r="74" spans="1:15" ht="18" customHeight="1">
      <c r="A74" s="88"/>
      <c r="B74" s="87"/>
      <c r="C74" s="88"/>
      <c r="D74" s="125" t="s">
        <v>101</v>
      </c>
      <c r="E74" s="89">
        <f>SUM(E37:E62)</f>
        <v>1747.682</v>
      </c>
      <c r="F74" s="89">
        <f>F52</f>
        <v>0</v>
      </c>
      <c r="G74" s="112">
        <f t="shared" si="11"/>
        <v>0</v>
      </c>
      <c r="H74" s="89">
        <f>H52</f>
        <v>0</v>
      </c>
      <c r="I74" s="112">
        <f t="shared" si="12"/>
        <v>0</v>
      </c>
      <c r="J74" s="89">
        <v>0</v>
      </c>
      <c r="K74" s="112">
        <f t="shared" si="13"/>
        <v>0</v>
      </c>
      <c r="L74" s="89">
        <v>0</v>
      </c>
      <c r="M74" s="113">
        <f>L74/E74</f>
        <v>0</v>
      </c>
      <c r="N74" s="24"/>
      <c r="O74" s="24"/>
    </row>
    <row r="75" spans="1:15" ht="18" customHeight="1">
      <c r="A75" s="88"/>
      <c r="B75" s="88"/>
      <c r="C75" s="88"/>
      <c r="D75" s="1"/>
      <c r="E75" s="88"/>
      <c r="F75" s="88"/>
      <c r="G75" s="95"/>
      <c r="H75" s="95"/>
      <c r="I75" s="95"/>
      <c r="J75" s="95"/>
      <c r="K75" s="95"/>
      <c r="L75" s="89"/>
      <c r="M75" s="89"/>
      <c r="N75" s="24"/>
      <c r="O75" s="24"/>
    </row>
    <row r="76" spans="1:15" ht="18" customHeight="1">
      <c r="A76" s="88"/>
      <c r="B76" s="88"/>
      <c r="C76" s="88"/>
      <c r="D76" s="114"/>
      <c r="E76" s="115">
        <f>SUM(E71:E75)</f>
        <v>4308.1620000000003</v>
      </c>
      <c r="F76" s="116">
        <f>SUM(F71:F75)</f>
        <v>1290.8600000000001</v>
      </c>
      <c r="G76" s="117">
        <f>F76/E76</f>
        <v>0.29963125806318336</v>
      </c>
      <c r="H76" s="116">
        <f>SUM(H71:H75)</f>
        <v>0</v>
      </c>
      <c r="I76" s="117">
        <f>H76/E76</f>
        <v>0</v>
      </c>
      <c r="J76" s="116">
        <f>SUM(J71:J75)</f>
        <v>0</v>
      </c>
      <c r="K76" s="126">
        <f>J76/E76</f>
        <v>0</v>
      </c>
      <c r="L76" s="115">
        <f>SUM(L71:L75)</f>
        <v>1290.8600000000001</v>
      </c>
      <c r="M76" s="127">
        <f>L76/E76</f>
        <v>0.29963125806318336</v>
      </c>
      <c r="N76" s="24"/>
      <c r="O76" s="24"/>
    </row>
    <row r="77" spans="1:15" ht="18" customHeight="1">
      <c r="A77" s="88"/>
      <c r="B77" s="88"/>
      <c r="C77" s="88"/>
      <c r="D77" s="1"/>
      <c r="E77" s="88"/>
      <c r="F77" s="88"/>
      <c r="G77" s="88"/>
      <c r="H77" s="88"/>
      <c r="I77" s="88"/>
      <c r="J77" s="88"/>
      <c r="K77" s="88"/>
      <c r="L77" s="128">
        <f>E76-L76</f>
        <v>3017.3020000000001</v>
      </c>
      <c r="M77" s="129">
        <f>L77/E76</f>
        <v>0.70036874193681664</v>
      </c>
      <c r="N77" s="24"/>
      <c r="O77" s="24"/>
    </row>
    <row r="78" spans="1:15" s="1" customFormat="1" ht="19.95" customHeight="1">
      <c r="A78" s="88"/>
      <c r="B78" s="88"/>
      <c r="C78" s="88"/>
      <c r="E78" s="89"/>
      <c r="F78" s="89"/>
      <c r="G78" s="184"/>
      <c r="H78" s="89"/>
      <c r="I78" s="184"/>
      <c r="J78" s="89"/>
      <c r="K78" s="184"/>
      <c r="L78" s="184"/>
      <c r="M78" s="184"/>
      <c r="N78" s="89"/>
      <c r="O78" s="184"/>
    </row>
    <row r="79" spans="1:15" s="1" customFormat="1" ht="19.95" customHeight="1">
      <c r="A79" s="88"/>
      <c r="B79" s="88"/>
      <c r="C79" s="88"/>
      <c r="E79" s="89"/>
      <c r="F79" s="89"/>
      <c r="G79" s="184"/>
      <c r="H79" s="89"/>
      <c r="I79" s="184"/>
      <c r="J79" s="89"/>
      <c r="K79" s="184"/>
      <c r="L79" s="184"/>
      <c r="M79" s="184"/>
      <c r="N79" s="89"/>
      <c r="O79" s="184"/>
    </row>
    <row r="80" spans="1:15" s="1" customFormat="1" ht="19.95" customHeight="1">
      <c r="A80" s="88"/>
      <c r="B80" s="88"/>
      <c r="C80" s="88"/>
      <c r="E80" s="89"/>
      <c r="F80" s="89"/>
      <c r="G80" s="184"/>
      <c r="H80" s="89"/>
      <c r="I80" s="184"/>
      <c r="J80" s="89"/>
      <c r="K80" s="184"/>
      <c r="L80" s="184"/>
      <c r="M80" s="184"/>
      <c r="N80" s="89"/>
      <c r="O80" s="184"/>
    </row>
    <row r="81" spans="1:15" s="1" customFormat="1" ht="19.95" customHeight="1">
      <c r="A81" s="88"/>
      <c r="B81" s="88"/>
      <c r="C81" s="88"/>
      <c r="E81" s="89"/>
      <c r="F81" s="89"/>
      <c r="G81" s="184"/>
      <c r="H81" s="89"/>
      <c r="I81" s="184"/>
      <c r="J81" s="89"/>
      <c r="K81" s="184"/>
      <c r="L81" s="184"/>
      <c r="M81" s="184"/>
      <c r="N81" s="89"/>
      <c r="O81" s="184"/>
    </row>
    <row r="82" spans="1:15" s="1" customFormat="1" ht="19.95" customHeight="1">
      <c r="A82" s="88"/>
      <c r="B82" s="88"/>
      <c r="C82" s="88"/>
      <c r="E82" s="89"/>
      <c r="F82" s="89"/>
      <c r="G82" s="184"/>
      <c r="H82" s="89"/>
      <c r="I82" s="184"/>
      <c r="J82" s="89"/>
      <c r="K82" s="184"/>
      <c r="L82" s="184"/>
      <c r="M82" s="184"/>
      <c r="N82" s="89"/>
      <c r="O82" s="184"/>
    </row>
    <row r="83" spans="1:15" s="1" customFormat="1" ht="19.95" customHeight="1">
      <c r="A83" s="88"/>
      <c r="B83" s="88"/>
      <c r="C83" s="88"/>
      <c r="E83" s="89"/>
      <c r="F83" s="89"/>
      <c r="G83" s="184"/>
      <c r="H83" s="89"/>
      <c r="I83" s="184"/>
      <c r="J83" s="89"/>
      <c r="K83" s="184"/>
      <c r="L83" s="184"/>
      <c r="M83" s="184"/>
      <c r="N83" s="89"/>
      <c r="O83" s="184"/>
    </row>
    <row r="84" spans="1:15" s="1" customFormat="1" ht="19.95" customHeight="1">
      <c r="A84" s="88"/>
      <c r="B84" s="88"/>
      <c r="C84" s="88"/>
      <c r="E84" s="89"/>
      <c r="F84" s="89"/>
      <c r="G84" s="184"/>
      <c r="H84" s="89"/>
      <c r="I84" s="184"/>
      <c r="J84" s="89"/>
      <c r="K84" s="184"/>
      <c r="L84" s="184"/>
      <c r="M84" s="184"/>
      <c r="N84" s="89"/>
      <c r="O84" s="184"/>
    </row>
    <row r="85" spans="1:15" s="1" customFormat="1" ht="19.95" customHeight="1">
      <c r="A85" s="88"/>
      <c r="B85" s="88"/>
      <c r="C85" s="88"/>
      <c r="E85" s="89"/>
      <c r="F85" s="89"/>
      <c r="G85" s="184"/>
      <c r="H85" s="89"/>
      <c r="I85" s="184"/>
      <c r="J85" s="89"/>
      <c r="K85" s="184"/>
      <c r="L85" s="184"/>
      <c r="M85" s="184"/>
      <c r="N85" s="89"/>
      <c r="O85" s="184"/>
    </row>
    <row r="86" spans="1:15" s="1" customFormat="1" ht="19.95" customHeight="1">
      <c r="A86" s="88"/>
      <c r="B86" s="88"/>
      <c r="C86" s="88"/>
      <c r="E86" s="89"/>
      <c r="F86" s="89"/>
      <c r="G86" s="184"/>
      <c r="H86" s="89"/>
      <c r="I86" s="184"/>
      <c r="J86" s="89"/>
      <c r="K86" s="184"/>
      <c r="L86" s="184"/>
      <c r="M86" s="184"/>
      <c r="N86" s="89"/>
      <c r="O86" s="184"/>
    </row>
    <row r="87" spans="1:15" s="1" customFormat="1" ht="19.95" customHeight="1">
      <c r="A87" s="88"/>
      <c r="B87" s="88"/>
      <c r="C87" s="88"/>
      <c r="E87" s="89"/>
      <c r="F87" s="89"/>
      <c r="G87" s="184"/>
      <c r="H87" s="89"/>
      <c r="I87" s="184"/>
      <c r="J87" s="89"/>
      <c r="K87" s="184"/>
      <c r="L87" s="184"/>
      <c r="M87" s="184"/>
      <c r="N87" s="89"/>
      <c r="O87" s="184"/>
    </row>
    <row r="88" spans="1:15" s="1" customFormat="1" ht="19.95" customHeight="1">
      <c r="A88" s="88"/>
      <c r="B88" s="88"/>
      <c r="C88" s="88"/>
      <c r="E88" s="89"/>
      <c r="F88" s="89"/>
      <c r="G88" s="184"/>
      <c r="H88" s="89"/>
      <c r="I88" s="184"/>
      <c r="J88" s="89"/>
      <c r="K88" s="184"/>
      <c r="L88" s="184"/>
      <c r="M88" s="184"/>
      <c r="N88" s="89"/>
      <c r="O88" s="184"/>
    </row>
    <row r="89" spans="1:15" s="1" customFormat="1" ht="19.95" customHeight="1">
      <c r="A89" s="88"/>
      <c r="B89" s="88"/>
      <c r="C89" s="88"/>
      <c r="E89" s="89"/>
      <c r="F89" s="89"/>
      <c r="G89" s="184"/>
      <c r="H89" s="89"/>
      <c r="I89" s="184"/>
      <c r="J89" s="89"/>
      <c r="K89" s="184"/>
      <c r="L89" s="184"/>
      <c r="M89" s="184"/>
      <c r="N89" s="89"/>
      <c r="O89" s="184"/>
    </row>
    <row r="90" spans="1:15" s="1" customFormat="1" ht="19.95" customHeight="1">
      <c r="A90" s="88"/>
      <c r="B90" s="88"/>
      <c r="C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</row>
    <row r="91" spans="1:15" s="1" customFormat="1" ht="19.95" customHeight="1">
      <c r="A91" s="88"/>
      <c r="B91" s="88"/>
      <c r="C91" s="88"/>
      <c r="D91" s="182"/>
      <c r="E91" s="95"/>
      <c r="F91" s="95"/>
      <c r="G91" s="183"/>
      <c r="H91" s="95"/>
      <c r="I91" s="183"/>
      <c r="J91" s="95"/>
      <c r="K91" s="183"/>
      <c r="L91" s="183"/>
      <c r="M91" s="183"/>
      <c r="N91" s="95"/>
      <c r="O91" s="183"/>
    </row>
    <row r="92" spans="1:15" s="1" customFormat="1" ht="19.8" customHeight="1">
      <c r="A92" s="88"/>
      <c r="B92" s="88"/>
      <c r="C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</row>
    <row r="93" spans="1:15" s="1" customFormat="1" ht="19.95" customHeight="1">
      <c r="A93" s="88"/>
      <c r="B93" s="87"/>
      <c r="C93" s="88"/>
      <c r="E93" s="89"/>
      <c r="F93" s="89"/>
      <c r="G93" s="184"/>
      <c r="H93" s="89"/>
      <c r="I93" s="184"/>
      <c r="J93" s="89"/>
      <c r="K93" s="184"/>
      <c r="L93" s="184"/>
      <c r="M93" s="184"/>
      <c r="N93" s="89"/>
      <c r="O93" s="184"/>
    </row>
    <row r="94" spans="1:15" s="1" customFormat="1" ht="19.95" customHeight="1">
      <c r="A94" s="88"/>
      <c r="B94" s="87"/>
      <c r="C94" s="88"/>
      <c r="E94" s="89"/>
      <c r="F94" s="89"/>
      <c r="G94" s="184"/>
      <c r="H94" s="89"/>
      <c r="I94" s="184"/>
      <c r="J94" s="89"/>
      <c r="K94" s="184"/>
      <c r="L94" s="184"/>
      <c r="M94" s="184"/>
      <c r="N94" s="89"/>
      <c r="O94" s="184"/>
    </row>
    <row r="95" spans="1:15" s="1" customFormat="1" ht="19.95" customHeight="1">
      <c r="A95" s="88"/>
      <c r="B95" s="87"/>
      <c r="C95" s="88"/>
      <c r="E95" s="89"/>
      <c r="F95" s="89"/>
      <c r="G95" s="184"/>
      <c r="H95" s="89"/>
      <c r="I95" s="184"/>
      <c r="J95" s="89"/>
      <c r="K95" s="184"/>
      <c r="L95" s="184"/>
      <c r="M95" s="184"/>
      <c r="N95" s="89"/>
      <c r="O95" s="184"/>
    </row>
    <row r="96" spans="1:15" s="1" customFormat="1" ht="19.95" customHeight="1">
      <c r="A96" s="88"/>
      <c r="B96" s="87"/>
      <c r="C96" s="88"/>
      <c r="E96" s="89"/>
      <c r="F96" s="89"/>
      <c r="G96" s="184"/>
      <c r="H96" s="89"/>
      <c r="I96" s="184"/>
      <c r="J96" s="89"/>
      <c r="K96" s="184"/>
      <c r="L96" s="184"/>
      <c r="M96" s="184"/>
      <c r="N96" s="89"/>
      <c r="O96" s="184"/>
    </row>
    <row r="97" spans="1:15" s="1" customFormat="1" ht="19.95" customHeight="1">
      <c r="A97" s="88"/>
      <c r="B97" s="87"/>
      <c r="C97" s="88"/>
      <c r="E97" s="89"/>
      <c r="F97" s="89"/>
      <c r="G97" s="184"/>
      <c r="H97" s="89"/>
      <c r="I97" s="184"/>
      <c r="J97" s="89"/>
      <c r="K97" s="184"/>
      <c r="L97" s="184"/>
      <c r="M97" s="184"/>
      <c r="N97" s="89"/>
      <c r="O97" s="184"/>
    </row>
    <row r="98" spans="1:15" s="1" customFormat="1" ht="19.95" customHeight="1">
      <c r="A98" s="88"/>
      <c r="B98" s="87"/>
      <c r="C98" s="88"/>
      <c r="E98" s="89"/>
      <c r="F98" s="89"/>
      <c r="G98" s="184"/>
      <c r="H98" s="89"/>
      <c r="I98" s="184"/>
      <c r="J98" s="89"/>
      <c r="K98" s="184"/>
      <c r="L98" s="184"/>
      <c r="M98" s="184"/>
      <c r="N98" s="89"/>
      <c r="O98" s="184"/>
    </row>
    <row r="99" spans="1:15" s="1" customFormat="1" ht="19.95" customHeight="1">
      <c r="A99" s="88"/>
      <c r="B99" s="88"/>
      <c r="C99" s="88"/>
      <c r="E99" s="89"/>
      <c r="F99" s="89"/>
      <c r="G99" s="184"/>
      <c r="H99" s="89"/>
      <c r="I99" s="184"/>
      <c r="J99" s="89"/>
      <c r="K99" s="184"/>
      <c r="L99" s="184"/>
      <c r="M99" s="184"/>
      <c r="N99" s="89"/>
      <c r="O99" s="184"/>
    </row>
    <row r="100" spans="1:15" s="1" customFormat="1" ht="19.95" customHeight="1">
      <c r="A100" s="88"/>
      <c r="B100" s="88"/>
      <c r="C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</row>
    <row r="101" spans="1:15" s="1" customFormat="1" ht="19.95" customHeight="1">
      <c r="A101" s="88"/>
      <c r="B101" s="88"/>
      <c r="C101" s="88"/>
      <c r="D101" s="182"/>
      <c r="E101" s="95"/>
      <c r="F101" s="95"/>
      <c r="G101" s="183"/>
      <c r="H101" s="95"/>
      <c r="I101" s="183"/>
      <c r="J101" s="95"/>
      <c r="K101" s="183"/>
      <c r="L101" s="183"/>
      <c r="M101" s="183"/>
      <c r="N101" s="95"/>
      <c r="O101" s="183"/>
    </row>
    <row r="102" spans="1:15" s="1" customFormat="1" ht="19.95" customHeight="1">
      <c r="A102" s="88"/>
      <c r="B102" s="88"/>
      <c r="C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</row>
    <row r="103" spans="1:15" s="1" customFormat="1" ht="19.95" customHeight="1">
      <c r="A103" s="88"/>
      <c r="B103" s="87"/>
      <c r="C103" s="88"/>
      <c r="E103" s="89"/>
      <c r="F103" s="89"/>
      <c r="G103" s="184"/>
      <c r="H103" s="89"/>
      <c r="I103" s="184"/>
      <c r="J103" s="89"/>
      <c r="K103" s="184"/>
      <c r="L103" s="184"/>
      <c r="M103" s="184"/>
      <c r="N103" s="89"/>
      <c r="O103" s="184"/>
    </row>
    <row r="104" spans="1:15" s="1" customFormat="1" ht="19.95" customHeight="1">
      <c r="A104" s="88"/>
      <c r="B104" s="88"/>
      <c r="C104" s="88"/>
      <c r="E104" s="88"/>
      <c r="F104" s="88"/>
      <c r="G104" s="88"/>
      <c r="H104" s="88"/>
      <c r="I104" s="88"/>
      <c r="J104" s="88"/>
      <c r="K104" s="88"/>
      <c r="L104" s="88"/>
      <c r="M104" s="88"/>
    </row>
    <row r="105" spans="1:15" s="1" customFormat="1" ht="19.95" customHeight="1">
      <c r="A105" s="88"/>
      <c r="B105" s="88"/>
      <c r="C105" s="88"/>
      <c r="D105" s="182"/>
      <c r="E105" s="95"/>
      <c r="F105" s="95"/>
      <c r="G105" s="183"/>
      <c r="H105" s="95"/>
      <c r="I105" s="183"/>
      <c r="J105" s="95"/>
      <c r="K105" s="183"/>
      <c r="L105" s="183"/>
      <c r="M105" s="183"/>
      <c r="N105" s="95"/>
      <c r="O105" s="183"/>
    </row>
    <row r="106" spans="1:15" s="1" customFormat="1" ht="19.95" customHeight="1">
      <c r="A106" s="88"/>
      <c r="B106" s="88"/>
      <c r="C106" s="88"/>
      <c r="E106" s="88"/>
      <c r="F106" s="88"/>
      <c r="G106" s="88"/>
      <c r="H106" s="88"/>
      <c r="I106" s="88"/>
      <c r="J106" s="88"/>
      <c r="K106" s="88"/>
      <c r="L106" s="88"/>
      <c r="M106" s="88"/>
    </row>
    <row r="107" spans="1:15" s="1" customFormat="1" ht="27.6" customHeight="1">
      <c r="A107" s="120"/>
      <c r="B107" s="120"/>
      <c r="C107" s="120"/>
      <c r="D107" s="121" t="s">
        <v>167</v>
      </c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81"/>
    </row>
    <row r="108" spans="1:15" s="1" customFormat="1" ht="19.95" customHeight="1">
      <c r="A108" s="123"/>
      <c r="B108" s="123"/>
      <c r="C108" s="123"/>
      <c r="D108" s="110"/>
      <c r="E108" s="110" t="s">
        <v>156</v>
      </c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</row>
    <row r="109" spans="1:15" s="1" customFormat="1" ht="19.95" customHeight="1">
      <c r="A109" s="124"/>
      <c r="B109" s="124"/>
      <c r="C109" s="124"/>
      <c r="D109" s="83"/>
      <c r="E109" s="84" t="s">
        <v>97</v>
      </c>
      <c r="F109" s="257" t="s">
        <v>157</v>
      </c>
      <c r="G109" s="257"/>
      <c r="H109" s="257"/>
      <c r="I109" s="257"/>
      <c r="J109" s="111"/>
      <c r="K109" s="111"/>
      <c r="L109" s="111"/>
      <c r="M109" s="111"/>
      <c r="N109" s="256" t="s">
        <v>158</v>
      </c>
      <c r="O109" s="256"/>
    </row>
    <row r="110" spans="1:15" s="1" customFormat="1" ht="19.95" customHeight="1">
      <c r="A110" s="124"/>
      <c r="B110" s="124"/>
      <c r="C110" s="124"/>
      <c r="D110" s="83"/>
      <c r="E110" s="84"/>
      <c r="F110" s="255" t="s">
        <v>168</v>
      </c>
      <c r="G110" s="255"/>
      <c r="H110" s="255" t="s">
        <v>160</v>
      </c>
      <c r="I110" s="255"/>
      <c r="J110" s="255" t="s">
        <v>161</v>
      </c>
      <c r="K110" s="255"/>
      <c r="L110" s="82"/>
      <c r="M110" s="82"/>
      <c r="N110" s="82"/>
      <c r="O110" s="82"/>
    </row>
    <row r="111" spans="1:15" s="1" customFormat="1" ht="19.95" customHeight="1">
      <c r="A111" s="124"/>
      <c r="B111" s="124"/>
      <c r="C111" s="124"/>
      <c r="D111" s="82" t="s">
        <v>91</v>
      </c>
      <c r="E111" s="82" t="s">
        <v>139</v>
      </c>
      <c r="F111" s="82" t="s">
        <v>139</v>
      </c>
      <c r="G111" s="84" t="s">
        <v>163</v>
      </c>
      <c r="H111" s="82" t="s">
        <v>139</v>
      </c>
      <c r="I111" s="84" t="s">
        <v>163</v>
      </c>
      <c r="J111" s="82" t="s">
        <v>139</v>
      </c>
      <c r="K111" s="84" t="s">
        <v>163</v>
      </c>
      <c r="L111" s="84"/>
      <c r="M111" s="84"/>
      <c r="N111" s="82" t="s">
        <v>139</v>
      </c>
      <c r="O111" s="84" t="s">
        <v>163</v>
      </c>
    </row>
    <row r="112" spans="1:15" s="1" customFormat="1" ht="18" customHeight="1">
      <c r="A112" s="86"/>
      <c r="B112" s="87"/>
      <c r="C112" s="88"/>
      <c r="D112" s="125" t="s">
        <v>165</v>
      </c>
      <c r="E112" s="89">
        <f>E101</f>
        <v>0</v>
      </c>
      <c r="F112" s="89">
        <v>0</v>
      </c>
      <c r="G112" s="112" t="e">
        <f t="shared" ref="G112:G116" si="15">F112/E112</f>
        <v>#DIV/0!</v>
      </c>
      <c r="H112" s="89">
        <f>H2</f>
        <v>0</v>
      </c>
      <c r="I112" s="112" t="e">
        <f t="shared" ref="I112:I116" si="16">H112/E112</f>
        <v>#DIV/0!</v>
      </c>
      <c r="J112" s="89">
        <f>J2</f>
        <v>0</v>
      </c>
      <c r="K112" s="112" t="e">
        <f t="shared" ref="K112:K116" si="17">J112/E112</f>
        <v>#DIV/0!</v>
      </c>
      <c r="L112" s="112"/>
      <c r="M112" s="112"/>
      <c r="N112" s="89">
        <f>F112+H112+J112</f>
        <v>0</v>
      </c>
      <c r="O112" s="113" t="e">
        <f>N112/E112</f>
        <v>#DIV/0!</v>
      </c>
    </row>
    <row r="113" spans="1:15" s="1" customFormat="1" ht="18" customHeight="1">
      <c r="A113" s="86"/>
      <c r="B113" s="87"/>
      <c r="C113" s="88"/>
      <c r="D113" s="125" t="s">
        <v>116</v>
      </c>
      <c r="E113" s="89">
        <f>E91</f>
        <v>0</v>
      </c>
      <c r="F113" s="89">
        <v>0</v>
      </c>
      <c r="G113" s="112" t="e">
        <f t="shared" si="15"/>
        <v>#DIV/0!</v>
      </c>
      <c r="H113" s="89">
        <v>0</v>
      </c>
      <c r="I113" s="112" t="e">
        <f t="shared" si="16"/>
        <v>#DIV/0!</v>
      </c>
      <c r="J113" s="89">
        <f>J8</f>
        <v>0</v>
      </c>
      <c r="K113" s="112" t="e">
        <f t="shared" si="17"/>
        <v>#DIV/0!</v>
      </c>
      <c r="L113" s="112"/>
      <c r="M113" s="112"/>
      <c r="N113" s="89">
        <f>F113+H113+J113</f>
        <v>0</v>
      </c>
      <c r="O113" s="113" t="e">
        <f>N113/E113</f>
        <v>#DIV/0!</v>
      </c>
    </row>
    <row r="114" spans="1:15" ht="18" customHeight="1">
      <c r="A114" s="88"/>
      <c r="B114" s="87"/>
      <c r="C114" s="88"/>
      <c r="D114" s="125" t="s">
        <v>164</v>
      </c>
      <c r="E114" s="89">
        <f>E44</f>
        <v>24.919999999999998</v>
      </c>
      <c r="F114" s="89">
        <f>F22</f>
        <v>0</v>
      </c>
      <c r="G114" s="112">
        <f t="shared" si="15"/>
        <v>0</v>
      </c>
      <c r="H114" s="89">
        <v>0</v>
      </c>
      <c r="I114" s="112">
        <f t="shared" si="16"/>
        <v>0</v>
      </c>
      <c r="J114" s="89">
        <v>0</v>
      </c>
      <c r="K114" s="112">
        <f t="shared" si="17"/>
        <v>0</v>
      </c>
      <c r="L114" s="112"/>
      <c r="M114" s="112"/>
      <c r="N114" s="89">
        <f t="shared" ref="N114" si="18">F114+H114+J114</f>
        <v>0</v>
      </c>
      <c r="O114" s="113">
        <f>N114/E114</f>
        <v>0</v>
      </c>
    </row>
    <row r="115" spans="1:15" ht="18" customHeight="1">
      <c r="A115" s="88"/>
      <c r="B115" s="87"/>
      <c r="C115" s="88"/>
      <c r="D115" s="125" t="s">
        <v>101</v>
      </c>
      <c r="E115" s="89">
        <f>E34</f>
        <v>61.231999999999999</v>
      </c>
      <c r="F115" s="89">
        <f>F48</f>
        <v>0</v>
      </c>
      <c r="G115" s="112">
        <f t="shared" si="15"/>
        <v>0</v>
      </c>
      <c r="H115" s="89">
        <f>H48</f>
        <v>0</v>
      </c>
      <c r="I115" s="112">
        <f t="shared" si="16"/>
        <v>0</v>
      </c>
      <c r="J115" s="89">
        <v>0</v>
      </c>
      <c r="K115" s="112">
        <f t="shared" si="17"/>
        <v>0</v>
      </c>
      <c r="L115" s="112"/>
      <c r="M115" s="112"/>
      <c r="N115" s="89">
        <v>0</v>
      </c>
      <c r="O115" s="113">
        <f>N115/E115</f>
        <v>0</v>
      </c>
    </row>
    <row r="116" spans="1:15" ht="18" customHeight="1">
      <c r="A116" s="88"/>
      <c r="B116" s="87"/>
      <c r="C116" s="88"/>
      <c r="D116" s="125" t="s">
        <v>166</v>
      </c>
      <c r="E116" s="89">
        <f>E105</f>
        <v>0</v>
      </c>
      <c r="F116" s="89">
        <f>F49</f>
        <v>0</v>
      </c>
      <c r="G116" s="112" t="e">
        <f t="shared" si="15"/>
        <v>#DIV/0!</v>
      </c>
      <c r="H116" s="89">
        <f>H49</f>
        <v>0</v>
      </c>
      <c r="I116" s="112" t="e">
        <f t="shared" si="16"/>
        <v>#DIV/0!</v>
      </c>
      <c r="J116" s="89">
        <v>0</v>
      </c>
      <c r="K116" s="112" t="e">
        <f t="shared" si="17"/>
        <v>#DIV/0!</v>
      </c>
      <c r="L116" s="112"/>
      <c r="M116" s="112"/>
      <c r="N116" s="89">
        <f t="shared" ref="N116" si="19">F116+H116+J116</f>
        <v>0</v>
      </c>
      <c r="O116" s="113" t="e">
        <f>N116/E116</f>
        <v>#DIV/0!</v>
      </c>
    </row>
    <row r="117" spans="1:15" ht="18" customHeight="1">
      <c r="A117" s="88"/>
      <c r="B117" s="88"/>
      <c r="C117" s="88"/>
      <c r="D117" s="1"/>
      <c r="E117" s="88"/>
      <c r="F117" s="88"/>
      <c r="G117" s="95"/>
      <c r="H117" s="95"/>
      <c r="I117" s="95"/>
      <c r="J117" s="95"/>
      <c r="K117" s="95"/>
      <c r="L117" s="95"/>
      <c r="M117" s="95"/>
      <c r="N117" s="89"/>
      <c r="O117" s="89"/>
    </row>
    <row r="118" spans="1:15" ht="18" customHeight="1">
      <c r="A118" s="88"/>
      <c r="B118" s="88"/>
      <c r="C118" s="88"/>
      <c r="D118" s="114"/>
      <c r="E118" s="115">
        <f>SUM(E112:E117)</f>
        <v>86.152000000000001</v>
      </c>
      <c r="F118" s="116">
        <f>SUM(F112:F117)</f>
        <v>0</v>
      </c>
      <c r="G118" s="117">
        <f>F118/E118</f>
        <v>0</v>
      </c>
      <c r="H118" s="116">
        <f>SUM(H112:H117)</f>
        <v>0</v>
      </c>
      <c r="I118" s="117">
        <f>H118/E118</f>
        <v>0</v>
      </c>
      <c r="J118" s="116">
        <f>SUM(J112:J117)</f>
        <v>0</v>
      </c>
      <c r="K118" s="126">
        <f>J118/E118</f>
        <v>0</v>
      </c>
      <c r="L118" s="126"/>
      <c r="M118" s="126"/>
      <c r="N118" s="115">
        <f>SUM(N112:N117)</f>
        <v>0</v>
      </c>
      <c r="O118" s="127">
        <f>N118/E118</f>
        <v>0</v>
      </c>
    </row>
    <row r="119" spans="1:15" ht="18" customHeight="1">
      <c r="A119" s="88"/>
      <c r="B119" s="88"/>
      <c r="C119" s="88"/>
      <c r="D119" s="1"/>
      <c r="E119" s="88"/>
      <c r="F119" s="88"/>
      <c r="G119" s="88"/>
      <c r="H119" s="88"/>
      <c r="I119" s="88"/>
      <c r="J119" s="88"/>
      <c r="K119" s="88"/>
      <c r="L119" s="88"/>
      <c r="M119" s="88"/>
      <c r="N119" s="128">
        <f>E118-N118</f>
        <v>86.152000000000001</v>
      </c>
      <c r="O119" s="129">
        <f>N119/E118</f>
        <v>1</v>
      </c>
    </row>
    <row r="120" spans="1:15" ht="18" customHeight="1"/>
    <row r="121" spans="1:15" ht="18" customHeight="1"/>
  </sheetData>
  <mergeCells count="21">
    <mergeCell ref="F69:G69"/>
    <mergeCell ref="H69:I69"/>
    <mergeCell ref="J69:K69"/>
    <mergeCell ref="F68:I68"/>
    <mergeCell ref="L68:M68"/>
    <mergeCell ref="N109:O109"/>
    <mergeCell ref="F110:G110"/>
    <mergeCell ref="H110:I110"/>
    <mergeCell ref="J110:K110"/>
    <mergeCell ref="A2:N2"/>
    <mergeCell ref="B3:O3"/>
    <mergeCell ref="F4:I4"/>
    <mergeCell ref="N4:O4"/>
    <mergeCell ref="F5:G5"/>
    <mergeCell ref="H5:I5"/>
    <mergeCell ref="J5:K5"/>
    <mergeCell ref="F6:G6"/>
    <mergeCell ref="H6:I6"/>
    <mergeCell ref="J6:K6"/>
    <mergeCell ref="L6:M6"/>
    <mergeCell ref="F109:I109"/>
  </mergeCells>
  <phoneticPr fontId="2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66A8-4543-422B-A069-8EE324F2CF84}">
  <dimension ref="A2:O55"/>
  <sheetViews>
    <sheetView topLeftCell="A34" zoomScale="85" zoomScaleNormal="85" workbookViewId="0">
      <selection activeCell="L6" sqref="L6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4" width="12.77734375" style="24" customWidth="1"/>
    <col min="15" max="15" width="19.44140625" style="24" customWidth="1"/>
    <col min="16" max="16384" width="11.5546875" style="24"/>
  </cols>
  <sheetData>
    <row r="2" spans="1:14" ht="25.05" customHeight="1">
      <c r="A2" s="259" t="s">
        <v>87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81"/>
    </row>
    <row r="3" spans="1:14" ht="25.05" customHeight="1">
      <c r="A3" s="110"/>
      <c r="B3" s="260" t="s">
        <v>156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</row>
    <row r="4" spans="1:14" s="1" customFormat="1" ht="25.05" customHeight="1">
      <c r="A4" s="82"/>
      <c r="B4" s="82"/>
      <c r="C4" s="82"/>
      <c r="D4" s="83"/>
      <c r="E4" s="84"/>
      <c r="F4" s="257" t="s">
        <v>157</v>
      </c>
      <c r="G4" s="257"/>
      <c r="H4" s="257"/>
      <c r="I4" s="257"/>
      <c r="J4" s="111"/>
      <c r="K4" s="111"/>
      <c r="L4" s="256" t="s">
        <v>158</v>
      </c>
      <c r="M4" s="256"/>
    </row>
    <row r="5" spans="1:14" s="1" customFormat="1" ht="19.95" customHeight="1">
      <c r="A5" s="82"/>
      <c r="B5" s="82"/>
      <c r="C5" s="82"/>
      <c r="D5" s="83"/>
      <c r="E5" s="84" t="s">
        <v>97</v>
      </c>
      <c r="F5" s="255" t="s">
        <v>45</v>
      </c>
      <c r="G5" s="255"/>
      <c r="H5" s="255" t="s">
        <v>46</v>
      </c>
      <c r="I5" s="255"/>
      <c r="J5" s="255" t="s">
        <v>47</v>
      </c>
      <c r="K5" s="255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 t="s">
        <v>182</v>
      </c>
      <c r="B7" s="87" t="s">
        <v>204</v>
      </c>
      <c r="C7" s="88">
        <v>1</v>
      </c>
      <c r="D7" s="1" t="s">
        <v>124</v>
      </c>
      <c r="E7" s="89">
        <f>'CANTIDAD DE OBRA'!M5</f>
        <v>135.79999999999998</v>
      </c>
      <c r="F7" s="89">
        <f>E7*0.25</f>
        <v>33.949999999999996</v>
      </c>
      <c r="G7" s="112">
        <f>F7/E7</f>
        <v>0.25</v>
      </c>
      <c r="H7" s="89">
        <f>E7*0.75</f>
        <v>101.85</v>
      </c>
      <c r="I7" s="112">
        <f>H7/E7</f>
        <v>0.75</v>
      </c>
      <c r="J7" s="89">
        <v>0</v>
      </c>
      <c r="K7" s="112">
        <f>J7/E7</f>
        <v>0</v>
      </c>
      <c r="L7" s="89">
        <f>F7+H7+J7</f>
        <v>135.79999999999998</v>
      </c>
      <c r="M7" s="113">
        <f>L7/E7</f>
        <v>1</v>
      </c>
      <c r="N7" s="85"/>
    </row>
    <row r="8" spans="1:14" s="1" customFormat="1" ht="19.95" customHeight="1">
      <c r="A8" s="88"/>
      <c r="B8" s="87" t="s">
        <v>116</v>
      </c>
      <c r="C8" s="88">
        <v>2</v>
      </c>
      <c r="D8" s="1" t="s">
        <v>124</v>
      </c>
      <c r="E8" s="89">
        <f>'CANTIDAD DE OBRA'!M7</f>
        <v>85.399999999999991</v>
      </c>
      <c r="F8" s="89">
        <v>0</v>
      </c>
      <c r="G8" s="112">
        <f t="shared" ref="G8:G19" si="0">F8/E8</f>
        <v>0</v>
      </c>
      <c r="H8" s="89">
        <v>0</v>
      </c>
      <c r="I8" s="112">
        <f t="shared" ref="I8:I19" si="1">H8/E8</f>
        <v>0</v>
      </c>
      <c r="J8" s="89">
        <v>0</v>
      </c>
      <c r="K8" s="112">
        <f t="shared" ref="K8:K19" si="2">J8/E8</f>
        <v>0</v>
      </c>
      <c r="L8" s="89">
        <f t="shared" ref="L8:L38" si="3">F8+H8+J8</f>
        <v>0</v>
      </c>
      <c r="M8" s="113">
        <f t="shared" ref="M8:M19" si="4">L8/E8</f>
        <v>0</v>
      </c>
    </row>
    <row r="9" spans="1:14" s="1" customFormat="1" ht="19.95" customHeight="1">
      <c r="A9" s="88"/>
      <c r="B9" s="87"/>
      <c r="C9" s="88">
        <v>3</v>
      </c>
      <c r="D9" s="1" t="s">
        <v>191</v>
      </c>
      <c r="E9" s="89">
        <f>'CANTIDAD DE OBRA'!M8*0.5</f>
        <v>21.7</v>
      </c>
      <c r="F9" s="89">
        <v>0</v>
      </c>
      <c r="G9" s="112">
        <f t="shared" si="0"/>
        <v>0</v>
      </c>
      <c r="H9" s="89">
        <v>0</v>
      </c>
      <c r="I9" s="112">
        <f t="shared" si="1"/>
        <v>0</v>
      </c>
      <c r="J9" s="89">
        <v>0</v>
      </c>
      <c r="K9" s="112">
        <f t="shared" si="2"/>
        <v>0</v>
      </c>
      <c r="L9" s="89">
        <f t="shared" si="3"/>
        <v>0</v>
      </c>
      <c r="M9" s="113">
        <f t="shared" si="4"/>
        <v>0</v>
      </c>
    </row>
    <row r="10" spans="1:14" s="1" customFormat="1" ht="19.95" customHeight="1">
      <c r="A10" s="88"/>
      <c r="B10" s="86"/>
      <c r="C10" s="88">
        <v>8</v>
      </c>
      <c r="D10" s="1" t="s">
        <v>192</v>
      </c>
      <c r="E10" s="89">
        <f>'CANTIDAD DE OBRA'!M13</f>
        <v>72.52</v>
      </c>
      <c r="F10" s="89">
        <v>0</v>
      </c>
      <c r="G10" s="112">
        <f t="shared" si="0"/>
        <v>0</v>
      </c>
      <c r="H10" s="89">
        <v>0</v>
      </c>
      <c r="I10" s="112">
        <f t="shared" si="1"/>
        <v>0</v>
      </c>
      <c r="J10" s="89">
        <v>0</v>
      </c>
      <c r="K10" s="112">
        <f t="shared" si="2"/>
        <v>0</v>
      </c>
      <c r="L10" s="89">
        <f t="shared" si="3"/>
        <v>0</v>
      </c>
      <c r="M10" s="113">
        <f t="shared" si="4"/>
        <v>0</v>
      </c>
    </row>
    <row r="11" spans="1:14" s="1" customFormat="1" ht="19.8" customHeight="1">
      <c r="A11" s="88"/>
      <c r="B11" s="86"/>
      <c r="C11" s="88">
        <v>9</v>
      </c>
      <c r="D11" s="1" t="s">
        <v>195</v>
      </c>
      <c r="E11" s="89">
        <f>'CANTIDAD DE OBRA'!M15</f>
        <v>74.2</v>
      </c>
      <c r="F11" s="89">
        <v>0</v>
      </c>
      <c r="G11" s="112">
        <f t="shared" si="0"/>
        <v>0</v>
      </c>
      <c r="H11" s="89">
        <v>0</v>
      </c>
      <c r="I11" s="112">
        <f t="shared" si="1"/>
        <v>0</v>
      </c>
      <c r="J11" s="89">
        <v>0</v>
      </c>
      <c r="K11" s="112">
        <f t="shared" si="2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>
        <v>11</v>
      </c>
      <c r="D12" s="1" t="s">
        <v>195</v>
      </c>
      <c r="E12" s="89">
        <f>'CANTIDAD DE OBRA'!M18</f>
        <v>64.680000000000007</v>
      </c>
      <c r="F12" s="89">
        <v>0</v>
      </c>
      <c r="G12" s="112">
        <f t="shared" si="0"/>
        <v>0</v>
      </c>
      <c r="H12" s="89">
        <v>0</v>
      </c>
      <c r="I12" s="112">
        <f t="shared" si="1"/>
        <v>0</v>
      </c>
      <c r="J12" s="89">
        <v>0</v>
      </c>
      <c r="K12" s="112">
        <f t="shared" si="2"/>
        <v>0</v>
      </c>
      <c r="L12" s="89">
        <f t="shared" si="3"/>
        <v>0</v>
      </c>
      <c r="M12" s="113">
        <f t="shared" si="4"/>
        <v>0</v>
      </c>
    </row>
    <row r="13" spans="1:14" s="1" customFormat="1" ht="19.95" customHeight="1">
      <c r="A13" s="88"/>
      <c r="B13" s="86"/>
      <c r="C13" s="88">
        <v>13</v>
      </c>
      <c r="D13" s="1" t="s">
        <v>102</v>
      </c>
      <c r="E13" s="89">
        <f>'CANTIDAD DE OBRA'!M21</f>
        <v>74.2</v>
      </c>
      <c r="F13" s="89">
        <v>0</v>
      </c>
      <c r="G13" s="112">
        <f t="shared" si="0"/>
        <v>0</v>
      </c>
      <c r="H13" s="89">
        <v>0</v>
      </c>
      <c r="I13" s="112">
        <f t="shared" si="1"/>
        <v>0</v>
      </c>
      <c r="J13" s="89">
        <f t="shared" ref="J13:J38" si="5">G13</f>
        <v>0</v>
      </c>
      <c r="K13" s="112">
        <f t="shared" si="2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>
        <v>14</v>
      </c>
      <c r="D14" s="1" t="s">
        <v>192</v>
      </c>
      <c r="E14" s="89">
        <f>'CANTIDAD DE OBRA'!M22*0.5</f>
        <v>33.6</v>
      </c>
      <c r="F14" s="89">
        <v>0</v>
      </c>
      <c r="G14" s="112">
        <f t="shared" si="0"/>
        <v>0</v>
      </c>
      <c r="H14" s="89">
        <v>0</v>
      </c>
      <c r="I14" s="112">
        <f t="shared" si="1"/>
        <v>0</v>
      </c>
      <c r="J14" s="89">
        <f t="shared" si="5"/>
        <v>0</v>
      </c>
      <c r="K14" s="112">
        <f t="shared" si="2"/>
        <v>0</v>
      </c>
      <c r="L14" s="89">
        <f t="shared" si="3"/>
        <v>0</v>
      </c>
      <c r="M14" s="113">
        <f t="shared" si="4"/>
        <v>0</v>
      </c>
    </row>
    <row r="15" spans="1:14" s="1" customFormat="1" ht="19.95" customHeight="1">
      <c r="A15" s="88"/>
      <c r="B15" s="86"/>
      <c r="C15" s="88">
        <v>16</v>
      </c>
      <c r="D15" s="1" t="s">
        <v>192</v>
      </c>
      <c r="E15" s="89">
        <f>'CANTIDAD DE OBRA'!M24</f>
        <v>19.88</v>
      </c>
      <c r="F15" s="89">
        <v>0</v>
      </c>
      <c r="G15" s="112">
        <f t="shared" si="0"/>
        <v>0</v>
      </c>
      <c r="H15" s="89">
        <v>0</v>
      </c>
      <c r="I15" s="112">
        <f t="shared" si="1"/>
        <v>0</v>
      </c>
      <c r="J15" s="89">
        <f t="shared" si="5"/>
        <v>0</v>
      </c>
      <c r="K15" s="112">
        <f t="shared" si="2"/>
        <v>0</v>
      </c>
      <c r="L15" s="89">
        <f t="shared" si="3"/>
        <v>0</v>
      </c>
      <c r="M15" s="113">
        <f t="shared" si="4"/>
        <v>0</v>
      </c>
    </row>
    <row r="16" spans="1:14" s="1" customFormat="1" ht="19.95" customHeight="1">
      <c r="A16" s="88"/>
      <c r="B16" s="87" t="s">
        <v>205</v>
      </c>
      <c r="C16" s="88">
        <v>17</v>
      </c>
      <c r="D16" s="1" t="s">
        <v>206</v>
      </c>
      <c r="E16" s="89">
        <f>'CANTIDAD DE OBRA'!M26</f>
        <v>23.38</v>
      </c>
      <c r="F16" s="89">
        <v>0</v>
      </c>
      <c r="G16" s="112">
        <f t="shared" si="0"/>
        <v>0</v>
      </c>
      <c r="H16" s="89">
        <v>0</v>
      </c>
      <c r="I16" s="112">
        <f t="shared" si="1"/>
        <v>0</v>
      </c>
      <c r="J16" s="89">
        <f t="shared" si="5"/>
        <v>0</v>
      </c>
      <c r="K16" s="112">
        <f t="shared" si="2"/>
        <v>0</v>
      </c>
      <c r="L16" s="89">
        <f t="shared" si="3"/>
        <v>0</v>
      </c>
      <c r="M16" s="113">
        <f t="shared" si="4"/>
        <v>0</v>
      </c>
    </row>
    <row r="17" spans="1:15" s="1" customFormat="1" ht="19.95" customHeight="1">
      <c r="A17" s="88"/>
      <c r="B17" s="86"/>
      <c r="C17" s="88">
        <v>19</v>
      </c>
      <c r="D17" s="1" t="s">
        <v>121</v>
      </c>
      <c r="E17" s="89">
        <f>'CANTIDAD DE OBRA'!M28</f>
        <v>35</v>
      </c>
      <c r="F17" s="89">
        <v>0</v>
      </c>
      <c r="G17" s="112">
        <f t="shared" si="0"/>
        <v>0</v>
      </c>
      <c r="H17" s="89">
        <v>0</v>
      </c>
      <c r="I17" s="112">
        <f t="shared" si="1"/>
        <v>0</v>
      </c>
      <c r="J17" s="89">
        <f t="shared" si="5"/>
        <v>0</v>
      </c>
      <c r="K17" s="112">
        <f t="shared" si="2"/>
        <v>0</v>
      </c>
      <c r="L17" s="89">
        <f t="shared" si="3"/>
        <v>0</v>
      </c>
      <c r="M17" s="113">
        <f t="shared" si="4"/>
        <v>0</v>
      </c>
    </row>
    <row r="18" spans="1:15" s="1" customFormat="1" ht="19.95" customHeight="1">
      <c r="A18" s="88"/>
      <c r="B18" s="86"/>
      <c r="C18" s="88">
        <v>20</v>
      </c>
      <c r="D18" s="1" t="s">
        <v>122</v>
      </c>
      <c r="E18" s="89">
        <f>'CANTIDAD DE OBRA'!M29</f>
        <v>32.620000000000005</v>
      </c>
      <c r="F18" s="89">
        <v>0</v>
      </c>
      <c r="G18" s="112">
        <f t="shared" si="0"/>
        <v>0</v>
      </c>
      <c r="H18" s="89">
        <v>0</v>
      </c>
      <c r="I18" s="112">
        <f t="shared" si="1"/>
        <v>0</v>
      </c>
      <c r="J18" s="89">
        <f t="shared" si="5"/>
        <v>0</v>
      </c>
      <c r="K18" s="112">
        <f t="shared" si="2"/>
        <v>0</v>
      </c>
      <c r="L18" s="89">
        <f t="shared" si="3"/>
        <v>0</v>
      </c>
      <c r="M18" s="113">
        <f t="shared" si="4"/>
        <v>0</v>
      </c>
      <c r="O18" s="1">
        <f>90*14</f>
        <v>1260</v>
      </c>
    </row>
    <row r="19" spans="1:15" s="1" customFormat="1" ht="19.95" customHeight="1">
      <c r="A19" s="88"/>
      <c r="B19" s="86"/>
      <c r="C19" s="88">
        <v>21</v>
      </c>
      <c r="D19" s="1" t="s">
        <v>206</v>
      </c>
      <c r="E19" s="89">
        <f>'CANTIDAD DE OBRA'!M30</f>
        <v>11.200000000000001</v>
      </c>
      <c r="F19" s="89">
        <v>0</v>
      </c>
      <c r="G19" s="112">
        <f t="shared" si="0"/>
        <v>0</v>
      </c>
      <c r="H19" s="89">
        <v>0</v>
      </c>
      <c r="I19" s="112">
        <f t="shared" si="1"/>
        <v>0</v>
      </c>
      <c r="J19" s="89">
        <f t="shared" si="5"/>
        <v>0</v>
      </c>
      <c r="K19" s="112">
        <f t="shared" si="2"/>
        <v>0</v>
      </c>
      <c r="L19" s="89">
        <f t="shared" si="3"/>
        <v>0</v>
      </c>
      <c r="M19" s="113">
        <f t="shared" si="4"/>
        <v>0</v>
      </c>
      <c r="O19" s="1">
        <v>3300</v>
      </c>
    </row>
    <row r="20" spans="1:15" s="1" customFormat="1" ht="19.95" customHeight="1">
      <c r="A20" s="88"/>
      <c r="B20" s="88"/>
      <c r="C20" s="88">
        <v>22</v>
      </c>
      <c r="D20" s="1" t="s">
        <v>122</v>
      </c>
      <c r="E20" s="89">
        <f>'CANTIDAD DE OBRA'!M31</f>
        <v>19.88</v>
      </c>
      <c r="F20" s="89">
        <v>0</v>
      </c>
      <c r="G20" s="112">
        <f t="shared" ref="G20:G38" si="6">F20/E20</f>
        <v>0</v>
      </c>
      <c r="H20" s="89">
        <v>0</v>
      </c>
      <c r="I20" s="112">
        <f t="shared" ref="I20:I38" si="7">H20/E20</f>
        <v>0</v>
      </c>
      <c r="J20" s="89">
        <f t="shared" si="5"/>
        <v>0</v>
      </c>
      <c r="K20" s="112">
        <f t="shared" ref="K20:K38" si="8">J20/E20</f>
        <v>0</v>
      </c>
      <c r="L20" s="89">
        <f t="shared" si="3"/>
        <v>0</v>
      </c>
      <c r="M20" s="113">
        <f t="shared" ref="M20:M38" si="9">L20/E20</f>
        <v>0</v>
      </c>
      <c r="O20" s="1">
        <f>SUM(O18:O19)</f>
        <v>4560</v>
      </c>
    </row>
    <row r="21" spans="1:15" s="1" customFormat="1" ht="19.95" customHeight="1">
      <c r="A21" s="88"/>
      <c r="B21" s="88"/>
      <c r="C21" s="88">
        <v>23</v>
      </c>
      <c r="D21" s="1" t="s">
        <v>206</v>
      </c>
      <c r="E21" s="89">
        <f>'CANTIDAD DE OBRA'!M32</f>
        <v>24.08</v>
      </c>
      <c r="F21" s="89">
        <v>0</v>
      </c>
      <c r="G21" s="112">
        <f t="shared" si="6"/>
        <v>0</v>
      </c>
      <c r="H21" s="89">
        <v>0</v>
      </c>
      <c r="I21" s="112">
        <f t="shared" si="7"/>
        <v>0</v>
      </c>
      <c r="J21" s="89">
        <f t="shared" si="5"/>
        <v>0</v>
      </c>
      <c r="K21" s="112">
        <f t="shared" si="8"/>
        <v>0</v>
      </c>
      <c r="L21" s="89">
        <f t="shared" si="3"/>
        <v>0</v>
      </c>
      <c r="M21" s="113">
        <f t="shared" si="9"/>
        <v>0</v>
      </c>
      <c r="N21" s="88"/>
      <c r="O21" s="26">
        <f>O20*300</f>
        <v>1368000</v>
      </c>
    </row>
    <row r="22" spans="1:15" s="1" customFormat="1" ht="19.95" customHeight="1">
      <c r="A22" s="88"/>
      <c r="B22" s="88"/>
      <c r="C22" s="88">
        <v>24</v>
      </c>
      <c r="D22" s="1" t="s">
        <v>206</v>
      </c>
      <c r="E22" s="89">
        <f>'CANTIDAD DE OBRA'!M33</f>
        <v>18.34</v>
      </c>
      <c r="F22" s="89">
        <v>0</v>
      </c>
      <c r="G22" s="112">
        <f t="shared" si="6"/>
        <v>0</v>
      </c>
      <c r="H22" s="89">
        <v>0</v>
      </c>
      <c r="I22" s="112">
        <f t="shared" si="7"/>
        <v>0</v>
      </c>
      <c r="J22" s="89">
        <f t="shared" si="5"/>
        <v>0</v>
      </c>
      <c r="K22" s="112">
        <f t="shared" si="8"/>
        <v>0</v>
      </c>
      <c r="L22" s="89">
        <f t="shared" si="3"/>
        <v>0</v>
      </c>
      <c r="M22" s="113">
        <f t="shared" si="9"/>
        <v>0</v>
      </c>
    </row>
    <row r="23" spans="1:15" s="1" customFormat="1" ht="19.95" customHeight="1">
      <c r="A23" s="88"/>
      <c r="B23" s="87"/>
      <c r="C23" s="88">
        <v>25</v>
      </c>
      <c r="D23" s="1" t="s">
        <v>122</v>
      </c>
      <c r="E23" s="89">
        <f>'CANTIDAD DE OBRA'!M34</f>
        <v>38.22</v>
      </c>
      <c r="F23" s="89">
        <v>0</v>
      </c>
      <c r="G23" s="112">
        <f t="shared" si="6"/>
        <v>0</v>
      </c>
      <c r="H23" s="89">
        <v>0</v>
      </c>
      <c r="I23" s="112">
        <f t="shared" si="7"/>
        <v>0</v>
      </c>
      <c r="J23" s="89">
        <f t="shared" si="5"/>
        <v>0</v>
      </c>
      <c r="K23" s="112">
        <f t="shared" si="8"/>
        <v>0</v>
      </c>
      <c r="L23" s="89">
        <f t="shared" si="3"/>
        <v>0</v>
      </c>
      <c r="M23" s="113">
        <f t="shared" si="9"/>
        <v>0</v>
      </c>
    </row>
    <row r="24" spans="1:15" s="1" customFormat="1" ht="19.95" customHeight="1">
      <c r="A24" s="88"/>
      <c r="B24" s="87" t="s">
        <v>101</v>
      </c>
      <c r="C24" s="88">
        <v>26</v>
      </c>
      <c r="D24" s="1" t="s">
        <v>123</v>
      </c>
      <c r="E24" s="89">
        <f>'CANTIDAD DE OBRA'!M35</f>
        <v>65.240000000000009</v>
      </c>
      <c r="F24" s="89">
        <v>0</v>
      </c>
      <c r="G24" s="112">
        <f t="shared" si="6"/>
        <v>0</v>
      </c>
      <c r="H24" s="89">
        <v>0</v>
      </c>
      <c r="I24" s="112">
        <f t="shared" si="7"/>
        <v>0</v>
      </c>
      <c r="J24" s="89">
        <f t="shared" si="5"/>
        <v>0</v>
      </c>
      <c r="K24" s="112">
        <f t="shared" si="8"/>
        <v>0</v>
      </c>
      <c r="L24" s="89">
        <f t="shared" si="3"/>
        <v>0</v>
      </c>
      <c r="M24" s="113">
        <f t="shared" si="9"/>
        <v>0</v>
      </c>
    </row>
    <row r="25" spans="1:15" s="1" customFormat="1" ht="19.95" customHeight="1">
      <c r="A25" s="88"/>
      <c r="B25" s="87"/>
      <c r="C25" s="88">
        <v>28</v>
      </c>
      <c r="D25" s="1" t="s">
        <v>122</v>
      </c>
      <c r="E25" s="89">
        <f>'CANTIDAD DE OBRA'!M38</f>
        <v>44.66</v>
      </c>
      <c r="F25" s="89">
        <v>0</v>
      </c>
      <c r="G25" s="112">
        <f t="shared" si="6"/>
        <v>0</v>
      </c>
      <c r="H25" s="89">
        <v>0</v>
      </c>
      <c r="I25" s="112">
        <f t="shared" si="7"/>
        <v>0</v>
      </c>
      <c r="J25" s="89">
        <f t="shared" si="5"/>
        <v>0</v>
      </c>
      <c r="K25" s="112">
        <f t="shared" si="8"/>
        <v>0</v>
      </c>
      <c r="L25" s="89">
        <f t="shared" si="3"/>
        <v>0</v>
      </c>
      <c r="M25" s="113">
        <f t="shared" si="9"/>
        <v>0</v>
      </c>
    </row>
    <row r="26" spans="1:15" s="1" customFormat="1" ht="19.95" customHeight="1">
      <c r="A26" s="88"/>
      <c r="B26" s="87"/>
      <c r="C26" s="88">
        <v>29</v>
      </c>
      <c r="D26" s="1" t="s">
        <v>104</v>
      </c>
      <c r="E26" s="89">
        <f>'CANTIDAD DE OBRA'!M39*0.4</f>
        <v>24.192000000000004</v>
      </c>
      <c r="F26" s="89">
        <v>0</v>
      </c>
      <c r="G26" s="112">
        <f t="shared" si="6"/>
        <v>0</v>
      </c>
      <c r="H26" s="89">
        <v>0</v>
      </c>
      <c r="I26" s="112">
        <f t="shared" si="7"/>
        <v>0</v>
      </c>
      <c r="J26" s="89">
        <f t="shared" si="5"/>
        <v>0</v>
      </c>
      <c r="K26" s="112">
        <f t="shared" si="8"/>
        <v>0</v>
      </c>
      <c r="L26" s="89">
        <f t="shared" si="3"/>
        <v>0</v>
      </c>
      <c r="M26" s="113">
        <f t="shared" si="9"/>
        <v>0</v>
      </c>
    </row>
    <row r="27" spans="1:15" s="1" customFormat="1" ht="19.95" customHeight="1">
      <c r="A27" s="88"/>
      <c r="B27" s="88"/>
      <c r="C27" s="88">
        <v>31</v>
      </c>
      <c r="D27" s="1" t="s">
        <v>121</v>
      </c>
      <c r="E27" s="89">
        <f>'CANTIDAD DE OBRA'!M43</f>
        <v>9.7999999999999989</v>
      </c>
      <c r="F27" s="89">
        <v>0</v>
      </c>
      <c r="G27" s="112">
        <f t="shared" si="6"/>
        <v>0</v>
      </c>
      <c r="H27" s="89">
        <v>0</v>
      </c>
      <c r="I27" s="112">
        <f t="shared" si="7"/>
        <v>0</v>
      </c>
      <c r="J27" s="89">
        <f t="shared" si="5"/>
        <v>0</v>
      </c>
      <c r="K27" s="112">
        <f t="shared" si="8"/>
        <v>0</v>
      </c>
      <c r="L27" s="89">
        <f t="shared" si="3"/>
        <v>0</v>
      </c>
      <c r="M27" s="113">
        <f t="shared" si="9"/>
        <v>0</v>
      </c>
    </row>
    <row r="28" spans="1:15" s="1" customFormat="1" ht="19.95" customHeight="1">
      <c r="A28" s="88"/>
      <c r="B28" s="88"/>
      <c r="C28" s="88">
        <v>32</v>
      </c>
      <c r="D28" s="1" t="s">
        <v>121</v>
      </c>
      <c r="E28" s="89">
        <f>'CANTIDAD DE OBRA'!M44</f>
        <v>20.3</v>
      </c>
      <c r="F28" s="89">
        <v>0</v>
      </c>
      <c r="G28" s="112">
        <f t="shared" si="6"/>
        <v>0</v>
      </c>
      <c r="H28" s="89">
        <v>0</v>
      </c>
      <c r="I28" s="112">
        <f t="shared" si="7"/>
        <v>0</v>
      </c>
      <c r="J28" s="89">
        <f t="shared" si="5"/>
        <v>0</v>
      </c>
      <c r="K28" s="112">
        <f t="shared" si="8"/>
        <v>0</v>
      </c>
      <c r="L28" s="89">
        <f t="shared" si="3"/>
        <v>0</v>
      </c>
      <c r="M28" s="113">
        <f t="shared" si="9"/>
        <v>0</v>
      </c>
    </row>
    <row r="29" spans="1:15" s="1" customFormat="1" ht="19.95" customHeight="1">
      <c r="A29" s="88"/>
      <c r="B29" s="87"/>
      <c r="C29" s="88">
        <v>33</v>
      </c>
      <c r="D29" s="1" t="s">
        <v>211</v>
      </c>
      <c r="E29" s="89">
        <f>'CANTIDAD DE OBRA'!M45*0.5</f>
        <v>23.099999999999998</v>
      </c>
      <c r="F29" s="89">
        <v>0</v>
      </c>
      <c r="G29" s="112">
        <f t="shared" si="6"/>
        <v>0</v>
      </c>
      <c r="H29" s="89">
        <v>0</v>
      </c>
      <c r="I29" s="112">
        <f t="shared" si="7"/>
        <v>0</v>
      </c>
      <c r="J29" s="89">
        <f t="shared" si="5"/>
        <v>0</v>
      </c>
      <c r="K29" s="112">
        <f t="shared" si="8"/>
        <v>0</v>
      </c>
      <c r="L29" s="89">
        <f t="shared" si="3"/>
        <v>0</v>
      </c>
      <c r="M29" s="113">
        <f t="shared" si="9"/>
        <v>0</v>
      </c>
    </row>
    <row r="30" spans="1:15" s="1" customFormat="1" ht="19.95" customHeight="1">
      <c r="A30" s="88"/>
      <c r="B30" s="88"/>
      <c r="C30" s="88">
        <v>37</v>
      </c>
      <c r="D30" s="1" t="s">
        <v>211</v>
      </c>
      <c r="E30" s="89">
        <f>'CANTIDAD DE OBRA'!M49*0.5</f>
        <v>23.099999999999998</v>
      </c>
      <c r="F30" s="89">
        <v>0</v>
      </c>
      <c r="G30" s="112">
        <f t="shared" si="6"/>
        <v>0</v>
      </c>
      <c r="H30" s="89">
        <v>0</v>
      </c>
      <c r="I30" s="112">
        <f t="shared" si="7"/>
        <v>0</v>
      </c>
      <c r="J30" s="89">
        <f t="shared" si="5"/>
        <v>0</v>
      </c>
      <c r="K30" s="112">
        <f t="shared" si="8"/>
        <v>0</v>
      </c>
      <c r="L30" s="89">
        <f t="shared" si="3"/>
        <v>0</v>
      </c>
      <c r="M30" s="113">
        <f t="shared" si="9"/>
        <v>0</v>
      </c>
    </row>
    <row r="31" spans="1:15" s="1" customFormat="1" ht="19.95" customHeight="1">
      <c r="A31" s="88"/>
      <c r="B31" s="88"/>
      <c r="C31" s="88">
        <v>38</v>
      </c>
      <c r="D31" s="1" t="s">
        <v>121</v>
      </c>
      <c r="E31" s="89">
        <f>'CANTIDAD DE OBRA'!M50</f>
        <v>9.7999999999999989</v>
      </c>
      <c r="F31" s="89">
        <v>0</v>
      </c>
      <c r="G31" s="112">
        <f t="shared" si="6"/>
        <v>0</v>
      </c>
      <c r="H31" s="89">
        <v>0</v>
      </c>
      <c r="I31" s="112">
        <f t="shared" si="7"/>
        <v>0</v>
      </c>
      <c r="J31" s="89">
        <f t="shared" si="5"/>
        <v>0</v>
      </c>
      <c r="K31" s="112">
        <f t="shared" si="8"/>
        <v>0</v>
      </c>
      <c r="L31" s="89">
        <f t="shared" si="3"/>
        <v>0</v>
      </c>
      <c r="M31" s="113">
        <f t="shared" si="9"/>
        <v>0</v>
      </c>
    </row>
    <row r="32" spans="1:15" s="1" customFormat="1" ht="19.95" customHeight="1">
      <c r="A32" s="88"/>
      <c r="B32" s="88"/>
      <c r="C32" s="88">
        <v>39</v>
      </c>
      <c r="D32" s="1" t="s">
        <v>121</v>
      </c>
      <c r="E32" s="89">
        <f>'CANTIDAD DE OBRA'!M51</f>
        <v>20.3</v>
      </c>
      <c r="F32" s="89">
        <v>0</v>
      </c>
      <c r="G32" s="112">
        <f t="shared" si="6"/>
        <v>0</v>
      </c>
      <c r="H32" s="89">
        <v>0</v>
      </c>
      <c r="I32" s="112">
        <f t="shared" si="7"/>
        <v>0</v>
      </c>
      <c r="J32" s="89">
        <f t="shared" si="5"/>
        <v>0</v>
      </c>
      <c r="K32" s="112">
        <f t="shared" si="8"/>
        <v>0</v>
      </c>
      <c r="L32" s="89">
        <f t="shared" si="3"/>
        <v>0</v>
      </c>
      <c r="M32" s="113">
        <f t="shared" si="9"/>
        <v>0</v>
      </c>
    </row>
    <row r="33" spans="1:13" s="1" customFormat="1" ht="19.95" customHeight="1">
      <c r="A33" s="88"/>
      <c r="B33" s="88"/>
      <c r="C33" s="88">
        <v>40</v>
      </c>
      <c r="D33" s="1" t="s">
        <v>212</v>
      </c>
      <c r="E33" s="89">
        <f>'CANTIDAD DE OBRA'!M52*0.4</f>
        <v>22.512</v>
      </c>
      <c r="F33" s="89">
        <v>0</v>
      </c>
      <c r="G33" s="112">
        <f t="shared" si="6"/>
        <v>0</v>
      </c>
      <c r="H33" s="89">
        <v>0</v>
      </c>
      <c r="I33" s="112">
        <f t="shared" si="7"/>
        <v>0</v>
      </c>
      <c r="J33" s="89">
        <f t="shared" si="5"/>
        <v>0</v>
      </c>
      <c r="K33" s="112">
        <f t="shared" si="8"/>
        <v>0</v>
      </c>
      <c r="L33" s="89">
        <f t="shared" si="3"/>
        <v>0</v>
      </c>
      <c r="M33" s="113">
        <f t="shared" si="9"/>
        <v>0</v>
      </c>
    </row>
    <row r="34" spans="1:13" s="1" customFormat="1" ht="19.95" customHeight="1">
      <c r="A34" s="88"/>
      <c r="B34" s="88"/>
      <c r="C34" s="88">
        <v>42</v>
      </c>
      <c r="D34" s="1" t="s">
        <v>213</v>
      </c>
      <c r="E34" s="89">
        <f>'CANTIDAD DE OBRA'!M55</f>
        <v>71.680000000000007</v>
      </c>
      <c r="F34" s="89">
        <v>0</v>
      </c>
      <c r="G34" s="112">
        <f t="shared" si="6"/>
        <v>0</v>
      </c>
      <c r="H34" s="89">
        <v>0</v>
      </c>
      <c r="I34" s="112">
        <f t="shared" si="7"/>
        <v>0</v>
      </c>
      <c r="J34" s="89">
        <f t="shared" si="5"/>
        <v>0</v>
      </c>
      <c r="K34" s="112">
        <f t="shared" si="8"/>
        <v>0</v>
      </c>
      <c r="L34" s="89">
        <f t="shared" si="3"/>
        <v>0</v>
      </c>
      <c r="M34" s="113">
        <f t="shared" si="9"/>
        <v>0</v>
      </c>
    </row>
    <row r="35" spans="1:13" s="1" customFormat="1" ht="19.95" customHeight="1">
      <c r="A35" s="88"/>
      <c r="B35" s="88"/>
      <c r="C35" s="88">
        <v>43</v>
      </c>
      <c r="D35" s="1" t="s">
        <v>209</v>
      </c>
      <c r="E35" s="89">
        <f>'CANTIDAD DE OBRA'!M56</f>
        <v>9.7999999999999989</v>
      </c>
      <c r="F35" s="89">
        <v>0</v>
      </c>
      <c r="G35" s="112">
        <f t="shared" si="6"/>
        <v>0</v>
      </c>
      <c r="H35" s="89">
        <v>0</v>
      </c>
      <c r="I35" s="112">
        <f t="shared" si="7"/>
        <v>0</v>
      </c>
      <c r="J35" s="89">
        <f t="shared" si="5"/>
        <v>0</v>
      </c>
      <c r="K35" s="112">
        <f t="shared" si="8"/>
        <v>0</v>
      </c>
      <c r="L35" s="89">
        <f t="shared" si="3"/>
        <v>0</v>
      </c>
      <c r="M35" s="113">
        <f t="shared" si="9"/>
        <v>0</v>
      </c>
    </row>
    <row r="36" spans="1:13" s="1" customFormat="1" ht="19.95" customHeight="1">
      <c r="A36" s="88"/>
      <c r="B36" s="88"/>
      <c r="C36" s="88">
        <v>44</v>
      </c>
      <c r="D36" s="1" t="s">
        <v>121</v>
      </c>
      <c r="E36" s="89">
        <f>'CANTIDAD DE OBRA'!M57</f>
        <v>20.3</v>
      </c>
      <c r="F36" s="89">
        <v>0</v>
      </c>
      <c r="G36" s="112">
        <f t="shared" si="6"/>
        <v>0</v>
      </c>
      <c r="H36" s="89">
        <v>0</v>
      </c>
      <c r="I36" s="112">
        <f t="shared" si="7"/>
        <v>0</v>
      </c>
      <c r="J36" s="89">
        <f t="shared" si="5"/>
        <v>0</v>
      </c>
      <c r="K36" s="112">
        <f t="shared" si="8"/>
        <v>0</v>
      </c>
      <c r="L36" s="89">
        <f t="shared" si="3"/>
        <v>0</v>
      </c>
      <c r="M36" s="113">
        <f t="shared" si="9"/>
        <v>0</v>
      </c>
    </row>
    <row r="37" spans="1:13" s="1" customFormat="1" ht="19.95" customHeight="1">
      <c r="A37" s="88"/>
      <c r="B37" s="88"/>
      <c r="C37" s="88">
        <v>45</v>
      </c>
      <c r="D37" s="1" t="s">
        <v>211</v>
      </c>
      <c r="E37" s="89">
        <f>'CANTIDAD DE OBRA'!M58</f>
        <v>16.8</v>
      </c>
      <c r="F37" s="89">
        <v>0</v>
      </c>
      <c r="G37" s="112">
        <f t="shared" si="6"/>
        <v>0</v>
      </c>
      <c r="H37" s="89">
        <v>0</v>
      </c>
      <c r="I37" s="112">
        <f t="shared" si="7"/>
        <v>0</v>
      </c>
      <c r="J37" s="89">
        <f t="shared" si="5"/>
        <v>0</v>
      </c>
      <c r="K37" s="112">
        <f t="shared" si="8"/>
        <v>0</v>
      </c>
      <c r="L37" s="89">
        <f t="shared" si="3"/>
        <v>0</v>
      </c>
      <c r="M37" s="113">
        <f t="shared" si="9"/>
        <v>0</v>
      </c>
    </row>
    <row r="38" spans="1:13" s="1" customFormat="1" ht="19.95" customHeight="1">
      <c r="A38" s="88"/>
      <c r="B38" s="88"/>
      <c r="C38" s="88">
        <v>47</v>
      </c>
      <c r="D38" s="1" t="s">
        <v>211</v>
      </c>
      <c r="E38" s="89">
        <f>'CANTIDAD DE OBRA'!M61</f>
        <v>35.56</v>
      </c>
      <c r="F38" s="89">
        <v>0</v>
      </c>
      <c r="G38" s="112">
        <f t="shared" si="6"/>
        <v>0</v>
      </c>
      <c r="H38" s="89">
        <v>0</v>
      </c>
      <c r="I38" s="112">
        <f t="shared" si="7"/>
        <v>0</v>
      </c>
      <c r="J38" s="89">
        <f t="shared" si="5"/>
        <v>0</v>
      </c>
      <c r="K38" s="112">
        <f t="shared" si="8"/>
        <v>0</v>
      </c>
      <c r="L38" s="89">
        <f t="shared" si="3"/>
        <v>0</v>
      </c>
      <c r="M38" s="113">
        <f t="shared" si="9"/>
        <v>0</v>
      </c>
    </row>
    <row r="39" spans="1:13" s="1" customFormat="1" ht="19.95" customHeight="1">
      <c r="A39" s="88"/>
      <c r="B39" s="88"/>
      <c r="C39" s="88"/>
      <c r="E39" s="88"/>
      <c r="F39" s="88"/>
      <c r="G39" s="88"/>
      <c r="H39" s="88"/>
      <c r="I39" s="88"/>
      <c r="J39" s="88"/>
      <c r="K39" s="88"/>
    </row>
    <row r="40" spans="1:13" s="1" customFormat="1" ht="19.95" customHeight="1">
      <c r="A40" s="88"/>
      <c r="B40" s="88"/>
      <c r="C40" s="88"/>
      <c r="E40" s="118">
        <f>SUM(E7:E39)</f>
        <v>1201.8439999999998</v>
      </c>
      <c r="F40" s="115">
        <f>SUM(F7:F39)</f>
        <v>33.949999999999996</v>
      </c>
      <c r="G40" s="187">
        <f>F40/E40</f>
        <v>2.8248258509423852E-2</v>
      </c>
      <c r="H40" s="115">
        <f>SUM(H7:H39)</f>
        <v>101.85</v>
      </c>
      <c r="I40" s="187">
        <f>H40/E40</f>
        <v>8.474477552827156E-2</v>
      </c>
      <c r="J40" s="115">
        <f>SUM(J7:J39)</f>
        <v>0</v>
      </c>
      <c r="K40" s="187">
        <f>J40/E40</f>
        <v>0</v>
      </c>
      <c r="L40" s="189"/>
      <c r="M40" s="189"/>
    </row>
    <row r="41" spans="1:13" s="1" customFormat="1" ht="19.95" customHeight="1">
      <c r="A41" s="88"/>
      <c r="B41" s="88"/>
      <c r="C41" s="88"/>
      <c r="E41" s="88"/>
      <c r="F41" s="88"/>
      <c r="G41" s="88"/>
      <c r="H41" s="88"/>
      <c r="I41" s="88"/>
      <c r="J41" s="88"/>
      <c r="K41" s="88"/>
    </row>
    <row r="42" spans="1:13" s="1" customFormat="1" ht="27.6" customHeight="1">
      <c r="A42" s="120"/>
      <c r="B42" s="120"/>
      <c r="C42" s="120"/>
      <c r="D42" s="121" t="s">
        <v>181</v>
      </c>
      <c r="E42" s="122"/>
      <c r="F42" s="122"/>
      <c r="G42" s="122"/>
      <c r="H42" s="122"/>
      <c r="I42" s="122"/>
      <c r="J42" s="122"/>
      <c r="K42" s="122"/>
      <c r="L42" s="122"/>
      <c r="M42" s="81"/>
    </row>
    <row r="43" spans="1:13" s="1" customFormat="1" ht="19.95" customHeight="1">
      <c r="A43" s="123"/>
      <c r="B43" s="123"/>
      <c r="C43" s="123"/>
      <c r="D43" s="110"/>
      <c r="E43" s="110" t="s">
        <v>156</v>
      </c>
      <c r="F43" s="110"/>
      <c r="G43" s="110"/>
      <c r="H43" s="110"/>
      <c r="I43" s="110"/>
      <c r="J43" s="110"/>
      <c r="K43" s="110"/>
      <c r="L43" s="110"/>
      <c r="M43" s="110"/>
    </row>
    <row r="44" spans="1:13" s="1" customFormat="1" ht="19.95" customHeight="1">
      <c r="A44" s="124"/>
      <c r="B44" s="124"/>
      <c r="C44" s="124"/>
      <c r="D44" s="83"/>
      <c r="E44" s="84" t="s">
        <v>97</v>
      </c>
      <c r="F44" s="257" t="s">
        <v>157</v>
      </c>
      <c r="G44" s="257"/>
      <c r="H44" s="257"/>
      <c r="I44" s="257"/>
      <c r="J44" s="111"/>
      <c r="K44" s="111"/>
      <c r="L44" s="256" t="s">
        <v>158</v>
      </c>
      <c r="M44" s="256"/>
    </row>
    <row r="45" spans="1:13" s="1" customFormat="1" ht="19.95" customHeight="1">
      <c r="A45" s="124"/>
      <c r="B45" s="124"/>
      <c r="C45" s="124"/>
      <c r="D45" s="83"/>
      <c r="E45" s="84"/>
      <c r="F45" s="255" t="s">
        <v>168</v>
      </c>
      <c r="G45" s="255"/>
      <c r="H45" s="255" t="s">
        <v>160</v>
      </c>
      <c r="I45" s="255"/>
      <c r="J45" s="255" t="s">
        <v>161</v>
      </c>
      <c r="K45" s="255"/>
      <c r="L45" s="82"/>
      <c r="M45" s="82"/>
    </row>
    <row r="46" spans="1:13" s="1" customFormat="1" ht="19.95" customHeight="1">
      <c r="A46" s="124"/>
      <c r="B46" s="124"/>
      <c r="C46" s="124"/>
      <c r="D46" s="82" t="s">
        <v>91</v>
      </c>
      <c r="E46" s="82" t="s">
        <v>139</v>
      </c>
      <c r="F46" s="82" t="s">
        <v>139</v>
      </c>
      <c r="G46" s="84" t="s">
        <v>163</v>
      </c>
      <c r="H46" s="82" t="s">
        <v>139</v>
      </c>
      <c r="I46" s="84" t="s">
        <v>163</v>
      </c>
      <c r="J46" s="82" t="s">
        <v>139</v>
      </c>
      <c r="K46" s="84" t="s">
        <v>163</v>
      </c>
      <c r="L46" s="82" t="s">
        <v>139</v>
      </c>
      <c r="M46" s="84" t="s">
        <v>163</v>
      </c>
    </row>
    <row r="47" spans="1:13" s="1" customFormat="1" ht="18" customHeight="1">
      <c r="A47" s="86"/>
      <c r="B47" s="87"/>
      <c r="C47" s="88"/>
      <c r="D47" s="125" t="s">
        <v>165</v>
      </c>
      <c r="E47" s="89">
        <f>E7</f>
        <v>135.79999999999998</v>
      </c>
      <c r="F47" s="89">
        <f>L7</f>
        <v>135.79999999999998</v>
      </c>
      <c r="G47" s="112">
        <f t="shared" ref="G47:G50" si="10">F47/E47</f>
        <v>1</v>
      </c>
      <c r="H47" s="89">
        <f>H2</f>
        <v>0</v>
      </c>
      <c r="I47" s="112">
        <f t="shared" ref="I47:I50" si="11">H47/E47</f>
        <v>0</v>
      </c>
      <c r="J47" s="89">
        <f>J2</f>
        <v>0</v>
      </c>
      <c r="K47" s="112">
        <f t="shared" ref="K47:K50" si="12">J47/E47</f>
        <v>0</v>
      </c>
      <c r="L47" s="89">
        <f>F47+H47+J47</f>
        <v>135.79999999999998</v>
      </c>
      <c r="M47" s="113">
        <f>L47/E47</f>
        <v>1</v>
      </c>
    </row>
    <row r="48" spans="1:13" s="1" customFormat="1" ht="18" customHeight="1">
      <c r="A48" s="86"/>
      <c r="B48" s="87"/>
      <c r="C48" s="88"/>
      <c r="D48" s="125" t="s">
        <v>116</v>
      </c>
      <c r="E48" s="89">
        <f>SUM(E8:E15)</f>
        <v>446.18</v>
      </c>
      <c r="F48" s="89">
        <v>0</v>
      </c>
      <c r="G48" s="112">
        <f t="shared" si="10"/>
        <v>0</v>
      </c>
      <c r="H48" s="89">
        <v>0</v>
      </c>
      <c r="I48" s="112">
        <f t="shared" si="11"/>
        <v>0</v>
      </c>
      <c r="J48" s="89">
        <f>J7</f>
        <v>0</v>
      </c>
      <c r="K48" s="112">
        <f t="shared" si="12"/>
        <v>0</v>
      </c>
      <c r="L48" s="89">
        <f>F48+H48+J48</f>
        <v>0</v>
      </c>
      <c r="M48" s="113">
        <f>L48/E48</f>
        <v>0</v>
      </c>
    </row>
    <row r="49" spans="1:13" ht="18" customHeight="1">
      <c r="A49" s="88"/>
      <c r="B49" s="87"/>
      <c r="C49" s="88"/>
      <c r="D49" s="125" t="s">
        <v>164</v>
      </c>
      <c r="E49" s="89">
        <f>SUM(E16:E23)</f>
        <v>202.72</v>
      </c>
      <c r="F49" s="89">
        <v>0</v>
      </c>
      <c r="G49" s="112">
        <f t="shared" si="10"/>
        <v>0</v>
      </c>
      <c r="H49" s="89">
        <v>0</v>
      </c>
      <c r="I49" s="112">
        <f t="shared" si="11"/>
        <v>0</v>
      </c>
      <c r="J49" s="89">
        <v>0</v>
      </c>
      <c r="K49" s="112">
        <f t="shared" si="12"/>
        <v>0</v>
      </c>
      <c r="L49" s="89">
        <f t="shared" ref="L49" si="13">F49+H49+J49</f>
        <v>0</v>
      </c>
      <c r="M49" s="113">
        <f>L49/E49</f>
        <v>0</v>
      </c>
    </row>
    <row r="50" spans="1:13" ht="18" customHeight="1">
      <c r="A50" s="88"/>
      <c r="B50" s="87"/>
      <c r="C50" s="88"/>
      <c r="D50" s="125" t="s">
        <v>101</v>
      </c>
      <c r="E50" s="89">
        <f>SUM(E24:E38)</f>
        <v>417.14400000000006</v>
      </c>
      <c r="F50" s="89">
        <v>0</v>
      </c>
      <c r="G50" s="112">
        <f t="shared" si="10"/>
        <v>0</v>
      </c>
      <c r="H50" s="89">
        <v>0</v>
      </c>
      <c r="I50" s="112">
        <f t="shared" si="11"/>
        <v>0</v>
      </c>
      <c r="J50" s="89">
        <v>0</v>
      </c>
      <c r="K50" s="112">
        <f t="shared" si="12"/>
        <v>0</v>
      </c>
      <c r="L50" s="89">
        <v>0</v>
      </c>
      <c r="M50" s="113">
        <f>L50/E50</f>
        <v>0</v>
      </c>
    </row>
    <row r="51" spans="1:13" ht="18" customHeight="1">
      <c r="A51" s="88"/>
      <c r="B51" s="88"/>
      <c r="C51" s="88"/>
      <c r="D51" s="1"/>
      <c r="E51" s="88"/>
      <c r="F51" s="88"/>
      <c r="G51" s="95"/>
      <c r="H51" s="95"/>
      <c r="I51" s="95"/>
      <c r="J51" s="95"/>
      <c r="K51" s="95"/>
      <c r="L51" s="89"/>
      <c r="M51" s="89"/>
    </row>
    <row r="52" spans="1:13" ht="18" customHeight="1">
      <c r="A52" s="88"/>
      <c r="B52" s="88"/>
      <c r="C52" s="88"/>
      <c r="D52" s="114"/>
      <c r="E52" s="115">
        <f>SUM(E47:E51)</f>
        <v>1201.8440000000001</v>
      </c>
      <c r="F52" s="116">
        <f>SUM(F47:F51)</f>
        <v>135.79999999999998</v>
      </c>
      <c r="G52" s="117">
        <f>F52/E52</f>
        <v>0.11299303403769539</v>
      </c>
      <c r="H52" s="116">
        <f>SUM(H47:H51)</f>
        <v>0</v>
      </c>
      <c r="I52" s="117">
        <f>H52/E52</f>
        <v>0</v>
      </c>
      <c r="J52" s="116">
        <f>SUM(J47:J51)</f>
        <v>0</v>
      </c>
      <c r="K52" s="126">
        <f>J52/E52</f>
        <v>0</v>
      </c>
      <c r="L52" s="115">
        <f>SUM(L47:L51)</f>
        <v>135.79999999999998</v>
      </c>
      <c r="M52" s="127">
        <f>L52/E52</f>
        <v>0.11299303403769539</v>
      </c>
    </row>
    <row r="53" spans="1:13" ht="18" customHeight="1">
      <c r="A53" s="88"/>
      <c r="B53" s="88"/>
      <c r="C53" s="88"/>
      <c r="D53" s="1"/>
      <c r="E53" s="88"/>
      <c r="F53" s="88"/>
      <c r="G53" s="88"/>
      <c r="H53" s="88"/>
      <c r="I53" s="88"/>
      <c r="J53" s="88"/>
      <c r="K53" s="88"/>
      <c r="L53" s="128">
        <f>E52-L52</f>
        <v>1066.0440000000001</v>
      </c>
      <c r="M53" s="129">
        <f>L53/E52</f>
        <v>0.88700696596230466</v>
      </c>
    </row>
    <row r="54" spans="1:13" ht="18" customHeight="1"/>
    <row r="55" spans="1:13" ht="18" customHeight="1"/>
  </sheetData>
  <mergeCells count="12">
    <mergeCell ref="A2:L2"/>
    <mergeCell ref="B3:M3"/>
    <mergeCell ref="F4:I4"/>
    <mergeCell ref="L4:M4"/>
    <mergeCell ref="F5:G5"/>
    <mergeCell ref="H5:I5"/>
    <mergeCell ref="J5:K5"/>
    <mergeCell ref="F44:I44"/>
    <mergeCell ref="L44:M44"/>
    <mergeCell ref="F45:G45"/>
    <mergeCell ref="H45:I45"/>
    <mergeCell ref="J45:K45"/>
  </mergeCells>
  <phoneticPr fontId="2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0E8-0692-4541-860E-AA624EF0E99F}">
  <dimension ref="A2:N45"/>
  <sheetViews>
    <sheetView topLeftCell="A28" zoomScale="85" zoomScaleNormal="85" workbookViewId="0">
      <selection activeCell="K44" sqref="K44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5" width="12.77734375" style="24" customWidth="1"/>
    <col min="16" max="16384" width="11.5546875" style="24"/>
  </cols>
  <sheetData>
    <row r="2" spans="1:14" ht="25.05" customHeight="1">
      <c r="A2" s="259" t="s">
        <v>87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81"/>
    </row>
    <row r="3" spans="1:14" ht="25.05" customHeight="1">
      <c r="A3" s="110"/>
      <c r="B3" s="260" t="s">
        <v>156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</row>
    <row r="4" spans="1:14" s="1" customFormat="1" ht="25.05" customHeight="1">
      <c r="A4" s="82"/>
      <c r="B4" s="82"/>
      <c r="C4" s="82"/>
      <c r="D4" s="83"/>
      <c r="E4" s="84" t="s">
        <v>97</v>
      </c>
      <c r="F4" s="257" t="s">
        <v>157</v>
      </c>
      <c r="G4" s="257"/>
      <c r="H4" s="257"/>
      <c r="I4" s="257"/>
      <c r="J4" s="111"/>
      <c r="K4" s="111"/>
      <c r="L4" s="256" t="s">
        <v>158</v>
      </c>
      <c r="M4" s="256"/>
    </row>
    <row r="5" spans="1:14" s="1" customFormat="1" ht="19.95" customHeight="1">
      <c r="A5" s="82"/>
      <c r="B5" s="82"/>
      <c r="C5" s="82"/>
      <c r="D5" s="83"/>
      <c r="E5" s="84"/>
      <c r="F5" s="255" t="s">
        <v>159</v>
      </c>
      <c r="G5" s="255"/>
      <c r="H5" s="255" t="s">
        <v>160</v>
      </c>
      <c r="I5" s="255"/>
      <c r="J5" s="255" t="s">
        <v>161</v>
      </c>
      <c r="K5" s="255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>
        <v>1</v>
      </c>
      <c r="B7" s="87" t="s">
        <v>101</v>
      </c>
      <c r="C7" s="88">
        <v>1</v>
      </c>
      <c r="D7" s="1" t="s">
        <v>124</v>
      </c>
      <c r="E7" s="89">
        <f>'CANTIDAD DE OBRA'!L5</f>
        <v>58.800000000000004</v>
      </c>
      <c r="F7" s="89">
        <v>0</v>
      </c>
      <c r="G7" s="112">
        <f>F7/E7</f>
        <v>0</v>
      </c>
      <c r="H7" s="89">
        <v>0</v>
      </c>
      <c r="I7" s="112">
        <f>H7/E7</f>
        <v>0</v>
      </c>
      <c r="J7" s="89">
        <v>0</v>
      </c>
      <c r="K7" s="112">
        <f>J7/E7</f>
        <v>0</v>
      </c>
      <c r="L7" s="89">
        <f>F7+H7</f>
        <v>0</v>
      </c>
      <c r="M7" s="113">
        <f>L7/E7</f>
        <v>0</v>
      </c>
      <c r="N7" s="85"/>
    </row>
    <row r="8" spans="1:14" s="1" customFormat="1" ht="19.95" customHeight="1">
      <c r="A8" s="86"/>
      <c r="B8" s="87"/>
      <c r="C8" s="88"/>
      <c r="E8" s="89">
        <f>'CANTIDAD DE OBRA'!L6</f>
        <v>12.599999999999998</v>
      </c>
      <c r="F8" s="89">
        <v>1</v>
      </c>
      <c r="G8" s="112">
        <f>F8/E8</f>
        <v>7.9365079365079375E-2</v>
      </c>
      <c r="H8" s="89">
        <v>1</v>
      </c>
      <c r="I8" s="112">
        <f>H8/E8</f>
        <v>7.9365079365079375E-2</v>
      </c>
      <c r="J8" s="89">
        <v>1</v>
      </c>
      <c r="K8" s="112">
        <f>J8/E8</f>
        <v>7.9365079365079375E-2</v>
      </c>
      <c r="L8" s="89">
        <f>F8+H8</f>
        <v>2</v>
      </c>
      <c r="M8" s="113">
        <f>L8/E8</f>
        <v>0.15873015873015875</v>
      </c>
      <c r="N8" s="85"/>
    </row>
    <row r="9" spans="1:14" s="1" customFormat="1" ht="19.95" customHeight="1">
      <c r="A9" s="88"/>
      <c r="B9" s="87"/>
      <c r="C9" s="88">
        <v>2</v>
      </c>
      <c r="D9" s="1" t="s">
        <v>124</v>
      </c>
      <c r="E9" s="89">
        <f>'CANTIDAD DE OBRA'!L7</f>
        <v>117.60000000000001</v>
      </c>
      <c r="F9" s="89">
        <v>0</v>
      </c>
      <c r="G9" s="112">
        <f t="shared" ref="G9:G15" si="0">F9/E9</f>
        <v>0</v>
      </c>
      <c r="H9" s="89">
        <v>0</v>
      </c>
      <c r="I9" s="112">
        <f t="shared" ref="I9:I15" si="1">H9/E9</f>
        <v>0</v>
      </c>
      <c r="J9" s="89">
        <v>0</v>
      </c>
      <c r="K9" s="112">
        <f t="shared" ref="K9:K15" si="2">J9/E9</f>
        <v>0</v>
      </c>
      <c r="L9" s="89">
        <f t="shared" ref="L9:L15" si="3">F9+H9</f>
        <v>0</v>
      </c>
      <c r="M9" s="113">
        <f t="shared" ref="M9:M15" si="4">L9/E9</f>
        <v>0</v>
      </c>
    </row>
    <row r="10" spans="1:14" s="1" customFormat="1" ht="19.8" customHeight="1">
      <c r="A10" s="88"/>
      <c r="B10" s="86"/>
      <c r="C10" s="88">
        <v>9</v>
      </c>
      <c r="D10" s="1" t="s">
        <v>195</v>
      </c>
      <c r="E10" s="89">
        <f>'CANTIDAD DE OBRA'!L15</f>
        <v>117.60000000000001</v>
      </c>
      <c r="F10" s="89">
        <v>0</v>
      </c>
      <c r="G10" s="112">
        <f t="shared" si="0"/>
        <v>0</v>
      </c>
      <c r="H10" s="89">
        <v>0</v>
      </c>
      <c r="I10" s="112">
        <f t="shared" si="1"/>
        <v>0</v>
      </c>
      <c r="J10" s="89">
        <v>0</v>
      </c>
      <c r="K10" s="112">
        <f t="shared" si="2"/>
        <v>0</v>
      </c>
      <c r="L10" s="89">
        <f t="shared" si="3"/>
        <v>0</v>
      </c>
      <c r="M10" s="113">
        <f t="shared" si="4"/>
        <v>0</v>
      </c>
    </row>
    <row r="11" spans="1:14" s="1" customFormat="1" ht="19.95" customHeight="1">
      <c r="A11" s="88"/>
      <c r="B11" s="86"/>
      <c r="C11" s="88">
        <v>10</v>
      </c>
      <c r="D11" s="1" t="s">
        <v>200</v>
      </c>
      <c r="E11" s="89">
        <f>'CANTIDAD DE OBRA'!L16</f>
        <v>1</v>
      </c>
      <c r="F11" s="89">
        <v>0</v>
      </c>
      <c r="G11" s="112">
        <f t="shared" si="0"/>
        <v>0</v>
      </c>
      <c r="H11" s="89">
        <v>0</v>
      </c>
      <c r="I11" s="112">
        <f t="shared" si="1"/>
        <v>0</v>
      </c>
      <c r="J11" s="89">
        <v>0</v>
      </c>
      <c r="K11" s="112">
        <f t="shared" si="2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>
        <v>11</v>
      </c>
      <c r="D12" s="1" t="s">
        <v>195</v>
      </c>
      <c r="E12" s="89">
        <f>'CANTIDAD DE OBRA'!L18</f>
        <v>77</v>
      </c>
      <c r="F12" s="89">
        <v>0</v>
      </c>
      <c r="G12" s="112">
        <f t="shared" si="0"/>
        <v>0</v>
      </c>
      <c r="H12" s="89">
        <v>0</v>
      </c>
      <c r="I12" s="112">
        <f t="shared" si="1"/>
        <v>0</v>
      </c>
      <c r="J12" s="89">
        <v>0</v>
      </c>
      <c r="K12" s="112">
        <f t="shared" si="2"/>
        <v>0</v>
      </c>
      <c r="L12" s="89">
        <f t="shared" si="3"/>
        <v>0</v>
      </c>
      <c r="M12" s="113">
        <f t="shared" si="4"/>
        <v>0</v>
      </c>
    </row>
    <row r="13" spans="1:14" s="1" customFormat="1" ht="19.95" customHeight="1">
      <c r="A13" s="88"/>
      <c r="B13" s="86"/>
      <c r="C13" s="88">
        <v>12</v>
      </c>
      <c r="D13" s="1" t="s">
        <v>200</v>
      </c>
      <c r="E13" s="89">
        <f>'CANTIDAD DE OBRA'!L19</f>
        <v>1</v>
      </c>
      <c r="F13" s="89">
        <v>0</v>
      </c>
      <c r="G13" s="112">
        <f t="shared" si="0"/>
        <v>0</v>
      </c>
      <c r="H13" s="89">
        <v>0</v>
      </c>
      <c r="I13" s="112">
        <f t="shared" si="1"/>
        <v>0</v>
      </c>
      <c r="J13" s="89">
        <v>0</v>
      </c>
      <c r="K13" s="112">
        <f t="shared" si="2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>
        <v>13</v>
      </c>
      <c r="D14" s="1" t="s">
        <v>102</v>
      </c>
      <c r="E14" s="89">
        <f>'CANTIDAD DE OBRA'!L21</f>
        <v>117.60000000000001</v>
      </c>
      <c r="F14" s="89">
        <v>0</v>
      </c>
      <c r="G14" s="112">
        <f t="shared" si="0"/>
        <v>0</v>
      </c>
      <c r="H14" s="89">
        <v>0</v>
      </c>
      <c r="I14" s="112">
        <f t="shared" si="1"/>
        <v>0</v>
      </c>
      <c r="J14" s="89">
        <f t="shared" ref="J14:J15" si="5">G14</f>
        <v>0</v>
      </c>
      <c r="K14" s="112">
        <f t="shared" si="2"/>
        <v>0</v>
      </c>
      <c r="L14" s="89">
        <f t="shared" si="3"/>
        <v>0</v>
      </c>
      <c r="M14" s="113">
        <f t="shared" si="4"/>
        <v>0</v>
      </c>
    </row>
    <row r="15" spans="1:14" s="1" customFormat="1" ht="19.95" customHeight="1">
      <c r="A15" s="88"/>
      <c r="B15" s="86"/>
      <c r="C15" s="88">
        <v>20</v>
      </c>
      <c r="D15" s="1" t="s">
        <v>122</v>
      </c>
      <c r="E15" s="89">
        <f>'CANTIDAD DE OBRA'!L29</f>
        <v>38.5</v>
      </c>
      <c r="F15" s="89">
        <v>0</v>
      </c>
      <c r="G15" s="112">
        <f t="shared" si="0"/>
        <v>0</v>
      </c>
      <c r="H15" s="89">
        <v>0</v>
      </c>
      <c r="I15" s="112">
        <f t="shared" si="1"/>
        <v>0</v>
      </c>
      <c r="J15" s="89">
        <f t="shared" si="5"/>
        <v>0</v>
      </c>
      <c r="K15" s="112">
        <f t="shared" si="2"/>
        <v>0</v>
      </c>
      <c r="L15" s="89">
        <f t="shared" si="3"/>
        <v>0</v>
      </c>
      <c r="M15" s="113">
        <f t="shared" si="4"/>
        <v>0</v>
      </c>
    </row>
    <row r="16" spans="1:14" s="1" customFormat="1" ht="19.95" customHeight="1">
      <c r="A16" s="88"/>
      <c r="B16" s="88"/>
      <c r="C16" s="88">
        <v>22</v>
      </c>
      <c r="D16" s="1" t="s">
        <v>122</v>
      </c>
      <c r="E16" s="89">
        <f>'CANTIDAD DE OBRA'!L31</f>
        <v>12.599999999999998</v>
      </c>
      <c r="F16" s="89">
        <v>1</v>
      </c>
      <c r="G16" s="112">
        <f t="shared" ref="G16:G30" si="6">F16/E16</f>
        <v>7.9365079365079375E-2</v>
      </c>
      <c r="H16" s="89">
        <v>1</v>
      </c>
      <c r="I16" s="112">
        <f t="shared" ref="I16:I30" si="7">H16/E16</f>
        <v>7.9365079365079375E-2</v>
      </c>
      <c r="J16" s="89">
        <f t="shared" ref="J16:J30" si="8">G16</f>
        <v>7.9365079365079375E-2</v>
      </c>
      <c r="K16" s="112">
        <f t="shared" ref="K16:K30" si="9">J16/E16</f>
        <v>6.2988158226253482E-3</v>
      </c>
      <c r="L16" s="89">
        <f t="shared" ref="L16:L30" si="10">F16+H16</f>
        <v>2</v>
      </c>
      <c r="M16" s="113">
        <f t="shared" ref="M16:M30" si="11">L16/E16</f>
        <v>0.15873015873015875</v>
      </c>
    </row>
    <row r="17" spans="1:13" s="1" customFormat="1" ht="19.95" customHeight="1">
      <c r="A17" s="88"/>
      <c r="B17" s="87" t="s">
        <v>164</v>
      </c>
      <c r="C17" s="88">
        <v>25</v>
      </c>
      <c r="D17" s="1" t="s">
        <v>122</v>
      </c>
      <c r="E17" s="89">
        <f>'CANTIDAD DE OBRA'!L34</f>
        <v>58.800000000000004</v>
      </c>
      <c r="F17" s="89">
        <v>4</v>
      </c>
      <c r="G17" s="112">
        <f t="shared" si="6"/>
        <v>6.8027210884353734E-2</v>
      </c>
      <c r="H17" s="89">
        <v>4</v>
      </c>
      <c r="I17" s="112">
        <f t="shared" si="7"/>
        <v>6.8027210884353734E-2</v>
      </c>
      <c r="J17" s="89">
        <f t="shared" si="8"/>
        <v>6.8027210884353734E-2</v>
      </c>
      <c r="K17" s="112">
        <f t="shared" si="9"/>
        <v>1.1569253551760839E-3</v>
      </c>
      <c r="L17" s="89">
        <f t="shared" si="10"/>
        <v>8</v>
      </c>
      <c r="M17" s="113">
        <f t="shared" si="11"/>
        <v>0.13605442176870747</v>
      </c>
    </row>
    <row r="18" spans="1:13" s="1" customFormat="1" ht="19.95" customHeight="1">
      <c r="A18" s="88"/>
      <c r="B18" s="87"/>
      <c r="C18" s="88">
        <v>27</v>
      </c>
      <c r="D18" s="1" t="s">
        <v>200</v>
      </c>
      <c r="E18" s="89">
        <f>'CANTIDAD DE OBRA'!L36</f>
        <v>1</v>
      </c>
      <c r="F18" s="89">
        <v>6</v>
      </c>
      <c r="G18" s="112">
        <f t="shared" si="6"/>
        <v>6</v>
      </c>
      <c r="H18" s="89">
        <v>6</v>
      </c>
      <c r="I18" s="112">
        <f t="shared" si="7"/>
        <v>6</v>
      </c>
      <c r="J18" s="89">
        <f t="shared" si="8"/>
        <v>6</v>
      </c>
      <c r="K18" s="112">
        <f t="shared" si="9"/>
        <v>6</v>
      </c>
      <c r="L18" s="89">
        <f t="shared" si="10"/>
        <v>12</v>
      </c>
      <c r="M18" s="113">
        <f t="shared" si="11"/>
        <v>12</v>
      </c>
    </row>
    <row r="19" spans="1:13" s="1" customFormat="1" ht="19.95" customHeight="1">
      <c r="A19" s="88"/>
      <c r="B19" s="87"/>
      <c r="C19" s="88">
        <v>28</v>
      </c>
      <c r="D19" s="1" t="s">
        <v>122</v>
      </c>
      <c r="E19" s="89">
        <f>'CANTIDAD DE OBRA'!L38</f>
        <v>58.800000000000004</v>
      </c>
      <c r="F19" s="89">
        <v>8</v>
      </c>
      <c r="G19" s="112">
        <f t="shared" si="6"/>
        <v>0.13605442176870747</v>
      </c>
      <c r="H19" s="89">
        <v>8</v>
      </c>
      <c r="I19" s="112">
        <f t="shared" si="7"/>
        <v>0.13605442176870747</v>
      </c>
      <c r="J19" s="89">
        <f t="shared" si="8"/>
        <v>0.13605442176870747</v>
      </c>
      <c r="K19" s="112">
        <f t="shared" si="9"/>
        <v>2.3138507103521678E-3</v>
      </c>
      <c r="L19" s="89">
        <f t="shared" si="10"/>
        <v>16</v>
      </c>
      <c r="M19" s="113">
        <f t="shared" si="11"/>
        <v>0.27210884353741494</v>
      </c>
    </row>
    <row r="20" spans="1:13" s="1" customFormat="1" ht="19.95" customHeight="1">
      <c r="A20" s="88"/>
      <c r="B20" s="87"/>
      <c r="C20" s="88">
        <v>29</v>
      </c>
      <c r="D20" s="1" t="s">
        <v>104</v>
      </c>
      <c r="E20" s="89">
        <f>'CANTIDAD DE OBRA'!L39</f>
        <v>58.800000000000004</v>
      </c>
      <c r="F20" s="89">
        <v>9</v>
      </c>
      <c r="G20" s="112">
        <f t="shared" si="6"/>
        <v>0.15306122448979589</v>
      </c>
      <c r="H20" s="89">
        <v>9</v>
      </c>
      <c r="I20" s="112">
        <f t="shared" si="7"/>
        <v>0.15306122448979589</v>
      </c>
      <c r="J20" s="89">
        <f t="shared" si="8"/>
        <v>0.15306122448979589</v>
      </c>
      <c r="K20" s="112">
        <f t="shared" si="9"/>
        <v>2.6030820491461885E-3</v>
      </c>
      <c r="L20" s="89">
        <f t="shared" si="10"/>
        <v>18</v>
      </c>
      <c r="M20" s="113">
        <f t="shared" si="11"/>
        <v>0.30612244897959179</v>
      </c>
    </row>
    <row r="21" spans="1:13" s="1" customFormat="1" ht="19.95" customHeight="1">
      <c r="A21" s="88"/>
      <c r="B21" s="87"/>
      <c r="C21" s="88"/>
      <c r="E21" s="89">
        <f>'CANTIDAD DE OBRA'!L40</f>
        <v>88.2</v>
      </c>
      <c r="F21" s="89">
        <v>10</v>
      </c>
      <c r="G21" s="112">
        <f t="shared" si="6"/>
        <v>0.11337868480725623</v>
      </c>
      <c r="H21" s="89">
        <v>10</v>
      </c>
      <c r="I21" s="112">
        <f t="shared" si="7"/>
        <v>0.11337868480725623</v>
      </c>
      <c r="J21" s="89">
        <f t="shared" si="8"/>
        <v>0.11337868480725623</v>
      </c>
      <c r="K21" s="112">
        <f t="shared" si="9"/>
        <v>1.2854726168623155E-3</v>
      </c>
      <c r="L21" s="89">
        <f t="shared" si="10"/>
        <v>20</v>
      </c>
      <c r="M21" s="113">
        <f t="shared" si="11"/>
        <v>0.22675736961451246</v>
      </c>
    </row>
    <row r="22" spans="1:13" s="1" customFormat="1" ht="19.95" customHeight="1">
      <c r="A22" s="88"/>
      <c r="B22" s="87" t="s">
        <v>116</v>
      </c>
      <c r="C22" s="88">
        <v>33</v>
      </c>
      <c r="D22" s="1" t="s">
        <v>211</v>
      </c>
      <c r="E22" s="89">
        <f>'CANTIDAD DE OBRA'!L45</f>
        <v>56</v>
      </c>
      <c r="F22" s="89">
        <v>15</v>
      </c>
      <c r="G22" s="112">
        <f t="shared" si="6"/>
        <v>0.26785714285714285</v>
      </c>
      <c r="H22" s="89">
        <v>15</v>
      </c>
      <c r="I22" s="112">
        <f t="shared" si="7"/>
        <v>0.26785714285714285</v>
      </c>
      <c r="J22" s="89">
        <f t="shared" si="8"/>
        <v>0.26785714285714285</v>
      </c>
      <c r="K22" s="112">
        <f t="shared" si="9"/>
        <v>4.7831632653061226E-3</v>
      </c>
      <c r="L22" s="89">
        <f t="shared" si="10"/>
        <v>30</v>
      </c>
      <c r="M22" s="113">
        <f t="shared" si="11"/>
        <v>0.5357142857142857</v>
      </c>
    </row>
    <row r="23" spans="1:13" s="1" customFormat="1" ht="19.95" customHeight="1">
      <c r="A23" s="88"/>
      <c r="B23" s="87"/>
      <c r="C23" s="88">
        <v>35</v>
      </c>
      <c r="D23" s="1" t="s">
        <v>210</v>
      </c>
      <c r="E23" s="89">
        <f>'CANTIDAD DE OBRA'!L47</f>
        <v>65</v>
      </c>
      <c r="F23" s="89">
        <v>17</v>
      </c>
      <c r="G23" s="112">
        <f t="shared" si="6"/>
        <v>0.26153846153846155</v>
      </c>
      <c r="H23" s="89">
        <v>17</v>
      </c>
      <c r="I23" s="112">
        <f t="shared" si="7"/>
        <v>0.26153846153846155</v>
      </c>
      <c r="J23" s="89">
        <f t="shared" si="8"/>
        <v>0.26153846153846155</v>
      </c>
      <c r="K23" s="112">
        <f t="shared" si="9"/>
        <v>4.023668639053255E-3</v>
      </c>
      <c r="L23" s="89">
        <f t="shared" si="10"/>
        <v>34</v>
      </c>
      <c r="M23" s="113">
        <f t="shared" si="11"/>
        <v>0.52307692307692311</v>
      </c>
    </row>
    <row r="24" spans="1:13" s="1" customFormat="1" ht="19.95" customHeight="1">
      <c r="A24" s="88"/>
      <c r="B24" s="88"/>
      <c r="C24" s="88">
        <v>37</v>
      </c>
      <c r="D24" s="1" t="s">
        <v>211</v>
      </c>
      <c r="E24" s="89">
        <f>'CANTIDAD DE OBRA'!L49</f>
        <v>56</v>
      </c>
      <c r="F24" s="89">
        <v>19</v>
      </c>
      <c r="G24" s="112">
        <f t="shared" si="6"/>
        <v>0.3392857142857143</v>
      </c>
      <c r="H24" s="89">
        <v>19</v>
      </c>
      <c r="I24" s="112">
        <f t="shared" si="7"/>
        <v>0.3392857142857143</v>
      </c>
      <c r="J24" s="89">
        <f t="shared" si="8"/>
        <v>0.3392857142857143</v>
      </c>
      <c r="K24" s="112">
        <f t="shared" si="9"/>
        <v>6.0586734693877558E-3</v>
      </c>
      <c r="L24" s="89">
        <f t="shared" si="10"/>
        <v>38</v>
      </c>
      <c r="M24" s="113">
        <f t="shared" si="11"/>
        <v>0.6785714285714286</v>
      </c>
    </row>
    <row r="25" spans="1:13" s="1" customFormat="1" ht="19.95" customHeight="1">
      <c r="A25" s="88"/>
      <c r="B25" s="88"/>
      <c r="C25" s="88">
        <v>40</v>
      </c>
      <c r="D25" s="1" t="s">
        <v>212</v>
      </c>
      <c r="E25" s="89">
        <f>'CANTIDAD DE OBRA'!L52</f>
        <v>58.800000000000004</v>
      </c>
      <c r="F25" s="89">
        <v>22</v>
      </c>
      <c r="G25" s="112">
        <f t="shared" si="6"/>
        <v>0.37414965986394555</v>
      </c>
      <c r="H25" s="89">
        <v>22</v>
      </c>
      <c r="I25" s="112">
        <f t="shared" si="7"/>
        <v>0.37414965986394555</v>
      </c>
      <c r="J25" s="89">
        <f t="shared" si="8"/>
        <v>0.37414965986394555</v>
      </c>
      <c r="K25" s="112">
        <f t="shared" si="9"/>
        <v>6.3630894534684613E-3</v>
      </c>
      <c r="L25" s="89">
        <f t="shared" si="10"/>
        <v>44</v>
      </c>
      <c r="M25" s="113">
        <f t="shared" si="11"/>
        <v>0.7482993197278911</v>
      </c>
    </row>
    <row r="26" spans="1:13" s="1" customFormat="1" ht="19.95" customHeight="1">
      <c r="A26" s="88"/>
      <c r="B26" s="88"/>
      <c r="C26" s="88">
        <v>41</v>
      </c>
      <c r="D26" s="1" t="s">
        <v>200</v>
      </c>
      <c r="E26" s="89">
        <f>'CANTIDAD DE OBRA'!L53</f>
        <v>1</v>
      </c>
      <c r="F26" s="89">
        <v>23</v>
      </c>
      <c r="G26" s="112">
        <f t="shared" si="6"/>
        <v>23</v>
      </c>
      <c r="H26" s="89">
        <v>23</v>
      </c>
      <c r="I26" s="112">
        <f t="shared" si="7"/>
        <v>23</v>
      </c>
      <c r="J26" s="89">
        <f t="shared" si="8"/>
        <v>23</v>
      </c>
      <c r="K26" s="112">
        <f t="shared" si="9"/>
        <v>23</v>
      </c>
      <c r="L26" s="89">
        <f t="shared" si="10"/>
        <v>46</v>
      </c>
      <c r="M26" s="113">
        <f t="shared" si="11"/>
        <v>46</v>
      </c>
    </row>
    <row r="27" spans="1:13" s="1" customFormat="1" ht="19.95" customHeight="1">
      <c r="A27" s="88"/>
      <c r="B27" s="88"/>
      <c r="C27" s="88">
        <v>42</v>
      </c>
      <c r="D27" s="1" t="s">
        <v>213</v>
      </c>
      <c r="E27" s="89">
        <f>'CANTIDAD DE OBRA'!L55</f>
        <v>117.60000000000001</v>
      </c>
      <c r="F27" s="89">
        <v>25</v>
      </c>
      <c r="G27" s="112">
        <f t="shared" si="6"/>
        <v>0.21258503401360543</v>
      </c>
      <c r="H27" s="89">
        <v>25</v>
      </c>
      <c r="I27" s="112">
        <f t="shared" si="7"/>
        <v>0.21258503401360543</v>
      </c>
      <c r="J27" s="89">
        <f t="shared" si="8"/>
        <v>0.21258503401360543</v>
      </c>
      <c r="K27" s="112">
        <f t="shared" si="9"/>
        <v>1.807695867462631E-3</v>
      </c>
      <c r="L27" s="89">
        <f t="shared" si="10"/>
        <v>50</v>
      </c>
      <c r="M27" s="113">
        <f t="shared" si="11"/>
        <v>0.42517006802721086</v>
      </c>
    </row>
    <row r="28" spans="1:13" s="1" customFormat="1" ht="19.95" customHeight="1">
      <c r="A28" s="88"/>
      <c r="B28" s="88"/>
      <c r="C28" s="88">
        <v>45</v>
      </c>
      <c r="D28" s="1" t="s">
        <v>211</v>
      </c>
      <c r="E28" s="89">
        <f>'CANTIDAD DE OBRA'!L58</f>
        <v>38.5</v>
      </c>
      <c r="F28" s="89">
        <v>28</v>
      </c>
      <c r="G28" s="112">
        <f t="shared" si="6"/>
        <v>0.72727272727272729</v>
      </c>
      <c r="H28" s="89">
        <v>28</v>
      </c>
      <c r="I28" s="112">
        <f t="shared" si="7"/>
        <v>0.72727272727272729</v>
      </c>
      <c r="J28" s="89">
        <f t="shared" si="8"/>
        <v>0.72727272727272729</v>
      </c>
      <c r="K28" s="112">
        <f t="shared" si="9"/>
        <v>1.8890200708382526E-2</v>
      </c>
      <c r="L28" s="89">
        <f t="shared" si="10"/>
        <v>56</v>
      </c>
      <c r="M28" s="113">
        <f t="shared" si="11"/>
        <v>1.4545454545454546</v>
      </c>
    </row>
    <row r="29" spans="1:13" s="1" customFormat="1" ht="19.95" customHeight="1">
      <c r="A29" s="88"/>
      <c r="B29" s="88"/>
      <c r="C29" s="88">
        <v>46</v>
      </c>
      <c r="D29" s="1" t="s">
        <v>200</v>
      </c>
      <c r="E29" s="89">
        <f>'CANTIDAD DE OBRA'!L59</f>
        <v>1</v>
      </c>
      <c r="F29" s="89">
        <v>29</v>
      </c>
      <c r="G29" s="112">
        <f t="shared" si="6"/>
        <v>29</v>
      </c>
      <c r="H29" s="89">
        <v>29</v>
      </c>
      <c r="I29" s="112">
        <f t="shared" si="7"/>
        <v>29</v>
      </c>
      <c r="J29" s="89">
        <f t="shared" si="8"/>
        <v>29</v>
      </c>
      <c r="K29" s="112">
        <f t="shared" si="9"/>
        <v>29</v>
      </c>
      <c r="L29" s="89">
        <f t="shared" si="10"/>
        <v>58</v>
      </c>
      <c r="M29" s="113">
        <f t="shared" si="11"/>
        <v>58</v>
      </c>
    </row>
    <row r="30" spans="1:13" s="1" customFormat="1" ht="19.95" customHeight="1">
      <c r="A30" s="88"/>
      <c r="B30" s="88"/>
      <c r="C30" s="88">
        <v>47</v>
      </c>
      <c r="D30" s="1" t="s">
        <v>211</v>
      </c>
      <c r="E30" s="89">
        <f>'CANTIDAD DE OBRA'!L61</f>
        <v>58.800000000000004</v>
      </c>
      <c r="F30" s="89">
        <v>31</v>
      </c>
      <c r="G30" s="112">
        <f t="shared" si="6"/>
        <v>0.52721088435374142</v>
      </c>
      <c r="H30" s="89">
        <v>31</v>
      </c>
      <c r="I30" s="112">
        <f t="shared" si="7"/>
        <v>0.52721088435374142</v>
      </c>
      <c r="J30" s="89">
        <f t="shared" si="8"/>
        <v>0.52721088435374142</v>
      </c>
      <c r="K30" s="112">
        <f t="shared" si="9"/>
        <v>8.9661715026146498E-3</v>
      </c>
      <c r="L30" s="89">
        <f t="shared" si="10"/>
        <v>62</v>
      </c>
      <c r="M30" s="113">
        <f t="shared" si="11"/>
        <v>1.0544217687074828</v>
      </c>
    </row>
    <row r="31" spans="1:13" s="1" customFormat="1" ht="19.95" customHeight="1">
      <c r="A31" s="88"/>
      <c r="B31" s="88"/>
      <c r="C31" s="88"/>
      <c r="E31" s="88"/>
      <c r="F31" s="88"/>
      <c r="G31" s="88"/>
      <c r="H31" s="88"/>
      <c r="I31" s="88"/>
      <c r="J31" s="88"/>
      <c r="K31" s="88"/>
    </row>
    <row r="32" spans="1:13" s="1" customFormat="1" ht="27.6" customHeight="1">
      <c r="A32" s="120"/>
      <c r="B32" s="120"/>
      <c r="C32" s="120"/>
      <c r="D32" s="121" t="s">
        <v>167</v>
      </c>
      <c r="E32" s="122"/>
      <c r="F32" s="122"/>
      <c r="G32" s="122"/>
      <c r="H32" s="122"/>
      <c r="I32" s="122"/>
      <c r="J32" s="122"/>
      <c r="K32" s="122"/>
      <c r="L32" s="122"/>
      <c r="M32" s="81"/>
    </row>
    <row r="33" spans="1:13" s="1" customFormat="1" ht="19.95" customHeight="1">
      <c r="A33" s="123"/>
      <c r="B33" s="123"/>
      <c r="C33" s="123"/>
      <c r="D33" s="110"/>
      <c r="E33" s="110" t="s">
        <v>156</v>
      </c>
      <c r="F33" s="110"/>
      <c r="G33" s="110"/>
      <c r="H33" s="110"/>
      <c r="I33" s="110"/>
      <c r="J33" s="110"/>
      <c r="K33" s="110"/>
      <c r="L33" s="110"/>
      <c r="M33" s="110"/>
    </row>
    <row r="34" spans="1:13" s="1" customFormat="1" ht="19.95" customHeight="1">
      <c r="A34" s="124"/>
      <c r="B34" s="124"/>
      <c r="C34" s="124"/>
      <c r="D34" s="83"/>
      <c r="E34" s="84" t="s">
        <v>97</v>
      </c>
      <c r="F34" s="257" t="s">
        <v>157</v>
      </c>
      <c r="G34" s="257"/>
      <c r="H34" s="257"/>
      <c r="I34" s="257"/>
      <c r="J34" s="111"/>
      <c r="K34" s="111"/>
      <c r="L34" s="256" t="s">
        <v>158</v>
      </c>
      <c r="M34" s="256"/>
    </row>
    <row r="35" spans="1:13" s="1" customFormat="1" ht="19.95" customHeight="1">
      <c r="A35" s="124"/>
      <c r="B35" s="124"/>
      <c r="C35" s="124"/>
      <c r="D35" s="83"/>
      <c r="E35" s="84"/>
      <c r="F35" s="255" t="s">
        <v>168</v>
      </c>
      <c r="G35" s="255"/>
      <c r="H35" s="255" t="s">
        <v>160</v>
      </c>
      <c r="I35" s="255"/>
      <c r="J35" s="255" t="s">
        <v>161</v>
      </c>
      <c r="K35" s="255"/>
      <c r="L35" s="82"/>
      <c r="M35" s="82"/>
    </row>
    <row r="36" spans="1:13" s="1" customFormat="1" ht="19.95" customHeight="1">
      <c r="A36" s="124"/>
      <c r="B36" s="124"/>
      <c r="C36" s="124"/>
      <c r="D36" s="82" t="s">
        <v>91</v>
      </c>
      <c r="E36" s="82" t="s">
        <v>139</v>
      </c>
      <c r="F36" s="82" t="s">
        <v>139</v>
      </c>
      <c r="G36" s="84" t="s">
        <v>163</v>
      </c>
      <c r="H36" s="82" t="s">
        <v>139</v>
      </c>
      <c r="I36" s="84" t="s">
        <v>163</v>
      </c>
      <c r="J36" s="82" t="s">
        <v>139</v>
      </c>
      <c r="K36" s="84" t="s">
        <v>163</v>
      </c>
      <c r="L36" s="82" t="s">
        <v>139</v>
      </c>
      <c r="M36" s="84" t="s">
        <v>163</v>
      </c>
    </row>
    <row r="37" spans="1:13" s="1" customFormat="1" ht="18" customHeight="1">
      <c r="A37" s="86"/>
      <c r="B37" s="87"/>
      <c r="C37" s="88"/>
      <c r="D37" s="125" t="s">
        <v>165</v>
      </c>
      <c r="E37" s="89">
        <f>SUM(E7:E8)</f>
        <v>71.400000000000006</v>
      </c>
      <c r="F37" s="89">
        <f>E37*0.6</f>
        <v>42.84</v>
      </c>
      <c r="G37" s="112">
        <f t="shared" ref="G37:G40" si="12">F37/E37</f>
        <v>0.6</v>
      </c>
      <c r="H37" s="89">
        <f>H2</f>
        <v>0</v>
      </c>
      <c r="I37" s="112">
        <f t="shared" ref="I37:I40" si="13">H37/E37</f>
        <v>0</v>
      </c>
      <c r="J37" s="89">
        <f>J2</f>
        <v>0</v>
      </c>
      <c r="K37" s="112">
        <f t="shared" ref="K37:K40" si="14">J37/E37</f>
        <v>0</v>
      </c>
      <c r="L37" s="89">
        <f>F37+H37+J37</f>
        <v>42.84</v>
      </c>
      <c r="M37" s="113">
        <f>L37/E37</f>
        <v>0.6</v>
      </c>
    </row>
    <row r="38" spans="1:13" s="1" customFormat="1" ht="18" customHeight="1">
      <c r="A38" s="86"/>
      <c r="B38" s="87"/>
      <c r="C38" s="88"/>
      <c r="D38" s="125" t="s">
        <v>116</v>
      </c>
      <c r="E38" s="89">
        <f>SUM(E9:E14)</f>
        <v>431.80000000000007</v>
      </c>
      <c r="F38" s="89">
        <v>0</v>
      </c>
      <c r="G38" s="112">
        <f t="shared" si="12"/>
        <v>0</v>
      </c>
      <c r="H38" s="89">
        <v>0</v>
      </c>
      <c r="I38" s="112">
        <f t="shared" si="13"/>
        <v>0</v>
      </c>
      <c r="J38" s="89">
        <f>J7</f>
        <v>0</v>
      </c>
      <c r="K38" s="112">
        <f t="shared" si="14"/>
        <v>0</v>
      </c>
      <c r="L38" s="89">
        <f>F38+H38+J38</f>
        <v>0</v>
      </c>
      <c r="M38" s="113">
        <f>L38/E38</f>
        <v>0</v>
      </c>
    </row>
    <row r="39" spans="1:13" ht="18" customHeight="1">
      <c r="A39" s="88"/>
      <c r="B39" s="87"/>
      <c r="C39" s="88"/>
      <c r="D39" s="125" t="s">
        <v>164</v>
      </c>
      <c r="E39" s="89">
        <f>SUM(E15:E17)</f>
        <v>109.9</v>
      </c>
      <c r="F39" s="89">
        <v>0</v>
      </c>
      <c r="G39" s="112">
        <f t="shared" si="12"/>
        <v>0</v>
      </c>
      <c r="H39" s="89">
        <v>0</v>
      </c>
      <c r="I39" s="112">
        <f t="shared" si="13"/>
        <v>0</v>
      </c>
      <c r="J39" s="89">
        <v>0</v>
      </c>
      <c r="K39" s="112">
        <f t="shared" si="14"/>
        <v>0</v>
      </c>
      <c r="L39" s="89">
        <f t="shared" ref="L39" si="15">F39+H39+J39</f>
        <v>0</v>
      </c>
      <c r="M39" s="113">
        <f>L39/E39</f>
        <v>0</v>
      </c>
    </row>
    <row r="40" spans="1:13" ht="18" customHeight="1">
      <c r="A40" s="88"/>
      <c r="B40" s="87"/>
      <c r="C40" s="88"/>
      <c r="D40" s="125" t="s">
        <v>101</v>
      </c>
      <c r="E40" s="89">
        <f>SUM(E18:E30)</f>
        <v>659.5</v>
      </c>
      <c r="F40" s="89">
        <v>0</v>
      </c>
      <c r="G40" s="112">
        <f t="shared" si="12"/>
        <v>0</v>
      </c>
      <c r="H40" s="89">
        <v>0</v>
      </c>
      <c r="I40" s="112">
        <f t="shared" si="13"/>
        <v>0</v>
      </c>
      <c r="J40" s="89">
        <v>0</v>
      </c>
      <c r="K40" s="112">
        <f t="shared" si="14"/>
        <v>0</v>
      </c>
      <c r="L40" s="89">
        <v>0</v>
      </c>
      <c r="M40" s="113">
        <f>L40/E40</f>
        <v>0</v>
      </c>
    </row>
    <row r="41" spans="1:13" ht="18" customHeight="1">
      <c r="A41" s="88"/>
      <c r="B41" s="88"/>
      <c r="C41" s="88"/>
      <c r="D41" s="1"/>
      <c r="E41" s="88"/>
      <c r="F41" s="88"/>
      <c r="G41" s="95"/>
      <c r="H41" s="95"/>
      <c r="I41" s="95"/>
      <c r="J41" s="95"/>
      <c r="K41" s="95"/>
      <c r="L41" s="89"/>
      <c r="M41" s="89"/>
    </row>
    <row r="42" spans="1:13" ht="18" customHeight="1">
      <c r="A42" s="88"/>
      <c r="B42" s="88"/>
      <c r="C42" s="88"/>
      <c r="D42" s="114"/>
      <c r="E42" s="115">
        <f>SUM(E37:E41)</f>
        <v>1272.5999999999999</v>
      </c>
      <c r="F42" s="116">
        <f>SUM(F37:F41)</f>
        <v>42.84</v>
      </c>
      <c r="G42" s="117">
        <f>F42/E42</f>
        <v>3.3663366336633666E-2</v>
      </c>
      <c r="H42" s="116">
        <f>SUM(H37:H41)</f>
        <v>0</v>
      </c>
      <c r="I42" s="117">
        <f>H42/E42</f>
        <v>0</v>
      </c>
      <c r="J42" s="116">
        <f>SUM(J37:J41)</f>
        <v>0</v>
      </c>
      <c r="K42" s="126">
        <f>J42/E42</f>
        <v>0</v>
      </c>
      <c r="L42" s="115">
        <f>SUM(L37:L41)</f>
        <v>42.84</v>
      </c>
      <c r="M42" s="127">
        <f>L42/E42</f>
        <v>3.3663366336633666E-2</v>
      </c>
    </row>
    <row r="43" spans="1:13" ht="18" customHeight="1">
      <c r="A43" s="88"/>
      <c r="B43" s="88"/>
      <c r="C43" s="88"/>
      <c r="D43" s="1"/>
      <c r="E43" s="88"/>
      <c r="F43" s="88"/>
      <c r="G43" s="88"/>
      <c r="H43" s="88"/>
      <c r="I43" s="88"/>
      <c r="J43" s="88"/>
      <c r="K43" s="88"/>
      <c r="L43" s="128">
        <f>E42-L42</f>
        <v>1229.76</v>
      </c>
      <c r="M43" s="129">
        <f>L43/E42</f>
        <v>0.96633663366336642</v>
      </c>
    </row>
    <row r="44" spans="1:13" ht="18" customHeight="1"/>
    <row r="45" spans="1:13" ht="18" customHeight="1"/>
  </sheetData>
  <mergeCells count="12">
    <mergeCell ref="A2:L2"/>
    <mergeCell ref="B3:M3"/>
    <mergeCell ref="F4:I4"/>
    <mergeCell ref="L4:M4"/>
    <mergeCell ref="F5:G5"/>
    <mergeCell ref="H5:I5"/>
    <mergeCell ref="J5:K5"/>
    <mergeCell ref="F34:I34"/>
    <mergeCell ref="L34:M34"/>
    <mergeCell ref="F35:G35"/>
    <mergeCell ref="H35:I35"/>
    <mergeCell ref="J35:K3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D5E4-6E14-4E04-B9A8-660FE51BDA65}">
  <dimension ref="A2:N110"/>
  <sheetViews>
    <sheetView zoomScale="85" zoomScaleNormal="85" workbookViewId="0">
      <selection activeCell="C19" sqref="C19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5" width="12.77734375" style="24" customWidth="1"/>
    <col min="16" max="16384" width="11.5546875" style="24"/>
  </cols>
  <sheetData>
    <row r="2" spans="1:14" ht="25.05" customHeight="1">
      <c r="A2" s="259" t="s">
        <v>87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81"/>
    </row>
    <row r="3" spans="1:14" ht="25.05" customHeight="1">
      <c r="A3" s="110"/>
      <c r="B3" s="260" t="s">
        <v>169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</row>
    <row r="4" spans="1:14" s="1" customFormat="1" ht="25.05" customHeight="1">
      <c r="A4" s="82"/>
      <c r="B4" s="82"/>
      <c r="C4" s="82"/>
      <c r="D4" s="83"/>
      <c r="E4" s="84" t="s">
        <v>97</v>
      </c>
      <c r="F4" s="257" t="s">
        <v>157</v>
      </c>
      <c r="G4" s="257"/>
      <c r="H4" s="257"/>
      <c r="I4" s="257"/>
      <c r="J4" s="111"/>
      <c r="K4" s="111"/>
      <c r="L4" s="256" t="s">
        <v>158</v>
      </c>
      <c r="M4" s="256"/>
    </row>
    <row r="5" spans="1:14" s="1" customFormat="1" ht="19.95" customHeight="1">
      <c r="A5" s="82"/>
      <c r="B5" s="82"/>
      <c r="C5" s="82"/>
      <c r="D5" s="83"/>
      <c r="E5" s="84"/>
      <c r="F5" s="255" t="s">
        <v>159</v>
      </c>
      <c r="G5" s="255"/>
      <c r="H5" s="255" t="s">
        <v>160</v>
      </c>
      <c r="I5" s="255"/>
      <c r="J5" s="255" t="s">
        <v>161</v>
      </c>
      <c r="K5" s="255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>
        <v>1</v>
      </c>
      <c r="B7" s="87" t="s">
        <v>101</v>
      </c>
      <c r="C7" s="88">
        <v>1</v>
      </c>
      <c r="D7" s="1" t="s">
        <v>102</v>
      </c>
      <c r="E7" s="89">
        <f>'[4]CANTIDAD DE OBRA'!N5</f>
        <v>30.928399999999996</v>
      </c>
      <c r="F7" s="89">
        <v>0</v>
      </c>
      <c r="G7" s="112">
        <f>F7/E7</f>
        <v>0</v>
      </c>
      <c r="H7" s="89">
        <v>0</v>
      </c>
      <c r="I7" s="112">
        <f>H7/E7</f>
        <v>0</v>
      </c>
      <c r="J7" s="89">
        <v>0</v>
      </c>
      <c r="K7" s="112">
        <f>J7/E7</f>
        <v>0</v>
      </c>
      <c r="L7" s="89">
        <f>F7+H7</f>
        <v>0</v>
      </c>
      <c r="M7" s="113">
        <f>L7/E7</f>
        <v>0</v>
      </c>
      <c r="N7" s="85"/>
    </row>
    <row r="8" spans="1:14" s="1" customFormat="1" ht="19.95" customHeight="1">
      <c r="A8" s="86"/>
      <c r="B8" s="87"/>
      <c r="C8" s="88"/>
      <c r="D8" s="1" t="s">
        <v>103</v>
      </c>
      <c r="E8" s="89">
        <f>'[4]CANTIDAD DE OBRA'!Q6</f>
        <v>0</v>
      </c>
      <c r="F8" s="89">
        <v>0</v>
      </c>
      <c r="G8" s="112" t="e">
        <f>F8/E8</f>
        <v>#DIV/0!</v>
      </c>
      <c r="H8" s="89">
        <v>0</v>
      </c>
      <c r="I8" s="112" t="e">
        <f>H8/E8</f>
        <v>#DIV/0!</v>
      </c>
      <c r="J8" s="89">
        <v>0</v>
      </c>
      <c r="K8" s="112" t="e">
        <f t="shared" ref="K8:K32" si="0">J8/E8</f>
        <v>#DIV/0!</v>
      </c>
      <c r="L8" s="89">
        <f>F8+H8</f>
        <v>0</v>
      </c>
      <c r="M8" s="113" t="e">
        <f>L8/E8</f>
        <v>#DIV/0!</v>
      </c>
      <c r="N8" s="85"/>
    </row>
    <row r="9" spans="1:14" s="1" customFormat="1" ht="19.95" customHeight="1">
      <c r="A9" s="88"/>
      <c r="B9" s="87"/>
      <c r="C9" s="88">
        <v>2</v>
      </c>
      <c r="D9" s="1" t="s">
        <v>102</v>
      </c>
      <c r="E9" s="89">
        <f>'[4]CANTIDAD DE OBRA'!N7</f>
        <v>39.484000000000002</v>
      </c>
      <c r="F9" s="89">
        <v>0</v>
      </c>
      <c r="G9" s="112">
        <f t="shared" ref="G9:G32" si="1">F9/E9</f>
        <v>0</v>
      </c>
      <c r="H9" s="89">
        <v>0</v>
      </c>
      <c r="I9" s="112">
        <f t="shared" ref="I9:I32" si="2">H9/E9</f>
        <v>0</v>
      </c>
      <c r="J9" s="89">
        <v>0</v>
      </c>
      <c r="K9" s="112">
        <f t="shared" si="0"/>
        <v>0</v>
      </c>
      <c r="L9" s="89">
        <f t="shared" ref="L9:L32" si="3">F9+H9</f>
        <v>0</v>
      </c>
      <c r="M9" s="113">
        <f t="shared" ref="M9:M32" si="4">L9/E9</f>
        <v>0</v>
      </c>
    </row>
    <row r="10" spans="1:14" s="1" customFormat="1" ht="19.95" customHeight="1">
      <c r="A10" s="88"/>
      <c r="B10" s="87"/>
      <c r="C10" s="88"/>
      <c r="D10" s="1" t="s">
        <v>103</v>
      </c>
      <c r="E10" s="89">
        <f>'[4]CANTIDAD DE OBRA'!Q8</f>
        <v>0</v>
      </c>
      <c r="F10" s="89">
        <v>0</v>
      </c>
      <c r="G10" s="112" t="e">
        <f t="shared" si="1"/>
        <v>#DIV/0!</v>
      </c>
      <c r="H10" s="89">
        <v>0</v>
      </c>
      <c r="I10" s="112" t="e">
        <f t="shared" si="2"/>
        <v>#DIV/0!</v>
      </c>
      <c r="J10" s="89">
        <v>0</v>
      </c>
      <c r="K10" s="112" t="e">
        <f t="shared" si="0"/>
        <v>#DIV/0!</v>
      </c>
      <c r="L10" s="89">
        <f t="shared" si="3"/>
        <v>0</v>
      </c>
      <c r="M10" s="113" t="e">
        <f t="shared" si="4"/>
        <v>#DIV/0!</v>
      </c>
    </row>
    <row r="11" spans="1:14" s="1" customFormat="1" ht="19.95" customHeight="1">
      <c r="A11" s="88"/>
      <c r="B11" s="87"/>
      <c r="C11" s="88">
        <v>3</v>
      </c>
      <c r="D11" s="1" t="s">
        <v>104</v>
      </c>
      <c r="E11" s="89">
        <f>'[4]CANTIDAD DE OBRA'!N9</f>
        <v>20.387999999999998</v>
      </c>
      <c r="F11" s="89">
        <v>0</v>
      </c>
      <c r="G11" s="112">
        <f t="shared" si="1"/>
        <v>0</v>
      </c>
      <c r="H11" s="89">
        <v>0</v>
      </c>
      <c r="I11" s="112">
        <f t="shared" si="2"/>
        <v>0</v>
      </c>
      <c r="J11" s="89">
        <v>0</v>
      </c>
      <c r="K11" s="112">
        <f t="shared" si="0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/>
      <c r="D12" s="1" t="s">
        <v>105</v>
      </c>
      <c r="E12" s="89">
        <f>'[4]CANTIDAD DE OBRA'!Q10</f>
        <v>0</v>
      </c>
      <c r="F12" s="89">
        <v>0</v>
      </c>
      <c r="G12" s="112" t="e">
        <f t="shared" si="1"/>
        <v>#DIV/0!</v>
      </c>
      <c r="H12" s="89">
        <v>0</v>
      </c>
      <c r="I12" s="112" t="e">
        <f t="shared" si="2"/>
        <v>#DIV/0!</v>
      </c>
      <c r="J12" s="89">
        <v>0</v>
      </c>
      <c r="K12" s="112" t="e">
        <f t="shared" si="0"/>
        <v>#DIV/0!</v>
      </c>
      <c r="L12" s="89">
        <f t="shared" si="3"/>
        <v>0</v>
      </c>
      <c r="M12" s="113" t="e">
        <f t="shared" si="4"/>
        <v>#DIV/0!</v>
      </c>
    </row>
    <row r="13" spans="1:14" s="1" customFormat="1" ht="19.95" customHeight="1">
      <c r="A13" s="88"/>
      <c r="B13" s="86"/>
      <c r="C13" s="88"/>
      <c r="D13" s="1" t="s">
        <v>106</v>
      </c>
      <c r="E13" s="89">
        <f>'[4]CANTIDAD DE OBRA'!N11</f>
        <v>6.18</v>
      </c>
      <c r="F13" s="89">
        <v>0</v>
      </c>
      <c r="G13" s="112">
        <f t="shared" si="1"/>
        <v>0</v>
      </c>
      <c r="H13" s="89">
        <v>0</v>
      </c>
      <c r="I13" s="112">
        <f t="shared" si="2"/>
        <v>0</v>
      </c>
      <c r="J13" s="89">
        <v>0</v>
      </c>
      <c r="K13" s="112">
        <f t="shared" si="0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/>
      <c r="D14" s="1" t="s">
        <v>107</v>
      </c>
      <c r="E14" s="89">
        <f>'[4]CANTIDAD DE OBRA'!R12</f>
        <v>0</v>
      </c>
      <c r="F14" s="89">
        <v>0</v>
      </c>
      <c r="G14" s="112" t="e">
        <f t="shared" si="1"/>
        <v>#DIV/0!</v>
      </c>
      <c r="H14" s="89">
        <v>0</v>
      </c>
      <c r="I14" s="112" t="e">
        <f t="shared" si="2"/>
        <v>#DIV/0!</v>
      </c>
      <c r="J14" s="89">
        <v>0</v>
      </c>
      <c r="K14" s="112" t="e">
        <f t="shared" si="0"/>
        <v>#DIV/0!</v>
      </c>
      <c r="L14" s="89">
        <f t="shared" si="3"/>
        <v>0</v>
      </c>
      <c r="M14" s="113" t="e">
        <f t="shared" si="4"/>
        <v>#DIV/0!</v>
      </c>
    </row>
    <row r="15" spans="1:14" s="1" customFormat="1" ht="19.95" customHeight="1">
      <c r="A15" s="88"/>
      <c r="B15" s="86"/>
      <c r="C15" s="88">
        <v>4</v>
      </c>
      <c r="D15" s="1" t="s">
        <v>108</v>
      </c>
      <c r="E15" s="89">
        <f>'[4]CANTIDAD DE OBRA'!O13</f>
        <v>0</v>
      </c>
      <c r="F15" s="89">
        <v>0</v>
      </c>
      <c r="G15" s="112" t="e">
        <f t="shared" si="1"/>
        <v>#DIV/0!</v>
      </c>
      <c r="H15" s="89">
        <v>0</v>
      </c>
      <c r="I15" s="112" t="e">
        <f t="shared" si="2"/>
        <v>#DIV/0!</v>
      </c>
      <c r="J15" s="89">
        <v>0</v>
      </c>
      <c r="K15" s="112" t="e">
        <f t="shared" si="0"/>
        <v>#DIV/0!</v>
      </c>
      <c r="L15" s="89">
        <f t="shared" si="3"/>
        <v>0</v>
      </c>
      <c r="M15" s="113" t="e">
        <f t="shared" si="4"/>
        <v>#DIV/0!</v>
      </c>
    </row>
    <row r="16" spans="1:14" s="1" customFormat="1" ht="19.95" customHeight="1">
      <c r="A16" s="88"/>
      <c r="B16" s="86"/>
      <c r="C16" s="88">
        <v>5</v>
      </c>
      <c r="D16" s="1" t="s">
        <v>109</v>
      </c>
      <c r="E16" s="89">
        <f>'[4]CANTIDAD DE OBRA'!O14</f>
        <v>0</v>
      </c>
      <c r="F16" s="89">
        <v>0</v>
      </c>
      <c r="G16" s="112" t="e">
        <f t="shared" si="1"/>
        <v>#DIV/0!</v>
      </c>
      <c r="H16" s="89">
        <v>0</v>
      </c>
      <c r="I16" s="112" t="e">
        <f t="shared" si="2"/>
        <v>#DIV/0!</v>
      </c>
      <c r="J16" s="89">
        <v>0</v>
      </c>
      <c r="K16" s="112" t="e">
        <f t="shared" si="0"/>
        <v>#DIV/0!</v>
      </c>
      <c r="L16" s="89">
        <f t="shared" si="3"/>
        <v>0</v>
      </c>
      <c r="M16" s="113" t="e">
        <f t="shared" si="4"/>
        <v>#DIV/0!</v>
      </c>
    </row>
    <row r="17" spans="1:13" s="1" customFormat="1" ht="19.8" customHeight="1">
      <c r="A17" s="88"/>
      <c r="B17" s="86"/>
      <c r="C17" s="88">
        <v>6</v>
      </c>
      <c r="D17" s="1" t="s">
        <v>109</v>
      </c>
      <c r="E17" s="89">
        <f>'[4]CANTIDAD DE OBRA'!O17</f>
        <v>0</v>
      </c>
      <c r="F17" s="89">
        <v>0</v>
      </c>
      <c r="G17" s="112" t="e">
        <f t="shared" si="1"/>
        <v>#DIV/0!</v>
      </c>
      <c r="H17" s="89">
        <v>0</v>
      </c>
      <c r="I17" s="112" t="e">
        <f t="shared" si="2"/>
        <v>#DIV/0!</v>
      </c>
      <c r="J17" s="89">
        <v>0</v>
      </c>
      <c r="K17" s="112" t="e">
        <f t="shared" si="0"/>
        <v>#DIV/0!</v>
      </c>
      <c r="L17" s="89">
        <f t="shared" si="3"/>
        <v>0</v>
      </c>
      <c r="M17" s="113" t="e">
        <f t="shared" si="4"/>
        <v>#DIV/0!</v>
      </c>
    </row>
    <row r="18" spans="1:13" s="1" customFormat="1" ht="19.95" customHeight="1">
      <c r="A18" s="88"/>
      <c r="B18" s="86"/>
      <c r="C18" s="88">
        <v>7</v>
      </c>
      <c r="D18" s="1" t="s">
        <v>110</v>
      </c>
      <c r="E18" s="89">
        <f>'[4]CANTIDAD DE OBRA'!N18</f>
        <v>0</v>
      </c>
      <c r="F18" s="89">
        <v>0</v>
      </c>
      <c r="G18" s="112" t="e">
        <f t="shared" si="1"/>
        <v>#DIV/0!</v>
      </c>
      <c r="H18" s="89">
        <v>0</v>
      </c>
      <c r="I18" s="112" t="e">
        <f t="shared" si="2"/>
        <v>#DIV/0!</v>
      </c>
      <c r="J18" s="89">
        <v>0</v>
      </c>
      <c r="K18" s="112" t="e">
        <f t="shared" si="0"/>
        <v>#DIV/0!</v>
      </c>
      <c r="L18" s="89">
        <f t="shared" si="3"/>
        <v>0</v>
      </c>
      <c r="M18" s="113" t="e">
        <f t="shared" si="4"/>
        <v>#DIV/0!</v>
      </c>
    </row>
    <row r="19" spans="1:13" s="1" customFormat="1" ht="19.95" customHeight="1">
      <c r="A19" s="88"/>
      <c r="B19" s="86"/>
      <c r="C19" s="88">
        <v>8</v>
      </c>
      <c r="D19" s="1" t="s">
        <v>108</v>
      </c>
      <c r="E19" s="89">
        <f>'[4]CANTIDAD DE OBRA'!O19</f>
        <v>0</v>
      </c>
      <c r="F19" s="89">
        <v>0</v>
      </c>
      <c r="G19" s="112" t="e">
        <f t="shared" si="1"/>
        <v>#DIV/0!</v>
      </c>
      <c r="H19" s="89">
        <v>0</v>
      </c>
      <c r="I19" s="112" t="e">
        <f t="shared" si="2"/>
        <v>#DIV/0!</v>
      </c>
      <c r="J19" s="89">
        <v>0</v>
      </c>
      <c r="K19" s="112" t="e">
        <f t="shared" si="0"/>
        <v>#DIV/0!</v>
      </c>
      <c r="L19" s="89">
        <f t="shared" si="3"/>
        <v>0</v>
      </c>
      <c r="M19" s="113" t="e">
        <f t="shared" si="4"/>
        <v>#DIV/0!</v>
      </c>
    </row>
    <row r="20" spans="1:13" s="1" customFormat="1" ht="19.95" customHeight="1">
      <c r="A20" s="88"/>
      <c r="B20" s="86"/>
      <c r="C20" s="88">
        <v>9</v>
      </c>
      <c r="D20" s="1" t="s">
        <v>111</v>
      </c>
      <c r="E20" s="89">
        <f>'[4]CANTIDAD DE OBRA'!N20</f>
        <v>0</v>
      </c>
      <c r="F20" s="89">
        <v>0</v>
      </c>
      <c r="G20" s="112" t="e">
        <f t="shared" si="1"/>
        <v>#DIV/0!</v>
      </c>
      <c r="H20" s="89">
        <v>0</v>
      </c>
      <c r="I20" s="112" t="e">
        <f t="shared" si="2"/>
        <v>#DIV/0!</v>
      </c>
      <c r="J20" s="89">
        <v>0</v>
      </c>
      <c r="K20" s="112" t="e">
        <f t="shared" si="0"/>
        <v>#DIV/0!</v>
      </c>
      <c r="L20" s="89">
        <f t="shared" si="3"/>
        <v>0</v>
      </c>
      <c r="M20" s="113" t="e">
        <f t="shared" si="4"/>
        <v>#DIV/0!</v>
      </c>
    </row>
    <row r="21" spans="1:13" s="1" customFormat="1" ht="19.95" customHeight="1">
      <c r="A21" s="88"/>
      <c r="B21" s="86"/>
      <c r="C21" s="88"/>
      <c r="D21" s="1" t="s">
        <v>112</v>
      </c>
      <c r="E21" s="89">
        <f>'[4]CANTIDAD DE OBRA'!O21</f>
        <v>0</v>
      </c>
      <c r="F21" s="89">
        <v>0</v>
      </c>
      <c r="G21" s="112" t="e">
        <f t="shared" si="1"/>
        <v>#DIV/0!</v>
      </c>
      <c r="H21" s="89">
        <v>0</v>
      </c>
      <c r="I21" s="112" t="e">
        <f t="shared" si="2"/>
        <v>#DIV/0!</v>
      </c>
      <c r="J21" s="89">
        <v>0</v>
      </c>
      <c r="K21" s="112" t="e">
        <f t="shared" si="0"/>
        <v>#DIV/0!</v>
      </c>
      <c r="L21" s="89">
        <f t="shared" si="3"/>
        <v>0</v>
      </c>
      <c r="M21" s="113" t="e">
        <f t="shared" si="4"/>
        <v>#DIV/0!</v>
      </c>
    </row>
    <row r="22" spans="1:13" s="1" customFormat="1" ht="19.95" customHeight="1">
      <c r="A22" s="88"/>
      <c r="B22" s="86"/>
      <c r="C22" s="88"/>
      <c r="D22" s="1" t="s">
        <v>113</v>
      </c>
      <c r="E22" s="89">
        <f>'[4]CANTIDAD DE OBRA'!O22</f>
        <v>0</v>
      </c>
      <c r="F22" s="89">
        <v>0</v>
      </c>
      <c r="G22" s="112" t="e">
        <f t="shared" si="1"/>
        <v>#DIV/0!</v>
      </c>
      <c r="H22" s="89">
        <v>0</v>
      </c>
      <c r="I22" s="112" t="e">
        <f t="shared" si="2"/>
        <v>#DIV/0!</v>
      </c>
      <c r="J22" s="89" t="e">
        <f>G22</f>
        <v>#DIV/0!</v>
      </c>
      <c r="K22" s="112" t="e">
        <f t="shared" si="0"/>
        <v>#DIV/0!</v>
      </c>
      <c r="L22" s="89">
        <f t="shared" si="3"/>
        <v>0</v>
      </c>
      <c r="M22" s="113" t="e">
        <f t="shared" si="4"/>
        <v>#DIV/0!</v>
      </c>
    </row>
    <row r="23" spans="1:13" s="1" customFormat="1" ht="19.95" customHeight="1">
      <c r="A23" s="88"/>
      <c r="B23" s="86"/>
      <c r="C23" s="88">
        <v>10</v>
      </c>
      <c r="D23" s="1" t="s">
        <v>114</v>
      </c>
      <c r="E23" s="89">
        <f>'[4]CANTIDAD DE OBRA'!P23</f>
        <v>0</v>
      </c>
      <c r="F23" s="89">
        <v>0</v>
      </c>
      <c r="G23" s="112" t="e">
        <f t="shared" si="1"/>
        <v>#DIV/0!</v>
      </c>
      <c r="H23" s="89">
        <v>0</v>
      </c>
      <c r="I23" s="112" t="e">
        <f t="shared" si="2"/>
        <v>#DIV/0!</v>
      </c>
      <c r="J23" s="89" t="e">
        <f t="shared" ref="J23:J32" si="5">G23</f>
        <v>#DIV/0!</v>
      </c>
      <c r="K23" s="112" t="e">
        <f t="shared" si="0"/>
        <v>#DIV/0!</v>
      </c>
      <c r="L23" s="89">
        <f t="shared" si="3"/>
        <v>0</v>
      </c>
      <c r="M23" s="113" t="e">
        <f t="shared" si="4"/>
        <v>#DIV/0!</v>
      </c>
    </row>
    <row r="24" spans="1:13" s="1" customFormat="1" ht="19.95" customHeight="1">
      <c r="A24" s="88"/>
      <c r="B24" s="86"/>
      <c r="C24" s="88"/>
      <c r="D24" s="1" t="s">
        <v>115</v>
      </c>
      <c r="E24" s="89">
        <f>'[4]CANTIDAD DE OBRA'!P24</f>
        <v>0</v>
      </c>
      <c r="F24" s="89">
        <v>0</v>
      </c>
      <c r="G24" s="112" t="e">
        <f t="shared" si="1"/>
        <v>#DIV/0!</v>
      </c>
      <c r="H24" s="89">
        <v>0</v>
      </c>
      <c r="I24" s="112" t="e">
        <f t="shared" si="2"/>
        <v>#DIV/0!</v>
      </c>
      <c r="J24" s="89" t="e">
        <f t="shared" si="5"/>
        <v>#DIV/0!</v>
      </c>
      <c r="K24" s="112" t="e">
        <f t="shared" si="0"/>
        <v>#DIV/0!</v>
      </c>
      <c r="L24" s="89">
        <f t="shared" si="3"/>
        <v>0</v>
      </c>
      <c r="M24" s="113" t="e">
        <f t="shared" si="4"/>
        <v>#DIV/0!</v>
      </c>
    </row>
    <row r="25" spans="1:13" s="1" customFormat="1" ht="19.95" customHeight="1">
      <c r="A25" s="88"/>
      <c r="B25" s="86"/>
      <c r="C25" s="88">
        <v>11</v>
      </c>
      <c r="D25" s="1" t="s">
        <v>104</v>
      </c>
      <c r="E25" s="89">
        <f>'[4]CANTIDAD DE OBRA'!N25</f>
        <v>0</v>
      </c>
      <c r="F25" s="89">
        <v>0</v>
      </c>
      <c r="G25" s="112" t="e">
        <f t="shared" si="1"/>
        <v>#DIV/0!</v>
      </c>
      <c r="H25" s="89">
        <v>0</v>
      </c>
      <c r="I25" s="112" t="e">
        <f t="shared" si="2"/>
        <v>#DIV/0!</v>
      </c>
      <c r="J25" s="89" t="e">
        <f t="shared" si="5"/>
        <v>#DIV/0!</v>
      </c>
      <c r="K25" s="112" t="e">
        <f t="shared" si="0"/>
        <v>#DIV/0!</v>
      </c>
      <c r="L25" s="89">
        <f t="shared" si="3"/>
        <v>0</v>
      </c>
      <c r="M25" s="113" t="e">
        <f t="shared" si="4"/>
        <v>#DIV/0!</v>
      </c>
    </row>
    <row r="26" spans="1:13" s="1" customFormat="1" ht="19.95" customHeight="1">
      <c r="A26" s="88"/>
      <c r="B26" s="86"/>
      <c r="C26" s="88"/>
      <c r="D26" s="1" t="s">
        <v>105</v>
      </c>
      <c r="E26" s="89">
        <f>'[4]CANTIDAD DE OBRA'!Q26</f>
        <v>0</v>
      </c>
      <c r="F26" s="89">
        <v>0</v>
      </c>
      <c r="G26" s="112" t="e">
        <f t="shared" si="1"/>
        <v>#DIV/0!</v>
      </c>
      <c r="H26" s="89">
        <v>0</v>
      </c>
      <c r="I26" s="112" t="e">
        <f t="shared" si="2"/>
        <v>#DIV/0!</v>
      </c>
      <c r="J26" s="89" t="e">
        <f t="shared" si="5"/>
        <v>#DIV/0!</v>
      </c>
      <c r="K26" s="112" t="e">
        <f t="shared" si="0"/>
        <v>#DIV/0!</v>
      </c>
      <c r="L26" s="89">
        <f t="shared" si="3"/>
        <v>0</v>
      </c>
      <c r="M26" s="113" t="e">
        <f t="shared" si="4"/>
        <v>#DIV/0!</v>
      </c>
    </row>
    <row r="27" spans="1:13" s="1" customFormat="1" ht="19.95" customHeight="1">
      <c r="A27" s="88"/>
      <c r="B27" s="86"/>
      <c r="C27" s="88"/>
      <c r="D27" s="1" t="s">
        <v>106</v>
      </c>
      <c r="E27" s="89">
        <f>'[4]CANTIDAD DE OBRA'!P27</f>
        <v>0</v>
      </c>
      <c r="F27" s="89">
        <v>0</v>
      </c>
      <c r="G27" s="112" t="e">
        <f t="shared" si="1"/>
        <v>#DIV/0!</v>
      </c>
      <c r="H27" s="89">
        <v>0</v>
      </c>
      <c r="I27" s="112" t="e">
        <f t="shared" si="2"/>
        <v>#DIV/0!</v>
      </c>
      <c r="J27" s="89" t="e">
        <f t="shared" si="5"/>
        <v>#DIV/0!</v>
      </c>
      <c r="K27" s="112" t="e">
        <f t="shared" si="0"/>
        <v>#DIV/0!</v>
      </c>
      <c r="L27" s="89">
        <f t="shared" si="3"/>
        <v>0</v>
      </c>
      <c r="M27" s="113" t="e">
        <f t="shared" si="4"/>
        <v>#DIV/0!</v>
      </c>
    </row>
    <row r="28" spans="1:13" s="1" customFormat="1" ht="19.95" customHeight="1">
      <c r="A28" s="88"/>
      <c r="B28" s="86"/>
      <c r="C28" s="88"/>
      <c r="D28" s="1" t="s">
        <v>107</v>
      </c>
      <c r="E28" s="89">
        <f>'[4]CANTIDAD DE OBRA'!R28</f>
        <v>0</v>
      </c>
      <c r="F28" s="89">
        <v>0</v>
      </c>
      <c r="G28" s="112" t="e">
        <f t="shared" si="1"/>
        <v>#DIV/0!</v>
      </c>
      <c r="H28" s="89">
        <v>0</v>
      </c>
      <c r="I28" s="112" t="e">
        <f t="shared" si="2"/>
        <v>#DIV/0!</v>
      </c>
      <c r="J28" s="89" t="e">
        <f t="shared" si="5"/>
        <v>#DIV/0!</v>
      </c>
      <c r="K28" s="112" t="e">
        <f t="shared" si="0"/>
        <v>#DIV/0!</v>
      </c>
      <c r="L28" s="89">
        <f t="shared" si="3"/>
        <v>0</v>
      </c>
      <c r="M28" s="113" t="e">
        <f t="shared" si="4"/>
        <v>#DIV/0!</v>
      </c>
    </row>
    <row r="29" spans="1:13" s="1" customFormat="1" ht="19.95" customHeight="1">
      <c r="A29" s="88"/>
      <c r="B29" s="86"/>
      <c r="C29" s="88">
        <v>12</v>
      </c>
      <c r="D29" s="1" t="s">
        <v>102</v>
      </c>
      <c r="E29" s="89">
        <f>'[4]CANTIDAD DE OBRA'!N29</f>
        <v>0</v>
      </c>
      <c r="F29" s="89">
        <v>0</v>
      </c>
      <c r="G29" s="112" t="e">
        <f t="shared" si="1"/>
        <v>#DIV/0!</v>
      </c>
      <c r="H29" s="89">
        <v>0</v>
      </c>
      <c r="I29" s="112" t="e">
        <f t="shared" si="2"/>
        <v>#DIV/0!</v>
      </c>
      <c r="J29" s="89" t="e">
        <f t="shared" si="5"/>
        <v>#DIV/0!</v>
      </c>
      <c r="K29" s="112" t="e">
        <f t="shared" si="0"/>
        <v>#DIV/0!</v>
      </c>
      <c r="L29" s="89">
        <f t="shared" si="3"/>
        <v>0</v>
      </c>
      <c r="M29" s="113" t="e">
        <f t="shared" si="4"/>
        <v>#DIV/0!</v>
      </c>
    </row>
    <row r="30" spans="1:13" s="1" customFormat="1" ht="19.95" customHeight="1">
      <c r="A30" s="88"/>
      <c r="B30" s="86"/>
      <c r="C30" s="88"/>
      <c r="D30" s="1" t="s">
        <v>103</v>
      </c>
      <c r="E30" s="89">
        <f>'[4]CANTIDAD DE OBRA'!Q30</f>
        <v>0</v>
      </c>
      <c r="F30" s="89">
        <v>0</v>
      </c>
      <c r="G30" s="112" t="e">
        <f t="shared" si="1"/>
        <v>#DIV/0!</v>
      </c>
      <c r="H30" s="89">
        <v>0</v>
      </c>
      <c r="I30" s="112" t="e">
        <f t="shared" si="2"/>
        <v>#DIV/0!</v>
      </c>
      <c r="J30" s="89" t="e">
        <f t="shared" si="5"/>
        <v>#DIV/0!</v>
      </c>
      <c r="K30" s="112" t="e">
        <f t="shared" si="0"/>
        <v>#DIV/0!</v>
      </c>
      <c r="L30" s="89">
        <f t="shared" si="3"/>
        <v>0</v>
      </c>
      <c r="M30" s="113" t="e">
        <f t="shared" si="4"/>
        <v>#DIV/0!</v>
      </c>
    </row>
    <row r="31" spans="1:13" s="1" customFormat="1" ht="19.95" customHeight="1">
      <c r="A31" s="88"/>
      <c r="B31" s="86"/>
      <c r="C31" s="88">
        <v>13</v>
      </c>
      <c r="D31" s="1" t="s">
        <v>102</v>
      </c>
      <c r="E31" s="89">
        <f>'[4]CANTIDAD DE OBRA'!N31</f>
        <v>0</v>
      </c>
      <c r="F31" s="89">
        <v>0</v>
      </c>
      <c r="G31" s="112" t="e">
        <f t="shared" si="1"/>
        <v>#DIV/0!</v>
      </c>
      <c r="H31" s="89">
        <v>0</v>
      </c>
      <c r="I31" s="112" t="e">
        <f t="shared" si="2"/>
        <v>#DIV/0!</v>
      </c>
      <c r="J31" s="89" t="e">
        <f t="shared" si="5"/>
        <v>#DIV/0!</v>
      </c>
      <c r="K31" s="112" t="e">
        <f t="shared" si="0"/>
        <v>#DIV/0!</v>
      </c>
      <c r="L31" s="89">
        <f t="shared" si="3"/>
        <v>0</v>
      </c>
      <c r="M31" s="113" t="e">
        <f t="shared" si="4"/>
        <v>#DIV/0!</v>
      </c>
    </row>
    <row r="32" spans="1:13" s="1" customFormat="1" ht="19.95" customHeight="1">
      <c r="A32" s="88"/>
      <c r="B32" s="86"/>
      <c r="C32" s="88"/>
      <c r="D32" s="1" t="s">
        <v>103</v>
      </c>
      <c r="E32" s="89">
        <f>'[4]CANTIDAD DE OBRA'!Q34</f>
        <v>0</v>
      </c>
      <c r="F32" s="89">
        <v>0</v>
      </c>
      <c r="G32" s="112" t="e">
        <f t="shared" si="1"/>
        <v>#DIV/0!</v>
      </c>
      <c r="H32" s="89">
        <v>0</v>
      </c>
      <c r="I32" s="112" t="e">
        <f t="shared" si="2"/>
        <v>#DIV/0!</v>
      </c>
      <c r="J32" s="89" t="e">
        <f t="shared" si="5"/>
        <v>#DIV/0!</v>
      </c>
      <c r="K32" s="112" t="e">
        <f t="shared" si="0"/>
        <v>#DIV/0!</v>
      </c>
      <c r="L32" s="89">
        <f t="shared" si="3"/>
        <v>0</v>
      </c>
      <c r="M32" s="113" t="e">
        <f t="shared" si="4"/>
        <v>#DIV/0!</v>
      </c>
    </row>
    <row r="33" spans="1:14" s="1" customFormat="1" ht="19.95" customHeight="1">
      <c r="A33" s="88"/>
      <c r="B33" s="88"/>
      <c r="C33" s="88"/>
      <c r="E33" s="88"/>
      <c r="F33" s="88"/>
      <c r="G33" s="95"/>
      <c r="H33" s="95"/>
      <c r="I33" s="95"/>
      <c r="J33" s="95"/>
      <c r="K33" s="95"/>
      <c r="L33" s="89"/>
      <c r="M33" s="89"/>
    </row>
    <row r="34" spans="1:14" s="1" customFormat="1" ht="19.95" customHeight="1">
      <c r="A34" s="88"/>
      <c r="B34" s="88"/>
      <c r="C34" s="88"/>
      <c r="D34" s="114"/>
      <c r="E34" s="115">
        <f>SUM(E7:E33)</f>
        <v>96.980400000000003</v>
      </c>
      <c r="F34" s="116">
        <f>SUM(F7:F33)</f>
        <v>0</v>
      </c>
      <c r="G34" s="117">
        <f>F34/E34</f>
        <v>0</v>
      </c>
      <c r="H34" s="116">
        <f>SUM(H7:H33)</f>
        <v>0</v>
      </c>
      <c r="I34" s="117">
        <f>H34/E34</f>
        <v>0</v>
      </c>
      <c r="J34" s="116" t="e">
        <f>SUM(J7:J33)</f>
        <v>#DIV/0!</v>
      </c>
      <c r="K34" s="117" t="e">
        <f>J34/E34</f>
        <v>#DIV/0!</v>
      </c>
      <c r="L34" s="118">
        <f>SUM(L7:L33)</f>
        <v>0</v>
      </c>
      <c r="M34" s="119">
        <f>L34/E34</f>
        <v>0</v>
      </c>
      <c r="N34" s="88"/>
    </row>
    <row r="35" spans="1:14" s="1" customFormat="1" ht="19.95" customHeight="1">
      <c r="A35" s="88"/>
      <c r="B35" s="88"/>
      <c r="C35" s="88"/>
      <c r="E35" s="88"/>
      <c r="F35" s="88"/>
      <c r="G35" s="88"/>
      <c r="H35" s="88"/>
      <c r="I35" s="88"/>
      <c r="J35" s="88"/>
      <c r="K35" s="88"/>
      <c r="L35" s="88"/>
      <c r="M35" s="88"/>
    </row>
    <row r="36" spans="1:14" s="1" customFormat="1" ht="19.95" customHeight="1">
      <c r="A36" s="88"/>
      <c r="B36" s="87" t="s">
        <v>164</v>
      </c>
      <c r="C36" s="88">
        <v>14</v>
      </c>
      <c r="D36" s="1" t="s">
        <v>102</v>
      </c>
      <c r="E36" s="89">
        <f>'[4]CANTIDAD DE OBRA'!N33</f>
        <v>0</v>
      </c>
      <c r="F36" s="89">
        <v>0</v>
      </c>
      <c r="G36" s="112" t="e">
        <f>F36/E36</f>
        <v>#DIV/0!</v>
      </c>
      <c r="H36" s="89">
        <v>0</v>
      </c>
      <c r="I36" s="112" t="e">
        <f>H36/E36</f>
        <v>#DIV/0!</v>
      </c>
      <c r="J36" s="89" t="e">
        <f>G36</f>
        <v>#DIV/0!</v>
      </c>
      <c r="K36" s="112" t="e">
        <f>J36/E36</f>
        <v>#DIV/0!</v>
      </c>
      <c r="L36" s="89">
        <f>F36+H36</f>
        <v>0</v>
      </c>
      <c r="M36" s="113" t="e">
        <f>L36/E36</f>
        <v>#DIV/0!</v>
      </c>
    </row>
    <row r="37" spans="1:14" s="1" customFormat="1" ht="19.95" customHeight="1">
      <c r="A37" s="88"/>
      <c r="B37" s="87"/>
      <c r="C37" s="88"/>
      <c r="D37" s="1" t="s">
        <v>103</v>
      </c>
      <c r="E37" s="89">
        <f>'[4]CANTIDAD DE OBRA'!Q34</f>
        <v>0</v>
      </c>
      <c r="F37" s="89">
        <v>0</v>
      </c>
      <c r="G37" s="112" t="e">
        <f t="shared" ref="G37:G42" si="6">F37/E37</f>
        <v>#DIV/0!</v>
      </c>
      <c r="H37" s="89">
        <v>0</v>
      </c>
      <c r="I37" s="112" t="e">
        <f t="shared" ref="I37:I42" si="7">H37/E37</f>
        <v>#DIV/0!</v>
      </c>
      <c r="J37" s="89" t="e">
        <f t="shared" ref="J37:J42" si="8">G37</f>
        <v>#DIV/0!</v>
      </c>
      <c r="K37" s="112" t="e">
        <f t="shared" ref="K37:K42" si="9">J37/E37</f>
        <v>#DIV/0!</v>
      </c>
      <c r="L37" s="89">
        <f t="shared" ref="L37:L42" si="10">F37+H37</f>
        <v>0</v>
      </c>
      <c r="M37" s="113" t="e">
        <f t="shared" ref="M37:M42" si="11">L37/E37</f>
        <v>#DIV/0!</v>
      </c>
    </row>
    <row r="38" spans="1:14" s="1" customFormat="1" ht="19.95" customHeight="1">
      <c r="A38" s="88"/>
      <c r="B38" s="87"/>
      <c r="C38" s="88">
        <v>15</v>
      </c>
      <c r="D38" s="1" t="s">
        <v>102</v>
      </c>
      <c r="E38" s="89">
        <f>'[4]CANTIDAD DE OBRA'!N35</f>
        <v>0</v>
      </c>
      <c r="F38" s="89">
        <v>0</v>
      </c>
      <c r="G38" s="112" t="e">
        <f t="shared" si="6"/>
        <v>#DIV/0!</v>
      </c>
      <c r="H38" s="89">
        <v>0</v>
      </c>
      <c r="I38" s="112" t="e">
        <f t="shared" si="7"/>
        <v>#DIV/0!</v>
      </c>
      <c r="J38" s="89" t="e">
        <f t="shared" si="8"/>
        <v>#DIV/0!</v>
      </c>
      <c r="K38" s="112" t="e">
        <f t="shared" si="9"/>
        <v>#DIV/0!</v>
      </c>
      <c r="L38" s="89">
        <f t="shared" si="10"/>
        <v>0</v>
      </c>
      <c r="M38" s="113" t="e">
        <f t="shared" si="11"/>
        <v>#DIV/0!</v>
      </c>
    </row>
    <row r="39" spans="1:14" s="1" customFormat="1" ht="19.95" customHeight="1">
      <c r="A39" s="88"/>
      <c r="B39" s="87"/>
      <c r="C39" s="88">
        <v>16</v>
      </c>
      <c r="D39" s="1" t="s">
        <v>108</v>
      </c>
      <c r="E39" s="89">
        <f>'[4]CANTIDAD DE OBRA'!O36</f>
        <v>0</v>
      </c>
      <c r="F39" s="89">
        <v>0</v>
      </c>
      <c r="G39" s="112" t="e">
        <f t="shared" si="6"/>
        <v>#DIV/0!</v>
      </c>
      <c r="H39" s="89">
        <v>0</v>
      </c>
      <c r="I39" s="112" t="e">
        <f t="shared" si="7"/>
        <v>#DIV/0!</v>
      </c>
      <c r="J39" s="89" t="e">
        <f t="shared" si="8"/>
        <v>#DIV/0!</v>
      </c>
      <c r="K39" s="112" t="e">
        <f t="shared" si="9"/>
        <v>#DIV/0!</v>
      </c>
      <c r="L39" s="89">
        <f t="shared" si="10"/>
        <v>0</v>
      </c>
      <c r="M39" s="113" t="e">
        <f t="shared" si="11"/>
        <v>#DIV/0!</v>
      </c>
    </row>
    <row r="40" spans="1:14" s="1" customFormat="1" ht="19.95" customHeight="1">
      <c r="A40" s="88"/>
      <c r="B40" s="87"/>
      <c r="C40" s="88">
        <v>17</v>
      </c>
      <c r="D40" s="1" t="s">
        <v>102</v>
      </c>
      <c r="E40" s="89">
        <f>'[4]CANTIDAD DE OBRA'!N37</f>
        <v>0</v>
      </c>
      <c r="F40" s="89">
        <v>0</v>
      </c>
      <c r="G40" s="112" t="e">
        <f t="shared" si="6"/>
        <v>#DIV/0!</v>
      </c>
      <c r="H40" s="89">
        <v>0</v>
      </c>
      <c r="I40" s="112" t="e">
        <f t="shared" si="7"/>
        <v>#DIV/0!</v>
      </c>
      <c r="J40" s="89" t="e">
        <f t="shared" si="8"/>
        <v>#DIV/0!</v>
      </c>
      <c r="K40" s="112" t="e">
        <f t="shared" si="9"/>
        <v>#DIV/0!</v>
      </c>
      <c r="L40" s="89">
        <f t="shared" si="10"/>
        <v>0</v>
      </c>
      <c r="M40" s="113" t="e">
        <f t="shared" si="11"/>
        <v>#DIV/0!</v>
      </c>
    </row>
    <row r="41" spans="1:14" s="1" customFormat="1" ht="19.95" customHeight="1">
      <c r="A41" s="88"/>
      <c r="B41" s="87"/>
      <c r="C41" s="88">
        <v>18</v>
      </c>
      <c r="D41" s="1" t="s">
        <v>102</v>
      </c>
      <c r="E41" s="89">
        <f>'[4]CANTIDAD DE OBRA'!N38</f>
        <v>0</v>
      </c>
      <c r="F41" s="89">
        <v>0</v>
      </c>
      <c r="G41" s="112" t="e">
        <f t="shared" si="6"/>
        <v>#DIV/0!</v>
      </c>
      <c r="H41" s="89">
        <v>0</v>
      </c>
      <c r="I41" s="112" t="e">
        <f t="shared" si="7"/>
        <v>#DIV/0!</v>
      </c>
      <c r="J41" s="89" t="e">
        <f t="shared" si="8"/>
        <v>#DIV/0!</v>
      </c>
      <c r="K41" s="112" t="e">
        <f t="shared" si="9"/>
        <v>#DIV/0!</v>
      </c>
      <c r="L41" s="89">
        <f t="shared" si="10"/>
        <v>0</v>
      </c>
      <c r="M41" s="113" t="e">
        <f t="shared" si="11"/>
        <v>#DIV/0!</v>
      </c>
    </row>
    <row r="42" spans="1:14" s="1" customFormat="1" ht="19.95" customHeight="1">
      <c r="A42" s="88"/>
      <c r="B42" s="87"/>
      <c r="C42" s="88"/>
      <c r="D42" s="1" t="s">
        <v>103</v>
      </c>
      <c r="E42" s="89">
        <f>'[4]CANTIDAD DE OBRA'!Q39</f>
        <v>0</v>
      </c>
      <c r="F42" s="89">
        <v>0</v>
      </c>
      <c r="G42" s="112" t="e">
        <f t="shared" si="6"/>
        <v>#DIV/0!</v>
      </c>
      <c r="H42" s="89">
        <v>0</v>
      </c>
      <c r="I42" s="112" t="e">
        <f t="shared" si="7"/>
        <v>#DIV/0!</v>
      </c>
      <c r="J42" s="89" t="e">
        <f t="shared" si="8"/>
        <v>#DIV/0!</v>
      </c>
      <c r="K42" s="112" t="e">
        <f t="shared" si="9"/>
        <v>#DIV/0!</v>
      </c>
      <c r="L42" s="89">
        <f t="shared" si="10"/>
        <v>0</v>
      </c>
      <c r="M42" s="113" t="e">
        <f t="shared" si="11"/>
        <v>#DIV/0!</v>
      </c>
    </row>
    <row r="43" spans="1:14" s="1" customFormat="1" ht="19.95" customHeight="1">
      <c r="A43" s="88"/>
      <c r="B43" s="87"/>
      <c r="C43" s="88"/>
      <c r="E43" s="89"/>
      <c r="F43" s="88"/>
      <c r="G43" s="112"/>
      <c r="H43" s="89"/>
      <c r="I43" s="112"/>
      <c r="J43" s="89"/>
      <c r="K43" s="112"/>
      <c r="L43" s="89"/>
      <c r="M43" s="113"/>
    </row>
    <row r="44" spans="1:14" s="1" customFormat="1" ht="19.95" customHeight="1">
      <c r="A44" s="88"/>
      <c r="B44" s="88"/>
      <c r="C44" s="88"/>
      <c r="E44" s="88"/>
      <c r="F44" s="88"/>
      <c r="G44" s="88"/>
      <c r="H44" s="88"/>
      <c r="I44" s="88"/>
      <c r="J44" s="88"/>
      <c r="K44" s="88"/>
      <c r="L44" s="88"/>
      <c r="M44" s="88"/>
    </row>
    <row r="45" spans="1:14" s="1" customFormat="1" ht="19.95" customHeight="1">
      <c r="A45" s="88"/>
      <c r="B45" s="88"/>
      <c r="C45" s="88"/>
      <c r="D45" s="114"/>
      <c r="E45" s="115">
        <f>SUM(E36:E44)</f>
        <v>0</v>
      </c>
      <c r="F45" s="116">
        <f>SUM(F36:F44)</f>
        <v>0</v>
      </c>
      <c r="G45" s="117" t="e">
        <f>F45/E45</f>
        <v>#DIV/0!</v>
      </c>
      <c r="H45" s="116">
        <f>SUM(H36:H44)</f>
        <v>0</v>
      </c>
      <c r="I45" s="117" t="e">
        <f>H45/E45</f>
        <v>#DIV/0!</v>
      </c>
      <c r="J45" s="116" t="e">
        <f>SUM(J11:J44)</f>
        <v>#DIV/0!</v>
      </c>
      <c r="K45" s="117" t="e">
        <f>J45/E45</f>
        <v>#DIV/0!</v>
      </c>
      <c r="L45" s="118">
        <f>SUM(L36:L44)</f>
        <v>0</v>
      </c>
      <c r="M45" s="119" t="e">
        <f>L45/E45</f>
        <v>#DIV/0!</v>
      </c>
    </row>
    <row r="46" spans="1:14" s="1" customFormat="1" ht="19.95" customHeight="1">
      <c r="A46" s="88"/>
      <c r="B46" s="88"/>
      <c r="C46" s="88"/>
      <c r="E46" s="88"/>
      <c r="F46" s="88"/>
      <c r="G46" s="88"/>
      <c r="H46" s="88"/>
      <c r="I46" s="88"/>
      <c r="J46" s="88"/>
      <c r="K46" s="88"/>
      <c r="L46" s="88"/>
      <c r="M46" s="88"/>
    </row>
    <row r="47" spans="1:14" s="1" customFormat="1" ht="19.95" customHeight="1">
      <c r="A47" s="88"/>
      <c r="B47" s="87" t="s">
        <v>116</v>
      </c>
      <c r="C47" s="88">
        <v>19</v>
      </c>
      <c r="D47" s="1" t="s">
        <v>102</v>
      </c>
      <c r="E47" s="89">
        <f>'[4]CANTIDAD DE OBRA'!N40</f>
        <v>0</v>
      </c>
      <c r="F47" s="89">
        <v>0</v>
      </c>
      <c r="G47" s="112" t="e">
        <f>F47/E47</f>
        <v>#DIV/0!</v>
      </c>
      <c r="H47" s="89">
        <v>0</v>
      </c>
      <c r="I47" s="112" t="e">
        <f>H47/E47</f>
        <v>#DIV/0!</v>
      </c>
      <c r="J47" s="89">
        <v>0</v>
      </c>
      <c r="K47" s="112" t="e">
        <f>J47/E47</f>
        <v>#DIV/0!</v>
      </c>
      <c r="L47" s="89">
        <f>F47+H47</f>
        <v>0</v>
      </c>
      <c r="M47" s="113" t="e">
        <f>L47/E47</f>
        <v>#DIV/0!</v>
      </c>
    </row>
    <row r="48" spans="1:14" s="1" customFormat="1" ht="19.95" customHeight="1">
      <c r="A48" s="88"/>
      <c r="B48" s="87"/>
      <c r="C48" s="88"/>
      <c r="D48" s="1" t="s">
        <v>103</v>
      </c>
      <c r="E48" s="89">
        <f>'[4]CANTIDAD DE OBRA'!Q41</f>
        <v>0</v>
      </c>
      <c r="F48" s="89">
        <v>0</v>
      </c>
      <c r="G48" s="112" t="e">
        <f t="shared" ref="G48:G76" si="12">F48/E48</f>
        <v>#DIV/0!</v>
      </c>
      <c r="H48" s="89">
        <v>0</v>
      </c>
      <c r="I48" s="112" t="e">
        <f t="shared" ref="I48:I76" si="13">H48/E48</f>
        <v>#DIV/0!</v>
      </c>
      <c r="J48" s="89">
        <v>0</v>
      </c>
      <c r="K48" s="112" t="e">
        <f t="shared" ref="K48:K76" si="14">J48/E48</f>
        <v>#DIV/0!</v>
      </c>
      <c r="L48" s="89">
        <f>F48+H48+J48</f>
        <v>0</v>
      </c>
      <c r="M48" s="113" t="e">
        <f t="shared" ref="M48:M76" si="15">L48/E48</f>
        <v>#DIV/0!</v>
      </c>
    </row>
    <row r="49" spans="1:13" s="1" customFormat="1" ht="19.95" customHeight="1">
      <c r="A49" s="88"/>
      <c r="B49" s="87"/>
      <c r="C49" s="88">
        <v>20</v>
      </c>
      <c r="D49" s="1" t="s">
        <v>102</v>
      </c>
      <c r="E49" s="89">
        <f>'[4]CANTIDAD DE OBRA'!N42</f>
        <v>0</v>
      </c>
      <c r="F49" s="89">
        <v>0</v>
      </c>
      <c r="G49" s="112" t="e">
        <f t="shared" si="12"/>
        <v>#DIV/0!</v>
      </c>
      <c r="H49" s="89">
        <v>0</v>
      </c>
      <c r="I49" s="112" t="e">
        <f t="shared" si="13"/>
        <v>#DIV/0!</v>
      </c>
      <c r="J49" s="89">
        <v>0</v>
      </c>
      <c r="K49" s="112" t="e">
        <f t="shared" si="14"/>
        <v>#DIV/0!</v>
      </c>
      <c r="L49" s="89">
        <f>F49+H49+J49</f>
        <v>0</v>
      </c>
      <c r="M49" s="113" t="e">
        <f t="shared" si="15"/>
        <v>#DIV/0!</v>
      </c>
    </row>
    <row r="50" spans="1:13" s="1" customFormat="1" ht="19.95" customHeight="1">
      <c r="A50" s="88"/>
      <c r="B50" s="87"/>
      <c r="C50" s="88"/>
      <c r="D50" s="1" t="s">
        <v>103</v>
      </c>
      <c r="E50" s="89">
        <f>'[4]CANTIDAD DE OBRA'!Q43</f>
        <v>0</v>
      </c>
      <c r="F50" s="89">
        <v>0</v>
      </c>
      <c r="G50" s="112" t="e">
        <f t="shared" si="12"/>
        <v>#DIV/0!</v>
      </c>
      <c r="H50" s="89">
        <v>0</v>
      </c>
      <c r="I50" s="112" t="e">
        <f t="shared" si="13"/>
        <v>#DIV/0!</v>
      </c>
      <c r="J50" s="89">
        <v>0</v>
      </c>
      <c r="K50" s="112" t="e">
        <f t="shared" si="14"/>
        <v>#DIV/0!</v>
      </c>
      <c r="L50" s="89">
        <f t="shared" ref="L50:L76" si="16">F50+H50+J50</f>
        <v>0</v>
      </c>
      <c r="M50" s="113" t="e">
        <f t="shared" si="15"/>
        <v>#DIV/0!</v>
      </c>
    </row>
    <row r="51" spans="1:13" s="1" customFormat="1" ht="19.95" customHeight="1">
      <c r="A51" s="88"/>
      <c r="B51" s="88"/>
      <c r="C51" s="88">
        <v>21</v>
      </c>
      <c r="D51" s="1" t="s">
        <v>104</v>
      </c>
      <c r="E51" s="89">
        <f>'[4]CANTIDAD DE OBRA'!N44</f>
        <v>0</v>
      </c>
      <c r="F51" s="89">
        <v>0</v>
      </c>
      <c r="G51" s="112" t="e">
        <f t="shared" si="12"/>
        <v>#DIV/0!</v>
      </c>
      <c r="H51" s="89">
        <v>0</v>
      </c>
      <c r="I51" s="112" t="e">
        <f t="shared" si="13"/>
        <v>#DIV/0!</v>
      </c>
      <c r="J51" s="89">
        <v>0</v>
      </c>
      <c r="K51" s="112" t="e">
        <f t="shared" si="14"/>
        <v>#DIV/0!</v>
      </c>
      <c r="L51" s="89">
        <f t="shared" si="16"/>
        <v>0</v>
      </c>
      <c r="M51" s="113" t="e">
        <f t="shared" si="15"/>
        <v>#DIV/0!</v>
      </c>
    </row>
    <row r="52" spans="1:13" s="1" customFormat="1" ht="19.95" customHeight="1">
      <c r="A52" s="88"/>
      <c r="B52" s="88"/>
      <c r="C52" s="88"/>
      <c r="D52" s="1" t="s">
        <v>105</v>
      </c>
      <c r="E52" s="89">
        <f>'[4]CANTIDAD DE OBRA'!Q45</f>
        <v>0</v>
      </c>
      <c r="F52" s="89">
        <v>0</v>
      </c>
      <c r="G52" s="112" t="e">
        <f t="shared" si="12"/>
        <v>#DIV/0!</v>
      </c>
      <c r="H52" s="89">
        <v>0</v>
      </c>
      <c r="I52" s="112" t="e">
        <f t="shared" si="13"/>
        <v>#DIV/0!</v>
      </c>
      <c r="J52" s="89">
        <v>0</v>
      </c>
      <c r="K52" s="112" t="e">
        <f t="shared" si="14"/>
        <v>#DIV/0!</v>
      </c>
      <c r="L52" s="89">
        <f t="shared" si="16"/>
        <v>0</v>
      </c>
      <c r="M52" s="113" t="e">
        <f t="shared" si="15"/>
        <v>#DIV/0!</v>
      </c>
    </row>
    <row r="53" spans="1:13" s="1" customFormat="1" ht="19.95" customHeight="1">
      <c r="A53" s="88"/>
      <c r="B53" s="88"/>
      <c r="C53" s="88"/>
      <c r="D53" s="1" t="s">
        <v>106</v>
      </c>
      <c r="E53" s="89">
        <f>'[4]CANTIDAD DE OBRA'!P46</f>
        <v>0</v>
      </c>
      <c r="F53" s="89">
        <v>0</v>
      </c>
      <c r="G53" s="112" t="e">
        <f t="shared" si="12"/>
        <v>#DIV/0!</v>
      </c>
      <c r="H53" s="89">
        <v>0</v>
      </c>
      <c r="I53" s="112" t="e">
        <f t="shared" si="13"/>
        <v>#DIV/0!</v>
      </c>
      <c r="J53" s="89">
        <v>0</v>
      </c>
      <c r="K53" s="112" t="e">
        <f t="shared" si="14"/>
        <v>#DIV/0!</v>
      </c>
      <c r="L53" s="89">
        <f t="shared" si="16"/>
        <v>0</v>
      </c>
      <c r="M53" s="113" t="e">
        <f t="shared" si="15"/>
        <v>#DIV/0!</v>
      </c>
    </row>
    <row r="54" spans="1:13" s="1" customFormat="1" ht="19.95" customHeight="1">
      <c r="A54" s="88"/>
      <c r="B54" s="88"/>
      <c r="C54" s="88"/>
      <c r="D54" s="1" t="s">
        <v>107</v>
      </c>
      <c r="E54" s="89">
        <f>'[4]CANTIDAD DE OBRA'!R47</f>
        <v>0</v>
      </c>
      <c r="F54" s="89">
        <v>0</v>
      </c>
      <c r="G54" s="112" t="e">
        <f t="shared" si="12"/>
        <v>#DIV/0!</v>
      </c>
      <c r="H54" s="89">
        <v>0</v>
      </c>
      <c r="I54" s="112" t="e">
        <f t="shared" si="13"/>
        <v>#DIV/0!</v>
      </c>
      <c r="J54" s="89">
        <v>0</v>
      </c>
      <c r="K54" s="112" t="e">
        <f t="shared" si="14"/>
        <v>#DIV/0!</v>
      </c>
      <c r="L54" s="89">
        <f t="shared" si="16"/>
        <v>0</v>
      </c>
      <c r="M54" s="113" t="e">
        <f t="shared" si="15"/>
        <v>#DIV/0!</v>
      </c>
    </row>
    <row r="55" spans="1:13" s="1" customFormat="1" ht="19.95" customHeight="1">
      <c r="A55" s="88"/>
      <c r="B55" s="88"/>
      <c r="C55" s="88">
        <v>22</v>
      </c>
      <c r="D55" s="1" t="s">
        <v>108</v>
      </c>
      <c r="E55" s="89">
        <f>'[4]CANTIDAD DE OBRA'!O48</f>
        <v>0</v>
      </c>
      <c r="F55" s="89">
        <v>0</v>
      </c>
      <c r="G55" s="112" t="e">
        <f t="shared" si="12"/>
        <v>#DIV/0!</v>
      </c>
      <c r="H55" s="89">
        <v>0</v>
      </c>
      <c r="I55" s="112" t="e">
        <f t="shared" si="13"/>
        <v>#DIV/0!</v>
      </c>
      <c r="J55" s="89">
        <v>0</v>
      </c>
      <c r="K55" s="112" t="e">
        <f t="shared" si="14"/>
        <v>#DIV/0!</v>
      </c>
      <c r="L55" s="89">
        <f t="shared" si="16"/>
        <v>0</v>
      </c>
      <c r="M55" s="113" t="e">
        <f t="shared" si="15"/>
        <v>#DIV/0!</v>
      </c>
    </row>
    <row r="56" spans="1:13" s="1" customFormat="1" ht="19.95" customHeight="1">
      <c r="A56" s="88"/>
      <c r="B56" s="88"/>
      <c r="C56" s="88">
        <v>23</v>
      </c>
      <c r="D56" s="1" t="s">
        <v>117</v>
      </c>
      <c r="E56" s="89">
        <f>'[4]CANTIDAD DE OBRA'!N49</f>
        <v>0</v>
      </c>
      <c r="F56" s="89">
        <v>0</v>
      </c>
      <c r="G56" s="112" t="e">
        <f t="shared" si="12"/>
        <v>#DIV/0!</v>
      </c>
      <c r="H56" s="89">
        <v>0</v>
      </c>
      <c r="I56" s="112" t="e">
        <f t="shared" si="13"/>
        <v>#DIV/0!</v>
      </c>
      <c r="J56" s="89">
        <v>0</v>
      </c>
      <c r="K56" s="112" t="e">
        <f t="shared" si="14"/>
        <v>#DIV/0!</v>
      </c>
      <c r="L56" s="89">
        <f t="shared" si="16"/>
        <v>0</v>
      </c>
      <c r="M56" s="113" t="e">
        <f t="shared" si="15"/>
        <v>#DIV/0!</v>
      </c>
    </row>
    <row r="57" spans="1:13" s="1" customFormat="1" ht="19.95" customHeight="1">
      <c r="A57" s="88"/>
      <c r="B57" s="88"/>
      <c r="C57" s="88"/>
      <c r="D57" s="1" t="s">
        <v>118</v>
      </c>
      <c r="E57" s="89">
        <f>'[4]CANTIDAD DE OBRA'!O50</f>
        <v>0</v>
      </c>
      <c r="F57" s="89">
        <v>0</v>
      </c>
      <c r="G57" s="112" t="e">
        <f t="shared" si="12"/>
        <v>#DIV/0!</v>
      </c>
      <c r="H57" s="89">
        <v>0</v>
      </c>
      <c r="I57" s="112" t="e">
        <f t="shared" si="13"/>
        <v>#DIV/0!</v>
      </c>
      <c r="J57" s="89">
        <v>0</v>
      </c>
      <c r="K57" s="112" t="e">
        <f t="shared" si="14"/>
        <v>#DIV/0!</v>
      </c>
      <c r="L57" s="89">
        <f t="shared" si="16"/>
        <v>0</v>
      </c>
      <c r="M57" s="113" t="e">
        <f t="shared" si="15"/>
        <v>#DIV/0!</v>
      </c>
    </row>
    <row r="58" spans="1:13" s="1" customFormat="1" ht="19.95" customHeight="1">
      <c r="A58" s="88"/>
      <c r="B58" s="88"/>
      <c r="C58" s="88"/>
      <c r="D58" s="1" t="s">
        <v>119</v>
      </c>
      <c r="E58" s="89">
        <f>'[4]CANTIDAD DE OBRA'!P51</f>
        <v>0</v>
      </c>
      <c r="F58" s="89">
        <v>0</v>
      </c>
      <c r="G58" s="112" t="e">
        <f t="shared" si="12"/>
        <v>#DIV/0!</v>
      </c>
      <c r="H58" s="89">
        <v>0</v>
      </c>
      <c r="I58" s="112" t="e">
        <f t="shared" si="13"/>
        <v>#DIV/0!</v>
      </c>
      <c r="J58" s="89">
        <v>0</v>
      </c>
      <c r="K58" s="112" t="e">
        <f t="shared" si="14"/>
        <v>#DIV/0!</v>
      </c>
      <c r="L58" s="89">
        <f t="shared" si="16"/>
        <v>0</v>
      </c>
      <c r="M58" s="113" t="e">
        <f t="shared" si="15"/>
        <v>#DIV/0!</v>
      </c>
    </row>
    <row r="59" spans="1:13" s="1" customFormat="1" ht="19.95" customHeight="1">
      <c r="A59" s="88"/>
      <c r="B59" s="88"/>
      <c r="C59" s="88"/>
      <c r="D59" s="1" t="s">
        <v>120</v>
      </c>
      <c r="E59" s="89">
        <f>'[4]CANTIDAD DE OBRA'!R52</f>
        <v>0</v>
      </c>
      <c r="F59" s="89">
        <v>0</v>
      </c>
      <c r="G59" s="112" t="e">
        <f t="shared" si="12"/>
        <v>#DIV/0!</v>
      </c>
      <c r="H59" s="89">
        <v>0</v>
      </c>
      <c r="I59" s="112" t="e">
        <f t="shared" si="13"/>
        <v>#DIV/0!</v>
      </c>
      <c r="J59" s="89">
        <v>0</v>
      </c>
      <c r="K59" s="112" t="e">
        <f t="shared" si="14"/>
        <v>#DIV/0!</v>
      </c>
      <c r="L59" s="89">
        <f t="shared" si="16"/>
        <v>0</v>
      </c>
      <c r="M59" s="113" t="e">
        <f t="shared" si="15"/>
        <v>#DIV/0!</v>
      </c>
    </row>
    <row r="60" spans="1:13" s="1" customFormat="1" ht="19.95" customHeight="1">
      <c r="A60" s="88"/>
      <c r="B60" s="88"/>
      <c r="C60" s="88">
        <v>24</v>
      </c>
      <c r="D60" s="1" t="s">
        <v>114</v>
      </c>
      <c r="E60" s="89">
        <f>'[4]CANTIDAD DE OBRA'!P56</f>
        <v>0</v>
      </c>
      <c r="F60" s="89">
        <v>0</v>
      </c>
      <c r="G60" s="112" t="e">
        <f t="shared" si="12"/>
        <v>#DIV/0!</v>
      </c>
      <c r="H60" s="89">
        <v>0</v>
      </c>
      <c r="I60" s="112" t="e">
        <f t="shared" si="13"/>
        <v>#DIV/0!</v>
      </c>
      <c r="J60" s="89">
        <v>0</v>
      </c>
      <c r="K60" s="112" t="e">
        <f t="shared" si="14"/>
        <v>#DIV/0!</v>
      </c>
      <c r="L60" s="89">
        <f t="shared" si="16"/>
        <v>0</v>
      </c>
      <c r="M60" s="113" t="e">
        <f t="shared" si="15"/>
        <v>#DIV/0!</v>
      </c>
    </row>
    <row r="61" spans="1:13" s="1" customFormat="1" ht="19.95" customHeight="1">
      <c r="A61" s="88"/>
      <c r="B61" s="88"/>
      <c r="C61" s="88">
        <v>25</v>
      </c>
      <c r="D61" s="1" t="s">
        <v>121</v>
      </c>
      <c r="E61" s="89">
        <f>'[4]CANTIDAD DE OBRA'!P54</f>
        <v>0</v>
      </c>
      <c r="F61" s="89">
        <v>0</v>
      </c>
      <c r="G61" s="112" t="e">
        <f t="shared" si="12"/>
        <v>#DIV/0!</v>
      </c>
      <c r="H61" s="89">
        <v>0</v>
      </c>
      <c r="I61" s="112" t="e">
        <f t="shared" si="13"/>
        <v>#DIV/0!</v>
      </c>
      <c r="J61" s="89">
        <v>0</v>
      </c>
      <c r="K61" s="112" t="e">
        <f t="shared" si="14"/>
        <v>#DIV/0!</v>
      </c>
      <c r="L61" s="89">
        <f t="shared" si="16"/>
        <v>0</v>
      </c>
      <c r="M61" s="113" t="e">
        <f t="shared" si="15"/>
        <v>#DIV/0!</v>
      </c>
    </row>
    <row r="62" spans="1:13" s="1" customFormat="1" ht="19.95" customHeight="1">
      <c r="A62" s="88"/>
      <c r="B62" s="88"/>
      <c r="C62" s="88">
        <v>26</v>
      </c>
      <c r="D62" s="1" t="s">
        <v>122</v>
      </c>
      <c r="E62" s="89">
        <f>'[4]CANTIDAD DE OBRA'!N55</f>
        <v>0</v>
      </c>
      <c r="F62" s="89">
        <v>0</v>
      </c>
      <c r="G62" s="112" t="e">
        <f t="shared" si="12"/>
        <v>#DIV/0!</v>
      </c>
      <c r="H62" s="89">
        <v>0</v>
      </c>
      <c r="I62" s="112" t="e">
        <f t="shared" si="13"/>
        <v>#DIV/0!</v>
      </c>
      <c r="J62" s="89">
        <v>0</v>
      </c>
      <c r="K62" s="112" t="e">
        <f t="shared" si="14"/>
        <v>#DIV/0!</v>
      </c>
      <c r="L62" s="89">
        <f t="shared" si="16"/>
        <v>0</v>
      </c>
      <c r="M62" s="113" t="e">
        <f t="shared" si="15"/>
        <v>#DIV/0!</v>
      </c>
    </row>
    <row r="63" spans="1:13" s="1" customFormat="1" ht="19.95" customHeight="1">
      <c r="A63" s="88"/>
      <c r="B63" s="88"/>
      <c r="C63" s="88">
        <v>27</v>
      </c>
      <c r="D63" s="1" t="s">
        <v>114</v>
      </c>
      <c r="E63" s="89">
        <f>'[4]CANTIDAD DE OBRA'!P56</f>
        <v>0</v>
      </c>
      <c r="F63" s="89">
        <v>0</v>
      </c>
      <c r="G63" s="112" t="e">
        <f t="shared" si="12"/>
        <v>#DIV/0!</v>
      </c>
      <c r="H63" s="89">
        <v>0</v>
      </c>
      <c r="I63" s="112" t="e">
        <f t="shared" si="13"/>
        <v>#DIV/0!</v>
      </c>
      <c r="J63" s="89">
        <v>0</v>
      </c>
      <c r="K63" s="112" t="e">
        <f t="shared" si="14"/>
        <v>#DIV/0!</v>
      </c>
      <c r="L63" s="89">
        <f t="shared" si="16"/>
        <v>0</v>
      </c>
      <c r="M63" s="113" t="e">
        <f t="shared" si="15"/>
        <v>#DIV/0!</v>
      </c>
    </row>
    <row r="64" spans="1:13" s="1" customFormat="1" ht="19.95" customHeight="1">
      <c r="A64" s="88"/>
      <c r="B64" s="88"/>
      <c r="C64" s="88">
        <v>28</v>
      </c>
      <c r="D64" s="1" t="s">
        <v>121</v>
      </c>
      <c r="E64" s="89">
        <f>'[4]CANTIDAD DE OBRA'!P57</f>
        <v>0</v>
      </c>
      <c r="F64" s="89">
        <v>0</v>
      </c>
      <c r="G64" s="112" t="e">
        <f t="shared" si="12"/>
        <v>#DIV/0!</v>
      </c>
      <c r="H64" s="89">
        <v>0</v>
      </c>
      <c r="I64" s="112" t="e">
        <f t="shared" si="13"/>
        <v>#DIV/0!</v>
      </c>
      <c r="J64" s="89">
        <v>0</v>
      </c>
      <c r="K64" s="112" t="e">
        <f t="shared" si="14"/>
        <v>#DIV/0!</v>
      </c>
      <c r="L64" s="89">
        <f t="shared" si="16"/>
        <v>0</v>
      </c>
      <c r="M64" s="113" t="e">
        <f t="shared" si="15"/>
        <v>#DIV/0!</v>
      </c>
    </row>
    <row r="65" spans="1:13" s="1" customFormat="1" ht="19.95" customHeight="1">
      <c r="A65" s="88"/>
      <c r="B65" s="88"/>
      <c r="C65" s="88">
        <v>29</v>
      </c>
      <c r="D65" s="1" t="s">
        <v>114</v>
      </c>
      <c r="E65" s="89">
        <f>'[4]CANTIDAD DE OBRA'!Q58</f>
        <v>0</v>
      </c>
      <c r="F65" s="89">
        <v>0</v>
      </c>
      <c r="G65" s="112" t="e">
        <f t="shared" si="12"/>
        <v>#DIV/0!</v>
      </c>
      <c r="H65" s="89">
        <v>0</v>
      </c>
      <c r="I65" s="112" t="e">
        <f t="shared" si="13"/>
        <v>#DIV/0!</v>
      </c>
      <c r="J65" s="89">
        <v>0</v>
      </c>
      <c r="K65" s="112" t="e">
        <f t="shared" si="14"/>
        <v>#DIV/0!</v>
      </c>
      <c r="L65" s="89">
        <f t="shared" si="16"/>
        <v>0</v>
      </c>
      <c r="M65" s="113" t="e">
        <f t="shared" si="15"/>
        <v>#DIV/0!</v>
      </c>
    </row>
    <row r="66" spans="1:13" s="1" customFormat="1" ht="19.95" customHeight="1">
      <c r="A66" s="88"/>
      <c r="B66" s="88"/>
      <c r="C66" s="88">
        <v>30</v>
      </c>
      <c r="D66" s="1" t="s">
        <v>117</v>
      </c>
      <c r="E66" s="89">
        <f>'[4]CANTIDAD DE OBRA'!N59</f>
        <v>0</v>
      </c>
      <c r="F66" s="89">
        <v>0</v>
      </c>
      <c r="G66" s="112" t="e">
        <f t="shared" si="12"/>
        <v>#DIV/0!</v>
      </c>
      <c r="H66" s="89">
        <v>0</v>
      </c>
      <c r="I66" s="112" t="e">
        <f t="shared" si="13"/>
        <v>#DIV/0!</v>
      </c>
      <c r="J66" s="89">
        <v>0</v>
      </c>
      <c r="K66" s="112" t="e">
        <f t="shared" si="14"/>
        <v>#DIV/0!</v>
      </c>
      <c r="L66" s="89">
        <f t="shared" si="16"/>
        <v>0</v>
      </c>
      <c r="M66" s="113" t="e">
        <f t="shared" si="15"/>
        <v>#DIV/0!</v>
      </c>
    </row>
    <row r="67" spans="1:13" s="1" customFormat="1" ht="19.95" customHeight="1">
      <c r="A67" s="88"/>
      <c r="B67" s="88"/>
      <c r="C67" s="88"/>
      <c r="D67" s="1" t="s">
        <v>104</v>
      </c>
      <c r="E67" s="89">
        <f>'[4]CANTIDAD DE OBRA'!N61</f>
        <v>0</v>
      </c>
      <c r="F67" s="89">
        <v>0</v>
      </c>
      <c r="G67" s="112" t="e">
        <f t="shared" si="12"/>
        <v>#DIV/0!</v>
      </c>
      <c r="H67" s="89">
        <v>0</v>
      </c>
      <c r="I67" s="112" t="e">
        <f t="shared" si="13"/>
        <v>#DIV/0!</v>
      </c>
      <c r="J67" s="89">
        <v>0</v>
      </c>
      <c r="K67" s="112" t="e">
        <f t="shared" si="14"/>
        <v>#DIV/0!</v>
      </c>
      <c r="L67" s="89">
        <f t="shared" si="16"/>
        <v>0</v>
      </c>
      <c r="M67" s="113" t="e">
        <f t="shared" si="15"/>
        <v>#DIV/0!</v>
      </c>
    </row>
    <row r="68" spans="1:13" s="1" customFormat="1" ht="19.95" customHeight="1">
      <c r="A68" s="88"/>
      <c r="B68" s="88"/>
      <c r="C68" s="88"/>
      <c r="D68" s="1" t="s">
        <v>119</v>
      </c>
      <c r="E68" s="89">
        <f>'[4]CANTIDAD DE OBRA'!N61</f>
        <v>0</v>
      </c>
      <c r="F68" s="89">
        <v>0</v>
      </c>
      <c r="G68" s="112" t="e">
        <f t="shared" si="12"/>
        <v>#DIV/0!</v>
      </c>
      <c r="H68" s="89">
        <v>0</v>
      </c>
      <c r="I68" s="112" t="e">
        <f t="shared" si="13"/>
        <v>#DIV/0!</v>
      </c>
      <c r="J68" s="89">
        <v>0</v>
      </c>
      <c r="K68" s="112" t="e">
        <f t="shared" si="14"/>
        <v>#DIV/0!</v>
      </c>
      <c r="L68" s="89">
        <f t="shared" si="16"/>
        <v>0</v>
      </c>
      <c r="M68" s="113" t="e">
        <f t="shared" si="15"/>
        <v>#DIV/0!</v>
      </c>
    </row>
    <row r="69" spans="1:13" s="1" customFormat="1" ht="19.95" customHeight="1">
      <c r="A69" s="88"/>
      <c r="B69" s="88"/>
      <c r="C69" s="88"/>
      <c r="D69" s="1" t="s">
        <v>120</v>
      </c>
      <c r="E69" s="89">
        <f>'[4]CANTIDAD DE OBRA'!R62</f>
        <v>0</v>
      </c>
      <c r="F69" s="89">
        <v>0</v>
      </c>
      <c r="G69" s="112" t="e">
        <f t="shared" si="12"/>
        <v>#DIV/0!</v>
      </c>
      <c r="H69" s="89">
        <v>0</v>
      </c>
      <c r="I69" s="112" t="e">
        <f t="shared" si="13"/>
        <v>#DIV/0!</v>
      </c>
      <c r="J69" s="89">
        <v>0</v>
      </c>
      <c r="K69" s="112" t="e">
        <f t="shared" si="14"/>
        <v>#DIV/0!</v>
      </c>
      <c r="L69" s="89">
        <f t="shared" si="16"/>
        <v>0</v>
      </c>
      <c r="M69" s="113" t="e">
        <f t="shared" si="15"/>
        <v>#DIV/0!</v>
      </c>
    </row>
    <row r="70" spans="1:13" s="1" customFormat="1" ht="19.95" customHeight="1">
      <c r="A70" s="88"/>
      <c r="B70" s="88"/>
      <c r="C70" s="88">
        <v>31</v>
      </c>
      <c r="D70" s="1" t="s">
        <v>114</v>
      </c>
      <c r="E70" s="89">
        <f>'[4]CANTIDAD DE OBRA'!Q63</f>
        <v>0</v>
      </c>
      <c r="F70" s="89">
        <v>0</v>
      </c>
      <c r="G70" s="112" t="e">
        <f t="shared" si="12"/>
        <v>#DIV/0!</v>
      </c>
      <c r="H70" s="89">
        <v>0</v>
      </c>
      <c r="I70" s="112" t="e">
        <f t="shared" si="13"/>
        <v>#DIV/0!</v>
      </c>
      <c r="J70" s="89">
        <v>0</v>
      </c>
      <c r="K70" s="112" t="e">
        <f t="shared" si="14"/>
        <v>#DIV/0!</v>
      </c>
      <c r="L70" s="89">
        <f t="shared" si="16"/>
        <v>0</v>
      </c>
      <c r="M70" s="113" t="e">
        <f t="shared" si="15"/>
        <v>#DIV/0!</v>
      </c>
    </row>
    <row r="71" spans="1:13" s="1" customFormat="1" ht="19.95" customHeight="1">
      <c r="A71" s="88"/>
      <c r="B71" s="88"/>
      <c r="C71" s="88">
        <v>32</v>
      </c>
      <c r="D71" s="1" t="s">
        <v>104</v>
      </c>
      <c r="E71" s="89">
        <f>'[4]CANTIDAD DE OBRA'!N64</f>
        <v>0</v>
      </c>
      <c r="F71" s="89">
        <v>0</v>
      </c>
      <c r="G71" s="112" t="e">
        <f t="shared" si="12"/>
        <v>#DIV/0!</v>
      </c>
      <c r="H71" s="89">
        <v>0</v>
      </c>
      <c r="I71" s="112" t="e">
        <f t="shared" si="13"/>
        <v>#DIV/0!</v>
      </c>
      <c r="J71" s="89">
        <v>0</v>
      </c>
      <c r="K71" s="112" t="e">
        <f t="shared" si="14"/>
        <v>#DIV/0!</v>
      </c>
      <c r="L71" s="89">
        <f t="shared" si="16"/>
        <v>0</v>
      </c>
      <c r="M71" s="113" t="e">
        <f t="shared" si="15"/>
        <v>#DIV/0!</v>
      </c>
    </row>
    <row r="72" spans="1:13" s="1" customFormat="1" ht="19.95" customHeight="1">
      <c r="A72" s="88"/>
      <c r="B72" s="88"/>
      <c r="C72" s="88"/>
      <c r="D72" s="1" t="s">
        <v>105</v>
      </c>
      <c r="E72" s="89">
        <f>'[4]CANTIDAD DE OBRA'!Q65</f>
        <v>0</v>
      </c>
      <c r="F72" s="89">
        <v>0</v>
      </c>
      <c r="G72" s="112" t="e">
        <f t="shared" si="12"/>
        <v>#DIV/0!</v>
      </c>
      <c r="H72" s="89">
        <v>0</v>
      </c>
      <c r="I72" s="112" t="e">
        <f t="shared" si="13"/>
        <v>#DIV/0!</v>
      </c>
      <c r="J72" s="89">
        <v>0</v>
      </c>
      <c r="K72" s="112" t="e">
        <f t="shared" si="14"/>
        <v>#DIV/0!</v>
      </c>
      <c r="L72" s="89">
        <f t="shared" si="16"/>
        <v>0</v>
      </c>
      <c r="M72" s="113" t="e">
        <f t="shared" si="15"/>
        <v>#DIV/0!</v>
      </c>
    </row>
    <row r="73" spans="1:13" s="1" customFormat="1" ht="19.95" customHeight="1">
      <c r="A73" s="88"/>
      <c r="B73" s="88"/>
      <c r="C73" s="88"/>
      <c r="D73" s="1" t="s">
        <v>106</v>
      </c>
      <c r="E73" s="89">
        <f>'[4]CANTIDAD DE OBRA'!P66</f>
        <v>0</v>
      </c>
      <c r="F73" s="89">
        <v>0</v>
      </c>
      <c r="G73" s="112" t="e">
        <f t="shared" si="12"/>
        <v>#DIV/0!</v>
      </c>
      <c r="H73" s="89">
        <v>0</v>
      </c>
      <c r="I73" s="112" t="e">
        <f t="shared" si="13"/>
        <v>#DIV/0!</v>
      </c>
      <c r="J73" s="89">
        <v>0</v>
      </c>
      <c r="K73" s="112" t="e">
        <f t="shared" si="14"/>
        <v>#DIV/0!</v>
      </c>
      <c r="L73" s="89">
        <f t="shared" si="16"/>
        <v>0</v>
      </c>
      <c r="M73" s="113" t="e">
        <f t="shared" si="15"/>
        <v>#DIV/0!</v>
      </c>
    </row>
    <row r="74" spans="1:13" s="1" customFormat="1" ht="19.95" customHeight="1">
      <c r="A74" s="88"/>
      <c r="B74" s="88"/>
      <c r="C74" s="88"/>
      <c r="D74" s="1" t="s">
        <v>107</v>
      </c>
      <c r="E74" s="89">
        <f>'[4]CANTIDAD DE OBRA'!R67</f>
        <v>0</v>
      </c>
      <c r="F74" s="89">
        <v>0</v>
      </c>
      <c r="G74" s="112" t="e">
        <f t="shared" si="12"/>
        <v>#DIV/0!</v>
      </c>
      <c r="H74" s="89">
        <v>0</v>
      </c>
      <c r="I74" s="112" t="e">
        <f t="shared" si="13"/>
        <v>#DIV/0!</v>
      </c>
      <c r="J74" s="89">
        <v>0</v>
      </c>
      <c r="K74" s="112" t="e">
        <f t="shared" si="14"/>
        <v>#DIV/0!</v>
      </c>
      <c r="L74" s="89">
        <f t="shared" si="16"/>
        <v>0</v>
      </c>
      <c r="M74" s="113" t="e">
        <f t="shared" si="15"/>
        <v>#DIV/0!</v>
      </c>
    </row>
    <row r="75" spans="1:13" s="1" customFormat="1" ht="19.95" customHeight="1">
      <c r="A75" s="88"/>
      <c r="B75" s="88"/>
      <c r="C75" s="88">
        <v>33</v>
      </c>
      <c r="D75" s="1" t="s">
        <v>102</v>
      </c>
      <c r="E75" s="89">
        <f>'[4]CANTIDAD DE OBRA'!N68</f>
        <v>0</v>
      </c>
      <c r="F75" s="89">
        <v>0</v>
      </c>
      <c r="G75" s="112" t="e">
        <f t="shared" si="12"/>
        <v>#DIV/0!</v>
      </c>
      <c r="H75" s="89">
        <v>0</v>
      </c>
      <c r="I75" s="112" t="e">
        <f t="shared" si="13"/>
        <v>#DIV/0!</v>
      </c>
      <c r="J75" s="89">
        <v>0</v>
      </c>
      <c r="K75" s="112" t="e">
        <f t="shared" si="14"/>
        <v>#DIV/0!</v>
      </c>
      <c r="L75" s="89">
        <f t="shared" si="16"/>
        <v>0</v>
      </c>
      <c r="M75" s="113" t="e">
        <f t="shared" si="15"/>
        <v>#DIV/0!</v>
      </c>
    </row>
    <row r="76" spans="1:13" s="1" customFormat="1" ht="19.95" customHeight="1">
      <c r="A76" s="88"/>
      <c r="B76" s="88"/>
      <c r="C76" s="88"/>
      <c r="D76" s="1" t="s">
        <v>103</v>
      </c>
      <c r="E76" s="89">
        <f>'[4]CANTIDAD DE OBRA'!Q69</f>
        <v>0</v>
      </c>
      <c r="F76" s="89">
        <v>0</v>
      </c>
      <c r="G76" s="112" t="e">
        <f t="shared" si="12"/>
        <v>#DIV/0!</v>
      </c>
      <c r="H76" s="89">
        <v>0</v>
      </c>
      <c r="I76" s="112" t="e">
        <f t="shared" si="13"/>
        <v>#DIV/0!</v>
      </c>
      <c r="J76" s="89">
        <v>0</v>
      </c>
      <c r="K76" s="112" t="e">
        <f t="shared" si="14"/>
        <v>#DIV/0!</v>
      </c>
      <c r="L76" s="89">
        <f t="shared" si="16"/>
        <v>0</v>
      </c>
      <c r="M76" s="113" t="e">
        <f t="shared" si="15"/>
        <v>#DIV/0!</v>
      </c>
    </row>
    <row r="77" spans="1:13" s="1" customFormat="1" ht="19.95" customHeight="1">
      <c r="A77" s="88"/>
      <c r="B77" s="88"/>
      <c r="C77" s="88">
        <v>34</v>
      </c>
      <c r="D77" s="1" t="s">
        <v>102</v>
      </c>
      <c r="E77" s="89">
        <f>'[4]CANTIDAD DE OBRA'!N70</f>
        <v>0</v>
      </c>
      <c r="F77" s="89">
        <v>0</v>
      </c>
      <c r="G77" s="112" t="e">
        <f>F77/E77</f>
        <v>#DIV/0!</v>
      </c>
      <c r="H77" s="89">
        <v>0</v>
      </c>
      <c r="I77" s="112" t="e">
        <f>H77/E77</f>
        <v>#DIV/0!</v>
      </c>
      <c r="J77" s="89" t="e">
        <f>G77</f>
        <v>#DIV/0!</v>
      </c>
      <c r="K77" s="112" t="e">
        <f>J77/E77</f>
        <v>#DIV/0!</v>
      </c>
      <c r="L77" s="89">
        <f>F77+H77</f>
        <v>0</v>
      </c>
      <c r="M77" s="113" t="e">
        <f>L77/E77</f>
        <v>#DIV/0!</v>
      </c>
    </row>
    <row r="78" spans="1:13" s="1" customFormat="1" ht="19.95" customHeight="1">
      <c r="A78" s="88"/>
      <c r="B78" s="88"/>
      <c r="C78" s="88"/>
      <c r="D78" s="1" t="s">
        <v>103</v>
      </c>
      <c r="E78" s="89">
        <f>'[4]CANTIDAD DE OBRA'!Q71</f>
        <v>0</v>
      </c>
      <c r="F78" s="89">
        <v>0</v>
      </c>
      <c r="G78" s="112" t="e">
        <f>F78/E78</f>
        <v>#DIV/0!</v>
      </c>
      <c r="H78" s="89">
        <v>0</v>
      </c>
      <c r="I78" s="112" t="e">
        <f>H78/E78</f>
        <v>#DIV/0!</v>
      </c>
      <c r="J78" s="89" t="e">
        <f>G78</f>
        <v>#DIV/0!</v>
      </c>
      <c r="K78" s="112" t="e">
        <f>J78/E78</f>
        <v>#DIV/0!</v>
      </c>
      <c r="L78" s="89">
        <f>F78+H78</f>
        <v>0</v>
      </c>
      <c r="M78" s="113" t="e">
        <f>L78/E78</f>
        <v>#DIV/0!</v>
      </c>
    </row>
    <row r="79" spans="1:13" s="1" customFormat="1" ht="19.95" customHeight="1">
      <c r="A79" s="88"/>
      <c r="B79" s="88"/>
      <c r="C79" s="88"/>
      <c r="E79" s="88"/>
      <c r="F79" s="88"/>
      <c r="G79" s="88"/>
      <c r="H79" s="88"/>
      <c r="I79" s="88"/>
      <c r="J79" s="88"/>
      <c r="K79" s="88"/>
      <c r="L79" s="88"/>
      <c r="M79" s="88"/>
    </row>
    <row r="80" spans="1:13" s="1" customFormat="1" ht="19.95" customHeight="1">
      <c r="A80" s="88"/>
      <c r="B80" s="88"/>
      <c r="C80" s="88"/>
      <c r="D80" s="114"/>
      <c r="E80" s="115">
        <f>SUM(E47:E79)</f>
        <v>0</v>
      </c>
      <c r="F80" s="116">
        <f>SUM(F47:F51)</f>
        <v>0</v>
      </c>
      <c r="G80" s="117" t="e">
        <f>F80/E80</f>
        <v>#DIV/0!</v>
      </c>
      <c r="H80" s="116">
        <f>SUM(H47:H51)</f>
        <v>0</v>
      </c>
      <c r="I80" s="117" t="e">
        <f>H80/E80</f>
        <v>#DIV/0!</v>
      </c>
      <c r="J80" s="116" t="e">
        <f>SUM(J17:J51)</f>
        <v>#DIV/0!</v>
      </c>
      <c r="K80" s="117" t="e">
        <f>J80/E80</f>
        <v>#DIV/0!</v>
      </c>
      <c r="L80" s="118">
        <f>SUM(L47:L51)</f>
        <v>0</v>
      </c>
      <c r="M80" s="119" t="e">
        <f>L80/E80</f>
        <v>#DIV/0!</v>
      </c>
    </row>
    <row r="81" spans="1:13" s="1" customFormat="1" ht="19.8" customHeight="1">
      <c r="A81" s="88"/>
      <c r="B81" s="88"/>
      <c r="C81" s="88"/>
      <c r="E81" s="88"/>
      <c r="F81" s="88"/>
      <c r="G81" s="88"/>
      <c r="H81" s="88"/>
      <c r="I81" s="88"/>
      <c r="J81" s="88"/>
      <c r="K81" s="88"/>
      <c r="L81" s="88"/>
      <c r="M81" s="88"/>
    </row>
    <row r="82" spans="1:13" s="1" customFormat="1" ht="19.95" customHeight="1">
      <c r="A82" s="88"/>
      <c r="B82" s="87" t="s">
        <v>165</v>
      </c>
      <c r="C82" s="88">
        <v>35</v>
      </c>
      <c r="D82" s="1" t="s">
        <v>102</v>
      </c>
      <c r="E82" s="89">
        <f>'[4]CANTIDAD DE OBRA'!N70</f>
        <v>0</v>
      </c>
      <c r="F82" s="89">
        <v>0</v>
      </c>
      <c r="G82" s="112" t="e">
        <f t="shared" ref="G82:G88" si="17">F82/E82</f>
        <v>#DIV/0!</v>
      </c>
      <c r="H82" s="89">
        <v>0</v>
      </c>
      <c r="I82" s="112" t="e">
        <f t="shared" ref="I82:I88" si="18">H82/E82</f>
        <v>#DIV/0!</v>
      </c>
      <c r="J82" s="89" t="e">
        <f t="shared" ref="J82:J88" si="19">G82</f>
        <v>#DIV/0!</v>
      </c>
      <c r="K82" s="112" t="e">
        <f t="shared" ref="K82:K88" si="20">J82/E82</f>
        <v>#DIV/0!</v>
      </c>
      <c r="L82" s="89">
        <f t="shared" ref="L82:L88" si="21">F82+H82</f>
        <v>0</v>
      </c>
      <c r="M82" s="113" t="e">
        <f t="shared" ref="M82:M88" si="22">L82/E82</f>
        <v>#DIV/0!</v>
      </c>
    </row>
    <row r="83" spans="1:13" s="1" customFormat="1" ht="19.95" customHeight="1">
      <c r="A83" s="88"/>
      <c r="B83" s="87"/>
      <c r="C83" s="88"/>
      <c r="D83" s="1" t="s">
        <v>103</v>
      </c>
      <c r="E83" s="89">
        <f>'[4]CANTIDAD DE OBRA'!Q73</f>
        <v>0</v>
      </c>
      <c r="F83" s="89">
        <v>0</v>
      </c>
      <c r="G83" s="112" t="e">
        <f t="shared" si="17"/>
        <v>#DIV/0!</v>
      </c>
      <c r="H83" s="89">
        <v>0</v>
      </c>
      <c r="I83" s="112" t="e">
        <f t="shared" si="18"/>
        <v>#DIV/0!</v>
      </c>
      <c r="J83" s="89" t="e">
        <f t="shared" si="19"/>
        <v>#DIV/0!</v>
      </c>
      <c r="K83" s="112" t="e">
        <f t="shared" si="20"/>
        <v>#DIV/0!</v>
      </c>
      <c r="L83" s="89">
        <f t="shared" si="21"/>
        <v>0</v>
      </c>
      <c r="M83" s="113" t="e">
        <f t="shared" si="22"/>
        <v>#DIV/0!</v>
      </c>
    </row>
    <row r="84" spans="1:13" s="1" customFormat="1" ht="19.95" customHeight="1">
      <c r="A84" s="88"/>
      <c r="B84" s="87"/>
      <c r="C84" s="88">
        <v>36</v>
      </c>
      <c r="D84" s="1" t="s">
        <v>123</v>
      </c>
      <c r="E84" s="89">
        <f>'[4]CANTIDAD DE OBRA'!N74</f>
        <v>0</v>
      </c>
      <c r="F84" s="89">
        <v>0</v>
      </c>
      <c r="G84" s="112" t="e">
        <f t="shared" si="17"/>
        <v>#DIV/0!</v>
      </c>
      <c r="H84" s="89">
        <v>0</v>
      </c>
      <c r="I84" s="112" t="e">
        <f t="shared" si="18"/>
        <v>#DIV/0!</v>
      </c>
      <c r="J84" s="89" t="e">
        <f t="shared" si="19"/>
        <v>#DIV/0!</v>
      </c>
      <c r="K84" s="112" t="e">
        <f t="shared" si="20"/>
        <v>#DIV/0!</v>
      </c>
      <c r="L84" s="89">
        <f t="shared" si="21"/>
        <v>0</v>
      </c>
      <c r="M84" s="113" t="e">
        <f t="shared" si="22"/>
        <v>#DIV/0!</v>
      </c>
    </row>
    <row r="85" spans="1:13" s="1" customFormat="1" ht="19.95" customHeight="1">
      <c r="A85" s="88"/>
      <c r="B85" s="87"/>
      <c r="C85" s="88">
        <v>37</v>
      </c>
      <c r="D85" s="1" t="s">
        <v>102</v>
      </c>
      <c r="E85" s="89">
        <f>'[4]CANTIDAD DE OBRA'!N75</f>
        <v>0</v>
      </c>
      <c r="F85" s="89">
        <v>0</v>
      </c>
      <c r="G85" s="112" t="e">
        <f t="shared" si="17"/>
        <v>#DIV/0!</v>
      </c>
      <c r="H85" s="89">
        <v>0</v>
      </c>
      <c r="I85" s="112" t="e">
        <f t="shared" si="18"/>
        <v>#DIV/0!</v>
      </c>
      <c r="J85" s="89" t="e">
        <f t="shared" si="19"/>
        <v>#DIV/0!</v>
      </c>
      <c r="K85" s="112" t="e">
        <f t="shared" si="20"/>
        <v>#DIV/0!</v>
      </c>
      <c r="L85" s="89">
        <f t="shared" si="21"/>
        <v>0</v>
      </c>
      <c r="M85" s="113" t="e">
        <f t="shared" si="22"/>
        <v>#DIV/0!</v>
      </c>
    </row>
    <row r="86" spans="1:13" s="1" customFormat="1" ht="19.95" customHeight="1">
      <c r="A86" s="88"/>
      <c r="B86" s="87"/>
      <c r="C86" s="88">
        <v>38</v>
      </c>
      <c r="D86" s="1" t="s">
        <v>102</v>
      </c>
      <c r="E86" s="89">
        <f>'[4]CANTIDAD DE OBRA'!N76</f>
        <v>0</v>
      </c>
      <c r="F86" s="89">
        <v>0</v>
      </c>
      <c r="G86" s="112" t="e">
        <f t="shared" si="17"/>
        <v>#DIV/0!</v>
      </c>
      <c r="H86" s="89">
        <v>0</v>
      </c>
      <c r="I86" s="112" t="e">
        <f t="shared" si="18"/>
        <v>#DIV/0!</v>
      </c>
      <c r="J86" s="89" t="e">
        <f t="shared" si="19"/>
        <v>#DIV/0!</v>
      </c>
      <c r="K86" s="112" t="e">
        <f t="shared" si="20"/>
        <v>#DIV/0!</v>
      </c>
      <c r="L86" s="89">
        <f t="shared" si="21"/>
        <v>0</v>
      </c>
      <c r="M86" s="113" t="e">
        <f t="shared" si="22"/>
        <v>#DIV/0!</v>
      </c>
    </row>
    <row r="87" spans="1:13" s="1" customFormat="1" ht="19.95" customHeight="1">
      <c r="A87" s="88"/>
      <c r="B87" s="87"/>
      <c r="C87" s="88">
        <v>39</v>
      </c>
      <c r="D87" s="1" t="s">
        <v>102</v>
      </c>
      <c r="E87" s="89">
        <f>'[4]CANTIDAD DE OBRA'!N77</f>
        <v>0</v>
      </c>
      <c r="F87" s="89">
        <v>0</v>
      </c>
      <c r="G87" s="112" t="e">
        <f t="shared" si="17"/>
        <v>#DIV/0!</v>
      </c>
      <c r="H87" s="89">
        <v>0</v>
      </c>
      <c r="I87" s="112" t="e">
        <f t="shared" si="18"/>
        <v>#DIV/0!</v>
      </c>
      <c r="J87" s="89" t="e">
        <f t="shared" si="19"/>
        <v>#DIV/0!</v>
      </c>
      <c r="K87" s="112" t="e">
        <f t="shared" si="20"/>
        <v>#DIV/0!</v>
      </c>
      <c r="L87" s="89">
        <f t="shared" si="21"/>
        <v>0</v>
      </c>
      <c r="M87" s="113" t="e">
        <f t="shared" si="22"/>
        <v>#DIV/0!</v>
      </c>
    </row>
    <row r="88" spans="1:13" s="1" customFormat="1" ht="19.95" customHeight="1">
      <c r="A88" s="88"/>
      <c r="B88" s="88"/>
      <c r="C88" s="88"/>
      <c r="D88" s="1" t="s">
        <v>103</v>
      </c>
      <c r="E88" s="89">
        <f>'[4]CANTIDAD DE OBRA'!Q78</f>
        <v>0</v>
      </c>
      <c r="F88" s="89">
        <v>0</v>
      </c>
      <c r="G88" s="112" t="e">
        <f t="shared" si="17"/>
        <v>#DIV/0!</v>
      </c>
      <c r="H88" s="89">
        <v>0</v>
      </c>
      <c r="I88" s="112" t="e">
        <f t="shared" si="18"/>
        <v>#DIV/0!</v>
      </c>
      <c r="J88" s="89" t="e">
        <f t="shared" si="19"/>
        <v>#DIV/0!</v>
      </c>
      <c r="K88" s="112" t="e">
        <f t="shared" si="20"/>
        <v>#DIV/0!</v>
      </c>
      <c r="L88" s="89">
        <f t="shared" si="21"/>
        <v>0</v>
      </c>
      <c r="M88" s="113" t="e">
        <f t="shared" si="22"/>
        <v>#DIV/0!</v>
      </c>
    </row>
    <row r="89" spans="1:13" s="1" customFormat="1" ht="19.95" customHeight="1">
      <c r="A89" s="88"/>
      <c r="B89" s="88"/>
      <c r="C89" s="88"/>
      <c r="E89" s="88"/>
      <c r="F89" s="88"/>
      <c r="G89" s="88"/>
      <c r="H89" s="88"/>
      <c r="I89" s="88"/>
      <c r="J89" s="88"/>
      <c r="K89" s="88"/>
      <c r="L89" s="88"/>
      <c r="M89" s="88"/>
    </row>
    <row r="90" spans="1:13" s="1" customFormat="1" ht="19.95" customHeight="1">
      <c r="A90" s="88"/>
      <c r="B90" s="88"/>
      <c r="C90" s="88"/>
      <c r="D90" s="114"/>
      <c r="E90" s="115">
        <f>SUM(E82:E88)</f>
        <v>0</v>
      </c>
      <c r="F90" s="116">
        <f>SUM(F77:F88)</f>
        <v>0</v>
      </c>
      <c r="G90" s="117" t="e">
        <f>F90/E90</f>
        <v>#DIV/0!</v>
      </c>
      <c r="H90" s="116">
        <f>SUM(H77:H88)</f>
        <v>0</v>
      </c>
      <c r="I90" s="117" t="e">
        <f>H90/E90</f>
        <v>#DIV/0!</v>
      </c>
      <c r="J90" s="116" t="e">
        <f>SUM(J55:J88)</f>
        <v>#DIV/0!</v>
      </c>
      <c r="K90" s="117" t="e">
        <f>J90/E90</f>
        <v>#DIV/0!</v>
      </c>
      <c r="L90" s="118">
        <f>SUM(L77:L88)</f>
        <v>0</v>
      </c>
      <c r="M90" s="119" t="e">
        <f>L90/E90</f>
        <v>#DIV/0!</v>
      </c>
    </row>
    <row r="91" spans="1:13" s="1" customFormat="1" ht="19.95" customHeight="1">
      <c r="A91" s="88"/>
      <c r="B91" s="88"/>
      <c r="C91" s="88"/>
      <c r="E91" s="88"/>
      <c r="F91" s="88"/>
      <c r="G91" s="88"/>
      <c r="H91" s="88"/>
      <c r="I91" s="88"/>
      <c r="J91" s="88"/>
      <c r="K91" s="88"/>
      <c r="L91" s="88"/>
      <c r="M91" s="88"/>
    </row>
    <row r="92" spans="1:13" s="1" customFormat="1" ht="19.95" customHeight="1">
      <c r="A92" s="88"/>
      <c r="B92" s="87" t="s">
        <v>166</v>
      </c>
      <c r="C92" s="88"/>
      <c r="D92" s="1" t="s">
        <v>124</v>
      </c>
      <c r="E92" s="89">
        <f>'[4]CANTIDAD DE OBRA'!G79</f>
        <v>0</v>
      </c>
      <c r="F92" s="89">
        <v>0</v>
      </c>
      <c r="G92" s="112" t="e">
        <f t="shared" ref="G92" si="23">F92/E92</f>
        <v>#DIV/0!</v>
      </c>
      <c r="H92" s="89">
        <v>0</v>
      </c>
      <c r="I92" s="112" t="e">
        <f t="shared" ref="I92" si="24">H92/E92</f>
        <v>#DIV/0!</v>
      </c>
      <c r="J92" s="89" t="e">
        <f t="shared" ref="J92" si="25">G92</f>
        <v>#DIV/0!</v>
      </c>
      <c r="K92" s="112" t="e">
        <f t="shared" ref="K92" si="26">J92/E92</f>
        <v>#DIV/0!</v>
      </c>
      <c r="L92" s="89">
        <f t="shared" ref="L92" si="27">F92+H92</f>
        <v>0</v>
      </c>
      <c r="M92" s="113" t="e">
        <f t="shared" ref="M92" si="28">L92/E92</f>
        <v>#DIV/0!</v>
      </c>
    </row>
    <row r="93" spans="1:13" s="1" customFormat="1" ht="19.95" customHeight="1">
      <c r="A93" s="88"/>
      <c r="B93" s="88"/>
      <c r="C93" s="88"/>
      <c r="E93" s="88"/>
      <c r="F93" s="88"/>
      <c r="G93" s="88"/>
      <c r="H93" s="88"/>
      <c r="I93" s="88"/>
      <c r="J93" s="88"/>
      <c r="K93" s="88"/>
    </row>
    <row r="94" spans="1:13" s="1" customFormat="1" ht="19.95" customHeight="1">
      <c r="A94" s="88"/>
      <c r="B94" s="88"/>
      <c r="C94" s="88"/>
      <c r="D94" s="114"/>
      <c r="E94" s="115">
        <f>SUM(E92)</f>
        <v>0</v>
      </c>
      <c r="F94" s="116">
        <f>SUM(F81:F92)</f>
        <v>0</v>
      </c>
      <c r="G94" s="117" t="e">
        <f>F94/E94</f>
        <v>#DIV/0!</v>
      </c>
      <c r="H94" s="116">
        <f>SUM(H81:H92)</f>
        <v>0</v>
      </c>
      <c r="I94" s="117" t="e">
        <f>H94/E94</f>
        <v>#DIV/0!</v>
      </c>
      <c r="J94" s="116" t="e">
        <f>SUM(J59:J92)</f>
        <v>#DIV/0!</v>
      </c>
      <c r="K94" s="117" t="e">
        <f>J94/E94</f>
        <v>#DIV/0!</v>
      </c>
      <c r="L94" s="118">
        <f>SUM(L81:L92)</f>
        <v>0</v>
      </c>
      <c r="M94" s="119" t="e">
        <f>L94/E94</f>
        <v>#DIV/0!</v>
      </c>
    </row>
    <row r="95" spans="1:13" s="1" customFormat="1" ht="19.95" customHeight="1">
      <c r="A95" s="88"/>
      <c r="B95" s="88"/>
      <c r="C95" s="88"/>
      <c r="E95" s="88"/>
      <c r="F95" s="88"/>
      <c r="G95" s="88"/>
      <c r="H95" s="88"/>
      <c r="I95" s="88"/>
      <c r="J95" s="88"/>
      <c r="K95" s="88"/>
    </row>
    <row r="96" spans="1:13" s="1" customFormat="1" ht="27.6" customHeight="1">
      <c r="A96" s="120"/>
      <c r="B96" s="120"/>
      <c r="C96" s="120"/>
      <c r="D96" s="121" t="s">
        <v>167</v>
      </c>
      <c r="E96" s="122"/>
      <c r="F96" s="122"/>
      <c r="G96" s="122"/>
      <c r="H96" s="122"/>
      <c r="I96" s="122"/>
      <c r="J96" s="122"/>
      <c r="K96" s="122"/>
      <c r="L96" s="122"/>
      <c r="M96" s="81"/>
    </row>
    <row r="97" spans="1:13" s="1" customFormat="1" ht="19.95" customHeight="1">
      <c r="A97" s="123"/>
      <c r="B97" s="123"/>
      <c r="C97" s="123"/>
      <c r="D97" s="110"/>
      <c r="E97" s="110" t="s">
        <v>169</v>
      </c>
      <c r="F97" s="110"/>
      <c r="G97" s="110"/>
      <c r="H97" s="110"/>
      <c r="I97" s="110"/>
      <c r="J97" s="110"/>
      <c r="K97" s="110"/>
      <c r="L97" s="110"/>
      <c r="M97" s="110"/>
    </row>
    <row r="98" spans="1:13" s="1" customFormat="1" ht="19.95" customHeight="1">
      <c r="A98" s="124"/>
      <c r="B98" s="124"/>
      <c r="C98" s="124"/>
      <c r="D98" s="83"/>
      <c r="E98" s="84" t="s">
        <v>97</v>
      </c>
      <c r="F98" s="257" t="s">
        <v>157</v>
      </c>
      <c r="G98" s="257"/>
      <c r="H98" s="257"/>
      <c r="I98" s="257"/>
      <c r="J98" s="111"/>
      <c r="K98" s="111"/>
      <c r="L98" s="256" t="s">
        <v>158</v>
      </c>
      <c r="M98" s="256"/>
    </row>
    <row r="99" spans="1:13" s="1" customFormat="1" ht="19.95" customHeight="1">
      <c r="A99" s="124"/>
      <c r="B99" s="124"/>
      <c r="C99" s="124"/>
      <c r="D99" s="83"/>
      <c r="E99" s="84"/>
      <c r="F99" s="255" t="s">
        <v>168</v>
      </c>
      <c r="G99" s="255"/>
      <c r="H99" s="255" t="s">
        <v>160</v>
      </c>
      <c r="I99" s="255"/>
      <c r="J99" s="255" t="s">
        <v>161</v>
      </c>
      <c r="K99" s="255"/>
      <c r="L99" s="82"/>
      <c r="M99" s="82"/>
    </row>
    <row r="100" spans="1:13" s="1" customFormat="1" ht="19.95" customHeight="1">
      <c r="A100" s="124"/>
      <c r="B100" s="124"/>
      <c r="C100" s="124"/>
      <c r="D100" s="82" t="s">
        <v>91</v>
      </c>
      <c r="E100" s="82" t="s">
        <v>139</v>
      </c>
      <c r="F100" s="82" t="s">
        <v>139</v>
      </c>
      <c r="G100" s="84" t="s">
        <v>163</v>
      </c>
      <c r="H100" s="82" t="s">
        <v>139</v>
      </c>
      <c r="I100" s="84" t="s">
        <v>163</v>
      </c>
      <c r="J100" s="82" t="s">
        <v>139</v>
      </c>
      <c r="K100" s="84" t="s">
        <v>163</v>
      </c>
      <c r="L100" s="82" t="s">
        <v>139</v>
      </c>
      <c r="M100" s="84" t="s">
        <v>163</v>
      </c>
    </row>
    <row r="101" spans="1:13" s="1" customFormat="1" ht="18" customHeight="1">
      <c r="A101" s="86"/>
      <c r="B101" s="87"/>
      <c r="C101" s="88"/>
      <c r="D101" s="125" t="s">
        <v>165</v>
      </c>
      <c r="E101" s="89">
        <f>E90</f>
        <v>0</v>
      </c>
      <c r="F101" s="89">
        <v>0</v>
      </c>
      <c r="G101" s="112" t="e">
        <f t="shared" ref="G101:G105" si="29">F101/E101</f>
        <v>#DIV/0!</v>
      </c>
      <c r="H101" s="89">
        <f>H2</f>
        <v>0</v>
      </c>
      <c r="I101" s="112" t="e">
        <f t="shared" ref="I101:I105" si="30">H101/E101</f>
        <v>#DIV/0!</v>
      </c>
      <c r="J101" s="89">
        <f>J2</f>
        <v>0</v>
      </c>
      <c r="K101" s="112" t="e">
        <f t="shared" ref="K101:K105" si="31">J101/E101</f>
        <v>#DIV/0!</v>
      </c>
      <c r="L101" s="89">
        <f>F101+H101+J101</f>
        <v>0</v>
      </c>
      <c r="M101" s="113" t="e">
        <f>L101/E101</f>
        <v>#DIV/0!</v>
      </c>
    </row>
    <row r="102" spans="1:13" s="1" customFormat="1" ht="18" customHeight="1">
      <c r="A102" s="86"/>
      <c r="B102" s="87"/>
      <c r="C102" s="88"/>
      <c r="D102" s="125" t="s">
        <v>116</v>
      </c>
      <c r="E102" s="89">
        <f>E80</f>
        <v>0</v>
      </c>
      <c r="F102" s="89">
        <v>0</v>
      </c>
      <c r="G102" s="112" t="e">
        <f t="shared" si="29"/>
        <v>#DIV/0!</v>
      </c>
      <c r="H102" s="89">
        <v>0</v>
      </c>
      <c r="I102" s="112" t="e">
        <f t="shared" si="30"/>
        <v>#DIV/0!</v>
      </c>
      <c r="J102" s="89">
        <f>J7</f>
        <v>0</v>
      </c>
      <c r="K102" s="112" t="e">
        <f t="shared" si="31"/>
        <v>#DIV/0!</v>
      </c>
      <c r="L102" s="89">
        <f>F102+H102+J102</f>
        <v>0</v>
      </c>
      <c r="M102" s="113" t="e">
        <f>L102/E102</f>
        <v>#DIV/0!</v>
      </c>
    </row>
    <row r="103" spans="1:13" ht="18" customHeight="1">
      <c r="A103" s="88"/>
      <c r="B103" s="87"/>
      <c r="C103" s="88"/>
      <c r="D103" s="125" t="s">
        <v>164</v>
      </c>
      <c r="E103" s="89">
        <f>E45</f>
        <v>0</v>
      </c>
      <c r="F103" s="89">
        <f>F22</f>
        <v>0</v>
      </c>
      <c r="G103" s="112" t="e">
        <f t="shared" si="29"/>
        <v>#DIV/0!</v>
      </c>
      <c r="H103" s="89">
        <v>0</v>
      </c>
      <c r="I103" s="112" t="e">
        <f t="shared" si="30"/>
        <v>#DIV/0!</v>
      </c>
      <c r="J103" s="89">
        <v>0</v>
      </c>
      <c r="K103" s="112" t="e">
        <f t="shared" si="31"/>
        <v>#DIV/0!</v>
      </c>
      <c r="L103" s="89">
        <f t="shared" ref="L103" si="32">F103+H103+J103</f>
        <v>0</v>
      </c>
      <c r="M103" s="113" t="e">
        <f>L103/E103</f>
        <v>#DIV/0!</v>
      </c>
    </row>
    <row r="104" spans="1:13" ht="18" customHeight="1">
      <c r="A104" s="88"/>
      <c r="B104" s="87"/>
      <c r="C104" s="88"/>
      <c r="D104" s="125" t="s">
        <v>101</v>
      </c>
      <c r="E104" s="89">
        <f>E34</f>
        <v>96.980400000000003</v>
      </c>
      <c r="F104" s="89">
        <f>F49</f>
        <v>0</v>
      </c>
      <c r="G104" s="112">
        <f t="shared" si="29"/>
        <v>0</v>
      </c>
      <c r="H104" s="89">
        <f>H49</f>
        <v>0</v>
      </c>
      <c r="I104" s="112">
        <f t="shared" si="30"/>
        <v>0</v>
      </c>
      <c r="J104" s="89">
        <v>0</v>
      </c>
      <c r="K104" s="112">
        <f t="shared" si="31"/>
        <v>0</v>
      </c>
      <c r="L104" s="89">
        <v>0</v>
      </c>
      <c r="M104" s="113">
        <f>L104/E104</f>
        <v>0</v>
      </c>
    </row>
    <row r="105" spans="1:13" ht="18" customHeight="1">
      <c r="A105" s="88"/>
      <c r="B105" s="87"/>
      <c r="C105" s="88"/>
      <c r="D105" s="125" t="s">
        <v>166</v>
      </c>
      <c r="E105" s="89">
        <f>E94</f>
        <v>0</v>
      </c>
      <c r="F105" s="89">
        <f>F50</f>
        <v>0</v>
      </c>
      <c r="G105" s="112" t="e">
        <f t="shared" si="29"/>
        <v>#DIV/0!</v>
      </c>
      <c r="H105" s="89">
        <f>H50</f>
        <v>0</v>
      </c>
      <c r="I105" s="112" t="e">
        <f t="shared" si="30"/>
        <v>#DIV/0!</v>
      </c>
      <c r="J105" s="89">
        <v>0</v>
      </c>
      <c r="K105" s="112" t="e">
        <f t="shared" si="31"/>
        <v>#DIV/0!</v>
      </c>
      <c r="L105" s="89">
        <f t="shared" ref="L105" si="33">F105+H105+J105</f>
        <v>0</v>
      </c>
      <c r="M105" s="113" t="e">
        <f>L105/E105</f>
        <v>#DIV/0!</v>
      </c>
    </row>
    <row r="106" spans="1:13" ht="18" customHeight="1">
      <c r="A106" s="88"/>
      <c r="B106" s="88"/>
      <c r="C106" s="88"/>
      <c r="D106" s="1"/>
      <c r="E106" s="88"/>
      <c r="F106" s="88"/>
      <c r="G106" s="95"/>
      <c r="H106" s="95"/>
      <c r="I106" s="95"/>
      <c r="J106" s="95"/>
      <c r="K106" s="95"/>
      <c r="L106" s="89"/>
      <c r="M106" s="89"/>
    </row>
    <row r="107" spans="1:13" ht="18" customHeight="1">
      <c r="A107" s="88"/>
      <c r="B107" s="88"/>
      <c r="C107" s="88"/>
      <c r="D107" s="114"/>
      <c r="E107" s="115">
        <f>SUM(E101:E106)</f>
        <v>96.980400000000003</v>
      </c>
      <c r="F107" s="116">
        <f>SUM(F101:F106)</f>
        <v>0</v>
      </c>
      <c r="G107" s="117">
        <f>F107/E107</f>
        <v>0</v>
      </c>
      <c r="H107" s="116">
        <f>SUM(H101:H106)</f>
        <v>0</v>
      </c>
      <c r="I107" s="117">
        <f>H107/E107</f>
        <v>0</v>
      </c>
      <c r="J107" s="116">
        <f>SUM(J101:J106)</f>
        <v>0</v>
      </c>
      <c r="K107" s="126">
        <f>J107/E107</f>
        <v>0</v>
      </c>
      <c r="L107" s="115">
        <f>SUM(L101:L106)</f>
        <v>0</v>
      </c>
      <c r="M107" s="127">
        <f>L107/E107</f>
        <v>0</v>
      </c>
    </row>
    <row r="108" spans="1:13" ht="18" customHeight="1">
      <c r="A108" s="88"/>
      <c r="B108" s="88"/>
      <c r="C108" s="88"/>
      <c r="D108" s="1"/>
      <c r="E108" s="88"/>
      <c r="F108" s="88"/>
      <c r="G108" s="88"/>
      <c r="H108" s="88"/>
      <c r="I108" s="88"/>
      <c r="J108" s="88"/>
      <c r="K108" s="88"/>
      <c r="L108" s="128">
        <f>E107-L107</f>
        <v>96.980400000000003</v>
      </c>
      <c r="M108" s="129">
        <f>L108/E107</f>
        <v>1</v>
      </c>
    </row>
    <row r="109" spans="1:13" ht="18" customHeight="1"/>
    <row r="110" spans="1:13" ht="18" customHeight="1"/>
  </sheetData>
  <mergeCells count="12">
    <mergeCell ref="F98:I98"/>
    <mergeCell ref="L98:M98"/>
    <mergeCell ref="F99:G99"/>
    <mergeCell ref="H99:I99"/>
    <mergeCell ref="J99:K99"/>
    <mergeCell ref="A2:L2"/>
    <mergeCell ref="B3:M3"/>
    <mergeCell ref="F4:I4"/>
    <mergeCell ref="L4:M4"/>
    <mergeCell ref="F5:G5"/>
    <mergeCell ref="H5:I5"/>
    <mergeCell ref="J5:K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5D09-A3F9-43A1-A5DB-531944AA724D}">
  <dimension ref="A2:N110"/>
  <sheetViews>
    <sheetView zoomScale="85" zoomScaleNormal="85" workbookViewId="0">
      <selection activeCell="M8" sqref="M8"/>
    </sheetView>
  </sheetViews>
  <sheetFormatPr baseColWidth="10" defaultRowHeight="13.8"/>
  <cols>
    <col min="1" max="1" width="11.5546875" style="130"/>
    <col min="2" max="2" width="18" style="130" customWidth="1"/>
    <col min="3" max="3" width="11.5546875" style="130"/>
    <col min="4" max="4" width="34.5546875" style="24" customWidth="1"/>
    <col min="5" max="13" width="12.77734375" style="130" customWidth="1"/>
    <col min="14" max="15" width="12.77734375" style="24" customWidth="1"/>
    <col min="16" max="16384" width="11.5546875" style="24"/>
  </cols>
  <sheetData>
    <row r="2" spans="1:14" ht="25.05" customHeight="1">
      <c r="A2" s="259" t="s">
        <v>87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81"/>
    </row>
    <row r="3" spans="1:14" ht="25.05" customHeight="1">
      <c r="A3" s="110"/>
      <c r="B3" s="260" t="s">
        <v>169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</row>
    <row r="4" spans="1:14" s="1" customFormat="1" ht="25.05" customHeight="1">
      <c r="A4" s="82"/>
      <c r="B4" s="82"/>
      <c r="C4" s="82"/>
      <c r="D4" s="83"/>
      <c r="E4" s="84" t="s">
        <v>97</v>
      </c>
      <c r="F4" s="257" t="s">
        <v>157</v>
      </c>
      <c r="G4" s="257"/>
      <c r="H4" s="257"/>
      <c r="I4" s="257"/>
      <c r="J4" s="111"/>
      <c r="K4" s="111"/>
      <c r="L4" s="256" t="s">
        <v>158</v>
      </c>
      <c r="M4" s="256"/>
    </row>
    <row r="5" spans="1:14" s="1" customFormat="1" ht="19.95" customHeight="1">
      <c r="A5" s="82"/>
      <c r="B5" s="82"/>
      <c r="C5" s="82"/>
      <c r="D5" s="83"/>
      <c r="E5" s="84"/>
      <c r="F5" s="255" t="s">
        <v>159</v>
      </c>
      <c r="G5" s="255"/>
      <c r="H5" s="255" t="s">
        <v>160</v>
      </c>
      <c r="I5" s="255"/>
      <c r="J5" s="255" t="s">
        <v>161</v>
      </c>
      <c r="K5" s="255"/>
      <c r="L5" s="82"/>
      <c r="M5" s="82"/>
    </row>
    <row r="6" spans="1:14" s="1" customFormat="1" ht="19.95" customHeight="1">
      <c r="A6" s="82" t="s">
        <v>162</v>
      </c>
      <c r="B6" s="82" t="s">
        <v>91</v>
      </c>
      <c r="C6" s="82" t="s">
        <v>92</v>
      </c>
      <c r="D6" s="82" t="s">
        <v>93</v>
      </c>
      <c r="E6" s="82" t="s">
        <v>139</v>
      </c>
      <c r="F6" s="82" t="s">
        <v>139</v>
      </c>
      <c r="G6" s="84" t="s">
        <v>163</v>
      </c>
      <c r="H6" s="82" t="s">
        <v>139</v>
      </c>
      <c r="I6" s="84" t="s">
        <v>163</v>
      </c>
      <c r="J6" s="84"/>
      <c r="K6" s="84"/>
      <c r="L6" s="82" t="s">
        <v>139</v>
      </c>
      <c r="M6" s="84" t="s">
        <v>163</v>
      </c>
    </row>
    <row r="7" spans="1:14" s="1" customFormat="1" ht="19.95" customHeight="1">
      <c r="A7" s="86">
        <v>1</v>
      </c>
      <c r="B7" s="87" t="s">
        <v>101</v>
      </c>
      <c r="C7" s="88">
        <v>1</v>
      </c>
      <c r="D7" s="1" t="s">
        <v>102</v>
      </c>
      <c r="E7" s="89">
        <f>'[4]CANTIDAD DE OBRA'!N5</f>
        <v>30.928399999999996</v>
      </c>
      <c r="F7" s="89">
        <v>0</v>
      </c>
      <c r="G7" s="112">
        <f>F7/E7</f>
        <v>0</v>
      </c>
      <c r="H7" s="89">
        <v>0</v>
      </c>
      <c r="I7" s="112">
        <f>H7/E7</f>
        <v>0</v>
      </c>
      <c r="J7" s="89">
        <v>0</v>
      </c>
      <c r="K7" s="112">
        <f>J7/E7</f>
        <v>0</v>
      </c>
      <c r="L7" s="89">
        <f>F7+H7</f>
        <v>0</v>
      </c>
      <c r="M7" s="113">
        <f>L7/E7</f>
        <v>0</v>
      </c>
      <c r="N7" s="85"/>
    </row>
    <row r="8" spans="1:14" s="1" customFormat="1" ht="19.95" customHeight="1">
      <c r="A8" s="86"/>
      <c r="B8" s="87"/>
      <c r="C8" s="88"/>
      <c r="D8" s="1" t="s">
        <v>103</v>
      </c>
      <c r="E8" s="89">
        <f>'[4]CANTIDAD DE OBRA'!Q6</f>
        <v>0</v>
      </c>
      <c r="F8" s="89">
        <v>0</v>
      </c>
      <c r="G8" s="112" t="e">
        <f>F8/E8</f>
        <v>#DIV/0!</v>
      </c>
      <c r="H8" s="89">
        <v>0</v>
      </c>
      <c r="I8" s="112" t="e">
        <f>H8/E8</f>
        <v>#DIV/0!</v>
      </c>
      <c r="J8" s="89">
        <v>0</v>
      </c>
      <c r="K8" s="112" t="e">
        <f t="shared" ref="K8:K32" si="0">J8/E8</f>
        <v>#DIV/0!</v>
      </c>
      <c r="L8" s="89">
        <f>F8+H8</f>
        <v>0</v>
      </c>
      <c r="M8" s="113" t="e">
        <f>L8/E8</f>
        <v>#DIV/0!</v>
      </c>
      <c r="N8" s="85"/>
    </row>
    <row r="9" spans="1:14" s="1" customFormat="1" ht="19.95" customHeight="1">
      <c r="A9" s="88"/>
      <c r="B9" s="87"/>
      <c r="C9" s="88">
        <v>2</v>
      </c>
      <c r="D9" s="1" t="s">
        <v>102</v>
      </c>
      <c r="E9" s="89">
        <f>'[4]CANTIDAD DE OBRA'!N7</f>
        <v>39.484000000000002</v>
      </c>
      <c r="F9" s="89">
        <v>0</v>
      </c>
      <c r="G9" s="112">
        <f t="shared" ref="G9:G32" si="1">F9/E9</f>
        <v>0</v>
      </c>
      <c r="H9" s="89">
        <v>0</v>
      </c>
      <c r="I9" s="112">
        <f t="shared" ref="I9:I32" si="2">H9/E9</f>
        <v>0</v>
      </c>
      <c r="J9" s="89">
        <v>0</v>
      </c>
      <c r="K9" s="112">
        <f t="shared" si="0"/>
        <v>0</v>
      </c>
      <c r="L9" s="89">
        <f t="shared" ref="L9:L32" si="3">F9+H9</f>
        <v>0</v>
      </c>
      <c r="M9" s="113">
        <f t="shared" ref="M9:M32" si="4">L9/E9</f>
        <v>0</v>
      </c>
    </row>
    <row r="10" spans="1:14" s="1" customFormat="1" ht="19.95" customHeight="1">
      <c r="A10" s="88"/>
      <c r="B10" s="87"/>
      <c r="C10" s="88"/>
      <c r="D10" s="1" t="s">
        <v>103</v>
      </c>
      <c r="E10" s="89">
        <f>'[4]CANTIDAD DE OBRA'!Q8</f>
        <v>0</v>
      </c>
      <c r="F10" s="89">
        <v>0</v>
      </c>
      <c r="G10" s="112" t="e">
        <f t="shared" si="1"/>
        <v>#DIV/0!</v>
      </c>
      <c r="H10" s="89">
        <v>0</v>
      </c>
      <c r="I10" s="112" t="e">
        <f t="shared" si="2"/>
        <v>#DIV/0!</v>
      </c>
      <c r="J10" s="89">
        <v>0</v>
      </c>
      <c r="K10" s="112" t="e">
        <f t="shared" si="0"/>
        <v>#DIV/0!</v>
      </c>
      <c r="L10" s="89">
        <f t="shared" si="3"/>
        <v>0</v>
      </c>
      <c r="M10" s="113" t="e">
        <f t="shared" si="4"/>
        <v>#DIV/0!</v>
      </c>
    </row>
    <row r="11" spans="1:14" s="1" customFormat="1" ht="19.95" customHeight="1">
      <c r="A11" s="88"/>
      <c r="B11" s="87"/>
      <c r="C11" s="88">
        <v>3</v>
      </c>
      <c r="D11" s="1" t="s">
        <v>104</v>
      </c>
      <c r="E11" s="89">
        <f>'[4]CANTIDAD DE OBRA'!N9</f>
        <v>20.387999999999998</v>
      </c>
      <c r="F11" s="89">
        <v>0</v>
      </c>
      <c r="G11" s="112">
        <f t="shared" si="1"/>
        <v>0</v>
      </c>
      <c r="H11" s="89">
        <v>0</v>
      </c>
      <c r="I11" s="112">
        <f t="shared" si="2"/>
        <v>0</v>
      </c>
      <c r="J11" s="89">
        <v>0</v>
      </c>
      <c r="K11" s="112">
        <f t="shared" si="0"/>
        <v>0</v>
      </c>
      <c r="L11" s="89">
        <f t="shared" si="3"/>
        <v>0</v>
      </c>
      <c r="M11" s="113">
        <f t="shared" si="4"/>
        <v>0</v>
      </c>
    </row>
    <row r="12" spans="1:14" s="1" customFormat="1" ht="19.95" customHeight="1">
      <c r="A12" s="88"/>
      <c r="B12" s="86"/>
      <c r="C12" s="88"/>
      <c r="D12" s="1" t="s">
        <v>105</v>
      </c>
      <c r="E12" s="89">
        <f>'[4]CANTIDAD DE OBRA'!Q10</f>
        <v>0</v>
      </c>
      <c r="F12" s="89">
        <v>0</v>
      </c>
      <c r="G12" s="112" t="e">
        <f t="shared" si="1"/>
        <v>#DIV/0!</v>
      </c>
      <c r="H12" s="89">
        <v>0</v>
      </c>
      <c r="I12" s="112" t="e">
        <f t="shared" si="2"/>
        <v>#DIV/0!</v>
      </c>
      <c r="J12" s="89">
        <v>0</v>
      </c>
      <c r="K12" s="112" t="e">
        <f t="shared" si="0"/>
        <v>#DIV/0!</v>
      </c>
      <c r="L12" s="89">
        <f t="shared" si="3"/>
        <v>0</v>
      </c>
      <c r="M12" s="113" t="e">
        <f t="shared" si="4"/>
        <v>#DIV/0!</v>
      </c>
    </row>
    <row r="13" spans="1:14" s="1" customFormat="1" ht="19.95" customHeight="1">
      <c r="A13" s="88"/>
      <c r="B13" s="86"/>
      <c r="C13" s="88"/>
      <c r="D13" s="1" t="s">
        <v>106</v>
      </c>
      <c r="E13" s="89">
        <f>'[4]CANTIDAD DE OBRA'!N11</f>
        <v>6.18</v>
      </c>
      <c r="F13" s="89">
        <v>0</v>
      </c>
      <c r="G13" s="112">
        <f t="shared" si="1"/>
        <v>0</v>
      </c>
      <c r="H13" s="89">
        <v>0</v>
      </c>
      <c r="I13" s="112">
        <f t="shared" si="2"/>
        <v>0</v>
      </c>
      <c r="J13" s="89">
        <v>0</v>
      </c>
      <c r="K13" s="112">
        <f t="shared" si="0"/>
        <v>0</v>
      </c>
      <c r="L13" s="89">
        <f t="shared" si="3"/>
        <v>0</v>
      </c>
      <c r="M13" s="113">
        <f t="shared" si="4"/>
        <v>0</v>
      </c>
    </row>
    <row r="14" spans="1:14" s="1" customFormat="1" ht="19.95" customHeight="1">
      <c r="A14" s="88"/>
      <c r="B14" s="86"/>
      <c r="C14" s="88"/>
      <c r="D14" s="1" t="s">
        <v>107</v>
      </c>
      <c r="E14" s="89">
        <f>'[4]CANTIDAD DE OBRA'!R12</f>
        <v>0</v>
      </c>
      <c r="F14" s="89">
        <v>0</v>
      </c>
      <c r="G14" s="112" t="e">
        <f t="shared" si="1"/>
        <v>#DIV/0!</v>
      </c>
      <c r="H14" s="89">
        <v>0</v>
      </c>
      <c r="I14" s="112" t="e">
        <f t="shared" si="2"/>
        <v>#DIV/0!</v>
      </c>
      <c r="J14" s="89">
        <v>0</v>
      </c>
      <c r="K14" s="112" t="e">
        <f t="shared" si="0"/>
        <v>#DIV/0!</v>
      </c>
      <c r="L14" s="89">
        <f t="shared" si="3"/>
        <v>0</v>
      </c>
      <c r="M14" s="113" t="e">
        <f t="shared" si="4"/>
        <v>#DIV/0!</v>
      </c>
    </row>
    <row r="15" spans="1:14" s="1" customFormat="1" ht="19.95" customHeight="1">
      <c r="A15" s="88"/>
      <c r="B15" s="86"/>
      <c r="C15" s="88">
        <v>4</v>
      </c>
      <c r="D15" s="1" t="s">
        <v>108</v>
      </c>
      <c r="E15" s="89">
        <f>'[4]CANTIDAD DE OBRA'!O13</f>
        <v>0</v>
      </c>
      <c r="F15" s="89">
        <v>0</v>
      </c>
      <c r="G15" s="112" t="e">
        <f t="shared" si="1"/>
        <v>#DIV/0!</v>
      </c>
      <c r="H15" s="89">
        <v>0</v>
      </c>
      <c r="I15" s="112" t="e">
        <f t="shared" si="2"/>
        <v>#DIV/0!</v>
      </c>
      <c r="J15" s="89">
        <v>0</v>
      </c>
      <c r="K15" s="112" t="e">
        <f t="shared" si="0"/>
        <v>#DIV/0!</v>
      </c>
      <c r="L15" s="89">
        <f t="shared" si="3"/>
        <v>0</v>
      </c>
      <c r="M15" s="113" t="e">
        <f t="shared" si="4"/>
        <v>#DIV/0!</v>
      </c>
    </row>
    <row r="16" spans="1:14" s="1" customFormat="1" ht="19.95" customHeight="1">
      <c r="A16" s="88"/>
      <c r="B16" s="86"/>
      <c r="C16" s="88">
        <v>5</v>
      </c>
      <c r="D16" s="1" t="s">
        <v>109</v>
      </c>
      <c r="E16" s="89">
        <f>'[4]CANTIDAD DE OBRA'!O14</f>
        <v>0</v>
      </c>
      <c r="F16" s="89">
        <v>0</v>
      </c>
      <c r="G16" s="112" t="e">
        <f t="shared" si="1"/>
        <v>#DIV/0!</v>
      </c>
      <c r="H16" s="89">
        <v>0</v>
      </c>
      <c r="I16" s="112" t="e">
        <f t="shared" si="2"/>
        <v>#DIV/0!</v>
      </c>
      <c r="J16" s="89">
        <v>0</v>
      </c>
      <c r="K16" s="112" t="e">
        <f t="shared" si="0"/>
        <v>#DIV/0!</v>
      </c>
      <c r="L16" s="89">
        <f t="shared" si="3"/>
        <v>0</v>
      </c>
      <c r="M16" s="113" t="e">
        <f t="shared" si="4"/>
        <v>#DIV/0!</v>
      </c>
    </row>
    <row r="17" spans="1:13" s="1" customFormat="1" ht="19.8" customHeight="1">
      <c r="A17" s="88"/>
      <c r="B17" s="86"/>
      <c r="C17" s="88">
        <v>6</v>
      </c>
      <c r="D17" s="1" t="s">
        <v>109</v>
      </c>
      <c r="E17" s="89">
        <f>'[4]CANTIDAD DE OBRA'!O17</f>
        <v>0</v>
      </c>
      <c r="F17" s="89">
        <v>0</v>
      </c>
      <c r="G17" s="112" t="e">
        <f t="shared" si="1"/>
        <v>#DIV/0!</v>
      </c>
      <c r="H17" s="89">
        <v>0</v>
      </c>
      <c r="I17" s="112" t="e">
        <f t="shared" si="2"/>
        <v>#DIV/0!</v>
      </c>
      <c r="J17" s="89">
        <v>0</v>
      </c>
      <c r="K17" s="112" t="e">
        <f t="shared" si="0"/>
        <v>#DIV/0!</v>
      </c>
      <c r="L17" s="89">
        <f t="shared" si="3"/>
        <v>0</v>
      </c>
      <c r="M17" s="113" t="e">
        <f t="shared" si="4"/>
        <v>#DIV/0!</v>
      </c>
    </row>
    <row r="18" spans="1:13" s="1" customFormat="1" ht="19.95" customHeight="1">
      <c r="A18" s="88"/>
      <c r="B18" s="86"/>
      <c r="C18" s="88">
        <v>7</v>
      </c>
      <c r="D18" s="1" t="s">
        <v>110</v>
      </c>
      <c r="E18" s="89">
        <f>'[4]CANTIDAD DE OBRA'!N18</f>
        <v>0</v>
      </c>
      <c r="F18" s="89">
        <v>0</v>
      </c>
      <c r="G18" s="112" t="e">
        <f t="shared" si="1"/>
        <v>#DIV/0!</v>
      </c>
      <c r="H18" s="89">
        <v>0</v>
      </c>
      <c r="I18" s="112" t="e">
        <f t="shared" si="2"/>
        <v>#DIV/0!</v>
      </c>
      <c r="J18" s="89">
        <v>0</v>
      </c>
      <c r="K18" s="112" t="e">
        <f t="shared" si="0"/>
        <v>#DIV/0!</v>
      </c>
      <c r="L18" s="89">
        <f t="shared" si="3"/>
        <v>0</v>
      </c>
      <c r="M18" s="113" t="e">
        <f t="shared" si="4"/>
        <v>#DIV/0!</v>
      </c>
    </row>
    <row r="19" spans="1:13" s="1" customFormat="1" ht="19.95" customHeight="1">
      <c r="A19" s="88"/>
      <c r="B19" s="86"/>
      <c r="C19" s="88">
        <v>8</v>
      </c>
      <c r="D19" s="1" t="s">
        <v>108</v>
      </c>
      <c r="E19" s="89">
        <f>'[4]CANTIDAD DE OBRA'!O19</f>
        <v>0</v>
      </c>
      <c r="F19" s="89">
        <v>0</v>
      </c>
      <c r="G19" s="112" t="e">
        <f t="shared" si="1"/>
        <v>#DIV/0!</v>
      </c>
      <c r="H19" s="89">
        <v>0</v>
      </c>
      <c r="I19" s="112" t="e">
        <f t="shared" si="2"/>
        <v>#DIV/0!</v>
      </c>
      <c r="J19" s="89">
        <v>0</v>
      </c>
      <c r="K19" s="112" t="e">
        <f t="shared" si="0"/>
        <v>#DIV/0!</v>
      </c>
      <c r="L19" s="89">
        <f t="shared" si="3"/>
        <v>0</v>
      </c>
      <c r="M19" s="113" t="e">
        <f t="shared" si="4"/>
        <v>#DIV/0!</v>
      </c>
    </row>
    <row r="20" spans="1:13" s="1" customFormat="1" ht="19.95" customHeight="1">
      <c r="A20" s="88"/>
      <c r="B20" s="86"/>
      <c r="C20" s="88">
        <v>9</v>
      </c>
      <c r="D20" s="1" t="s">
        <v>111</v>
      </c>
      <c r="E20" s="89">
        <f>'[4]CANTIDAD DE OBRA'!N20</f>
        <v>0</v>
      </c>
      <c r="F20" s="89">
        <v>0</v>
      </c>
      <c r="G20" s="112" t="e">
        <f t="shared" si="1"/>
        <v>#DIV/0!</v>
      </c>
      <c r="H20" s="89">
        <v>0</v>
      </c>
      <c r="I20" s="112" t="e">
        <f t="shared" si="2"/>
        <v>#DIV/0!</v>
      </c>
      <c r="J20" s="89">
        <v>0</v>
      </c>
      <c r="K20" s="112" t="e">
        <f t="shared" si="0"/>
        <v>#DIV/0!</v>
      </c>
      <c r="L20" s="89">
        <f t="shared" si="3"/>
        <v>0</v>
      </c>
      <c r="M20" s="113" t="e">
        <f t="shared" si="4"/>
        <v>#DIV/0!</v>
      </c>
    </row>
    <row r="21" spans="1:13" s="1" customFormat="1" ht="19.95" customHeight="1">
      <c r="A21" s="88"/>
      <c r="B21" s="86"/>
      <c r="C21" s="88"/>
      <c r="D21" s="1" t="s">
        <v>112</v>
      </c>
      <c r="E21" s="89">
        <f>'[4]CANTIDAD DE OBRA'!O21</f>
        <v>0</v>
      </c>
      <c r="F21" s="89">
        <v>0</v>
      </c>
      <c r="G21" s="112" t="e">
        <f t="shared" si="1"/>
        <v>#DIV/0!</v>
      </c>
      <c r="H21" s="89">
        <v>0</v>
      </c>
      <c r="I21" s="112" t="e">
        <f t="shared" si="2"/>
        <v>#DIV/0!</v>
      </c>
      <c r="J21" s="89">
        <v>0</v>
      </c>
      <c r="K21" s="112" t="e">
        <f t="shared" si="0"/>
        <v>#DIV/0!</v>
      </c>
      <c r="L21" s="89">
        <f t="shared" si="3"/>
        <v>0</v>
      </c>
      <c r="M21" s="113" t="e">
        <f t="shared" si="4"/>
        <v>#DIV/0!</v>
      </c>
    </row>
    <row r="22" spans="1:13" s="1" customFormat="1" ht="19.95" customHeight="1">
      <c r="A22" s="88"/>
      <c r="B22" s="86"/>
      <c r="C22" s="88"/>
      <c r="D22" s="1" t="s">
        <v>113</v>
      </c>
      <c r="E22" s="89">
        <f>'[4]CANTIDAD DE OBRA'!O22</f>
        <v>0</v>
      </c>
      <c r="F22" s="89">
        <v>0</v>
      </c>
      <c r="G22" s="112" t="e">
        <f t="shared" si="1"/>
        <v>#DIV/0!</v>
      </c>
      <c r="H22" s="89">
        <v>0</v>
      </c>
      <c r="I22" s="112" t="e">
        <f t="shared" si="2"/>
        <v>#DIV/0!</v>
      </c>
      <c r="J22" s="89" t="e">
        <f>G22</f>
        <v>#DIV/0!</v>
      </c>
      <c r="K22" s="112" t="e">
        <f t="shared" si="0"/>
        <v>#DIV/0!</v>
      </c>
      <c r="L22" s="89">
        <f t="shared" si="3"/>
        <v>0</v>
      </c>
      <c r="M22" s="113" t="e">
        <f t="shared" si="4"/>
        <v>#DIV/0!</v>
      </c>
    </row>
    <row r="23" spans="1:13" s="1" customFormat="1" ht="19.95" customHeight="1">
      <c r="A23" s="88"/>
      <c r="B23" s="86"/>
      <c r="C23" s="88">
        <v>10</v>
      </c>
      <c r="D23" s="1" t="s">
        <v>114</v>
      </c>
      <c r="E23" s="89">
        <f>'[4]CANTIDAD DE OBRA'!P23</f>
        <v>0</v>
      </c>
      <c r="F23" s="89">
        <v>0</v>
      </c>
      <c r="G23" s="112" t="e">
        <f t="shared" si="1"/>
        <v>#DIV/0!</v>
      </c>
      <c r="H23" s="89">
        <v>0</v>
      </c>
      <c r="I23" s="112" t="e">
        <f t="shared" si="2"/>
        <v>#DIV/0!</v>
      </c>
      <c r="J23" s="89" t="e">
        <f t="shared" ref="J23:J32" si="5">G23</f>
        <v>#DIV/0!</v>
      </c>
      <c r="K23" s="112" t="e">
        <f t="shared" si="0"/>
        <v>#DIV/0!</v>
      </c>
      <c r="L23" s="89">
        <f t="shared" si="3"/>
        <v>0</v>
      </c>
      <c r="M23" s="113" t="e">
        <f t="shared" si="4"/>
        <v>#DIV/0!</v>
      </c>
    </row>
    <row r="24" spans="1:13" s="1" customFormat="1" ht="19.95" customHeight="1">
      <c r="A24" s="88"/>
      <c r="B24" s="86"/>
      <c r="C24" s="88"/>
      <c r="D24" s="1" t="s">
        <v>115</v>
      </c>
      <c r="E24" s="89">
        <f>'[4]CANTIDAD DE OBRA'!P24</f>
        <v>0</v>
      </c>
      <c r="F24" s="89">
        <v>0</v>
      </c>
      <c r="G24" s="112" t="e">
        <f t="shared" si="1"/>
        <v>#DIV/0!</v>
      </c>
      <c r="H24" s="89">
        <v>0</v>
      </c>
      <c r="I24" s="112" t="e">
        <f t="shared" si="2"/>
        <v>#DIV/0!</v>
      </c>
      <c r="J24" s="89" t="e">
        <f t="shared" si="5"/>
        <v>#DIV/0!</v>
      </c>
      <c r="K24" s="112" t="e">
        <f t="shared" si="0"/>
        <v>#DIV/0!</v>
      </c>
      <c r="L24" s="89">
        <f t="shared" si="3"/>
        <v>0</v>
      </c>
      <c r="M24" s="113" t="e">
        <f t="shared" si="4"/>
        <v>#DIV/0!</v>
      </c>
    </row>
    <row r="25" spans="1:13" s="1" customFormat="1" ht="19.95" customHeight="1">
      <c r="A25" s="88"/>
      <c r="B25" s="86"/>
      <c r="C25" s="88">
        <v>11</v>
      </c>
      <c r="D25" s="1" t="s">
        <v>104</v>
      </c>
      <c r="E25" s="89">
        <f>'[4]CANTIDAD DE OBRA'!N25</f>
        <v>0</v>
      </c>
      <c r="F25" s="89">
        <v>0</v>
      </c>
      <c r="G25" s="112" t="e">
        <f t="shared" si="1"/>
        <v>#DIV/0!</v>
      </c>
      <c r="H25" s="89">
        <v>0</v>
      </c>
      <c r="I25" s="112" t="e">
        <f t="shared" si="2"/>
        <v>#DIV/0!</v>
      </c>
      <c r="J25" s="89" t="e">
        <f t="shared" si="5"/>
        <v>#DIV/0!</v>
      </c>
      <c r="K25" s="112" t="e">
        <f t="shared" si="0"/>
        <v>#DIV/0!</v>
      </c>
      <c r="L25" s="89">
        <f t="shared" si="3"/>
        <v>0</v>
      </c>
      <c r="M25" s="113" t="e">
        <f t="shared" si="4"/>
        <v>#DIV/0!</v>
      </c>
    </row>
    <row r="26" spans="1:13" s="1" customFormat="1" ht="19.95" customHeight="1">
      <c r="A26" s="88"/>
      <c r="B26" s="86"/>
      <c r="C26" s="88"/>
      <c r="D26" s="1" t="s">
        <v>105</v>
      </c>
      <c r="E26" s="89">
        <f>'[4]CANTIDAD DE OBRA'!Q26</f>
        <v>0</v>
      </c>
      <c r="F26" s="89">
        <v>0</v>
      </c>
      <c r="G26" s="112" t="e">
        <f t="shared" si="1"/>
        <v>#DIV/0!</v>
      </c>
      <c r="H26" s="89">
        <v>0</v>
      </c>
      <c r="I26" s="112" t="e">
        <f t="shared" si="2"/>
        <v>#DIV/0!</v>
      </c>
      <c r="J26" s="89" t="e">
        <f t="shared" si="5"/>
        <v>#DIV/0!</v>
      </c>
      <c r="K26" s="112" t="e">
        <f t="shared" si="0"/>
        <v>#DIV/0!</v>
      </c>
      <c r="L26" s="89">
        <f t="shared" si="3"/>
        <v>0</v>
      </c>
      <c r="M26" s="113" t="e">
        <f t="shared" si="4"/>
        <v>#DIV/0!</v>
      </c>
    </row>
    <row r="27" spans="1:13" s="1" customFormat="1" ht="19.95" customHeight="1">
      <c r="A27" s="88"/>
      <c r="B27" s="86"/>
      <c r="C27" s="88"/>
      <c r="D27" s="1" t="s">
        <v>106</v>
      </c>
      <c r="E27" s="89">
        <f>'[4]CANTIDAD DE OBRA'!P27</f>
        <v>0</v>
      </c>
      <c r="F27" s="89">
        <v>0</v>
      </c>
      <c r="G27" s="112" t="e">
        <f t="shared" si="1"/>
        <v>#DIV/0!</v>
      </c>
      <c r="H27" s="89">
        <v>0</v>
      </c>
      <c r="I27" s="112" t="e">
        <f t="shared" si="2"/>
        <v>#DIV/0!</v>
      </c>
      <c r="J27" s="89" t="e">
        <f t="shared" si="5"/>
        <v>#DIV/0!</v>
      </c>
      <c r="K27" s="112" t="e">
        <f t="shared" si="0"/>
        <v>#DIV/0!</v>
      </c>
      <c r="L27" s="89">
        <f t="shared" si="3"/>
        <v>0</v>
      </c>
      <c r="M27" s="113" t="e">
        <f t="shared" si="4"/>
        <v>#DIV/0!</v>
      </c>
    </row>
    <row r="28" spans="1:13" s="1" customFormat="1" ht="19.95" customHeight="1">
      <c r="A28" s="88"/>
      <c r="B28" s="86"/>
      <c r="C28" s="88"/>
      <c r="D28" s="1" t="s">
        <v>107</v>
      </c>
      <c r="E28" s="89">
        <f>'[4]CANTIDAD DE OBRA'!R28</f>
        <v>0</v>
      </c>
      <c r="F28" s="89">
        <v>0</v>
      </c>
      <c r="G28" s="112" t="e">
        <f t="shared" si="1"/>
        <v>#DIV/0!</v>
      </c>
      <c r="H28" s="89">
        <v>0</v>
      </c>
      <c r="I28" s="112" t="e">
        <f t="shared" si="2"/>
        <v>#DIV/0!</v>
      </c>
      <c r="J28" s="89" t="e">
        <f t="shared" si="5"/>
        <v>#DIV/0!</v>
      </c>
      <c r="K28" s="112" t="e">
        <f t="shared" si="0"/>
        <v>#DIV/0!</v>
      </c>
      <c r="L28" s="89">
        <f t="shared" si="3"/>
        <v>0</v>
      </c>
      <c r="M28" s="113" t="e">
        <f t="shared" si="4"/>
        <v>#DIV/0!</v>
      </c>
    </row>
    <row r="29" spans="1:13" s="1" customFormat="1" ht="19.95" customHeight="1">
      <c r="A29" s="88"/>
      <c r="B29" s="86"/>
      <c r="C29" s="88">
        <v>12</v>
      </c>
      <c r="D29" s="1" t="s">
        <v>102</v>
      </c>
      <c r="E29" s="89">
        <f>'[4]CANTIDAD DE OBRA'!N29</f>
        <v>0</v>
      </c>
      <c r="F29" s="89">
        <v>0</v>
      </c>
      <c r="G29" s="112" t="e">
        <f t="shared" si="1"/>
        <v>#DIV/0!</v>
      </c>
      <c r="H29" s="89">
        <v>0</v>
      </c>
      <c r="I29" s="112" t="e">
        <f t="shared" si="2"/>
        <v>#DIV/0!</v>
      </c>
      <c r="J29" s="89" t="e">
        <f t="shared" si="5"/>
        <v>#DIV/0!</v>
      </c>
      <c r="K29" s="112" t="e">
        <f t="shared" si="0"/>
        <v>#DIV/0!</v>
      </c>
      <c r="L29" s="89">
        <f t="shared" si="3"/>
        <v>0</v>
      </c>
      <c r="M29" s="113" t="e">
        <f t="shared" si="4"/>
        <v>#DIV/0!</v>
      </c>
    </row>
    <row r="30" spans="1:13" s="1" customFormat="1" ht="19.95" customHeight="1">
      <c r="A30" s="88"/>
      <c r="B30" s="86"/>
      <c r="C30" s="88"/>
      <c r="D30" s="1" t="s">
        <v>103</v>
      </c>
      <c r="E30" s="89">
        <f>'[4]CANTIDAD DE OBRA'!Q30</f>
        <v>0</v>
      </c>
      <c r="F30" s="89">
        <v>0</v>
      </c>
      <c r="G30" s="112" t="e">
        <f t="shared" si="1"/>
        <v>#DIV/0!</v>
      </c>
      <c r="H30" s="89">
        <v>0</v>
      </c>
      <c r="I30" s="112" t="e">
        <f t="shared" si="2"/>
        <v>#DIV/0!</v>
      </c>
      <c r="J30" s="89" t="e">
        <f t="shared" si="5"/>
        <v>#DIV/0!</v>
      </c>
      <c r="K30" s="112" t="e">
        <f t="shared" si="0"/>
        <v>#DIV/0!</v>
      </c>
      <c r="L30" s="89">
        <f t="shared" si="3"/>
        <v>0</v>
      </c>
      <c r="M30" s="113" t="e">
        <f t="shared" si="4"/>
        <v>#DIV/0!</v>
      </c>
    </row>
    <row r="31" spans="1:13" s="1" customFormat="1" ht="19.95" customHeight="1">
      <c r="A31" s="88"/>
      <c r="B31" s="86"/>
      <c r="C31" s="88">
        <v>13</v>
      </c>
      <c r="D31" s="1" t="s">
        <v>102</v>
      </c>
      <c r="E31" s="89">
        <f>'[4]CANTIDAD DE OBRA'!N31</f>
        <v>0</v>
      </c>
      <c r="F31" s="89">
        <v>0</v>
      </c>
      <c r="G31" s="112" t="e">
        <f t="shared" si="1"/>
        <v>#DIV/0!</v>
      </c>
      <c r="H31" s="89">
        <v>0</v>
      </c>
      <c r="I31" s="112" t="e">
        <f t="shared" si="2"/>
        <v>#DIV/0!</v>
      </c>
      <c r="J31" s="89" t="e">
        <f t="shared" si="5"/>
        <v>#DIV/0!</v>
      </c>
      <c r="K31" s="112" t="e">
        <f t="shared" si="0"/>
        <v>#DIV/0!</v>
      </c>
      <c r="L31" s="89">
        <f t="shared" si="3"/>
        <v>0</v>
      </c>
      <c r="M31" s="113" t="e">
        <f t="shared" si="4"/>
        <v>#DIV/0!</v>
      </c>
    </row>
    <row r="32" spans="1:13" s="1" customFormat="1" ht="19.95" customHeight="1">
      <c r="A32" s="88"/>
      <c r="B32" s="86"/>
      <c r="C32" s="88"/>
      <c r="D32" s="1" t="s">
        <v>103</v>
      </c>
      <c r="E32" s="89">
        <f>'[4]CANTIDAD DE OBRA'!Q34</f>
        <v>0</v>
      </c>
      <c r="F32" s="89">
        <v>0</v>
      </c>
      <c r="G32" s="112" t="e">
        <f t="shared" si="1"/>
        <v>#DIV/0!</v>
      </c>
      <c r="H32" s="89">
        <v>0</v>
      </c>
      <c r="I32" s="112" t="e">
        <f t="shared" si="2"/>
        <v>#DIV/0!</v>
      </c>
      <c r="J32" s="89" t="e">
        <f t="shared" si="5"/>
        <v>#DIV/0!</v>
      </c>
      <c r="K32" s="112" t="e">
        <f t="shared" si="0"/>
        <v>#DIV/0!</v>
      </c>
      <c r="L32" s="89">
        <f t="shared" si="3"/>
        <v>0</v>
      </c>
      <c r="M32" s="113" t="e">
        <f t="shared" si="4"/>
        <v>#DIV/0!</v>
      </c>
    </row>
    <row r="33" spans="1:14" s="1" customFormat="1" ht="19.95" customHeight="1">
      <c r="A33" s="88"/>
      <c r="B33" s="88"/>
      <c r="C33" s="88"/>
      <c r="E33" s="88"/>
      <c r="F33" s="88"/>
      <c r="G33" s="95"/>
      <c r="H33" s="95"/>
      <c r="I33" s="95"/>
      <c r="J33" s="95"/>
      <c r="K33" s="95"/>
      <c r="L33" s="89"/>
      <c r="M33" s="89"/>
    </row>
    <row r="34" spans="1:14" s="1" customFormat="1" ht="19.95" customHeight="1">
      <c r="A34" s="88"/>
      <c r="B34" s="88"/>
      <c r="C34" s="88"/>
      <c r="D34" s="114"/>
      <c r="E34" s="115">
        <f>SUM(E7:E33)</f>
        <v>96.980400000000003</v>
      </c>
      <c r="F34" s="116">
        <f>SUM(F7:F33)</f>
        <v>0</v>
      </c>
      <c r="G34" s="117">
        <f>F34/E34</f>
        <v>0</v>
      </c>
      <c r="H34" s="116">
        <f>SUM(H7:H33)</f>
        <v>0</v>
      </c>
      <c r="I34" s="117">
        <f>H34/E34</f>
        <v>0</v>
      </c>
      <c r="J34" s="116" t="e">
        <f>SUM(J7:J33)</f>
        <v>#DIV/0!</v>
      </c>
      <c r="K34" s="117" t="e">
        <f>J34/E34</f>
        <v>#DIV/0!</v>
      </c>
      <c r="L34" s="118">
        <f>SUM(L7:L33)</f>
        <v>0</v>
      </c>
      <c r="M34" s="119">
        <f>L34/E34</f>
        <v>0</v>
      </c>
      <c r="N34" s="88"/>
    </row>
    <row r="35" spans="1:14" s="1" customFormat="1" ht="19.95" customHeight="1">
      <c r="A35" s="88"/>
      <c r="B35" s="88"/>
      <c r="C35" s="88"/>
      <c r="E35" s="88"/>
      <c r="F35" s="88"/>
      <c r="G35" s="88"/>
      <c r="H35" s="88"/>
      <c r="I35" s="88"/>
      <c r="J35" s="88"/>
      <c r="K35" s="88"/>
      <c r="L35" s="88"/>
      <c r="M35" s="88"/>
    </row>
    <row r="36" spans="1:14" s="1" customFormat="1" ht="19.95" customHeight="1">
      <c r="A36" s="88"/>
      <c r="B36" s="87" t="s">
        <v>164</v>
      </c>
      <c r="C36" s="88">
        <v>14</v>
      </c>
      <c r="D36" s="1" t="s">
        <v>102</v>
      </c>
      <c r="E36" s="89">
        <f>'[4]CANTIDAD DE OBRA'!N33</f>
        <v>0</v>
      </c>
      <c r="F36" s="89">
        <v>0</v>
      </c>
      <c r="G36" s="112" t="e">
        <f>F36/E36</f>
        <v>#DIV/0!</v>
      </c>
      <c r="H36" s="89">
        <v>0</v>
      </c>
      <c r="I36" s="112" t="e">
        <f>H36/E36</f>
        <v>#DIV/0!</v>
      </c>
      <c r="J36" s="89" t="e">
        <f>G36</f>
        <v>#DIV/0!</v>
      </c>
      <c r="K36" s="112" t="e">
        <f>J36/E36</f>
        <v>#DIV/0!</v>
      </c>
      <c r="L36" s="89">
        <f>F36+H36</f>
        <v>0</v>
      </c>
      <c r="M36" s="113" t="e">
        <f>L36/E36</f>
        <v>#DIV/0!</v>
      </c>
    </row>
    <row r="37" spans="1:14" s="1" customFormat="1" ht="19.95" customHeight="1">
      <c r="A37" s="88"/>
      <c r="B37" s="87"/>
      <c r="C37" s="88"/>
      <c r="D37" s="1" t="s">
        <v>103</v>
      </c>
      <c r="E37" s="89">
        <f>'[4]CANTIDAD DE OBRA'!Q34</f>
        <v>0</v>
      </c>
      <c r="F37" s="89">
        <v>0</v>
      </c>
      <c r="G37" s="112" t="e">
        <f t="shared" ref="G37:G42" si="6">F37/E37</f>
        <v>#DIV/0!</v>
      </c>
      <c r="H37" s="89">
        <v>0</v>
      </c>
      <c r="I37" s="112" t="e">
        <f t="shared" ref="I37:I42" si="7">H37/E37</f>
        <v>#DIV/0!</v>
      </c>
      <c r="J37" s="89" t="e">
        <f t="shared" ref="J37:J42" si="8">G37</f>
        <v>#DIV/0!</v>
      </c>
      <c r="K37" s="112" t="e">
        <f t="shared" ref="K37:K42" si="9">J37/E37</f>
        <v>#DIV/0!</v>
      </c>
      <c r="L37" s="89">
        <f t="shared" ref="L37:L42" si="10">F37+H37</f>
        <v>0</v>
      </c>
      <c r="M37" s="113" t="e">
        <f t="shared" ref="M37:M42" si="11">L37/E37</f>
        <v>#DIV/0!</v>
      </c>
    </row>
    <row r="38" spans="1:14" s="1" customFormat="1" ht="19.95" customHeight="1">
      <c r="A38" s="88"/>
      <c r="B38" s="87"/>
      <c r="C38" s="88">
        <v>15</v>
      </c>
      <c r="D38" s="1" t="s">
        <v>102</v>
      </c>
      <c r="E38" s="89">
        <f>'[4]CANTIDAD DE OBRA'!N35</f>
        <v>0</v>
      </c>
      <c r="F38" s="89">
        <v>0</v>
      </c>
      <c r="G38" s="112" t="e">
        <f t="shared" si="6"/>
        <v>#DIV/0!</v>
      </c>
      <c r="H38" s="89">
        <v>0</v>
      </c>
      <c r="I38" s="112" t="e">
        <f t="shared" si="7"/>
        <v>#DIV/0!</v>
      </c>
      <c r="J38" s="89" t="e">
        <f t="shared" si="8"/>
        <v>#DIV/0!</v>
      </c>
      <c r="K38" s="112" t="e">
        <f t="shared" si="9"/>
        <v>#DIV/0!</v>
      </c>
      <c r="L38" s="89">
        <f t="shared" si="10"/>
        <v>0</v>
      </c>
      <c r="M38" s="113" t="e">
        <f t="shared" si="11"/>
        <v>#DIV/0!</v>
      </c>
    </row>
    <row r="39" spans="1:14" s="1" customFormat="1" ht="19.95" customHeight="1">
      <c r="A39" s="88"/>
      <c r="B39" s="87"/>
      <c r="C39" s="88">
        <v>16</v>
      </c>
      <c r="D39" s="1" t="s">
        <v>108</v>
      </c>
      <c r="E39" s="89">
        <f>'[4]CANTIDAD DE OBRA'!O36</f>
        <v>0</v>
      </c>
      <c r="F39" s="89">
        <v>0</v>
      </c>
      <c r="G39" s="112" t="e">
        <f t="shared" si="6"/>
        <v>#DIV/0!</v>
      </c>
      <c r="H39" s="89">
        <v>0</v>
      </c>
      <c r="I39" s="112" t="e">
        <f t="shared" si="7"/>
        <v>#DIV/0!</v>
      </c>
      <c r="J39" s="89" t="e">
        <f t="shared" si="8"/>
        <v>#DIV/0!</v>
      </c>
      <c r="K39" s="112" t="e">
        <f t="shared" si="9"/>
        <v>#DIV/0!</v>
      </c>
      <c r="L39" s="89">
        <f t="shared" si="10"/>
        <v>0</v>
      </c>
      <c r="M39" s="113" t="e">
        <f t="shared" si="11"/>
        <v>#DIV/0!</v>
      </c>
    </row>
    <row r="40" spans="1:14" s="1" customFormat="1" ht="19.95" customHeight="1">
      <c r="A40" s="88"/>
      <c r="B40" s="87"/>
      <c r="C40" s="88">
        <v>17</v>
      </c>
      <c r="D40" s="1" t="s">
        <v>102</v>
      </c>
      <c r="E40" s="89">
        <f>'[4]CANTIDAD DE OBRA'!N37</f>
        <v>0</v>
      </c>
      <c r="F40" s="89">
        <v>0</v>
      </c>
      <c r="G40" s="112" t="e">
        <f t="shared" si="6"/>
        <v>#DIV/0!</v>
      </c>
      <c r="H40" s="89">
        <v>0</v>
      </c>
      <c r="I40" s="112" t="e">
        <f t="shared" si="7"/>
        <v>#DIV/0!</v>
      </c>
      <c r="J40" s="89" t="e">
        <f t="shared" si="8"/>
        <v>#DIV/0!</v>
      </c>
      <c r="K40" s="112" t="e">
        <f t="shared" si="9"/>
        <v>#DIV/0!</v>
      </c>
      <c r="L40" s="89">
        <f t="shared" si="10"/>
        <v>0</v>
      </c>
      <c r="M40" s="113" t="e">
        <f t="shared" si="11"/>
        <v>#DIV/0!</v>
      </c>
    </row>
    <row r="41" spans="1:14" s="1" customFormat="1" ht="19.95" customHeight="1">
      <c r="A41" s="88"/>
      <c r="B41" s="87"/>
      <c r="C41" s="88">
        <v>18</v>
      </c>
      <c r="D41" s="1" t="s">
        <v>102</v>
      </c>
      <c r="E41" s="89">
        <f>'[4]CANTIDAD DE OBRA'!N38</f>
        <v>0</v>
      </c>
      <c r="F41" s="89">
        <v>0</v>
      </c>
      <c r="G41" s="112" t="e">
        <f t="shared" si="6"/>
        <v>#DIV/0!</v>
      </c>
      <c r="H41" s="89">
        <v>0</v>
      </c>
      <c r="I41" s="112" t="e">
        <f t="shared" si="7"/>
        <v>#DIV/0!</v>
      </c>
      <c r="J41" s="89" t="e">
        <f t="shared" si="8"/>
        <v>#DIV/0!</v>
      </c>
      <c r="K41" s="112" t="e">
        <f t="shared" si="9"/>
        <v>#DIV/0!</v>
      </c>
      <c r="L41" s="89">
        <f t="shared" si="10"/>
        <v>0</v>
      </c>
      <c r="M41" s="113" t="e">
        <f t="shared" si="11"/>
        <v>#DIV/0!</v>
      </c>
    </row>
    <row r="42" spans="1:14" s="1" customFormat="1" ht="19.95" customHeight="1">
      <c r="A42" s="88"/>
      <c r="B42" s="87"/>
      <c r="C42" s="88"/>
      <c r="D42" s="1" t="s">
        <v>103</v>
      </c>
      <c r="E42" s="89">
        <f>'[4]CANTIDAD DE OBRA'!Q39</f>
        <v>0</v>
      </c>
      <c r="F42" s="89">
        <v>0</v>
      </c>
      <c r="G42" s="112" t="e">
        <f t="shared" si="6"/>
        <v>#DIV/0!</v>
      </c>
      <c r="H42" s="89">
        <v>0</v>
      </c>
      <c r="I42" s="112" t="e">
        <f t="shared" si="7"/>
        <v>#DIV/0!</v>
      </c>
      <c r="J42" s="89" t="e">
        <f t="shared" si="8"/>
        <v>#DIV/0!</v>
      </c>
      <c r="K42" s="112" t="e">
        <f t="shared" si="9"/>
        <v>#DIV/0!</v>
      </c>
      <c r="L42" s="89">
        <f t="shared" si="10"/>
        <v>0</v>
      </c>
      <c r="M42" s="113" t="e">
        <f t="shared" si="11"/>
        <v>#DIV/0!</v>
      </c>
    </row>
    <row r="43" spans="1:14" s="1" customFormat="1" ht="19.95" customHeight="1">
      <c r="A43" s="88"/>
      <c r="B43" s="87"/>
      <c r="C43" s="88"/>
      <c r="E43" s="89"/>
      <c r="F43" s="88"/>
      <c r="G43" s="112"/>
      <c r="H43" s="89"/>
      <c r="I43" s="112"/>
      <c r="J43" s="89"/>
      <c r="K43" s="112"/>
      <c r="L43" s="89"/>
      <c r="M43" s="113"/>
    </row>
    <row r="44" spans="1:14" s="1" customFormat="1" ht="19.95" customHeight="1">
      <c r="A44" s="88"/>
      <c r="B44" s="88"/>
      <c r="C44" s="88"/>
      <c r="E44" s="88"/>
      <c r="F44" s="88"/>
      <c r="G44" s="88"/>
      <c r="H44" s="88"/>
      <c r="I44" s="88"/>
      <c r="J44" s="88"/>
      <c r="K44" s="88"/>
      <c r="L44" s="88"/>
      <c r="M44" s="88"/>
    </row>
    <row r="45" spans="1:14" s="1" customFormat="1" ht="19.95" customHeight="1">
      <c r="A45" s="88"/>
      <c r="B45" s="88"/>
      <c r="C45" s="88"/>
      <c r="D45" s="114"/>
      <c r="E45" s="115">
        <f>SUM(E36:E44)</f>
        <v>0</v>
      </c>
      <c r="F45" s="116">
        <f>SUM(F36:F44)</f>
        <v>0</v>
      </c>
      <c r="G45" s="117" t="e">
        <f>F45/E45</f>
        <v>#DIV/0!</v>
      </c>
      <c r="H45" s="116">
        <f>SUM(H36:H44)</f>
        <v>0</v>
      </c>
      <c r="I45" s="117" t="e">
        <f>H45/E45</f>
        <v>#DIV/0!</v>
      </c>
      <c r="J45" s="116" t="e">
        <f>SUM(J11:J44)</f>
        <v>#DIV/0!</v>
      </c>
      <c r="K45" s="117" t="e">
        <f>J45/E45</f>
        <v>#DIV/0!</v>
      </c>
      <c r="L45" s="118">
        <f>SUM(L36:L44)</f>
        <v>0</v>
      </c>
      <c r="M45" s="119" t="e">
        <f>L45/E45</f>
        <v>#DIV/0!</v>
      </c>
    </row>
    <row r="46" spans="1:14" s="1" customFormat="1" ht="19.95" customHeight="1">
      <c r="A46" s="88"/>
      <c r="B46" s="88"/>
      <c r="C46" s="88"/>
      <c r="E46" s="88"/>
      <c r="F46" s="88"/>
      <c r="G46" s="88"/>
      <c r="H46" s="88"/>
      <c r="I46" s="88"/>
      <c r="J46" s="88"/>
      <c r="K46" s="88"/>
      <c r="L46" s="88"/>
      <c r="M46" s="88"/>
    </row>
    <row r="47" spans="1:14" s="1" customFormat="1" ht="19.95" customHeight="1">
      <c r="A47" s="88"/>
      <c r="B47" s="87" t="s">
        <v>116</v>
      </c>
      <c r="C47" s="88">
        <v>19</v>
      </c>
      <c r="D47" s="1" t="s">
        <v>102</v>
      </c>
      <c r="E47" s="89">
        <f>'[4]CANTIDAD DE OBRA'!N40</f>
        <v>0</v>
      </c>
      <c r="F47" s="89">
        <v>0</v>
      </c>
      <c r="G47" s="112" t="e">
        <f>F47/E47</f>
        <v>#DIV/0!</v>
      </c>
      <c r="H47" s="89">
        <v>0</v>
      </c>
      <c r="I47" s="112" t="e">
        <f>H47/E47</f>
        <v>#DIV/0!</v>
      </c>
      <c r="J47" s="89">
        <v>0</v>
      </c>
      <c r="K47" s="112" t="e">
        <f>J47/E47</f>
        <v>#DIV/0!</v>
      </c>
      <c r="L47" s="89">
        <f>F47+H47</f>
        <v>0</v>
      </c>
      <c r="M47" s="113" t="e">
        <f>L47/E47</f>
        <v>#DIV/0!</v>
      </c>
    </row>
    <row r="48" spans="1:14" s="1" customFormat="1" ht="19.95" customHeight="1">
      <c r="A48" s="88"/>
      <c r="B48" s="87"/>
      <c r="C48" s="88"/>
      <c r="D48" s="1" t="s">
        <v>103</v>
      </c>
      <c r="E48" s="89">
        <f>'[4]CANTIDAD DE OBRA'!Q41</f>
        <v>0</v>
      </c>
      <c r="F48" s="89">
        <v>0</v>
      </c>
      <c r="G48" s="112" t="e">
        <f t="shared" ref="G48:G76" si="12">F48/E48</f>
        <v>#DIV/0!</v>
      </c>
      <c r="H48" s="89">
        <v>0</v>
      </c>
      <c r="I48" s="112" t="e">
        <f t="shared" ref="I48:I76" si="13">H48/E48</f>
        <v>#DIV/0!</v>
      </c>
      <c r="J48" s="89">
        <v>0</v>
      </c>
      <c r="K48" s="112" t="e">
        <f t="shared" ref="K48:K76" si="14">J48/E48</f>
        <v>#DIV/0!</v>
      </c>
      <c r="L48" s="89">
        <f>F48+H48+J48</f>
        <v>0</v>
      </c>
      <c r="M48" s="113" t="e">
        <f t="shared" ref="M48:M76" si="15">L48/E48</f>
        <v>#DIV/0!</v>
      </c>
    </row>
    <row r="49" spans="1:13" s="1" customFormat="1" ht="19.95" customHeight="1">
      <c r="A49" s="88"/>
      <c r="B49" s="87"/>
      <c r="C49" s="88">
        <v>20</v>
      </c>
      <c r="D49" s="1" t="s">
        <v>102</v>
      </c>
      <c r="E49" s="89">
        <f>'[4]CANTIDAD DE OBRA'!N42</f>
        <v>0</v>
      </c>
      <c r="F49" s="89">
        <v>0</v>
      </c>
      <c r="G49" s="112" t="e">
        <f t="shared" si="12"/>
        <v>#DIV/0!</v>
      </c>
      <c r="H49" s="89">
        <v>0</v>
      </c>
      <c r="I49" s="112" t="e">
        <f t="shared" si="13"/>
        <v>#DIV/0!</v>
      </c>
      <c r="J49" s="89">
        <v>0</v>
      </c>
      <c r="K49" s="112" t="e">
        <f t="shared" si="14"/>
        <v>#DIV/0!</v>
      </c>
      <c r="L49" s="89">
        <f>F49+H49+J49</f>
        <v>0</v>
      </c>
      <c r="M49" s="113" t="e">
        <f t="shared" si="15"/>
        <v>#DIV/0!</v>
      </c>
    </row>
    <row r="50" spans="1:13" s="1" customFormat="1" ht="19.95" customHeight="1">
      <c r="A50" s="88"/>
      <c r="B50" s="87"/>
      <c r="C50" s="88"/>
      <c r="D50" s="1" t="s">
        <v>103</v>
      </c>
      <c r="E50" s="89">
        <f>'[4]CANTIDAD DE OBRA'!Q43</f>
        <v>0</v>
      </c>
      <c r="F50" s="89">
        <v>0</v>
      </c>
      <c r="G50" s="112" t="e">
        <f t="shared" si="12"/>
        <v>#DIV/0!</v>
      </c>
      <c r="H50" s="89">
        <v>0</v>
      </c>
      <c r="I50" s="112" t="e">
        <f t="shared" si="13"/>
        <v>#DIV/0!</v>
      </c>
      <c r="J50" s="89">
        <v>0</v>
      </c>
      <c r="K50" s="112" t="e">
        <f t="shared" si="14"/>
        <v>#DIV/0!</v>
      </c>
      <c r="L50" s="89">
        <f t="shared" ref="L50:L76" si="16">F50+H50+J50</f>
        <v>0</v>
      </c>
      <c r="M50" s="113" t="e">
        <f t="shared" si="15"/>
        <v>#DIV/0!</v>
      </c>
    </row>
    <row r="51" spans="1:13" s="1" customFormat="1" ht="19.95" customHeight="1">
      <c r="A51" s="88"/>
      <c r="B51" s="88"/>
      <c r="C51" s="88">
        <v>21</v>
      </c>
      <c r="D51" s="1" t="s">
        <v>104</v>
      </c>
      <c r="E51" s="89">
        <f>'[4]CANTIDAD DE OBRA'!N44</f>
        <v>0</v>
      </c>
      <c r="F51" s="89">
        <v>0</v>
      </c>
      <c r="G51" s="112" t="e">
        <f t="shared" si="12"/>
        <v>#DIV/0!</v>
      </c>
      <c r="H51" s="89">
        <v>0</v>
      </c>
      <c r="I51" s="112" t="e">
        <f t="shared" si="13"/>
        <v>#DIV/0!</v>
      </c>
      <c r="J51" s="89">
        <v>0</v>
      </c>
      <c r="K51" s="112" t="e">
        <f t="shared" si="14"/>
        <v>#DIV/0!</v>
      </c>
      <c r="L51" s="89">
        <f t="shared" si="16"/>
        <v>0</v>
      </c>
      <c r="M51" s="113" t="e">
        <f t="shared" si="15"/>
        <v>#DIV/0!</v>
      </c>
    </row>
    <row r="52" spans="1:13" s="1" customFormat="1" ht="19.95" customHeight="1">
      <c r="A52" s="88"/>
      <c r="B52" s="88"/>
      <c r="C52" s="88"/>
      <c r="D52" s="1" t="s">
        <v>105</v>
      </c>
      <c r="E52" s="89">
        <f>'[4]CANTIDAD DE OBRA'!Q45</f>
        <v>0</v>
      </c>
      <c r="F52" s="89">
        <v>0</v>
      </c>
      <c r="G52" s="112" t="e">
        <f t="shared" si="12"/>
        <v>#DIV/0!</v>
      </c>
      <c r="H52" s="89">
        <v>0</v>
      </c>
      <c r="I52" s="112" t="e">
        <f t="shared" si="13"/>
        <v>#DIV/0!</v>
      </c>
      <c r="J52" s="89">
        <v>0</v>
      </c>
      <c r="K52" s="112" t="e">
        <f t="shared" si="14"/>
        <v>#DIV/0!</v>
      </c>
      <c r="L52" s="89">
        <f t="shared" si="16"/>
        <v>0</v>
      </c>
      <c r="M52" s="113" t="e">
        <f t="shared" si="15"/>
        <v>#DIV/0!</v>
      </c>
    </row>
    <row r="53" spans="1:13" s="1" customFormat="1" ht="19.95" customHeight="1">
      <c r="A53" s="88"/>
      <c r="B53" s="88"/>
      <c r="C53" s="88"/>
      <c r="D53" s="1" t="s">
        <v>106</v>
      </c>
      <c r="E53" s="89">
        <f>'[4]CANTIDAD DE OBRA'!P46</f>
        <v>0</v>
      </c>
      <c r="F53" s="89">
        <v>0</v>
      </c>
      <c r="G53" s="112" t="e">
        <f t="shared" si="12"/>
        <v>#DIV/0!</v>
      </c>
      <c r="H53" s="89">
        <v>0</v>
      </c>
      <c r="I53" s="112" t="e">
        <f t="shared" si="13"/>
        <v>#DIV/0!</v>
      </c>
      <c r="J53" s="89">
        <v>0</v>
      </c>
      <c r="K53" s="112" t="e">
        <f t="shared" si="14"/>
        <v>#DIV/0!</v>
      </c>
      <c r="L53" s="89">
        <f t="shared" si="16"/>
        <v>0</v>
      </c>
      <c r="M53" s="113" t="e">
        <f t="shared" si="15"/>
        <v>#DIV/0!</v>
      </c>
    </row>
    <row r="54" spans="1:13" s="1" customFormat="1" ht="19.95" customHeight="1">
      <c r="A54" s="88"/>
      <c r="B54" s="88"/>
      <c r="C54" s="88"/>
      <c r="D54" s="1" t="s">
        <v>107</v>
      </c>
      <c r="E54" s="89">
        <f>'[4]CANTIDAD DE OBRA'!R47</f>
        <v>0</v>
      </c>
      <c r="F54" s="89">
        <v>0</v>
      </c>
      <c r="G54" s="112" t="e">
        <f t="shared" si="12"/>
        <v>#DIV/0!</v>
      </c>
      <c r="H54" s="89">
        <v>0</v>
      </c>
      <c r="I54" s="112" t="e">
        <f t="shared" si="13"/>
        <v>#DIV/0!</v>
      </c>
      <c r="J54" s="89">
        <v>0</v>
      </c>
      <c r="K54" s="112" t="e">
        <f t="shared" si="14"/>
        <v>#DIV/0!</v>
      </c>
      <c r="L54" s="89">
        <f t="shared" si="16"/>
        <v>0</v>
      </c>
      <c r="M54" s="113" t="e">
        <f t="shared" si="15"/>
        <v>#DIV/0!</v>
      </c>
    </row>
    <row r="55" spans="1:13" s="1" customFormat="1" ht="19.95" customHeight="1">
      <c r="A55" s="88"/>
      <c r="B55" s="88"/>
      <c r="C55" s="88">
        <v>22</v>
      </c>
      <c r="D55" s="1" t="s">
        <v>108</v>
      </c>
      <c r="E55" s="89">
        <f>'[4]CANTIDAD DE OBRA'!O48</f>
        <v>0</v>
      </c>
      <c r="F55" s="89">
        <v>0</v>
      </c>
      <c r="G55" s="112" t="e">
        <f t="shared" si="12"/>
        <v>#DIV/0!</v>
      </c>
      <c r="H55" s="89">
        <v>0</v>
      </c>
      <c r="I55" s="112" t="e">
        <f t="shared" si="13"/>
        <v>#DIV/0!</v>
      </c>
      <c r="J55" s="89">
        <v>0</v>
      </c>
      <c r="K55" s="112" t="e">
        <f t="shared" si="14"/>
        <v>#DIV/0!</v>
      </c>
      <c r="L55" s="89">
        <f t="shared" si="16"/>
        <v>0</v>
      </c>
      <c r="M55" s="113" t="e">
        <f t="shared" si="15"/>
        <v>#DIV/0!</v>
      </c>
    </row>
    <row r="56" spans="1:13" s="1" customFormat="1" ht="19.95" customHeight="1">
      <c r="A56" s="88"/>
      <c r="B56" s="88"/>
      <c r="C56" s="88">
        <v>23</v>
      </c>
      <c r="D56" s="1" t="s">
        <v>117</v>
      </c>
      <c r="E56" s="89">
        <f>'[4]CANTIDAD DE OBRA'!N49</f>
        <v>0</v>
      </c>
      <c r="F56" s="89">
        <v>0</v>
      </c>
      <c r="G56" s="112" t="e">
        <f t="shared" si="12"/>
        <v>#DIV/0!</v>
      </c>
      <c r="H56" s="89">
        <v>0</v>
      </c>
      <c r="I56" s="112" t="e">
        <f t="shared" si="13"/>
        <v>#DIV/0!</v>
      </c>
      <c r="J56" s="89">
        <v>0</v>
      </c>
      <c r="K56" s="112" t="e">
        <f t="shared" si="14"/>
        <v>#DIV/0!</v>
      </c>
      <c r="L56" s="89">
        <f t="shared" si="16"/>
        <v>0</v>
      </c>
      <c r="M56" s="113" t="e">
        <f t="shared" si="15"/>
        <v>#DIV/0!</v>
      </c>
    </row>
    <row r="57" spans="1:13" s="1" customFormat="1" ht="19.95" customHeight="1">
      <c r="A57" s="88"/>
      <c r="B57" s="88"/>
      <c r="C57" s="88"/>
      <c r="D57" s="1" t="s">
        <v>118</v>
      </c>
      <c r="E57" s="89">
        <f>'[4]CANTIDAD DE OBRA'!O50</f>
        <v>0</v>
      </c>
      <c r="F57" s="89">
        <v>0</v>
      </c>
      <c r="G57" s="112" t="e">
        <f t="shared" si="12"/>
        <v>#DIV/0!</v>
      </c>
      <c r="H57" s="89">
        <v>0</v>
      </c>
      <c r="I57" s="112" t="e">
        <f t="shared" si="13"/>
        <v>#DIV/0!</v>
      </c>
      <c r="J57" s="89">
        <v>0</v>
      </c>
      <c r="K57" s="112" t="e">
        <f t="shared" si="14"/>
        <v>#DIV/0!</v>
      </c>
      <c r="L57" s="89">
        <f t="shared" si="16"/>
        <v>0</v>
      </c>
      <c r="M57" s="113" t="e">
        <f t="shared" si="15"/>
        <v>#DIV/0!</v>
      </c>
    </row>
    <row r="58" spans="1:13" s="1" customFormat="1" ht="19.95" customHeight="1">
      <c r="A58" s="88"/>
      <c r="B58" s="88"/>
      <c r="C58" s="88"/>
      <c r="D58" s="1" t="s">
        <v>119</v>
      </c>
      <c r="E58" s="89">
        <f>'[4]CANTIDAD DE OBRA'!P51</f>
        <v>0</v>
      </c>
      <c r="F58" s="89">
        <v>0</v>
      </c>
      <c r="G58" s="112" t="e">
        <f t="shared" si="12"/>
        <v>#DIV/0!</v>
      </c>
      <c r="H58" s="89">
        <v>0</v>
      </c>
      <c r="I58" s="112" t="e">
        <f t="shared" si="13"/>
        <v>#DIV/0!</v>
      </c>
      <c r="J58" s="89">
        <v>0</v>
      </c>
      <c r="K58" s="112" t="e">
        <f t="shared" si="14"/>
        <v>#DIV/0!</v>
      </c>
      <c r="L58" s="89">
        <f t="shared" si="16"/>
        <v>0</v>
      </c>
      <c r="M58" s="113" t="e">
        <f t="shared" si="15"/>
        <v>#DIV/0!</v>
      </c>
    </row>
    <row r="59" spans="1:13" s="1" customFormat="1" ht="19.95" customHeight="1">
      <c r="A59" s="88"/>
      <c r="B59" s="88"/>
      <c r="C59" s="88"/>
      <c r="D59" s="1" t="s">
        <v>120</v>
      </c>
      <c r="E59" s="89">
        <f>'[4]CANTIDAD DE OBRA'!R52</f>
        <v>0</v>
      </c>
      <c r="F59" s="89">
        <v>0</v>
      </c>
      <c r="G59" s="112" t="e">
        <f t="shared" si="12"/>
        <v>#DIV/0!</v>
      </c>
      <c r="H59" s="89">
        <v>0</v>
      </c>
      <c r="I59" s="112" t="e">
        <f t="shared" si="13"/>
        <v>#DIV/0!</v>
      </c>
      <c r="J59" s="89">
        <v>0</v>
      </c>
      <c r="K59" s="112" t="e">
        <f t="shared" si="14"/>
        <v>#DIV/0!</v>
      </c>
      <c r="L59" s="89">
        <f t="shared" si="16"/>
        <v>0</v>
      </c>
      <c r="M59" s="113" t="e">
        <f t="shared" si="15"/>
        <v>#DIV/0!</v>
      </c>
    </row>
    <row r="60" spans="1:13" s="1" customFormat="1" ht="19.95" customHeight="1">
      <c r="A60" s="88"/>
      <c r="B60" s="88"/>
      <c r="C60" s="88">
        <v>24</v>
      </c>
      <c r="D60" s="1" t="s">
        <v>114</v>
      </c>
      <c r="E60" s="89">
        <f>'[4]CANTIDAD DE OBRA'!P56</f>
        <v>0</v>
      </c>
      <c r="F60" s="89">
        <v>0</v>
      </c>
      <c r="G60" s="112" t="e">
        <f t="shared" si="12"/>
        <v>#DIV/0!</v>
      </c>
      <c r="H60" s="89">
        <v>0</v>
      </c>
      <c r="I60" s="112" t="e">
        <f t="shared" si="13"/>
        <v>#DIV/0!</v>
      </c>
      <c r="J60" s="89">
        <v>0</v>
      </c>
      <c r="K60" s="112" t="e">
        <f t="shared" si="14"/>
        <v>#DIV/0!</v>
      </c>
      <c r="L60" s="89">
        <f t="shared" si="16"/>
        <v>0</v>
      </c>
      <c r="M60" s="113" t="e">
        <f t="shared" si="15"/>
        <v>#DIV/0!</v>
      </c>
    </row>
    <row r="61" spans="1:13" s="1" customFormat="1" ht="19.95" customHeight="1">
      <c r="A61" s="88"/>
      <c r="B61" s="88"/>
      <c r="C61" s="88">
        <v>25</v>
      </c>
      <c r="D61" s="1" t="s">
        <v>121</v>
      </c>
      <c r="E61" s="89">
        <f>'[4]CANTIDAD DE OBRA'!P54</f>
        <v>0</v>
      </c>
      <c r="F61" s="89">
        <v>0</v>
      </c>
      <c r="G61" s="112" t="e">
        <f t="shared" si="12"/>
        <v>#DIV/0!</v>
      </c>
      <c r="H61" s="89">
        <v>0</v>
      </c>
      <c r="I61" s="112" t="e">
        <f t="shared" si="13"/>
        <v>#DIV/0!</v>
      </c>
      <c r="J61" s="89">
        <v>0</v>
      </c>
      <c r="K61" s="112" t="e">
        <f t="shared" si="14"/>
        <v>#DIV/0!</v>
      </c>
      <c r="L61" s="89">
        <f t="shared" si="16"/>
        <v>0</v>
      </c>
      <c r="M61" s="113" t="e">
        <f t="shared" si="15"/>
        <v>#DIV/0!</v>
      </c>
    </row>
    <row r="62" spans="1:13" s="1" customFormat="1" ht="19.95" customHeight="1">
      <c r="A62" s="88"/>
      <c r="B62" s="88"/>
      <c r="C62" s="88">
        <v>26</v>
      </c>
      <c r="D62" s="1" t="s">
        <v>122</v>
      </c>
      <c r="E62" s="89">
        <f>'[4]CANTIDAD DE OBRA'!N55</f>
        <v>0</v>
      </c>
      <c r="F62" s="89">
        <v>0</v>
      </c>
      <c r="G62" s="112" t="e">
        <f t="shared" si="12"/>
        <v>#DIV/0!</v>
      </c>
      <c r="H62" s="89">
        <v>0</v>
      </c>
      <c r="I62" s="112" t="e">
        <f t="shared" si="13"/>
        <v>#DIV/0!</v>
      </c>
      <c r="J62" s="89">
        <v>0</v>
      </c>
      <c r="K62" s="112" t="e">
        <f t="shared" si="14"/>
        <v>#DIV/0!</v>
      </c>
      <c r="L62" s="89">
        <f t="shared" si="16"/>
        <v>0</v>
      </c>
      <c r="M62" s="113" t="e">
        <f t="shared" si="15"/>
        <v>#DIV/0!</v>
      </c>
    </row>
    <row r="63" spans="1:13" s="1" customFormat="1" ht="19.95" customHeight="1">
      <c r="A63" s="88"/>
      <c r="B63" s="88"/>
      <c r="C63" s="88">
        <v>27</v>
      </c>
      <c r="D63" s="1" t="s">
        <v>114</v>
      </c>
      <c r="E63" s="89">
        <f>'[4]CANTIDAD DE OBRA'!P56</f>
        <v>0</v>
      </c>
      <c r="F63" s="89">
        <v>0</v>
      </c>
      <c r="G63" s="112" t="e">
        <f t="shared" si="12"/>
        <v>#DIV/0!</v>
      </c>
      <c r="H63" s="89">
        <v>0</v>
      </c>
      <c r="I63" s="112" t="e">
        <f t="shared" si="13"/>
        <v>#DIV/0!</v>
      </c>
      <c r="J63" s="89">
        <v>0</v>
      </c>
      <c r="K63" s="112" t="e">
        <f t="shared" si="14"/>
        <v>#DIV/0!</v>
      </c>
      <c r="L63" s="89">
        <f t="shared" si="16"/>
        <v>0</v>
      </c>
      <c r="M63" s="113" t="e">
        <f t="shared" si="15"/>
        <v>#DIV/0!</v>
      </c>
    </row>
    <row r="64" spans="1:13" s="1" customFormat="1" ht="19.95" customHeight="1">
      <c r="A64" s="88"/>
      <c r="B64" s="88"/>
      <c r="C64" s="88">
        <v>28</v>
      </c>
      <c r="D64" s="1" t="s">
        <v>121</v>
      </c>
      <c r="E64" s="89">
        <f>'[4]CANTIDAD DE OBRA'!P57</f>
        <v>0</v>
      </c>
      <c r="F64" s="89">
        <v>0</v>
      </c>
      <c r="G64" s="112" t="e">
        <f t="shared" si="12"/>
        <v>#DIV/0!</v>
      </c>
      <c r="H64" s="89">
        <v>0</v>
      </c>
      <c r="I64" s="112" t="e">
        <f t="shared" si="13"/>
        <v>#DIV/0!</v>
      </c>
      <c r="J64" s="89">
        <v>0</v>
      </c>
      <c r="K64" s="112" t="e">
        <f t="shared" si="14"/>
        <v>#DIV/0!</v>
      </c>
      <c r="L64" s="89">
        <f t="shared" si="16"/>
        <v>0</v>
      </c>
      <c r="M64" s="113" t="e">
        <f t="shared" si="15"/>
        <v>#DIV/0!</v>
      </c>
    </row>
    <row r="65" spans="1:13" s="1" customFormat="1" ht="19.95" customHeight="1">
      <c r="A65" s="88"/>
      <c r="B65" s="88"/>
      <c r="C65" s="88">
        <v>29</v>
      </c>
      <c r="D65" s="1" t="s">
        <v>114</v>
      </c>
      <c r="E65" s="89">
        <f>'[4]CANTIDAD DE OBRA'!Q58</f>
        <v>0</v>
      </c>
      <c r="F65" s="89">
        <v>0</v>
      </c>
      <c r="G65" s="112" t="e">
        <f t="shared" si="12"/>
        <v>#DIV/0!</v>
      </c>
      <c r="H65" s="89">
        <v>0</v>
      </c>
      <c r="I65" s="112" t="e">
        <f t="shared" si="13"/>
        <v>#DIV/0!</v>
      </c>
      <c r="J65" s="89">
        <v>0</v>
      </c>
      <c r="K65" s="112" t="e">
        <f t="shared" si="14"/>
        <v>#DIV/0!</v>
      </c>
      <c r="L65" s="89">
        <f t="shared" si="16"/>
        <v>0</v>
      </c>
      <c r="M65" s="113" t="e">
        <f t="shared" si="15"/>
        <v>#DIV/0!</v>
      </c>
    </row>
    <row r="66" spans="1:13" s="1" customFormat="1" ht="19.95" customHeight="1">
      <c r="A66" s="88"/>
      <c r="B66" s="88"/>
      <c r="C66" s="88">
        <v>30</v>
      </c>
      <c r="D66" s="1" t="s">
        <v>117</v>
      </c>
      <c r="E66" s="89">
        <f>'[4]CANTIDAD DE OBRA'!N59</f>
        <v>0</v>
      </c>
      <c r="F66" s="89">
        <v>0</v>
      </c>
      <c r="G66" s="112" t="e">
        <f t="shared" si="12"/>
        <v>#DIV/0!</v>
      </c>
      <c r="H66" s="89">
        <v>0</v>
      </c>
      <c r="I66" s="112" t="e">
        <f t="shared" si="13"/>
        <v>#DIV/0!</v>
      </c>
      <c r="J66" s="89">
        <v>0</v>
      </c>
      <c r="K66" s="112" t="e">
        <f t="shared" si="14"/>
        <v>#DIV/0!</v>
      </c>
      <c r="L66" s="89">
        <f t="shared" si="16"/>
        <v>0</v>
      </c>
      <c r="M66" s="113" t="e">
        <f t="shared" si="15"/>
        <v>#DIV/0!</v>
      </c>
    </row>
    <row r="67" spans="1:13" s="1" customFormat="1" ht="19.95" customHeight="1">
      <c r="A67" s="88"/>
      <c r="B67" s="88"/>
      <c r="C67" s="88"/>
      <c r="D67" s="1" t="s">
        <v>104</v>
      </c>
      <c r="E67" s="89">
        <f>'[4]CANTIDAD DE OBRA'!N61</f>
        <v>0</v>
      </c>
      <c r="F67" s="89">
        <v>0</v>
      </c>
      <c r="G67" s="112" t="e">
        <f t="shared" si="12"/>
        <v>#DIV/0!</v>
      </c>
      <c r="H67" s="89">
        <v>0</v>
      </c>
      <c r="I67" s="112" t="e">
        <f t="shared" si="13"/>
        <v>#DIV/0!</v>
      </c>
      <c r="J67" s="89">
        <v>0</v>
      </c>
      <c r="K67" s="112" t="e">
        <f t="shared" si="14"/>
        <v>#DIV/0!</v>
      </c>
      <c r="L67" s="89">
        <f t="shared" si="16"/>
        <v>0</v>
      </c>
      <c r="M67" s="113" t="e">
        <f t="shared" si="15"/>
        <v>#DIV/0!</v>
      </c>
    </row>
    <row r="68" spans="1:13" s="1" customFormat="1" ht="19.95" customHeight="1">
      <c r="A68" s="88"/>
      <c r="B68" s="88"/>
      <c r="C68" s="88"/>
      <c r="D68" s="1" t="s">
        <v>119</v>
      </c>
      <c r="E68" s="89">
        <f>'[4]CANTIDAD DE OBRA'!N61</f>
        <v>0</v>
      </c>
      <c r="F68" s="89">
        <v>0</v>
      </c>
      <c r="G68" s="112" t="e">
        <f t="shared" si="12"/>
        <v>#DIV/0!</v>
      </c>
      <c r="H68" s="89">
        <v>0</v>
      </c>
      <c r="I68" s="112" t="e">
        <f t="shared" si="13"/>
        <v>#DIV/0!</v>
      </c>
      <c r="J68" s="89">
        <v>0</v>
      </c>
      <c r="K68" s="112" t="e">
        <f t="shared" si="14"/>
        <v>#DIV/0!</v>
      </c>
      <c r="L68" s="89">
        <f t="shared" si="16"/>
        <v>0</v>
      </c>
      <c r="M68" s="113" t="e">
        <f t="shared" si="15"/>
        <v>#DIV/0!</v>
      </c>
    </row>
    <row r="69" spans="1:13" s="1" customFormat="1" ht="19.95" customHeight="1">
      <c r="A69" s="88"/>
      <c r="B69" s="88"/>
      <c r="C69" s="88"/>
      <c r="D69" s="1" t="s">
        <v>120</v>
      </c>
      <c r="E69" s="89">
        <f>'[4]CANTIDAD DE OBRA'!R62</f>
        <v>0</v>
      </c>
      <c r="F69" s="89">
        <v>0</v>
      </c>
      <c r="G69" s="112" t="e">
        <f t="shared" si="12"/>
        <v>#DIV/0!</v>
      </c>
      <c r="H69" s="89">
        <v>0</v>
      </c>
      <c r="I69" s="112" t="e">
        <f t="shared" si="13"/>
        <v>#DIV/0!</v>
      </c>
      <c r="J69" s="89">
        <v>0</v>
      </c>
      <c r="K69" s="112" t="e">
        <f t="shared" si="14"/>
        <v>#DIV/0!</v>
      </c>
      <c r="L69" s="89">
        <f t="shared" si="16"/>
        <v>0</v>
      </c>
      <c r="M69" s="113" t="e">
        <f t="shared" si="15"/>
        <v>#DIV/0!</v>
      </c>
    </row>
    <row r="70" spans="1:13" s="1" customFormat="1" ht="19.95" customHeight="1">
      <c r="A70" s="88"/>
      <c r="B70" s="88"/>
      <c r="C70" s="88">
        <v>31</v>
      </c>
      <c r="D70" s="1" t="s">
        <v>114</v>
      </c>
      <c r="E70" s="89">
        <f>'[4]CANTIDAD DE OBRA'!Q63</f>
        <v>0</v>
      </c>
      <c r="F70" s="89">
        <v>0</v>
      </c>
      <c r="G70" s="112" t="e">
        <f t="shared" si="12"/>
        <v>#DIV/0!</v>
      </c>
      <c r="H70" s="89">
        <v>0</v>
      </c>
      <c r="I70" s="112" t="e">
        <f t="shared" si="13"/>
        <v>#DIV/0!</v>
      </c>
      <c r="J70" s="89">
        <v>0</v>
      </c>
      <c r="K70" s="112" t="e">
        <f t="shared" si="14"/>
        <v>#DIV/0!</v>
      </c>
      <c r="L70" s="89">
        <f t="shared" si="16"/>
        <v>0</v>
      </c>
      <c r="M70" s="113" t="e">
        <f t="shared" si="15"/>
        <v>#DIV/0!</v>
      </c>
    </row>
    <row r="71" spans="1:13" s="1" customFormat="1" ht="19.95" customHeight="1">
      <c r="A71" s="88"/>
      <c r="B71" s="88"/>
      <c r="C71" s="88">
        <v>32</v>
      </c>
      <c r="D71" s="1" t="s">
        <v>104</v>
      </c>
      <c r="E71" s="89">
        <f>'[4]CANTIDAD DE OBRA'!N64</f>
        <v>0</v>
      </c>
      <c r="F71" s="89">
        <v>0</v>
      </c>
      <c r="G71" s="112" t="e">
        <f t="shared" si="12"/>
        <v>#DIV/0!</v>
      </c>
      <c r="H71" s="89">
        <v>0</v>
      </c>
      <c r="I71" s="112" t="e">
        <f t="shared" si="13"/>
        <v>#DIV/0!</v>
      </c>
      <c r="J71" s="89">
        <v>0</v>
      </c>
      <c r="K71" s="112" t="e">
        <f t="shared" si="14"/>
        <v>#DIV/0!</v>
      </c>
      <c r="L71" s="89">
        <f t="shared" si="16"/>
        <v>0</v>
      </c>
      <c r="M71" s="113" t="e">
        <f t="shared" si="15"/>
        <v>#DIV/0!</v>
      </c>
    </row>
    <row r="72" spans="1:13" s="1" customFormat="1" ht="19.95" customHeight="1">
      <c r="A72" s="88"/>
      <c r="B72" s="88"/>
      <c r="C72" s="88"/>
      <c r="D72" s="1" t="s">
        <v>105</v>
      </c>
      <c r="E72" s="89">
        <f>'[4]CANTIDAD DE OBRA'!Q65</f>
        <v>0</v>
      </c>
      <c r="F72" s="89">
        <v>0</v>
      </c>
      <c r="G72" s="112" t="e">
        <f t="shared" si="12"/>
        <v>#DIV/0!</v>
      </c>
      <c r="H72" s="89">
        <v>0</v>
      </c>
      <c r="I72" s="112" t="e">
        <f t="shared" si="13"/>
        <v>#DIV/0!</v>
      </c>
      <c r="J72" s="89">
        <v>0</v>
      </c>
      <c r="K72" s="112" t="e">
        <f t="shared" si="14"/>
        <v>#DIV/0!</v>
      </c>
      <c r="L72" s="89">
        <f t="shared" si="16"/>
        <v>0</v>
      </c>
      <c r="M72" s="113" t="e">
        <f t="shared" si="15"/>
        <v>#DIV/0!</v>
      </c>
    </row>
    <row r="73" spans="1:13" s="1" customFormat="1" ht="19.95" customHeight="1">
      <c r="A73" s="88"/>
      <c r="B73" s="88"/>
      <c r="C73" s="88"/>
      <c r="D73" s="1" t="s">
        <v>106</v>
      </c>
      <c r="E73" s="89">
        <f>'[4]CANTIDAD DE OBRA'!P66</f>
        <v>0</v>
      </c>
      <c r="F73" s="89">
        <v>0</v>
      </c>
      <c r="G73" s="112" t="e">
        <f t="shared" si="12"/>
        <v>#DIV/0!</v>
      </c>
      <c r="H73" s="89">
        <v>0</v>
      </c>
      <c r="I73" s="112" t="e">
        <f t="shared" si="13"/>
        <v>#DIV/0!</v>
      </c>
      <c r="J73" s="89">
        <v>0</v>
      </c>
      <c r="K73" s="112" t="e">
        <f t="shared" si="14"/>
        <v>#DIV/0!</v>
      </c>
      <c r="L73" s="89">
        <f t="shared" si="16"/>
        <v>0</v>
      </c>
      <c r="M73" s="113" t="e">
        <f t="shared" si="15"/>
        <v>#DIV/0!</v>
      </c>
    </row>
    <row r="74" spans="1:13" s="1" customFormat="1" ht="19.95" customHeight="1">
      <c r="A74" s="88"/>
      <c r="B74" s="88"/>
      <c r="C74" s="88"/>
      <c r="D74" s="1" t="s">
        <v>107</v>
      </c>
      <c r="E74" s="89">
        <f>'[4]CANTIDAD DE OBRA'!R67</f>
        <v>0</v>
      </c>
      <c r="F74" s="89">
        <v>0</v>
      </c>
      <c r="G74" s="112" t="e">
        <f t="shared" si="12"/>
        <v>#DIV/0!</v>
      </c>
      <c r="H74" s="89">
        <v>0</v>
      </c>
      <c r="I74" s="112" t="e">
        <f t="shared" si="13"/>
        <v>#DIV/0!</v>
      </c>
      <c r="J74" s="89">
        <v>0</v>
      </c>
      <c r="K74" s="112" t="e">
        <f t="shared" si="14"/>
        <v>#DIV/0!</v>
      </c>
      <c r="L74" s="89">
        <f t="shared" si="16"/>
        <v>0</v>
      </c>
      <c r="M74" s="113" t="e">
        <f t="shared" si="15"/>
        <v>#DIV/0!</v>
      </c>
    </row>
    <row r="75" spans="1:13" s="1" customFormat="1" ht="19.95" customHeight="1">
      <c r="A75" s="88"/>
      <c r="B75" s="88"/>
      <c r="C75" s="88">
        <v>33</v>
      </c>
      <c r="D75" s="1" t="s">
        <v>102</v>
      </c>
      <c r="E75" s="89">
        <f>'[4]CANTIDAD DE OBRA'!N68</f>
        <v>0</v>
      </c>
      <c r="F75" s="89">
        <v>0</v>
      </c>
      <c r="G75" s="112" t="e">
        <f t="shared" si="12"/>
        <v>#DIV/0!</v>
      </c>
      <c r="H75" s="89">
        <v>0</v>
      </c>
      <c r="I75" s="112" t="e">
        <f t="shared" si="13"/>
        <v>#DIV/0!</v>
      </c>
      <c r="J75" s="89">
        <v>0</v>
      </c>
      <c r="K75" s="112" t="e">
        <f t="shared" si="14"/>
        <v>#DIV/0!</v>
      </c>
      <c r="L75" s="89">
        <f t="shared" si="16"/>
        <v>0</v>
      </c>
      <c r="M75" s="113" t="e">
        <f t="shared" si="15"/>
        <v>#DIV/0!</v>
      </c>
    </row>
    <row r="76" spans="1:13" s="1" customFormat="1" ht="19.95" customHeight="1">
      <c r="A76" s="88"/>
      <c r="B76" s="88"/>
      <c r="C76" s="88"/>
      <c r="D76" s="1" t="s">
        <v>103</v>
      </c>
      <c r="E76" s="89">
        <f>'[4]CANTIDAD DE OBRA'!Q69</f>
        <v>0</v>
      </c>
      <c r="F76" s="89">
        <v>0</v>
      </c>
      <c r="G76" s="112" t="e">
        <f t="shared" si="12"/>
        <v>#DIV/0!</v>
      </c>
      <c r="H76" s="89">
        <v>0</v>
      </c>
      <c r="I76" s="112" t="e">
        <f t="shared" si="13"/>
        <v>#DIV/0!</v>
      </c>
      <c r="J76" s="89">
        <v>0</v>
      </c>
      <c r="K76" s="112" t="e">
        <f t="shared" si="14"/>
        <v>#DIV/0!</v>
      </c>
      <c r="L76" s="89">
        <f t="shared" si="16"/>
        <v>0</v>
      </c>
      <c r="M76" s="113" t="e">
        <f t="shared" si="15"/>
        <v>#DIV/0!</v>
      </c>
    </row>
    <row r="77" spans="1:13" s="1" customFormat="1" ht="19.95" customHeight="1">
      <c r="A77" s="88"/>
      <c r="B77" s="88"/>
      <c r="C77" s="88">
        <v>34</v>
      </c>
      <c r="D77" s="1" t="s">
        <v>102</v>
      </c>
      <c r="E77" s="89">
        <f>'[4]CANTIDAD DE OBRA'!N70</f>
        <v>0</v>
      </c>
      <c r="F77" s="89">
        <v>0</v>
      </c>
      <c r="G77" s="112" t="e">
        <f>F77/E77</f>
        <v>#DIV/0!</v>
      </c>
      <c r="H77" s="89">
        <v>0</v>
      </c>
      <c r="I77" s="112" t="e">
        <f>H77/E77</f>
        <v>#DIV/0!</v>
      </c>
      <c r="J77" s="89" t="e">
        <f>G77</f>
        <v>#DIV/0!</v>
      </c>
      <c r="K77" s="112" t="e">
        <f>J77/E77</f>
        <v>#DIV/0!</v>
      </c>
      <c r="L77" s="89">
        <f>F77+H77</f>
        <v>0</v>
      </c>
      <c r="M77" s="113" t="e">
        <f>L77/E77</f>
        <v>#DIV/0!</v>
      </c>
    </row>
    <row r="78" spans="1:13" s="1" customFormat="1" ht="19.95" customHeight="1">
      <c r="A78" s="88"/>
      <c r="B78" s="88"/>
      <c r="C78" s="88"/>
      <c r="D78" s="1" t="s">
        <v>103</v>
      </c>
      <c r="E78" s="89">
        <f>'[4]CANTIDAD DE OBRA'!Q71</f>
        <v>0</v>
      </c>
      <c r="F78" s="89">
        <v>0</v>
      </c>
      <c r="G78" s="112" t="e">
        <f>F78/E78</f>
        <v>#DIV/0!</v>
      </c>
      <c r="H78" s="89">
        <v>0</v>
      </c>
      <c r="I78" s="112" t="e">
        <f>H78/E78</f>
        <v>#DIV/0!</v>
      </c>
      <c r="J78" s="89" t="e">
        <f>G78</f>
        <v>#DIV/0!</v>
      </c>
      <c r="K78" s="112" t="e">
        <f>J78/E78</f>
        <v>#DIV/0!</v>
      </c>
      <c r="L78" s="89">
        <f>F78+H78</f>
        <v>0</v>
      </c>
      <c r="M78" s="113" t="e">
        <f>L78/E78</f>
        <v>#DIV/0!</v>
      </c>
    </row>
    <row r="79" spans="1:13" s="1" customFormat="1" ht="19.95" customHeight="1">
      <c r="A79" s="88"/>
      <c r="B79" s="88"/>
      <c r="C79" s="88"/>
      <c r="E79" s="88"/>
      <c r="F79" s="88"/>
      <c r="G79" s="88"/>
      <c r="H79" s="88"/>
      <c r="I79" s="88"/>
      <c r="J79" s="88"/>
      <c r="K79" s="88"/>
      <c r="L79" s="88"/>
      <c r="M79" s="88"/>
    </row>
    <row r="80" spans="1:13" s="1" customFormat="1" ht="19.95" customHeight="1">
      <c r="A80" s="88"/>
      <c r="B80" s="88"/>
      <c r="C80" s="88"/>
      <c r="D80" s="114"/>
      <c r="E80" s="115">
        <f>SUM(E47:E79)</f>
        <v>0</v>
      </c>
      <c r="F80" s="116">
        <f>SUM(F47:F51)</f>
        <v>0</v>
      </c>
      <c r="G80" s="117" t="e">
        <f>F80/E80</f>
        <v>#DIV/0!</v>
      </c>
      <c r="H80" s="116">
        <f>SUM(H47:H51)</f>
        <v>0</v>
      </c>
      <c r="I80" s="117" t="e">
        <f>H80/E80</f>
        <v>#DIV/0!</v>
      </c>
      <c r="J80" s="116" t="e">
        <f>SUM(J17:J51)</f>
        <v>#DIV/0!</v>
      </c>
      <c r="K80" s="117" t="e">
        <f>J80/E80</f>
        <v>#DIV/0!</v>
      </c>
      <c r="L80" s="118">
        <f>SUM(L47:L51)</f>
        <v>0</v>
      </c>
      <c r="M80" s="119" t="e">
        <f>L80/E80</f>
        <v>#DIV/0!</v>
      </c>
    </row>
    <row r="81" spans="1:13" s="1" customFormat="1" ht="19.8" customHeight="1">
      <c r="A81" s="88"/>
      <c r="B81" s="88"/>
      <c r="C81" s="88"/>
      <c r="E81" s="88"/>
      <c r="F81" s="88"/>
      <c r="G81" s="88"/>
      <c r="H81" s="88"/>
      <c r="I81" s="88"/>
      <c r="J81" s="88"/>
      <c r="K81" s="88"/>
      <c r="L81" s="88"/>
      <c r="M81" s="88"/>
    </row>
    <row r="82" spans="1:13" s="1" customFormat="1" ht="19.95" customHeight="1">
      <c r="A82" s="88"/>
      <c r="B82" s="87" t="s">
        <v>165</v>
      </c>
      <c r="C82" s="88">
        <v>35</v>
      </c>
      <c r="D82" s="1" t="s">
        <v>102</v>
      </c>
      <c r="E82" s="89">
        <f>'[4]CANTIDAD DE OBRA'!N70</f>
        <v>0</v>
      </c>
      <c r="F82" s="89">
        <v>0</v>
      </c>
      <c r="G82" s="112" t="e">
        <f t="shared" ref="G82:G88" si="17">F82/E82</f>
        <v>#DIV/0!</v>
      </c>
      <c r="H82" s="89">
        <v>0</v>
      </c>
      <c r="I82" s="112" t="e">
        <f t="shared" ref="I82:I88" si="18">H82/E82</f>
        <v>#DIV/0!</v>
      </c>
      <c r="J82" s="89" t="e">
        <f t="shared" ref="J82:J88" si="19">G82</f>
        <v>#DIV/0!</v>
      </c>
      <c r="K82" s="112" t="e">
        <f t="shared" ref="K82:K88" si="20">J82/E82</f>
        <v>#DIV/0!</v>
      </c>
      <c r="L82" s="89">
        <f t="shared" ref="L82:L88" si="21">F82+H82</f>
        <v>0</v>
      </c>
      <c r="M82" s="113" t="e">
        <f t="shared" ref="M82:M88" si="22">L82/E82</f>
        <v>#DIV/0!</v>
      </c>
    </row>
    <row r="83" spans="1:13" s="1" customFormat="1" ht="19.95" customHeight="1">
      <c r="A83" s="88"/>
      <c r="B83" s="87"/>
      <c r="C83" s="88"/>
      <c r="D83" s="1" t="s">
        <v>103</v>
      </c>
      <c r="E83" s="89">
        <f>'[4]CANTIDAD DE OBRA'!Q73</f>
        <v>0</v>
      </c>
      <c r="F83" s="89">
        <v>0</v>
      </c>
      <c r="G83" s="112" t="e">
        <f t="shared" si="17"/>
        <v>#DIV/0!</v>
      </c>
      <c r="H83" s="89">
        <v>0</v>
      </c>
      <c r="I83" s="112" t="e">
        <f t="shared" si="18"/>
        <v>#DIV/0!</v>
      </c>
      <c r="J83" s="89" t="e">
        <f t="shared" si="19"/>
        <v>#DIV/0!</v>
      </c>
      <c r="K83" s="112" t="e">
        <f t="shared" si="20"/>
        <v>#DIV/0!</v>
      </c>
      <c r="L83" s="89">
        <f t="shared" si="21"/>
        <v>0</v>
      </c>
      <c r="M83" s="113" t="e">
        <f t="shared" si="22"/>
        <v>#DIV/0!</v>
      </c>
    </row>
    <row r="84" spans="1:13" s="1" customFormat="1" ht="19.95" customHeight="1">
      <c r="A84" s="88"/>
      <c r="B84" s="87"/>
      <c r="C84" s="88">
        <v>36</v>
      </c>
      <c r="D84" s="1" t="s">
        <v>123</v>
      </c>
      <c r="E84" s="89">
        <f>'[4]CANTIDAD DE OBRA'!N74</f>
        <v>0</v>
      </c>
      <c r="F84" s="89">
        <v>0</v>
      </c>
      <c r="G84" s="112" t="e">
        <f t="shared" si="17"/>
        <v>#DIV/0!</v>
      </c>
      <c r="H84" s="89">
        <v>0</v>
      </c>
      <c r="I84" s="112" t="e">
        <f t="shared" si="18"/>
        <v>#DIV/0!</v>
      </c>
      <c r="J84" s="89" t="e">
        <f t="shared" si="19"/>
        <v>#DIV/0!</v>
      </c>
      <c r="K84" s="112" t="e">
        <f t="shared" si="20"/>
        <v>#DIV/0!</v>
      </c>
      <c r="L84" s="89">
        <f t="shared" si="21"/>
        <v>0</v>
      </c>
      <c r="M84" s="113" t="e">
        <f t="shared" si="22"/>
        <v>#DIV/0!</v>
      </c>
    </row>
    <row r="85" spans="1:13" s="1" customFormat="1" ht="19.95" customHeight="1">
      <c r="A85" s="88"/>
      <c r="B85" s="87"/>
      <c r="C85" s="88">
        <v>37</v>
      </c>
      <c r="D85" s="1" t="s">
        <v>102</v>
      </c>
      <c r="E85" s="89">
        <f>'[4]CANTIDAD DE OBRA'!N75</f>
        <v>0</v>
      </c>
      <c r="F85" s="89">
        <v>0</v>
      </c>
      <c r="G85" s="112" t="e">
        <f t="shared" si="17"/>
        <v>#DIV/0!</v>
      </c>
      <c r="H85" s="89">
        <v>0</v>
      </c>
      <c r="I85" s="112" t="e">
        <f t="shared" si="18"/>
        <v>#DIV/0!</v>
      </c>
      <c r="J85" s="89" t="e">
        <f t="shared" si="19"/>
        <v>#DIV/0!</v>
      </c>
      <c r="K85" s="112" t="e">
        <f t="shared" si="20"/>
        <v>#DIV/0!</v>
      </c>
      <c r="L85" s="89">
        <f t="shared" si="21"/>
        <v>0</v>
      </c>
      <c r="M85" s="113" t="e">
        <f t="shared" si="22"/>
        <v>#DIV/0!</v>
      </c>
    </row>
    <row r="86" spans="1:13" s="1" customFormat="1" ht="19.95" customHeight="1">
      <c r="A86" s="88"/>
      <c r="B86" s="87"/>
      <c r="C86" s="88">
        <v>38</v>
      </c>
      <c r="D86" s="1" t="s">
        <v>102</v>
      </c>
      <c r="E86" s="89">
        <f>'[4]CANTIDAD DE OBRA'!N76</f>
        <v>0</v>
      </c>
      <c r="F86" s="89">
        <v>0</v>
      </c>
      <c r="G86" s="112" t="e">
        <f t="shared" si="17"/>
        <v>#DIV/0!</v>
      </c>
      <c r="H86" s="89">
        <v>0</v>
      </c>
      <c r="I86" s="112" t="e">
        <f t="shared" si="18"/>
        <v>#DIV/0!</v>
      </c>
      <c r="J86" s="89" t="e">
        <f t="shared" si="19"/>
        <v>#DIV/0!</v>
      </c>
      <c r="K86" s="112" t="e">
        <f t="shared" si="20"/>
        <v>#DIV/0!</v>
      </c>
      <c r="L86" s="89">
        <f t="shared" si="21"/>
        <v>0</v>
      </c>
      <c r="M86" s="113" t="e">
        <f t="shared" si="22"/>
        <v>#DIV/0!</v>
      </c>
    </row>
    <row r="87" spans="1:13" s="1" customFormat="1" ht="19.95" customHeight="1">
      <c r="A87" s="88"/>
      <c r="B87" s="87"/>
      <c r="C87" s="88">
        <v>39</v>
      </c>
      <c r="D87" s="1" t="s">
        <v>102</v>
      </c>
      <c r="E87" s="89">
        <f>'[4]CANTIDAD DE OBRA'!N77</f>
        <v>0</v>
      </c>
      <c r="F87" s="89">
        <v>0</v>
      </c>
      <c r="G87" s="112" t="e">
        <f t="shared" si="17"/>
        <v>#DIV/0!</v>
      </c>
      <c r="H87" s="89">
        <v>0</v>
      </c>
      <c r="I87" s="112" t="e">
        <f t="shared" si="18"/>
        <v>#DIV/0!</v>
      </c>
      <c r="J87" s="89" t="e">
        <f t="shared" si="19"/>
        <v>#DIV/0!</v>
      </c>
      <c r="K87" s="112" t="e">
        <f t="shared" si="20"/>
        <v>#DIV/0!</v>
      </c>
      <c r="L87" s="89">
        <f t="shared" si="21"/>
        <v>0</v>
      </c>
      <c r="M87" s="113" t="e">
        <f t="shared" si="22"/>
        <v>#DIV/0!</v>
      </c>
    </row>
    <row r="88" spans="1:13" s="1" customFormat="1" ht="19.95" customHeight="1">
      <c r="A88" s="88"/>
      <c r="B88" s="88"/>
      <c r="C88" s="88"/>
      <c r="D88" s="1" t="s">
        <v>103</v>
      </c>
      <c r="E88" s="89">
        <f>'[4]CANTIDAD DE OBRA'!Q78</f>
        <v>0</v>
      </c>
      <c r="F88" s="89">
        <v>0</v>
      </c>
      <c r="G88" s="112" t="e">
        <f t="shared" si="17"/>
        <v>#DIV/0!</v>
      </c>
      <c r="H88" s="89">
        <v>0</v>
      </c>
      <c r="I88" s="112" t="e">
        <f t="shared" si="18"/>
        <v>#DIV/0!</v>
      </c>
      <c r="J88" s="89" t="e">
        <f t="shared" si="19"/>
        <v>#DIV/0!</v>
      </c>
      <c r="K88" s="112" t="e">
        <f t="shared" si="20"/>
        <v>#DIV/0!</v>
      </c>
      <c r="L88" s="89">
        <f t="shared" si="21"/>
        <v>0</v>
      </c>
      <c r="M88" s="113" t="e">
        <f t="shared" si="22"/>
        <v>#DIV/0!</v>
      </c>
    </row>
    <row r="89" spans="1:13" s="1" customFormat="1" ht="19.95" customHeight="1">
      <c r="A89" s="88"/>
      <c r="B89" s="88"/>
      <c r="C89" s="88"/>
      <c r="E89" s="88"/>
      <c r="F89" s="88"/>
      <c r="G89" s="88"/>
      <c r="H89" s="88"/>
      <c r="I89" s="88"/>
      <c r="J89" s="88"/>
      <c r="K89" s="88"/>
      <c r="L89" s="88"/>
      <c r="M89" s="88"/>
    </row>
    <row r="90" spans="1:13" s="1" customFormat="1" ht="19.95" customHeight="1">
      <c r="A90" s="88"/>
      <c r="B90" s="88"/>
      <c r="C90" s="88"/>
      <c r="D90" s="114"/>
      <c r="E90" s="115">
        <f>SUM(E82:E88)</f>
        <v>0</v>
      </c>
      <c r="F90" s="116">
        <f>SUM(F77:F88)</f>
        <v>0</v>
      </c>
      <c r="G90" s="117" t="e">
        <f>F90/E90</f>
        <v>#DIV/0!</v>
      </c>
      <c r="H90" s="116">
        <f>SUM(H77:H88)</f>
        <v>0</v>
      </c>
      <c r="I90" s="117" t="e">
        <f>H90/E90</f>
        <v>#DIV/0!</v>
      </c>
      <c r="J90" s="116" t="e">
        <f>SUM(J55:J88)</f>
        <v>#DIV/0!</v>
      </c>
      <c r="K90" s="117" t="e">
        <f>J90/E90</f>
        <v>#DIV/0!</v>
      </c>
      <c r="L90" s="118">
        <f>SUM(L77:L88)</f>
        <v>0</v>
      </c>
      <c r="M90" s="119" t="e">
        <f>L90/E90</f>
        <v>#DIV/0!</v>
      </c>
    </row>
    <row r="91" spans="1:13" s="1" customFormat="1" ht="19.95" customHeight="1">
      <c r="A91" s="88"/>
      <c r="B91" s="88"/>
      <c r="C91" s="88"/>
      <c r="E91" s="88"/>
      <c r="F91" s="88"/>
      <c r="G91" s="88"/>
      <c r="H91" s="88"/>
      <c r="I91" s="88"/>
      <c r="J91" s="88"/>
      <c r="K91" s="88"/>
      <c r="L91" s="88"/>
      <c r="M91" s="88"/>
    </row>
    <row r="92" spans="1:13" s="1" customFormat="1" ht="19.95" customHeight="1">
      <c r="A92" s="88"/>
      <c r="B92" s="87" t="s">
        <v>166</v>
      </c>
      <c r="C92" s="88"/>
      <c r="D92" s="1" t="s">
        <v>124</v>
      </c>
      <c r="E92" s="89">
        <f>'[4]CANTIDAD DE OBRA'!G79</f>
        <v>0</v>
      </c>
      <c r="F92" s="89">
        <v>0</v>
      </c>
      <c r="G92" s="112" t="e">
        <f t="shared" ref="G92" si="23">F92/E92</f>
        <v>#DIV/0!</v>
      </c>
      <c r="H92" s="89">
        <v>0</v>
      </c>
      <c r="I92" s="112" t="e">
        <f t="shared" ref="I92" si="24">H92/E92</f>
        <v>#DIV/0!</v>
      </c>
      <c r="J92" s="89" t="e">
        <f t="shared" ref="J92" si="25">G92</f>
        <v>#DIV/0!</v>
      </c>
      <c r="K92" s="112" t="e">
        <f t="shared" ref="K92" si="26">J92/E92</f>
        <v>#DIV/0!</v>
      </c>
      <c r="L92" s="89">
        <f t="shared" ref="L92" si="27">F92+H92</f>
        <v>0</v>
      </c>
      <c r="M92" s="113" t="e">
        <f t="shared" ref="M92" si="28">L92/E92</f>
        <v>#DIV/0!</v>
      </c>
    </row>
    <row r="93" spans="1:13" s="1" customFormat="1" ht="19.95" customHeight="1">
      <c r="A93" s="88"/>
      <c r="B93" s="88"/>
      <c r="C93" s="88"/>
      <c r="E93" s="88"/>
      <c r="F93" s="88"/>
      <c r="G93" s="88"/>
      <c r="H93" s="88"/>
      <c r="I93" s="88"/>
      <c r="J93" s="88"/>
      <c r="K93" s="88"/>
    </row>
    <row r="94" spans="1:13" s="1" customFormat="1" ht="19.95" customHeight="1">
      <c r="A94" s="88"/>
      <c r="B94" s="88"/>
      <c r="C94" s="88"/>
      <c r="D94" s="114"/>
      <c r="E94" s="115">
        <f>SUM(E92)</f>
        <v>0</v>
      </c>
      <c r="F94" s="116">
        <f>SUM(F81:F92)</f>
        <v>0</v>
      </c>
      <c r="G94" s="117" t="e">
        <f>F94/E94</f>
        <v>#DIV/0!</v>
      </c>
      <c r="H94" s="116">
        <f>SUM(H81:H92)</f>
        <v>0</v>
      </c>
      <c r="I94" s="117" t="e">
        <f>H94/E94</f>
        <v>#DIV/0!</v>
      </c>
      <c r="J94" s="116" t="e">
        <f>SUM(J59:J92)</f>
        <v>#DIV/0!</v>
      </c>
      <c r="K94" s="117" t="e">
        <f>J94/E94</f>
        <v>#DIV/0!</v>
      </c>
      <c r="L94" s="118">
        <f>SUM(L81:L92)</f>
        <v>0</v>
      </c>
      <c r="M94" s="119" t="e">
        <f>L94/E94</f>
        <v>#DIV/0!</v>
      </c>
    </row>
    <row r="95" spans="1:13" s="1" customFormat="1" ht="19.95" customHeight="1">
      <c r="A95" s="88"/>
      <c r="B95" s="88"/>
      <c r="C95" s="88"/>
      <c r="E95" s="88"/>
      <c r="F95" s="88"/>
      <c r="G95" s="88"/>
      <c r="H95" s="88"/>
      <c r="I95" s="88"/>
      <c r="J95" s="88"/>
      <c r="K95" s="88"/>
    </row>
    <row r="96" spans="1:13" s="1" customFormat="1" ht="27.6" customHeight="1">
      <c r="A96" s="120"/>
      <c r="B96" s="120"/>
      <c r="C96" s="120"/>
      <c r="D96" s="121" t="s">
        <v>167</v>
      </c>
      <c r="E96" s="122"/>
      <c r="F96" s="122"/>
      <c r="G96" s="122"/>
      <c r="H96" s="122"/>
      <c r="I96" s="122"/>
      <c r="J96" s="122"/>
      <c r="K96" s="122"/>
      <c r="L96" s="122"/>
      <c r="M96" s="81"/>
    </row>
    <row r="97" spans="1:13" s="1" customFormat="1" ht="19.95" customHeight="1">
      <c r="A97" s="123"/>
      <c r="B97" s="123"/>
      <c r="C97" s="123"/>
      <c r="D97" s="110"/>
      <c r="E97" s="110" t="s">
        <v>169</v>
      </c>
      <c r="F97" s="110"/>
      <c r="G97" s="110"/>
      <c r="H97" s="110"/>
      <c r="I97" s="110"/>
      <c r="J97" s="110"/>
      <c r="K97" s="110"/>
      <c r="L97" s="110"/>
      <c r="M97" s="110"/>
    </row>
    <row r="98" spans="1:13" s="1" customFormat="1" ht="19.95" customHeight="1">
      <c r="A98" s="124"/>
      <c r="B98" s="124"/>
      <c r="C98" s="124"/>
      <c r="D98" s="83"/>
      <c r="E98" s="84" t="s">
        <v>97</v>
      </c>
      <c r="F98" s="257" t="s">
        <v>157</v>
      </c>
      <c r="G98" s="257"/>
      <c r="H98" s="257"/>
      <c r="I98" s="257"/>
      <c r="J98" s="111"/>
      <c r="K98" s="111"/>
      <c r="L98" s="256" t="s">
        <v>158</v>
      </c>
      <c r="M98" s="256"/>
    </row>
    <row r="99" spans="1:13" s="1" customFormat="1" ht="19.95" customHeight="1">
      <c r="A99" s="124"/>
      <c r="B99" s="124"/>
      <c r="C99" s="124"/>
      <c r="D99" s="83"/>
      <c r="E99" s="84"/>
      <c r="F99" s="255" t="s">
        <v>168</v>
      </c>
      <c r="G99" s="255"/>
      <c r="H99" s="255" t="s">
        <v>160</v>
      </c>
      <c r="I99" s="255"/>
      <c r="J99" s="255" t="s">
        <v>161</v>
      </c>
      <c r="K99" s="255"/>
      <c r="L99" s="82"/>
      <c r="M99" s="82"/>
    </row>
    <row r="100" spans="1:13" s="1" customFormat="1" ht="19.95" customHeight="1">
      <c r="A100" s="124"/>
      <c r="B100" s="124"/>
      <c r="C100" s="124"/>
      <c r="D100" s="82" t="s">
        <v>91</v>
      </c>
      <c r="E100" s="82" t="s">
        <v>139</v>
      </c>
      <c r="F100" s="82" t="s">
        <v>139</v>
      </c>
      <c r="G100" s="84" t="s">
        <v>163</v>
      </c>
      <c r="H100" s="82" t="s">
        <v>139</v>
      </c>
      <c r="I100" s="84" t="s">
        <v>163</v>
      </c>
      <c r="J100" s="82" t="s">
        <v>139</v>
      </c>
      <c r="K100" s="84" t="s">
        <v>163</v>
      </c>
      <c r="L100" s="82" t="s">
        <v>139</v>
      </c>
      <c r="M100" s="84" t="s">
        <v>163</v>
      </c>
    </row>
    <row r="101" spans="1:13" s="1" customFormat="1" ht="18" customHeight="1">
      <c r="A101" s="86"/>
      <c r="B101" s="87"/>
      <c r="C101" s="88"/>
      <c r="D101" s="125" t="s">
        <v>165</v>
      </c>
      <c r="E101" s="89">
        <f>E90</f>
        <v>0</v>
      </c>
      <c r="F101" s="89">
        <v>0</v>
      </c>
      <c r="G101" s="112" t="e">
        <f t="shared" ref="G101:G105" si="29">F101/E101</f>
        <v>#DIV/0!</v>
      </c>
      <c r="H101" s="89">
        <f>H2</f>
        <v>0</v>
      </c>
      <c r="I101" s="112" t="e">
        <f t="shared" ref="I101:I105" si="30">H101/E101</f>
        <v>#DIV/0!</v>
      </c>
      <c r="J101" s="89">
        <f>J2</f>
        <v>0</v>
      </c>
      <c r="K101" s="112" t="e">
        <f t="shared" ref="K101:K105" si="31">J101/E101</f>
        <v>#DIV/0!</v>
      </c>
      <c r="L101" s="89">
        <f>F101+H101+J101</f>
        <v>0</v>
      </c>
      <c r="M101" s="113" t="e">
        <f>L101/E101</f>
        <v>#DIV/0!</v>
      </c>
    </row>
    <row r="102" spans="1:13" s="1" customFormat="1" ht="18" customHeight="1">
      <c r="A102" s="86"/>
      <c r="B102" s="87"/>
      <c r="C102" s="88"/>
      <c r="D102" s="125" t="s">
        <v>116</v>
      </c>
      <c r="E102" s="89">
        <f>E80</f>
        <v>0</v>
      </c>
      <c r="F102" s="89">
        <v>0</v>
      </c>
      <c r="G102" s="112" t="e">
        <f t="shared" si="29"/>
        <v>#DIV/0!</v>
      </c>
      <c r="H102" s="89">
        <v>0</v>
      </c>
      <c r="I102" s="112" t="e">
        <f t="shared" si="30"/>
        <v>#DIV/0!</v>
      </c>
      <c r="J102" s="89">
        <f>J7</f>
        <v>0</v>
      </c>
      <c r="K102" s="112" t="e">
        <f t="shared" si="31"/>
        <v>#DIV/0!</v>
      </c>
      <c r="L102" s="89">
        <f>F102+H102+J102</f>
        <v>0</v>
      </c>
      <c r="M102" s="113" t="e">
        <f>L102/E102</f>
        <v>#DIV/0!</v>
      </c>
    </row>
    <row r="103" spans="1:13" ht="18" customHeight="1">
      <c r="A103" s="88"/>
      <c r="B103" s="87"/>
      <c r="C103" s="88"/>
      <c r="D103" s="125" t="s">
        <v>164</v>
      </c>
      <c r="E103" s="89">
        <f>E45</f>
        <v>0</v>
      </c>
      <c r="F103" s="89">
        <f>F22</f>
        <v>0</v>
      </c>
      <c r="G103" s="112" t="e">
        <f t="shared" si="29"/>
        <v>#DIV/0!</v>
      </c>
      <c r="H103" s="89">
        <v>0</v>
      </c>
      <c r="I103" s="112" t="e">
        <f t="shared" si="30"/>
        <v>#DIV/0!</v>
      </c>
      <c r="J103" s="89">
        <v>0</v>
      </c>
      <c r="K103" s="112" t="e">
        <f t="shared" si="31"/>
        <v>#DIV/0!</v>
      </c>
      <c r="L103" s="89">
        <f t="shared" ref="L103" si="32">F103+H103+J103</f>
        <v>0</v>
      </c>
      <c r="M103" s="113" t="e">
        <f>L103/E103</f>
        <v>#DIV/0!</v>
      </c>
    </row>
    <row r="104" spans="1:13" ht="18" customHeight="1">
      <c r="A104" s="88"/>
      <c r="B104" s="87"/>
      <c r="C104" s="88"/>
      <c r="D104" s="125" t="s">
        <v>101</v>
      </c>
      <c r="E104" s="89">
        <f>E34</f>
        <v>96.980400000000003</v>
      </c>
      <c r="F104" s="89">
        <f>F49</f>
        <v>0</v>
      </c>
      <c r="G104" s="112">
        <f t="shared" si="29"/>
        <v>0</v>
      </c>
      <c r="H104" s="89">
        <f>H49</f>
        <v>0</v>
      </c>
      <c r="I104" s="112">
        <f t="shared" si="30"/>
        <v>0</v>
      </c>
      <c r="J104" s="89">
        <v>0</v>
      </c>
      <c r="K104" s="112">
        <f t="shared" si="31"/>
        <v>0</v>
      </c>
      <c r="L104" s="89">
        <v>0</v>
      </c>
      <c r="M104" s="113">
        <f>L104/E104</f>
        <v>0</v>
      </c>
    </row>
    <row r="105" spans="1:13" ht="18" customHeight="1">
      <c r="A105" s="88"/>
      <c r="B105" s="87"/>
      <c r="C105" s="88"/>
      <c r="D105" s="125" t="s">
        <v>166</v>
      </c>
      <c r="E105" s="89">
        <f>E94</f>
        <v>0</v>
      </c>
      <c r="F105" s="89">
        <f>F50</f>
        <v>0</v>
      </c>
      <c r="G105" s="112" t="e">
        <f t="shared" si="29"/>
        <v>#DIV/0!</v>
      </c>
      <c r="H105" s="89">
        <f>H50</f>
        <v>0</v>
      </c>
      <c r="I105" s="112" t="e">
        <f t="shared" si="30"/>
        <v>#DIV/0!</v>
      </c>
      <c r="J105" s="89">
        <v>0</v>
      </c>
      <c r="K105" s="112" t="e">
        <f t="shared" si="31"/>
        <v>#DIV/0!</v>
      </c>
      <c r="L105" s="89">
        <f t="shared" ref="L105" si="33">F105+H105+J105</f>
        <v>0</v>
      </c>
      <c r="M105" s="113" t="e">
        <f>L105/E105</f>
        <v>#DIV/0!</v>
      </c>
    </row>
    <row r="106" spans="1:13" ht="18" customHeight="1">
      <c r="A106" s="88"/>
      <c r="B106" s="88"/>
      <c r="C106" s="88"/>
      <c r="D106" s="1"/>
      <c r="E106" s="88"/>
      <c r="F106" s="88"/>
      <c r="G106" s="95"/>
      <c r="H106" s="95"/>
      <c r="I106" s="95"/>
      <c r="J106" s="95"/>
      <c r="K106" s="95"/>
      <c r="L106" s="89"/>
      <c r="M106" s="89"/>
    </row>
    <row r="107" spans="1:13" ht="18" customHeight="1">
      <c r="A107" s="88"/>
      <c r="B107" s="88"/>
      <c r="C107" s="88"/>
      <c r="D107" s="114"/>
      <c r="E107" s="115">
        <f>SUM(E101:E106)</f>
        <v>96.980400000000003</v>
      </c>
      <c r="F107" s="116">
        <f>SUM(F101:F106)</f>
        <v>0</v>
      </c>
      <c r="G107" s="117">
        <f>F107/E107</f>
        <v>0</v>
      </c>
      <c r="H107" s="116">
        <f>SUM(H101:H106)</f>
        <v>0</v>
      </c>
      <c r="I107" s="117">
        <f>H107/E107</f>
        <v>0</v>
      </c>
      <c r="J107" s="116">
        <f>SUM(J101:J106)</f>
        <v>0</v>
      </c>
      <c r="K107" s="126">
        <f>J107/E107</f>
        <v>0</v>
      </c>
      <c r="L107" s="115">
        <f>SUM(L101:L106)</f>
        <v>0</v>
      </c>
      <c r="M107" s="127">
        <f>L107/E107</f>
        <v>0</v>
      </c>
    </row>
    <row r="108" spans="1:13" ht="18" customHeight="1">
      <c r="A108" s="88"/>
      <c r="B108" s="88"/>
      <c r="C108" s="88"/>
      <c r="D108" s="1"/>
      <c r="E108" s="88"/>
      <c r="F108" s="88"/>
      <c r="G108" s="88"/>
      <c r="H108" s="88"/>
      <c r="I108" s="88"/>
      <c r="J108" s="88"/>
      <c r="K108" s="88"/>
      <c r="L108" s="128">
        <f>E107-L107</f>
        <v>96.980400000000003</v>
      </c>
      <c r="M108" s="129">
        <f>L108/E107</f>
        <v>1</v>
      </c>
    </row>
    <row r="109" spans="1:13" ht="18" customHeight="1"/>
    <row r="110" spans="1:13" ht="18" customHeight="1"/>
  </sheetData>
  <mergeCells count="12">
    <mergeCell ref="A2:L2"/>
    <mergeCell ref="B3:M3"/>
    <mergeCell ref="F4:I4"/>
    <mergeCell ref="L4:M4"/>
    <mergeCell ref="F5:G5"/>
    <mergeCell ref="H5:I5"/>
    <mergeCell ref="J5:K5"/>
    <mergeCell ref="F98:I98"/>
    <mergeCell ref="L98:M98"/>
    <mergeCell ref="F99:G99"/>
    <mergeCell ref="H99:I99"/>
    <mergeCell ref="J99:K9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2DFA-F4CE-4C98-BDC2-2CAF9964F88C}">
  <dimension ref="A3:J48"/>
  <sheetViews>
    <sheetView zoomScale="90" zoomScaleNormal="90" zoomScaleSheetLayoutView="85" workbookViewId="0">
      <selection activeCell="D39" sqref="D39"/>
    </sheetView>
  </sheetViews>
  <sheetFormatPr baseColWidth="10" defaultRowHeight="13.2"/>
  <cols>
    <col min="1" max="1" width="11.77734375" style="153" customWidth="1"/>
    <col min="2" max="2" width="65.5546875" style="153" customWidth="1"/>
    <col min="3" max="3" width="11.5546875" style="153"/>
    <col min="4" max="8" width="15.77734375" style="153" customWidth="1"/>
    <col min="9" max="16384" width="11.5546875" style="153"/>
  </cols>
  <sheetData>
    <row r="3" spans="1:10">
      <c r="A3" s="152" t="s">
        <v>214</v>
      </c>
    </row>
    <row r="4" spans="1:10">
      <c r="A4" s="153" t="s">
        <v>128</v>
      </c>
    </row>
    <row r="7" spans="1:10" ht="43.2" customHeight="1">
      <c r="A7" s="154" t="s">
        <v>129</v>
      </c>
      <c r="B7" s="32" t="s">
        <v>130</v>
      </c>
      <c r="C7" s="154" t="s">
        <v>131</v>
      </c>
      <c r="D7" s="154" t="s">
        <v>132</v>
      </c>
      <c r="E7" s="154" t="s">
        <v>133</v>
      </c>
      <c r="F7" s="154" t="s">
        <v>134</v>
      </c>
      <c r="G7" s="32" t="s">
        <v>241</v>
      </c>
      <c r="H7" s="32" t="s">
        <v>135</v>
      </c>
    </row>
    <row r="8" spans="1:10" ht="19.95" customHeight="1">
      <c r="A8" s="155"/>
      <c r="B8" s="156" t="s">
        <v>215</v>
      </c>
      <c r="C8" s="157"/>
      <c r="D8" s="158"/>
      <c r="E8" s="159"/>
      <c r="F8" s="159"/>
      <c r="G8" s="160"/>
      <c r="H8" s="161"/>
    </row>
    <row r="9" spans="1:10" ht="18" customHeight="1">
      <c r="A9" s="162" t="s">
        <v>137</v>
      </c>
      <c r="B9" s="163" t="s">
        <v>220</v>
      </c>
      <c r="C9" s="164"/>
      <c r="D9" s="165"/>
      <c r="E9" s="166"/>
      <c r="F9" s="166"/>
      <c r="G9" s="166"/>
      <c r="H9" s="167"/>
    </row>
    <row r="10" spans="1:10" ht="18" customHeight="1">
      <c r="A10" s="168" t="s">
        <v>228</v>
      </c>
      <c r="B10" s="169" t="s">
        <v>216</v>
      </c>
      <c r="C10" s="170" t="s">
        <v>139</v>
      </c>
      <c r="D10" s="171">
        <f>'CANTIDAD DE OBRA'!G5</f>
        <v>345.32</v>
      </c>
      <c r="E10" s="172">
        <v>450</v>
      </c>
      <c r="F10" s="173">
        <f>D10/E10</f>
        <v>0.76737777777777771</v>
      </c>
      <c r="G10" s="172">
        <f>F10</f>
        <v>0.76737777777777771</v>
      </c>
      <c r="H10" s="174">
        <f>480/E10</f>
        <v>1.0666666666666667</v>
      </c>
    </row>
    <row r="11" spans="1:10" ht="32.4" customHeight="1">
      <c r="A11" s="168" t="s">
        <v>229</v>
      </c>
      <c r="B11" s="169" t="s">
        <v>242</v>
      </c>
      <c r="C11" s="170" t="s">
        <v>142</v>
      </c>
      <c r="D11" s="171">
        <f>9.7*14</f>
        <v>135.79999999999998</v>
      </c>
      <c r="E11" s="172">
        <v>105</v>
      </c>
      <c r="F11" s="173">
        <f>D11/E11</f>
        <v>1.2933333333333332</v>
      </c>
      <c r="G11" s="172">
        <f>F11</f>
        <v>1.2933333333333332</v>
      </c>
      <c r="H11" s="174">
        <f>480/E11</f>
        <v>4.5714285714285712</v>
      </c>
    </row>
    <row r="12" spans="1:10" ht="18" customHeight="1">
      <c r="A12" s="168" t="s">
        <v>230</v>
      </c>
      <c r="B12" s="169" t="s">
        <v>243</v>
      </c>
      <c r="C12" s="170" t="s">
        <v>142</v>
      </c>
      <c r="D12" s="171">
        <v>42</v>
      </c>
      <c r="E12" s="172">
        <v>9</v>
      </c>
      <c r="F12" s="173">
        <f>D12/E12</f>
        <v>4.666666666666667</v>
      </c>
      <c r="G12" s="172">
        <f>F12</f>
        <v>4.666666666666667</v>
      </c>
      <c r="H12" s="174">
        <f>480/E12</f>
        <v>53.333333333333336</v>
      </c>
      <c r="J12" s="153">
        <f>14*3</f>
        <v>42</v>
      </c>
    </row>
    <row r="13" spans="1:10" ht="18" customHeight="1">
      <c r="A13" s="168" t="s">
        <v>231</v>
      </c>
      <c r="B13" s="169" t="s">
        <v>227</v>
      </c>
      <c r="C13" s="170" t="s">
        <v>139</v>
      </c>
      <c r="D13" s="171">
        <v>55</v>
      </c>
      <c r="E13" s="172">
        <v>25</v>
      </c>
      <c r="F13" s="173">
        <f>D13/E13</f>
        <v>2.2000000000000002</v>
      </c>
      <c r="G13" s="172">
        <f>F13</f>
        <v>2.2000000000000002</v>
      </c>
      <c r="H13" s="174">
        <f>480/E13</f>
        <v>19.2</v>
      </c>
    </row>
    <row r="14" spans="1:10" ht="18" customHeight="1">
      <c r="A14" s="168" t="s">
        <v>232</v>
      </c>
      <c r="B14" s="169" t="s">
        <v>144</v>
      </c>
      <c r="C14" s="175" t="s">
        <v>147</v>
      </c>
      <c r="D14" s="176">
        <v>55</v>
      </c>
      <c r="E14" s="172">
        <v>18</v>
      </c>
      <c r="F14" s="173">
        <f>D14/E14</f>
        <v>3.0555555555555554</v>
      </c>
      <c r="G14" s="172">
        <f>F14</f>
        <v>3.0555555555555554</v>
      </c>
      <c r="H14" s="174">
        <f>480/E14</f>
        <v>26.666666666666668</v>
      </c>
    </row>
    <row r="15" spans="1:10" ht="18" customHeight="1">
      <c r="A15" s="162" t="s">
        <v>140</v>
      </c>
      <c r="B15" s="163" t="s">
        <v>244</v>
      </c>
      <c r="C15" s="164"/>
      <c r="D15" s="165"/>
      <c r="E15" s="166"/>
      <c r="F15" s="166"/>
      <c r="G15" s="166"/>
      <c r="H15" s="167"/>
    </row>
    <row r="16" spans="1:10" ht="18" customHeight="1">
      <c r="A16" s="168" t="s">
        <v>233</v>
      </c>
      <c r="B16" s="169" t="s">
        <v>216</v>
      </c>
      <c r="C16" s="170" t="s">
        <v>139</v>
      </c>
      <c r="D16" s="171">
        <f>SUM('CANTIDAD DE OBRA'!G7:G15)</f>
        <v>965.98</v>
      </c>
      <c r="E16" s="172">
        <v>450</v>
      </c>
      <c r="F16" s="173">
        <f>D16/E16</f>
        <v>2.1466222222222222</v>
      </c>
      <c r="G16" s="172">
        <f>F16</f>
        <v>2.1466222222222222</v>
      </c>
      <c r="H16" s="174">
        <f>480/E16</f>
        <v>1.0666666666666667</v>
      </c>
    </row>
    <row r="17" spans="1:9" ht="18" customHeight="1">
      <c r="A17" s="168" t="s">
        <v>234</v>
      </c>
      <c r="B17" s="169" t="s">
        <v>218</v>
      </c>
      <c r="C17" s="170" t="s">
        <v>142</v>
      </c>
      <c r="D17" s="171">
        <f>SUM('CANTIDAD DE OBRA'!M7:M25)</f>
        <v>521.64</v>
      </c>
      <c r="E17" s="172">
        <v>105</v>
      </c>
      <c r="F17" s="173">
        <f>D17/E17</f>
        <v>4.968</v>
      </c>
      <c r="G17" s="172">
        <f>F17</f>
        <v>4.968</v>
      </c>
      <c r="H17" s="174">
        <f>480/E17</f>
        <v>4.5714285714285712</v>
      </c>
    </row>
    <row r="18" spans="1:9" ht="18" customHeight="1">
      <c r="A18" s="168" t="s">
        <v>235</v>
      </c>
      <c r="B18" s="169" t="s">
        <v>146</v>
      </c>
      <c r="C18" s="170" t="s">
        <v>142</v>
      </c>
      <c r="D18" s="171">
        <f>SUM('CANTIDAD DE OBRA'!L7:L16)</f>
        <v>236.20000000000002</v>
      </c>
      <c r="E18" s="172">
        <v>120</v>
      </c>
      <c r="F18" s="173">
        <f>D18/E18</f>
        <v>1.9683333333333335</v>
      </c>
      <c r="G18" s="172">
        <f>F18</f>
        <v>1.9683333333333335</v>
      </c>
      <c r="H18" s="174">
        <f>480/E18</f>
        <v>4</v>
      </c>
    </row>
    <row r="19" spans="1:9" ht="18" customHeight="1">
      <c r="A19" s="168" t="s">
        <v>236</v>
      </c>
      <c r="B19" s="169" t="s">
        <v>217</v>
      </c>
      <c r="C19" s="170" t="s">
        <v>139</v>
      </c>
      <c r="D19" s="171">
        <v>25</v>
      </c>
      <c r="E19" s="172">
        <v>30</v>
      </c>
      <c r="F19" s="173">
        <f>D19/E19</f>
        <v>0.83333333333333337</v>
      </c>
      <c r="G19" s="172">
        <f>F19</f>
        <v>0.83333333333333337</v>
      </c>
      <c r="H19" s="174">
        <f>480/E19</f>
        <v>16</v>
      </c>
    </row>
    <row r="20" spans="1:9" ht="18" customHeight="1">
      <c r="A20" s="168" t="s">
        <v>237</v>
      </c>
      <c r="B20" s="169" t="s">
        <v>144</v>
      </c>
      <c r="C20" s="175" t="s">
        <v>147</v>
      </c>
      <c r="D20" s="176">
        <f>50+20</f>
        <v>70</v>
      </c>
      <c r="E20" s="172">
        <v>20</v>
      </c>
      <c r="F20" s="173">
        <f>D20/E20</f>
        <v>3.5</v>
      </c>
      <c r="G20" s="172">
        <f>F20</f>
        <v>3.5</v>
      </c>
      <c r="H20" s="174">
        <f>480/E20</f>
        <v>24</v>
      </c>
    </row>
    <row r="21" spans="1:9" ht="18" customHeight="1">
      <c r="A21" s="162" t="s">
        <v>149</v>
      </c>
      <c r="B21" s="163" t="s">
        <v>219</v>
      </c>
      <c r="C21" s="164"/>
      <c r="D21" s="165"/>
      <c r="E21" s="166"/>
      <c r="F21" s="166"/>
      <c r="G21" s="166"/>
      <c r="H21" s="167"/>
    </row>
    <row r="22" spans="1:9" ht="18" customHeight="1">
      <c r="A22" s="168" t="s">
        <v>238</v>
      </c>
      <c r="B22" s="169" t="s">
        <v>151</v>
      </c>
      <c r="C22" s="170" t="s">
        <v>139</v>
      </c>
      <c r="D22" s="171">
        <f>'CANTIDAD DE OBRA'!R5</f>
        <v>318.86</v>
      </c>
      <c r="E22" s="172">
        <v>105</v>
      </c>
      <c r="F22" s="173">
        <f>D22/E22</f>
        <v>3.0367619047619048</v>
      </c>
      <c r="G22" s="172">
        <f>F22</f>
        <v>3.0367619047619048</v>
      </c>
      <c r="H22" s="174">
        <f>480/E22</f>
        <v>4.5714285714285712</v>
      </c>
      <c r="I22" s="177"/>
    </row>
    <row r="23" spans="1:9" ht="19.95" customHeight="1">
      <c r="A23" s="162" t="s">
        <v>239</v>
      </c>
      <c r="B23" s="163" t="s">
        <v>152</v>
      </c>
      <c r="C23" s="164"/>
      <c r="D23" s="165"/>
      <c r="E23" s="166"/>
      <c r="F23" s="166"/>
      <c r="G23" s="166"/>
      <c r="H23" s="167"/>
    </row>
    <row r="24" spans="1:9" ht="34.200000000000003" customHeight="1">
      <c r="A24" s="168" t="s">
        <v>240</v>
      </c>
      <c r="B24" s="169" t="s">
        <v>153</v>
      </c>
      <c r="C24" s="170" t="s">
        <v>154</v>
      </c>
      <c r="D24" s="171">
        <v>1</v>
      </c>
      <c r="E24" s="172">
        <v>1</v>
      </c>
      <c r="F24" s="173">
        <f>D24/E24</f>
        <v>1</v>
      </c>
      <c r="G24" s="172">
        <f>F24</f>
        <v>1</v>
      </c>
      <c r="H24" s="174">
        <f>480/E24</f>
        <v>480</v>
      </c>
    </row>
    <row r="25" spans="1:9" ht="19.95" customHeight="1">
      <c r="A25" s="162" t="s">
        <v>150</v>
      </c>
      <c r="B25" s="163" t="s">
        <v>245</v>
      </c>
      <c r="C25" s="164"/>
      <c r="D25" s="165"/>
      <c r="E25" s="166"/>
      <c r="F25" s="166"/>
      <c r="G25" s="166"/>
      <c r="H25" s="167"/>
    </row>
    <row r="26" spans="1:9" ht="19.95" customHeight="1">
      <c r="A26" s="168" t="s">
        <v>266</v>
      </c>
      <c r="B26" s="169" t="s">
        <v>151</v>
      </c>
      <c r="C26" s="170" t="s">
        <v>139</v>
      </c>
      <c r="D26" s="171">
        <v>1099</v>
      </c>
      <c r="E26" s="172">
        <v>140</v>
      </c>
      <c r="F26" s="173">
        <f>D26/E26</f>
        <v>7.85</v>
      </c>
      <c r="G26" s="172">
        <f>F26</f>
        <v>7.85</v>
      </c>
      <c r="H26" s="174">
        <f>480/E26</f>
        <v>3.4285714285714284</v>
      </c>
    </row>
    <row r="27" spans="1:9" ht="19.95" customHeight="1">
      <c r="A27" s="168" t="s">
        <v>267</v>
      </c>
      <c r="B27" s="169" t="s">
        <v>246</v>
      </c>
      <c r="C27" s="170" t="s">
        <v>139</v>
      </c>
      <c r="D27" s="171">
        <v>235.9</v>
      </c>
      <c r="E27" s="172">
        <v>105</v>
      </c>
      <c r="F27" s="173">
        <f t="shared" ref="F27:F28" si="0">D27/E27</f>
        <v>2.2466666666666666</v>
      </c>
      <c r="G27" s="172">
        <f t="shared" ref="G27:G28" si="1">F27</f>
        <v>2.2466666666666666</v>
      </c>
      <c r="H27" s="174">
        <f t="shared" ref="H27:H28" si="2">480/E27</f>
        <v>4.5714285714285712</v>
      </c>
    </row>
    <row r="28" spans="1:9" ht="19.95" customHeight="1">
      <c r="A28" s="168" t="s">
        <v>268</v>
      </c>
      <c r="B28" s="169" t="s">
        <v>247</v>
      </c>
      <c r="C28" s="170" t="s">
        <v>139</v>
      </c>
      <c r="D28" s="171">
        <v>114.1</v>
      </c>
      <c r="E28" s="172">
        <v>105</v>
      </c>
      <c r="F28" s="173">
        <f t="shared" si="0"/>
        <v>1.0866666666666667</v>
      </c>
      <c r="G28" s="172">
        <f t="shared" si="1"/>
        <v>1.0866666666666667</v>
      </c>
      <c r="H28" s="174">
        <f t="shared" si="2"/>
        <v>4.5714285714285712</v>
      </c>
    </row>
    <row r="29" spans="1:9" ht="19.95" customHeight="1">
      <c r="A29" s="162" t="s">
        <v>143</v>
      </c>
      <c r="B29" s="163" t="s">
        <v>248</v>
      </c>
      <c r="C29" s="164"/>
      <c r="D29" s="165"/>
      <c r="E29" s="166"/>
      <c r="F29" s="166"/>
      <c r="G29" s="166"/>
      <c r="H29" s="167"/>
    </row>
    <row r="30" spans="1:9" ht="19.95" customHeight="1">
      <c r="A30" s="168" t="s">
        <v>249</v>
      </c>
      <c r="B30" s="169" t="s">
        <v>216</v>
      </c>
      <c r="C30" s="170" t="s">
        <v>139</v>
      </c>
      <c r="D30" s="171">
        <f>SUM('CANTIDAD DE OBRA'!G26:G34)</f>
        <v>523.30600000000004</v>
      </c>
      <c r="E30" s="172">
        <v>450</v>
      </c>
      <c r="F30" s="173">
        <f>D30/E30</f>
        <v>1.1629022222222223</v>
      </c>
      <c r="G30" s="172">
        <f>F30</f>
        <v>1.1629022222222223</v>
      </c>
      <c r="H30" s="174">
        <f>480/E30</f>
        <v>1.0666666666666667</v>
      </c>
    </row>
    <row r="31" spans="1:9" ht="19.95" customHeight="1">
      <c r="A31" s="168" t="s">
        <v>250</v>
      </c>
      <c r="B31" s="169" t="s">
        <v>218</v>
      </c>
      <c r="C31" s="170" t="s">
        <v>142</v>
      </c>
      <c r="D31" s="171">
        <v>202</v>
      </c>
      <c r="E31" s="172">
        <v>105</v>
      </c>
      <c r="F31" s="173">
        <f>D31/E31</f>
        <v>1.9238095238095239</v>
      </c>
      <c r="G31" s="172">
        <f>F31</f>
        <v>1.9238095238095239</v>
      </c>
      <c r="H31" s="174">
        <f>480/E31</f>
        <v>4.5714285714285712</v>
      </c>
    </row>
    <row r="32" spans="1:9" ht="19.95" customHeight="1">
      <c r="A32" s="168" t="s">
        <v>251</v>
      </c>
      <c r="B32" s="169" t="s">
        <v>146</v>
      </c>
      <c r="C32" s="170" t="s">
        <v>142</v>
      </c>
      <c r="D32" s="171">
        <f>SUM('CANTIDAD DE OBRA'!L21:L30)</f>
        <v>156.10000000000002</v>
      </c>
      <c r="E32" s="172">
        <v>120</v>
      </c>
      <c r="F32" s="173">
        <f>D32/E32</f>
        <v>1.3008333333333335</v>
      </c>
      <c r="G32" s="172">
        <f>F32</f>
        <v>1.3008333333333335</v>
      </c>
      <c r="H32" s="174">
        <f>480/E32</f>
        <v>4</v>
      </c>
    </row>
    <row r="33" spans="1:8" ht="19.95" customHeight="1">
      <c r="A33" s="168" t="s">
        <v>252</v>
      </c>
      <c r="B33" s="169" t="s">
        <v>217</v>
      </c>
      <c r="C33" s="170" t="s">
        <v>139</v>
      </c>
      <c r="D33" s="171">
        <v>21</v>
      </c>
      <c r="E33" s="172">
        <v>30</v>
      </c>
      <c r="F33" s="173">
        <f>D33/E33</f>
        <v>0.7</v>
      </c>
      <c r="G33" s="172">
        <f>F33</f>
        <v>0.7</v>
      </c>
      <c r="H33" s="174">
        <f>480/E33</f>
        <v>16</v>
      </c>
    </row>
    <row r="34" spans="1:8" ht="19.95" customHeight="1">
      <c r="A34" s="168" t="s">
        <v>253</v>
      </c>
      <c r="B34" s="169" t="s">
        <v>144</v>
      </c>
      <c r="C34" s="175" t="s">
        <v>147</v>
      </c>
      <c r="D34" s="176">
        <v>21</v>
      </c>
      <c r="E34" s="172">
        <v>20</v>
      </c>
      <c r="F34" s="173">
        <f>D34/E34</f>
        <v>1.05</v>
      </c>
      <c r="G34" s="172">
        <f>F34</f>
        <v>1.05</v>
      </c>
      <c r="H34" s="174">
        <f>480/E34</f>
        <v>24</v>
      </c>
    </row>
    <row r="35" spans="1:8" ht="18" customHeight="1">
      <c r="A35" s="162" t="s">
        <v>254</v>
      </c>
      <c r="B35" s="163" t="s">
        <v>255</v>
      </c>
      <c r="C35" s="164"/>
      <c r="D35" s="165"/>
      <c r="E35" s="166"/>
      <c r="F35" s="166"/>
      <c r="G35" s="166"/>
      <c r="H35" s="167"/>
    </row>
    <row r="36" spans="1:8" ht="18" customHeight="1">
      <c r="A36" s="168" t="s">
        <v>264</v>
      </c>
      <c r="B36" s="169" t="s">
        <v>151</v>
      </c>
      <c r="C36" s="170" t="s">
        <v>139</v>
      </c>
      <c r="D36" s="171">
        <v>419</v>
      </c>
      <c r="E36" s="172">
        <v>105</v>
      </c>
      <c r="F36" s="173">
        <f>D36/E36</f>
        <v>3.9904761904761905</v>
      </c>
      <c r="G36" s="172">
        <f>F36</f>
        <v>3.9904761904761905</v>
      </c>
      <c r="H36" s="174">
        <f>480/E36</f>
        <v>4.5714285714285712</v>
      </c>
    </row>
    <row r="37" spans="1:8" ht="18" customHeight="1">
      <c r="A37" s="162" t="s">
        <v>145</v>
      </c>
      <c r="B37" s="163" t="s">
        <v>256</v>
      </c>
      <c r="C37" s="164"/>
      <c r="D37" s="165"/>
      <c r="E37" s="166"/>
      <c r="F37" s="166"/>
      <c r="G37" s="166"/>
      <c r="H37" s="167"/>
    </row>
    <row r="38" spans="1:8" ht="18" customHeight="1">
      <c r="A38" s="168" t="s">
        <v>259</v>
      </c>
      <c r="B38" s="169" t="s">
        <v>216</v>
      </c>
      <c r="C38" s="170" t="s">
        <v>139</v>
      </c>
      <c r="D38" s="171">
        <f>SUM('CANTIDAD DE OBRA'!G35:G61)</f>
        <v>1747.682</v>
      </c>
      <c r="E38" s="172">
        <v>450</v>
      </c>
      <c r="F38" s="173">
        <f>D38/E38</f>
        <v>3.8837377777777777</v>
      </c>
      <c r="G38" s="172">
        <f>F38</f>
        <v>3.8837377777777777</v>
      </c>
      <c r="H38" s="174">
        <f>480/E38</f>
        <v>1.0666666666666667</v>
      </c>
    </row>
    <row r="39" spans="1:8" ht="18" customHeight="1">
      <c r="A39" s="168" t="s">
        <v>260</v>
      </c>
      <c r="B39" s="169" t="s">
        <v>218</v>
      </c>
      <c r="C39" s="170" t="s">
        <v>142</v>
      </c>
      <c r="D39" s="171">
        <f>SUM('CANTIDAD DE OBRA'!M35:M61)</f>
        <v>533.40000000000009</v>
      </c>
      <c r="E39" s="172">
        <v>105</v>
      </c>
      <c r="F39" s="173">
        <f>D39/E39</f>
        <v>5.080000000000001</v>
      </c>
      <c r="G39" s="172">
        <f>F39</f>
        <v>5.080000000000001</v>
      </c>
      <c r="H39" s="174">
        <f>480/E39</f>
        <v>4.5714285714285712</v>
      </c>
    </row>
    <row r="40" spans="1:8" ht="18" customHeight="1">
      <c r="A40" s="168" t="s">
        <v>261</v>
      </c>
      <c r="B40" s="169" t="s">
        <v>146</v>
      </c>
      <c r="C40" s="170" t="s">
        <v>142</v>
      </c>
      <c r="D40" s="171">
        <f>SUM('CANTIDAD DE OBRA'!L35:L61)</f>
        <v>660.5</v>
      </c>
      <c r="E40" s="172">
        <v>120</v>
      </c>
      <c r="F40" s="173">
        <f>D40/E40</f>
        <v>5.5041666666666664</v>
      </c>
      <c r="G40" s="172">
        <f>F40</f>
        <v>5.5041666666666664</v>
      </c>
      <c r="H40" s="174">
        <f>480/E40</f>
        <v>4</v>
      </c>
    </row>
    <row r="41" spans="1:8" ht="18" customHeight="1">
      <c r="A41" s="168" t="s">
        <v>262</v>
      </c>
      <c r="B41" s="169" t="s">
        <v>217</v>
      </c>
      <c r="C41" s="170" t="s">
        <v>139</v>
      </c>
      <c r="D41" s="171">
        <v>45</v>
      </c>
      <c r="E41" s="172">
        <v>30</v>
      </c>
      <c r="F41" s="173">
        <f>D41/E41</f>
        <v>1.5</v>
      </c>
      <c r="G41" s="172">
        <f>F41</f>
        <v>1.5</v>
      </c>
      <c r="H41" s="174">
        <f>480/E41</f>
        <v>16</v>
      </c>
    </row>
    <row r="42" spans="1:8" ht="18" customHeight="1">
      <c r="A42" s="168" t="s">
        <v>263</v>
      </c>
      <c r="B42" s="169" t="s">
        <v>144</v>
      </c>
      <c r="C42" s="175" t="s">
        <v>147</v>
      </c>
      <c r="D42" s="176">
        <v>45</v>
      </c>
      <c r="E42" s="172">
        <v>20</v>
      </c>
      <c r="F42" s="173">
        <f>D42/E42</f>
        <v>2.25</v>
      </c>
      <c r="G42" s="172">
        <f>F42</f>
        <v>2.25</v>
      </c>
      <c r="H42" s="174">
        <f>480/E42</f>
        <v>24</v>
      </c>
    </row>
    <row r="43" spans="1:8" ht="18" customHeight="1">
      <c r="A43" s="162" t="s">
        <v>258</v>
      </c>
      <c r="B43" s="163" t="s">
        <v>257</v>
      </c>
      <c r="C43" s="164"/>
      <c r="D43" s="165"/>
      <c r="E43" s="166"/>
      <c r="F43" s="166"/>
      <c r="G43" s="166"/>
      <c r="H43" s="167"/>
    </row>
    <row r="44" spans="1:8" ht="18" customHeight="1">
      <c r="A44" s="168" t="s">
        <v>265</v>
      </c>
      <c r="B44" s="169" t="s">
        <v>151</v>
      </c>
      <c r="C44" s="170" t="s">
        <v>139</v>
      </c>
      <c r="D44" s="171">
        <f>SUM('CANTIDAD DE OBRA'!R35:R61)</f>
        <v>1461.5820000000001</v>
      </c>
      <c r="E44" s="172">
        <v>105</v>
      </c>
      <c r="F44" s="173">
        <f>D44/E44</f>
        <v>13.919828571428573</v>
      </c>
      <c r="G44" s="172">
        <f>F44</f>
        <v>13.919828571428573</v>
      </c>
      <c r="H44" s="174">
        <f>480/E44</f>
        <v>4.5714285714285712</v>
      </c>
    </row>
    <row r="45" spans="1:8" ht="18" customHeight="1"/>
    <row r="46" spans="1:8" ht="18" customHeight="1"/>
    <row r="47" spans="1:8" ht="18" customHeight="1"/>
    <row r="48" spans="1:8" ht="18" customHeight="1"/>
  </sheetData>
  <phoneticPr fontId="27" type="noConversion"/>
  <pageMargins left="0.7" right="0.7" top="0.75" bottom="0.75" header="0.3" footer="0.3"/>
  <pageSetup paperSize="9" scale="4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222-A29D-42FF-97C3-80356D94CD53}">
  <dimension ref="A3:I40"/>
  <sheetViews>
    <sheetView tabSelected="1" zoomScale="90" zoomScaleNormal="90" zoomScaleSheetLayoutView="85" workbookViewId="0">
      <selection activeCell="B9" sqref="B9"/>
    </sheetView>
  </sheetViews>
  <sheetFormatPr baseColWidth="10" defaultRowHeight="13.2"/>
  <cols>
    <col min="1" max="1" width="11.77734375" style="153" customWidth="1"/>
    <col min="2" max="2" width="65.5546875" style="153" customWidth="1"/>
    <col min="3" max="3" width="11.5546875" style="153"/>
    <col min="4" max="8" width="15.77734375" style="153" customWidth="1"/>
    <col min="9" max="16384" width="11.5546875" style="153"/>
  </cols>
  <sheetData>
    <row r="3" spans="1:9">
      <c r="A3" s="152" t="s">
        <v>214</v>
      </c>
    </row>
    <row r="4" spans="1:9">
      <c r="A4" s="153" t="s">
        <v>128</v>
      </c>
    </row>
    <row r="7" spans="1:9" ht="43.2" customHeight="1">
      <c r="A7" s="154" t="s">
        <v>129</v>
      </c>
      <c r="B7" s="32" t="s">
        <v>130</v>
      </c>
      <c r="C7" s="154" t="s">
        <v>131</v>
      </c>
      <c r="D7" s="154" t="s">
        <v>132</v>
      </c>
      <c r="E7" s="154" t="s">
        <v>133</v>
      </c>
      <c r="F7" s="154" t="s">
        <v>134</v>
      </c>
      <c r="G7" s="32" t="s">
        <v>241</v>
      </c>
      <c r="H7" s="32" t="s">
        <v>135</v>
      </c>
    </row>
    <row r="8" spans="1:9" ht="19.95" customHeight="1">
      <c r="A8" s="155"/>
      <c r="B8" s="156" t="s">
        <v>309</v>
      </c>
      <c r="C8" s="157"/>
      <c r="D8" s="158"/>
      <c r="E8" s="159"/>
      <c r="F8" s="159"/>
      <c r="G8" s="160"/>
      <c r="H8" s="161"/>
    </row>
    <row r="9" spans="1:9" ht="18" customHeight="1">
      <c r="A9" s="162">
        <v>1</v>
      </c>
      <c r="B9" s="163" t="s">
        <v>308</v>
      </c>
      <c r="C9" s="164"/>
      <c r="D9" s="165"/>
      <c r="E9" s="166"/>
      <c r="F9" s="166"/>
      <c r="G9" s="166"/>
      <c r="H9" s="167"/>
    </row>
    <row r="10" spans="1:9" ht="18" customHeight="1">
      <c r="A10" s="168">
        <v>1.1000000000000001</v>
      </c>
      <c r="B10" s="169" t="s">
        <v>216</v>
      </c>
      <c r="C10" s="170" t="s">
        <v>139</v>
      </c>
      <c r="D10" s="171">
        <v>2788.42</v>
      </c>
      <c r="E10" s="172">
        <v>400</v>
      </c>
      <c r="F10" s="173">
        <f>D10/E10</f>
        <v>6.97105</v>
      </c>
      <c r="G10" s="172">
        <f>F10</f>
        <v>6.97105</v>
      </c>
      <c r="H10" s="174">
        <f>480/E10</f>
        <v>1.2</v>
      </c>
    </row>
    <row r="11" spans="1:9" ht="32.4" customHeight="1">
      <c r="A11" s="168">
        <v>1.2</v>
      </c>
      <c r="B11" s="169" t="s">
        <v>304</v>
      </c>
      <c r="C11" s="170" t="s">
        <v>139</v>
      </c>
      <c r="D11" s="171">
        <v>150</v>
      </c>
      <c r="E11" s="172">
        <v>105</v>
      </c>
      <c r="F11" s="173">
        <f>D11/E11</f>
        <v>1.4285714285714286</v>
      </c>
      <c r="G11" s="172">
        <f>F11</f>
        <v>1.4285714285714286</v>
      </c>
      <c r="H11" s="174">
        <f>480/E11</f>
        <v>4.5714285714285712</v>
      </c>
    </row>
    <row r="12" spans="1:9" ht="18" customHeight="1">
      <c r="A12" s="168">
        <v>1.3</v>
      </c>
      <c r="B12" s="169" t="s">
        <v>146</v>
      </c>
      <c r="C12" s="170" t="s">
        <v>142</v>
      </c>
      <c r="D12" s="262">
        <v>1198.3</v>
      </c>
      <c r="E12" s="172">
        <v>120</v>
      </c>
      <c r="F12" s="173">
        <f>D12/E12</f>
        <v>9.9858333333333338</v>
      </c>
      <c r="G12" s="172">
        <f>F12</f>
        <v>9.9858333333333338</v>
      </c>
      <c r="H12" s="174">
        <f>480/E12</f>
        <v>4</v>
      </c>
    </row>
    <row r="13" spans="1:9" ht="18" customHeight="1">
      <c r="A13" s="168">
        <v>1.4</v>
      </c>
      <c r="B13" s="169" t="s">
        <v>305</v>
      </c>
      <c r="C13" s="170" t="s">
        <v>142</v>
      </c>
      <c r="D13" s="171">
        <v>1947.84</v>
      </c>
      <c r="E13" s="172">
        <v>105</v>
      </c>
      <c r="F13" s="173">
        <f>D13/E13</f>
        <v>18.550857142857144</v>
      </c>
      <c r="G13" s="172">
        <f>F13</f>
        <v>18.550857142857144</v>
      </c>
      <c r="H13" s="174">
        <f>480/E13</f>
        <v>4.5714285714285712</v>
      </c>
    </row>
    <row r="14" spans="1:9" ht="18" customHeight="1">
      <c r="A14" s="168">
        <v>1.5</v>
      </c>
      <c r="B14" s="169" t="s">
        <v>307</v>
      </c>
      <c r="C14" s="175" t="s">
        <v>142</v>
      </c>
      <c r="D14" s="176">
        <v>110</v>
      </c>
      <c r="E14" s="172">
        <v>22</v>
      </c>
      <c r="F14" s="173">
        <f>D14/E14</f>
        <v>5</v>
      </c>
      <c r="G14" s="172">
        <f>F14</f>
        <v>5</v>
      </c>
      <c r="H14" s="174">
        <f>480/E14</f>
        <v>21.818181818181817</v>
      </c>
    </row>
    <row r="15" spans="1:9" ht="18" customHeight="1">
      <c r="A15" s="162">
        <v>2</v>
      </c>
      <c r="B15" s="163" t="s">
        <v>148</v>
      </c>
      <c r="C15" s="164"/>
      <c r="D15" s="165"/>
      <c r="E15" s="166"/>
      <c r="F15" s="166"/>
      <c r="G15" s="166"/>
      <c r="H15" s="167"/>
    </row>
    <row r="16" spans="1:9" ht="18" customHeight="1">
      <c r="A16" s="168">
        <v>2.1</v>
      </c>
      <c r="B16" s="169" t="s">
        <v>151</v>
      </c>
      <c r="C16" s="170" t="s">
        <v>139</v>
      </c>
      <c r="D16" s="171">
        <v>1130.03</v>
      </c>
      <c r="E16" s="172">
        <v>105</v>
      </c>
      <c r="F16" s="173">
        <f>D16/E16</f>
        <v>10.762190476190476</v>
      </c>
      <c r="G16" s="172">
        <f>F16</f>
        <v>10.762190476190476</v>
      </c>
      <c r="H16" s="174">
        <f>480/E16</f>
        <v>4.5714285714285712</v>
      </c>
      <c r="I16" s="177"/>
    </row>
    <row r="17" spans="1:9" ht="18" customHeight="1">
      <c r="A17" s="168">
        <v>2.2000000000000002</v>
      </c>
      <c r="B17" s="169" t="s">
        <v>306</v>
      </c>
      <c r="C17" s="170" t="s">
        <v>139</v>
      </c>
      <c r="D17" s="171">
        <v>1009.44</v>
      </c>
      <c r="E17" s="172">
        <v>105</v>
      </c>
      <c r="F17" s="173">
        <f>D17/E17</f>
        <v>9.6137142857142859</v>
      </c>
      <c r="G17" s="172">
        <f>F17</f>
        <v>9.6137142857142859</v>
      </c>
      <c r="H17" s="174">
        <f>480/E17</f>
        <v>4.5714285714285712</v>
      </c>
      <c r="I17" s="177"/>
    </row>
    <row r="18" spans="1:9" ht="18" customHeight="1">
      <c r="A18" s="162">
        <v>3</v>
      </c>
      <c r="B18" s="163" t="s">
        <v>310</v>
      </c>
      <c r="C18" s="164"/>
      <c r="D18" s="165"/>
      <c r="E18" s="166"/>
      <c r="F18" s="166"/>
      <c r="G18" s="166"/>
      <c r="H18" s="167"/>
    </row>
    <row r="19" spans="1:9" ht="18" customHeight="1">
      <c r="A19" s="168">
        <v>3.1</v>
      </c>
      <c r="B19" s="169" t="s">
        <v>151</v>
      </c>
      <c r="C19" s="170" t="s">
        <v>139</v>
      </c>
      <c r="D19" s="171">
        <v>1130.03</v>
      </c>
      <c r="E19" s="172">
        <v>105</v>
      </c>
      <c r="F19" s="173">
        <f>D19/E19</f>
        <v>10.762190476190476</v>
      </c>
      <c r="G19" s="172">
        <f>F19</f>
        <v>10.762190476190476</v>
      </c>
      <c r="H19" s="174">
        <f>480/E19</f>
        <v>4.5714285714285712</v>
      </c>
      <c r="I19" s="177"/>
    </row>
    <row r="20" spans="1:9" ht="18" customHeight="1">
      <c r="A20" s="168">
        <v>3.2</v>
      </c>
      <c r="B20" s="169" t="s">
        <v>151</v>
      </c>
      <c r="C20" s="170" t="s">
        <v>139</v>
      </c>
      <c r="D20" s="171">
        <v>1130.03</v>
      </c>
      <c r="E20" s="172">
        <v>105</v>
      </c>
      <c r="F20" s="173">
        <f>D20/E20</f>
        <v>10.762190476190476</v>
      </c>
      <c r="G20" s="172">
        <f>F20</f>
        <v>10.762190476190476</v>
      </c>
      <c r="H20" s="174">
        <f>480/E20</f>
        <v>4.5714285714285712</v>
      </c>
      <c r="I20" s="177"/>
    </row>
    <row r="21" spans="1:9" ht="18" customHeight="1">
      <c r="A21" s="162">
        <v>2</v>
      </c>
      <c r="B21" s="163" t="s">
        <v>148</v>
      </c>
      <c r="C21" s="164"/>
      <c r="D21" s="165"/>
      <c r="E21" s="166"/>
      <c r="F21" s="166"/>
      <c r="G21" s="166"/>
      <c r="H21" s="167"/>
    </row>
    <row r="22" spans="1:9" ht="18" customHeight="1">
      <c r="A22" s="168">
        <v>2.1</v>
      </c>
      <c r="B22" s="169" t="s">
        <v>151</v>
      </c>
      <c r="C22" s="170" t="s">
        <v>139</v>
      </c>
      <c r="D22" s="171">
        <v>1130.03</v>
      </c>
      <c r="E22" s="172">
        <v>105</v>
      </c>
      <c r="F22" s="173">
        <f>D22/E22</f>
        <v>10.762190476190476</v>
      </c>
      <c r="G22" s="172">
        <f>F22</f>
        <v>10.762190476190476</v>
      </c>
      <c r="H22" s="174">
        <f>480/E22</f>
        <v>4.5714285714285712</v>
      </c>
      <c r="I22" s="177"/>
    </row>
    <row r="23" spans="1:9" ht="18" customHeight="1">
      <c r="A23" s="168">
        <v>2.2000000000000002</v>
      </c>
      <c r="B23" s="169" t="s">
        <v>306</v>
      </c>
      <c r="C23" s="170" t="s">
        <v>139</v>
      </c>
      <c r="D23" s="171">
        <v>1009.44</v>
      </c>
      <c r="E23" s="172">
        <v>105</v>
      </c>
      <c r="F23" s="173">
        <f>D23/E23</f>
        <v>9.6137142857142859</v>
      </c>
      <c r="G23" s="172">
        <f>F23</f>
        <v>9.6137142857142859</v>
      </c>
      <c r="H23" s="174">
        <f>480/E23</f>
        <v>4.5714285714285712</v>
      </c>
      <c r="I23" s="177"/>
    </row>
    <row r="24" spans="1:9" ht="19.95" customHeight="1">
      <c r="A24" s="162">
        <v>5</v>
      </c>
      <c r="B24" s="163" t="s">
        <v>152</v>
      </c>
      <c r="C24" s="164"/>
      <c r="D24" s="165"/>
      <c r="E24" s="166"/>
      <c r="F24" s="166"/>
      <c r="G24" s="166"/>
      <c r="H24" s="167"/>
    </row>
    <row r="25" spans="1:9" ht="34.200000000000003" customHeight="1">
      <c r="A25" s="168">
        <v>5.0999999999999996</v>
      </c>
      <c r="B25" s="169" t="s">
        <v>153</v>
      </c>
      <c r="C25" s="170" t="s">
        <v>154</v>
      </c>
      <c r="D25" s="171">
        <v>1</v>
      </c>
      <c r="E25" s="172">
        <v>1</v>
      </c>
      <c r="F25" s="173">
        <f>D25/E25</f>
        <v>1</v>
      </c>
      <c r="G25" s="172">
        <f>F25</f>
        <v>1</v>
      </c>
      <c r="H25" s="174">
        <f>480/E25</f>
        <v>480</v>
      </c>
    </row>
    <row r="26" spans="1:9" ht="19.95" customHeight="1"/>
    <row r="27" spans="1:9" ht="19.95" customHeight="1"/>
    <row r="28" spans="1:9" ht="19.95" customHeight="1"/>
    <row r="29" spans="1:9" ht="19.95" customHeight="1"/>
    <row r="30" spans="1:9" ht="19.95" customHeight="1"/>
    <row r="31" spans="1:9" ht="19.95" customHeight="1"/>
    <row r="32" spans="1:9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</sheetData>
  <pageMargins left="0.7" right="0.7" top="0.75" bottom="0.75" header="0.3" footer="0.3"/>
  <pageSetup paperSize="9" scale="4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698F-6BD8-4979-B262-163FE303D95B}">
  <dimension ref="A3:E32"/>
  <sheetViews>
    <sheetView view="pageBreakPreview" zoomScale="85" zoomScaleNormal="90" zoomScaleSheetLayoutView="85" workbookViewId="0">
      <selection activeCell="C19" sqref="C19"/>
    </sheetView>
  </sheetViews>
  <sheetFormatPr baseColWidth="10" defaultRowHeight="13.8"/>
  <cols>
    <col min="1" max="1" width="11.77734375" style="24" customWidth="1"/>
    <col min="2" max="2" width="65.5546875" style="24" customWidth="1"/>
    <col min="3" max="3" width="15.77734375" style="24" customWidth="1"/>
    <col min="4" max="16384" width="11.5546875" style="24"/>
  </cols>
  <sheetData>
    <row r="3" spans="1:5">
      <c r="A3" s="100" t="s">
        <v>127</v>
      </c>
    </row>
    <row r="4" spans="1:5">
      <c r="A4" s="24" t="s">
        <v>128</v>
      </c>
    </row>
    <row r="7" spans="1:5" ht="43.2" customHeight="1">
      <c r="A7" s="82" t="s">
        <v>129</v>
      </c>
      <c r="B7" s="84" t="s">
        <v>130</v>
      </c>
      <c r="C7" s="82" t="s">
        <v>134</v>
      </c>
    </row>
    <row r="8" spans="1:5" ht="19.95" customHeight="1">
      <c r="A8" s="101"/>
      <c r="B8" s="102" t="s">
        <v>136</v>
      </c>
      <c r="C8" s="103"/>
    </row>
    <row r="9" spans="1:5" ht="27" customHeight="1">
      <c r="A9" s="104">
        <v>1</v>
      </c>
      <c r="B9" s="105" t="s">
        <v>155</v>
      </c>
      <c r="C9" s="106"/>
    </row>
    <row r="10" spans="1:5" ht="40.049999999999997" customHeight="1">
      <c r="A10" s="107" t="s">
        <v>137</v>
      </c>
      <c r="B10" s="108" t="s">
        <v>138</v>
      </c>
      <c r="C10" s="109">
        <v>1.5</v>
      </c>
    </row>
    <row r="11" spans="1:5" ht="19.95" customHeight="1">
      <c r="A11" s="107" t="s">
        <v>140</v>
      </c>
      <c r="B11" s="108" t="s">
        <v>141</v>
      </c>
      <c r="C11" s="109">
        <v>0.14285714285714285</v>
      </c>
    </row>
    <row r="12" spans="1:5" ht="19.95" customHeight="1">
      <c r="A12" s="107" t="s">
        <v>143</v>
      </c>
      <c r="B12" s="108" t="s">
        <v>144</v>
      </c>
      <c r="C12" s="109">
        <v>1</v>
      </c>
    </row>
    <row r="13" spans="1:5" ht="19.95" customHeight="1">
      <c r="A13" s="107" t="s">
        <v>145</v>
      </c>
      <c r="B13" s="108" t="s">
        <v>146</v>
      </c>
      <c r="C13" s="109">
        <v>1.4</v>
      </c>
    </row>
    <row r="14" spans="1:5" ht="25.05" customHeight="1">
      <c r="A14" s="104">
        <v>2</v>
      </c>
      <c r="B14" s="105" t="s">
        <v>148</v>
      </c>
      <c r="C14" s="106"/>
      <c r="E14" s="24">
        <f>60/150</f>
        <v>0.4</v>
      </c>
    </row>
    <row r="15" spans="1:5" ht="19.95" customHeight="1">
      <c r="A15" s="107" t="s">
        <v>150</v>
      </c>
      <c r="B15" s="108" t="s">
        <v>151</v>
      </c>
      <c r="C15" s="109">
        <v>8.5333333333333332</v>
      </c>
    </row>
    <row r="16" spans="1:5" ht="19.95" customHeight="1">
      <c r="A16" s="104">
        <v>3</v>
      </c>
      <c r="B16" s="105" t="s">
        <v>152</v>
      </c>
      <c r="C16" s="106"/>
    </row>
    <row r="17" spans="1:3" ht="34.200000000000003" customHeight="1">
      <c r="A17" s="107" t="s">
        <v>150</v>
      </c>
      <c r="B17" s="108" t="s">
        <v>153</v>
      </c>
      <c r="C17" s="109">
        <v>1</v>
      </c>
    </row>
    <row r="18" spans="1:3" ht="19.95" customHeight="1"/>
    <row r="19" spans="1:3" ht="19.95" customHeight="1"/>
    <row r="20" spans="1:3" ht="19.95" customHeight="1"/>
    <row r="21" spans="1:3" ht="19.95" customHeight="1"/>
    <row r="22" spans="1:3" ht="19.95" customHeight="1"/>
    <row r="23" spans="1:3" ht="19.95" customHeight="1"/>
    <row r="24" spans="1:3" ht="19.95" customHeight="1"/>
    <row r="25" spans="1:3" ht="19.95" customHeight="1"/>
    <row r="26" spans="1:3" ht="19.95" customHeight="1"/>
    <row r="27" spans="1:3" ht="19.95" customHeight="1"/>
    <row r="28" spans="1:3" ht="19.95" customHeight="1"/>
    <row r="29" spans="1:3" ht="19.95" customHeight="1"/>
    <row r="30" spans="1:3" ht="19.95" customHeight="1"/>
    <row r="31" spans="1:3" ht="19.95" customHeight="1"/>
    <row r="32" spans="1:3" ht="19.95" customHeight="1"/>
  </sheetData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DASHBOARD</vt:lpstr>
      <vt:lpstr>SALARIOS</vt:lpstr>
      <vt:lpstr>NÓMINA</vt:lpstr>
      <vt:lpstr>COS_PROG</vt:lpstr>
      <vt:lpstr>RESANE</vt:lpstr>
      <vt:lpstr>PINTURA T.VERDE</vt:lpstr>
      <vt:lpstr>CANTIDAD DE OBRA</vt:lpstr>
      <vt:lpstr>LAVADO</vt:lpstr>
      <vt:lpstr>TRT DIL</vt:lpstr>
      <vt:lpstr>SELLO</vt:lpstr>
      <vt:lpstr>PINTURA</vt:lpstr>
      <vt:lpstr>PIN INT</vt:lpstr>
      <vt:lpstr>LIST ACT</vt:lpstr>
      <vt:lpstr>LAST PLANNER</vt:lpstr>
      <vt:lpstr>PROJECT</vt:lpstr>
      <vt:lpstr>'LAST PLANNER'!Área_de_impresión</vt:lpstr>
      <vt:lpstr>'LIST ACT'!Área_de_impresión</vt:lpstr>
      <vt:lpstr>PROJECT!Área_de_impresión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Andrés Felipe Montoya Osorio</cp:lastModifiedBy>
  <dcterms:created xsi:type="dcterms:W3CDTF">2025-05-18T20:42:56Z</dcterms:created>
  <dcterms:modified xsi:type="dcterms:W3CDTF">2025-08-08T20:26:51Z</dcterms:modified>
</cp:coreProperties>
</file>