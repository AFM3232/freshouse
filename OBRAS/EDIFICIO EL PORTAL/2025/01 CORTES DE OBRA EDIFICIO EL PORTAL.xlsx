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2"/>
  <workbookPr/>
  <mc:AlternateContent xmlns:mc="http://schemas.openxmlformats.org/markup-compatibility/2006">
    <mc:Choice Requires="x15">
      <x15ac:absPath xmlns:x15ac="http://schemas.microsoft.com/office/spreadsheetml/2010/11/ac" url="/Users/andresmontoyaosorio/Documents/TRABAJO/CORTES DE OBRA/EDITABLES/"/>
    </mc:Choice>
  </mc:AlternateContent>
  <xr:revisionPtr revIDLastSave="0" documentId="8_{77AA056F-6813-A84D-849A-D6154FC7EF2B}" xr6:coauthVersionLast="47" xr6:coauthVersionMax="47" xr10:uidLastSave="{00000000-0000-0000-0000-000000000000}"/>
  <bookViews>
    <workbookView xWindow="4420" yWindow="680" windowWidth="24980" windowHeight="16860" xr2:uid="{00000000-000D-0000-FFFF-FFFF00000000}"/>
  </bookViews>
  <sheets>
    <sheet name="COMPARATIVO" sheetId="2" r:id="rId1"/>
    <sheet name="CORTES DE OBRA" sheetId="1" r:id="rId2"/>
  </sheets>
  <externalReferences>
    <externalReference r:id="rId3"/>
  </externalReferences>
  <definedNames>
    <definedName name="_xlnm.Print_Area" localSheetId="0">COMPARATIVO!$A$1:$G$28</definedName>
    <definedName name="_xlnm.Print_Area" localSheetId="1">'CORTES DE OBRA'!$A$1:$G$26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2" l="1"/>
  <c r="K19" i="2"/>
  <c r="K18" i="2"/>
  <c r="K17" i="2"/>
  <c r="K16" i="2" s="1"/>
  <c r="K15" i="2"/>
  <c r="K14" i="2"/>
  <c r="K12" i="2"/>
  <c r="K11" i="2"/>
  <c r="K10" i="2"/>
  <c r="K8" i="2"/>
  <c r="I10" i="2"/>
  <c r="J15" i="2"/>
  <c r="K20" i="2"/>
  <c r="K7" i="2"/>
  <c r="I7" i="2"/>
  <c r="I8" i="2"/>
  <c r="H15" i="2"/>
  <c r="G19" i="2"/>
  <c r="G8" i="2"/>
  <c r="G7" i="2"/>
  <c r="I30" i="2"/>
  <c r="I19" i="2"/>
  <c r="K13" i="2" l="1"/>
  <c r="K6" i="2"/>
  <c r="K9" i="2"/>
  <c r="K22" i="2" s="1"/>
  <c r="I21" i="2"/>
  <c r="I20" i="2" s="1"/>
  <c r="G21" i="2"/>
  <c r="G20" i="2" s="1"/>
  <c r="I18" i="2"/>
  <c r="G18" i="2"/>
  <c r="I17" i="2"/>
  <c r="I16" i="2" s="1"/>
  <c r="G17" i="2"/>
  <c r="I15" i="2"/>
  <c r="G15" i="2"/>
  <c r="I14" i="2"/>
  <c r="G14" i="2"/>
  <c r="G13" i="2" s="1"/>
  <c r="I12" i="2"/>
  <c r="G12" i="2"/>
  <c r="I11" i="2"/>
  <c r="I9" i="2" s="1"/>
  <c r="G11" i="2"/>
  <c r="G10" i="2"/>
  <c r="G9" i="2" s="1"/>
  <c r="I6" i="2"/>
  <c r="G6" i="2"/>
  <c r="M16" i="1"/>
  <c r="N14" i="1"/>
  <c r="N15" i="1"/>
  <c r="N13" i="1"/>
  <c r="K14" i="1"/>
  <c r="K15" i="1"/>
  <c r="K16" i="1"/>
  <c r="K17" i="1"/>
  <c r="K13" i="1"/>
  <c r="K6" i="1"/>
  <c r="N12" i="1"/>
  <c r="N11" i="1"/>
  <c r="L14" i="1"/>
  <c r="M13" i="1"/>
  <c r="I19" i="1"/>
  <c r="I18" i="1" s="1"/>
  <c r="I12" i="1"/>
  <c r="I13" i="1"/>
  <c r="I14" i="1"/>
  <c r="I15" i="1"/>
  <c r="I16" i="1"/>
  <c r="I11" i="1"/>
  <c r="M11" i="1"/>
  <c r="I28" i="1"/>
  <c r="H17" i="1"/>
  <c r="N17" i="1" s="1"/>
  <c r="I6" i="1"/>
  <c r="M12" i="1"/>
  <c r="M14" i="1"/>
  <c r="M15" i="1"/>
  <c r="G16" i="2" l="1"/>
  <c r="G22" i="2" s="1"/>
  <c r="I13" i="2"/>
  <c r="I22" i="2" s="1"/>
  <c r="K25" i="2"/>
  <c r="K26" i="2" s="1"/>
  <c r="K24" i="2"/>
  <c r="K23" i="2"/>
  <c r="M17" i="1"/>
  <c r="N16" i="1"/>
  <c r="K10" i="1"/>
  <c r="K20" i="1" s="1"/>
  <c r="K23" i="1" s="1"/>
  <c r="K24" i="1" s="1"/>
  <c r="I17" i="1"/>
  <c r="I10" i="1" s="1"/>
  <c r="I20" i="1" s="1"/>
  <c r="M10" i="1"/>
  <c r="I24" i="2" l="1"/>
  <c r="I25" i="2"/>
  <c r="I26" i="2" s="1"/>
  <c r="I23" i="2"/>
  <c r="K27" i="2"/>
  <c r="K28" i="2" s="1"/>
  <c r="I27" i="2"/>
  <c r="I28" i="2" s="1"/>
  <c r="I31" i="2" s="1"/>
  <c r="M34" i="2"/>
  <c r="K21" i="1"/>
  <c r="K22" i="1"/>
  <c r="I23" i="1"/>
  <c r="I24" i="1" s="1"/>
  <c r="I21" i="1"/>
  <c r="I22" i="1"/>
  <c r="Q19" i="1"/>
  <c r="Q18" i="1" s="1"/>
  <c r="N19" i="1"/>
  <c r="O19" i="1" s="1"/>
  <c r="O18" i="1" s="1"/>
  <c r="M19" i="1"/>
  <c r="M18" i="1" s="1"/>
  <c r="M20" i="1" s="1"/>
  <c r="G19" i="1"/>
  <c r="G18" i="1" s="1"/>
  <c r="P17" i="1"/>
  <c r="Q17" i="1" s="1"/>
  <c r="O17" i="1"/>
  <c r="G17" i="1"/>
  <c r="P16" i="1"/>
  <c r="Q16" i="1" s="1"/>
  <c r="G16" i="1"/>
  <c r="P15" i="1"/>
  <c r="Q15" i="1" s="1"/>
  <c r="O15" i="1"/>
  <c r="G15" i="1"/>
  <c r="Q14" i="1"/>
  <c r="G14" i="1"/>
  <c r="Q13" i="1"/>
  <c r="O13" i="1"/>
  <c r="G13" i="1"/>
  <c r="P12" i="1"/>
  <c r="Q12" i="1" s="1"/>
  <c r="O12" i="1"/>
  <c r="G12" i="1"/>
  <c r="P11" i="1"/>
  <c r="Q11" i="1" s="1"/>
  <c r="G11" i="1"/>
  <c r="Q6" i="1"/>
  <c r="O6" i="1"/>
  <c r="M6" i="1"/>
  <c r="G6" i="1"/>
  <c r="K25" i="1" l="1"/>
  <c r="K26" i="1" s="1"/>
  <c r="G10" i="1"/>
  <c r="I25" i="1"/>
  <c r="I26" i="1" s="1"/>
  <c r="I29" i="1" s="1"/>
  <c r="Q10" i="1"/>
  <c r="Q20" i="1" s="1"/>
  <c r="O11" i="1"/>
  <c r="O16" i="1"/>
  <c r="G20" i="1"/>
  <c r="G21" i="1" s="1"/>
  <c r="O14" i="1" l="1"/>
  <c r="O10" i="1" s="1"/>
  <c r="O20" i="1" s="1"/>
  <c r="G22" i="1"/>
  <c r="G23" i="1"/>
  <c r="G24" i="1" s="1"/>
  <c r="M22" i="1"/>
  <c r="Q23" i="1"/>
  <c r="Q24" i="1" s="1"/>
  <c r="Q22" i="1"/>
  <c r="Q21" i="1"/>
  <c r="O23" i="1" l="1"/>
  <c r="O24" i="1" s="1"/>
  <c r="O22" i="1"/>
  <c r="O21" i="1"/>
  <c r="G25" i="1"/>
  <c r="G26" i="1" s="1"/>
  <c r="M21" i="1"/>
  <c r="M23" i="1"/>
  <c r="M24" i="1" s="1"/>
  <c r="Q25" i="1"/>
  <c r="Q26" i="1" s="1"/>
  <c r="O25" i="1" l="1"/>
  <c r="O26" i="1" s="1"/>
  <c r="M25" i="1"/>
  <c r="M26" i="1" l="1"/>
  <c r="M32" i="1" s="1"/>
  <c r="G23" i="2" l="1"/>
  <c r="G24" i="2"/>
  <c r="G25" i="2"/>
  <c r="G26" i="2" s="1"/>
  <c r="G27" i="2" l="1"/>
  <c r="G28" i="2" s="1"/>
</calcChain>
</file>

<file path=xl/sharedStrings.xml><?xml version="1.0" encoding="utf-8"?>
<sst xmlns="http://schemas.openxmlformats.org/spreadsheetml/2006/main" count="180" uniqueCount="66">
  <si>
    <t>DIRECCION:</t>
  </si>
  <si>
    <t>CALLE 3 NORTE # 18-49 LOCAL 2</t>
  </si>
  <si>
    <t>CODIGO: FH-F-02</t>
  </si>
  <si>
    <t xml:space="preserve"> VERSIÓN: 01</t>
  </si>
  <si>
    <t>CORREO:</t>
  </si>
  <si>
    <t>CORTE #1</t>
  </si>
  <si>
    <t>SALDO</t>
  </si>
  <si>
    <t>REAL AJUSTADO</t>
  </si>
  <si>
    <t>TELEFONO:</t>
  </si>
  <si>
    <t>+57 310 461 7353</t>
  </si>
  <si>
    <t>CAPT</t>
  </si>
  <si>
    <t>ITEMS</t>
  </si>
  <si>
    <t>DESCRIPCION</t>
  </si>
  <si>
    <t>UNIDAD</t>
  </si>
  <si>
    <t>CANTIDAD</t>
  </si>
  <si>
    <t>VR UNITARIO</t>
  </si>
  <si>
    <t>VALOR DIRECTO ACTIVIDAD</t>
  </si>
  <si>
    <t>VALOR</t>
  </si>
  <si>
    <t>1.0</t>
  </si>
  <si>
    <t>PRELIMINARES</t>
  </si>
  <si>
    <t>Construcción de campamento provisional de obra y bodega para los trabajadores | deposito seguro de los materiales en obra</t>
  </si>
  <si>
    <t>UND</t>
  </si>
  <si>
    <t>INCLUIDO</t>
  </si>
  <si>
    <t>Instalación y demarcación de con avisos y señalética necesaria como: salidas vehiculares y peatonales | colocación de señales de precaución caída de objetos, transite con cuidado, instalación de conos y colombinas para demarcar senderos peatonales etc.… toda la implementación del sistema de gestión para la prevención de riesgos laborales</t>
  </si>
  <si>
    <t>GLB</t>
  </si>
  <si>
    <t>FACHADAS</t>
  </si>
  <si>
    <t>FACHADAS Y COMPLEMENTARIOS</t>
  </si>
  <si>
    <t>Limpieza de fachadas, incluye protección con polisombra</t>
  </si>
  <si>
    <t>MT2</t>
  </si>
  <si>
    <t>Mantenimiento y revoque de fachadas con graniplast antihongos o similar (5% del área de pintura de fachadas)</t>
  </si>
  <si>
    <t>Limpieza y sello con silicona plastica Sika o similar, alrededor de ventanas de fachada. No aplica para ventanas internas</t>
  </si>
  <si>
    <t>ML</t>
  </si>
  <si>
    <t>Pintura en fachadas exteriores (Koraza o similar). Dos manos color blanco, negro y morado a diferentes tonos, incluye protección con polisombra</t>
  </si>
  <si>
    <t>Limpieza de fachada en piedra. Incluye la aplicación de hidrofugo Siliconite de Pintuco o similar</t>
  </si>
  <si>
    <t>Pintura con esmalte para barandas metalicas balcones y rejas metalicas de fachada. Dos manos- Aplica solamente para elementos de fachada</t>
  </si>
  <si>
    <t>Estuco y pintura Techos balcones. Dos manos de pintura</t>
  </si>
  <si>
    <t>TERMINADO Y LIMPIEZA</t>
  </si>
  <si>
    <t>Aseo general y retiro de pintura.</t>
  </si>
  <si>
    <t>TOTALES DIRECTOS</t>
  </si>
  <si>
    <t>Administracion</t>
  </si>
  <si>
    <t>Imprevistos</t>
  </si>
  <si>
    <t>Utilidad</t>
  </si>
  <si>
    <t>IVA/U</t>
  </si>
  <si>
    <t>TOTAL INDIRECTOS</t>
  </si>
  <si>
    <t>TOTAL PROPUESTA</t>
  </si>
  <si>
    <t>TOTAL CORTE</t>
  </si>
  <si>
    <t>Anticipo por amortizar</t>
  </si>
  <si>
    <t>TOTAL PAGO CORTE</t>
  </si>
  <si>
    <t>Amortizacion 100%</t>
  </si>
  <si>
    <t>CORTES DE OBRA - CONJUNTO RESIDENCIAL HEBRON</t>
  </si>
  <si>
    <t>CORTE #2</t>
  </si>
  <si>
    <t>Gerencia@freshouse.com.co</t>
  </si>
  <si>
    <t>x</t>
  </si>
  <si>
    <t>CORTE #3</t>
  </si>
  <si>
    <t>Instalación y demarcación de con avisos y señalética necesaria como: salidas vehiculares y peatonales | Colocación de señales de precaución, caída de objetos, transite con cuidado, instalación de conos y colombinas para demarcar senderos peatonales etc... toda la implementación del sistema de gestión para la prevención de riesgos laborales</t>
  </si>
  <si>
    <t>Lavado y limpieza de las superficies que presenten hongos en el edificio incluye, ventanas, vidrieras, paredes. La limpieza se realizará el lavado con bactericidas o hipoclorito al 10%, escoba según sea el caso | se debe de lavar todas las superficies de las fachadas del edificio, se debe eliminar polvos y grasas que impidan que los productos a aplicar queden bien adheridos y cumplan con su estabilidad.</t>
  </si>
  <si>
    <t>Levantamieno y remoción de material desprendido en las fachadas del edificio incluye mampostería, concreto y fachadas flotantes, se debe desprender todo material desprendido evidenciado a la vista, suelto por formación de hongos o mal adherido y además se deben retirar sectores complementarios a los afectados para unificar y regularizar las reparaciones.</t>
  </si>
  <si>
    <t>Lavado y limpieza de alfagías del edificio, la limpieza se realizará con bactericidas o hipoclorito al 10% y raspado con grata de acero  equipo de presión</t>
  </si>
  <si>
    <t>Se sellará de manera manual en todo el perímetro del marco de la ventaneria y se aplicará soudal</t>
  </si>
  <si>
    <t>Tratamiento para las dilataciones del edificio, dilataciones de la mamposteria en ladrillo y concreto (vigas) incluye tratamiento con pintucofill 7 años no solo en la dilatación sino un área de 5 cm hacia la parte superior de la dilatación y 5 cm hacia la parte inferior, para los casos que lo requieran se separara con estuka pañete de Sika y acabado con graniplast de Pintuco</t>
  </si>
  <si>
    <t>Resanes en zonas necesarias en los cuales se realizará aplicación de imprimante, aplicación de producto e imprimación nuevamente</t>
  </si>
  <si>
    <t>Suministro y aplicación de pintura koraza pro 550 sobre todas las fachadas del edificio a dos manos teniendo en cuenta un minimo de 3 horas entre manos para proteger uniformemente todas las superficies del edificio. Incluye la aplicación de colores especificos segun los diseños presentados, aplicacion de pintura sobe todas las paredes de las fachadas, cielo raso de balcones, fachadas flotantes</t>
  </si>
  <si>
    <t>Suministro y aplicación de pintura de Silicone de pintuco sobre ladrillos a la vista como protección, siguiendo ficha tecnica de fabricante</t>
  </si>
  <si>
    <t>CORTES DE OBRA - EDIFICIO EL PORTAL</t>
  </si>
  <si>
    <t>5.1</t>
  </si>
  <si>
    <t>DEMOLICIÓN - PREPARADO DE SUPERFICIE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</si>
</sst>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 #,##0_-;\-&quot;$&quot;\ * #,##0_-;_-&quot;$&quot;\ * &quot;-&quot;_-;_-@_-"/>
    <numFmt numFmtId="44" formatCode="_-&quot;$&quot;\ * #,##0.00_-;\-&quot;$&quot;\ * #,##0.00_-;_-&quot;$&quot;\ * &quot;-&quot;??_-;_-@_-"/>
    <numFmt numFmtId="43" formatCode="_-* #,##0.00_-;\-* #,##0.00_-;_-* &quot;-&quot;??_-;_-@_-"/>
    <numFmt numFmtId="164" formatCode="0.0"/>
    <numFmt numFmtId="165" formatCode="_-&quot;$&quot;\ * #,##0_-;\-&quot;$&quot;\ * #,##0_-;_-&quot;$&quot;\ * &quot;-&quot;??_-;_-@_-"/>
    <numFmt numFmtId="166" formatCode="_-&quot;$&quot;* #,##0.00_-;\-&quot;$&quot;* #,##0.00_-;_-&quot;$&quot;* &quot;-&quot;??_-;_-@_-"/>
  </numFmts>
  <fonts count="16">
    <font>
      <sz val="11"/>
      <color theme="1"/>
      <name val="Calibri"/>
      <family val="2"/>
      <scheme val="minor"/>
    </font>
    <font>
      <sz val="11"/>
      <color theme="1"/>
      <name val="Calibri"/>
      <family val="2"/>
      <scheme val="minor"/>
    </font>
    <font>
      <b/>
      <sz val="11"/>
      <color theme="0"/>
      <name val="Swis721 BT"/>
      <family val="2"/>
    </font>
    <font>
      <sz val="11"/>
      <color theme="1"/>
      <name val="Swis721 BT"/>
      <family val="2"/>
    </font>
    <font>
      <b/>
      <sz val="11"/>
      <color theme="1"/>
      <name val="Swis721 BT"/>
      <family val="2"/>
    </font>
    <font>
      <sz val="11"/>
      <color theme="0"/>
      <name val="Swis721 BT"/>
      <family val="2"/>
    </font>
    <font>
      <sz val="11"/>
      <color rgb="FF000000"/>
      <name val="Swis721 BT"/>
      <family val="2"/>
    </font>
    <font>
      <b/>
      <sz val="11"/>
      <color rgb="FFFF0000"/>
      <name val="Swis721 BT"/>
      <family val="2"/>
    </font>
    <font>
      <b/>
      <sz val="11"/>
      <color rgb="FF000000"/>
      <name val="Swis721 BT"/>
      <family val="2"/>
    </font>
    <font>
      <sz val="11"/>
      <name val="Swis721 BT"/>
      <family val="2"/>
    </font>
    <font>
      <b/>
      <sz val="14"/>
      <color theme="1"/>
      <name val="Century Gothic"/>
      <family val="2"/>
    </font>
    <font>
      <sz val="8"/>
      <name val="Calibri"/>
      <family val="2"/>
      <scheme val="minor"/>
    </font>
    <font>
      <b/>
      <sz val="14"/>
      <color theme="1"/>
      <name val="Swis721 BT"/>
    </font>
    <font>
      <b/>
      <sz val="12"/>
      <color theme="1"/>
      <name val="Century Gothic"/>
      <family val="2"/>
    </font>
    <font>
      <sz val="11"/>
      <color theme="1"/>
      <name val="Swis721 BT"/>
    </font>
    <font>
      <b/>
      <sz val="11"/>
      <color rgb="FFFFFFFF"/>
      <name val="Swis721 BT"/>
      <family val="2"/>
    </font>
  </fonts>
  <fills count="24">
    <fill>
      <patternFill patternType="none"/>
    </fill>
    <fill>
      <patternFill patternType="gray125"/>
    </fill>
    <fill>
      <patternFill patternType="solid">
        <fgColor rgb="FF447684"/>
        <bgColor indexed="64"/>
      </patternFill>
    </fill>
    <fill>
      <patternFill patternType="solid">
        <fgColor theme="0" tint="-0.499984740745262"/>
        <bgColor indexed="64"/>
      </patternFill>
    </fill>
    <fill>
      <patternFill patternType="solid">
        <fgColor rgb="FFFA9760"/>
        <bgColor indexed="64"/>
      </patternFill>
    </fill>
    <fill>
      <patternFill patternType="solid">
        <fgColor theme="5"/>
        <bgColor indexed="64"/>
      </patternFill>
    </fill>
    <fill>
      <patternFill patternType="solid">
        <fgColor rgb="FF64A0B0"/>
        <bgColor indexed="64"/>
      </patternFill>
    </fill>
    <fill>
      <patternFill patternType="solid">
        <fgColor theme="0" tint="-0.249977111117893"/>
        <bgColor indexed="64"/>
      </patternFill>
    </fill>
    <fill>
      <patternFill patternType="solid">
        <fgColor rgb="FFFFA86D"/>
        <bgColor indexed="64"/>
      </patternFill>
    </fill>
    <fill>
      <patternFill patternType="solid">
        <fgColor rgb="FFFFFF00"/>
        <bgColor indexed="64"/>
      </patternFill>
    </fill>
    <fill>
      <patternFill patternType="solid">
        <fgColor rgb="FFA7C9D2"/>
        <bgColor indexed="64"/>
      </patternFill>
    </fill>
    <fill>
      <patternFill patternType="solid">
        <fgColor theme="0" tint="-0.14999847407452621"/>
        <bgColor indexed="64"/>
      </patternFill>
    </fill>
    <fill>
      <patternFill patternType="solid">
        <fgColor rgb="FFF4C566"/>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64A0B0"/>
        <bgColor rgb="FF000000"/>
      </patternFill>
    </fill>
    <fill>
      <patternFill patternType="solid">
        <fgColor rgb="FFFFA86D"/>
        <bgColor rgb="FF000000"/>
      </patternFill>
    </fill>
    <fill>
      <patternFill patternType="solid">
        <fgColor theme="9" tint="0.59999389629810485"/>
        <bgColor indexed="64"/>
      </patternFill>
    </fill>
    <fill>
      <patternFill patternType="solid">
        <fgColor theme="9" tint="-0.249977111117893"/>
        <bgColor indexed="64"/>
      </patternFill>
    </fill>
    <fill>
      <patternFill patternType="solid">
        <fgColor theme="9" tint="-0.249977111117893"/>
        <bgColor rgb="FF000000"/>
      </patternFill>
    </fill>
    <fill>
      <patternFill patternType="solid">
        <fgColor theme="9" tint="-0.499984740745262"/>
        <bgColor indexed="64"/>
      </patternFill>
    </fill>
  </fills>
  <borders count="30">
    <border>
      <left/>
      <right/>
      <top/>
      <bottom/>
      <diagonal/>
    </border>
    <border>
      <left style="thin">
        <color rgb="FF505050"/>
      </left>
      <right/>
      <top style="thin">
        <color rgb="FF505050"/>
      </top>
      <bottom style="thin">
        <color indexed="64"/>
      </bottom>
      <diagonal/>
    </border>
    <border>
      <left/>
      <right/>
      <top style="thin">
        <color rgb="FF505050"/>
      </top>
      <bottom style="thin">
        <color indexed="64"/>
      </bottom>
      <diagonal/>
    </border>
    <border>
      <left/>
      <right style="thin">
        <color rgb="FF505050"/>
      </right>
      <top style="thin">
        <color rgb="FF505050"/>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505050"/>
      </left>
      <right style="thin">
        <color rgb="FF505050"/>
      </right>
      <top/>
      <bottom style="thin">
        <color rgb="FF505050"/>
      </bottom>
      <diagonal/>
    </border>
    <border>
      <left style="thin">
        <color rgb="FF505050"/>
      </left>
      <right/>
      <top/>
      <bottom style="thin">
        <color rgb="FF505050"/>
      </bottom>
      <diagonal/>
    </border>
    <border>
      <left style="thin">
        <color rgb="FF505050"/>
      </left>
      <right/>
      <top style="thin">
        <color rgb="FF505050"/>
      </top>
      <bottom/>
      <diagonal/>
    </border>
    <border>
      <left/>
      <right/>
      <top style="thin">
        <color rgb="FF505050"/>
      </top>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style="thin">
        <color rgb="FF505050"/>
      </left>
      <right/>
      <top style="thin">
        <color indexed="64"/>
      </top>
      <bottom style="thin">
        <color indexed="64"/>
      </bottom>
      <diagonal/>
    </border>
    <border>
      <left/>
      <right/>
      <top style="thin">
        <color indexed="64"/>
      </top>
      <bottom style="thin">
        <color indexed="64"/>
      </bottom>
      <diagonal/>
    </border>
    <border>
      <left/>
      <right style="thin">
        <color rgb="FF505050"/>
      </right>
      <top style="thin">
        <color indexed="64"/>
      </top>
      <bottom style="thin">
        <color indexed="64"/>
      </bottom>
      <diagonal/>
    </border>
    <border>
      <left style="thin">
        <color rgb="FF505050"/>
      </left>
      <right/>
      <top/>
      <bottom/>
      <diagonal/>
    </border>
    <border>
      <left style="thin">
        <color indexed="64"/>
      </left>
      <right style="thin">
        <color indexed="64"/>
      </right>
      <top/>
      <bottom style="thin">
        <color indexed="64"/>
      </bottom>
      <diagonal/>
    </border>
    <border>
      <left style="thin">
        <color rgb="FF505050"/>
      </left>
      <right style="thin">
        <color rgb="FF505050"/>
      </right>
      <top style="thin">
        <color rgb="FF505050"/>
      </top>
      <bottom style="thin">
        <color rgb="FF505050"/>
      </bottom>
      <diagonal/>
    </border>
    <border>
      <left/>
      <right style="thin">
        <color rgb="FF505050"/>
      </right>
      <top style="thin">
        <color rgb="FF505050"/>
      </top>
      <bottom style="thin">
        <color rgb="FF505050"/>
      </bottom>
      <diagonal/>
    </border>
    <border>
      <left/>
      <right/>
      <top/>
      <bottom style="thin">
        <color rgb="FF505050"/>
      </bottom>
      <diagonal/>
    </border>
    <border>
      <left/>
      <right/>
      <top style="thin">
        <color indexed="64"/>
      </top>
      <bottom/>
      <diagonal/>
    </border>
    <border>
      <left/>
      <right style="thin">
        <color rgb="FF505050"/>
      </right>
      <top style="thin">
        <color rgb="FF505050"/>
      </top>
      <bottom/>
      <diagonal/>
    </border>
    <border>
      <left style="thin">
        <color rgb="FF505050"/>
      </left>
      <right style="thin">
        <color rgb="FF505050"/>
      </right>
      <top style="thin">
        <color rgb="FF505050"/>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2" fontId="1" fillId="0" borderId="0" applyFont="0" applyFill="0" applyBorder="0" applyAlignment="0" applyProtection="0"/>
  </cellStyleXfs>
  <cellXfs count="169">
    <xf numFmtId="0" fontId="0" fillId="0" borderId="0" xfId="0"/>
    <xf numFmtId="0" fontId="3" fillId="0" borderId="0" xfId="0" applyFont="1" applyAlignment="1">
      <alignment vertical="center"/>
    </xf>
    <xf numFmtId="0" fontId="4" fillId="0" borderId="6" xfId="0" applyFont="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5" borderId="6" xfId="0" applyFont="1" applyFill="1" applyBorder="1" applyAlignment="1">
      <alignment horizontal="center" vertical="center" wrapText="1"/>
    </xf>
    <xf numFmtId="164" fontId="2" fillId="6" borderId="15" xfId="0" applyNumberFormat="1" applyFont="1" applyFill="1" applyBorder="1" applyAlignment="1">
      <alignment horizontal="center" vertical="center" wrapText="1"/>
    </xf>
    <xf numFmtId="0" fontId="2" fillId="6" borderId="16" xfId="0" applyFont="1" applyFill="1" applyBorder="1" applyAlignment="1">
      <alignment vertical="center" wrapText="1"/>
    </xf>
    <xf numFmtId="165" fontId="5" fillId="6" borderId="17" xfId="0" applyNumberFormat="1" applyFont="1" applyFill="1" applyBorder="1" applyAlignment="1">
      <alignment horizontal="left" vertical="center" wrapText="1"/>
    </xf>
    <xf numFmtId="0" fontId="2" fillId="6" borderId="6" xfId="0" applyFont="1" applyFill="1" applyBorder="1" applyAlignment="1">
      <alignment vertical="center" wrapText="1"/>
    </xf>
    <xf numFmtId="165" fontId="5" fillId="6" borderId="6" xfId="0" applyNumberFormat="1" applyFont="1" applyFill="1" applyBorder="1" applyAlignment="1">
      <alignment horizontal="left" vertical="center" wrapText="1"/>
    </xf>
    <xf numFmtId="0" fontId="2" fillId="7" borderId="6" xfId="0" applyFont="1" applyFill="1" applyBorder="1" applyAlignment="1">
      <alignment vertical="center" wrapText="1"/>
    </xf>
    <xf numFmtId="165" fontId="5" fillId="7" borderId="6" xfId="0" applyNumberFormat="1" applyFont="1" applyFill="1" applyBorder="1" applyAlignment="1">
      <alignment horizontal="left" vertical="center" wrapText="1"/>
    </xf>
    <xf numFmtId="0" fontId="2" fillId="8" borderId="6" xfId="0" applyFont="1" applyFill="1" applyBorder="1" applyAlignment="1">
      <alignment vertical="center" wrapText="1"/>
    </xf>
    <xf numFmtId="165" fontId="5" fillId="8" borderId="6" xfId="0" applyNumberFormat="1" applyFont="1" applyFill="1" applyBorder="1" applyAlignment="1">
      <alignment horizontal="left"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0" fontId="6" fillId="0" borderId="6" xfId="0" applyFont="1" applyBorder="1" applyAlignment="1">
      <alignment vertical="center" wrapText="1"/>
    </xf>
    <xf numFmtId="0" fontId="3" fillId="0" borderId="5" xfId="0" applyFont="1" applyBorder="1" applyAlignment="1">
      <alignment horizontal="center" vertical="center" wrapText="1"/>
    </xf>
    <xf numFmtId="43" fontId="3" fillId="0" borderId="6" xfId="1" applyFont="1" applyFill="1" applyBorder="1" applyAlignment="1">
      <alignment vertical="center" wrapText="1"/>
    </xf>
    <xf numFmtId="165" fontId="7" fillId="9" borderId="6" xfId="0" applyNumberFormat="1" applyFont="1" applyFill="1" applyBorder="1" applyAlignment="1">
      <alignment horizontal="center" vertical="center" wrapText="1"/>
    </xf>
    <xf numFmtId="165" fontId="3" fillId="0" borderId="18" xfId="0" applyNumberFormat="1" applyFont="1" applyBorder="1" applyAlignment="1">
      <alignment horizontal="left" vertical="center" wrapText="1"/>
    </xf>
    <xf numFmtId="165" fontId="3" fillId="0" borderId="6" xfId="0" applyNumberFormat="1" applyFont="1" applyBorder="1" applyAlignment="1">
      <alignment horizontal="left" vertical="center" wrapText="1"/>
    </xf>
    <xf numFmtId="164" fontId="2" fillId="2" borderId="19" xfId="0" applyNumberFormat="1" applyFont="1" applyFill="1" applyBorder="1" applyAlignment="1">
      <alignment horizontal="center" vertical="center" wrapText="1"/>
    </xf>
    <xf numFmtId="0" fontId="2" fillId="2" borderId="20" xfId="0" applyFont="1" applyFill="1" applyBorder="1" applyAlignment="1">
      <alignment vertical="center" wrapText="1"/>
    </xf>
    <xf numFmtId="0" fontId="2" fillId="2" borderId="6" xfId="0" applyFont="1" applyFill="1" applyBorder="1" applyAlignment="1">
      <alignment vertical="center" wrapText="1"/>
    </xf>
    <xf numFmtId="43" fontId="2" fillId="2" borderId="20" xfId="0" applyNumberFormat="1" applyFont="1" applyFill="1" applyBorder="1" applyAlignment="1">
      <alignment vertical="center" wrapText="1"/>
    </xf>
    <xf numFmtId="0" fontId="2" fillId="2" borderId="21" xfId="0" applyFont="1" applyFill="1" applyBorder="1" applyAlignment="1">
      <alignment vertical="center" wrapText="1"/>
    </xf>
    <xf numFmtId="165" fontId="2" fillId="2" borderId="17" xfId="0" applyNumberFormat="1" applyFont="1" applyFill="1" applyBorder="1" applyAlignment="1">
      <alignment horizontal="left" vertical="center" wrapText="1"/>
    </xf>
    <xf numFmtId="43" fontId="2" fillId="2" borderId="6" xfId="0" applyNumberFormat="1" applyFont="1" applyFill="1" applyBorder="1" applyAlignment="1">
      <alignment vertical="center" wrapText="1"/>
    </xf>
    <xf numFmtId="165" fontId="2" fillId="2" borderId="6" xfId="0" applyNumberFormat="1" applyFont="1" applyFill="1" applyBorder="1" applyAlignment="1">
      <alignment horizontal="left" vertical="center" wrapText="1"/>
    </xf>
    <xf numFmtId="43" fontId="2" fillId="3" borderId="6" xfId="0" applyNumberFormat="1" applyFont="1" applyFill="1" applyBorder="1" applyAlignment="1">
      <alignment vertical="center" wrapText="1"/>
    </xf>
    <xf numFmtId="165" fontId="2" fillId="3" borderId="6" xfId="0" applyNumberFormat="1" applyFont="1" applyFill="1" applyBorder="1" applyAlignment="1">
      <alignment horizontal="left" vertical="center" wrapText="1"/>
    </xf>
    <xf numFmtId="164" fontId="2" fillId="6" borderId="22" xfId="0" applyNumberFormat="1" applyFont="1" applyFill="1" applyBorder="1" applyAlignment="1">
      <alignment horizontal="center" vertical="center" wrapText="1"/>
    </xf>
    <xf numFmtId="0" fontId="2" fillId="6" borderId="0" xfId="0" applyFont="1" applyFill="1" applyAlignment="1">
      <alignment vertical="center" wrapText="1"/>
    </xf>
    <xf numFmtId="0" fontId="2" fillId="6" borderId="23" xfId="0" applyFont="1" applyFill="1" applyBorder="1" applyAlignment="1">
      <alignment vertical="center" wrapText="1"/>
    </xf>
    <xf numFmtId="43" fontId="2" fillId="6" borderId="0" xfId="0" applyNumberFormat="1" applyFont="1" applyFill="1" applyAlignment="1">
      <alignment vertical="center" wrapText="1"/>
    </xf>
    <xf numFmtId="165" fontId="2" fillId="6" borderId="17" xfId="0" applyNumberFormat="1" applyFont="1" applyFill="1" applyBorder="1" applyAlignment="1">
      <alignment horizontal="left" vertical="center" wrapText="1"/>
    </xf>
    <xf numFmtId="43" fontId="2" fillId="6" borderId="6" xfId="0" applyNumberFormat="1" applyFont="1" applyFill="1" applyBorder="1" applyAlignment="1">
      <alignment vertical="center" wrapText="1"/>
    </xf>
    <xf numFmtId="165" fontId="2" fillId="6" borderId="6" xfId="0" applyNumberFormat="1" applyFont="1" applyFill="1" applyBorder="1" applyAlignment="1">
      <alignment horizontal="left" vertical="center" wrapText="1"/>
    </xf>
    <xf numFmtId="43" fontId="2" fillId="7" borderId="6" xfId="0" applyNumberFormat="1" applyFont="1" applyFill="1" applyBorder="1" applyAlignment="1">
      <alignment vertical="center" wrapText="1"/>
    </xf>
    <xf numFmtId="165" fontId="2" fillId="7" borderId="6" xfId="0" applyNumberFormat="1" applyFont="1" applyFill="1" applyBorder="1" applyAlignment="1">
      <alignment horizontal="left" vertical="center" wrapText="1"/>
    </xf>
    <xf numFmtId="0" fontId="4" fillId="0" borderId="0" xfId="0" applyFont="1" applyAlignment="1">
      <alignment vertical="center"/>
    </xf>
    <xf numFmtId="0" fontId="4" fillId="0" borderId="24"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25" xfId="0" applyFont="1" applyBorder="1" applyAlignment="1">
      <alignment horizontal="center" vertical="center" wrapText="1"/>
    </xf>
    <xf numFmtId="43" fontId="3" fillId="0" borderId="24" xfId="1" applyFont="1" applyFill="1" applyBorder="1" applyAlignment="1">
      <alignment vertical="center" wrapText="1"/>
    </xf>
    <xf numFmtId="165" fontId="3" fillId="0" borderId="24" xfId="0" applyNumberFormat="1" applyFont="1" applyBorder="1" applyAlignment="1">
      <alignment horizontal="left" vertical="center" wrapText="1"/>
    </xf>
    <xf numFmtId="43" fontId="3" fillId="0" borderId="0" xfId="0" applyNumberFormat="1" applyFont="1" applyAlignment="1">
      <alignment vertical="center"/>
    </xf>
    <xf numFmtId="0" fontId="4" fillId="0" borderId="15" xfId="0" applyFont="1" applyBorder="1" applyAlignment="1">
      <alignment horizontal="center" vertical="center" wrapText="1"/>
    </xf>
    <xf numFmtId="43" fontId="3" fillId="0" borderId="16" xfId="1" applyFont="1" applyFill="1" applyBorder="1" applyAlignment="1">
      <alignment vertical="center" wrapText="1"/>
    </xf>
    <xf numFmtId="43" fontId="2" fillId="6" borderId="16" xfId="0" applyNumberFormat="1" applyFont="1" applyFill="1" applyBorder="1" applyAlignment="1">
      <alignment vertical="center" wrapText="1"/>
    </xf>
    <xf numFmtId="0" fontId="8" fillId="0" borderId="6"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3" fillId="0" borderId="0" xfId="0" applyFont="1" applyAlignment="1">
      <alignment horizontal="center" vertical="center"/>
    </xf>
    <xf numFmtId="165" fontId="2" fillId="2" borderId="26" xfId="0" applyNumberFormat="1" applyFont="1" applyFill="1" applyBorder="1" applyAlignment="1">
      <alignment vertical="center"/>
    </xf>
    <xf numFmtId="165" fontId="2" fillId="2" borderId="6" xfId="0" applyNumberFormat="1" applyFont="1" applyFill="1" applyBorder="1" applyAlignment="1">
      <alignment vertical="center"/>
    </xf>
    <xf numFmtId="165" fontId="2" fillId="3" borderId="6" xfId="0" applyNumberFormat="1" applyFont="1" applyFill="1" applyBorder="1" applyAlignment="1">
      <alignment vertical="center"/>
    </xf>
    <xf numFmtId="165" fontId="2" fillId="5" borderId="6" xfId="0" applyNumberFormat="1" applyFont="1" applyFill="1" applyBorder="1" applyAlignment="1">
      <alignment horizontal="center" vertical="center" wrapText="1"/>
    </xf>
    <xf numFmtId="9" fontId="3" fillId="0" borderId="6" xfId="3" applyFont="1" applyFill="1" applyBorder="1" applyAlignment="1">
      <alignment horizontal="center" vertical="center"/>
    </xf>
    <xf numFmtId="165" fontId="3" fillId="0" borderId="18" xfId="2" applyNumberFormat="1" applyFont="1" applyFill="1" applyBorder="1" applyAlignment="1">
      <alignment vertical="center"/>
    </xf>
    <xf numFmtId="0" fontId="3" fillId="0" borderId="6" xfId="0" applyFont="1" applyBorder="1" applyAlignment="1">
      <alignment vertical="center"/>
    </xf>
    <xf numFmtId="165" fontId="3" fillId="0" borderId="6" xfId="2" applyNumberFormat="1" applyFont="1" applyFill="1" applyBorder="1" applyAlignment="1">
      <alignment vertical="center"/>
    </xf>
    <xf numFmtId="165" fontId="4" fillId="6" borderId="18" xfId="0" applyNumberFormat="1" applyFont="1" applyFill="1" applyBorder="1" applyAlignment="1">
      <alignment vertical="center"/>
    </xf>
    <xf numFmtId="165" fontId="4" fillId="6" borderId="6" xfId="0" applyNumberFormat="1" applyFont="1" applyFill="1" applyBorder="1" applyAlignment="1">
      <alignment vertical="center"/>
    </xf>
    <xf numFmtId="165" fontId="4" fillId="7" borderId="6" xfId="0" applyNumberFormat="1" applyFont="1" applyFill="1" applyBorder="1" applyAlignment="1">
      <alignment vertical="center"/>
    </xf>
    <xf numFmtId="165" fontId="4" fillId="8" borderId="6" xfId="0" applyNumberFormat="1" applyFont="1" applyFill="1" applyBorder="1" applyAlignment="1">
      <alignment vertical="center"/>
    </xf>
    <xf numFmtId="165" fontId="4" fillId="10" borderId="18" xfId="0" applyNumberFormat="1" applyFont="1" applyFill="1" applyBorder="1" applyAlignment="1">
      <alignment vertical="center"/>
    </xf>
    <xf numFmtId="165" fontId="4" fillId="10" borderId="6" xfId="0" applyNumberFormat="1" applyFont="1" applyFill="1" applyBorder="1" applyAlignment="1">
      <alignment vertical="center"/>
    </xf>
    <xf numFmtId="165" fontId="4" fillId="11" borderId="6" xfId="0" applyNumberFormat="1" applyFont="1" applyFill="1" applyBorder="1" applyAlignment="1">
      <alignment vertical="center"/>
    </xf>
    <xf numFmtId="165" fontId="4" fillId="12" borderId="6" xfId="0" applyNumberFormat="1" applyFont="1" applyFill="1" applyBorder="1" applyAlignment="1">
      <alignment vertical="center"/>
    </xf>
    <xf numFmtId="165" fontId="3" fillId="0" borderId="0" xfId="0" applyNumberFormat="1" applyFont="1" applyAlignment="1">
      <alignment vertical="center"/>
    </xf>
    <xf numFmtId="43" fontId="3" fillId="13" borderId="24" xfId="1" applyFont="1" applyFill="1" applyBorder="1" applyAlignment="1">
      <alignment vertical="center" wrapText="1"/>
    </xf>
    <xf numFmtId="42" fontId="3" fillId="0" borderId="6" xfId="4" applyFont="1" applyBorder="1" applyAlignment="1">
      <alignment horizontal="left"/>
    </xf>
    <xf numFmtId="44" fontId="9" fillId="0" borderId="6" xfId="2" applyFont="1" applyBorder="1" applyAlignment="1">
      <alignment horizontal="left" vertical="center"/>
    </xf>
    <xf numFmtId="166" fontId="3" fillId="0" borderId="6" xfId="0" applyNumberFormat="1" applyFont="1" applyBorder="1" applyAlignment="1">
      <alignment horizontal="left"/>
    </xf>
    <xf numFmtId="0" fontId="3" fillId="0" borderId="6" xfId="0" applyFont="1" applyBorder="1" applyAlignment="1">
      <alignment horizontal="left" vertical="center"/>
    </xf>
    <xf numFmtId="43" fontId="3" fillId="13" borderId="6" xfId="1" applyFont="1" applyFill="1" applyBorder="1" applyAlignment="1">
      <alignment vertical="center" wrapText="1"/>
    </xf>
    <xf numFmtId="43" fontId="3" fillId="0" borderId="13" xfId="1" applyFont="1" applyFill="1" applyBorder="1" applyAlignment="1">
      <alignment vertical="center" wrapText="1"/>
    </xf>
    <xf numFmtId="2" fontId="3" fillId="0" borderId="6" xfId="0" applyNumberFormat="1" applyFont="1" applyBorder="1" applyAlignment="1">
      <alignment vertical="center"/>
    </xf>
    <xf numFmtId="0" fontId="2" fillId="2" borderId="2" xfId="0" applyFont="1" applyFill="1" applyBorder="1" applyAlignment="1">
      <alignment horizontal="center" vertical="center" wrapText="1"/>
    </xf>
    <xf numFmtId="165" fontId="0" fillId="0" borderId="0" xfId="0" applyNumberFormat="1"/>
    <xf numFmtId="10" fontId="3" fillId="0" borderId="0" xfId="0" applyNumberFormat="1" applyFont="1" applyAlignment="1">
      <alignment vertical="center"/>
    </xf>
    <xf numFmtId="4" fontId="0" fillId="0" borderId="4" xfId="0" applyNumberFormat="1" applyBorder="1" applyAlignment="1">
      <alignment horizontal="center" vertical="center"/>
    </xf>
    <xf numFmtId="165" fontId="4" fillId="16" borderId="6" xfId="0" applyNumberFormat="1" applyFont="1" applyFill="1" applyBorder="1" applyAlignment="1">
      <alignment vertical="center"/>
    </xf>
    <xf numFmtId="165" fontId="2" fillId="16" borderId="6" xfId="0" applyNumberFormat="1" applyFont="1" applyFill="1" applyBorder="1" applyAlignment="1">
      <alignment vertical="center"/>
    </xf>
    <xf numFmtId="165" fontId="4" fillId="17" borderId="6" xfId="0" applyNumberFormat="1" applyFont="1" applyFill="1" applyBorder="1" applyAlignment="1">
      <alignment vertical="center"/>
    </xf>
    <xf numFmtId="165" fontId="14" fillId="13" borderId="6" xfId="0" applyNumberFormat="1" applyFont="1" applyFill="1" applyBorder="1" applyAlignment="1">
      <alignment horizontal="center" vertical="center" wrapText="1"/>
    </xf>
    <xf numFmtId="165" fontId="3" fillId="0" borderId="16" xfId="0" applyNumberFormat="1" applyFont="1" applyBorder="1" applyAlignment="1">
      <alignment horizontal="center" vertical="center" wrapText="1"/>
    </xf>
    <xf numFmtId="165" fontId="3" fillId="0" borderId="18" xfId="0" applyNumberFormat="1" applyFont="1" applyBorder="1" applyAlignment="1">
      <alignment horizontal="center" vertical="center" wrapText="1"/>
    </xf>
    <xf numFmtId="4" fontId="0" fillId="0" borderId="7" xfId="0" applyNumberFormat="1" applyBorder="1" applyAlignment="1">
      <alignment horizontal="center" vertical="center"/>
    </xf>
    <xf numFmtId="164" fontId="15" fillId="18" borderId="22" xfId="0" applyNumberFormat="1" applyFont="1" applyFill="1" applyBorder="1" applyAlignment="1">
      <alignment horizontal="center" vertical="center" wrapText="1"/>
    </xf>
    <xf numFmtId="0" fontId="8" fillId="0" borderId="0" xfId="0" applyFont="1" applyAlignment="1">
      <alignment vertical="center"/>
    </xf>
    <xf numFmtId="165" fontId="3" fillId="0" borderId="24" xfId="0" applyNumberFormat="1" applyFont="1" applyBorder="1" applyAlignment="1">
      <alignment horizontal="center" vertical="center" wrapText="1"/>
    </xf>
    <xf numFmtId="165" fontId="3" fillId="0" borderId="6" xfId="0" applyNumberFormat="1" applyFont="1" applyBorder="1" applyAlignment="1">
      <alignment horizontal="center" vertical="center" wrapText="1"/>
    </xf>
    <xf numFmtId="0" fontId="2" fillId="6" borderId="0" xfId="0" applyFont="1" applyFill="1" applyAlignment="1">
      <alignment horizontal="center" vertical="center" wrapText="1"/>
    </xf>
    <xf numFmtId="43" fontId="2" fillId="6" borderId="0" xfId="0" applyNumberFormat="1" applyFont="1" applyFill="1" applyAlignment="1">
      <alignment horizontal="center" vertical="center" wrapText="1"/>
    </xf>
    <xf numFmtId="165" fontId="2" fillId="6" borderId="17" xfId="0" applyNumberFormat="1" applyFont="1" applyFill="1" applyBorder="1" applyAlignment="1">
      <alignment horizontal="center" vertical="center" wrapText="1"/>
    </xf>
    <xf numFmtId="0" fontId="2" fillId="8" borderId="6" xfId="0" applyFont="1" applyFill="1" applyBorder="1" applyAlignment="1">
      <alignment horizontal="center" vertical="center" wrapText="1"/>
    </xf>
    <xf numFmtId="165" fontId="5" fillId="8" borderId="6" xfId="0" applyNumberFormat="1" applyFont="1" applyFill="1" applyBorder="1" applyAlignment="1">
      <alignment horizontal="center" vertical="center" wrapText="1"/>
    </xf>
    <xf numFmtId="0" fontId="15" fillId="18" borderId="0" xfId="0" applyFont="1" applyFill="1" applyAlignment="1">
      <alignment horizontal="center" vertical="center" wrapText="1"/>
    </xf>
    <xf numFmtId="43" fontId="15" fillId="18" borderId="0" xfId="0" applyNumberFormat="1" applyFont="1" applyFill="1" applyAlignment="1">
      <alignment horizontal="center" vertical="center" wrapText="1"/>
    </xf>
    <xf numFmtId="165" fontId="15" fillId="18" borderId="17" xfId="0" applyNumberFormat="1" applyFont="1" applyFill="1" applyBorder="1" applyAlignment="1">
      <alignment horizontal="center" vertical="center" wrapText="1"/>
    </xf>
    <xf numFmtId="0" fontId="15" fillId="19" borderId="6" xfId="0" applyFont="1" applyFill="1" applyBorder="1" applyAlignment="1">
      <alignment horizontal="center" vertical="center" wrapText="1"/>
    </xf>
    <xf numFmtId="43" fontId="3" fillId="0" borderId="6" xfId="1" applyFont="1" applyFill="1" applyBorder="1" applyAlignment="1">
      <alignment horizontal="center" vertical="center" wrapText="1"/>
    </xf>
    <xf numFmtId="0" fontId="0" fillId="0" borderId="6" xfId="0" applyBorder="1" applyAlignment="1">
      <alignment horizontal="left" vertical="center" wrapText="1"/>
    </xf>
    <xf numFmtId="0" fontId="6" fillId="0" borderId="6" xfId="0" applyFont="1" applyBorder="1" applyAlignment="1">
      <alignment horizontal="left" vertical="center" wrapText="1"/>
    </xf>
    <xf numFmtId="0" fontId="2" fillId="6" borderId="23" xfId="0" applyFont="1" applyFill="1" applyBorder="1" applyAlignment="1">
      <alignment horizontal="left" vertical="center" wrapText="1"/>
    </xf>
    <xf numFmtId="0" fontId="15" fillId="18" borderId="23" xfId="0" applyFont="1" applyFill="1" applyBorder="1" applyAlignment="1">
      <alignment horizontal="left" vertical="center" wrapText="1"/>
    </xf>
    <xf numFmtId="0" fontId="2" fillId="6" borderId="6" xfId="0" applyFont="1" applyFill="1" applyBorder="1" applyAlignment="1">
      <alignment horizontal="left" vertical="center" wrapText="1"/>
    </xf>
    <xf numFmtId="2" fontId="3" fillId="0" borderId="6" xfId="1" applyNumberFormat="1" applyFont="1" applyFill="1" applyBorder="1" applyAlignment="1">
      <alignment horizontal="center" vertical="center" wrapText="1"/>
    </xf>
    <xf numFmtId="2" fontId="2" fillId="8" borderId="6" xfId="0" applyNumberFormat="1" applyFont="1" applyFill="1" applyBorder="1" applyAlignment="1">
      <alignment horizontal="center" vertical="center" wrapText="1"/>
    </xf>
    <xf numFmtId="2" fontId="3" fillId="0" borderId="24" xfId="1" applyNumberFormat="1" applyFont="1" applyFill="1" applyBorder="1" applyAlignment="1">
      <alignment horizontal="center" vertical="center" wrapText="1"/>
    </xf>
    <xf numFmtId="0" fontId="3" fillId="0" borderId="28" xfId="0" applyFont="1" applyBorder="1" applyAlignment="1">
      <alignment horizontal="center" vertical="center" wrapText="1"/>
    </xf>
    <xf numFmtId="165" fontId="3" fillId="0" borderId="29" xfId="0" applyNumberFormat="1" applyFont="1" applyBorder="1" applyAlignment="1">
      <alignment horizontal="center" vertical="center" wrapText="1"/>
    </xf>
    <xf numFmtId="165" fontId="2" fillId="6" borderId="14" xfId="0" applyNumberFormat="1" applyFont="1" applyFill="1" applyBorder="1" applyAlignment="1">
      <alignment horizontal="center" vertical="center" wrapText="1"/>
    </xf>
    <xf numFmtId="4" fontId="0" fillId="0" borderId="6" xfId="0" applyNumberFormat="1" applyBorder="1" applyAlignment="1">
      <alignment horizontal="center" vertical="center"/>
    </xf>
    <xf numFmtId="14" fontId="3" fillId="0" borderId="6" xfId="0" applyNumberFormat="1" applyFont="1" applyBorder="1" applyAlignment="1">
      <alignment horizontal="center" vertical="center"/>
    </xf>
    <xf numFmtId="0" fontId="3" fillId="0" borderId="6" xfId="0" applyFont="1" applyBorder="1"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13" fillId="0" borderId="0" xfId="0" applyFont="1" applyAlignment="1">
      <alignment horizontal="center" vertical="center"/>
    </xf>
    <xf numFmtId="0" fontId="12" fillId="0" borderId="6"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4" fillId="6" borderId="4" xfId="0" applyFont="1" applyFill="1" applyBorder="1" applyAlignment="1">
      <alignment horizontal="center" vertical="center"/>
    </xf>
    <xf numFmtId="0" fontId="4" fillId="6" borderId="20" xfId="0" applyFont="1" applyFill="1" applyBorder="1" applyAlignment="1">
      <alignment horizontal="center" vertical="center"/>
    </xf>
    <xf numFmtId="0" fontId="4" fillId="6" borderId="5" xfId="0" applyFont="1" applyFill="1" applyBorder="1" applyAlignment="1">
      <alignment horizontal="center" vertical="center"/>
    </xf>
    <xf numFmtId="0" fontId="4" fillId="10" borderId="4" xfId="0" applyFont="1" applyFill="1" applyBorder="1" applyAlignment="1">
      <alignment horizontal="center" vertical="center"/>
    </xf>
    <xf numFmtId="0" fontId="4" fillId="10" borderId="20" xfId="0" applyFont="1" applyFill="1" applyBorder="1" applyAlignment="1">
      <alignment horizontal="center" vertical="center"/>
    </xf>
    <xf numFmtId="0" fontId="4" fillId="10" borderId="5" xfId="0" applyFont="1" applyFill="1" applyBorder="1" applyAlignment="1">
      <alignment horizontal="center" vertical="center"/>
    </xf>
    <xf numFmtId="0" fontId="3" fillId="0" borderId="27" xfId="0" applyFont="1" applyBorder="1" applyAlignment="1">
      <alignment horizontal="center" vertical="center"/>
    </xf>
    <xf numFmtId="0" fontId="3" fillId="0" borderId="8" xfId="0" applyFont="1" applyBorder="1" applyAlignment="1">
      <alignment horizontal="center" vertical="center"/>
    </xf>
    <xf numFmtId="0" fontId="3" fillId="0" borderId="0" xfId="0" applyFont="1" applyAlignment="1">
      <alignment horizontal="center" vertical="center"/>
    </xf>
    <xf numFmtId="0" fontId="3" fillId="0" borderId="10" xfId="0" applyFont="1" applyBorder="1" applyAlignment="1">
      <alignment horizontal="center" vertical="center"/>
    </xf>
    <xf numFmtId="43" fontId="2" fillId="2" borderId="4" xfId="1" applyFont="1" applyFill="1" applyBorder="1" applyAlignment="1">
      <alignment horizontal="center" vertical="center"/>
    </xf>
    <xf numFmtId="43" fontId="2" fillId="2" borderId="20" xfId="1" applyFont="1" applyFill="1" applyBorder="1" applyAlignment="1">
      <alignment horizontal="center" vertical="center"/>
    </xf>
    <xf numFmtId="43" fontId="2" fillId="2" borderId="5" xfId="1" applyFont="1" applyFill="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20" xfId="0" applyFont="1" applyBorder="1" applyAlignment="1">
      <alignment horizontal="center" vertical="center" wrapText="1"/>
    </xf>
    <xf numFmtId="0" fontId="3" fillId="15" borderId="6" xfId="0" applyFont="1" applyFill="1" applyBorder="1" applyAlignment="1">
      <alignment horizontal="center" vertical="center"/>
    </xf>
    <xf numFmtId="0" fontId="3" fillId="14" borderId="6" xfId="0" applyFont="1" applyFill="1" applyBorder="1" applyAlignment="1">
      <alignment horizontal="center" vertical="center"/>
    </xf>
    <xf numFmtId="0" fontId="3" fillId="4" borderId="6" xfId="0" applyFont="1" applyFill="1" applyBorder="1" applyAlignment="1">
      <alignment horizontal="center" vertical="center"/>
    </xf>
    <xf numFmtId="0" fontId="10" fillId="0" borderId="0" xfId="0" applyFont="1" applyAlignment="1">
      <alignment horizontal="center" vertical="center"/>
    </xf>
    <xf numFmtId="42" fontId="3" fillId="0" borderId="6" xfId="4" applyFont="1" applyBorder="1" applyAlignment="1">
      <alignment horizontal="left" vertical="center"/>
    </xf>
    <xf numFmtId="165" fontId="4" fillId="20" borderId="6" xfId="0" applyNumberFormat="1" applyFont="1" applyFill="1" applyBorder="1" applyAlignment="1">
      <alignment vertical="center"/>
    </xf>
    <xf numFmtId="165" fontId="4" fillId="21" borderId="6" xfId="0" applyNumberFormat="1" applyFont="1" applyFill="1" applyBorder="1" applyAlignment="1">
      <alignment vertical="center"/>
    </xf>
    <xf numFmtId="165" fontId="2" fillId="21" borderId="6" xfId="0" applyNumberFormat="1" applyFont="1" applyFill="1" applyBorder="1" applyAlignment="1">
      <alignment vertical="center"/>
    </xf>
    <xf numFmtId="2" fontId="2" fillId="21" borderId="6" xfId="0" applyNumberFormat="1" applyFont="1" applyFill="1" applyBorder="1" applyAlignment="1">
      <alignment horizontal="center" vertical="center" wrapText="1"/>
    </xf>
    <xf numFmtId="165" fontId="5" fillId="21" borderId="6" xfId="0" applyNumberFormat="1" applyFont="1" applyFill="1" applyBorder="1" applyAlignment="1">
      <alignment horizontal="center" vertical="center" wrapText="1"/>
    </xf>
    <xf numFmtId="0" fontId="15" fillId="22" borderId="6" xfId="0" applyFont="1" applyFill="1" applyBorder="1" applyAlignment="1">
      <alignment horizontal="center" vertical="center" wrapText="1"/>
    </xf>
    <xf numFmtId="0" fontId="2" fillId="21" borderId="6" xfId="0" applyFont="1" applyFill="1" applyBorder="1" applyAlignment="1">
      <alignment horizontal="center" vertical="center" wrapText="1"/>
    </xf>
    <xf numFmtId="0" fontId="2" fillId="21" borderId="6" xfId="0" applyFont="1" applyFill="1" applyBorder="1" applyAlignment="1">
      <alignment vertical="center" wrapText="1"/>
    </xf>
    <xf numFmtId="165" fontId="5" fillId="21" borderId="6" xfId="0" applyNumberFormat="1" applyFont="1" applyFill="1" applyBorder="1" applyAlignment="1">
      <alignment horizontal="left" vertical="center" wrapText="1"/>
    </xf>
    <xf numFmtId="0" fontId="2" fillId="23" borderId="6" xfId="0" applyFont="1" applyFill="1" applyBorder="1" applyAlignment="1">
      <alignment horizontal="center" vertical="center" wrapText="1"/>
    </xf>
    <xf numFmtId="166" fontId="3" fillId="0" borderId="6" xfId="0" applyNumberFormat="1" applyFont="1" applyBorder="1" applyAlignment="1">
      <alignment horizontal="left" vertical="center"/>
    </xf>
  </cellXfs>
  <cellStyles count="5">
    <cellStyle name="Millares" xfId="1" builtinId="3"/>
    <cellStyle name="Moneda" xfId="2" builtinId="4"/>
    <cellStyle name="Moneda [0]" xfId="4" builtinId="7"/>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96839</xdr:colOff>
      <xdr:row>1</xdr:row>
      <xdr:rowOff>207169</xdr:rowOff>
    </xdr:from>
    <xdr:to>
      <xdr:col>6</xdr:col>
      <xdr:colOff>1187451</xdr:colOff>
      <xdr:row>3</xdr:row>
      <xdr:rowOff>288685</xdr:rowOff>
    </xdr:to>
    <xdr:pic>
      <xdr:nvPicPr>
        <xdr:cNvPr id="2" name="Imagen 1">
          <a:extLst>
            <a:ext uri="{FF2B5EF4-FFF2-40B4-BE49-F238E27FC236}">
              <a16:creationId xmlns:a16="http://schemas.microsoft.com/office/drawing/2014/main" id="{0858B12A-7CB7-44A5-8466-1D3D9E675C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49299" y="489109"/>
          <a:ext cx="2187892" cy="7825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96839</xdr:colOff>
      <xdr:row>1</xdr:row>
      <xdr:rowOff>207169</xdr:rowOff>
    </xdr:from>
    <xdr:to>
      <xdr:col>6</xdr:col>
      <xdr:colOff>1187451</xdr:colOff>
      <xdr:row>3</xdr:row>
      <xdr:rowOff>288685</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9139" y="486569"/>
          <a:ext cx="2182812" cy="7927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Paulina/HEBRON/CONTROL%20DE%20EJECUCI&#211;N%20DE%20OBRA%20(PORCENTAJES)%20-%20EDIFICIO%20HEBR&#211;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EJECUCIÓN DE OBRA"/>
      <sheetName val="(1) LAVADO (T2)"/>
      <sheetName val="(2) RESANES (T2)"/>
      <sheetName val="(3) SELLADO VENTANAS (T2)"/>
      <sheetName val="(4A) PINTURA CARP MET"/>
      <sheetName val="(4) PINTURA1ra-2da-aseo(T2)"/>
      <sheetName val="CANTIDAD DE OBRA (T2)"/>
      <sheetName val="CANTIDAD DE OBRA (T1)"/>
      <sheetName val="(5) LAVADO (T1)"/>
      <sheetName val="(6) RESANES (T1))"/>
      <sheetName val="(7) SELLADO VENTANAS (T1)"/>
      <sheetName val="(8A) PINTURA CARP MET (T1)"/>
      <sheetName val="(8) PINTURA 1ra y 2da (T1)"/>
      <sheetName val="RENDIMIENTO  PERSONA"/>
      <sheetName val="CORTES DE OBRA"/>
      <sheetName val="CORTES DE OBRA (2)"/>
    </sheetNames>
    <sheetDataSet>
      <sheetData sheetId="0"/>
      <sheetData sheetId="1">
        <row r="107">
          <cell r="E107">
            <v>3857.9549999999999</v>
          </cell>
        </row>
        <row r="113">
          <cell r="E113">
            <v>275.97000000000003</v>
          </cell>
        </row>
      </sheetData>
      <sheetData sheetId="2">
        <row r="15">
          <cell r="E15">
            <v>197.37</v>
          </cell>
        </row>
      </sheetData>
      <sheetData sheetId="3">
        <row r="106">
          <cell r="E106">
            <v>1016.8</v>
          </cell>
        </row>
      </sheetData>
      <sheetData sheetId="4">
        <row r="41">
          <cell r="I41">
            <v>243.87</v>
          </cell>
        </row>
        <row r="47">
          <cell r="I47">
            <v>638.476</v>
          </cell>
        </row>
      </sheetData>
      <sheetData sheetId="5">
        <row r="105">
          <cell r="E105">
            <v>189</v>
          </cell>
        </row>
      </sheetData>
      <sheetData sheetId="6">
        <row r="81">
          <cell r="R81">
            <v>597.56999999999994</v>
          </cell>
          <cell r="S81">
            <v>275.97000000000003</v>
          </cell>
        </row>
      </sheetData>
      <sheetData sheetId="7">
        <row r="73">
          <cell r="R73">
            <v>119.61</v>
          </cell>
          <cell r="S73">
            <v>191.25</v>
          </cell>
        </row>
      </sheetData>
      <sheetData sheetId="8">
        <row r="81">
          <cell r="E81">
            <v>2954.7</v>
          </cell>
        </row>
      </sheetData>
      <sheetData sheetId="9">
        <row r="14">
          <cell r="E14">
            <v>200</v>
          </cell>
        </row>
      </sheetData>
      <sheetData sheetId="10">
        <row r="62">
          <cell r="E62">
            <v>1554.3369999999998</v>
          </cell>
        </row>
      </sheetData>
      <sheetData sheetId="11">
        <row r="42">
          <cell r="H42">
            <v>381.27320000000003</v>
          </cell>
        </row>
      </sheetData>
      <sheetData sheetId="12">
        <row r="81">
          <cell r="E81">
            <v>2344.3715000000002</v>
          </cell>
        </row>
      </sheetData>
      <sheetData sheetId="13"/>
      <sheetData sheetId="14"/>
      <sheetData sheetId="1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D1B92-E69D-4A93-8DD7-5E3FD6AC7C29}">
  <sheetPr>
    <pageSetUpPr fitToPage="1"/>
  </sheetPr>
  <dimension ref="A1:M35"/>
  <sheetViews>
    <sheetView tabSelected="1" zoomScale="83" zoomScaleNormal="50" workbookViewId="0">
      <selection activeCell="K31" sqref="A1:K31"/>
    </sheetView>
  </sheetViews>
  <sheetFormatPr baseColWidth="10" defaultColWidth="13.6640625" defaultRowHeight="14"/>
  <cols>
    <col min="1" max="1" width="8.5" style="57" customWidth="1"/>
    <col min="2" max="2" width="9.33203125" style="1" customWidth="1"/>
    <col min="3" max="3" width="71.1640625" style="1" customWidth="1"/>
    <col min="4" max="4" width="17" style="1" customWidth="1"/>
    <col min="5" max="5" width="14.33203125" style="1" customWidth="1"/>
    <col min="6" max="6" width="16" style="1" customWidth="1"/>
    <col min="7" max="7" width="19" style="1" customWidth="1"/>
    <col min="8" max="8" width="28.1640625" style="1" customWidth="1"/>
    <col min="9" max="9" width="19.33203125" style="1" bestFit="1" customWidth="1"/>
    <col min="10" max="10" width="28.83203125" style="1" customWidth="1"/>
    <col min="11" max="11" width="22.5" style="1" customWidth="1"/>
    <col min="12" max="12" width="29.1640625" style="1" bestFit="1" customWidth="1"/>
    <col min="13" max="13" width="23.5" style="1" bestFit="1" customWidth="1"/>
    <col min="14" max="14" width="27" style="1" customWidth="1"/>
    <col min="15" max="15" width="23.5" style="1" bestFit="1" customWidth="1"/>
    <col min="16" max="16384" width="13.6640625" style="1"/>
  </cols>
  <sheetData>
    <row r="1" spans="1:13" ht="22.5" customHeight="1">
      <c r="A1" s="126" t="s">
        <v>63</v>
      </c>
      <c r="B1" s="127"/>
      <c r="C1" s="127"/>
      <c r="D1" s="127"/>
      <c r="E1" s="127"/>
      <c r="F1" s="127"/>
      <c r="G1" s="128"/>
      <c r="H1" s="129"/>
      <c r="I1" s="130"/>
      <c r="J1" s="129"/>
      <c r="K1" s="130"/>
    </row>
    <row r="2" spans="1:13" ht="32">
      <c r="A2" s="122" t="s">
        <v>0</v>
      </c>
      <c r="B2" s="123"/>
      <c r="C2" s="2" t="s">
        <v>1</v>
      </c>
      <c r="D2" s="2" t="s">
        <v>2</v>
      </c>
      <c r="E2" s="2" t="s">
        <v>3</v>
      </c>
      <c r="F2" s="131"/>
      <c r="G2" s="132"/>
      <c r="H2" s="120"/>
      <c r="I2" s="121"/>
      <c r="J2" s="120"/>
      <c r="K2" s="121"/>
    </row>
    <row r="3" spans="1:13" ht="27.5" customHeight="1">
      <c r="A3" s="122" t="s">
        <v>4</v>
      </c>
      <c r="B3" s="123"/>
      <c r="C3" s="124" t="s">
        <v>51</v>
      </c>
      <c r="D3" s="124"/>
      <c r="E3" s="124"/>
      <c r="F3" s="133"/>
      <c r="G3" s="134"/>
      <c r="H3" s="125" t="s">
        <v>5</v>
      </c>
      <c r="I3" s="125"/>
      <c r="J3" s="125" t="s">
        <v>50</v>
      </c>
      <c r="K3" s="125"/>
    </row>
    <row r="4" spans="1:13" ht="40.5" customHeight="1">
      <c r="A4" s="122" t="s">
        <v>8</v>
      </c>
      <c r="B4" s="123"/>
      <c r="C4" s="122" t="s">
        <v>9</v>
      </c>
      <c r="D4" s="152"/>
      <c r="E4" s="123"/>
      <c r="F4" s="135"/>
      <c r="G4" s="136"/>
      <c r="H4" s="120">
        <v>45959</v>
      </c>
      <c r="I4" s="121"/>
      <c r="J4" s="120">
        <v>45968</v>
      </c>
      <c r="K4" s="121"/>
    </row>
    <row r="5" spans="1:13" ht="32">
      <c r="A5" s="3" t="s">
        <v>10</v>
      </c>
      <c r="B5" s="3" t="s">
        <v>11</v>
      </c>
      <c r="C5" s="3" t="s">
        <v>12</v>
      </c>
      <c r="D5" s="3" t="s">
        <v>13</v>
      </c>
      <c r="E5" s="3" t="s">
        <v>14</v>
      </c>
      <c r="F5" s="3" t="s">
        <v>15</v>
      </c>
      <c r="G5" s="4" t="s">
        <v>16</v>
      </c>
      <c r="H5" s="7" t="s">
        <v>14</v>
      </c>
      <c r="I5" s="7" t="s">
        <v>17</v>
      </c>
      <c r="J5" s="167" t="s">
        <v>14</v>
      </c>
      <c r="K5" s="167" t="s">
        <v>17</v>
      </c>
    </row>
    <row r="6" spans="1:13" ht="23.25" customHeight="1">
      <c r="A6" s="8" t="s">
        <v>18</v>
      </c>
      <c r="B6" s="9"/>
      <c r="C6" s="9" t="s">
        <v>19</v>
      </c>
      <c r="D6" s="9"/>
      <c r="E6" s="9"/>
      <c r="F6" s="9"/>
      <c r="G6" s="10">
        <f>SUM(G7:G8)</f>
        <v>100000</v>
      </c>
      <c r="H6" s="15"/>
      <c r="I6" s="16">
        <f>SUM(I7:I8)</f>
        <v>50000</v>
      </c>
      <c r="J6" s="165"/>
      <c r="K6" s="166">
        <f>SUM(K7:K8)</f>
        <v>25000</v>
      </c>
    </row>
    <row r="7" spans="1:13" ht="39" customHeight="1">
      <c r="A7" s="17"/>
      <c r="B7" s="18">
        <v>1.1000000000000001</v>
      </c>
      <c r="C7" s="19" t="s">
        <v>20</v>
      </c>
      <c r="D7" s="20" t="s">
        <v>21</v>
      </c>
      <c r="E7" s="21">
        <v>1</v>
      </c>
      <c r="F7" s="90">
        <v>0</v>
      </c>
      <c r="G7" s="23">
        <f>F7*E7</f>
        <v>0</v>
      </c>
      <c r="H7" s="21"/>
      <c r="I7" s="97">
        <f>H7*F7</f>
        <v>0</v>
      </c>
      <c r="J7" s="21"/>
      <c r="K7" s="97">
        <f>J7*H7</f>
        <v>0</v>
      </c>
    </row>
    <row r="8" spans="1:13" ht="83.5" customHeight="1">
      <c r="A8" s="17"/>
      <c r="B8" s="18">
        <v>1.2</v>
      </c>
      <c r="C8" s="19" t="s">
        <v>54</v>
      </c>
      <c r="D8" s="20" t="s">
        <v>24</v>
      </c>
      <c r="E8" s="21">
        <v>1</v>
      </c>
      <c r="F8" s="90">
        <v>100000</v>
      </c>
      <c r="G8" s="23">
        <f>F8*E8</f>
        <v>100000</v>
      </c>
      <c r="H8" s="21">
        <v>0.5</v>
      </c>
      <c r="I8" s="97">
        <f>H8*F8</f>
        <v>50000</v>
      </c>
      <c r="J8" s="21">
        <v>0.25</v>
      </c>
      <c r="K8" s="97">
        <f>J8*F8</f>
        <v>25000</v>
      </c>
      <c r="L8" s="50"/>
    </row>
    <row r="9" spans="1:13" s="44" customFormat="1" ht="23.25" customHeight="1">
      <c r="A9" s="35">
        <v>2</v>
      </c>
      <c r="B9" s="36"/>
      <c r="C9" s="37" t="s">
        <v>65</v>
      </c>
      <c r="D9" s="36"/>
      <c r="E9" s="38"/>
      <c r="F9" s="36"/>
      <c r="G9" s="39">
        <f>SUM(G10:G12)</f>
        <v>9809695.9780000001</v>
      </c>
      <c r="H9" s="15"/>
      <c r="I9" s="16">
        <f>SUM(I10:I12)</f>
        <v>9809695.9780000001</v>
      </c>
      <c r="J9" s="165"/>
      <c r="K9" s="166">
        <f>SUM(K10:K12)</f>
        <v>0</v>
      </c>
    </row>
    <row r="10" spans="1:13" ht="88.25" customHeight="1">
      <c r="A10" s="45"/>
      <c r="B10" s="18">
        <v>2.1</v>
      </c>
      <c r="C10" s="108" t="s">
        <v>55</v>
      </c>
      <c r="D10" s="47" t="s">
        <v>28</v>
      </c>
      <c r="E10" s="86">
        <v>2788.4149000000002</v>
      </c>
      <c r="F10" s="96">
        <v>3220</v>
      </c>
      <c r="G10" s="92">
        <f>F10*E10</f>
        <v>8978695.9780000001</v>
      </c>
      <c r="H10" s="86">
        <v>2788.4149000000002</v>
      </c>
      <c r="I10" s="97">
        <f>H10*F10</f>
        <v>8978695.9780000001</v>
      </c>
      <c r="J10" s="86">
        <v>0</v>
      </c>
      <c r="K10" s="97">
        <f>J10*F10</f>
        <v>0</v>
      </c>
      <c r="L10" s="50"/>
    </row>
    <row r="11" spans="1:13" ht="78.5" customHeight="1">
      <c r="A11" s="45"/>
      <c r="B11" s="18">
        <v>2.2000000000000002</v>
      </c>
      <c r="C11" s="108" t="s">
        <v>56</v>
      </c>
      <c r="D11" s="47" t="s">
        <v>28</v>
      </c>
      <c r="E11" s="86">
        <v>150</v>
      </c>
      <c r="F11" s="96">
        <v>4000</v>
      </c>
      <c r="G11" s="92">
        <f t="shared" ref="G11:G19" si="0">F11*E11</f>
        <v>600000</v>
      </c>
      <c r="H11" s="86">
        <v>150</v>
      </c>
      <c r="I11" s="97">
        <f t="shared" ref="I11:I19" si="1">H11*F11</f>
        <v>600000</v>
      </c>
      <c r="J11" s="86">
        <v>0</v>
      </c>
      <c r="K11" s="97">
        <f>J11*F11</f>
        <v>0</v>
      </c>
      <c r="L11" s="50"/>
    </row>
    <row r="12" spans="1:13" ht="46.25" customHeight="1">
      <c r="A12" s="45"/>
      <c r="B12" s="18">
        <v>2.2999999999999998</v>
      </c>
      <c r="C12" s="109" t="s">
        <v>57</v>
      </c>
      <c r="D12" s="47" t="s">
        <v>31</v>
      </c>
      <c r="E12" s="86">
        <v>110</v>
      </c>
      <c r="F12" s="96">
        <v>2100</v>
      </c>
      <c r="G12" s="92">
        <f t="shared" si="0"/>
        <v>231000</v>
      </c>
      <c r="H12" s="86">
        <v>110</v>
      </c>
      <c r="I12" s="97">
        <f t="shared" si="1"/>
        <v>231000</v>
      </c>
      <c r="J12" s="86">
        <v>0</v>
      </c>
      <c r="K12" s="97">
        <f>J12*F12</f>
        <v>0</v>
      </c>
      <c r="L12" s="50"/>
    </row>
    <row r="13" spans="1:13" s="44" customFormat="1" ht="23.25" customHeight="1">
      <c r="A13" s="35">
        <v>3</v>
      </c>
      <c r="B13" s="98"/>
      <c r="C13" s="110" t="s">
        <v>26</v>
      </c>
      <c r="D13" s="98"/>
      <c r="E13" s="99"/>
      <c r="F13" s="98"/>
      <c r="G13" s="100">
        <f>SUM(G14:G15)</f>
        <v>18097704</v>
      </c>
      <c r="H13" s="101"/>
      <c r="I13" s="102">
        <f>SUM(I14:I15)</f>
        <v>8264352</v>
      </c>
      <c r="J13" s="164"/>
      <c r="K13" s="162">
        <f>SUM(K14:K15)</f>
        <v>5429311.1999999993</v>
      </c>
    </row>
    <row r="14" spans="1:13" ht="34.25" customHeight="1">
      <c r="A14" s="45"/>
      <c r="B14" s="18">
        <v>3.1</v>
      </c>
      <c r="C14" s="108" t="s">
        <v>58</v>
      </c>
      <c r="D14" s="47" t="s">
        <v>28</v>
      </c>
      <c r="E14" s="86">
        <v>1198.3</v>
      </c>
      <c r="F14" s="96">
        <v>6000</v>
      </c>
      <c r="G14" s="92">
        <f t="shared" si="0"/>
        <v>7189800</v>
      </c>
      <c r="H14" s="86">
        <v>468.4</v>
      </c>
      <c r="I14" s="97">
        <f t="shared" si="1"/>
        <v>2810400</v>
      </c>
      <c r="J14" s="86">
        <v>359.49</v>
      </c>
      <c r="K14" s="97">
        <f>J14*F14</f>
        <v>2156940</v>
      </c>
      <c r="L14" s="50"/>
    </row>
    <row r="15" spans="1:13" ht="75.5" customHeight="1">
      <c r="A15" s="45"/>
      <c r="B15" s="18">
        <v>3.2</v>
      </c>
      <c r="C15" s="108" t="s">
        <v>59</v>
      </c>
      <c r="D15" s="47" t="s">
        <v>28</v>
      </c>
      <c r="E15" s="86">
        <v>1947.84</v>
      </c>
      <c r="F15" s="96">
        <v>5600</v>
      </c>
      <c r="G15" s="92">
        <f t="shared" si="0"/>
        <v>10907904</v>
      </c>
      <c r="H15" s="86">
        <f>E15*0.5</f>
        <v>973.92</v>
      </c>
      <c r="I15" s="97">
        <f t="shared" si="1"/>
        <v>5453952</v>
      </c>
      <c r="J15" s="86">
        <f>E15*0.3</f>
        <v>584.35199999999998</v>
      </c>
      <c r="K15" s="97">
        <f>J15*F15</f>
        <v>3272371.1999999997</v>
      </c>
      <c r="L15" s="50"/>
    </row>
    <row r="16" spans="1:13" ht="23" customHeight="1">
      <c r="A16" s="94">
        <v>4</v>
      </c>
      <c r="B16" s="103"/>
      <c r="C16" s="111" t="s">
        <v>26</v>
      </c>
      <c r="D16" s="103"/>
      <c r="E16" s="104"/>
      <c r="F16" s="103"/>
      <c r="G16" s="105">
        <f>SUM(G17:G19)</f>
        <v>43892370</v>
      </c>
      <c r="H16" s="106"/>
      <c r="I16" s="102">
        <f>SUM(I17:I19)</f>
        <v>20359440</v>
      </c>
      <c r="J16" s="163"/>
      <c r="K16" s="162">
        <f>SUM(K17:K19)</f>
        <v>14249376</v>
      </c>
      <c r="L16" s="95"/>
      <c r="M16" s="95"/>
    </row>
    <row r="17" spans="1:12" ht="40.75" customHeight="1">
      <c r="A17" s="45"/>
      <c r="B17" s="18">
        <v>4.0999999999999996</v>
      </c>
      <c r="C17" s="108" t="s">
        <v>60</v>
      </c>
      <c r="D17" s="47" t="s">
        <v>28</v>
      </c>
      <c r="E17" s="86">
        <v>150</v>
      </c>
      <c r="F17" s="96">
        <v>36000</v>
      </c>
      <c r="G17" s="92">
        <f t="shared" si="0"/>
        <v>5400000</v>
      </c>
      <c r="H17" s="115">
        <v>75</v>
      </c>
      <c r="I17" s="97">
        <f t="shared" si="1"/>
        <v>2700000</v>
      </c>
      <c r="J17" s="115">
        <v>75</v>
      </c>
      <c r="K17" s="97">
        <f>J17*F17</f>
        <v>2700000</v>
      </c>
      <c r="L17" s="50"/>
    </row>
    <row r="18" spans="1:12" ht="76.25" customHeight="1">
      <c r="A18" s="51"/>
      <c r="B18" s="18">
        <v>4.2</v>
      </c>
      <c r="C18" s="108" t="s">
        <v>61</v>
      </c>
      <c r="D18" s="116" t="s">
        <v>28</v>
      </c>
      <c r="E18" s="93">
        <v>1130.03</v>
      </c>
      <c r="F18" s="117">
        <v>18000</v>
      </c>
      <c r="G18" s="91">
        <f t="shared" si="0"/>
        <v>20340540</v>
      </c>
      <c r="H18" s="113">
        <v>583.78</v>
      </c>
      <c r="I18" s="97">
        <f t="shared" si="1"/>
        <v>10508040</v>
      </c>
      <c r="J18" s="113">
        <v>339.1</v>
      </c>
      <c r="K18" s="97">
        <f>J18*F18</f>
        <v>6103800</v>
      </c>
      <c r="L18" s="50"/>
    </row>
    <row r="19" spans="1:12" ht="36.5" customHeight="1">
      <c r="A19" s="51"/>
      <c r="B19" s="18">
        <v>4.3</v>
      </c>
      <c r="C19" s="108" t="s">
        <v>62</v>
      </c>
      <c r="D19" s="17" t="s">
        <v>28</v>
      </c>
      <c r="E19" s="119">
        <v>1008.4349999999999</v>
      </c>
      <c r="F19" s="97">
        <v>18000</v>
      </c>
      <c r="G19" s="97">
        <f t="shared" si="0"/>
        <v>18151830</v>
      </c>
      <c r="H19" s="113">
        <v>397.3</v>
      </c>
      <c r="I19" s="97">
        <f t="shared" si="1"/>
        <v>7151400</v>
      </c>
      <c r="J19" s="113">
        <v>302.53199999999998</v>
      </c>
      <c r="K19" s="97">
        <f>J19*F19</f>
        <v>5445576</v>
      </c>
      <c r="L19" s="50"/>
    </row>
    <row r="20" spans="1:12" s="44" customFormat="1" ht="21" customHeight="1">
      <c r="A20" s="8">
        <v>5</v>
      </c>
      <c r="B20" s="98"/>
      <c r="C20" s="112" t="s">
        <v>36</v>
      </c>
      <c r="D20" s="98"/>
      <c r="E20" s="99"/>
      <c r="F20" s="98"/>
      <c r="G20" s="118">
        <f>SUM(G21:G21)</f>
        <v>250000</v>
      </c>
      <c r="H20" s="114"/>
      <c r="I20" s="102">
        <f>SUM(I21:I21)</f>
        <v>125000</v>
      </c>
      <c r="J20" s="161"/>
      <c r="K20" s="162">
        <f>SUM(K21:K21)</f>
        <v>62500</v>
      </c>
    </row>
    <row r="21" spans="1:12" ht="21.75" customHeight="1">
      <c r="A21" s="54"/>
      <c r="B21" s="55" t="s">
        <v>64</v>
      </c>
      <c r="C21" s="109" t="s">
        <v>37</v>
      </c>
      <c r="D21" s="56" t="s">
        <v>21</v>
      </c>
      <c r="E21" s="107">
        <v>1</v>
      </c>
      <c r="F21" s="97">
        <v>250000</v>
      </c>
      <c r="G21" s="92">
        <f>F21*E21</f>
        <v>250000</v>
      </c>
      <c r="H21" s="113">
        <v>0.5</v>
      </c>
      <c r="I21" s="97">
        <f>H21*F21</f>
        <v>125000</v>
      </c>
      <c r="J21" s="113">
        <v>0.25</v>
      </c>
      <c r="K21" s="97">
        <f>J21*F21</f>
        <v>62500</v>
      </c>
      <c r="L21" s="50"/>
    </row>
    <row r="22" spans="1:12" ht="21.75" customHeight="1">
      <c r="A22" s="143"/>
      <c r="B22" s="143"/>
      <c r="C22" s="144"/>
      <c r="D22" s="147" t="s">
        <v>38</v>
      </c>
      <c r="E22" s="148"/>
      <c r="F22" s="149"/>
      <c r="G22" s="58">
        <f>+G9+G20+G16+G13+G6</f>
        <v>72149769.978</v>
      </c>
      <c r="H22" s="88" t="s">
        <v>38</v>
      </c>
      <c r="I22" s="88">
        <f>+I16+I13+I9+I20+I6</f>
        <v>38608487.978</v>
      </c>
      <c r="J22" s="160" t="s">
        <v>38</v>
      </c>
      <c r="K22" s="160">
        <f>+K16+K13+K9+K20+K6</f>
        <v>19766187.199999999</v>
      </c>
    </row>
    <row r="23" spans="1:12" ht="20" customHeight="1">
      <c r="A23" s="145"/>
      <c r="B23" s="145"/>
      <c r="C23" s="146"/>
      <c r="D23" s="150" t="s">
        <v>39</v>
      </c>
      <c r="E23" s="151"/>
      <c r="F23" s="62">
        <v>0.1</v>
      </c>
      <c r="G23" s="63">
        <f>+$G$22*F23</f>
        <v>7214976.9978</v>
      </c>
      <c r="H23" s="64" t="s">
        <v>39</v>
      </c>
      <c r="I23" s="65">
        <f>I22*F23</f>
        <v>3860848.7978000003</v>
      </c>
      <c r="J23" s="64" t="s">
        <v>39</v>
      </c>
      <c r="K23" s="65">
        <f>K22*F23</f>
        <v>1976618.72</v>
      </c>
    </row>
    <row r="24" spans="1:12" ht="20" customHeight="1">
      <c r="A24" s="145"/>
      <c r="B24" s="145"/>
      <c r="C24" s="146"/>
      <c r="D24" s="150" t="s">
        <v>40</v>
      </c>
      <c r="E24" s="151"/>
      <c r="F24" s="62">
        <v>0.05</v>
      </c>
      <c r="G24" s="63">
        <f>+$G$22*F24</f>
        <v>3607488.4989</v>
      </c>
      <c r="H24" s="64" t="s">
        <v>40</v>
      </c>
      <c r="I24" s="65">
        <f>I22*F24</f>
        <v>1930424.3989000001</v>
      </c>
      <c r="J24" s="64" t="s">
        <v>40</v>
      </c>
      <c r="K24" s="65">
        <f>K22*F24</f>
        <v>988309.36</v>
      </c>
    </row>
    <row r="25" spans="1:12" ht="20" customHeight="1">
      <c r="A25" s="145"/>
      <c r="B25" s="145"/>
      <c r="C25" s="146"/>
      <c r="D25" s="150" t="s">
        <v>41</v>
      </c>
      <c r="E25" s="151"/>
      <c r="F25" s="62">
        <v>0.05</v>
      </c>
      <c r="G25" s="63">
        <f>+$G$22*F25</f>
        <v>3607488.4989</v>
      </c>
      <c r="H25" s="64" t="s">
        <v>41</v>
      </c>
      <c r="I25" s="65">
        <f>I22*F25</f>
        <v>1930424.3989000001</v>
      </c>
      <c r="J25" s="64" t="s">
        <v>41</v>
      </c>
      <c r="K25" s="65">
        <f>K22*F25</f>
        <v>988309.36</v>
      </c>
    </row>
    <row r="26" spans="1:12" ht="20" customHeight="1">
      <c r="A26" s="145"/>
      <c r="B26" s="145"/>
      <c r="C26" s="146"/>
      <c r="D26" s="150" t="s">
        <v>42</v>
      </c>
      <c r="E26" s="151"/>
      <c r="F26" s="62">
        <v>0.19</v>
      </c>
      <c r="G26" s="63">
        <f>+G25*F26</f>
        <v>685422.81479099998</v>
      </c>
      <c r="H26" s="64" t="s">
        <v>42</v>
      </c>
      <c r="I26" s="65">
        <f>+I25*F26</f>
        <v>366780.63579100004</v>
      </c>
      <c r="J26" s="64" t="s">
        <v>42</v>
      </c>
      <c r="K26" s="65">
        <f>+K25*F26</f>
        <v>187778.77840000001</v>
      </c>
    </row>
    <row r="27" spans="1:12" ht="20" customHeight="1">
      <c r="A27" s="145"/>
      <c r="B27" s="145"/>
      <c r="C27" s="146"/>
      <c r="D27" s="137" t="s">
        <v>43</v>
      </c>
      <c r="E27" s="138"/>
      <c r="F27" s="139"/>
      <c r="G27" s="66">
        <f>+G23+G24+G25+G26</f>
        <v>15115376.810391</v>
      </c>
      <c r="H27" s="87" t="s">
        <v>43</v>
      </c>
      <c r="I27" s="87">
        <f>+I23+I24+I25+I26</f>
        <v>8088478.2313910006</v>
      </c>
      <c r="J27" s="159" t="s">
        <v>43</v>
      </c>
      <c r="K27" s="159">
        <f>+K23+K24+K25+K26</f>
        <v>4141016.2184000001</v>
      </c>
    </row>
    <row r="28" spans="1:12" ht="20" customHeight="1">
      <c r="A28" s="145"/>
      <c r="B28" s="145"/>
      <c r="C28" s="146"/>
      <c r="D28" s="140" t="s">
        <v>44</v>
      </c>
      <c r="E28" s="141"/>
      <c r="F28" s="142"/>
      <c r="G28" s="70">
        <f>+G22+G27</f>
        <v>87265146.788390994</v>
      </c>
      <c r="H28" s="89" t="s">
        <v>45</v>
      </c>
      <c r="I28" s="89">
        <f>+I22+I27</f>
        <v>46696966.209390998</v>
      </c>
      <c r="J28" s="158" t="s">
        <v>45</v>
      </c>
      <c r="K28" s="158">
        <f>+K22+K27</f>
        <v>23907203.418400001</v>
      </c>
    </row>
    <row r="29" spans="1:12" ht="20" customHeight="1">
      <c r="H29" s="79" t="s">
        <v>46</v>
      </c>
      <c r="I29" s="157">
        <v>19918397</v>
      </c>
    </row>
    <row r="30" spans="1:12" ht="20" customHeight="1">
      <c r="H30" s="77" t="s">
        <v>48</v>
      </c>
      <c r="I30" s="168">
        <f>I29</f>
        <v>19918397</v>
      </c>
    </row>
    <row r="31" spans="1:12" ht="20" customHeight="1">
      <c r="H31" s="89" t="s">
        <v>47</v>
      </c>
      <c r="I31" s="89">
        <f>I28-I30</f>
        <v>26778569.209390998</v>
      </c>
      <c r="J31" s="74"/>
      <c r="K31" s="74"/>
    </row>
    <row r="32" spans="1:12" ht="20" customHeight="1">
      <c r="I32" s="85"/>
    </row>
    <row r="33" spans="9:13">
      <c r="I33" s="74"/>
      <c r="M33" s="74"/>
    </row>
    <row r="34" spans="9:13">
      <c r="M34" s="74" t="e">
        <f>#REF!+#REF!+#REF!</f>
        <v>#REF!</v>
      </c>
    </row>
    <row r="35" spans="9:13">
      <c r="K35" s="74"/>
    </row>
  </sheetData>
  <mergeCells count="23">
    <mergeCell ref="J1:K1"/>
    <mergeCell ref="J2:K2"/>
    <mergeCell ref="J3:K3"/>
    <mergeCell ref="J4:K4"/>
    <mergeCell ref="D27:F27"/>
    <mergeCell ref="D28:F28"/>
    <mergeCell ref="A22:C28"/>
    <mergeCell ref="H4:I4"/>
    <mergeCell ref="D22:F22"/>
    <mergeCell ref="D23:E23"/>
    <mergeCell ref="D24:E24"/>
    <mergeCell ref="D25:E25"/>
    <mergeCell ref="D26:E26"/>
    <mergeCell ref="A4:B4"/>
    <mergeCell ref="C4:E4"/>
    <mergeCell ref="H2:I2"/>
    <mergeCell ref="A3:B3"/>
    <mergeCell ref="C3:E3"/>
    <mergeCell ref="H3:I3"/>
    <mergeCell ref="A1:G1"/>
    <mergeCell ref="H1:I1"/>
    <mergeCell ref="A2:B2"/>
    <mergeCell ref="F2:G4"/>
  </mergeCells>
  <phoneticPr fontId="11" type="noConversion"/>
  <pageMargins left="0.23622047244094491" right="3.937007874015748E-2" top="0.35433070866141736" bottom="0.35433070866141736" header="0.11811023622047245" footer="0.11811023622047245"/>
  <pageSetup scale="59" orientation="landscape" r:id="rId1"/>
  <rowBreaks count="1" manualBreakCount="1">
    <brk id="28"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2"/>
  <sheetViews>
    <sheetView zoomScale="60" zoomScaleNormal="60" workbookViewId="0">
      <selection activeCell="I29" sqref="H20:I29"/>
    </sheetView>
  </sheetViews>
  <sheetFormatPr baseColWidth="10" defaultColWidth="13.6640625" defaultRowHeight="14"/>
  <cols>
    <col min="1" max="1" width="8.5" style="57" customWidth="1"/>
    <col min="2" max="2" width="9.33203125" style="1" customWidth="1"/>
    <col min="3" max="3" width="71.1640625" style="1" customWidth="1"/>
    <col min="4" max="4" width="17" style="1" customWidth="1"/>
    <col min="5" max="5" width="14.33203125" style="1" customWidth="1"/>
    <col min="6" max="6" width="16" style="1" customWidth="1"/>
    <col min="7" max="7" width="19" style="1" customWidth="1"/>
    <col min="8" max="8" width="28.1640625" style="1" customWidth="1"/>
    <col min="9" max="9" width="19.33203125" style="1" bestFit="1" customWidth="1"/>
    <col min="10" max="10" width="28.83203125" style="1" customWidth="1"/>
    <col min="11" max="11" width="22.5" style="1" customWidth="1"/>
    <col min="12" max="12" width="29.1640625" style="1" bestFit="1" customWidth="1"/>
    <col min="13" max="13" width="23.5" style="1" bestFit="1" customWidth="1"/>
    <col min="14" max="14" width="27" style="1" customWidth="1"/>
    <col min="15" max="15" width="23.5" style="1" bestFit="1" customWidth="1"/>
    <col min="16" max="16384" width="13.6640625" style="1"/>
  </cols>
  <sheetData>
    <row r="1" spans="1:19" ht="22.5" customHeight="1">
      <c r="A1" s="126" t="s">
        <v>49</v>
      </c>
      <c r="B1" s="127"/>
      <c r="C1" s="127"/>
      <c r="D1" s="127"/>
      <c r="E1" s="127"/>
      <c r="F1" s="127"/>
      <c r="G1" s="128"/>
      <c r="H1" s="126"/>
      <c r="I1" s="127"/>
      <c r="J1" s="83"/>
      <c r="K1" s="83"/>
      <c r="L1" s="126"/>
      <c r="M1" s="127"/>
      <c r="N1" s="129"/>
      <c r="O1" s="130"/>
      <c r="P1" s="129"/>
      <c r="Q1" s="130"/>
    </row>
    <row r="2" spans="1:19" ht="32">
      <c r="A2" s="122" t="s">
        <v>0</v>
      </c>
      <c r="B2" s="123"/>
      <c r="C2" s="2" t="s">
        <v>1</v>
      </c>
      <c r="D2" s="2" t="s">
        <v>2</v>
      </c>
      <c r="E2" s="2" t="s">
        <v>3</v>
      </c>
      <c r="F2" s="131"/>
      <c r="G2" s="132"/>
      <c r="H2" s="120"/>
      <c r="I2" s="121"/>
      <c r="J2" s="120"/>
      <c r="K2" s="121"/>
      <c r="L2" s="120"/>
      <c r="M2" s="121"/>
      <c r="N2" s="120"/>
      <c r="O2" s="121"/>
      <c r="P2" s="120"/>
      <c r="Q2" s="121"/>
    </row>
    <row r="3" spans="1:19" ht="27.5" customHeight="1">
      <c r="A3" s="122" t="s">
        <v>4</v>
      </c>
      <c r="B3" s="123"/>
      <c r="C3" s="156" t="s">
        <v>51</v>
      </c>
      <c r="D3" s="156"/>
      <c r="E3" s="156"/>
      <c r="F3" s="133"/>
      <c r="G3" s="134"/>
      <c r="H3" s="155" t="s">
        <v>5</v>
      </c>
      <c r="I3" s="155"/>
      <c r="J3" s="154" t="s">
        <v>50</v>
      </c>
      <c r="K3" s="154"/>
      <c r="L3" s="153" t="s">
        <v>53</v>
      </c>
      <c r="M3" s="153"/>
      <c r="N3" s="121" t="s">
        <v>6</v>
      </c>
      <c r="O3" s="121"/>
      <c r="P3" s="121" t="s">
        <v>7</v>
      </c>
      <c r="Q3" s="121"/>
    </row>
    <row r="4" spans="1:19" ht="40.5" customHeight="1">
      <c r="A4" s="122" t="s">
        <v>8</v>
      </c>
      <c r="B4" s="123"/>
      <c r="C4" s="122" t="s">
        <v>9</v>
      </c>
      <c r="D4" s="152"/>
      <c r="E4" s="123"/>
      <c r="F4" s="135"/>
      <c r="G4" s="136"/>
      <c r="H4" s="120">
        <v>45817</v>
      </c>
      <c r="I4" s="121"/>
      <c r="J4" s="120">
        <v>45833</v>
      </c>
      <c r="K4" s="121"/>
      <c r="L4" s="120">
        <v>45848</v>
      </c>
      <c r="M4" s="121"/>
      <c r="N4" s="120"/>
      <c r="O4" s="121"/>
      <c r="P4" s="120"/>
      <c r="Q4" s="121"/>
    </row>
    <row r="5" spans="1:19" ht="32">
      <c r="A5" s="3" t="s">
        <v>10</v>
      </c>
      <c r="B5" s="3" t="s">
        <v>11</v>
      </c>
      <c r="C5" s="3" t="s">
        <v>12</v>
      </c>
      <c r="D5" s="3" t="s">
        <v>13</v>
      </c>
      <c r="E5" s="3" t="s">
        <v>14</v>
      </c>
      <c r="F5" s="3" t="s">
        <v>15</v>
      </c>
      <c r="G5" s="4" t="s">
        <v>16</v>
      </c>
      <c r="H5" s="5" t="s">
        <v>14</v>
      </c>
      <c r="I5" s="5" t="s">
        <v>17</v>
      </c>
      <c r="J5" s="5" t="s">
        <v>14</v>
      </c>
      <c r="K5" s="5" t="s">
        <v>17</v>
      </c>
      <c r="L5" s="5" t="s">
        <v>14</v>
      </c>
      <c r="M5" s="5" t="s">
        <v>17</v>
      </c>
      <c r="N5" s="6" t="s">
        <v>14</v>
      </c>
      <c r="O5" s="6" t="s">
        <v>17</v>
      </c>
      <c r="P5" s="7" t="s">
        <v>14</v>
      </c>
      <c r="Q5" s="7" t="s">
        <v>17</v>
      </c>
    </row>
    <row r="6" spans="1:19" ht="23.25" customHeight="1">
      <c r="A6" s="8" t="s">
        <v>18</v>
      </c>
      <c r="B6" s="9"/>
      <c r="C6" s="9" t="s">
        <v>19</v>
      </c>
      <c r="D6" s="9"/>
      <c r="E6" s="9"/>
      <c r="F6" s="9"/>
      <c r="G6" s="10">
        <f>SUM(G7:G8)</f>
        <v>0</v>
      </c>
      <c r="H6" s="11"/>
      <c r="I6" s="12">
        <f>SUM(I7:I8)</f>
        <v>0</v>
      </c>
      <c r="J6" s="11"/>
      <c r="K6" s="12">
        <f>SUM(K7:K8)</f>
        <v>0</v>
      </c>
      <c r="L6" s="11"/>
      <c r="M6" s="12">
        <f>SUM(M7:M8)</f>
        <v>0</v>
      </c>
      <c r="N6" s="13"/>
      <c r="O6" s="14">
        <f>SUM(O7:O8)</f>
        <v>0</v>
      </c>
      <c r="P6" s="15"/>
      <c r="Q6" s="16">
        <f>SUM(Q7:Q8)</f>
        <v>0</v>
      </c>
    </row>
    <row r="7" spans="1:19" ht="39" customHeight="1">
      <c r="A7" s="17"/>
      <c r="B7" s="18">
        <v>1.1000000000000001</v>
      </c>
      <c r="C7" s="19" t="s">
        <v>20</v>
      </c>
      <c r="D7" s="20" t="s">
        <v>21</v>
      </c>
      <c r="E7" s="21">
        <v>1</v>
      </c>
      <c r="F7" s="22" t="s">
        <v>22</v>
      </c>
      <c r="G7" s="23"/>
      <c r="H7" s="21"/>
      <c r="I7" s="24"/>
      <c r="J7" s="21"/>
      <c r="K7" s="24"/>
      <c r="L7" s="21"/>
      <c r="M7" s="24"/>
      <c r="N7" s="21"/>
      <c r="O7" s="24"/>
      <c r="P7" s="21"/>
      <c r="Q7" s="24"/>
    </row>
    <row r="8" spans="1:19" ht="83.5" customHeight="1">
      <c r="A8" s="17"/>
      <c r="B8" s="18">
        <v>1.2</v>
      </c>
      <c r="C8" s="19" t="s">
        <v>23</v>
      </c>
      <c r="D8" s="20" t="s">
        <v>24</v>
      </c>
      <c r="E8" s="21">
        <v>1</v>
      </c>
      <c r="F8" s="22" t="s">
        <v>22</v>
      </c>
      <c r="G8" s="23"/>
      <c r="H8" s="21"/>
      <c r="I8" s="24"/>
      <c r="J8" s="21"/>
      <c r="K8" s="24"/>
      <c r="L8" s="21"/>
      <c r="M8" s="24"/>
      <c r="N8" s="21"/>
      <c r="O8" s="24"/>
      <c r="P8" s="21"/>
      <c r="Q8" s="24"/>
    </row>
    <row r="9" spans="1:19" ht="23.25" customHeight="1">
      <c r="A9" s="25">
        <v>1</v>
      </c>
      <c r="B9" s="26"/>
      <c r="C9" s="27" t="s">
        <v>25</v>
      </c>
      <c r="D9" s="26"/>
      <c r="E9" s="28"/>
      <c r="F9" s="29"/>
      <c r="G9" s="30"/>
      <c r="H9" s="31"/>
      <c r="I9" s="32"/>
      <c r="J9" s="31"/>
      <c r="K9" s="32"/>
      <c r="L9" s="31"/>
      <c r="M9" s="32"/>
      <c r="N9" s="33"/>
      <c r="O9" s="34"/>
      <c r="P9" s="7"/>
      <c r="Q9" s="7"/>
    </row>
    <row r="10" spans="1:19" s="44" customFormat="1" ht="23.25" customHeight="1">
      <c r="A10" s="35">
        <v>1.1000000000000001</v>
      </c>
      <c r="B10" s="36"/>
      <c r="C10" s="37" t="s">
        <v>26</v>
      </c>
      <c r="D10" s="36"/>
      <c r="E10" s="38"/>
      <c r="F10" s="36"/>
      <c r="G10" s="39">
        <f>SUM(G11:G17)</f>
        <v>189056926.82875699</v>
      </c>
      <c r="H10" s="40"/>
      <c r="I10" s="41">
        <f>SUM(I11:I17)</f>
        <v>119989323.24506095</v>
      </c>
      <c r="J10" s="40"/>
      <c r="K10" s="41">
        <f>SUM(K11:K17)</f>
        <v>31576218.579234969</v>
      </c>
      <c r="L10" s="40"/>
      <c r="M10" s="41">
        <f>SUM(M11:M17)</f>
        <v>37491385.004461072</v>
      </c>
      <c r="N10" s="42"/>
      <c r="O10" s="43">
        <f>SUM(O11:O17)</f>
        <v>0</v>
      </c>
      <c r="P10" s="15"/>
      <c r="Q10" s="16">
        <f>SUM(Q11:Q17)</f>
        <v>217964701.40640649</v>
      </c>
    </row>
    <row r="11" spans="1:19" ht="33" customHeight="1">
      <c r="A11" s="45"/>
      <c r="B11" s="46">
        <v>10101</v>
      </c>
      <c r="C11" s="19" t="s">
        <v>27</v>
      </c>
      <c r="D11" s="47" t="s">
        <v>28</v>
      </c>
      <c r="E11" s="48">
        <v>4560.59</v>
      </c>
      <c r="F11" s="49">
        <v>2915.6623</v>
      </c>
      <c r="G11" s="23">
        <f>F11*E11</f>
        <v>13297140.328757001</v>
      </c>
      <c r="H11" s="48">
        <v>4560.59</v>
      </c>
      <c r="I11" s="24">
        <f>H11*F11</f>
        <v>13297140.328757001</v>
      </c>
      <c r="J11" s="48"/>
      <c r="K11" s="24">
        <v>0</v>
      </c>
      <c r="L11" s="48"/>
      <c r="M11" s="24">
        <f t="shared" ref="M11:M17" si="0">L11*F11</f>
        <v>0</v>
      </c>
      <c r="N11" s="21">
        <f>+E11-H11+L11</f>
        <v>0</v>
      </c>
      <c r="O11" s="24">
        <f t="shared" ref="O11:O17" si="1">N11*F11</f>
        <v>0</v>
      </c>
      <c r="P11" s="21">
        <f>+'[1](1) LAVADO (T2)'!$E$107+'[1](5) LAVADO (T1)'!$E$81</f>
        <v>6812.6549999999997</v>
      </c>
      <c r="Q11" s="24">
        <f t="shared" ref="Q11:Q17" si="2">P11*F11</f>
        <v>19863401.346406501</v>
      </c>
      <c r="S11" s="1" t="s">
        <v>52</v>
      </c>
    </row>
    <row r="12" spans="1:19" ht="39.5" customHeight="1">
      <c r="A12" s="45"/>
      <c r="B12" s="46">
        <v>10102</v>
      </c>
      <c r="C12" s="19" t="s">
        <v>29</v>
      </c>
      <c r="D12" s="47" t="s">
        <v>28</v>
      </c>
      <c r="E12" s="48">
        <v>197.37</v>
      </c>
      <c r="F12" s="49">
        <v>34000</v>
      </c>
      <c r="G12" s="23">
        <f t="shared" ref="G12:G17" si="3">F12*E12</f>
        <v>6710580</v>
      </c>
      <c r="H12" s="48">
        <v>197.37</v>
      </c>
      <c r="I12" s="24">
        <f t="shared" ref="I12:I17" si="4">H12*F12</f>
        <v>6710580</v>
      </c>
      <c r="J12" s="48"/>
      <c r="K12" s="24">
        <v>0</v>
      </c>
      <c r="L12" s="48"/>
      <c r="M12" s="24">
        <f t="shared" si="0"/>
        <v>0</v>
      </c>
      <c r="N12" s="21">
        <f>+E12-H12+L12</f>
        <v>0</v>
      </c>
      <c r="O12" s="24">
        <f t="shared" si="1"/>
        <v>0</v>
      </c>
      <c r="P12" s="21">
        <f>+'[1](2) RESANES (T2)'!$E$15+'[1](6) RESANES (T1))'!$E$14</f>
        <v>397.37</v>
      </c>
      <c r="Q12" s="24">
        <f t="shared" si="2"/>
        <v>13510580</v>
      </c>
      <c r="S12" s="1" t="s">
        <v>52</v>
      </c>
    </row>
    <row r="13" spans="1:19" ht="39.5" customHeight="1">
      <c r="A13" s="45"/>
      <c r="B13" s="46">
        <v>10103</v>
      </c>
      <c r="C13" s="19" t="s">
        <v>30</v>
      </c>
      <c r="D13" s="47" t="s">
        <v>31</v>
      </c>
      <c r="E13" s="75">
        <v>7534.4</v>
      </c>
      <c r="F13" s="49">
        <v>5400</v>
      </c>
      <c r="G13" s="23">
        <f t="shared" si="3"/>
        <v>40685760</v>
      </c>
      <c r="H13" s="80">
        <v>2375.7045162511477</v>
      </c>
      <c r="I13" s="24">
        <f t="shared" si="4"/>
        <v>12828804.387756197</v>
      </c>
      <c r="J13" s="80">
        <v>5158.695483748852</v>
      </c>
      <c r="K13" s="24">
        <f>J13*F13</f>
        <v>27856955.612243801</v>
      </c>
      <c r="L13" s="80"/>
      <c r="M13" s="24">
        <f t="shared" si="0"/>
        <v>0</v>
      </c>
      <c r="N13" s="21">
        <f>+E13-H13-L13-J13</f>
        <v>0</v>
      </c>
      <c r="O13" s="24">
        <f t="shared" si="1"/>
        <v>0</v>
      </c>
      <c r="P13" s="21">
        <v>5573.48</v>
      </c>
      <c r="Q13" s="24">
        <f t="shared" si="2"/>
        <v>30096791.999999996</v>
      </c>
    </row>
    <row r="14" spans="1:19" ht="39.5" customHeight="1">
      <c r="A14" s="45"/>
      <c r="B14" s="46">
        <v>10104</v>
      </c>
      <c r="C14" s="19" t="s">
        <v>32</v>
      </c>
      <c r="D14" s="47" t="s">
        <v>28</v>
      </c>
      <c r="E14" s="48">
        <v>3947.39</v>
      </c>
      <c r="F14" s="49">
        <v>22750</v>
      </c>
      <c r="G14" s="23">
        <f t="shared" si="3"/>
        <v>89803122.5</v>
      </c>
      <c r="H14" s="82">
        <v>2871.03448477133</v>
      </c>
      <c r="I14" s="24">
        <f t="shared" si="4"/>
        <v>65316034.528547756</v>
      </c>
      <c r="J14" s="82"/>
      <c r="K14" s="24">
        <f t="shared" ref="K14:K17" si="5">J14*F14</f>
        <v>0</v>
      </c>
      <c r="L14" s="82">
        <f>E14-H14</f>
        <v>1076.3555152286699</v>
      </c>
      <c r="M14" s="24">
        <f t="shared" si="0"/>
        <v>24487087.97145224</v>
      </c>
      <c r="N14" s="21">
        <f t="shared" ref="N14:N17" si="6">+E14-H14-L14-J14</f>
        <v>0</v>
      </c>
      <c r="O14" s="24">
        <f t="shared" si="1"/>
        <v>0</v>
      </c>
      <c r="P14" s="21">
        <v>4910.13</v>
      </c>
      <c r="Q14" s="24">
        <f t="shared" si="2"/>
        <v>111705457.5</v>
      </c>
      <c r="S14" s="50"/>
    </row>
    <row r="15" spans="1:19" ht="39.5" customHeight="1">
      <c r="A15" s="45"/>
      <c r="B15" s="46">
        <v>10105</v>
      </c>
      <c r="C15" s="19" t="s">
        <v>33</v>
      </c>
      <c r="D15" s="47" t="s">
        <v>28</v>
      </c>
      <c r="E15" s="48">
        <v>452.92</v>
      </c>
      <c r="F15" s="49">
        <v>16000</v>
      </c>
      <c r="G15" s="23">
        <f t="shared" si="3"/>
        <v>7246720</v>
      </c>
      <c r="H15" s="81">
        <v>452.92</v>
      </c>
      <c r="I15" s="24">
        <f t="shared" si="4"/>
        <v>7246720</v>
      </c>
      <c r="J15" s="81"/>
      <c r="K15" s="24">
        <f t="shared" si="5"/>
        <v>0</v>
      </c>
      <c r="L15" s="81"/>
      <c r="M15" s="24">
        <f t="shared" si="0"/>
        <v>0</v>
      </c>
      <c r="N15" s="21">
        <f t="shared" si="6"/>
        <v>0</v>
      </c>
      <c r="O15" s="24">
        <f t="shared" si="1"/>
        <v>0</v>
      </c>
      <c r="P15" s="21">
        <f>+'[1]CANTIDAD DE OBRA (T2)'!$R$81+'[1]CANTIDAD DE OBRA (T1)'!$R$73</f>
        <v>717.18</v>
      </c>
      <c r="Q15" s="24">
        <f t="shared" si="2"/>
        <v>11474880</v>
      </c>
    </row>
    <row r="16" spans="1:19" ht="55.25" customHeight="1">
      <c r="A16" s="45"/>
      <c r="B16" s="46">
        <v>10106</v>
      </c>
      <c r="C16" s="19" t="s">
        <v>34</v>
      </c>
      <c r="D16" s="47" t="s">
        <v>28</v>
      </c>
      <c r="E16" s="48">
        <v>1261.3800000000001</v>
      </c>
      <c r="F16" s="49">
        <v>16800</v>
      </c>
      <c r="G16" s="23">
        <f t="shared" si="3"/>
        <v>21191184</v>
      </c>
      <c r="H16" s="21">
        <v>638.48</v>
      </c>
      <c r="I16" s="24">
        <f t="shared" si="4"/>
        <v>10726464</v>
      </c>
      <c r="J16" s="21">
        <v>125.75970041614093</v>
      </c>
      <c r="K16" s="24">
        <f t="shared" si="5"/>
        <v>2112762.9669911675</v>
      </c>
      <c r="L16" s="21">
        <v>497.14029958385913</v>
      </c>
      <c r="M16" s="24">
        <f t="shared" si="0"/>
        <v>8351957.0330088334</v>
      </c>
      <c r="N16" s="21">
        <f t="shared" si="6"/>
        <v>0</v>
      </c>
      <c r="O16" s="24">
        <f t="shared" si="1"/>
        <v>0</v>
      </c>
      <c r="P16" s="48">
        <f>+'[1](8A) PINTURA CARP MET (T1)'!$H$42+'[1](4A) PINTURA CARP MET'!$I$47+241.63</f>
        <v>1261.3791999999999</v>
      </c>
      <c r="Q16" s="24">
        <f t="shared" si="2"/>
        <v>21191170.559999999</v>
      </c>
      <c r="R16" s="50"/>
    </row>
    <row r="17" spans="1:18" ht="41.5" customHeight="1">
      <c r="A17" s="51"/>
      <c r="B17" s="46">
        <v>10107</v>
      </c>
      <c r="C17" s="19" t="s">
        <v>35</v>
      </c>
      <c r="D17" s="47" t="s">
        <v>28</v>
      </c>
      <c r="E17" s="52">
        <v>723.03</v>
      </c>
      <c r="F17" s="49">
        <v>14000</v>
      </c>
      <c r="G17" s="23">
        <f t="shared" si="3"/>
        <v>10122420</v>
      </c>
      <c r="H17" s="21">
        <f>+'[1](1) LAVADO (T2)'!$E$113</f>
        <v>275.97000000000003</v>
      </c>
      <c r="I17" s="24">
        <f t="shared" si="4"/>
        <v>3863580.0000000005</v>
      </c>
      <c r="J17" s="21">
        <v>114.75</v>
      </c>
      <c r="K17" s="24">
        <f t="shared" si="5"/>
        <v>1606500</v>
      </c>
      <c r="L17" s="21">
        <v>332.30999999999995</v>
      </c>
      <c r="M17" s="24">
        <f t="shared" si="0"/>
        <v>4652339.9999999991</v>
      </c>
      <c r="N17" s="21">
        <f t="shared" si="6"/>
        <v>0</v>
      </c>
      <c r="O17" s="24">
        <f t="shared" si="1"/>
        <v>0</v>
      </c>
      <c r="P17" s="21">
        <f>+'[1]CANTIDAD DE OBRA (T2)'!$S$81+'[1]CANTIDAD DE OBRA (T1)'!$S$73+255.81</f>
        <v>723.03</v>
      </c>
      <c r="Q17" s="24">
        <f t="shared" si="2"/>
        <v>10122420</v>
      </c>
      <c r="R17" s="50"/>
    </row>
    <row r="18" spans="1:18" s="44" customFormat="1" ht="21" customHeight="1">
      <c r="A18" s="8">
        <v>1.2</v>
      </c>
      <c r="B18" s="36"/>
      <c r="C18" s="11" t="s">
        <v>36</v>
      </c>
      <c r="D18" s="36"/>
      <c r="E18" s="53"/>
      <c r="F18" s="9"/>
      <c r="G18" s="39">
        <f>SUM(G19:G19)</f>
        <v>400000</v>
      </c>
      <c r="H18" s="40"/>
      <c r="I18" s="41">
        <f>SUM(I19:I19)</f>
        <v>0</v>
      </c>
      <c r="J18" s="40"/>
      <c r="K18" s="41">
        <v>0</v>
      </c>
      <c r="L18" s="40"/>
      <c r="M18" s="41">
        <f>SUM(M19:M19)</f>
        <v>400000</v>
      </c>
      <c r="N18" s="42"/>
      <c r="O18" s="43">
        <f>SUM(O19:O19)</f>
        <v>0</v>
      </c>
      <c r="P18" s="15"/>
      <c r="Q18" s="16">
        <f>SUM(Q19:Q19)</f>
        <v>400000</v>
      </c>
    </row>
    <row r="19" spans="1:18" ht="21.75" customHeight="1">
      <c r="A19" s="54"/>
      <c r="B19" s="55">
        <v>10201</v>
      </c>
      <c r="C19" s="19" t="s">
        <v>37</v>
      </c>
      <c r="D19" s="56" t="s">
        <v>21</v>
      </c>
      <c r="E19" s="21">
        <v>1</v>
      </c>
      <c r="F19" s="24">
        <v>400000</v>
      </c>
      <c r="G19" s="23">
        <f>F19*E19</f>
        <v>400000</v>
      </c>
      <c r="H19" s="21"/>
      <c r="I19" s="24">
        <f>H19*F19</f>
        <v>0</v>
      </c>
      <c r="J19" s="21">
        <v>0</v>
      </c>
      <c r="K19" s="24"/>
      <c r="L19" s="21">
        <v>1</v>
      </c>
      <c r="M19" s="24">
        <f>L19*F19</f>
        <v>400000</v>
      </c>
      <c r="N19" s="21">
        <f>+E19-L19</f>
        <v>0</v>
      </c>
      <c r="O19" s="24">
        <f>N19*F19</f>
        <v>0</v>
      </c>
      <c r="P19" s="21">
        <v>1</v>
      </c>
      <c r="Q19" s="24">
        <f>P19*F19</f>
        <v>400000</v>
      </c>
    </row>
    <row r="20" spans="1:18" ht="21.75" customHeight="1">
      <c r="D20" s="147" t="s">
        <v>38</v>
      </c>
      <c r="E20" s="148"/>
      <c r="F20" s="149"/>
      <c r="G20" s="58">
        <f>+G10+G18</f>
        <v>189456926.82875699</v>
      </c>
      <c r="H20" s="59" t="s">
        <v>38</v>
      </c>
      <c r="I20" s="59">
        <f>+I10+I18</f>
        <v>119989323.24506095</v>
      </c>
      <c r="J20" s="59" t="s">
        <v>38</v>
      </c>
      <c r="K20" s="59">
        <f>+K10+K18</f>
        <v>31576218.579234969</v>
      </c>
      <c r="L20" s="59" t="s">
        <v>38</v>
      </c>
      <c r="M20" s="59">
        <f>+M10+M18</f>
        <v>37891385.004461072</v>
      </c>
      <c r="N20" s="60" t="s">
        <v>38</v>
      </c>
      <c r="O20" s="60">
        <f>+O10+O18</f>
        <v>0</v>
      </c>
      <c r="P20" s="7" t="s">
        <v>38</v>
      </c>
      <c r="Q20" s="61">
        <f>+Q10+Q18</f>
        <v>218364701.40640649</v>
      </c>
    </row>
    <row r="21" spans="1:18" ht="20" customHeight="1">
      <c r="D21" s="150" t="s">
        <v>39</v>
      </c>
      <c r="E21" s="151"/>
      <c r="F21" s="62">
        <v>0.08</v>
      </c>
      <c r="G21" s="63">
        <f>+$G$20*F21</f>
        <v>15156554.14630056</v>
      </c>
      <c r="H21" s="64" t="s">
        <v>39</v>
      </c>
      <c r="I21" s="65">
        <f>+$I$20*F21</f>
        <v>9599145.8596048765</v>
      </c>
      <c r="J21" s="64" t="s">
        <v>39</v>
      </c>
      <c r="K21" s="65">
        <f>+$K$20*F21</f>
        <v>2526097.4863387975</v>
      </c>
      <c r="L21" s="64" t="s">
        <v>39</v>
      </c>
      <c r="M21" s="65">
        <f>+$M$20*F21</f>
        <v>3031310.8003568859</v>
      </c>
      <c r="N21" s="64" t="s">
        <v>39</v>
      </c>
      <c r="O21" s="65">
        <f>+$O$20*$F$21</f>
        <v>0</v>
      </c>
      <c r="P21" s="64" t="s">
        <v>39</v>
      </c>
      <c r="Q21" s="65">
        <f>+$Q$20*$F$21</f>
        <v>17469176.112512521</v>
      </c>
    </row>
    <row r="22" spans="1:18" ht="20" customHeight="1">
      <c r="D22" s="150" t="s">
        <v>40</v>
      </c>
      <c r="E22" s="151"/>
      <c r="F22" s="62">
        <v>0.05</v>
      </c>
      <c r="G22" s="63">
        <f>+$G$20*F22</f>
        <v>9472846.3414378501</v>
      </c>
      <c r="H22" s="64" t="s">
        <v>40</v>
      </c>
      <c r="I22" s="65">
        <f t="shared" ref="I22:I23" si="7">+$I$20*F22</f>
        <v>5999466.1622530483</v>
      </c>
      <c r="J22" s="64" t="s">
        <v>40</v>
      </c>
      <c r="K22" s="65">
        <f t="shared" ref="K22:K23" si="8">+$K$20*F22</f>
        <v>1578810.9289617485</v>
      </c>
      <c r="L22" s="64" t="s">
        <v>40</v>
      </c>
      <c r="M22" s="65">
        <f>+$M$20*F22</f>
        <v>1894569.2502230536</v>
      </c>
      <c r="N22" s="64" t="s">
        <v>40</v>
      </c>
      <c r="O22" s="65">
        <f>+$O$20*$F$22</f>
        <v>0</v>
      </c>
      <c r="P22" s="64" t="s">
        <v>40</v>
      </c>
      <c r="Q22" s="65">
        <f>+$Q$20*$F$22</f>
        <v>10918235.070320325</v>
      </c>
    </row>
    <row r="23" spans="1:18" ht="20" customHeight="1">
      <c r="D23" s="150" t="s">
        <v>41</v>
      </c>
      <c r="E23" s="151"/>
      <c r="F23" s="62">
        <v>0.05</v>
      </c>
      <c r="G23" s="63">
        <f>+$G$20*F23</f>
        <v>9472846.3414378501</v>
      </c>
      <c r="H23" s="64" t="s">
        <v>41</v>
      </c>
      <c r="I23" s="65">
        <f t="shared" si="7"/>
        <v>5999466.1622530483</v>
      </c>
      <c r="J23" s="64" t="s">
        <v>41</v>
      </c>
      <c r="K23" s="65">
        <f t="shared" si="8"/>
        <v>1578810.9289617485</v>
      </c>
      <c r="L23" s="64" t="s">
        <v>41</v>
      </c>
      <c r="M23" s="65">
        <f>+$M$20*F23</f>
        <v>1894569.2502230536</v>
      </c>
      <c r="N23" s="64" t="s">
        <v>41</v>
      </c>
      <c r="O23" s="65">
        <f>+$O$20*$F$23</f>
        <v>0</v>
      </c>
      <c r="P23" s="64" t="s">
        <v>41</v>
      </c>
      <c r="Q23" s="65">
        <f>+$Q$20*$F$23</f>
        <v>10918235.070320325</v>
      </c>
    </row>
    <row r="24" spans="1:18" ht="20" customHeight="1">
      <c r="D24" s="150" t="s">
        <v>42</v>
      </c>
      <c r="E24" s="151"/>
      <c r="F24" s="62">
        <v>0.19</v>
      </c>
      <c r="G24" s="63">
        <f>+G23*F24</f>
        <v>1799840.8048731915</v>
      </c>
      <c r="H24" s="64" t="s">
        <v>42</v>
      </c>
      <c r="I24" s="65">
        <f>+I23*F24</f>
        <v>1139898.5708280792</v>
      </c>
      <c r="J24" s="64" t="s">
        <v>42</v>
      </c>
      <c r="K24" s="65">
        <f>K23*F24</f>
        <v>299974.07650273223</v>
      </c>
      <c r="L24" s="64" t="s">
        <v>42</v>
      </c>
      <c r="M24" s="65">
        <f>+M23*F24</f>
        <v>359968.15754238021</v>
      </c>
      <c r="N24" s="64" t="s">
        <v>42</v>
      </c>
      <c r="O24" s="65">
        <f>+O23*$F$24</f>
        <v>0</v>
      </c>
      <c r="P24" s="64" t="s">
        <v>42</v>
      </c>
      <c r="Q24" s="65">
        <f>+$Q$23*$F$24</f>
        <v>2074464.6633608618</v>
      </c>
    </row>
    <row r="25" spans="1:18" ht="20" customHeight="1">
      <c r="D25" s="137" t="s">
        <v>43</v>
      </c>
      <c r="E25" s="138"/>
      <c r="F25" s="139"/>
      <c r="G25" s="66">
        <f>+G21+G22+G23+G24</f>
        <v>35902087.634049453</v>
      </c>
      <c r="H25" s="67" t="s">
        <v>43</v>
      </c>
      <c r="I25" s="67">
        <f>+I21+I22+I23+I24</f>
        <v>22737976.754939053</v>
      </c>
      <c r="J25" s="67" t="s">
        <v>43</v>
      </c>
      <c r="K25" s="67">
        <f>+K21+K22+K23+K24</f>
        <v>5983693.4207650265</v>
      </c>
      <c r="L25" s="67" t="s">
        <v>43</v>
      </c>
      <c r="M25" s="67">
        <f>+M21+M22+M23+M24</f>
        <v>7180417.4583453732</v>
      </c>
      <c r="N25" s="68" t="s">
        <v>43</v>
      </c>
      <c r="O25" s="68">
        <f>+O21+O22+O23+O24</f>
        <v>0</v>
      </c>
      <c r="P25" s="69" t="s">
        <v>43</v>
      </c>
      <c r="Q25" s="69">
        <f>+Q21+Q22+Q23+Q24</f>
        <v>41380110.916514032</v>
      </c>
    </row>
    <row r="26" spans="1:18" ht="20" customHeight="1">
      <c r="D26" s="140" t="s">
        <v>44</v>
      </c>
      <c r="E26" s="141"/>
      <c r="F26" s="142"/>
      <c r="G26" s="70">
        <f>+G20+G25</f>
        <v>225359014.46280643</v>
      </c>
      <c r="H26" s="71" t="s">
        <v>45</v>
      </c>
      <c r="I26" s="71">
        <f>+I20+I25</f>
        <v>142727300</v>
      </c>
      <c r="J26" s="71" t="s">
        <v>45</v>
      </c>
      <c r="K26" s="71">
        <f>K25+K20</f>
        <v>37559911.999999993</v>
      </c>
      <c r="L26" s="71" t="s">
        <v>45</v>
      </c>
      <c r="M26" s="71">
        <f>+M20+M25</f>
        <v>45071802.462806448</v>
      </c>
      <c r="N26" s="72" t="s">
        <v>44</v>
      </c>
      <c r="O26" s="72">
        <f>+O20+O25</f>
        <v>0</v>
      </c>
      <c r="P26" s="73" t="s">
        <v>44</v>
      </c>
      <c r="Q26" s="73">
        <f>+Q20+Q25</f>
        <v>259744812.32292053</v>
      </c>
    </row>
    <row r="27" spans="1:18" ht="20" customHeight="1">
      <c r="H27" s="79" t="s">
        <v>46</v>
      </c>
      <c r="I27" s="76">
        <v>67607704</v>
      </c>
      <c r="J27"/>
      <c r="K27"/>
      <c r="L27"/>
      <c r="M27"/>
    </row>
    <row r="28" spans="1:18" ht="20" customHeight="1">
      <c r="H28" s="77" t="s">
        <v>48</v>
      </c>
      <c r="I28" s="78">
        <f>I27</f>
        <v>67607704</v>
      </c>
      <c r="J28"/>
      <c r="K28"/>
      <c r="L28" s="84"/>
      <c r="M28"/>
      <c r="N28" s="74"/>
      <c r="O28" s="74"/>
      <c r="P28" s="74"/>
      <c r="Q28" s="74"/>
    </row>
    <row r="29" spans="1:18" ht="20" customHeight="1">
      <c r="H29" s="71" t="s">
        <v>47</v>
      </c>
      <c r="I29" s="71">
        <f>I26-I28</f>
        <v>75119596</v>
      </c>
      <c r="J29"/>
      <c r="K29"/>
      <c r="L29" s="84"/>
      <c r="M29"/>
      <c r="O29" s="74"/>
      <c r="P29" s="74"/>
    </row>
    <row r="30" spans="1:18" ht="20" customHeight="1"/>
    <row r="31" spans="1:18">
      <c r="I31" s="74"/>
      <c r="J31" s="74"/>
      <c r="K31" s="74"/>
      <c r="M31" s="74"/>
    </row>
    <row r="32" spans="1:18">
      <c r="M32" s="74">
        <f>M29+I29+I27</f>
        <v>142727300</v>
      </c>
    </row>
  </sheetData>
  <mergeCells count="33">
    <mergeCell ref="H1:I1"/>
    <mergeCell ref="H2:I2"/>
    <mergeCell ref="H3:I3"/>
    <mergeCell ref="H4:I4"/>
    <mergeCell ref="C3:E3"/>
    <mergeCell ref="C4:E4"/>
    <mergeCell ref="A1:G1"/>
    <mergeCell ref="N4:O4"/>
    <mergeCell ref="P4:Q4"/>
    <mergeCell ref="D26:F26"/>
    <mergeCell ref="D20:F20"/>
    <mergeCell ref="D21:E21"/>
    <mergeCell ref="D22:E22"/>
    <mergeCell ref="D23:E23"/>
    <mergeCell ref="D24:E24"/>
    <mergeCell ref="D25:F25"/>
    <mergeCell ref="J4:K4"/>
    <mergeCell ref="L1:M1"/>
    <mergeCell ref="N1:O1"/>
    <mergeCell ref="P1:Q1"/>
    <mergeCell ref="A2:B2"/>
    <mergeCell ref="F2:G4"/>
    <mergeCell ref="L2:M2"/>
    <mergeCell ref="N2:O2"/>
    <mergeCell ref="P2:Q2"/>
    <mergeCell ref="A3:B3"/>
    <mergeCell ref="L3:M3"/>
    <mergeCell ref="N3:O3"/>
    <mergeCell ref="P3:Q3"/>
    <mergeCell ref="A4:B4"/>
    <mergeCell ref="J2:K2"/>
    <mergeCell ref="J3:K3"/>
    <mergeCell ref="L4:M4"/>
  </mergeCells>
  <pageMargins left="0.23622047244094491" right="3.937007874015748E-2" top="0.35433070866141736" bottom="0.35433070866141736" header="0.11811023622047245" footer="0.11811023622047245"/>
  <pageSetup scale="88" fitToHeight="0" orientation="landscape" r:id="rId1"/>
  <rowBreaks count="1" manualBreakCount="1">
    <brk id="26" max="6"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COMPARATIVO</vt:lpstr>
      <vt:lpstr>CORTES DE OBRA</vt:lpstr>
      <vt:lpstr>COMPARATIVO!Área_de_impresión</vt:lpstr>
      <vt:lpstr>'CORTES DE OBRA'!Área_de_impresión</vt:lpstr>
    </vt:vector>
  </TitlesOfParts>
  <Company>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Renso Montoya Upegui</cp:lastModifiedBy>
  <cp:lastPrinted>2025-11-07T01:24:08Z</cp:lastPrinted>
  <dcterms:created xsi:type="dcterms:W3CDTF">2025-06-11T21:19:35Z</dcterms:created>
  <dcterms:modified xsi:type="dcterms:W3CDTF">2025-11-07T01:24:18Z</dcterms:modified>
</cp:coreProperties>
</file>