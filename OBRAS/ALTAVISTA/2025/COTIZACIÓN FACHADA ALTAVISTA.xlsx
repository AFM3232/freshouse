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8_{B3840051-3F10-48CD-BD4A-D7D6CC089EE6}" xr6:coauthVersionLast="47" xr6:coauthVersionMax="47" xr10:uidLastSave="{00000000-0000-0000-0000-000000000000}"/>
  <bookViews>
    <workbookView xWindow="-108" yWindow="-108" windowWidth="23256" windowHeight="12456" activeTab="1" xr2:uid="{BCFB1664-7DBD-4EFF-A670-B77D79CD3276}"/>
  </bookViews>
  <sheets>
    <sheet name="COT. IVA CANCHA Y PARQUE NEGRO" sheetId="9" r:id="rId1"/>
    <sheet name="COTIZACIÓN IVA" sheetId="8" r:id="rId2"/>
    <sheet name="COTIZACIÓN AIU" sheetId="3" r:id="rId3"/>
  </sheets>
  <definedNames>
    <definedName name="_xlnm.Print_Area" localSheetId="0">'COT. IVA CANCHA Y PARQUE NEGRO'!$A$1:$G$14</definedName>
    <definedName name="_xlnm.Print_Area" localSheetId="2">'COTIZACIÓN AIU'!$A$1:$G$15</definedName>
    <definedName name="_xlnm.Print_Area" localSheetId="1">'COTIZACIÓN IVA'!$A$1:$G$14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8" l="1"/>
  <c r="G21" i="8"/>
  <c r="G20" i="8"/>
  <c r="G19" i="8"/>
  <c r="G15" i="9" l="1"/>
  <c r="G14" i="9" s="1"/>
  <c r="G13" i="9"/>
  <c r="G12" i="9" s="1"/>
  <c r="K21" i="9"/>
  <c r="K19" i="9"/>
  <c r="J21" i="9"/>
  <c r="J15" i="9"/>
  <c r="H18" i="9"/>
  <c r="H20" i="9" s="1"/>
  <c r="J17" i="9"/>
  <c r="G17" i="9"/>
  <c r="G16" i="9" s="1"/>
  <c r="J16" i="9"/>
  <c r="J14" i="9"/>
  <c r="J13" i="9"/>
  <c r="J12" i="9"/>
  <c r="J11" i="9"/>
  <c r="G11" i="9"/>
  <c r="G9" i="9" s="1"/>
  <c r="J10" i="9"/>
  <c r="J17" i="8"/>
  <c r="J15" i="8"/>
  <c r="J14" i="8"/>
  <c r="G13" i="8"/>
  <c r="J11" i="8"/>
  <c r="J10" i="8"/>
  <c r="J12" i="8"/>
  <c r="J16" i="8"/>
  <c r="I21" i="3"/>
  <c r="G11" i="8"/>
  <c r="G9" i="8" s="1"/>
  <c r="G18" i="9" l="1"/>
  <c r="G23" i="9" s="1"/>
  <c r="J18" i="9"/>
  <c r="J13" i="8"/>
  <c r="G17" i="8"/>
  <c r="G16" i="8" s="1"/>
  <c r="G12" i="8"/>
  <c r="G18" i="8" s="1"/>
  <c r="G18" i="3"/>
  <c r="G17" i="3" s="1"/>
  <c r="G19" i="9" l="1"/>
  <c r="G20" i="9" s="1"/>
  <c r="G14" i="3"/>
  <c r="G20" i="3"/>
  <c r="G19" i="3" s="1"/>
  <c r="G16" i="3"/>
  <c r="G15" i="3" s="1"/>
  <c r="G13" i="3"/>
  <c r="G11" i="3"/>
  <c r="G9" i="3" s="1"/>
  <c r="G12" i="3" l="1"/>
  <c r="G21" i="3" s="1"/>
  <c r="G24" i="3" l="1"/>
  <c r="G25" i="3" s="1"/>
  <c r="G23" i="3"/>
  <c r="G22" i="3"/>
  <c r="G26" i="3" l="1"/>
  <c r="G27" i="3" s="1"/>
  <c r="G30" i="3" l="1"/>
  <c r="H18" i="8"/>
  <c r="H20" i="8" l="1"/>
  <c r="J18" i="8"/>
  <c r="G23" i="8" l="1"/>
  <c r="G24" i="8" s="1"/>
</calcChain>
</file>

<file path=xl/sharedStrings.xml><?xml version="1.0" encoding="utf-8"?>
<sst xmlns="http://schemas.openxmlformats.org/spreadsheetml/2006/main" count="146" uniqueCount="61">
  <si>
    <t>CAPT</t>
  </si>
  <si>
    <t>ITEMS</t>
  </si>
  <si>
    <t>ACTIVIDAD</t>
  </si>
  <si>
    <t>UNIDAD</t>
  </si>
  <si>
    <t>CANTIDAD</t>
  </si>
  <si>
    <t>VR UNITARIO</t>
  </si>
  <si>
    <t>VALOR DIRECTO ACTIVIDAD</t>
  </si>
  <si>
    <t>M2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</si>
  <si>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</si>
  <si>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</si>
  <si>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</si>
  <si>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</si>
  <si>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</si>
  <si>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</si>
  <si>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</si>
  <si>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DIRECCION:</t>
  </si>
  <si>
    <t>CORREO:</t>
  </si>
  <si>
    <t>TELEFONO:</t>
  </si>
  <si>
    <t>+57 310 461 7353</t>
  </si>
  <si>
    <t>CODIGO: FH-F-02</t>
  </si>
  <si>
    <t xml:space="preserve"> PRELIMINARES DE OBRA</t>
  </si>
  <si>
    <t xml:space="preserve"> VERSIÓN: 01</t>
  </si>
  <si>
    <t>1.1</t>
  </si>
  <si>
    <t>GB</t>
  </si>
  <si>
    <t>1.2</t>
  </si>
  <si>
    <t>2.1</t>
  </si>
  <si>
    <t>2.2</t>
  </si>
  <si>
    <t>3.1</t>
  </si>
  <si>
    <t>LIMPIEZA Y ALISTAMIENTO DE SUPERFICIES</t>
  </si>
  <si>
    <t>4.1</t>
  </si>
  <si>
    <t>5.1</t>
  </si>
  <si>
    <t>LIMPIEZA Y ASEO GENERAL</t>
  </si>
  <si>
    <t>CANTIDADES DE OBRA Y ESPECIFICACIONES TECNICAS PARA ACTIVIDADES DE RESTAURACIÓN INTEGRAL EN FACHADAS</t>
  </si>
  <si>
    <t>GLB</t>
  </si>
  <si>
    <t>Calle 19 Norte 18-64 Ed. Atlantis piso 3 local 7</t>
  </si>
  <si>
    <t>Gerencia@freshouse.com.co</t>
  </si>
  <si>
    <t>Alistamiento de fachada paneles de madera, incluye reposición de tornilleria anclajes, lijado e imprimación de madera y sello general</t>
  </si>
  <si>
    <t>Construcción campamento provisional | espacio para guardar materiales y herramientas</t>
  </si>
  <si>
    <t>Cerramiento provisional y señalización de las obras a intervenir. En cerramiento con señalización respectiva visible del área a intervenir que impida paso de peatones o vehículos para evitar riesgos de accidentes</t>
  </si>
  <si>
    <t>ACABADO FINAL PANELES DE FACHADA</t>
  </si>
  <si>
    <t>CORRECCIÓN DE PENDIENTE E IMPERMEABILIZACIÓN</t>
  </si>
  <si>
    <t>Tratamiento de dilataciones con sello hibrido Multibond Soudal incluye resane de superficie con Tex joint y Estuco acrílico y lijado de superficie</t>
  </si>
  <si>
    <t>En el transcurso de la ejecución y al final de la obra, limpieza general y desalojo de todo el material sobrante y desperdicios</t>
  </si>
  <si>
    <t xml:space="preserve">  FECHA:                        14/07/2025</t>
  </si>
  <si>
    <t xml:space="preserve">  VALIDO HASTA:           14/10/2025</t>
  </si>
  <si>
    <t>C.C PORTAL DEL QUINDÍO</t>
  </si>
  <si>
    <t>PRESUPUESTO PARA RESTAURACIÓN DE FACHADA</t>
  </si>
  <si>
    <t>valor m2</t>
  </si>
  <si>
    <t>3 MANOS</t>
  </si>
  <si>
    <t>Suministro y aplicación de pintura Koraza pro 550 en superficie de paneles de fachada a 3 manos</t>
  </si>
  <si>
    <t>Resane con Mortero Listo e Impermeabilización con Pintuco Fill 7</t>
  </si>
  <si>
    <t>3.2</t>
  </si>
  <si>
    <r>
      <t>Suministro y aplicación de pintura Koraza pro 550 en superficie de paneles en fachada a 2</t>
    </r>
    <r>
      <rPr>
        <sz val="16"/>
        <color theme="1"/>
        <rFont val="Century Gothic"/>
        <family val="2"/>
      </rPr>
      <t xml:space="preserve"> manos</t>
    </r>
    <r>
      <rPr>
        <b/>
        <u/>
        <sz val="16"/>
        <color rgb="FFFF0000"/>
        <rFont val="Century Gothic"/>
        <family val="2"/>
      </rPr>
      <t xml:space="preserve"> (AREA DE CANCHA Y SALIDA VEHICULAR INCLUYENDO CIELO)</t>
    </r>
  </si>
  <si>
    <t>Lavado y limpieza de las superficies que presenten hongos en el edificio incluye, ventanas, vidrieras, paredes, la limpieza se realizará el lavado con bactericidas o hipoclorito al 10%, escoba según sea el caso| se debe de lavar todas las superficies de las fachadas del edificio, se debe eliminar polvos y grasas que impidan que los productos a aplicar queden bien adheridos y cumplan con si estabilidad.</t>
  </si>
  <si>
    <t>RESTAURACIÓN DE FACHADA</t>
  </si>
  <si>
    <t>Levantamiento, remoción y reposición de graniplast desprendido en la fachada, se debe desprender todo graniplast soplado evidenciado a la vista, graniplast suelto por formación de hongos o mal adherido y además se deben retirar sectores complementarios a los afectados para unificar y regularizar las reparaciones</t>
  </si>
  <si>
    <t>Suministro y aplicación de esmalte Pintulux 3 en 1 de Pintuco en area de barandas</t>
  </si>
  <si>
    <t>C.C ALTAVISTA</t>
  </si>
  <si>
    <t xml:space="preserve">  FECHA:                        17/07/2025</t>
  </si>
  <si>
    <t xml:space="preserve">  VALIDO HASTA:           17/10/2025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</si>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</sst>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0.00000"/>
    <numFmt numFmtId="167" formatCode="_-&quot;$&quot;\ * #,##0.00000_-;\-&quot;$&quot;\ * #,##0.00000_-;_-&quot;$&quot;\ * &quot;-&quot;???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6"/>
      <color rgb="FFFF0000"/>
      <name val="Century Gothic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</cellStyleXfs>
  <cellXfs count="101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left" vertical="center" wrapText="1"/>
    </xf>
    <xf numFmtId="164" fontId="10" fillId="9" borderId="3" xfId="0" applyNumberFormat="1" applyFont="1" applyFill="1" applyBorder="1" applyAlignment="1">
      <alignment horizontal="left" vertical="center" wrapText="1"/>
    </xf>
    <xf numFmtId="164" fontId="10" fillId="8" borderId="3" xfId="0" applyNumberFormat="1" applyFont="1" applyFill="1" applyBorder="1" applyAlignment="1">
      <alignment horizontal="left" vertical="center" wrapText="1"/>
    </xf>
    <xf numFmtId="165" fontId="3" fillId="0" borderId="1" xfId="1" applyNumberFormat="1" applyFont="1" applyFill="1" applyBorder="1" applyAlignment="1">
      <alignment vertical="center"/>
    </xf>
    <xf numFmtId="165" fontId="10" fillId="9" borderId="3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165" fontId="3" fillId="0" borderId="6" xfId="1" applyNumberFormat="1" applyFont="1" applyFill="1" applyBorder="1" applyAlignment="1">
      <alignment vertical="center"/>
    </xf>
    <xf numFmtId="164" fontId="3" fillId="0" borderId="6" xfId="0" applyNumberFormat="1" applyFont="1" applyBorder="1" applyAlignment="1">
      <alignment horizontal="left" vertical="center" wrapText="1"/>
    </xf>
    <xf numFmtId="164" fontId="10" fillId="10" borderId="6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43" fontId="3" fillId="0" borderId="1" xfId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44" fontId="14" fillId="0" borderId="0" xfId="2" applyFont="1" applyAlignment="1">
      <alignment vertical="center"/>
    </xf>
    <xf numFmtId="0" fontId="15" fillId="0" borderId="0" xfId="0" applyFont="1" applyAlignment="1">
      <alignment horizontal="center"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11" fillId="2" borderId="20" xfId="1" applyFont="1" applyFill="1" applyBorder="1" applyAlignment="1">
      <alignment horizontal="center" vertical="center"/>
    </xf>
    <xf numFmtId="43" fontId="11" fillId="2" borderId="4" xfId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4" fontId="3" fillId="0" borderId="21" xfId="2" applyFont="1" applyBorder="1" applyAlignment="1">
      <alignment horizontal="center" vertical="center"/>
    </xf>
    <xf numFmtId="44" fontId="3" fillId="0" borderId="22" xfId="2" applyFont="1" applyBorder="1" applyAlignment="1">
      <alignment horizontal="center" vertical="center"/>
    </xf>
    <xf numFmtId="44" fontId="3" fillId="0" borderId="23" xfId="2" applyFont="1" applyBorder="1" applyAlignment="1">
      <alignment horizontal="center" vertical="center"/>
    </xf>
    <xf numFmtId="43" fontId="3" fillId="0" borderId="21" xfId="1" applyFont="1" applyFill="1" applyBorder="1" applyAlignment="1">
      <alignment horizontal="center" vertical="center"/>
    </xf>
    <xf numFmtId="43" fontId="3" fillId="0" borderId="22" xfId="1" applyFont="1" applyFill="1" applyBorder="1" applyAlignment="1">
      <alignment horizontal="center" vertical="center"/>
    </xf>
    <xf numFmtId="43" fontId="3" fillId="0" borderId="23" xfId="1" applyFont="1" applyFill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 wrapText="1"/>
    </xf>
    <xf numFmtId="164" fontId="3" fillId="0" borderId="22" xfId="0" applyNumberFormat="1" applyFont="1" applyBorder="1" applyAlignment="1">
      <alignment horizontal="center" vertical="center" wrapText="1"/>
    </xf>
    <xf numFmtId="164" fontId="3" fillId="0" borderId="23" xfId="0" applyNumberFormat="1" applyFont="1" applyBorder="1" applyAlignment="1">
      <alignment horizontal="center" vertical="center" wrapText="1"/>
    </xf>
    <xf numFmtId="164" fontId="3" fillId="10" borderId="21" xfId="0" applyNumberFormat="1" applyFont="1" applyFill="1" applyBorder="1" applyAlignment="1">
      <alignment horizontal="center" vertical="center" wrapText="1"/>
    </xf>
    <xf numFmtId="164" fontId="3" fillId="10" borderId="22" xfId="0" applyNumberFormat="1" applyFont="1" applyFill="1" applyBorder="1" applyAlignment="1">
      <alignment horizontal="center" vertical="center" wrapText="1"/>
    </xf>
    <xf numFmtId="164" fontId="3" fillId="10" borderId="23" xfId="0" applyNumberFormat="1" applyFont="1" applyFill="1" applyBorder="1" applyAlignment="1">
      <alignment horizontal="center" vertical="center" wrapText="1"/>
    </xf>
  </cellXfs>
  <cellStyles count="5">
    <cellStyle name="Millares" xfId="1" builtinId="3"/>
    <cellStyle name="Moneda" xfId="2" builtinId="4"/>
    <cellStyle name="Normal" xfId="0" builtinId="0"/>
    <cellStyle name="Normal 2" xfId="4" xr:uid="{A3F06B0A-08CE-463A-AE68-10E93FCE8195}"/>
    <cellStyle name="Porcentaje" xfId="3" builtinId="5"/>
  </cellStyles>
  <dxfs count="0"/>
  <tableStyles count="0" defaultTableStyle="TableStyleMedium2" defaultPivotStyle="PivotStyleLight16"/>
  <colors>
    <mruColors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689F7E-2EB2-48D6-8EE6-8A4242492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10109A-518C-461E-8BC9-DC4FCD032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92DD48-C1E7-4531-9B53-E60F141C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A88E-3EA7-4D0F-9619-26AEB09CA3A5}">
  <sheetPr>
    <pageSetUpPr fitToPage="1"/>
  </sheetPr>
  <dimension ref="A1:K28"/>
  <sheetViews>
    <sheetView topLeftCell="A10" zoomScale="60" zoomScaleNormal="60" workbookViewId="0">
      <selection activeCell="G20" sqref="G20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18.44140625" style="1" customWidth="1"/>
    <col min="9" max="9" width="12.33203125" style="1"/>
    <col min="10" max="10" width="17" style="1" bestFit="1" customWidth="1"/>
    <col min="11" max="16384" width="12.33203125" style="1"/>
  </cols>
  <sheetData>
    <row r="1" spans="1:10" ht="27.6" x14ac:dyDescent="0.3">
      <c r="A1" s="67" t="s">
        <v>45</v>
      </c>
      <c r="B1" s="68"/>
      <c r="C1" s="68"/>
      <c r="D1" s="68"/>
      <c r="E1" s="68"/>
      <c r="F1" s="68"/>
      <c r="G1" s="69"/>
    </row>
    <row r="2" spans="1:10" ht="33.6" customHeight="1" x14ac:dyDescent="0.3">
      <c r="A2" s="70" t="s">
        <v>32</v>
      </c>
      <c r="B2" s="71"/>
      <c r="C2" s="71"/>
      <c r="D2" s="71"/>
      <c r="E2" s="71"/>
      <c r="F2" s="71"/>
      <c r="G2" s="72"/>
    </row>
    <row r="3" spans="1:10" ht="39.6" customHeight="1" x14ac:dyDescent="0.3">
      <c r="A3" s="73" t="s">
        <v>15</v>
      </c>
      <c r="B3" s="74"/>
      <c r="C3" s="26" t="s">
        <v>34</v>
      </c>
      <c r="D3" s="29" t="s">
        <v>19</v>
      </c>
      <c r="E3" s="29" t="s">
        <v>21</v>
      </c>
      <c r="F3" s="75"/>
      <c r="G3" s="76"/>
    </row>
    <row r="4" spans="1:10" ht="52.2" customHeight="1" x14ac:dyDescent="0.3">
      <c r="A4" s="73" t="s">
        <v>16</v>
      </c>
      <c r="B4" s="74"/>
      <c r="C4" s="52" t="s">
        <v>35</v>
      </c>
      <c r="D4" s="81" t="s">
        <v>43</v>
      </c>
      <c r="E4" s="82"/>
      <c r="F4" s="77"/>
      <c r="G4" s="78"/>
    </row>
    <row r="5" spans="1:10" ht="36.6" customHeight="1" x14ac:dyDescent="0.3">
      <c r="A5" s="83" t="s">
        <v>17</v>
      </c>
      <c r="B5" s="84"/>
      <c r="C5" s="26" t="s">
        <v>18</v>
      </c>
      <c r="D5" s="85" t="s">
        <v>44</v>
      </c>
      <c r="E5" s="86"/>
      <c r="F5" s="79"/>
      <c r="G5" s="80"/>
    </row>
    <row r="6" spans="1:10" x14ac:dyDescent="0.3">
      <c r="A6" s="57"/>
      <c r="B6" s="58"/>
      <c r="C6" s="58"/>
      <c r="D6" s="58"/>
      <c r="E6" s="58"/>
      <c r="F6" s="58"/>
      <c r="G6" s="59"/>
    </row>
    <row r="7" spans="1:10" ht="34.799999999999997" x14ac:dyDescent="0.3">
      <c r="A7" s="27" t="s">
        <v>0</v>
      </c>
      <c r="B7" s="28" t="s">
        <v>1</v>
      </c>
      <c r="C7" s="28" t="s">
        <v>2</v>
      </c>
      <c r="D7" s="28" t="s">
        <v>3</v>
      </c>
      <c r="E7" s="27" t="s">
        <v>4</v>
      </c>
      <c r="F7" s="28" t="s">
        <v>5</v>
      </c>
      <c r="G7" s="27" t="s">
        <v>6</v>
      </c>
    </row>
    <row r="8" spans="1:10" ht="23.4" x14ac:dyDescent="0.3">
      <c r="A8" s="60" t="s">
        <v>46</v>
      </c>
      <c r="B8" s="61"/>
      <c r="C8" s="61"/>
      <c r="D8" s="61"/>
      <c r="E8" s="61"/>
      <c r="F8" s="61"/>
      <c r="G8" s="62"/>
    </row>
    <row r="9" spans="1:10" ht="23.4" x14ac:dyDescent="0.3">
      <c r="A9" s="3">
        <v>1</v>
      </c>
      <c r="B9" s="4"/>
      <c r="C9" s="5" t="s">
        <v>20</v>
      </c>
      <c r="D9" s="6"/>
      <c r="E9" s="6"/>
      <c r="F9" s="17"/>
      <c r="G9" s="18">
        <f>SUM(G10:G11)</f>
        <v>278400</v>
      </c>
    </row>
    <row r="10" spans="1:10" ht="78.599999999999994" customHeight="1" x14ac:dyDescent="0.3">
      <c r="A10" s="7"/>
      <c r="B10" s="7" t="s">
        <v>22</v>
      </c>
      <c r="C10" s="9" t="s">
        <v>38</v>
      </c>
      <c r="D10" s="2" t="s">
        <v>33</v>
      </c>
      <c r="E10" s="23">
        <v>1</v>
      </c>
      <c r="F10" s="19">
        <v>202200</v>
      </c>
      <c r="G10" s="20">
        <v>100000</v>
      </c>
      <c r="H10" s="55">
        <v>1.1894999952043162</v>
      </c>
      <c r="J10" s="56">
        <f>H10*F10</f>
        <v>240516.89903031272</v>
      </c>
    </row>
    <row r="11" spans="1:10" ht="49.2" customHeight="1" x14ac:dyDescent="0.3">
      <c r="A11" s="7"/>
      <c r="B11" s="7" t="s">
        <v>24</v>
      </c>
      <c r="C11" s="9" t="s">
        <v>37</v>
      </c>
      <c r="D11" s="2" t="s">
        <v>33</v>
      </c>
      <c r="E11" s="23">
        <v>1</v>
      </c>
      <c r="F11" s="19">
        <v>178400</v>
      </c>
      <c r="G11" s="20">
        <f>+E11*F11</f>
        <v>178400</v>
      </c>
      <c r="H11" s="55">
        <v>1.1894999952043162</v>
      </c>
      <c r="J11" s="56">
        <f t="shared" ref="J11:J18" si="0">H11*F11</f>
        <v>212206.79914444999</v>
      </c>
    </row>
    <row r="12" spans="1:10" ht="23.4" x14ac:dyDescent="0.3">
      <c r="A12" s="12">
        <v>2</v>
      </c>
      <c r="B12" s="13"/>
      <c r="C12" s="14" t="s">
        <v>28</v>
      </c>
      <c r="D12" s="15"/>
      <c r="E12" s="24"/>
      <c r="F12" s="21"/>
      <c r="G12" s="22">
        <f>SUM(G13:G13)</f>
        <v>18555381.700000003</v>
      </c>
      <c r="H12" s="55">
        <v>1.1894999952043162</v>
      </c>
      <c r="J12" s="56">
        <f t="shared" si="0"/>
        <v>0</v>
      </c>
    </row>
    <row r="13" spans="1:10" ht="64.2" customHeight="1" x14ac:dyDescent="0.3">
      <c r="A13" s="8"/>
      <c r="B13" s="25" t="s">
        <v>26</v>
      </c>
      <c r="C13" s="36" t="s">
        <v>41</v>
      </c>
      <c r="D13" s="2" t="s">
        <v>7</v>
      </c>
      <c r="E13" s="51">
        <v>516.86300000000006</v>
      </c>
      <c r="F13" s="19">
        <v>35900</v>
      </c>
      <c r="G13" s="20">
        <f>+E13*F13</f>
        <v>18555381.700000003</v>
      </c>
      <c r="H13" s="55">
        <v>1.1894999952043162</v>
      </c>
      <c r="J13" s="56">
        <f t="shared" si="0"/>
        <v>42703.049827834948</v>
      </c>
    </row>
    <row r="14" spans="1:10" ht="43.8" customHeight="1" x14ac:dyDescent="0.3">
      <c r="A14" s="12">
        <v>3</v>
      </c>
      <c r="B14" s="13"/>
      <c r="C14" s="14" t="s">
        <v>39</v>
      </c>
      <c r="D14" s="15"/>
      <c r="E14" s="24"/>
      <c r="F14" s="21"/>
      <c r="G14" s="22">
        <f>SUM(G15:G15)</f>
        <v>14480271.000000002</v>
      </c>
      <c r="H14" s="55">
        <v>1.1894999952043162</v>
      </c>
      <c r="J14" s="56">
        <f t="shared" si="0"/>
        <v>0</v>
      </c>
    </row>
    <row r="15" spans="1:10" ht="60.6" customHeight="1" x14ac:dyDescent="0.3">
      <c r="A15" s="8"/>
      <c r="B15" s="25" t="s">
        <v>51</v>
      </c>
      <c r="C15" s="35" t="s">
        <v>52</v>
      </c>
      <c r="D15" s="2" t="s">
        <v>7</v>
      </c>
      <c r="E15" s="51">
        <v>618.81500000000005</v>
      </c>
      <c r="F15" s="19">
        <v>23400</v>
      </c>
      <c r="G15" s="20">
        <f>+E15*F15</f>
        <v>14480271.000000002</v>
      </c>
      <c r="H15" s="55">
        <v>1.1894999952043162</v>
      </c>
      <c r="I15" s="1" t="s">
        <v>48</v>
      </c>
      <c r="J15" s="56">
        <f t="shared" ref="J15" si="1">H15*F15</f>
        <v>27834.299887780999</v>
      </c>
    </row>
    <row r="16" spans="1:10" ht="31.8" customHeight="1" x14ac:dyDescent="0.3">
      <c r="A16" s="37">
        <v>5</v>
      </c>
      <c r="B16" s="38"/>
      <c r="C16" s="39" t="s">
        <v>31</v>
      </c>
      <c r="D16" s="40"/>
      <c r="E16" s="41"/>
      <c r="F16" s="42"/>
      <c r="G16" s="50">
        <f>G17</f>
        <v>166500</v>
      </c>
      <c r="H16" s="55">
        <v>1.1894999952043162</v>
      </c>
      <c r="J16" s="56">
        <f t="shared" si="0"/>
        <v>0</v>
      </c>
    </row>
    <row r="17" spans="1:11" ht="73.8" customHeight="1" x14ac:dyDescent="0.3">
      <c r="A17" s="43"/>
      <c r="B17" s="44" t="s">
        <v>30</v>
      </c>
      <c r="C17" s="45" t="s">
        <v>42</v>
      </c>
      <c r="D17" s="46" t="s">
        <v>23</v>
      </c>
      <c r="E17" s="47">
        <v>1</v>
      </c>
      <c r="F17" s="48">
        <v>166500</v>
      </c>
      <c r="G17" s="49">
        <f>F17*E17</f>
        <v>166500</v>
      </c>
      <c r="H17" s="55">
        <v>1.1894999952043162</v>
      </c>
      <c r="J17" s="56">
        <f t="shared" si="0"/>
        <v>198051.74920151863</v>
      </c>
    </row>
    <row r="18" spans="1:11" ht="39.6" customHeight="1" x14ac:dyDescent="0.3">
      <c r="A18" s="10"/>
      <c r="B18" s="10"/>
      <c r="C18" s="10"/>
      <c r="D18" s="10"/>
      <c r="E18" s="63" t="s">
        <v>8</v>
      </c>
      <c r="F18" s="64"/>
      <c r="G18" s="30">
        <f>+G14+G12+G9+G16</f>
        <v>33480552.700000003</v>
      </c>
      <c r="H18" s="1">
        <f>'COTIZACIÓN AIU'!G27</f>
        <v>83836012.338</v>
      </c>
      <c r="J18" s="56">
        <f t="shared" si="0"/>
        <v>0</v>
      </c>
    </row>
    <row r="19" spans="1:11" ht="17.399999999999999" x14ac:dyDescent="0.3">
      <c r="A19" s="10"/>
      <c r="B19" s="10"/>
      <c r="C19" s="10"/>
      <c r="D19" s="10"/>
      <c r="E19" s="11" t="s">
        <v>12</v>
      </c>
      <c r="F19" s="16">
        <v>0.19</v>
      </c>
      <c r="G19" s="31">
        <f>G18*F19</f>
        <v>6361305.0130000003</v>
      </c>
      <c r="J19" s="1">
        <v>127.44</v>
      </c>
      <c r="K19" s="1">
        <f>J19*0.2</f>
        <v>25.488</v>
      </c>
    </row>
    <row r="20" spans="1:11" ht="23.4" x14ac:dyDescent="0.3">
      <c r="A20" s="10"/>
      <c r="B20" s="10"/>
      <c r="C20" s="10"/>
      <c r="D20" s="10"/>
      <c r="E20" s="65" t="s">
        <v>14</v>
      </c>
      <c r="F20" s="66"/>
      <c r="G20" s="33">
        <f>G19+G18</f>
        <v>39841857.713</v>
      </c>
      <c r="H20" s="1">
        <f>H18*1.19</f>
        <v>99764854.682219997</v>
      </c>
      <c r="J20" s="1">
        <v>491.375</v>
      </c>
    </row>
    <row r="21" spans="1:11" ht="19.95" customHeight="1" x14ac:dyDescent="0.3">
      <c r="A21" s="10"/>
      <c r="B21" s="10"/>
      <c r="C21" s="10"/>
      <c r="D21" s="10"/>
      <c r="J21" s="1">
        <f>SUM(J19:J20)</f>
        <v>618.81500000000005</v>
      </c>
      <c r="K21" s="1">
        <f>K19+J20</f>
        <v>516.86300000000006</v>
      </c>
    </row>
    <row r="22" spans="1:11" ht="19.95" customHeight="1" x14ac:dyDescent="0.3">
      <c r="A22" s="10"/>
      <c r="B22" s="10"/>
      <c r="C22" s="10"/>
      <c r="D22" s="10"/>
      <c r="G22" s="34"/>
    </row>
    <row r="23" spans="1:11" ht="19.95" customHeight="1" x14ac:dyDescent="0.3">
      <c r="A23" s="10"/>
      <c r="B23" s="10"/>
      <c r="C23" s="10"/>
      <c r="D23" s="10"/>
      <c r="F23" s="54" t="s">
        <v>47</v>
      </c>
      <c r="G23" s="53">
        <f>G18/E15</f>
        <v>54104.30047752559</v>
      </c>
    </row>
    <row r="24" spans="1:11" ht="19.95" customHeight="1" x14ac:dyDescent="0.3">
      <c r="A24" s="10"/>
      <c r="B24" s="10"/>
      <c r="C24" s="10"/>
      <c r="D24" s="10"/>
    </row>
    <row r="25" spans="1:11" ht="19.95" customHeight="1" x14ac:dyDescent="0.3"/>
    <row r="26" spans="1:11" ht="19.95" customHeight="1" x14ac:dyDescent="0.3"/>
    <row r="27" spans="1:11" ht="19.95" customHeight="1" x14ac:dyDescent="0.3">
      <c r="G27" s="34"/>
    </row>
    <row r="28" spans="1:11" ht="15" customHeight="1" x14ac:dyDescent="0.3">
      <c r="G28" s="34"/>
    </row>
  </sheetData>
  <mergeCells count="12">
    <mergeCell ref="A6:G6"/>
    <mergeCell ref="A8:G8"/>
    <mergeCell ref="E18:F18"/>
    <mergeCell ref="E20:F20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6472-93D2-4629-B2E5-A6DDE2A39E86}">
  <sheetPr>
    <pageSetUpPr fitToPage="1"/>
  </sheetPr>
  <dimension ref="A1:J28"/>
  <sheetViews>
    <sheetView tabSelected="1" zoomScale="60" zoomScaleNormal="60" workbookViewId="0">
      <selection activeCell="G24" sqref="A1:G24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35.21875" style="1" customWidth="1"/>
    <col min="8" max="8" width="18.44140625" style="1" customWidth="1"/>
    <col min="9" max="9" width="12.33203125" style="1"/>
    <col min="10" max="10" width="17" style="1" bestFit="1" customWidth="1"/>
    <col min="11" max="16384" width="12.33203125" style="1"/>
  </cols>
  <sheetData>
    <row r="1" spans="1:10" ht="27.6" x14ac:dyDescent="0.3">
      <c r="A1" s="67" t="s">
        <v>57</v>
      </c>
      <c r="B1" s="68"/>
      <c r="C1" s="68"/>
      <c r="D1" s="68"/>
      <c r="E1" s="68"/>
      <c r="F1" s="68"/>
      <c r="G1" s="69"/>
    </row>
    <row r="2" spans="1:10" ht="33.6" customHeight="1" x14ac:dyDescent="0.3">
      <c r="A2" s="70" t="s">
        <v>32</v>
      </c>
      <c r="B2" s="71"/>
      <c r="C2" s="71"/>
      <c r="D2" s="71"/>
      <c r="E2" s="71"/>
      <c r="F2" s="71"/>
      <c r="G2" s="72"/>
    </row>
    <row r="3" spans="1:10" ht="39.6" customHeight="1" x14ac:dyDescent="0.3">
      <c r="A3" s="73" t="s">
        <v>15</v>
      </c>
      <c r="B3" s="74"/>
      <c r="C3" s="26" t="s">
        <v>34</v>
      </c>
      <c r="D3" s="29" t="s">
        <v>19</v>
      </c>
      <c r="E3" s="29" t="s">
        <v>21</v>
      </c>
      <c r="F3" s="75"/>
      <c r="G3" s="76"/>
    </row>
    <row r="4" spans="1:10" ht="52.2" customHeight="1" x14ac:dyDescent="0.3">
      <c r="A4" s="73" t="s">
        <v>16</v>
      </c>
      <c r="B4" s="74"/>
      <c r="C4" s="52" t="s">
        <v>35</v>
      </c>
      <c r="D4" s="81" t="s">
        <v>58</v>
      </c>
      <c r="E4" s="82"/>
      <c r="F4" s="77"/>
      <c r="G4" s="78"/>
    </row>
    <row r="5" spans="1:10" ht="36.6" customHeight="1" x14ac:dyDescent="0.3">
      <c r="A5" s="83" t="s">
        <v>17</v>
      </c>
      <c r="B5" s="84"/>
      <c r="C5" s="26" t="s">
        <v>18</v>
      </c>
      <c r="D5" s="85" t="s">
        <v>59</v>
      </c>
      <c r="E5" s="86"/>
      <c r="F5" s="79"/>
      <c r="G5" s="80"/>
    </row>
    <row r="6" spans="1:10" x14ac:dyDescent="0.3">
      <c r="A6" s="57"/>
      <c r="B6" s="58"/>
      <c r="C6" s="58"/>
      <c r="D6" s="58"/>
      <c r="E6" s="58"/>
      <c r="F6" s="58"/>
      <c r="G6" s="59"/>
    </row>
    <row r="7" spans="1:10" ht="34.799999999999997" x14ac:dyDescent="0.3">
      <c r="A7" s="27" t="s">
        <v>0</v>
      </c>
      <c r="B7" s="28" t="s">
        <v>1</v>
      </c>
      <c r="C7" s="28" t="s">
        <v>2</v>
      </c>
      <c r="D7" s="28" t="s">
        <v>3</v>
      </c>
      <c r="E7" s="27" t="s">
        <v>4</v>
      </c>
      <c r="F7" s="28" t="s">
        <v>5</v>
      </c>
      <c r="G7" s="27" t="s">
        <v>6</v>
      </c>
    </row>
    <row r="8" spans="1:10" ht="23.4" x14ac:dyDescent="0.3">
      <c r="A8" s="60" t="s">
        <v>46</v>
      </c>
      <c r="B8" s="61"/>
      <c r="C8" s="61"/>
      <c r="D8" s="61"/>
      <c r="E8" s="61"/>
      <c r="F8" s="61"/>
      <c r="G8" s="62"/>
    </row>
    <row r="9" spans="1:10" ht="23.4" x14ac:dyDescent="0.3">
      <c r="A9" s="3">
        <v>1</v>
      </c>
      <c r="B9" s="4"/>
      <c r="C9" s="5" t="s">
        <v>20</v>
      </c>
      <c r="D9" s="6"/>
      <c r="E9" s="6"/>
      <c r="F9" s="17"/>
      <c r="G9" s="18">
        <f>SUM(G10:G11)</f>
        <v>240000</v>
      </c>
    </row>
    <row r="10" spans="1:10" ht="78.599999999999994" customHeight="1" x14ac:dyDescent="0.3">
      <c r="A10" s="7"/>
      <c r="B10" s="7" t="s">
        <v>22</v>
      </c>
      <c r="C10" s="9" t="s">
        <v>38</v>
      </c>
      <c r="D10" s="2" t="s">
        <v>33</v>
      </c>
      <c r="E10" s="23">
        <v>1</v>
      </c>
      <c r="F10" s="19">
        <v>200000</v>
      </c>
      <c r="G10" s="20">
        <v>100000</v>
      </c>
      <c r="H10" s="55">
        <v>1.1894999952043162</v>
      </c>
      <c r="J10" s="56">
        <f>H10*F10</f>
        <v>237899.99904086324</v>
      </c>
    </row>
    <row r="11" spans="1:10" ht="49.2" customHeight="1" x14ac:dyDescent="0.3">
      <c r="A11" s="7"/>
      <c r="B11" s="7" t="s">
        <v>24</v>
      </c>
      <c r="C11" s="9" t="s">
        <v>37</v>
      </c>
      <c r="D11" s="2" t="s">
        <v>33</v>
      </c>
      <c r="E11" s="23">
        <v>1</v>
      </c>
      <c r="F11" s="19">
        <v>140000</v>
      </c>
      <c r="G11" s="20">
        <f>+E11*F11</f>
        <v>140000</v>
      </c>
      <c r="H11" s="55">
        <v>1.1894999952043162</v>
      </c>
      <c r="J11" s="56">
        <f t="shared" ref="J11:J18" si="0">H11*F11</f>
        <v>166529.99932860426</v>
      </c>
    </row>
    <row r="12" spans="1:10" ht="23.4" x14ac:dyDescent="0.3">
      <c r="A12" s="12">
        <v>2</v>
      </c>
      <c r="B12" s="13"/>
      <c r="C12" s="14" t="s">
        <v>54</v>
      </c>
      <c r="D12" s="15"/>
      <c r="E12" s="24"/>
      <c r="F12" s="21"/>
      <c r="G12" s="22">
        <f>SUM(G13:G14)</f>
        <v>6435700</v>
      </c>
      <c r="H12" s="55">
        <v>1.1894999952043162</v>
      </c>
      <c r="J12" s="56">
        <f t="shared" si="0"/>
        <v>0</v>
      </c>
    </row>
    <row r="13" spans="1:10" ht="127.2" customHeight="1" x14ac:dyDescent="0.3">
      <c r="A13" s="8"/>
      <c r="B13" s="25" t="s">
        <v>25</v>
      </c>
      <c r="C13" s="35" t="s">
        <v>53</v>
      </c>
      <c r="D13" s="89" t="s">
        <v>33</v>
      </c>
      <c r="E13" s="92">
        <v>1</v>
      </c>
      <c r="F13" s="95">
        <v>6435700</v>
      </c>
      <c r="G13" s="98">
        <f>+E13*F13</f>
        <v>6435700</v>
      </c>
      <c r="H13" s="55">
        <v>1.1894999952043162</v>
      </c>
      <c r="J13" s="56">
        <f t="shared" si="0"/>
        <v>7655265.1191364173</v>
      </c>
    </row>
    <row r="14" spans="1:10" ht="130.19999999999999" customHeight="1" x14ac:dyDescent="0.3">
      <c r="A14" s="8"/>
      <c r="B14" s="25" t="s">
        <v>26</v>
      </c>
      <c r="C14" s="36" t="s">
        <v>55</v>
      </c>
      <c r="D14" s="90"/>
      <c r="E14" s="93"/>
      <c r="F14" s="96"/>
      <c r="G14" s="99"/>
      <c r="H14" s="55">
        <v>1.1894999952043162</v>
      </c>
      <c r="J14" s="56">
        <f t="shared" si="0"/>
        <v>0</v>
      </c>
    </row>
    <row r="15" spans="1:10" ht="45.6" customHeight="1" x14ac:dyDescent="0.3">
      <c r="A15" s="8"/>
      <c r="B15" s="25" t="s">
        <v>60</v>
      </c>
      <c r="C15" s="35" t="s">
        <v>56</v>
      </c>
      <c r="D15" s="91"/>
      <c r="E15" s="94"/>
      <c r="F15" s="97"/>
      <c r="G15" s="100"/>
      <c r="H15" s="55">
        <v>1.1894999952043162</v>
      </c>
      <c r="I15" s="1" t="s">
        <v>48</v>
      </c>
      <c r="J15" s="56">
        <f t="shared" si="0"/>
        <v>0</v>
      </c>
    </row>
    <row r="16" spans="1:10" ht="31.8" customHeight="1" x14ac:dyDescent="0.3">
      <c r="A16" s="37">
        <v>3</v>
      </c>
      <c r="B16" s="38"/>
      <c r="C16" s="39" t="s">
        <v>31</v>
      </c>
      <c r="D16" s="40"/>
      <c r="E16" s="41"/>
      <c r="F16" s="42"/>
      <c r="G16" s="50">
        <f>G17</f>
        <v>166500</v>
      </c>
      <c r="H16" s="55">
        <v>1.1894999952043162</v>
      </c>
      <c r="J16" s="56">
        <f t="shared" si="0"/>
        <v>0</v>
      </c>
    </row>
    <row r="17" spans="1:10" ht="73.8" customHeight="1" x14ac:dyDescent="0.3">
      <c r="A17" s="43"/>
      <c r="B17" s="44" t="s">
        <v>27</v>
      </c>
      <c r="C17" s="45" t="s">
        <v>42</v>
      </c>
      <c r="D17" s="46" t="s">
        <v>23</v>
      </c>
      <c r="E17" s="47">
        <v>1</v>
      </c>
      <c r="F17" s="48">
        <v>166500</v>
      </c>
      <c r="G17" s="49">
        <f>F17*E17</f>
        <v>166500</v>
      </c>
      <c r="H17" s="55">
        <v>1.1894999952043162</v>
      </c>
      <c r="J17" s="56">
        <f t="shared" si="0"/>
        <v>198051.74920151863</v>
      </c>
    </row>
    <row r="18" spans="1:10" ht="39.6" customHeight="1" x14ac:dyDescent="0.3">
      <c r="A18" s="10"/>
      <c r="B18" s="10"/>
      <c r="C18" s="10"/>
      <c r="D18" s="10"/>
      <c r="E18" s="63" t="s">
        <v>8</v>
      </c>
      <c r="F18" s="64"/>
      <c r="G18" s="30">
        <f>+G12+G9+G6+G16+G14</f>
        <v>6842200</v>
      </c>
      <c r="H18" s="1">
        <f>'COTIZACIÓN AIU'!G27</f>
        <v>83836012.338</v>
      </c>
      <c r="J18" s="56">
        <f t="shared" si="0"/>
        <v>0</v>
      </c>
    </row>
    <row r="19" spans="1:10" ht="17.399999999999999" x14ac:dyDescent="0.3">
      <c r="A19" s="10"/>
      <c r="B19" s="10"/>
      <c r="C19" s="10"/>
      <c r="D19" s="10"/>
      <c r="E19" s="11" t="s">
        <v>9</v>
      </c>
      <c r="F19" s="16">
        <v>0.08</v>
      </c>
      <c r="G19" s="31">
        <f>+G18*F19</f>
        <v>547376</v>
      </c>
    </row>
    <row r="20" spans="1:10" ht="17.399999999999999" x14ac:dyDescent="0.3">
      <c r="A20" s="10"/>
      <c r="B20" s="10"/>
      <c r="C20" s="10"/>
      <c r="D20" s="10"/>
      <c r="E20" s="11" t="s">
        <v>10</v>
      </c>
      <c r="F20" s="16">
        <v>0.05</v>
      </c>
      <c r="G20" s="31">
        <f>+G18*F20</f>
        <v>342110</v>
      </c>
      <c r="H20" s="1">
        <f>H18*1.19</f>
        <v>99764854.682219997</v>
      </c>
    </row>
    <row r="21" spans="1:10" ht="19.95" customHeight="1" x14ac:dyDescent="0.3">
      <c r="A21" s="10"/>
      <c r="B21" s="10"/>
      <c r="C21" s="10"/>
      <c r="D21" s="10"/>
      <c r="E21" s="11" t="s">
        <v>11</v>
      </c>
      <c r="F21" s="16">
        <v>0.05</v>
      </c>
      <c r="G21" s="31">
        <f>+G18*F21</f>
        <v>342110</v>
      </c>
    </row>
    <row r="22" spans="1:10" ht="19.95" customHeight="1" x14ac:dyDescent="0.3">
      <c r="A22" s="10"/>
      <c r="B22" s="10"/>
      <c r="C22" s="10"/>
      <c r="D22" s="10"/>
      <c r="E22" s="11" t="s">
        <v>12</v>
      </c>
      <c r="F22" s="16">
        <v>0.19</v>
      </c>
      <c r="G22" s="31">
        <f>+G21*F22</f>
        <v>65000.9</v>
      </c>
    </row>
    <row r="23" spans="1:10" ht="19.95" customHeight="1" x14ac:dyDescent="0.3">
      <c r="A23" s="10"/>
      <c r="B23" s="10"/>
      <c r="C23" s="10"/>
      <c r="D23" s="10"/>
      <c r="E23" s="87" t="s">
        <v>13</v>
      </c>
      <c r="F23" s="88"/>
      <c r="G23" s="32">
        <f>+G19+G20+G21+G22</f>
        <v>1296596.8999999999</v>
      </c>
    </row>
    <row r="24" spans="1:10" ht="19.95" customHeight="1" x14ac:dyDescent="0.3">
      <c r="A24" s="10"/>
      <c r="B24" s="10"/>
      <c r="C24" s="10"/>
      <c r="D24" s="10"/>
      <c r="E24" s="65" t="s">
        <v>14</v>
      </c>
      <c r="F24" s="66"/>
      <c r="G24" s="33">
        <f>+G18+G23</f>
        <v>8138796.9000000004</v>
      </c>
    </row>
    <row r="25" spans="1:10" ht="19.95" customHeight="1" x14ac:dyDescent="0.3"/>
    <row r="26" spans="1:10" ht="19.95" customHeight="1" x14ac:dyDescent="0.3"/>
    <row r="27" spans="1:10" ht="19.95" customHeight="1" x14ac:dyDescent="0.3">
      <c r="G27" s="34"/>
    </row>
    <row r="28" spans="1:10" ht="15" customHeight="1" x14ac:dyDescent="0.3">
      <c r="G28" s="34"/>
    </row>
  </sheetData>
  <mergeCells count="17">
    <mergeCell ref="E23:F23"/>
    <mergeCell ref="E24:F24"/>
    <mergeCell ref="A6:G6"/>
    <mergeCell ref="A8:G8"/>
    <mergeCell ref="E18:F18"/>
    <mergeCell ref="A1:G1"/>
    <mergeCell ref="A2:G2"/>
    <mergeCell ref="A3:B3"/>
    <mergeCell ref="F3:G5"/>
    <mergeCell ref="A4:B4"/>
    <mergeCell ref="D4:E4"/>
    <mergeCell ref="A5:B5"/>
    <mergeCell ref="D5:E5"/>
    <mergeCell ref="D13:D15"/>
    <mergeCell ref="E13:E15"/>
    <mergeCell ref="F13:F15"/>
    <mergeCell ref="G13:G15"/>
  </mergeCells>
  <phoneticPr fontId="17" type="noConversion"/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ED8B-08DD-435C-9EA4-51D68C7D172F}">
  <sheetPr>
    <pageSetUpPr fitToPage="1"/>
  </sheetPr>
  <dimension ref="A1:J35"/>
  <sheetViews>
    <sheetView topLeftCell="A13" zoomScale="60" zoomScaleNormal="60" workbookViewId="0">
      <selection activeCell="G27" sqref="E21:G27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12.33203125" style="1"/>
    <col min="9" max="9" width="14" style="1" bestFit="1" customWidth="1"/>
    <col min="10" max="16384" width="12.33203125" style="1"/>
  </cols>
  <sheetData>
    <row r="1" spans="1:10" ht="27.6" x14ac:dyDescent="0.3">
      <c r="A1" s="67" t="s">
        <v>45</v>
      </c>
      <c r="B1" s="68"/>
      <c r="C1" s="68"/>
      <c r="D1" s="68"/>
      <c r="E1" s="68"/>
      <c r="F1" s="68"/>
      <c r="G1" s="69"/>
    </row>
    <row r="2" spans="1:10" ht="33.6" customHeight="1" x14ac:dyDescent="0.3">
      <c r="A2" s="70" t="s">
        <v>32</v>
      </c>
      <c r="B2" s="71"/>
      <c r="C2" s="71"/>
      <c r="D2" s="71"/>
      <c r="E2" s="71"/>
      <c r="F2" s="71"/>
      <c r="G2" s="72"/>
    </row>
    <row r="3" spans="1:10" ht="39.6" customHeight="1" x14ac:dyDescent="0.3">
      <c r="A3" s="73" t="s">
        <v>15</v>
      </c>
      <c r="B3" s="74"/>
      <c r="C3" s="26" t="s">
        <v>34</v>
      </c>
      <c r="D3" s="29" t="s">
        <v>19</v>
      </c>
      <c r="E3" s="29" t="s">
        <v>21</v>
      </c>
      <c r="F3" s="75"/>
      <c r="G3" s="76"/>
    </row>
    <row r="4" spans="1:10" ht="52.2" customHeight="1" x14ac:dyDescent="0.3">
      <c r="A4" s="73" t="s">
        <v>16</v>
      </c>
      <c r="B4" s="74"/>
      <c r="C4" s="52" t="s">
        <v>35</v>
      </c>
      <c r="D4" s="81" t="s">
        <v>43</v>
      </c>
      <c r="E4" s="82"/>
      <c r="F4" s="77"/>
      <c r="G4" s="78"/>
    </row>
    <row r="5" spans="1:10" ht="36.6" customHeight="1" x14ac:dyDescent="0.3">
      <c r="A5" s="83" t="s">
        <v>17</v>
      </c>
      <c r="B5" s="84"/>
      <c r="C5" s="26" t="s">
        <v>18</v>
      </c>
      <c r="D5" s="85" t="s">
        <v>44</v>
      </c>
      <c r="E5" s="86"/>
      <c r="F5" s="79"/>
      <c r="G5" s="80"/>
    </row>
    <row r="6" spans="1:10" x14ac:dyDescent="0.3">
      <c r="A6" s="57"/>
      <c r="B6" s="58"/>
      <c r="C6" s="58"/>
      <c r="D6" s="58"/>
      <c r="E6" s="58"/>
      <c r="F6" s="58"/>
      <c r="G6" s="59"/>
    </row>
    <row r="7" spans="1:10" ht="34.799999999999997" x14ac:dyDescent="0.3">
      <c r="A7" s="27" t="s">
        <v>0</v>
      </c>
      <c r="B7" s="28" t="s">
        <v>1</v>
      </c>
      <c r="C7" s="28" t="s">
        <v>2</v>
      </c>
      <c r="D7" s="28" t="s">
        <v>3</v>
      </c>
      <c r="E7" s="27" t="s">
        <v>4</v>
      </c>
      <c r="F7" s="28" t="s">
        <v>5</v>
      </c>
      <c r="G7" s="27" t="s">
        <v>6</v>
      </c>
    </row>
    <row r="8" spans="1:10" ht="23.4" x14ac:dyDescent="0.3">
      <c r="A8" s="60" t="s">
        <v>46</v>
      </c>
      <c r="B8" s="61"/>
      <c r="C8" s="61"/>
      <c r="D8" s="61"/>
      <c r="E8" s="61"/>
      <c r="F8" s="61"/>
      <c r="G8" s="62"/>
    </row>
    <row r="9" spans="1:10" ht="23.4" x14ac:dyDescent="0.3">
      <c r="A9" s="3">
        <v>1</v>
      </c>
      <c r="B9" s="4"/>
      <c r="C9" s="5" t="s">
        <v>20</v>
      </c>
      <c r="D9" s="6"/>
      <c r="E9" s="6"/>
      <c r="F9" s="17"/>
      <c r="G9" s="18">
        <f>SUM(G10:G11)</f>
        <v>250000</v>
      </c>
    </row>
    <row r="10" spans="1:10" ht="78.599999999999994" customHeight="1" x14ac:dyDescent="0.3">
      <c r="A10" s="7"/>
      <c r="B10" s="7" t="s">
        <v>22</v>
      </c>
      <c r="C10" s="9" t="s">
        <v>38</v>
      </c>
      <c r="D10" s="2" t="s">
        <v>33</v>
      </c>
      <c r="E10" s="23">
        <v>1</v>
      </c>
      <c r="F10" s="19">
        <v>170000</v>
      </c>
      <c r="G10" s="20">
        <v>100000</v>
      </c>
    </row>
    <row r="11" spans="1:10" ht="49.2" customHeight="1" x14ac:dyDescent="0.3">
      <c r="A11" s="7"/>
      <c r="B11" s="7" t="s">
        <v>24</v>
      </c>
      <c r="C11" s="9" t="s">
        <v>37</v>
      </c>
      <c r="D11" s="2" t="s">
        <v>33</v>
      </c>
      <c r="E11" s="23">
        <v>1</v>
      </c>
      <c r="F11" s="19">
        <v>150000</v>
      </c>
      <c r="G11" s="20">
        <f>+E11*F11</f>
        <v>150000</v>
      </c>
    </row>
    <row r="12" spans="1:10" ht="23.4" x14ac:dyDescent="0.3">
      <c r="A12" s="12">
        <v>2</v>
      </c>
      <c r="B12" s="13"/>
      <c r="C12" s="14" t="s">
        <v>28</v>
      </c>
      <c r="D12" s="15"/>
      <c r="E12" s="24"/>
      <c r="F12" s="21"/>
      <c r="G12" s="22">
        <f>SUM(G13:G14)</f>
        <v>35568168</v>
      </c>
    </row>
    <row r="13" spans="1:10" ht="64.2" customHeight="1" x14ac:dyDescent="0.3">
      <c r="A13" s="8"/>
      <c r="B13" s="25" t="s">
        <v>25</v>
      </c>
      <c r="C13" s="35" t="s">
        <v>36</v>
      </c>
      <c r="D13" s="2" t="s">
        <v>7</v>
      </c>
      <c r="E13" s="51">
        <v>822.48</v>
      </c>
      <c r="F13" s="19">
        <v>27700</v>
      </c>
      <c r="G13" s="20">
        <f>+E13*F13</f>
        <v>22782696</v>
      </c>
      <c r="J13" s="34"/>
    </row>
    <row r="14" spans="1:10" ht="64.2" customHeight="1" x14ac:dyDescent="0.3">
      <c r="A14" s="8"/>
      <c r="B14" s="25" t="s">
        <v>26</v>
      </c>
      <c r="C14" s="36" t="s">
        <v>41</v>
      </c>
      <c r="D14" s="2" t="s">
        <v>7</v>
      </c>
      <c r="E14" s="51">
        <v>423.36</v>
      </c>
      <c r="F14" s="19">
        <v>30200</v>
      </c>
      <c r="G14" s="20">
        <f>+E14*F14</f>
        <v>12785472</v>
      </c>
      <c r="J14" s="34"/>
    </row>
    <row r="15" spans="1:10" ht="43.8" customHeight="1" x14ac:dyDescent="0.3">
      <c r="A15" s="12">
        <v>3</v>
      </c>
      <c r="B15" s="13"/>
      <c r="C15" s="14" t="s">
        <v>39</v>
      </c>
      <c r="D15" s="15"/>
      <c r="E15" s="24"/>
      <c r="F15" s="21"/>
      <c r="G15" s="22">
        <f>SUM(G16:G16)</f>
        <v>31955796.000000004</v>
      </c>
    </row>
    <row r="16" spans="1:10" ht="45.6" customHeight="1" x14ac:dyDescent="0.3">
      <c r="A16" s="8"/>
      <c r="B16" s="25" t="s">
        <v>27</v>
      </c>
      <c r="C16" s="35" t="s">
        <v>49</v>
      </c>
      <c r="D16" s="2" t="s">
        <v>7</v>
      </c>
      <c r="E16" s="23">
        <v>1245.8400000000001</v>
      </c>
      <c r="F16" s="19">
        <v>25650</v>
      </c>
      <c r="G16" s="20">
        <f>+E16*F16</f>
        <v>31955796.000000004</v>
      </c>
      <c r="I16" s="1" t="s">
        <v>48</v>
      </c>
    </row>
    <row r="17" spans="1:9" ht="43.8" customHeight="1" x14ac:dyDescent="0.3">
      <c r="A17" s="12">
        <v>4</v>
      </c>
      <c r="B17" s="13"/>
      <c r="C17" s="14" t="s">
        <v>40</v>
      </c>
      <c r="D17" s="15"/>
      <c r="E17" s="24"/>
      <c r="F17" s="21"/>
      <c r="G17" s="22">
        <f>SUM(G18:G18)</f>
        <v>2566080</v>
      </c>
    </row>
    <row r="18" spans="1:9" ht="45.6" customHeight="1" x14ac:dyDescent="0.3">
      <c r="A18" s="8"/>
      <c r="B18" s="25" t="s">
        <v>29</v>
      </c>
      <c r="C18" s="35" t="s">
        <v>50</v>
      </c>
      <c r="D18" s="2" t="s">
        <v>7</v>
      </c>
      <c r="E18" s="23">
        <v>105.6</v>
      </c>
      <c r="F18" s="19">
        <v>24300</v>
      </c>
      <c r="G18" s="20">
        <f>+E18*F18</f>
        <v>2566080</v>
      </c>
    </row>
    <row r="19" spans="1:9" ht="31.8" customHeight="1" x14ac:dyDescent="0.3">
      <c r="A19" s="37">
        <v>5</v>
      </c>
      <c r="B19" s="38"/>
      <c r="C19" s="39" t="s">
        <v>31</v>
      </c>
      <c r="D19" s="40"/>
      <c r="E19" s="41"/>
      <c r="F19" s="42"/>
      <c r="G19" s="50">
        <f>G20</f>
        <v>140000</v>
      </c>
    </row>
    <row r="20" spans="1:9" ht="73.8" customHeight="1" x14ac:dyDescent="0.3">
      <c r="A20" s="43"/>
      <c r="B20" s="44" t="s">
        <v>30</v>
      </c>
      <c r="C20" s="45" t="s">
        <v>42</v>
      </c>
      <c r="D20" s="46" t="s">
        <v>23</v>
      </c>
      <c r="E20" s="47">
        <v>1</v>
      </c>
      <c r="F20" s="48">
        <v>140000</v>
      </c>
      <c r="G20" s="49">
        <f>F20*E20</f>
        <v>140000</v>
      </c>
    </row>
    <row r="21" spans="1:9" ht="39.6" customHeight="1" x14ac:dyDescent="0.3">
      <c r="A21" s="10"/>
      <c r="B21" s="10"/>
      <c r="C21" s="10"/>
      <c r="D21" s="10"/>
      <c r="E21" s="63" t="s">
        <v>8</v>
      </c>
      <c r="F21" s="64"/>
      <c r="G21" s="30">
        <f>+G15+G12+G9+G19+G17</f>
        <v>70480044</v>
      </c>
      <c r="H21" s="55">
        <v>1.1894999952043162</v>
      </c>
      <c r="I21" s="34">
        <f>G21*H21</f>
        <v>83836011.999999985</v>
      </c>
    </row>
    <row r="22" spans="1:9" ht="17.399999999999999" x14ac:dyDescent="0.3">
      <c r="A22" s="10"/>
      <c r="B22" s="10"/>
      <c r="C22" s="10"/>
      <c r="D22" s="10"/>
      <c r="E22" s="11" t="s">
        <v>9</v>
      </c>
      <c r="F22" s="16">
        <v>0.08</v>
      </c>
      <c r="G22" s="31">
        <f>+$G$21*F22</f>
        <v>5638403.5200000005</v>
      </c>
    </row>
    <row r="23" spans="1:9" ht="17.399999999999999" x14ac:dyDescent="0.3">
      <c r="A23" s="10"/>
      <c r="B23" s="10"/>
      <c r="C23" s="10"/>
      <c r="D23" s="10"/>
      <c r="E23" s="11" t="s">
        <v>10</v>
      </c>
      <c r="F23" s="16">
        <v>0.05</v>
      </c>
      <c r="G23" s="31">
        <f t="shared" ref="G23:G24" si="0">+$G$21*F23</f>
        <v>3524002.2</v>
      </c>
    </row>
    <row r="24" spans="1:9" ht="19.95" customHeight="1" x14ac:dyDescent="0.3">
      <c r="A24" s="10"/>
      <c r="B24" s="10"/>
      <c r="C24" s="10"/>
      <c r="D24" s="10"/>
      <c r="E24" s="11" t="s">
        <v>11</v>
      </c>
      <c r="F24" s="16">
        <v>0.05</v>
      </c>
      <c r="G24" s="31">
        <f t="shared" si="0"/>
        <v>3524002.2</v>
      </c>
    </row>
    <row r="25" spans="1:9" ht="19.95" customHeight="1" x14ac:dyDescent="0.3">
      <c r="A25" s="10"/>
      <c r="B25" s="10"/>
      <c r="C25" s="10"/>
      <c r="D25" s="10"/>
      <c r="E25" s="11" t="s">
        <v>12</v>
      </c>
      <c r="F25" s="16">
        <v>0.19</v>
      </c>
      <c r="G25" s="31">
        <f>+G24*F25</f>
        <v>669560.41800000006</v>
      </c>
    </row>
    <row r="26" spans="1:9" ht="19.95" customHeight="1" x14ac:dyDescent="0.3">
      <c r="A26" s="10"/>
      <c r="B26" s="10"/>
      <c r="C26" s="10"/>
      <c r="D26" s="10"/>
      <c r="E26" s="87" t="s">
        <v>13</v>
      </c>
      <c r="F26" s="88"/>
      <c r="G26" s="32">
        <f>+G22+G23+G24+G25</f>
        <v>13355968.338000001</v>
      </c>
    </row>
    <row r="27" spans="1:9" ht="19.95" customHeight="1" x14ac:dyDescent="0.3">
      <c r="A27" s="10"/>
      <c r="B27" s="10"/>
      <c r="C27" s="10"/>
      <c r="D27" s="10"/>
      <c r="E27" s="65" t="s">
        <v>14</v>
      </c>
      <c r="F27" s="66"/>
      <c r="G27" s="33">
        <f>+G21+G26</f>
        <v>83836012.338</v>
      </c>
    </row>
    <row r="28" spans="1:9" ht="19.95" customHeight="1" x14ac:dyDescent="0.3"/>
    <row r="29" spans="1:9" ht="19.95" customHeight="1" x14ac:dyDescent="0.3">
      <c r="G29" s="34"/>
    </row>
    <row r="30" spans="1:9" ht="19.95" customHeight="1" x14ac:dyDescent="0.3">
      <c r="F30" s="54" t="s">
        <v>47</v>
      </c>
      <c r="G30" s="53">
        <f>G27/E16</f>
        <v>67292.760176266602</v>
      </c>
    </row>
    <row r="31" spans="1:9" ht="15" customHeight="1" x14ac:dyDescent="0.3"/>
    <row r="34" spans="7:7" x14ac:dyDescent="0.3">
      <c r="G34" s="34"/>
    </row>
    <row r="35" spans="7:7" x14ac:dyDescent="0.3">
      <c r="G35" s="34"/>
    </row>
  </sheetData>
  <mergeCells count="13">
    <mergeCell ref="A6:G6"/>
    <mergeCell ref="A8:G8"/>
    <mergeCell ref="E21:F21"/>
    <mergeCell ref="E26:F26"/>
    <mergeCell ref="E27:F27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COT. IVA CANCHA Y PARQUE NEGRO</vt:lpstr>
      <vt:lpstr>COTIZACIÓN IVA</vt:lpstr>
      <vt:lpstr>COTIZACIÓN AIU</vt:lpstr>
      <vt:lpstr>'COT. IVA CANCHA Y PARQUE NEGRO'!Área_de_impresión</vt:lpstr>
      <vt:lpstr>'COTIZACIÓN AIU'!Área_de_impresión</vt:lpstr>
      <vt:lpstr>'COTIZACIÓN IVA'!Área_de_impresión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2024-07-04T22:53:17Z</cp:lastPrinted>
  <dcterms:created xsi:type="dcterms:W3CDTF">2024-02-08T21:06:52Z</dcterms:created>
  <dcterms:modified xsi:type="dcterms:W3CDTF">2025-07-23T20:15:18Z</dcterms:modified>
  <cp:category/>
  <cp:contentStatus/>
</cp:coreProperties>
</file>