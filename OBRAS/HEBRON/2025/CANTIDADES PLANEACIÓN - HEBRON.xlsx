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MSSI\Downloads\"/>
    </mc:Choice>
  </mc:AlternateContent>
  <xr:revisionPtr revIDLastSave="0" documentId="13_ncr:1_{E3ECA80E-F188-46CE-B292-720D585DCA07}" xr6:coauthVersionLast="47" xr6:coauthVersionMax="47" xr10:uidLastSave="{00000000-0000-0000-0000-000000000000}"/>
  <bookViews>
    <workbookView xWindow="-108" yWindow="-108" windowWidth="23256" windowHeight="12456" activeTab="5" xr2:uid="{596AE548-F349-47F3-85F5-B664772C680E}"/>
  </bookViews>
  <sheets>
    <sheet name="Resane Sicoplast" sheetId="4" r:id="rId1"/>
    <sheet name="SILICONITE" sheetId="7" r:id="rId2"/>
    <sheet name="PINTURA" sheetId="6" r:id="rId3"/>
    <sheet name="Pasta de nivelación" sheetId="3" r:id="rId4"/>
    <sheet name="Lavado de fachadas" sheetId="2" r:id="rId5"/>
    <sheet name="Sello Ventaneria" sheetId="1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3" i="3" l="1"/>
  <c r="D45" i="4"/>
  <c r="D45" i="7"/>
  <c r="D47" i="7" s="1"/>
  <c r="H17" i="7"/>
  <c r="H14" i="7"/>
  <c r="H12" i="7"/>
  <c r="D45" i="6"/>
  <c r="D47" i="6" s="1"/>
  <c r="H17" i="6"/>
  <c r="H14" i="6"/>
  <c r="H12" i="6"/>
  <c r="J7" i="1" l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6" i="1"/>
  <c r="E49" i="2"/>
  <c r="E48" i="2"/>
  <c r="D45" i="3" l="1"/>
  <c r="G50" i="4"/>
  <c r="J17" i="4"/>
  <c r="J14" i="4"/>
  <c r="J12" i="4"/>
  <c r="J17" i="3"/>
  <c r="J14" i="3"/>
  <c r="J12" i="3"/>
  <c r="I17" i="2"/>
  <c r="I14" i="2"/>
  <c r="I12" i="2"/>
  <c r="L64" i="1" l="1"/>
  <c r="L63" i="1"/>
  <c r="L62" i="1"/>
  <c r="L61" i="1"/>
  <c r="L60" i="1"/>
  <c r="L59" i="1"/>
  <c r="L58" i="1"/>
  <c r="L57" i="1"/>
  <c r="L56" i="1"/>
  <c r="L55" i="1"/>
  <c r="L54" i="1"/>
  <c r="L53" i="1"/>
  <c r="L65" i="1" l="1"/>
  <c r="L67" i="1" s="1"/>
  <c r="J45" i="1"/>
  <c r="J47" i="1" s="1"/>
</calcChain>
</file>

<file path=xl/sharedStrings.xml><?xml version="1.0" encoding="utf-8"?>
<sst xmlns="http://schemas.openxmlformats.org/spreadsheetml/2006/main" count="374" uniqueCount="88">
  <si>
    <t>ANCHO</t>
  </si>
  <si>
    <t>LARGO</t>
  </si>
  <si>
    <t>CANTIDAD</t>
  </si>
  <si>
    <t xml:space="preserve">LARGO </t>
  </si>
  <si>
    <t>TOTAL ML</t>
  </si>
  <si>
    <t>A1</t>
  </si>
  <si>
    <t>A2</t>
  </si>
  <si>
    <t>A3</t>
  </si>
  <si>
    <t>A5</t>
  </si>
  <si>
    <t>B1</t>
  </si>
  <si>
    <t>B3</t>
  </si>
  <si>
    <t>C1</t>
  </si>
  <si>
    <t>C2</t>
  </si>
  <si>
    <t>C3</t>
  </si>
  <si>
    <t xml:space="preserve">CANTIDAD </t>
  </si>
  <si>
    <t>D5</t>
  </si>
  <si>
    <t>D7</t>
  </si>
  <si>
    <t>E1</t>
  </si>
  <si>
    <t>E4</t>
  </si>
  <si>
    <t>E5</t>
  </si>
  <si>
    <t>E6</t>
  </si>
  <si>
    <t>F1</t>
  </si>
  <si>
    <t>F2</t>
  </si>
  <si>
    <t>SELLO EN VENTANERIA Y VENTANALES</t>
  </si>
  <si>
    <t>Volumenes</t>
  </si>
  <si>
    <t>TOTAL METROS LINEALES</t>
  </si>
  <si>
    <t>RENDIMIENTO DEL SOUDAFLEX/ML</t>
  </si>
  <si>
    <t>UNIDADES DE SOUDAFLEX REQUERIDAD</t>
  </si>
  <si>
    <t>CARA</t>
  </si>
  <si>
    <t>VENTANA 1</t>
  </si>
  <si>
    <t>VENTANA 2</t>
  </si>
  <si>
    <t>ALFAJIAS</t>
  </si>
  <si>
    <t>USO MATERIAL</t>
  </si>
  <si>
    <t>UNIDADES DE SOUDAFLEX REQUERIDAS</t>
  </si>
  <si>
    <t>LAVADO</t>
  </si>
  <si>
    <t>USO CLORO</t>
  </si>
  <si>
    <t>USO DETERGENTE</t>
  </si>
  <si>
    <t>TOTAL (M2)</t>
  </si>
  <si>
    <t>A4</t>
  </si>
  <si>
    <t>B2</t>
  </si>
  <si>
    <t>B4</t>
  </si>
  <si>
    <t>B5</t>
  </si>
  <si>
    <t>D1</t>
  </si>
  <si>
    <t>D2</t>
  </si>
  <si>
    <t>D3</t>
  </si>
  <si>
    <t>D4</t>
  </si>
  <si>
    <t>E2</t>
  </si>
  <si>
    <t>E3</t>
  </si>
  <si>
    <t>(6,19*40)+(0,5*5,35)*4+(0,5*5,5)*2+(((5,35*5,5)-(3*2*2))*2+(0,5*2)*8+ (0,5*3)*8) + ((6,7*3)-(3*2*))*3+(0,5*3)*6+(0,5*2)*6+(6,7*0,5)*7+((2,5*6,7)-(3,5*2,25))+(0,5*3,5)*2+(0,5*2,25)</t>
  </si>
  <si>
    <t>TOTAL METROS CUADRADOS</t>
  </si>
  <si>
    <t>RENDIMIENTO DE 1KG HIPOCLORITO/M2</t>
  </si>
  <si>
    <t>AREA DE RESANE</t>
  </si>
  <si>
    <t>M2 TOTALES DE FACHADA</t>
  </si>
  <si>
    <t>% DE FACHADA EN RESANE</t>
  </si>
  <si>
    <t>USO MORTERO LISTO</t>
  </si>
  <si>
    <t>M2 TOTALES DE RESANE</t>
  </si>
  <si>
    <t>RENDIMIENTO DE CÑT GRANIPLAST/M2</t>
  </si>
  <si>
    <t>RESANE</t>
  </si>
  <si>
    <t>USO GRANIPLAST</t>
  </si>
  <si>
    <t>A6</t>
  </si>
  <si>
    <t>A7</t>
  </si>
  <si>
    <t>A8</t>
  </si>
  <si>
    <t>C4</t>
  </si>
  <si>
    <t>E7</t>
  </si>
  <si>
    <t>E8</t>
  </si>
  <si>
    <t>E9</t>
  </si>
  <si>
    <t>E10</t>
  </si>
  <si>
    <t>F3</t>
  </si>
  <si>
    <t>F4</t>
  </si>
  <si>
    <t>C5</t>
  </si>
  <si>
    <t>E11</t>
  </si>
  <si>
    <t>F5</t>
  </si>
  <si>
    <t>UNIDADES DE CÑT GRANIPLAST REQUERIDOS</t>
  </si>
  <si>
    <t>RENDIMIENTO DE BULTO MORTERO LISTO/M2</t>
  </si>
  <si>
    <t>UNIDADES DE BULTOS MORTERO LISTO REQUERIDOS</t>
  </si>
  <si>
    <t xml:space="preserve">RENDIMIENTO DE 1GAL DETERGENTE/M2 </t>
  </si>
  <si>
    <t>UNIDADES DE KG CLORO REQUERIDAS               |UND USADAS</t>
  </si>
  <si>
    <t>UNIDADES DE GAL DETERGENTE REQUERIDAS    |UND USADAS</t>
  </si>
  <si>
    <t>PINTURA</t>
  </si>
  <si>
    <t>USO KORAZA IMPERMEABILIZANTE</t>
  </si>
  <si>
    <t>RENDIMIENTO DE CÑT KORAZA/M2</t>
  </si>
  <si>
    <t>RENDIMIENTO DE CÑT SILICONITE/M2</t>
  </si>
  <si>
    <t>USO SILICONITE 7</t>
  </si>
  <si>
    <t>SILICONITE</t>
  </si>
  <si>
    <t>UNIDADES DE CÑT KORAZA REQUERIDOS</t>
  </si>
  <si>
    <t>UNIDADES DE CÑT SILICONITE REQUERIDOS</t>
  </si>
  <si>
    <t>UNIDADES DE BULTO MORTERO LISTO REQUERIDOS</t>
  </si>
  <si>
    <t>6-7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</si>
</sst>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entury Gothic"/>
      <family val="2"/>
    </font>
    <font>
      <sz val="11"/>
      <color theme="1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6" xfId="0" applyFont="1" applyBorder="1"/>
    <xf numFmtId="0" fontId="1" fillId="0" borderId="9" xfId="0" applyFont="1" applyBorder="1"/>
    <xf numFmtId="0" fontId="1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1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2" fillId="2" borderId="8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0" fontId="3" fillId="0" borderId="15" xfId="0" applyFont="1" applyBorder="1" applyAlignment="1">
      <alignment horizontal="center" vertical="center"/>
    </xf>
    <xf numFmtId="0" fontId="2" fillId="0" borderId="14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2" fillId="0" borderId="30" xfId="0" applyFont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2" fillId="3" borderId="9" xfId="0" applyFont="1" applyFill="1" applyBorder="1" applyAlignment="1">
      <alignment vertical="center"/>
    </xf>
    <xf numFmtId="0" fontId="2" fillId="3" borderId="8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2" fillId="5" borderId="15" xfId="0" applyFont="1" applyFill="1" applyBorder="1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0" fontId="2" fillId="5" borderId="23" xfId="0" applyFont="1" applyFill="1" applyBorder="1" applyAlignment="1">
      <alignment horizontal="center" vertical="center"/>
    </xf>
    <xf numFmtId="0" fontId="2" fillId="5" borderId="24" xfId="0" applyFont="1" applyFill="1" applyBorder="1" applyAlignment="1">
      <alignment horizontal="center" vertical="center"/>
    </xf>
    <xf numFmtId="0" fontId="2" fillId="5" borderId="25" xfId="0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0" fontId="2" fillId="5" borderId="18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009C3-38FA-40F6-8C07-5A3970FE8D82}">
  <dimension ref="B2:J50"/>
  <sheetViews>
    <sheetView zoomScale="50" zoomScaleNormal="50" workbookViewId="0">
      <selection activeCell="G47" sqref="C3:G47"/>
    </sheetView>
  </sheetViews>
  <sheetFormatPr baseColWidth="10" defaultRowHeight="14.4" x14ac:dyDescent="0.3"/>
  <cols>
    <col min="3" max="3" width="40" customWidth="1"/>
    <col min="4" max="4" width="32.33203125" customWidth="1"/>
    <col min="5" max="5" width="18.44140625" customWidth="1"/>
    <col min="6" max="6" width="16.77734375" customWidth="1"/>
    <col min="7" max="7" width="17.21875" customWidth="1"/>
  </cols>
  <sheetData>
    <row r="2" spans="2:10" ht="15" thickBot="1" x14ac:dyDescent="0.35"/>
    <row r="3" spans="2:10" x14ac:dyDescent="0.3">
      <c r="C3" s="67" t="s">
        <v>57</v>
      </c>
      <c r="D3" s="68"/>
      <c r="E3" s="68"/>
      <c r="F3" s="68"/>
      <c r="G3" s="69"/>
    </row>
    <row r="4" spans="2:10" ht="14.4" customHeight="1" x14ac:dyDescent="0.3">
      <c r="C4" s="25" t="s">
        <v>28</v>
      </c>
      <c r="D4" s="21" t="s">
        <v>52</v>
      </c>
      <c r="E4" s="21" t="s">
        <v>51</v>
      </c>
      <c r="F4" s="21" t="s">
        <v>53</v>
      </c>
      <c r="G4" s="23" t="s">
        <v>58</v>
      </c>
    </row>
    <row r="5" spans="2:10" x14ac:dyDescent="0.3">
      <c r="C5" s="26"/>
      <c r="D5" s="22"/>
      <c r="E5" s="22"/>
      <c r="F5" s="22"/>
      <c r="G5" s="24"/>
    </row>
    <row r="6" spans="2:10" x14ac:dyDescent="0.3">
      <c r="B6">
        <v>1</v>
      </c>
      <c r="C6" s="8" t="s">
        <v>5</v>
      </c>
      <c r="D6" s="9">
        <v>65.499999999999986</v>
      </c>
      <c r="E6" s="9"/>
      <c r="F6" s="9"/>
      <c r="G6" s="10"/>
    </row>
    <row r="7" spans="2:10" x14ac:dyDescent="0.3">
      <c r="B7">
        <v>2</v>
      </c>
      <c r="C7" s="8" t="s">
        <v>6</v>
      </c>
      <c r="D7" s="9">
        <v>9</v>
      </c>
      <c r="E7" s="9"/>
      <c r="F7" s="9"/>
      <c r="G7" s="10"/>
    </row>
    <row r="8" spans="2:10" x14ac:dyDescent="0.3">
      <c r="B8">
        <v>3</v>
      </c>
      <c r="C8" s="8" t="s">
        <v>7</v>
      </c>
      <c r="D8" s="9">
        <v>71.53</v>
      </c>
      <c r="E8" s="9"/>
      <c r="F8" s="9"/>
      <c r="G8" s="10"/>
    </row>
    <row r="9" spans="2:10" x14ac:dyDescent="0.3">
      <c r="B9">
        <v>4</v>
      </c>
      <c r="C9" s="8" t="s">
        <v>38</v>
      </c>
      <c r="D9" s="9">
        <v>38.25</v>
      </c>
      <c r="E9" s="9"/>
      <c r="F9" s="9"/>
      <c r="G9" s="10"/>
    </row>
    <row r="10" spans="2:10" x14ac:dyDescent="0.3">
      <c r="B10">
        <v>5</v>
      </c>
      <c r="C10" s="8" t="s">
        <v>8</v>
      </c>
      <c r="D10" s="9">
        <v>134.47500000000002</v>
      </c>
      <c r="E10" s="9"/>
      <c r="F10" s="9"/>
      <c r="G10" s="10"/>
      <c r="J10" t="s">
        <v>48</v>
      </c>
    </row>
    <row r="11" spans="2:10" x14ac:dyDescent="0.3">
      <c r="B11">
        <v>6</v>
      </c>
      <c r="C11" s="8" t="s">
        <v>59</v>
      </c>
      <c r="D11" s="9">
        <v>65.490000000000009</v>
      </c>
      <c r="E11" s="9"/>
      <c r="F11" s="9"/>
      <c r="G11" s="10"/>
    </row>
    <row r="12" spans="2:10" x14ac:dyDescent="0.3">
      <c r="B12">
        <v>7</v>
      </c>
      <c r="C12" s="8" t="s">
        <v>60</v>
      </c>
      <c r="D12" s="9">
        <v>13.799999999999997</v>
      </c>
      <c r="E12" s="9"/>
      <c r="F12" s="9"/>
      <c r="G12" s="10"/>
      <c r="J12">
        <f>(0.5*5.35)*4+(0.5*5.5)*2+(((5.35*5.5)-(3*2*2))*2+(0.5*2)*8+ (0.5*3)*8) + ((6.7*3)-(3*2))*3+(0.5*3)*6+(0.5*2)*6+(6.7*0.5)*7+((2.5*6.7)-(3.5*2.25))+(0.5*3.5)*2+(0.5*2.25)</f>
        <v>165.29999999999998</v>
      </c>
    </row>
    <row r="13" spans="2:10" x14ac:dyDescent="0.3">
      <c r="B13">
        <v>8</v>
      </c>
      <c r="C13" s="8" t="s">
        <v>61</v>
      </c>
      <c r="D13" s="9">
        <v>88.5</v>
      </c>
      <c r="E13" s="9"/>
      <c r="F13" s="9"/>
      <c r="G13" s="10"/>
    </row>
    <row r="14" spans="2:10" x14ac:dyDescent="0.3">
      <c r="B14">
        <v>9</v>
      </c>
      <c r="C14" s="8" t="s">
        <v>9</v>
      </c>
      <c r="D14" s="9">
        <v>133.4</v>
      </c>
      <c r="E14" s="9"/>
      <c r="F14" s="9"/>
      <c r="G14" s="10"/>
      <c r="J14">
        <f>(0.5*2.5)*4+(2.5*5.5)*2</f>
        <v>32.5</v>
      </c>
    </row>
    <row r="15" spans="2:10" x14ac:dyDescent="0.3">
      <c r="B15">
        <v>10</v>
      </c>
      <c r="C15" s="8" t="s">
        <v>39</v>
      </c>
      <c r="D15" s="9">
        <v>63.4</v>
      </c>
      <c r="E15" s="9"/>
      <c r="F15" s="9"/>
      <c r="G15" s="10"/>
    </row>
    <row r="16" spans="2:10" x14ac:dyDescent="0.3">
      <c r="B16">
        <v>11</v>
      </c>
      <c r="C16" s="8" t="s">
        <v>10</v>
      </c>
      <c r="D16" s="9">
        <v>71.53</v>
      </c>
      <c r="E16" s="9"/>
      <c r="F16" s="9"/>
      <c r="G16" s="10"/>
    </row>
    <row r="17" spans="2:10" x14ac:dyDescent="0.3">
      <c r="B17">
        <v>12</v>
      </c>
      <c r="C17" s="8" t="s">
        <v>40</v>
      </c>
      <c r="D17" s="9">
        <v>9</v>
      </c>
      <c r="E17" s="9"/>
      <c r="F17" s="9"/>
      <c r="G17" s="10"/>
      <c r="J17">
        <f>(2.5*3)*3+(0.5*3)*3+(0.5*3)*3+(2.5*2.5)+(2.5*0.5)*2</f>
        <v>40.25</v>
      </c>
    </row>
    <row r="18" spans="2:10" x14ac:dyDescent="0.3">
      <c r="B18">
        <v>13</v>
      </c>
      <c r="C18" s="8" t="s">
        <v>41</v>
      </c>
      <c r="D18" s="9">
        <v>65.499999999999986</v>
      </c>
      <c r="E18" s="9"/>
      <c r="F18" s="9"/>
      <c r="G18" s="10"/>
    </row>
    <row r="19" spans="2:10" x14ac:dyDescent="0.3">
      <c r="B19">
        <v>14</v>
      </c>
      <c r="C19" s="8" t="s">
        <v>11</v>
      </c>
      <c r="D19" s="9">
        <v>93.074999999999989</v>
      </c>
      <c r="E19" s="9"/>
      <c r="F19" s="9"/>
      <c r="G19" s="10"/>
    </row>
    <row r="20" spans="2:10" x14ac:dyDescent="0.3">
      <c r="B20">
        <v>15</v>
      </c>
      <c r="C20" s="8" t="s">
        <v>12</v>
      </c>
      <c r="D20" s="9">
        <v>11.324999999999999</v>
      </c>
      <c r="E20" s="9"/>
      <c r="F20" s="9"/>
      <c r="G20" s="10"/>
    </row>
    <row r="21" spans="2:10" x14ac:dyDescent="0.3">
      <c r="B21">
        <v>16</v>
      </c>
      <c r="C21" s="8" t="s">
        <v>13</v>
      </c>
      <c r="D21" s="9">
        <v>191.75</v>
      </c>
      <c r="E21" s="9"/>
      <c r="F21" s="9"/>
      <c r="G21" s="10"/>
    </row>
    <row r="22" spans="2:10" x14ac:dyDescent="0.3">
      <c r="B22">
        <v>17</v>
      </c>
      <c r="C22" s="8" t="s">
        <v>62</v>
      </c>
      <c r="D22" s="9">
        <v>12.044999999999998</v>
      </c>
      <c r="E22" s="9"/>
      <c r="F22" s="9"/>
      <c r="G22" s="10"/>
    </row>
    <row r="23" spans="2:10" x14ac:dyDescent="0.3">
      <c r="B23">
        <v>18</v>
      </c>
      <c r="C23" s="8" t="s">
        <v>69</v>
      </c>
      <c r="D23" s="9">
        <v>93.074999999999989</v>
      </c>
      <c r="E23" s="9"/>
      <c r="F23" s="9"/>
      <c r="G23" s="10"/>
    </row>
    <row r="24" spans="2:10" x14ac:dyDescent="0.3">
      <c r="B24">
        <v>19</v>
      </c>
      <c r="C24" s="8" t="s">
        <v>42</v>
      </c>
      <c r="D24" s="9">
        <v>65.5</v>
      </c>
      <c r="E24" s="9"/>
      <c r="F24" s="9"/>
      <c r="G24" s="10"/>
    </row>
    <row r="25" spans="2:10" x14ac:dyDescent="0.3">
      <c r="B25">
        <v>20</v>
      </c>
      <c r="C25" s="8" t="s">
        <v>43</v>
      </c>
      <c r="D25" s="9">
        <v>18</v>
      </c>
      <c r="E25" s="9"/>
      <c r="F25" s="9"/>
      <c r="G25" s="10"/>
    </row>
    <row r="26" spans="2:10" x14ac:dyDescent="0.3">
      <c r="B26">
        <v>21</v>
      </c>
      <c r="C26" s="8" t="s">
        <v>44</v>
      </c>
      <c r="D26" s="9">
        <v>57.25</v>
      </c>
      <c r="E26" s="9"/>
      <c r="F26" s="9"/>
      <c r="G26" s="10"/>
    </row>
    <row r="27" spans="2:10" x14ac:dyDescent="0.3">
      <c r="B27">
        <v>22</v>
      </c>
      <c r="C27" s="8" t="s">
        <v>45</v>
      </c>
      <c r="D27" s="9">
        <v>68.34</v>
      </c>
      <c r="E27" s="9"/>
      <c r="F27" s="9"/>
      <c r="G27" s="10"/>
    </row>
    <row r="28" spans="2:10" x14ac:dyDescent="0.3">
      <c r="B28">
        <v>23</v>
      </c>
      <c r="C28" s="8" t="s">
        <v>15</v>
      </c>
      <c r="D28" s="9">
        <v>80.099999999999994</v>
      </c>
      <c r="E28" s="9"/>
      <c r="F28" s="9"/>
      <c r="G28" s="10"/>
    </row>
    <row r="29" spans="2:10" x14ac:dyDescent="0.3">
      <c r="B29">
        <v>24</v>
      </c>
      <c r="C29" s="8" t="s">
        <v>17</v>
      </c>
      <c r="D29" s="9">
        <v>15.299999999999999</v>
      </c>
      <c r="E29" s="9"/>
      <c r="F29" s="9"/>
      <c r="G29" s="10"/>
    </row>
    <row r="30" spans="2:10" x14ac:dyDescent="0.3">
      <c r="B30">
        <v>25</v>
      </c>
      <c r="C30" s="8" t="s">
        <v>46</v>
      </c>
      <c r="D30" s="9">
        <v>48.06</v>
      </c>
      <c r="E30" s="9"/>
      <c r="F30" s="9"/>
      <c r="G30" s="10"/>
    </row>
    <row r="31" spans="2:10" x14ac:dyDescent="0.3">
      <c r="B31">
        <v>26</v>
      </c>
      <c r="C31" s="8" t="s">
        <v>47</v>
      </c>
      <c r="D31" s="9">
        <v>28.769999999999996</v>
      </c>
      <c r="E31" s="9"/>
      <c r="F31" s="9"/>
      <c r="G31" s="10"/>
    </row>
    <row r="32" spans="2:10" x14ac:dyDescent="0.3">
      <c r="B32">
        <v>27</v>
      </c>
      <c r="C32" s="8" t="s">
        <v>18</v>
      </c>
      <c r="D32" s="9">
        <v>15.299999999999999</v>
      </c>
      <c r="E32" s="9"/>
      <c r="F32" s="9"/>
      <c r="G32" s="10"/>
    </row>
    <row r="33" spans="2:7" x14ac:dyDescent="0.3">
      <c r="B33">
        <v>28</v>
      </c>
      <c r="C33" s="8" t="s">
        <v>19</v>
      </c>
      <c r="D33" s="9">
        <v>48.06</v>
      </c>
      <c r="E33" s="9"/>
      <c r="F33" s="9"/>
      <c r="G33" s="10"/>
    </row>
    <row r="34" spans="2:7" x14ac:dyDescent="0.3">
      <c r="B34">
        <v>29</v>
      </c>
      <c r="C34" s="8" t="s">
        <v>20</v>
      </c>
      <c r="D34" s="9">
        <v>0</v>
      </c>
      <c r="E34" s="9"/>
      <c r="F34" s="9"/>
      <c r="G34" s="10"/>
    </row>
    <row r="35" spans="2:7" x14ac:dyDescent="0.3">
      <c r="B35">
        <v>30</v>
      </c>
      <c r="C35" s="8" t="s">
        <v>63</v>
      </c>
      <c r="D35" s="9">
        <v>80.099999999999994</v>
      </c>
      <c r="E35" s="9"/>
      <c r="F35" s="9"/>
      <c r="G35" s="10"/>
    </row>
    <row r="36" spans="2:7" x14ac:dyDescent="0.3">
      <c r="B36">
        <v>31</v>
      </c>
      <c r="C36" s="8" t="s">
        <v>64</v>
      </c>
      <c r="D36" s="9">
        <v>0</v>
      </c>
      <c r="E36" s="9"/>
      <c r="F36" s="9"/>
      <c r="G36" s="10"/>
    </row>
    <row r="37" spans="2:7" x14ac:dyDescent="0.3">
      <c r="B37">
        <v>32</v>
      </c>
      <c r="C37" s="8" t="s">
        <v>65</v>
      </c>
      <c r="D37" s="9">
        <v>57.25</v>
      </c>
      <c r="E37" s="9"/>
      <c r="F37" s="9"/>
      <c r="G37" s="10"/>
    </row>
    <row r="38" spans="2:7" x14ac:dyDescent="0.3">
      <c r="B38">
        <v>33</v>
      </c>
      <c r="C38" s="8" t="s">
        <v>66</v>
      </c>
      <c r="D38" s="9">
        <v>18</v>
      </c>
      <c r="E38" s="9"/>
      <c r="F38" s="9"/>
      <c r="G38" s="10"/>
    </row>
    <row r="39" spans="2:7" x14ac:dyDescent="0.3">
      <c r="B39">
        <v>34</v>
      </c>
      <c r="C39" s="8" t="s">
        <v>70</v>
      </c>
      <c r="D39" s="9">
        <v>93.075000000000003</v>
      </c>
      <c r="E39" s="9"/>
      <c r="F39" s="9"/>
      <c r="G39" s="10"/>
    </row>
    <row r="40" spans="2:7" x14ac:dyDescent="0.3">
      <c r="B40">
        <v>35</v>
      </c>
      <c r="C40" s="8" t="s">
        <v>21</v>
      </c>
      <c r="D40" s="9">
        <v>11.324999999999999</v>
      </c>
      <c r="E40" s="9"/>
      <c r="F40" s="9"/>
      <c r="G40" s="10"/>
    </row>
    <row r="41" spans="2:7" x14ac:dyDescent="0.3">
      <c r="B41">
        <v>36</v>
      </c>
      <c r="C41" s="8" t="s">
        <v>22</v>
      </c>
      <c r="D41" s="9">
        <v>191.75</v>
      </c>
      <c r="E41" s="9"/>
      <c r="F41" s="9"/>
      <c r="G41" s="10"/>
    </row>
    <row r="42" spans="2:7" x14ac:dyDescent="0.3">
      <c r="B42">
        <v>37</v>
      </c>
      <c r="C42" s="8" t="s">
        <v>67</v>
      </c>
      <c r="D42" s="9">
        <v>12.044999999999998</v>
      </c>
      <c r="E42" s="9"/>
      <c r="F42" s="9"/>
      <c r="G42" s="10"/>
    </row>
    <row r="43" spans="2:7" x14ac:dyDescent="0.3">
      <c r="B43">
        <v>38</v>
      </c>
      <c r="C43" s="8" t="s">
        <v>68</v>
      </c>
      <c r="D43" s="53">
        <v>93.074999999999989</v>
      </c>
      <c r="E43" s="9"/>
      <c r="F43" s="9"/>
      <c r="G43" s="10"/>
    </row>
    <row r="44" spans="2:7" x14ac:dyDescent="0.3">
      <c r="B44">
        <v>39</v>
      </c>
      <c r="C44" s="70" t="s">
        <v>71</v>
      </c>
      <c r="D44" s="9">
        <v>137.94999999999999</v>
      </c>
      <c r="E44" s="58"/>
      <c r="F44" s="9"/>
      <c r="G44" s="10"/>
    </row>
    <row r="45" spans="2:7" x14ac:dyDescent="0.3">
      <c r="C45" s="49" t="s">
        <v>49</v>
      </c>
      <c r="D45" s="7">
        <f>SUM(D6:D44)</f>
        <v>2369.8949999999995</v>
      </c>
      <c r="E45" s="71"/>
      <c r="F45" s="50"/>
      <c r="G45" s="10"/>
    </row>
    <row r="46" spans="2:7" x14ac:dyDescent="0.3">
      <c r="C46" s="44" t="s">
        <v>56</v>
      </c>
      <c r="D46" s="45"/>
      <c r="E46" s="72" t="s">
        <v>87</v>
      </c>
      <c r="F46" s="50"/>
      <c r="G46" s="10"/>
    </row>
    <row r="47" spans="2:7" ht="15" thickBot="1" x14ac:dyDescent="0.35">
      <c r="C47" s="46" t="s">
        <v>72</v>
      </c>
      <c r="D47" s="60"/>
      <c r="E47" s="51"/>
      <c r="F47" s="51"/>
      <c r="G47" s="12"/>
    </row>
    <row r="50" spans="7:7" x14ac:dyDescent="0.3">
      <c r="G50">
        <f>SUM(D6:D44)</f>
        <v>2369.8949999999995</v>
      </c>
    </row>
  </sheetData>
  <mergeCells count="8">
    <mergeCell ref="C46:D46"/>
    <mergeCell ref="C47:D47"/>
    <mergeCell ref="C4:C5"/>
    <mergeCell ref="D4:D5"/>
    <mergeCell ref="E4:E5"/>
    <mergeCell ref="F4:F5"/>
    <mergeCell ref="G4:G5"/>
    <mergeCell ref="C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C6657-0B10-4C5D-8CAC-88CA3A66C270}">
  <dimension ref="B2:H47"/>
  <sheetViews>
    <sheetView topLeftCell="B1" zoomScale="79" zoomScaleNormal="79" workbookViewId="0">
      <selection activeCell="C3" sqref="C3:E47"/>
    </sheetView>
  </sheetViews>
  <sheetFormatPr baseColWidth="10" defaultRowHeight="14.4" x14ac:dyDescent="0.3"/>
  <cols>
    <col min="3" max="3" width="54" bestFit="1" customWidth="1"/>
    <col min="4" max="4" width="34.44140625" customWidth="1"/>
    <col min="5" max="5" width="35.88671875" bestFit="1" customWidth="1"/>
    <col min="6" max="6" width="16.109375" customWidth="1"/>
  </cols>
  <sheetData>
    <row r="2" spans="2:8" ht="15" thickBot="1" x14ac:dyDescent="0.35"/>
    <row r="3" spans="2:8" x14ac:dyDescent="0.3">
      <c r="C3" s="67" t="s">
        <v>83</v>
      </c>
      <c r="D3" s="68"/>
      <c r="E3" s="69"/>
    </row>
    <row r="4" spans="2:8" ht="14.4" customHeight="1" x14ac:dyDescent="0.3">
      <c r="C4" s="25" t="s">
        <v>28</v>
      </c>
      <c r="D4" s="21" t="s">
        <v>52</v>
      </c>
      <c r="E4" s="23" t="s">
        <v>82</v>
      </c>
    </row>
    <row r="5" spans="2:8" x14ac:dyDescent="0.3">
      <c r="C5" s="26"/>
      <c r="D5" s="22"/>
      <c r="E5" s="24"/>
    </row>
    <row r="6" spans="2:8" x14ac:dyDescent="0.3">
      <c r="B6">
        <v>1</v>
      </c>
      <c r="C6" s="8" t="s">
        <v>5</v>
      </c>
      <c r="D6" s="9">
        <v>34</v>
      </c>
      <c r="E6" s="10"/>
    </row>
    <row r="7" spans="2:8" x14ac:dyDescent="0.3">
      <c r="B7">
        <v>2</v>
      </c>
      <c r="C7" s="8" t="s">
        <v>6</v>
      </c>
      <c r="D7" s="9">
        <v>9</v>
      </c>
      <c r="E7" s="10"/>
    </row>
    <row r="8" spans="2:8" x14ac:dyDescent="0.3">
      <c r="B8">
        <v>3</v>
      </c>
      <c r="C8" s="8" t="s">
        <v>7</v>
      </c>
      <c r="D8" s="9">
        <v>33.479999999999997</v>
      </c>
      <c r="E8" s="10"/>
    </row>
    <row r="9" spans="2:8" x14ac:dyDescent="0.3">
      <c r="B9">
        <v>4</v>
      </c>
      <c r="C9" s="8" t="s">
        <v>38</v>
      </c>
      <c r="D9" s="9"/>
      <c r="E9" s="10"/>
    </row>
    <row r="10" spans="2:8" x14ac:dyDescent="0.3">
      <c r="B10">
        <v>5</v>
      </c>
      <c r="C10" s="8" t="s">
        <v>8</v>
      </c>
      <c r="D10" s="9"/>
      <c r="E10" s="10"/>
      <c r="H10" t="s">
        <v>48</v>
      </c>
    </row>
    <row r="11" spans="2:8" x14ac:dyDescent="0.3">
      <c r="B11">
        <v>6</v>
      </c>
      <c r="C11" s="8" t="s">
        <v>59</v>
      </c>
      <c r="D11" s="9"/>
      <c r="E11" s="10"/>
    </row>
    <row r="12" spans="2:8" x14ac:dyDescent="0.3">
      <c r="B12">
        <v>7</v>
      </c>
      <c r="C12" s="8" t="s">
        <v>60</v>
      </c>
      <c r="D12" s="9"/>
      <c r="E12" s="10"/>
      <c r="H12">
        <f>(0.5*5.35)*4+(0.5*5.5)*2+(((5.35*5.5)-(3*2*2))*2+(0.5*2)*8+ (0.5*3)*8) + ((6.7*3)-(3*2))*3+(0.5*3)*6+(0.5*2)*6+(6.7*0.5)*7+((2.5*6.7)-(3.5*2.25))+(0.5*3.5)*2+(0.5*2.25)</f>
        <v>165.29999999999998</v>
      </c>
    </row>
    <row r="13" spans="2:8" x14ac:dyDescent="0.3">
      <c r="B13">
        <v>8</v>
      </c>
      <c r="C13" s="8" t="s">
        <v>61</v>
      </c>
      <c r="D13" s="9"/>
      <c r="E13" s="10"/>
    </row>
    <row r="14" spans="2:8" x14ac:dyDescent="0.3">
      <c r="B14">
        <v>9</v>
      </c>
      <c r="C14" s="8" t="s">
        <v>9</v>
      </c>
      <c r="D14" s="9"/>
      <c r="E14" s="10"/>
      <c r="H14">
        <f>(0.5*2.5)*4+(2.5*5.5)*2</f>
        <v>32.5</v>
      </c>
    </row>
    <row r="15" spans="2:8" x14ac:dyDescent="0.3">
      <c r="B15">
        <v>10</v>
      </c>
      <c r="C15" s="8" t="s">
        <v>39</v>
      </c>
      <c r="D15" s="9"/>
      <c r="E15" s="10"/>
    </row>
    <row r="16" spans="2:8" x14ac:dyDescent="0.3">
      <c r="B16">
        <v>11</v>
      </c>
      <c r="C16" s="8" t="s">
        <v>10</v>
      </c>
      <c r="D16" s="9">
        <v>33.49</v>
      </c>
      <c r="E16" s="10"/>
    </row>
    <row r="17" spans="2:8" x14ac:dyDescent="0.3">
      <c r="B17">
        <v>12</v>
      </c>
      <c r="C17" s="8" t="s">
        <v>40</v>
      </c>
      <c r="D17" s="9">
        <v>9</v>
      </c>
      <c r="E17" s="10"/>
      <c r="H17">
        <f>(2.5*3)*3+(0.5*3)*3+(0.5*3)*3+(2.5*2.5)+(2.5*0.5)*2</f>
        <v>40.25</v>
      </c>
    </row>
    <row r="18" spans="2:8" x14ac:dyDescent="0.3">
      <c r="B18">
        <v>13</v>
      </c>
      <c r="C18" s="8" t="s">
        <v>41</v>
      </c>
      <c r="D18" s="9">
        <v>34</v>
      </c>
      <c r="E18" s="10"/>
    </row>
    <row r="19" spans="2:8" x14ac:dyDescent="0.3">
      <c r="B19">
        <v>14</v>
      </c>
      <c r="C19" s="8" t="s">
        <v>11</v>
      </c>
      <c r="D19" s="9">
        <v>36.18</v>
      </c>
      <c r="E19" s="10"/>
    </row>
    <row r="20" spans="2:8" x14ac:dyDescent="0.3">
      <c r="B20">
        <v>15</v>
      </c>
      <c r="C20" s="8" t="s">
        <v>12</v>
      </c>
      <c r="D20" s="9"/>
      <c r="E20" s="10"/>
    </row>
    <row r="21" spans="2:8" x14ac:dyDescent="0.3">
      <c r="B21">
        <v>16</v>
      </c>
      <c r="C21" s="8" t="s">
        <v>13</v>
      </c>
      <c r="D21" s="9"/>
      <c r="E21" s="10"/>
    </row>
    <row r="22" spans="2:8" x14ac:dyDescent="0.3">
      <c r="B22">
        <v>17</v>
      </c>
      <c r="C22" s="8" t="s">
        <v>62</v>
      </c>
      <c r="D22" s="9"/>
      <c r="E22" s="10"/>
    </row>
    <row r="23" spans="2:8" x14ac:dyDescent="0.3">
      <c r="B23">
        <v>18</v>
      </c>
      <c r="C23" s="8" t="s">
        <v>69</v>
      </c>
      <c r="D23" s="9">
        <v>36.18</v>
      </c>
      <c r="E23" s="10"/>
    </row>
    <row r="24" spans="2:8" x14ac:dyDescent="0.3">
      <c r="B24">
        <v>19</v>
      </c>
      <c r="C24" s="8" t="s">
        <v>42</v>
      </c>
      <c r="D24" s="9">
        <v>34</v>
      </c>
      <c r="E24" s="10"/>
    </row>
    <row r="25" spans="2:8" x14ac:dyDescent="0.3">
      <c r="B25">
        <v>20</v>
      </c>
      <c r="C25" s="8" t="s">
        <v>43</v>
      </c>
      <c r="D25" s="9">
        <v>18</v>
      </c>
      <c r="E25" s="10"/>
    </row>
    <row r="26" spans="2:8" x14ac:dyDescent="0.3">
      <c r="B26">
        <v>21</v>
      </c>
      <c r="C26" s="8" t="s">
        <v>44</v>
      </c>
      <c r="D26" s="9">
        <v>35.75</v>
      </c>
      <c r="E26" s="10"/>
    </row>
    <row r="27" spans="2:8" x14ac:dyDescent="0.3">
      <c r="B27">
        <v>22</v>
      </c>
      <c r="C27" s="8" t="s">
        <v>45</v>
      </c>
      <c r="D27" s="9"/>
      <c r="E27" s="10"/>
    </row>
    <row r="28" spans="2:8" x14ac:dyDescent="0.3">
      <c r="B28">
        <v>23</v>
      </c>
      <c r="C28" s="8" t="s">
        <v>15</v>
      </c>
      <c r="D28" s="9"/>
      <c r="E28" s="10"/>
    </row>
    <row r="29" spans="2:8" x14ac:dyDescent="0.3">
      <c r="B29">
        <v>24</v>
      </c>
      <c r="C29" s="8" t="s">
        <v>17</v>
      </c>
      <c r="D29" s="9"/>
      <c r="E29" s="10"/>
    </row>
    <row r="30" spans="2:8" x14ac:dyDescent="0.3">
      <c r="B30">
        <v>25</v>
      </c>
      <c r="C30" s="8" t="s">
        <v>46</v>
      </c>
      <c r="D30" s="9"/>
      <c r="E30" s="10"/>
    </row>
    <row r="31" spans="2:8" x14ac:dyDescent="0.3">
      <c r="B31">
        <v>26</v>
      </c>
      <c r="C31" s="8" t="s">
        <v>47</v>
      </c>
      <c r="D31" s="9"/>
      <c r="E31" s="10"/>
    </row>
    <row r="32" spans="2:8" x14ac:dyDescent="0.3">
      <c r="B32">
        <v>27</v>
      </c>
      <c r="C32" s="8" t="s">
        <v>18</v>
      </c>
      <c r="D32" s="9"/>
      <c r="E32" s="10"/>
    </row>
    <row r="33" spans="2:5" x14ac:dyDescent="0.3">
      <c r="B33">
        <v>28</v>
      </c>
      <c r="C33" s="8" t="s">
        <v>19</v>
      </c>
      <c r="D33" s="9"/>
      <c r="E33" s="10"/>
    </row>
    <row r="34" spans="2:5" x14ac:dyDescent="0.3">
      <c r="B34">
        <v>29</v>
      </c>
      <c r="C34" s="8" t="s">
        <v>20</v>
      </c>
      <c r="D34" s="9">
        <v>30.6</v>
      </c>
      <c r="E34" s="10"/>
    </row>
    <row r="35" spans="2:5" x14ac:dyDescent="0.3">
      <c r="B35">
        <v>30</v>
      </c>
      <c r="C35" s="8" t="s">
        <v>63</v>
      </c>
      <c r="D35" s="9"/>
      <c r="E35" s="10"/>
    </row>
    <row r="36" spans="2:5" x14ac:dyDescent="0.3">
      <c r="B36">
        <v>31</v>
      </c>
      <c r="C36" s="8" t="s">
        <v>64</v>
      </c>
      <c r="D36" s="9">
        <v>88.74</v>
      </c>
      <c r="E36" s="10"/>
    </row>
    <row r="37" spans="2:5" x14ac:dyDescent="0.3">
      <c r="B37">
        <v>32</v>
      </c>
      <c r="C37" s="8" t="s">
        <v>65</v>
      </c>
      <c r="D37" s="9">
        <v>35.75</v>
      </c>
      <c r="E37" s="10"/>
    </row>
    <row r="38" spans="2:5" x14ac:dyDescent="0.3">
      <c r="B38">
        <v>33</v>
      </c>
      <c r="C38" s="8" t="s">
        <v>66</v>
      </c>
      <c r="D38" s="9">
        <v>18</v>
      </c>
      <c r="E38" s="10"/>
    </row>
    <row r="39" spans="2:5" x14ac:dyDescent="0.3">
      <c r="B39">
        <v>34</v>
      </c>
      <c r="C39" s="8" t="s">
        <v>70</v>
      </c>
      <c r="D39" s="9">
        <v>36.18</v>
      </c>
      <c r="E39" s="10"/>
    </row>
    <row r="40" spans="2:5" x14ac:dyDescent="0.3">
      <c r="B40">
        <v>35</v>
      </c>
      <c r="C40" s="8" t="s">
        <v>21</v>
      </c>
      <c r="D40" s="9"/>
      <c r="E40" s="10"/>
    </row>
    <row r="41" spans="2:5" x14ac:dyDescent="0.3">
      <c r="B41">
        <v>36</v>
      </c>
      <c r="C41" s="8" t="s">
        <v>22</v>
      </c>
      <c r="D41" s="9"/>
      <c r="E41" s="10"/>
    </row>
    <row r="42" spans="2:5" x14ac:dyDescent="0.3">
      <c r="B42">
        <v>37</v>
      </c>
      <c r="C42" s="8" t="s">
        <v>67</v>
      </c>
      <c r="D42" s="9"/>
      <c r="E42" s="10"/>
    </row>
    <row r="43" spans="2:5" x14ac:dyDescent="0.3">
      <c r="B43">
        <v>38</v>
      </c>
      <c r="C43" s="8" t="s">
        <v>68</v>
      </c>
      <c r="D43" s="9">
        <v>36.18</v>
      </c>
      <c r="E43" s="10"/>
    </row>
    <row r="44" spans="2:5" x14ac:dyDescent="0.3">
      <c r="B44">
        <v>39</v>
      </c>
      <c r="C44" s="52" t="s">
        <v>71</v>
      </c>
      <c r="D44" s="53">
        <v>34</v>
      </c>
      <c r="E44" s="54"/>
    </row>
    <row r="45" spans="2:5" x14ac:dyDescent="0.3">
      <c r="C45" s="40" t="s">
        <v>49</v>
      </c>
      <c r="D45" s="7">
        <f>SUM(D6:D44)</f>
        <v>592.53</v>
      </c>
      <c r="E45" s="48"/>
    </row>
    <row r="46" spans="2:5" x14ac:dyDescent="0.3">
      <c r="C46" s="40" t="s">
        <v>81</v>
      </c>
      <c r="D46" s="7">
        <v>75</v>
      </c>
      <c r="E46" s="64"/>
    </row>
    <row r="47" spans="2:5" ht="15" thickBot="1" x14ac:dyDescent="0.35">
      <c r="C47" s="42" t="s">
        <v>85</v>
      </c>
      <c r="D47" s="66">
        <f>D45/D46</f>
        <v>7.9003999999999994</v>
      </c>
      <c r="E47" s="65"/>
    </row>
  </sheetData>
  <mergeCells count="4">
    <mergeCell ref="C3:E3"/>
    <mergeCell ref="C4:C5"/>
    <mergeCell ref="D4:D5"/>
    <mergeCell ref="E4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93409-727F-4552-B173-1D67A25DE08C}">
  <dimension ref="C2:H47"/>
  <sheetViews>
    <sheetView zoomScale="79" zoomScaleNormal="79" workbookViewId="0">
      <selection activeCell="C3" sqref="C3:E47"/>
    </sheetView>
  </sheetViews>
  <sheetFormatPr baseColWidth="10" defaultRowHeight="14.4" x14ac:dyDescent="0.3"/>
  <cols>
    <col min="3" max="3" width="54" bestFit="1" customWidth="1"/>
    <col min="4" max="4" width="34.44140625" customWidth="1"/>
    <col min="5" max="5" width="35.88671875" bestFit="1" customWidth="1"/>
    <col min="6" max="6" width="16.109375" customWidth="1"/>
  </cols>
  <sheetData>
    <row r="2" spans="3:8" ht="15" thickBot="1" x14ac:dyDescent="0.35"/>
    <row r="3" spans="3:8" x14ac:dyDescent="0.3">
      <c r="C3" s="67" t="s">
        <v>78</v>
      </c>
      <c r="D3" s="68"/>
      <c r="E3" s="69"/>
    </row>
    <row r="4" spans="3:8" ht="14.4" customHeight="1" x14ac:dyDescent="0.3">
      <c r="C4" s="25" t="s">
        <v>28</v>
      </c>
      <c r="D4" s="21" t="s">
        <v>52</v>
      </c>
      <c r="E4" s="23" t="s">
        <v>79</v>
      </c>
    </row>
    <row r="5" spans="3:8" x14ac:dyDescent="0.3">
      <c r="C5" s="26"/>
      <c r="D5" s="22"/>
      <c r="E5" s="24"/>
    </row>
    <row r="6" spans="3:8" x14ac:dyDescent="0.3">
      <c r="C6" s="8" t="s">
        <v>5</v>
      </c>
      <c r="D6" s="9">
        <v>65.499999999999986</v>
      </c>
      <c r="E6" s="10"/>
    </row>
    <row r="7" spans="3:8" x14ac:dyDescent="0.3">
      <c r="C7" s="8" t="s">
        <v>6</v>
      </c>
      <c r="D7" s="9">
        <v>9</v>
      </c>
      <c r="E7" s="10"/>
    </row>
    <row r="8" spans="3:8" x14ac:dyDescent="0.3">
      <c r="C8" s="8" t="s">
        <v>7</v>
      </c>
      <c r="D8" s="9">
        <v>71.53</v>
      </c>
      <c r="E8" s="10"/>
    </row>
    <row r="9" spans="3:8" x14ac:dyDescent="0.3">
      <c r="C9" s="8" t="s">
        <v>38</v>
      </c>
      <c r="D9" s="9">
        <v>38.25</v>
      </c>
      <c r="E9" s="10"/>
    </row>
    <row r="10" spans="3:8" x14ac:dyDescent="0.3">
      <c r="C10" s="8" t="s">
        <v>8</v>
      </c>
      <c r="D10" s="9">
        <v>134.47500000000002</v>
      </c>
      <c r="E10" s="10"/>
      <c r="H10" t="s">
        <v>48</v>
      </c>
    </row>
    <row r="11" spans="3:8" x14ac:dyDescent="0.3">
      <c r="C11" s="8" t="s">
        <v>59</v>
      </c>
      <c r="D11" s="9">
        <v>65.490000000000009</v>
      </c>
      <c r="E11" s="10"/>
    </row>
    <row r="12" spans="3:8" x14ac:dyDescent="0.3">
      <c r="C12" s="8" t="s">
        <v>60</v>
      </c>
      <c r="D12" s="9">
        <v>13.799999999999997</v>
      </c>
      <c r="E12" s="10"/>
      <c r="H12">
        <f>(0.5*5.35)*4+(0.5*5.5)*2+(((5.35*5.5)-(3*2*2))*2+(0.5*2)*8+ (0.5*3)*8) + ((6.7*3)-(3*2))*3+(0.5*3)*6+(0.5*2)*6+(6.7*0.5)*7+((2.5*6.7)-(3.5*2.25))+(0.5*3.5)*2+(0.5*2.25)</f>
        <v>165.29999999999998</v>
      </c>
    </row>
    <row r="13" spans="3:8" x14ac:dyDescent="0.3">
      <c r="C13" s="8" t="s">
        <v>61</v>
      </c>
      <c r="D13" s="9">
        <v>88.5</v>
      </c>
      <c r="E13" s="10"/>
    </row>
    <row r="14" spans="3:8" x14ac:dyDescent="0.3">
      <c r="C14" s="8" t="s">
        <v>9</v>
      </c>
      <c r="D14" s="9">
        <v>133.4</v>
      </c>
      <c r="E14" s="10"/>
      <c r="H14">
        <f>(0.5*2.5)*4+(2.5*5.5)*2</f>
        <v>32.5</v>
      </c>
    </row>
    <row r="15" spans="3:8" x14ac:dyDescent="0.3">
      <c r="C15" s="8" t="s">
        <v>39</v>
      </c>
      <c r="D15" s="9">
        <v>63.4</v>
      </c>
      <c r="E15" s="10"/>
    </row>
    <row r="16" spans="3:8" x14ac:dyDescent="0.3">
      <c r="C16" s="8" t="s">
        <v>10</v>
      </c>
      <c r="D16" s="9">
        <v>71.53</v>
      </c>
      <c r="E16" s="10"/>
    </row>
    <row r="17" spans="3:8" x14ac:dyDescent="0.3">
      <c r="C17" s="8" t="s">
        <v>40</v>
      </c>
      <c r="D17" s="9">
        <v>9</v>
      </c>
      <c r="E17" s="10"/>
      <c r="H17">
        <f>(2.5*3)*3+(0.5*3)*3+(0.5*3)*3+(2.5*2.5)+(2.5*0.5)*2</f>
        <v>40.25</v>
      </c>
    </row>
    <row r="18" spans="3:8" x14ac:dyDescent="0.3">
      <c r="C18" s="8" t="s">
        <v>41</v>
      </c>
      <c r="D18" s="9">
        <v>65.499999999999986</v>
      </c>
      <c r="E18" s="10"/>
    </row>
    <row r="19" spans="3:8" x14ac:dyDescent="0.3">
      <c r="C19" s="8" t="s">
        <v>11</v>
      </c>
      <c r="D19" s="9">
        <v>93.074999999999989</v>
      </c>
      <c r="E19" s="10"/>
    </row>
    <row r="20" spans="3:8" x14ac:dyDescent="0.3">
      <c r="C20" s="8" t="s">
        <v>12</v>
      </c>
      <c r="D20" s="9">
        <v>11.324999999999999</v>
      </c>
      <c r="E20" s="10"/>
    </row>
    <row r="21" spans="3:8" x14ac:dyDescent="0.3">
      <c r="C21" s="8" t="s">
        <v>13</v>
      </c>
      <c r="D21" s="9">
        <v>191.75</v>
      </c>
      <c r="E21" s="10"/>
    </row>
    <row r="22" spans="3:8" x14ac:dyDescent="0.3">
      <c r="C22" s="8" t="s">
        <v>62</v>
      </c>
      <c r="D22" s="9">
        <v>12.044999999999998</v>
      </c>
      <c r="E22" s="10"/>
    </row>
    <row r="23" spans="3:8" x14ac:dyDescent="0.3">
      <c r="C23" s="8" t="s">
        <v>69</v>
      </c>
      <c r="D23" s="9">
        <v>93.074999999999989</v>
      </c>
      <c r="E23" s="10"/>
    </row>
    <row r="24" spans="3:8" x14ac:dyDescent="0.3">
      <c r="C24" s="8" t="s">
        <v>42</v>
      </c>
      <c r="D24" s="9">
        <v>65.5</v>
      </c>
      <c r="E24" s="10"/>
    </row>
    <row r="25" spans="3:8" x14ac:dyDescent="0.3">
      <c r="C25" s="8" t="s">
        <v>43</v>
      </c>
      <c r="D25" s="9">
        <v>18</v>
      </c>
      <c r="E25" s="10"/>
    </row>
    <row r="26" spans="3:8" x14ac:dyDescent="0.3">
      <c r="C26" s="8" t="s">
        <v>44</v>
      </c>
      <c r="D26" s="9">
        <v>57.25</v>
      </c>
      <c r="E26" s="10"/>
    </row>
    <row r="27" spans="3:8" x14ac:dyDescent="0.3">
      <c r="C27" s="8" t="s">
        <v>45</v>
      </c>
      <c r="D27" s="9">
        <v>68.34</v>
      </c>
      <c r="E27" s="10"/>
    </row>
    <row r="28" spans="3:8" x14ac:dyDescent="0.3">
      <c r="C28" s="8" t="s">
        <v>15</v>
      </c>
      <c r="D28" s="9">
        <v>80.099999999999994</v>
      </c>
      <c r="E28" s="10"/>
    </row>
    <row r="29" spans="3:8" x14ac:dyDescent="0.3">
      <c r="C29" s="8" t="s">
        <v>17</v>
      </c>
      <c r="D29" s="9">
        <v>15.299999999999999</v>
      </c>
      <c r="E29" s="10"/>
    </row>
    <row r="30" spans="3:8" x14ac:dyDescent="0.3">
      <c r="C30" s="8" t="s">
        <v>46</v>
      </c>
      <c r="D30" s="9">
        <v>48.06</v>
      </c>
      <c r="E30" s="10"/>
    </row>
    <row r="31" spans="3:8" x14ac:dyDescent="0.3">
      <c r="C31" s="8" t="s">
        <v>47</v>
      </c>
      <c r="D31" s="9">
        <v>28.769999999999996</v>
      </c>
      <c r="E31" s="10"/>
    </row>
    <row r="32" spans="3:8" x14ac:dyDescent="0.3">
      <c r="C32" s="8" t="s">
        <v>18</v>
      </c>
      <c r="D32" s="9">
        <v>15.299999999999999</v>
      </c>
      <c r="E32" s="10"/>
    </row>
    <row r="33" spans="3:5" x14ac:dyDescent="0.3">
      <c r="C33" s="8" t="s">
        <v>19</v>
      </c>
      <c r="D33" s="9">
        <v>48.06</v>
      </c>
      <c r="E33" s="10"/>
    </row>
    <row r="34" spans="3:5" x14ac:dyDescent="0.3">
      <c r="C34" s="8" t="s">
        <v>20</v>
      </c>
      <c r="D34" s="9">
        <v>0</v>
      </c>
      <c r="E34" s="10"/>
    </row>
    <row r="35" spans="3:5" x14ac:dyDescent="0.3">
      <c r="C35" s="8" t="s">
        <v>63</v>
      </c>
      <c r="D35" s="9">
        <v>80.099999999999994</v>
      </c>
      <c r="E35" s="10"/>
    </row>
    <row r="36" spans="3:5" x14ac:dyDescent="0.3">
      <c r="C36" s="8" t="s">
        <v>64</v>
      </c>
      <c r="D36" s="9">
        <v>0</v>
      </c>
      <c r="E36" s="10"/>
    </row>
    <row r="37" spans="3:5" x14ac:dyDescent="0.3">
      <c r="C37" s="8" t="s">
        <v>65</v>
      </c>
      <c r="D37" s="9">
        <v>57.25</v>
      </c>
      <c r="E37" s="10"/>
    </row>
    <row r="38" spans="3:5" x14ac:dyDescent="0.3">
      <c r="C38" s="8" t="s">
        <v>66</v>
      </c>
      <c r="D38" s="9">
        <v>18</v>
      </c>
      <c r="E38" s="10"/>
    </row>
    <row r="39" spans="3:5" x14ac:dyDescent="0.3">
      <c r="C39" s="8" t="s">
        <v>70</v>
      </c>
      <c r="D39" s="9">
        <v>93.075000000000003</v>
      </c>
      <c r="E39" s="10"/>
    </row>
    <row r="40" spans="3:5" x14ac:dyDescent="0.3">
      <c r="C40" s="8" t="s">
        <v>21</v>
      </c>
      <c r="D40" s="9">
        <v>11.324999999999999</v>
      </c>
      <c r="E40" s="10"/>
    </row>
    <row r="41" spans="3:5" x14ac:dyDescent="0.3">
      <c r="C41" s="8" t="s">
        <v>22</v>
      </c>
      <c r="D41" s="9">
        <v>191.75</v>
      </c>
      <c r="E41" s="10"/>
    </row>
    <row r="42" spans="3:5" x14ac:dyDescent="0.3">
      <c r="C42" s="8" t="s">
        <v>67</v>
      </c>
      <c r="D42" s="9">
        <v>12.044999999999998</v>
      </c>
      <c r="E42" s="10"/>
    </row>
    <row r="43" spans="3:5" x14ac:dyDescent="0.3">
      <c r="C43" s="8" t="s">
        <v>68</v>
      </c>
      <c r="D43" s="9">
        <v>93.074999999999989</v>
      </c>
      <c r="E43" s="10"/>
    </row>
    <row r="44" spans="3:5" x14ac:dyDescent="0.3">
      <c r="C44" s="52" t="s">
        <v>71</v>
      </c>
      <c r="D44" s="53">
        <v>137.94999999999999</v>
      </c>
      <c r="E44" s="54"/>
    </row>
    <row r="45" spans="3:5" x14ac:dyDescent="0.3">
      <c r="C45" s="40" t="s">
        <v>49</v>
      </c>
      <c r="D45" s="7">
        <f>SUM(D6:D44)</f>
        <v>2369.8949999999995</v>
      </c>
      <c r="E45" s="48"/>
    </row>
    <row r="46" spans="3:5" x14ac:dyDescent="0.3">
      <c r="C46" s="40" t="s">
        <v>80</v>
      </c>
      <c r="D46" s="7">
        <v>70</v>
      </c>
      <c r="E46" s="64"/>
    </row>
    <row r="47" spans="3:5" ht="15" thickBot="1" x14ac:dyDescent="0.35">
      <c r="C47" s="42" t="s">
        <v>84</v>
      </c>
      <c r="D47" s="66">
        <f>D45/D46</f>
        <v>33.855642857142847</v>
      </c>
      <c r="E47" s="65"/>
    </row>
  </sheetData>
  <mergeCells count="4">
    <mergeCell ref="C4:C5"/>
    <mergeCell ref="D4:D5"/>
    <mergeCell ref="E4:E5"/>
    <mergeCell ref="C3:E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36871-62D6-4A11-95FC-5738AF63B9A3}">
  <dimension ref="C2:J95"/>
  <sheetViews>
    <sheetView topLeftCell="A47" zoomScale="50" zoomScaleNormal="50" workbookViewId="0">
      <selection activeCell="G95" sqref="C51:G95"/>
    </sheetView>
  </sheetViews>
  <sheetFormatPr baseColWidth="10" defaultRowHeight="14.4" x14ac:dyDescent="0.3"/>
  <cols>
    <col min="3" max="3" width="54" bestFit="1" customWidth="1"/>
    <col min="4" max="4" width="34.44140625" customWidth="1"/>
    <col min="5" max="5" width="20" customWidth="1"/>
    <col min="6" max="6" width="20.6640625" customWidth="1"/>
    <col min="7" max="7" width="21.44140625" customWidth="1"/>
    <col min="8" max="8" width="16.109375" customWidth="1"/>
  </cols>
  <sheetData>
    <row r="2" spans="3:10" ht="15" thickBot="1" x14ac:dyDescent="0.35"/>
    <row r="3" spans="3:10" x14ac:dyDescent="0.3">
      <c r="C3" s="67" t="s">
        <v>57</v>
      </c>
      <c r="D3" s="68"/>
      <c r="E3" s="68"/>
      <c r="F3" s="68"/>
      <c r="G3" s="69"/>
    </row>
    <row r="4" spans="3:10" ht="14.4" customHeight="1" x14ac:dyDescent="0.3">
      <c r="C4" s="25" t="s">
        <v>28</v>
      </c>
      <c r="D4" s="21" t="s">
        <v>52</v>
      </c>
      <c r="E4" s="21" t="s">
        <v>55</v>
      </c>
      <c r="F4" s="21" t="s">
        <v>53</v>
      </c>
      <c r="G4" s="23" t="s">
        <v>54</v>
      </c>
    </row>
    <row r="5" spans="3:10" x14ac:dyDescent="0.3">
      <c r="C5" s="26"/>
      <c r="D5" s="22"/>
      <c r="E5" s="22"/>
      <c r="F5" s="22"/>
      <c r="G5" s="24"/>
    </row>
    <row r="6" spans="3:10" x14ac:dyDescent="0.3">
      <c r="C6" s="8" t="s">
        <v>5</v>
      </c>
      <c r="D6" s="9">
        <v>65.499999999999986</v>
      </c>
      <c r="E6" s="9"/>
      <c r="F6" s="9"/>
      <c r="G6" s="10"/>
    </row>
    <row r="7" spans="3:10" x14ac:dyDescent="0.3">
      <c r="C7" s="8" t="s">
        <v>6</v>
      </c>
      <c r="D7" s="9">
        <v>9</v>
      </c>
      <c r="E7" s="9"/>
      <c r="F7" s="9"/>
      <c r="G7" s="10"/>
    </row>
    <row r="8" spans="3:10" x14ac:dyDescent="0.3">
      <c r="C8" s="8" t="s">
        <v>7</v>
      </c>
      <c r="D8" s="9">
        <v>71.53</v>
      </c>
      <c r="E8" s="9"/>
      <c r="F8" s="9"/>
      <c r="G8" s="10"/>
    </row>
    <row r="9" spans="3:10" x14ac:dyDescent="0.3">
      <c r="C9" s="8" t="s">
        <v>38</v>
      </c>
      <c r="D9" s="9">
        <v>38.25</v>
      </c>
      <c r="E9" s="9"/>
      <c r="F9" s="9"/>
      <c r="G9" s="10"/>
    </row>
    <row r="10" spans="3:10" x14ac:dyDescent="0.3">
      <c r="C10" s="8" t="s">
        <v>8</v>
      </c>
      <c r="D10" s="9">
        <v>134.47500000000002</v>
      </c>
      <c r="E10" s="9"/>
      <c r="F10" s="9"/>
      <c r="G10" s="10"/>
      <c r="J10" t="s">
        <v>48</v>
      </c>
    </row>
    <row r="11" spans="3:10" x14ac:dyDescent="0.3">
      <c r="C11" s="8" t="s">
        <v>59</v>
      </c>
      <c r="D11" s="9">
        <v>65.490000000000009</v>
      </c>
      <c r="E11" s="9"/>
      <c r="F11" s="9"/>
      <c r="G11" s="10"/>
    </row>
    <row r="12" spans="3:10" x14ac:dyDescent="0.3">
      <c r="C12" s="8" t="s">
        <v>60</v>
      </c>
      <c r="D12" s="9">
        <v>13.799999999999997</v>
      </c>
      <c r="E12" s="9"/>
      <c r="F12" s="9"/>
      <c r="G12" s="10"/>
      <c r="J12">
        <f>(0.5*5.35)*4+(0.5*5.5)*2+(((5.35*5.5)-(3*2*2))*2+(0.5*2)*8+ (0.5*3)*8) + ((6.7*3)-(3*2))*3+(0.5*3)*6+(0.5*2)*6+(6.7*0.5)*7+((2.5*6.7)-(3.5*2.25))+(0.5*3.5)*2+(0.5*2.25)</f>
        <v>165.29999999999998</v>
      </c>
    </row>
    <row r="13" spans="3:10" x14ac:dyDescent="0.3">
      <c r="C13" s="8" t="s">
        <v>61</v>
      </c>
      <c r="D13" s="9">
        <v>88.5</v>
      </c>
      <c r="E13" s="9"/>
      <c r="F13" s="9"/>
      <c r="G13" s="10"/>
    </row>
    <row r="14" spans="3:10" x14ac:dyDescent="0.3">
      <c r="C14" s="8" t="s">
        <v>9</v>
      </c>
      <c r="D14" s="9">
        <v>133.4</v>
      </c>
      <c r="E14" s="9"/>
      <c r="F14" s="9"/>
      <c r="G14" s="10"/>
      <c r="J14">
        <f>(0.5*2.5)*4+(2.5*5.5)*2</f>
        <v>32.5</v>
      </c>
    </row>
    <row r="15" spans="3:10" x14ac:dyDescent="0.3">
      <c r="C15" s="8" t="s">
        <v>39</v>
      </c>
      <c r="D15" s="9">
        <v>63.4</v>
      </c>
      <c r="E15" s="9"/>
      <c r="F15" s="9"/>
      <c r="G15" s="10"/>
    </row>
    <row r="16" spans="3:10" x14ac:dyDescent="0.3">
      <c r="C16" s="8" t="s">
        <v>10</v>
      </c>
      <c r="D16" s="9">
        <v>71.53</v>
      </c>
      <c r="E16" s="9"/>
      <c r="F16" s="9"/>
      <c r="G16" s="10"/>
    </row>
    <row r="17" spans="3:10" x14ac:dyDescent="0.3">
      <c r="C17" s="8" t="s">
        <v>40</v>
      </c>
      <c r="D17" s="9">
        <v>9</v>
      </c>
      <c r="E17" s="9"/>
      <c r="F17" s="9"/>
      <c r="G17" s="10"/>
      <c r="J17">
        <f>(2.5*3)*3+(0.5*3)*3+(0.5*3)*3+(2.5*2.5)+(2.5*0.5)*2</f>
        <v>40.25</v>
      </c>
    </row>
    <row r="18" spans="3:10" x14ac:dyDescent="0.3">
      <c r="C18" s="8" t="s">
        <v>41</v>
      </c>
      <c r="D18" s="9">
        <v>65.499999999999986</v>
      </c>
      <c r="E18" s="9"/>
      <c r="F18" s="9"/>
      <c r="G18" s="10"/>
    </row>
    <row r="19" spans="3:10" x14ac:dyDescent="0.3">
      <c r="C19" s="8" t="s">
        <v>11</v>
      </c>
      <c r="D19" s="9">
        <v>93.074999999999989</v>
      </c>
      <c r="E19" s="9"/>
      <c r="F19" s="9"/>
      <c r="G19" s="10"/>
    </row>
    <row r="20" spans="3:10" x14ac:dyDescent="0.3">
      <c r="C20" s="8" t="s">
        <v>12</v>
      </c>
      <c r="D20" s="9">
        <v>11.324999999999999</v>
      </c>
      <c r="E20" s="9"/>
      <c r="F20" s="9"/>
      <c r="G20" s="10"/>
    </row>
    <row r="21" spans="3:10" x14ac:dyDescent="0.3">
      <c r="C21" s="8" t="s">
        <v>13</v>
      </c>
      <c r="D21" s="9">
        <v>191.75</v>
      </c>
      <c r="E21" s="9"/>
      <c r="F21" s="9"/>
      <c r="G21" s="10"/>
    </row>
    <row r="22" spans="3:10" x14ac:dyDescent="0.3">
      <c r="C22" s="8" t="s">
        <v>62</v>
      </c>
      <c r="D22" s="9">
        <v>12.044999999999998</v>
      </c>
      <c r="E22" s="9"/>
      <c r="F22" s="9"/>
      <c r="G22" s="10"/>
    </row>
    <row r="23" spans="3:10" x14ac:dyDescent="0.3">
      <c r="C23" s="8" t="s">
        <v>69</v>
      </c>
      <c r="D23" s="9">
        <v>93.074999999999989</v>
      </c>
      <c r="E23" s="9"/>
      <c r="F23" s="9"/>
      <c r="G23" s="10"/>
    </row>
    <row r="24" spans="3:10" x14ac:dyDescent="0.3">
      <c r="C24" s="8" t="s">
        <v>42</v>
      </c>
      <c r="D24" s="9">
        <v>65.5</v>
      </c>
      <c r="E24" s="9"/>
      <c r="F24" s="9"/>
      <c r="G24" s="10"/>
    </row>
    <row r="25" spans="3:10" x14ac:dyDescent="0.3">
      <c r="C25" s="8" t="s">
        <v>43</v>
      </c>
      <c r="D25" s="9">
        <v>18</v>
      </c>
      <c r="E25" s="9"/>
      <c r="F25" s="9"/>
      <c r="G25" s="10"/>
    </row>
    <row r="26" spans="3:10" x14ac:dyDescent="0.3">
      <c r="C26" s="8" t="s">
        <v>44</v>
      </c>
      <c r="D26" s="9">
        <v>57.25</v>
      </c>
      <c r="E26" s="9"/>
      <c r="F26" s="9"/>
      <c r="G26" s="10"/>
    </row>
    <row r="27" spans="3:10" x14ac:dyDescent="0.3">
      <c r="C27" s="8" t="s">
        <v>45</v>
      </c>
      <c r="D27" s="9">
        <v>68.34</v>
      </c>
      <c r="E27" s="9"/>
      <c r="F27" s="9"/>
      <c r="G27" s="10"/>
    </row>
    <row r="28" spans="3:10" x14ac:dyDescent="0.3">
      <c r="C28" s="8" t="s">
        <v>15</v>
      </c>
      <c r="D28" s="9">
        <v>80.099999999999994</v>
      </c>
      <c r="E28" s="9"/>
      <c r="F28" s="9"/>
      <c r="G28" s="10"/>
    </row>
    <row r="29" spans="3:10" x14ac:dyDescent="0.3">
      <c r="C29" s="8" t="s">
        <v>17</v>
      </c>
      <c r="D29" s="9">
        <v>15.299999999999999</v>
      </c>
      <c r="E29" s="9"/>
      <c r="F29" s="9"/>
      <c r="G29" s="10"/>
    </row>
    <row r="30" spans="3:10" x14ac:dyDescent="0.3">
      <c r="C30" s="8" t="s">
        <v>46</v>
      </c>
      <c r="D30" s="9">
        <v>48.06</v>
      </c>
      <c r="E30" s="9"/>
      <c r="F30" s="9"/>
      <c r="G30" s="10"/>
    </row>
    <row r="31" spans="3:10" x14ac:dyDescent="0.3">
      <c r="C31" s="8" t="s">
        <v>47</v>
      </c>
      <c r="D31" s="9">
        <v>28.769999999999996</v>
      </c>
      <c r="E31" s="9"/>
      <c r="F31" s="9"/>
      <c r="G31" s="10"/>
    </row>
    <row r="32" spans="3:10" x14ac:dyDescent="0.3">
      <c r="C32" s="8" t="s">
        <v>18</v>
      </c>
      <c r="D32" s="9">
        <v>15.299999999999999</v>
      </c>
      <c r="E32" s="9"/>
      <c r="F32" s="9"/>
      <c r="G32" s="10"/>
    </row>
    <row r="33" spans="3:7" x14ac:dyDescent="0.3">
      <c r="C33" s="8" t="s">
        <v>19</v>
      </c>
      <c r="D33" s="9">
        <v>48.06</v>
      </c>
      <c r="E33" s="9"/>
      <c r="F33" s="9"/>
      <c r="G33" s="10"/>
    </row>
    <row r="34" spans="3:7" x14ac:dyDescent="0.3">
      <c r="C34" s="8" t="s">
        <v>20</v>
      </c>
      <c r="D34" s="9">
        <v>0</v>
      </c>
      <c r="E34" s="9"/>
      <c r="F34" s="9"/>
      <c r="G34" s="10"/>
    </row>
    <row r="35" spans="3:7" x14ac:dyDescent="0.3">
      <c r="C35" s="8" t="s">
        <v>63</v>
      </c>
      <c r="D35" s="9">
        <v>80.099999999999994</v>
      </c>
      <c r="E35" s="9"/>
      <c r="F35" s="9"/>
      <c r="G35" s="10"/>
    </row>
    <row r="36" spans="3:7" x14ac:dyDescent="0.3">
      <c r="C36" s="8" t="s">
        <v>64</v>
      </c>
      <c r="D36" s="9">
        <v>0</v>
      </c>
      <c r="E36" s="9"/>
      <c r="F36" s="9"/>
      <c r="G36" s="10"/>
    </row>
    <row r="37" spans="3:7" x14ac:dyDescent="0.3">
      <c r="C37" s="8" t="s">
        <v>65</v>
      </c>
      <c r="D37" s="9">
        <v>57.25</v>
      </c>
      <c r="E37" s="9"/>
      <c r="F37" s="9"/>
      <c r="G37" s="10"/>
    </row>
    <row r="38" spans="3:7" x14ac:dyDescent="0.3">
      <c r="C38" s="8" t="s">
        <v>66</v>
      </c>
      <c r="D38" s="9">
        <v>18</v>
      </c>
      <c r="E38" s="9"/>
      <c r="F38" s="9"/>
      <c r="G38" s="10"/>
    </row>
    <row r="39" spans="3:7" x14ac:dyDescent="0.3">
      <c r="C39" s="8" t="s">
        <v>70</v>
      </c>
      <c r="D39" s="9">
        <v>93.075000000000003</v>
      </c>
      <c r="E39" s="9"/>
      <c r="F39" s="9"/>
      <c r="G39" s="10"/>
    </row>
    <row r="40" spans="3:7" x14ac:dyDescent="0.3">
      <c r="C40" s="8" t="s">
        <v>21</v>
      </c>
      <c r="D40" s="9">
        <v>11.324999999999999</v>
      </c>
      <c r="E40" s="9"/>
      <c r="F40" s="9"/>
      <c r="G40" s="10"/>
    </row>
    <row r="41" spans="3:7" x14ac:dyDescent="0.3">
      <c r="C41" s="8" t="s">
        <v>22</v>
      </c>
      <c r="D41" s="9">
        <v>191.75</v>
      </c>
      <c r="E41" s="9"/>
      <c r="F41" s="9"/>
      <c r="G41" s="10"/>
    </row>
    <row r="42" spans="3:7" x14ac:dyDescent="0.3">
      <c r="C42" s="8" t="s">
        <v>67</v>
      </c>
      <c r="D42" s="9">
        <v>12.044999999999998</v>
      </c>
      <c r="E42" s="9"/>
      <c r="F42" s="9"/>
      <c r="G42" s="10"/>
    </row>
    <row r="43" spans="3:7" x14ac:dyDescent="0.3">
      <c r="C43" s="8" t="s">
        <v>68</v>
      </c>
      <c r="D43" s="9">
        <v>93.074999999999989</v>
      </c>
      <c r="E43" s="9"/>
      <c r="F43" s="9"/>
      <c r="G43" s="10"/>
    </row>
    <row r="44" spans="3:7" x14ac:dyDescent="0.3">
      <c r="C44" s="52" t="s">
        <v>71</v>
      </c>
      <c r="D44" s="53">
        <v>137.94999999999999</v>
      </c>
      <c r="E44" s="53"/>
      <c r="F44" s="53"/>
      <c r="G44" s="54"/>
    </row>
    <row r="45" spans="3:7" x14ac:dyDescent="0.3">
      <c r="C45" s="40" t="s">
        <v>49</v>
      </c>
      <c r="D45" s="7">
        <f>SUM(D6:D44)</f>
        <v>2369.8949999999995</v>
      </c>
      <c r="E45" s="41"/>
      <c r="F45" s="41"/>
      <c r="G45" s="48"/>
    </row>
    <row r="46" spans="3:7" x14ac:dyDescent="0.3">
      <c r="C46" s="40" t="s">
        <v>73</v>
      </c>
      <c r="D46" s="7">
        <v>6.5</v>
      </c>
      <c r="E46" s="41"/>
      <c r="F46" s="41"/>
      <c r="G46" s="56"/>
    </row>
    <row r="47" spans="3:7" ht="15" thickBot="1" x14ac:dyDescent="0.35">
      <c r="C47" s="42" t="s">
        <v>74</v>
      </c>
      <c r="D47" s="55"/>
      <c r="E47" s="43"/>
      <c r="F47" s="43"/>
      <c r="G47" s="57"/>
    </row>
    <row r="50" spans="3:7" ht="15" thickBot="1" x14ac:dyDescent="0.35"/>
    <row r="51" spans="3:7" x14ac:dyDescent="0.3">
      <c r="C51" s="67" t="s">
        <v>57</v>
      </c>
      <c r="D51" s="68"/>
      <c r="E51" s="68"/>
      <c r="F51" s="68"/>
      <c r="G51" s="69"/>
    </row>
    <row r="52" spans="3:7" ht="14.4" customHeight="1" x14ac:dyDescent="0.3">
      <c r="C52" s="25" t="s">
        <v>28</v>
      </c>
      <c r="D52" s="21" t="s">
        <v>52</v>
      </c>
      <c r="E52" s="21" t="s">
        <v>51</v>
      </c>
      <c r="F52" s="21" t="s">
        <v>53</v>
      </c>
      <c r="G52" s="23" t="s">
        <v>54</v>
      </c>
    </row>
    <row r="53" spans="3:7" x14ac:dyDescent="0.3">
      <c r="C53" s="26"/>
      <c r="D53" s="22"/>
      <c r="E53" s="22"/>
      <c r="F53" s="22"/>
      <c r="G53" s="24"/>
    </row>
    <row r="54" spans="3:7" x14ac:dyDescent="0.3">
      <c r="C54" s="8" t="s">
        <v>5</v>
      </c>
      <c r="D54" s="9">
        <v>65.499999999999986</v>
      </c>
      <c r="E54" s="9"/>
      <c r="F54" s="9"/>
      <c r="G54" s="10"/>
    </row>
    <row r="55" spans="3:7" x14ac:dyDescent="0.3">
      <c r="C55" s="8" t="s">
        <v>6</v>
      </c>
      <c r="D55" s="9">
        <v>9</v>
      </c>
      <c r="E55" s="9"/>
      <c r="F55" s="9"/>
      <c r="G55" s="10"/>
    </row>
    <row r="56" spans="3:7" x14ac:dyDescent="0.3">
      <c r="C56" s="8" t="s">
        <v>7</v>
      </c>
      <c r="D56" s="9">
        <v>71.53</v>
      </c>
      <c r="E56" s="9"/>
      <c r="F56" s="9"/>
      <c r="G56" s="10"/>
    </row>
    <row r="57" spans="3:7" x14ac:dyDescent="0.3">
      <c r="C57" s="8" t="s">
        <v>38</v>
      </c>
      <c r="D57" s="9">
        <v>38.25</v>
      </c>
      <c r="E57" s="9"/>
      <c r="F57" s="9"/>
      <c r="G57" s="10"/>
    </row>
    <row r="58" spans="3:7" x14ac:dyDescent="0.3">
      <c r="C58" s="8" t="s">
        <v>8</v>
      </c>
      <c r="D58" s="9">
        <v>134.47500000000002</v>
      </c>
      <c r="E58" s="9"/>
      <c r="F58" s="9"/>
      <c r="G58" s="10"/>
    </row>
    <row r="59" spans="3:7" x14ac:dyDescent="0.3">
      <c r="C59" s="8" t="s">
        <v>59</v>
      </c>
      <c r="D59" s="9">
        <v>65.490000000000009</v>
      </c>
      <c r="E59" s="9"/>
      <c r="F59" s="9"/>
      <c r="G59" s="10"/>
    </row>
    <row r="60" spans="3:7" x14ac:dyDescent="0.3">
      <c r="C60" s="8" t="s">
        <v>60</v>
      </c>
      <c r="D60" s="9">
        <v>13.799999999999997</v>
      </c>
      <c r="E60" s="9"/>
      <c r="F60" s="9"/>
      <c r="G60" s="10"/>
    </row>
    <row r="61" spans="3:7" x14ac:dyDescent="0.3">
      <c r="C61" s="8" t="s">
        <v>61</v>
      </c>
      <c r="D61" s="9">
        <v>88.5</v>
      </c>
      <c r="E61" s="9"/>
      <c r="F61" s="9"/>
      <c r="G61" s="10"/>
    </row>
    <row r="62" spans="3:7" x14ac:dyDescent="0.3">
      <c r="C62" s="8" t="s">
        <v>9</v>
      </c>
      <c r="D62" s="9">
        <v>133.4</v>
      </c>
      <c r="E62" s="9"/>
      <c r="F62" s="9"/>
      <c r="G62" s="10"/>
    </row>
    <row r="63" spans="3:7" x14ac:dyDescent="0.3">
      <c r="C63" s="8" t="s">
        <v>39</v>
      </c>
      <c r="D63" s="9">
        <v>63.4</v>
      </c>
      <c r="E63" s="9"/>
      <c r="F63" s="9"/>
      <c r="G63" s="10"/>
    </row>
    <row r="64" spans="3:7" x14ac:dyDescent="0.3">
      <c r="C64" s="8" t="s">
        <v>10</v>
      </c>
      <c r="D64" s="9">
        <v>71.53</v>
      </c>
      <c r="E64" s="9"/>
      <c r="F64" s="9"/>
      <c r="G64" s="10"/>
    </row>
    <row r="65" spans="3:7" x14ac:dyDescent="0.3">
      <c r="C65" s="8" t="s">
        <v>40</v>
      </c>
      <c r="D65" s="9">
        <v>9</v>
      </c>
      <c r="E65" s="9"/>
      <c r="F65" s="9"/>
      <c r="G65" s="10"/>
    </row>
    <row r="66" spans="3:7" x14ac:dyDescent="0.3">
      <c r="C66" s="8" t="s">
        <v>41</v>
      </c>
      <c r="D66" s="9">
        <v>65.499999999999986</v>
      </c>
      <c r="E66" s="9"/>
      <c r="F66" s="9"/>
      <c r="G66" s="10"/>
    </row>
    <row r="67" spans="3:7" x14ac:dyDescent="0.3">
      <c r="C67" s="8" t="s">
        <v>11</v>
      </c>
      <c r="D67" s="9">
        <v>93.074999999999989</v>
      </c>
      <c r="E67" s="9"/>
      <c r="F67" s="9"/>
      <c r="G67" s="10"/>
    </row>
    <row r="68" spans="3:7" x14ac:dyDescent="0.3">
      <c r="C68" s="8" t="s">
        <v>12</v>
      </c>
      <c r="D68" s="9">
        <v>11.324999999999999</v>
      </c>
      <c r="E68" s="9"/>
      <c r="F68" s="9"/>
      <c r="G68" s="10"/>
    </row>
    <row r="69" spans="3:7" x14ac:dyDescent="0.3">
      <c r="C69" s="8" t="s">
        <v>13</v>
      </c>
      <c r="D69" s="9">
        <v>191.75</v>
      </c>
      <c r="E69" s="9"/>
      <c r="F69" s="9"/>
      <c r="G69" s="10"/>
    </row>
    <row r="70" spans="3:7" x14ac:dyDescent="0.3">
      <c r="C70" s="8" t="s">
        <v>62</v>
      </c>
      <c r="D70" s="9">
        <v>12.044999999999998</v>
      </c>
      <c r="E70" s="9"/>
      <c r="F70" s="9"/>
      <c r="G70" s="10"/>
    </row>
    <row r="71" spans="3:7" x14ac:dyDescent="0.3">
      <c r="C71" s="8" t="s">
        <v>69</v>
      </c>
      <c r="D71" s="9">
        <v>93.074999999999989</v>
      </c>
      <c r="E71" s="9"/>
      <c r="F71" s="9"/>
      <c r="G71" s="10"/>
    </row>
    <row r="72" spans="3:7" x14ac:dyDescent="0.3">
      <c r="C72" s="8" t="s">
        <v>42</v>
      </c>
      <c r="D72" s="9">
        <v>65.5</v>
      </c>
      <c r="E72" s="9"/>
      <c r="F72" s="9"/>
      <c r="G72" s="10"/>
    </row>
    <row r="73" spans="3:7" x14ac:dyDescent="0.3">
      <c r="C73" s="8" t="s">
        <v>43</v>
      </c>
      <c r="D73" s="9">
        <v>18</v>
      </c>
      <c r="E73" s="9"/>
      <c r="F73" s="9"/>
      <c r="G73" s="10"/>
    </row>
    <row r="74" spans="3:7" x14ac:dyDescent="0.3">
      <c r="C74" s="8" t="s">
        <v>44</v>
      </c>
      <c r="D74" s="9">
        <v>57.25</v>
      </c>
      <c r="E74" s="9"/>
      <c r="F74" s="9"/>
      <c r="G74" s="10"/>
    </row>
    <row r="75" spans="3:7" x14ac:dyDescent="0.3">
      <c r="C75" s="8" t="s">
        <v>45</v>
      </c>
      <c r="D75" s="9">
        <v>68.34</v>
      </c>
      <c r="E75" s="9"/>
      <c r="F75" s="9"/>
      <c r="G75" s="10"/>
    </row>
    <row r="76" spans="3:7" x14ac:dyDescent="0.3">
      <c r="C76" s="8" t="s">
        <v>15</v>
      </c>
      <c r="D76" s="9">
        <v>80.099999999999994</v>
      </c>
      <c r="E76" s="9"/>
      <c r="F76" s="9"/>
      <c r="G76" s="10"/>
    </row>
    <row r="77" spans="3:7" x14ac:dyDescent="0.3">
      <c r="C77" s="8" t="s">
        <v>17</v>
      </c>
      <c r="D77" s="9">
        <v>15.299999999999999</v>
      </c>
      <c r="E77" s="9"/>
      <c r="F77" s="9"/>
      <c r="G77" s="10"/>
    </row>
    <row r="78" spans="3:7" x14ac:dyDescent="0.3">
      <c r="C78" s="8" t="s">
        <v>46</v>
      </c>
      <c r="D78" s="9">
        <v>48.06</v>
      </c>
      <c r="E78" s="9"/>
      <c r="F78" s="9"/>
      <c r="G78" s="10"/>
    </row>
    <row r="79" spans="3:7" x14ac:dyDescent="0.3">
      <c r="C79" s="8" t="s">
        <v>47</v>
      </c>
      <c r="D79" s="9">
        <v>28.769999999999996</v>
      </c>
      <c r="E79" s="9"/>
      <c r="F79" s="9"/>
      <c r="G79" s="10"/>
    </row>
    <row r="80" spans="3:7" x14ac:dyDescent="0.3">
      <c r="C80" s="8" t="s">
        <v>18</v>
      </c>
      <c r="D80" s="9">
        <v>15.299999999999999</v>
      </c>
      <c r="E80" s="9"/>
      <c r="F80" s="9"/>
      <c r="G80" s="10"/>
    </row>
    <row r="81" spans="3:7" x14ac:dyDescent="0.3">
      <c r="C81" s="8" t="s">
        <v>19</v>
      </c>
      <c r="D81" s="9">
        <v>48.06</v>
      </c>
      <c r="E81" s="9"/>
      <c r="F81" s="9"/>
      <c r="G81" s="10"/>
    </row>
    <row r="82" spans="3:7" x14ac:dyDescent="0.3">
      <c r="C82" s="8" t="s">
        <v>20</v>
      </c>
      <c r="D82" s="9">
        <v>0</v>
      </c>
      <c r="E82" s="9"/>
      <c r="F82" s="9"/>
      <c r="G82" s="10"/>
    </row>
    <row r="83" spans="3:7" x14ac:dyDescent="0.3">
      <c r="C83" s="8" t="s">
        <v>63</v>
      </c>
      <c r="D83" s="9">
        <v>80.099999999999994</v>
      </c>
      <c r="E83" s="9"/>
      <c r="F83" s="9"/>
      <c r="G83" s="10"/>
    </row>
    <row r="84" spans="3:7" x14ac:dyDescent="0.3">
      <c r="C84" s="8" t="s">
        <v>64</v>
      </c>
      <c r="D84" s="9">
        <v>0</v>
      </c>
      <c r="E84" s="9"/>
      <c r="F84" s="9"/>
      <c r="G84" s="10"/>
    </row>
    <row r="85" spans="3:7" x14ac:dyDescent="0.3">
      <c r="C85" s="8" t="s">
        <v>65</v>
      </c>
      <c r="D85" s="9">
        <v>57.25</v>
      </c>
      <c r="E85" s="9"/>
      <c r="F85" s="9"/>
      <c r="G85" s="10"/>
    </row>
    <row r="86" spans="3:7" x14ac:dyDescent="0.3">
      <c r="C86" s="8" t="s">
        <v>66</v>
      </c>
      <c r="D86" s="9">
        <v>18</v>
      </c>
      <c r="E86" s="9"/>
      <c r="F86" s="9"/>
      <c r="G86" s="10"/>
    </row>
    <row r="87" spans="3:7" x14ac:dyDescent="0.3">
      <c r="C87" s="8" t="s">
        <v>70</v>
      </c>
      <c r="D87" s="9">
        <v>93.075000000000003</v>
      </c>
      <c r="E87" s="9"/>
      <c r="F87" s="9"/>
      <c r="G87" s="10"/>
    </row>
    <row r="88" spans="3:7" x14ac:dyDescent="0.3">
      <c r="C88" s="8" t="s">
        <v>21</v>
      </c>
      <c r="D88" s="9">
        <v>11.324999999999999</v>
      </c>
      <c r="E88" s="9"/>
      <c r="F88" s="9"/>
      <c r="G88" s="10"/>
    </row>
    <row r="89" spans="3:7" x14ac:dyDescent="0.3">
      <c r="C89" s="8" t="s">
        <v>22</v>
      </c>
      <c r="D89" s="9">
        <v>191.75</v>
      </c>
      <c r="E89" s="9"/>
      <c r="F89" s="9"/>
      <c r="G89" s="10"/>
    </row>
    <row r="90" spans="3:7" x14ac:dyDescent="0.3">
      <c r="C90" s="8" t="s">
        <v>67</v>
      </c>
      <c r="D90" s="9">
        <v>12.044999999999998</v>
      </c>
      <c r="E90" s="9"/>
      <c r="F90" s="9"/>
      <c r="G90" s="10"/>
    </row>
    <row r="91" spans="3:7" x14ac:dyDescent="0.3">
      <c r="C91" s="8" t="s">
        <v>68</v>
      </c>
      <c r="D91" s="53">
        <v>93.074999999999989</v>
      </c>
      <c r="E91" s="9"/>
      <c r="F91" s="9"/>
      <c r="G91" s="10"/>
    </row>
    <row r="92" spans="3:7" x14ac:dyDescent="0.3">
      <c r="C92" s="70" t="s">
        <v>71</v>
      </c>
      <c r="D92" s="9">
        <v>137.94999999999999</v>
      </c>
      <c r="E92" s="58"/>
      <c r="F92" s="9"/>
      <c r="G92" s="10"/>
    </row>
    <row r="93" spans="3:7" x14ac:dyDescent="0.3">
      <c r="C93" s="49" t="s">
        <v>49</v>
      </c>
      <c r="D93" s="7">
        <f>SUM(D54:D92)</f>
        <v>2369.8949999999995</v>
      </c>
      <c r="E93" s="71"/>
      <c r="F93" s="50"/>
      <c r="G93" s="10"/>
    </row>
    <row r="94" spans="3:7" x14ac:dyDescent="0.3">
      <c r="C94" s="44" t="s">
        <v>73</v>
      </c>
      <c r="D94" s="45"/>
      <c r="E94" s="72" t="s">
        <v>87</v>
      </c>
      <c r="F94" s="50"/>
      <c r="G94" s="10"/>
    </row>
    <row r="95" spans="3:7" ht="15" thickBot="1" x14ac:dyDescent="0.35">
      <c r="C95" s="46" t="s">
        <v>86</v>
      </c>
      <c r="D95" s="60"/>
      <c r="E95" s="51"/>
      <c r="F95" s="51"/>
      <c r="G95" s="12"/>
    </row>
  </sheetData>
  <mergeCells count="14">
    <mergeCell ref="C94:D94"/>
    <mergeCell ref="C95:D95"/>
    <mergeCell ref="C51:G51"/>
    <mergeCell ref="C52:C53"/>
    <mergeCell ref="D52:D53"/>
    <mergeCell ref="E52:E53"/>
    <mergeCell ref="F52:F53"/>
    <mergeCell ref="G52:G53"/>
    <mergeCell ref="C4:C5"/>
    <mergeCell ref="D4:D5"/>
    <mergeCell ref="E4:E5"/>
    <mergeCell ref="F4:F5"/>
    <mergeCell ref="G4:G5"/>
    <mergeCell ref="C3: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E3ECB-07A7-4CBE-A7F7-03ECA58C10B6}">
  <dimension ref="C2:I49"/>
  <sheetViews>
    <sheetView zoomScale="80" zoomScaleNormal="80" workbookViewId="0">
      <selection activeCell="C3" sqref="C3:F49"/>
    </sheetView>
  </sheetViews>
  <sheetFormatPr baseColWidth="10" defaultRowHeight="14.4" x14ac:dyDescent="0.3"/>
  <cols>
    <col min="3" max="3" width="33.44140625" customWidth="1"/>
    <col min="4" max="4" width="29.33203125" customWidth="1"/>
    <col min="5" max="5" width="17.6640625" customWidth="1"/>
    <col min="6" max="6" width="20.88671875" customWidth="1"/>
    <col min="7" max="7" width="20.21875" customWidth="1"/>
    <col min="8" max="8" width="12.109375" customWidth="1"/>
    <col min="9" max="9" width="13.5546875" customWidth="1"/>
  </cols>
  <sheetData>
    <row r="2" spans="3:9" ht="15" thickBot="1" x14ac:dyDescent="0.35"/>
    <row r="3" spans="3:9" x14ac:dyDescent="0.3">
      <c r="C3" s="73" t="s">
        <v>34</v>
      </c>
      <c r="D3" s="74"/>
      <c r="E3" s="74"/>
      <c r="F3" s="75"/>
    </row>
    <row r="4" spans="3:9" ht="14.4" customHeight="1" x14ac:dyDescent="0.3">
      <c r="C4" s="25" t="s">
        <v>28</v>
      </c>
      <c r="D4" s="19" t="s">
        <v>37</v>
      </c>
      <c r="E4" s="21" t="s">
        <v>35</v>
      </c>
      <c r="F4" s="23" t="s">
        <v>36</v>
      </c>
    </row>
    <row r="5" spans="3:9" x14ac:dyDescent="0.3">
      <c r="C5" s="26"/>
      <c r="D5" s="20"/>
      <c r="E5" s="22"/>
      <c r="F5" s="24"/>
    </row>
    <row r="6" spans="3:9" x14ac:dyDescent="0.3">
      <c r="C6" s="8" t="s">
        <v>5</v>
      </c>
      <c r="D6" s="58">
        <v>99.499999999999986</v>
      </c>
      <c r="E6" s="9"/>
      <c r="F6" s="10"/>
    </row>
    <row r="7" spans="3:9" x14ac:dyDescent="0.3">
      <c r="C7" s="8" t="s">
        <v>6</v>
      </c>
      <c r="D7" s="58">
        <v>18</v>
      </c>
      <c r="E7" s="9"/>
      <c r="F7" s="10"/>
    </row>
    <row r="8" spans="3:9" x14ac:dyDescent="0.3">
      <c r="C8" s="8" t="s">
        <v>7</v>
      </c>
      <c r="D8" s="58">
        <v>105</v>
      </c>
      <c r="E8" s="9"/>
      <c r="F8" s="10"/>
    </row>
    <row r="9" spans="3:9" x14ac:dyDescent="0.3">
      <c r="C9" s="8" t="s">
        <v>38</v>
      </c>
      <c r="D9" s="58">
        <v>38.25</v>
      </c>
      <c r="E9" s="9"/>
      <c r="F9" s="10"/>
    </row>
    <row r="10" spans="3:9" x14ac:dyDescent="0.3">
      <c r="C10" s="8" t="s">
        <v>8</v>
      </c>
      <c r="D10" s="58">
        <v>134.47500000000002</v>
      </c>
      <c r="E10" s="9"/>
      <c r="F10" s="10"/>
      <c r="I10" t="s">
        <v>48</v>
      </c>
    </row>
    <row r="11" spans="3:9" x14ac:dyDescent="0.3">
      <c r="C11" s="8" t="s">
        <v>59</v>
      </c>
      <c r="D11" s="58">
        <v>65.490000000000009</v>
      </c>
      <c r="E11" s="9"/>
      <c r="F11" s="10"/>
    </row>
    <row r="12" spans="3:9" x14ac:dyDescent="0.3">
      <c r="C12" s="8" t="s">
        <v>60</v>
      </c>
      <c r="D12" s="58">
        <v>13.799999999999997</v>
      </c>
      <c r="E12" s="9"/>
      <c r="F12" s="10"/>
      <c r="I12">
        <f>(0.5*5.35)*4+(0.5*5.5)*2+(((5.35*5.5)-(3*2*2))*2+(0.5*2)*8+ (0.5*3)*8) + ((6.7*3)-(3*2))*3+(0.5*3)*6+(0.5*2)*6+(6.7*0.5)*7+((2.5*6.7)-(3.5*2.25))+(0.5*3.5)*2+(0.5*2.25)</f>
        <v>165.29999999999998</v>
      </c>
    </row>
    <row r="13" spans="3:9" x14ac:dyDescent="0.3">
      <c r="C13" s="8" t="s">
        <v>61</v>
      </c>
      <c r="D13" s="58">
        <v>88.5</v>
      </c>
      <c r="E13" s="9"/>
      <c r="F13" s="10"/>
    </row>
    <row r="14" spans="3:9" x14ac:dyDescent="0.3">
      <c r="C14" s="8" t="s">
        <v>9</v>
      </c>
      <c r="D14" s="58">
        <v>133.39999999999998</v>
      </c>
      <c r="E14" s="9"/>
      <c r="F14" s="10"/>
      <c r="I14">
        <f>(0.5*2.5)*4+(2.5*5.5)*2</f>
        <v>32.5</v>
      </c>
    </row>
    <row r="15" spans="3:9" x14ac:dyDescent="0.3">
      <c r="C15" s="8" t="s">
        <v>39</v>
      </c>
      <c r="D15" s="58">
        <v>63.4</v>
      </c>
      <c r="E15" s="9"/>
      <c r="F15" s="10"/>
    </row>
    <row r="16" spans="3:9" x14ac:dyDescent="0.3">
      <c r="C16" s="8" t="s">
        <v>10</v>
      </c>
      <c r="D16" s="58">
        <v>168.4</v>
      </c>
      <c r="E16" s="9"/>
      <c r="F16" s="10"/>
    </row>
    <row r="17" spans="3:9" x14ac:dyDescent="0.3">
      <c r="C17" s="8" t="s">
        <v>40</v>
      </c>
      <c r="D17" s="58">
        <v>18</v>
      </c>
      <c r="E17" s="9"/>
      <c r="F17" s="10"/>
      <c r="I17">
        <f>(2.5*3)*3+(0.5*3)*3+(0.5*3)*3+(2.5*2.5)+(2.5*0.5)*2</f>
        <v>40.25</v>
      </c>
    </row>
    <row r="18" spans="3:9" x14ac:dyDescent="0.3">
      <c r="C18" s="8" t="s">
        <v>41</v>
      </c>
      <c r="D18" s="58">
        <v>99.5</v>
      </c>
      <c r="E18" s="9"/>
      <c r="F18" s="10"/>
    </row>
    <row r="19" spans="3:9" x14ac:dyDescent="0.3">
      <c r="C19" s="8" t="s">
        <v>11</v>
      </c>
      <c r="D19" s="58">
        <v>129.255</v>
      </c>
      <c r="E19" s="9"/>
      <c r="F19" s="10"/>
    </row>
    <row r="20" spans="3:9" x14ac:dyDescent="0.3">
      <c r="C20" s="8" t="s">
        <v>12</v>
      </c>
      <c r="D20" s="58">
        <v>11.324999999999999</v>
      </c>
      <c r="E20" s="9"/>
      <c r="F20" s="10"/>
    </row>
    <row r="21" spans="3:9" x14ac:dyDescent="0.3">
      <c r="C21" s="8" t="s">
        <v>13</v>
      </c>
      <c r="D21" s="58">
        <v>191.75</v>
      </c>
      <c r="E21" s="9"/>
      <c r="F21" s="10"/>
    </row>
    <row r="22" spans="3:9" x14ac:dyDescent="0.3">
      <c r="C22" s="8" t="s">
        <v>62</v>
      </c>
      <c r="D22" s="58">
        <v>12.044999999999998</v>
      </c>
      <c r="E22" s="9"/>
      <c r="F22" s="10"/>
    </row>
    <row r="23" spans="3:9" x14ac:dyDescent="0.3">
      <c r="C23" s="8" t="s">
        <v>69</v>
      </c>
      <c r="D23" s="58">
        <v>129.255</v>
      </c>
      <c r="E23" s="9"/>
      <c r="F23" s="10"/>
    </row>
    <row r="24" spans="3:9" x14ac:dyDescent="0.3">
      <c r="C24" s="8" t="s">
        <v>42</v>
      </c>
      <c r="D24" s="58">
        <v>99.499999999999986</v>
      </c>
      <c r="E24" s="9"/>
      <c r="F24" s="10"/>
    </row>
    <row r="25" spans="3:9" x14ac:dyDescent="0.3">
      <c r="C25" s="8" t="s">
        <v>43</v>
      </c>
      <c r="D25" s="58">
        <v>36</v>
      </c>
      <c r="E25" s="9"/>
      <c r="F25" s="10"/>
    </row>
    <row r="26" spans="3:9" x14ac:dyDescent="0.3">
      <c r="C26" s="8" t="s">
        <v>44</v>
      </c>
      <c r="D26" s="58">
        <v>93</v>
      </c>
      <c r="E26" s="9"/>
      <c r="F26" s="10"/>
    </row>
    <row r="27" spans="3:9" x14ac:dyDescent="0.3">
      <c r="C27" s="8" t="s">
        <v>45</v>
      </c>
      <c r="D27" s="9">
        <v>68.34</v>
      </c>
      <c r="E27" s="9"/>
      <c r="F27" s="10"/>
    </row>
    <row r="28" spans="3:9" x14ac:dyDescent="0.3">
      <c r="C28" s="8" t="s">
        <v>15</v>
      </c>
      <c r="D28" s="9">
        <v>80.099999999999994</v>
      </c>
      <c r="E28" s="9"/>
      <c r="F28" s="10"/>
    </row>
    <row r="29" spans="3:9" x14ac:dyDescent="0.3">
      <c r="C29" s="8" t="s">
        <v>17</v>
      </c>
      <c r="D29" s="9">
        <v>15.299999999999999</v>
      </c>
      <c r="E29" s="9"/>
      <c r="F29" s="10"/>
    </row>
    <row r="30" spans="3:9" x14ac:dyDescent="0.3">
      <c r="C30" s="8" t="s">
        <v>46</v>
      </c>
      <c r="D30" s="9">
        <v>48.06</v>
      </c>
      <c r="E30" s="9"/>
      <c r="F30" s="10"/>
    </row>
    <row r="31" spans="3:9" x14ac:dyDescent="0.3">
      <c r="C31" s="8" t="s">
        <v>47</v>
      </c>
      <c r="D31" s="9">
        <v>28.769999999999996</v>
      </c>
      <c r="E31" s="9"/>
      <c r="F31" s="10"/>
    </row>
    <row r="32" spans="3:9" x14ac:dyDescent="0.3">
      <c r="C32" s="8" t="s">
        <v>18</v>
      </c>
      <c r="D32" s="9">
        <v>15.299999999999999</v>
      </c>
      <c r="E32" s="9"/>
      <c r="F32" s="10"/>
    </row>
    <row r="33" spans="3:6" x14ac:dyDescent="0.3">
      <c r="C33" s="8" t="s">
        <v>19</v>
      </c>
      <c r="D33" s="9">
        <v>48.06</v>
      </c>
      <c r="E33" s="9"/>
      <c r="F33" s="10"/>
    </row>
    <row r="34" spans="3:6" x14ac:dyDescent="0.3">
      <c r="C34" s="8" t="s">
        <v>20</v>
      </c>
      <c r="D34" s="58">
        <v>30.599999999999998</v>
      </c>
      <c r="E34" s="9"/>
      <c r="F34" s="10"/>
    </row>
    <row r="35" spans="3:6" x14ac:dyDescent="0.3">
      <c r="C35" s="8" t="s">
        <v>63</v>
      </c>
      <c r="D35" s="9">
        <v>80.099999999999994</v>
      </c>
      <c r="E35" s="9"/>
      <c r="F35" s="10"/>
    </row>
    <row r="36" spans="3:6" x14ac:dyDescent="0.3">
      <c r="C36" s="8" t="s">
        <v>64</v>
      </c>
      <c r="D36" s="58">
        <v>88.74</v>
      </c>
      <c r="E36" s="9"/>
      <c r="F36" s="10"/>
    </row>
    <row r="37" spans="3:6" x14ac:dyDescent="0.3">
      <c r="C37" s="8" t="s">
        <v>65</v>
      </c>
      <c r="D37" s="58">
        <v>93</v>
      </c>
      <c r="E37" s="9"/>
      <c r="F37" s="10"/>
    </row>
    <row r="38" spans="3:6" x14ac:dyDescent="0.3">
      <c r="C38" s="8" t="s">
        <v>66</v>
      </c>
      <c r="D38" s="58">
        <v>36</v>
      </c>
      <c r="E38" s="9"/>
      <c r="F38" s="10"/>
    </row>
    <row r="39" spans="3:6" x14ac:dyDescent="0.3">
      <c r="C39" s="8" t="s">
        <v>70</v>
      </c>
      <c r="D39" s="58">
        <v>129.255</v>
      </c>
      <c r="E39" s="9"/>
      <c r="F39" s="10"/>
    </row>
    <row r="40" spans="3:6" x14ac:dyDescent="0.3">
      <c r="C40" s="8" t="s">
        <v>21</v>
      </c>
      <c r="D40" s="58">
        <v>11.324999999999999</v>
      </c>
      <c r="E40" s="9"/>
      <c r="F40" s="10"/>
    </row>
    <row r="41" spans="3:6" x14ac:dyDescent="0.3">
      <c r="C41" s="8" t="s">
        <v>22</v>
      </c>
      <c r="D41" s="58">
        <v>191.75</v>
      </c>
      <c r="E41" s="9"/>
      <c r="F41" s="10"/>
    </row>
    <row r="42" spans="3:6" x14ac:dyDescent="0.3">
      <c r="C42" s="8" t="s">
        <v>67</v>
      </c>
      <c r="D42" s="58">
        <v>12.044999999999998</v>
      </c>
      <c r="E42" s="9"/>
      <c r="F42" s="10"/>
    </row>
    <row r="43" spans="3:6" x14ac:dyDescent="0.3">
      <c r="C43" s="8" t="s">
        <v>68</v>
      </c>
      <c r="D43" s="58">
        <v>129.255</v>
      </c>
      <c r="E43" s="9"/>
      <c r="F43" s="10"/>
    </row>
    <row r="44" spans="3:6" x14ac:dyDescent="0.3">
      <c r="C44" s="52" t="s">
        <v>71</v>
      </c>
      <c r="D44" s="58">
        <v>99.499999999999986</v>
      </c>
      <c r="E44" s="9"/>
      <c r="F44" s="10"/>
    </row>
    <row r="45" spans="3:6" x14ac:dyDescent="0.3">
      <c r="C45" s="40" t="s">
        <v>49</v>
      </c>
      <c r="D45" s="15">
        <v>2953.3449999999998</v>
      </c>
      <c r="E45" s="7"/>
      <c r="F45" s="10"/>
    </row>
    <row r="46" spans="3:6" x14ac:dyDescent="0.3">
      <c r="C46" s="44" t="s">
        <v>50</v>
      </c>
      <c r="D46" s="45"/>
      <c r="E46" s="7">
        <v>1500</v>
      </c>
      <c r="F46" s="10"/>
    </row>
    <row r="47" spans="3:6" x14ac:dyDescent="0.3">
      <c r="C47" s="44" t="s">
        <v>75</v>
      </c>
      <c r="D47" s="45"/>
      <c r="E47" s="7">
        <v>3000</v>
      </c>
      <c r="F47" s="10"/>
    </row>
    <row r="48" spans="3:6" x14ac:dyDescent="0.3">
      <c r="C48" s="44" t="s">
        <v>76</v>
      </c>
      <c r="D48" s="45"/>
      <c r="E48" s="7">
        <f>D45/E46</f>
        <v>1.9688966666666665</v>
      </c>
      <c r="F48" s="10"/>
    </row>
    <row r="49" spans="3:6" ht="15" thickBot="1" x14ac:dyDescent="0.35">
      <c r="C49" s="46" t="s">
        <v>77</v>
      </c>
      <c r="D49" s="47"/>
      <c r="E49" s="11">
        <f>D45/E47</f>
        <v>0.98444833333333326</v>
      </c>
      <c r="F49" s="12"/>
    </row>
  </sheetData>
  <mergeCells count="9">
    <mergeCell ref="E4:E5"/>
    <mergeCell ref="F4:F5"/>
    <mergeCell ref="D4:D5"/>
    <mergeCell ref="C4:C5"/>
    <mergeCell ref="C3:F3"/>
    <mergeCell ref="C46:D46"/>
    <mergeCell ref="C47:D47"/>
    <mergeCell ref="C48:D48"/>
    <mergeCell ref="C49:D4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F06DB-7C57-44F7-A912-8BA06F5160F4}">
  <dimension ref="B2:L68"/>
  <sheetViews>
    <sheetView tabSelected="1" topLeftCell="A29" zoomScale="70" zoomScaleNormal="70" workbookViewId="0">
      <selection activeCell="K47" sqref="C3:K47"/>
    </sheetView>
  </sheetViews>
  <sheetFormatPr baseColWidth="10" defaultRowHeight="14.4" x14ac:dyDescent="0.3"/>
  <cols>
    <col min="3" max="3" width="12.88671875" customWidth="1"/>
  </cols>
  <sheetData>
    <row r="2" spans="2:11" ht="15" thickBot="1" x14ac:dyDescent="0.35"/>
    <row r="3" spans="2:11" x14ac:dyDescent="0.3">
      <c r="C3" s="73" t="s">
        <v>23</v>
      </c>
      <c r="D3" s="74"/>
      <c r="E3" s="74"/>
      <c r="F3" s="74"/>
      <c r="G3" s="74"/>
      <c r="H3" s="74"/>
      <c r="I3" s="74"/>
      <c r="J3" s="74"/>
      <c r="K3" s="75"/>
    </row>
    <row r="4" spans="2:11" ht="14.4" customHeight="1" x14ac:dyDescent="0.3">
      <c r="C4" s="76" t="s">
        <v>28</v>
      </c>
      <c r="D4" s="77" t="s">
        <v>29</v>
      </c>
      <c r="E4" s="78"/>
      <c r="F4" s="79"/>
      <c r="G4" s="77" t="s">
        <v>30</v>
      </c>
      <c r="H4" s="78"/>
      <c r="I4" s="79"/>
      <c r="J4" s="80" t="s">
        <v>4</v>
      </c>
      <c r="K4" s="81" t="s">
        <v>32</v>
      </c>
    </row>
    <row r="5" spans="2:11" x14ac:dyDescent="0.3">
      <c r="C5" s="82"/>
      <c r="D5" s="83" t="s">
        <v>0</v>
      </c>
      <c r="E5" s="83" t="s">
        <v>1</v>
      </c>
      <c r="F5" s="83" t="s">
        <v>2</v>
      </c>
      <c r="G5" s="83" t="s">
        <v>0</v>
      </c>
      <c r="H5" s="83" t="s">
        <v>3</v>
      </c>
      <c r="I5" s="83" t="s">
        <v>2</v>
      </c>
      <c r="J5" s="84"/>
      <c r="K5" s="85"/>
    </row>
    <row r="6" spans="2:11" x14ac:dyDescent="0.3">
      <c r="B6">
        <v>1</v>
      </c>
      <c r="C6" s="8" t="s">
        <v>5</v>
      </c>
      <c r="D6" s="9">
        <v>1.8</v>
      </c>
      <c r="E6" s="9">
        <v>1.5</v>
      </c>
      <c r="F6" s="9">
        <v>11</v>
      </c>
      <c r="G6" s="9"/>
      <c r="H6" s="9"/>
      <c r="I6" s="9"/>
      <c r="J6" s="9">
        <f>(D6+E6*2)*F6+(G6+H6*2)*I6</f>
        <v>52.8</v>
      </c>
      <c r="K6" s="10"/>
    </row>
    <row r="7" spans="2:11" x14ac:dyDescent="0.3">
      <c r="B7">
        <v>2</v>
      </c>
      <c r="C7" s="8" t="s">
        <v>6</v>
      </c>
      <c r="D7" s="9"/>
      <c r="E7" s="9"/>
      <c r="F7" s="9"/>
      <c r="G7" s="9"/>
      <c r="H7" s="9"/>
      <c r="I7" s="9"/>
      <c r="J7" s="9">
        <f t="shared" ref="J7:J44" si="0">(D7+E7*2)*F7+(G7+H7*2)*I7</f>
        <v>0</v>
      </c>
      <c r="K7" s="10"/>
    </row>
    <row r="8" spans="2:11" x14ac:dyDescent="0.3">
      <c r="B8">
        <v>3</v>
      </c>
      <c r="C8" s="8" t="s">
        <v>7</v>
      </c>
      <c r="D8" s="9"/>
      <c r="E8" s="9"/>
      <c r="F8" s="9"/>
      <c r="G8" s="9"/>
      <c r="H8" s="9"/>
      <c r="I8" s="9"/>
      <c r="J8" s="9">
        <f t="shared" si="0"/>
        <v>0</v>
      </c>
      <c r="K8" s="10"/>
    </row>
    <row r="9" spans="2:11" x14ac:dyDescent="0.3">
      <c r="B9">
        <v>4</v>
      </c>
      <c r="C9" s="8" t="s">
        <v>38</v>
      </c>
      <c r="D9" s="9"/>
      <c r="E9" s="9"/>
      <c r="F9" s="9"/>
      <c r="G9" s="9"/>
      <c r="H9" s="9"/>
      <c r="I9" s="9"/>
      <c r="J9" s="9">
        <f t="shared" si="0"/>
        <v>0</v>
      </c>
      <c r="K9" s="10"/>
    </row>
    <row r="10" spans="2:11" x14ac:dyDescent="0.3">
      <c r="B10">
        <v>5</v>
      </c>
      <c r="C10" s="8" t="s">
        <v>8</v>
      </c>
      <c r="D10" s="9">
        <v>2.4</v>
      </c>
      <c r="E10" s="9">
        <v>1.5</v>
      </c>
      <c r="F10" s="9">
        <v>10</v>
      </c>
      <c r="G10" s="9">
        <v>1.5</v>
      </c>
      <c r="H10" s="9">
        <v>1.2</v>
      </c>
      <c r="I10" s="9">
        <v>11</v>
      </c>
      <c r="J10" s="9">
        <f t="shared" si="0"/>
        <v>96.9</v>
      </c>
      <c r="K10" s="10"/>
    </row>
    <row r="11" spans="2:11" x14ac:dyDescent="0.3">
      <c r="B11">
        <v>6</v>
      </c>
      <c r="C11" s="8" t="s">
        <v>59</v>
      </c>
      <c r="D11" s="9"/>
      <c r="E11" s="9"/>
      <c r="F11" s="9"/>
      <c r="G11" s="9"/>
      <c r="H11" s="9"/>
      <c r="I11" s="9"/>
      <c r="J11" s="9">
        <f t="shared" si="0"/>
        <v>0</v>
      </c>
      <c r="K11" s="10"/>
    </row>
    <row r="12" spans="2:11" x14ac:dyDescent="0.3">
      <c r="B12">
        <v>7</v>
      </c>
      <c r="C12" s="8" t="s">
        <v>60</v>
      </c>
      <c r="D12" s="9"/>
      <c r="E12" s="9"/>
      <c r="F12" s="9"/>
      <c r="G12" s="9"/>
      <c r="H12" s="9"/>
      <c r="I12" s="9"/>
      <c r="J12" s="9">
        <f t="shared" si="0"/>
        <v>0</v>
      </c>
      <c r="K12" s="10"/>
    </row>
    <row r="13" spans="2:11" x14ac:dyDescent="0.3">
      <c r="B13">
        <v>8</v>
      </c>
      <c r="C13" s="8" t="s">
        <v>61</v>
      </c>
      <c r="D13" s="9"/>
      <c r="E13" s="9"/>
      <c r="F13" s="9"/>
      <c r="G13" s="9"/>
      <c r="H13" s="9"/>
      <c r="I13" s="9"/>
      <c r="J13" s="9">
        <f t="shared" si="0"/>
        <v>0</v>
      </c>
      <c r="K13" s="10"/>
    </row>
    <row r="14" spans="2:11" x14ac:dyDescent="0.3">
      <c r="B14">
        <v>9</v>
      </c>
      <c r="C14" s="8" t="s">
        <v>9</v>
      </c>
      <c r="D14" s="9">
        <v>1.8</v>
      </c>
      <c r="E14" s="9">
        <v>1.3</v>
      </c>
      <c r="F14" s="9">
        <v>10</v>
      </c>
      <c r="G14" s="9"/>
      <c r="H14" s="9"/>
      <c r="I14" s="9"/>
      <c r="J14" s="9">
        <f t="shared" si="0"/>
        <v>44</v>
      </c>
      <c r="K14" s="10"/>
    </row>
    <row r="15" spans="2:11" x14ac:dyDescent="0.3">
      <c r="B15">
        <v>10</v>
      </c>
      <c r="C15" s="8" t="s">
        <v>39</v>
      </c>
      <c r="D15" s="9"/>
      <c r="E15" s="9"/>
      <c r="F15" s="9"/>
      <c r="G15" s="9"/>
      <c r="H15" s="9"/>
      <c r="I15" s="9"/>
      <c r="J15" s="9">
        <f t="shared" si="0"/>
        <v>0</v>
      </c>
      <c r="K15" s="10"/>
    </row>
    <row r="16" spans="2:11" x14ac:dyDescent="0.3">
      <c r="B16">
        <v>11</v>
      </c>
      <c r="C16" s="8" t="s">
        <v>10</v>
      </c>
      <c r="D16" s="9"/>
      <c r="E16" s="9"/>
      <c r="F16" s="9"/>
      <c r="G16" s="9"/>
      <c r="H16" s="9"/>
      <c r="I16" s="9"/>
      <c r="J16" s="9">
        <f t="shared" si="0"/>
        <v>0</v>
      </c>
      <c r="K16" s="10"/>
    </row>
    <row r="17" spans="2:11" x14ac:dyDescent="0.3">
      <c r="B17">
        <v>12</v>
      </c>
      <c r="C17" s="8" t="s">
        <v>40</v>
      </c>
      <c r="D17" s="9"/>
      <c r="E17" s="9"/>
      <c r="F17" s="9"/>
      <c r="G17" s="9"/>
      <c r="H17" s="9"/>
      <c r="I17" s="9"/>
      <c r="J17" s="9">
        <f t="shared" si="0"/>
        <v>0</v>
      </c>
      <c r="K17" s="10"/>
    </row>
    <row r="18" spans="2:11" x14ac:dyDescent="0.3">
      <c r="B18">
        <v>13</v>
      </c>
      <c r="C18" s="8" t="s">
        <v>41</v>
      </c>
      <c r="D18" s="9">
        <v>1.8</v>
      </c>
      <c r="E18" s="9">
        <v>1.5</v>
      </c>
      <c r="F18" s="9">
        <v>11</v>
      </c>
      <c r="G18" s="9"/>
      <c r="H18" s="9"/>
      <c r="I18" s="9"/>
      <c r="J18" s="9">
        <f t="shared" si="0"/>
        <v>52.8</v>
      </c>
      <c r="K18" s="10"/>
    </row>
    <row r="19" spans="2:11" x14ac:dyDescent="0.3">
      <c r="B19">
        <v>14</v>
      </c>
      <c r="C19" s="8" t="s">
        <v>11</v>
      </c>
      <c r="D19" s="9">
        <v>0.6</v>
      </c>
      <c r="E19" s="9">
        <v>1.2</v>
      </c>
      <c r="F19" s="9">
        <v>11</v>
      </c>
      <c r="G19" s="9"/>
      <c r="H19" s="9"/>
      <c r="I19" s="9"/>
      <c r="J19" s="9">
        <f t="shared" si="0"/>
        <v>33</v>
      </c>
      <c r="K19" s="10"/>
    </row>
    <row r="20" spans="2:11" x14ac:dyDescent="0.3">
      <c r="B20">
        <v>15</v>
      </c>
      <c r="C20" s="8" t="s">
        <v>12</v>
      </c>
      <c r="D20" s="9">
        <v>1.8</v>
      </c>
      <c r="E20" s="9">
        <v>0.6</v>
      </c>
      <c r="F20" s="9">
        <v>10</v>
      </c>
      <c r="G20" s="9"/>
      <c r="H20" s="9"/>
      <c r="I20" s="9"/>
      <c r="J20" s="9">
        <f t="shared" si="0"/>
        <v>30</v>
      </c>
      <c r="K20" s="10"/>
    </row>
    <row r="21" spans="2:11" x14ac:dyDescent="0.3">
      <c r="B21">
        <v>16</v>
      </c>
      <c r="C21" s="8" t="s">
        <v>13</v>
      </c>
      <c r="D21" s="9"/>
      <c r="E21" s="9"/>
      <c r="F21" s="9"/>
      <c r="G21" s="9"/>
      <c r="H21" s="9"/>
      <c r="I21" s="9"/>
      <c r="J21" s="9">
        <f t="shared" si="0"/>
        <v>0</v>
      </c>
      <c r="K21" s="10"/>
    </row>
    <row r="22" spans="2:11" x14ac:dyDescent="0.3">
      <c r="B22">
        <v>17</v>
      </c>
      <c r="C22" s="8" t="s">
        <v>62</v>
      </c>
      <c r="D22" s="9">
        <v>1.8</v>
      </c>
      <c r="E22" s="9">
        <v>0.56000000000000005</v>
      </c>
      <c r="F22" s="9">
        <v>10</v>
      </c>
      <c r="G22" s="9"/>
      <c r="H22" s="9"/>
      <c r="I22" s="9"/>
      <c r="J22" s="9">
        <f t="shared" si="0"/>
        <v>29.2</v>
      </c>
      <c r="K22" s="10"/>
    </row>
    <row r="23" spans="2:11" x14ac:dyDescent="0.3">
      <c r="B23">
        <v>18</v>
      </c>
      <c r="C23" s="8" t="s">
        <v>69</v>
      </c>
      <c r="D23" s="9">
        <v>0.6</v>
      </c>
      <c r="E23" s="9">
        <v>1.2</v>
      </c>
      <c r="F23" s="9">
        <v>11</v>
      </c>
      <c r="G23" s="9"/>
      <c r="H23" s="9"/>
      <c r="I23" s="9"/>
      <c r="J23" s="9">
        <f t="shared" si="0"/>
        <v>33</v>
      </c>
      <c r="K23" s="10"/>
    </row>
    <row r="24" spans="2:11" x14ac:dyDescent="0.3">
      <c r="B24">
        <v>19</v>
      </c>
      <c r="C24" s="8" t="s">
        <v>42</v>
      </c>
      <c r="D24" s="9">
        <v>1.8</v>
      </c>
      <c r="E24" s="9">
        <v>1.5</v>
      </c>
      <c r="F24" s="9">
        <v>11</v>
      </c>
      <c r="G24" s="9"/>
      <c r="H24" s="9"/>
      <c r="I24" s="9"/>
      <c r="J24" s="9">
        <f t="shared" si="0"/>
        <v>52.8</v>
      </c>
      <c r="K24" s="10"/>
    </row>
    <row r="25" spans="2:11" x14ac:dyDescent="0.3">
      <c r="B25">
        <v>20</v>
      </c>
      <c r="C25" s="8" t="s">
        <v>43</v>
      </c>
      <c r="D25" s="9"/>
      <c r="E25" s="9"/>
      <c r="F25" s="9"/>
      <c r="G25" s="9"/>
      <c r="H25" s="9"/>
      <c r="I25" s="9"/>
      <c r="J25" s="9">
        <f t="shared" si="0"/>
        <v>0</v>
      </c>
      <c r="K25" s="10"/>
    </row>
    <row r="26" spans="2:11" x14ac:dyDescent="0.3">
      <c r="B26">
        <v>21</v>
      </c>
      <c r="C26" s="8" t="s">
        <v>44</v>
      </c>
      <c r="D26" s="9"/>
      <c r="E26" s="9"/>
      <c r="F26" s="9"/>
      <c r="G26" s="9"/>
      <c r="H26" s="9"/>
      <c r="I26" s="9"/>
      <c r="J26" s="9">
        <f t="shared" si="0"/>
        <v>0</v>
      </c>
      <c r="K26" s="10"/>
    </row>
    <row r="27" spans="2:11" x14ac:dyDescent="0.3">
      <c r="B27">
        <v>22</v>
      </c>
      <c r="C27" s="8" t="s">
        <v>45</v>
      </c>
      <c r="D27" s="9"/>
      <c r="E27" s="9"/>
      <c r="F27" s="9"/>
      <c r="G27" s="9"/>
      <c r="H27" s="9"/>
      <c r="I27" s="9"/>
      <c r="J27" s="9">
        <f t="shared" si="0"/>
        <v>0</v>
      </c>
      <c r="K27" s="10"/>
    </row>
    <row r="28" spans="2:11" x14ac:dyDescent="0.3">
      <c r="B28">
        <v>23</v>
      </c>
      <c r="C28" s="8" t="s">
        <v>15</v>
      </c>
      <c r="D28" s="9"/>
      <c r="E28" s="9"/>
      <c r="F28" s="9"/>
      <c r="G28" s="9"/>
      <c r="H28" s="9"/>
      <c r="I28" s="9"/>
      <c r="J28" s="9">
        <f t="shared" si="0"/>
        <v>0</v>
      </c>
      <c r="K28" s="10"/>
    </row>
    <row r="29" spans="2:11" x14ac:dyDescent="0.3">
      <c r="B29">
        <v>24</v>
      </c>
      <c r="C29" s="8" t="s">
        <v>17</v>
      </c>
      <c r="D29" s="9"/>
      <c r="E29" s="9"/>
      <c r="F29" s="9"/>
      <c r="G29" s="9"/>
      <c r="H29" s="9"/>
      <c r="I29" s="9"/>
      <c r="J29" s="9">
        <f t="shared" si="0"/>
        <v>0</v>
      </c>
      <c r="K29" s="10"/>
    </row>
    <row r="30" spans="2:11" x14ac:dyDescent="0.3">
      <c r="B30">
        <v>25</v>
      </c>
      <c r="C30" s="8" t="s">
        <v>46</v>
      </c>
      <c r="D30" s="9"/>
      <c r="E30" s="9"/>
      <c r="F30" s="9"/>
      <c r="G30" s="9"/>
      <c r="H30" s="9"/>
      <c r="I30" s="9"/>
      <c r="J30" s="9">
        <f t="shared" si="0"/>
        <v>0</v>
      </c>
      <c r="K30" s="10"/>
    </row>
    <row r="31" spans="2:11" x14ac:dyDescent="0.3">
      <c r="B31">
        <v>26</v>
      </c>
      <c r="C31" s="8" t="s">
        <v>47</v>
      </c>
      <c r="D31" s="9">
        <v>1.8</v>
      </c>
      <c r="E31" s="9">
        <v>1.5</v>
      </c>
      <c r="F31" s="9">
        <v>20</v>
      </c>
      <c r="G31" s="9"/>
      <c r="H31" s="9"/>
      <c r="I31" s="9"/>
      <c r="J31" s="9">
        <f t="shared" si="0"/>
        <v>96</v>
      </c>
      <c r="K31" s="10"/>
    </row>
    <row r="32" spans="2:11" x14ac:dyDescent="0.3">
      <c r="B32">
        <v>27</v>
      </c>
      <c r="C32" s="8" t="s">
        <v>18</v>
      </c>
      <c r="D32" s="9"/>
      <c r="E32" s="9"/>
      <c r="F32" s="9"/>
      <c r="G32" s="9"/>
      <c r="H32" s="9"/>
      <c r="I32" s="9"/>
      <c r="J32" s="9">
        <f t="shared" si="0"/>
        <v>0</v>
      </c>
      <c r="K32" s="10"/>
    </row>
    <row r="33" spans="2:11" x14ac:dyDescent="0.3">
      <c r="B33">
        <v>28</v>
      </c>
      <c r="C33" s="8" t="s">
        <v>19</v>
      </c>
      <c r="D33" s="9"/>
      <c r="E33" s="9"/>
      <c r="F33" s="9"/>
      <c r="G33" s="9"/>
      <c r="H33" s="9"/>
      <c r="I33" s="9"/>
      <c r="J33" s="9">
        <f t="shared" si="0"/>
        <v>0</v>
      </c>
      <c r="K33" s="10"/>
    </row>
    <row r="34" spans="2:11" x14ac:dyDescent="0.3">
      <c r="B34">
        <v>29</v>
      </c>
      <c r="C34" s="8" t="s">
        <v>20</v>
      </c>
      <c r="D34" s="9"/>
      <c r="E34" s="9"/>
      <c r="F34" s="9"/>
      <c r="G34" s="9"/>
      <c r="H34" s="9"/>
      <c r="I34" s="9"/>
      <c r="J34" s="9">
        <f t="shared" si="0"/>
        <v>0</v>
      </c>
      <c r="K34" s="10"/>
    </row>
    <row r="35" spans="2:11" x14ac:dyDescent="0.3">
      <c r="B35">
        <v>30</v>
      </c>
      <c r="C35" s="8" t="s">
        <v>63</v>
      </c>
      <c r="D35" s="9"/>
      <c r="E35" s="9"/>
      <c r="F35" s="9"/>
      <c r="G35" s="9"/>
      <c r="H35" s="9"/>
      <c r="I35" s="9"/>
      <c r="J35" s="9">
        <f t="shared" si="0"/>
        <v>0</v>
      </c>
      <c r="K35" s="10"/>
    </row>
    <row r="36" spans="2:11" x14ac:dyDescent="0.3">
      <c r="B36">
        <v>31</v>
      </c>
      <c r="C36" s="8" t="s">
        <v>64</v>
      </c>
      <c r="D36" s="9"/>
      <c r="E36" s="9"/>
      <c r="F36" s="9"/>
      <c r="G36" s="9"/>
      <c r="H36" s="9"/>
      <c r="I36" s="9"/>
      <c r="J36" s="9">
        <f t="shared" si="0"/>
        <v>0</v>
      </c>
      <c r="K36" s="10"/>
    </row>
    <row r="37" spans="2:11" x14ac:dyDescent="0.3">
      <c r="B37">
        <v>32</v>
      </c>
      <c r="C37" s="8" t="s">
        <v>65</v>
      </c>
      <c r="D37" s="9"/>
      <c r="E37" s="9"/>
      <c r="F37" s="9"/>
      <c r="G37" s="9"/>
      <c r="H37" s="9"/>
      <c r="I37" s="9"/>
      <c r="J37" s="9">
        <f t="shared" si="0"/>
        <v>0</v>
      </c>
      <c r="K37" s="10"/>
    </row>
    <row r="38" spans="2:11" x14ac:dyDescent="0.3">
      <c r="B38">
        <v>33</v>
      </c>
      <c r="C38" s="8" t="s">
        <v>66</v>
      </c>
      <c r="D38" s="9"/>
      <c r="E38" s="9"/>
      <c r="F38" s="9"/>
      <c r="G38" s="9"/>
      <c r="H38" s="9"/>
      <c r="I38" s="9"/>
      <c r="J38" s="9">
        <f t="shared" si="0"/>
        <v>0</v>
      </c>
      <c r="K38" s="10"/>
    </row>
    <row r="39" spans="2:11" x14ac:dyDescent="0.3">
      <c r="B39">
        <v>34</v>
      </c>
      <c r="C39" s="8" t="s">
        <v>70</v>
      </c>
      <c r="D39" s="9">
        <v>0.6</v>
      </c>
      <c r="E39" s="9">
        <v>1.2</v>
      </c>
      <c r="F39" s="9">
        <v>11</v>
      </c>
      <c r="G39" s="9"/>
      <c r="H39" s="9"/>
      <c r="I39" s="9"/>
      <c r="J39" s="9">
        <f t="shared" si="0"/>
        <v>33</v>
      </c>
      <c r="K39" s="10"/>
    </row>
    <row r="40" spans="2:11" x14ac:dyDescent="0.3">
      <c r="B40">
        <v>35</v>
      </c>
      <c r="C40" s="8" t="s">
        <v>21</v>
      </c>
      <c r="D40" s="9">
        <v>1.8</v>
      </c>
      <c r="E40" s="9">
        <v>0.6</v>
      </c>
      <c r="F40" s="9">
        <v>10</v>
      </c>
      <c r="G40" s="9"/>
      <c r="H40" s="9"/>
      <c r="I40" s="9"/>
      <c r="J40" s="9">
        <f t="shared" si="0"/>
        <v>30</v>
      </c>
      <c r="K40" s="10"/>
    </row>
    <row r="41" spans="2:11" x14ac:dyDescent="0.3">
      <c r="B41">
        <v>36</v>
      </c>
      <c r="C41" s="8" t="s">
        <v>22</v>
      </c>
      <c r="D41" s="9"/>
      <c r="E41" s="9"/>
      <c r="F41" s="9"/>
      <c r="G41" s="9"/>
      <c r="H41" s="9"/>
      <c r="I41" s="9"/>
      <c r="J41" s="9">
        <f t="shared" si="0"/>
        <v>0</v>
      </c>
      <c r="K41" s="10"/>
    </row>
    <row r="42" spans="2:11" x14ac:dyDescent="0.3">
      <c r="B42">
        <v>37</v>
      </c>
      <c r="C42" s="8" t="s">
        <v>67</v>
      </c>
      <c r="D42" s="9">
        <v>1.8</v>
      </c>
      <c r="E42" s="9">
        <v>0.56000000000000005</v>
      </c>
      <c r="F42" s="9">
        <v>10</v>
      </c>
      <c r="G42" s="9"/>
      <c r="H42" s="9"/>
      <c r="I42" s="9"/>
      <c r="J42" s="9">
        <f t="shared" si="0"/>
        <v>29.2</v>
      </c>
      <c r="K42" s="10"/>
    </row>
    <row r="43" spans="2:11" x14ac:dyDescent="0.3">
      <c r="B43">
        <v>38</v>
      </c>
      <c r="C43" s="8" t="s">
        <v>68</v>
      </c>
      <c r="D43" s="9">
        <v>0.6</v>
      </c>
      <c r="E43" s="9">
        <v>1.2</v>
      </c>
      <c r="F43" s="9">
        <v>11</v>
      </c>
      <c r="G43" s="9"/>
      <c r="H43" s="9"/>
      <c r="I43" s="9"/>
      <c r="J43" s="9">
        <f t="shared" si="0"/>
        <v>33</v>
      </c>
      <c r="K43" s="10"/>
    </row>
    <row r="44" spans="2:11" x14ac:dyDescent="0.3">
      <c r="B44">
        <v>39</v>
      </c>
      <c r="C44" s="52" t="s">
        <v>71</v>
      </c>
      <c r="D44" s="9">
        <v>1.8</v>
      </c>
      <c r="E44" s="9">
        <v>1.5</v>
      </c>
      <c r="F44" s="9">
        <v>11</v>
      </c>
      <c r="G44" s="9"/>
      <c r="H44" s="9"/>
      <c r="I44" s="9"/>
      <c r="J44" s="9">
        <f t="shared" si="0"/>
        <v>52.8</v>
      </c>
      <c r="K44" s="10"/>
    </row>
    <row r="45" spans="2:11" x14ac:dyDescent="0.3">
      <c r="C45" s="44" t="s">
        <v>25</v>
      </c>
      <c r="D45" s="59"/>
      <c r="E45" s="59"/>
      <c r="F45" s="59"/>
      <c r="G45" s="59"/>
      <c r="H45" s="59"/>
      <c r="I45" s="45"/>
      <c r="J45" s="7">
        <f>SUM(J6:J44)</f>
        <v>698.5</v>
      </c>
      <c r="K45" s="10"/>
    </row>
    <row r="46" spans="2:11" ht="15" thickBot="1" x14ac:dyDescent="0.35">
      <c r="C46" s="46" t="s">
        <v>26</v>
      </c>
      <c r="D46" s="60"/>
      <c r="E46" s="60"/>
      <c r="F46" s="60"/>
      <c r="G46" s="60"/>
      <c r="H46" s="60"/>
      <c r="I46" s="47"/>
      <c r="J46" s="11">
        <v>35</v>
      </c>
      <c r="K46" s="12"/>
    </row>
    <row r="47" spans="2:11" ht="15" thickBot="1" x14ac:dyDescent="0.35">
      <c r="C47" s="61" t="s">
        <v>33</v>
      </c>
      <c r="D47" s="62"/>
      <c r="E47" s="62"/>
      <c r="F47" s="62"/>
      <c r="G47" s="62"/>
      <c r="H47" s="62"/>
      <c r="I47" s="63"/>
      <c r="J47" s="13">
        <f>J45/J46</f>
        <v>19.957142857142856</v>
      </c>
      <c r="K47" s="14"/>
    </row>
    <row r="49" spans="3:12" ht="15" thickBot="1" x14ac:dyDescent="0.35"/>
    <row r="50" spans="3:12" ht="15" thickBot="1" x14ac:dyDescent="0.35">
      <c r="L50" s="18"/>
    </row>
    <row r="51" spans="3:12" x14ac:dyDescent="0.3">
      <c r="C51" s="16" t="s">
        <v>23</v>
      </c>
      <c r="D51" s="17"/>
      <c r="E51" s="17"/>
      <c r="F51" s="17"/>
      <c r="G51" s="17"/>
      <c r="H51" s="17"/>
      <c r="I51" s="17"/>
      <c r="J51" s="17"/>
      <c r="K51" s="17"/>
      <c r="L51" s="38" t="s">
        <v>4</v>
      </c>
    </row>
    <row r="52" spans="3:12" x14ac:dyDescent="0.3">
      <c r="C52" s="31" t="s">
        <v>28</v>
      </c>
      <c r="D52" s="33" t="s">
        <v>29</v>
      </c>
      <c r="E52" s="34"/>
      <c r="F52" s="35"/>
      <c r="G52" s="33" t="s">
        <v>30</v>
      </c>
      <c r="H52" s="34"/>
      <c r="I52" s="35"/>
      <c r="J52" s="36" t="s">
        <v>31</v>
      </c>
      <c r="K52" s="36" t="s">
        <v>14</v>
      </c>
      <c r="L52" s="39"/>
    </row>
    <row r="53" spans="3:12" x14ac:dyDescent="0.3">
      <c r="C53" s="32"/>
      <c r="D53" s="3" t="s">
        <v>0</v>
      </c>
      <c r="E53" s="3" t="s">
        <v>1</v>
      </c>
      <c r="F53" s="3" t="s">
        <v>2</v>
      </c>
      <c r="G53" s="3" t="s">
        <v>0</v>
      </c>
      <c r="H53" s="3" t="s">
        <v>3</v>
      </c>
      <c r="I53" s="3" t="s">
        <v>2</v>
      </c>
      <c r="J53" s="37"/>
      <c r="K53" s="37"/>
      <c r="L53" s="6">
        <f t="shared" ref="L53:L63" si="1">(D54*2+E54*2)*F54+(G54*2+H54*2)*I54+J54*K54</f>
        <v>217.20000000000002</v>
      </c>
    </row>
    <row r="54" spans="3:12" x14ac:dyDescent="0.3">
      <c r="C54" s="4" t="s">
        <v>11</v>
      </c>
      <c r="D54" s="5">
        <v>1.37</v>
      </c>
      <c r="E54" s="5">
        <v>2.25</v>
      </c>
      <c r="F54" s="5">
        <v>30</v>
      </c>
      <c r="G54" s="5"/>
      <c r="H54" s="5"/>
      <c r="I54" s="5"/>
      <c r="J54" s="5"/>
      <c r="K54" s="5"/>
      <c r="L54" s="6">
        <f t="shared" si="1"/>
        <v>78.399999999999991</v>
      </c>
    </row>
    <row r="55" spans="3:12" x14ac:dyDescent="0.3">
      <c r="C55" s="4" t="s">
        <v>12</v>
      </c>
      <c r="D55" s="5">
        <v>1.4</v>
      </c>
      <c r="E55" s="5">
        <v>1.4</v>
      </c>
      <c r="F55" s="5">
        <v>14</v>
      </c>
      <c r="G55" s="5"/>
      <c r="H55" s="5"/>
      <c r="I55" s="5"/>
      <c r="J55" s="5"/>
      <c r="K55" s="5"/>
      <c r="L55" s="6">
        <f t="shared" si="1"/>
        <v>217.20000000000002</v>
      </c>
    </row>
    <row r="56" spans="3:12" x14ac:dyDescent="0.3">
      <c r="C56" s="4" t="s">
        <v>13</v>
      </c>
      <c r="D56" s="5">
        <v>1.37</v>
      </c>
      <c r="E56" s="5">
        <v>2.25</v>
      </c>
      <c r="F56" s="5">
        <v>30</v>
      </c>
      <c r="G56" s="5"/>
      <c r="H56" s="5"/>
      <c r="I56" s="5"/>
      <c r="J56" s="5"/>
      <c r="K56" s="5"/>
      <c r="L56" s="6">
        <f t="shared" si="1"/>
        <v>80.699999999999989</v>
      </c>
    </row>
    <row r="57" spans="3:12" x14ac:dyDescent="0.3">
      <c r="C57" s="4" t="s">
        <v>15</v>
      </c>
      <c r="D57" s="5">
        <v>1.4</v>
      </c>
      <c r="E57" s="5">
        <v>1.24</v>
      </c>
      <c r="F57" s="5">
        <v>15</v>
      </c>
      <c r="G57" s="5"/>
      <c r="H57" s="5"/>
      <c r="I57" s="5"/>
      <c r="J57" s="5">
        <v>0.1</v>
      </c>
      <c r="K57" s="5">
        <v>15</v>
      </c>
      <c r="L57" s="6">
        <f t="shared" si="1"/>
        <v>70.5</v>
      </c>
    </row>
    <row r="58" spans="3:12" x14ac:dyDescent="0.3">
      <c r="C58" s="4" t="s">
        <v>16</v>
      </c>
      <c r="D58" s="5">
        <v>1.4</v>
      </c>
      <c r="E58" s="5">
        <v>0.9</v>
      </c>
      <c r="F58" s="5">
        <v>15</v>
      </c>
      <c r="G58" s="5"/>
      <c r="H58" s="5"/>
      <c r="I58" s="5"/>
      <c r="J58" s="5">
        <v>0.1</v>
      </c>
      <c r="K58" s="5">
        <v>15</v>
      </c>
      <c r="L58" s="6">
        <f t="shared" si="1"/>
        <v>85.5</v>
      </c>
    </row>
    <row r="59" spans="3:12" x14ac:dyDescent="0.3">
      <c r="C59" s="4" t="s">
        <v>17</v>
      </c>
      <c r="D59" s="5">
        <v>1.4</v>
      </c>
      <c r="E59" s="5">
        <v>1.4</v>
      </c>
      <c r="F59" s="5">
        <v>15</v>
      </c>
      <c r="G59" s="5"/>
      <c r="H59" s="5"/>
      <c r="I59" s="5"/>
      <c r="J59" s="5">
        <v>0.1</v>
      </c>
      <c r="K59" s="5">
        <v>15</v>
      </c>
      <c r="L59" s="6">
        <f t="shared" si="1"/>
        <v>117.9</v>
      </c>
    </row>
    <row r="60" spans="3:12" x14ac:dyDescent="0.3">
      <c r="C60" s="4" t="s">
        <v>18</v>
      </c>
      <c r="D60" s="5">
        <v>1.33</v>
      </c>
      <c r="E60" s="5">
        <v>0.8</v>
      </c>
      <c r="F60" s="5">
        <v>15</v>
      </c>
      <c r="G60" s="5">
        <v>0.9</v>
      </c>
      <c r="H60" s="5">
        <v>0.8</v>
      </c>
      <c r="I60" s="5">
        <v>15</v>
      </c>
      <c r="J60" s="5">
        <v>0.2</v>
      </c>
      <c r="K60" s="5">
        <v>15</v>
      </c>
      <c r="L60" s="6">
        <f t="shared" si="1"/>
        <v>25.5</v>
      </c>
    </row>
    <row r="61" spans="3:12" x14ac:dyDescent="0.3">
      <c r="C61" s="4" t="s">
        <v>19</v>
      </c>
      <c r="D61" s="5">
        <v>0.4</v>
      </c>
      <c r="E61" s="5">
        <v>0.4</v>
      </c>
      <c r="F61" s="5">
        <v>15</v>
      </c>
      <c r="G61" s="5"/>
      <c r="H61" s="5"/>
      <c r="I61" s="5"/>
      <c r="J61" s="5">
        <v>0.1</v>
      </c>
      <c r="K61" s="5">
        <v>15</v>
      </c>
      <c r="L61" s="6">
        <f t="shared" si="1"/>
        <v>114</v>
      </c>
    </row>
    <row r="62" spans="3:12" x14ac:dyDescent="0.3">
      <c r="C62" s="4" t="s">
        <v>20</v>
      </c>
      <c r="D62" s="5">
        <v>1.3</v>
      </c>
      <c r="E62" s="5">
        <v>1.4</v>
      </c>
      <c r="F62" s="5">
        <v>15</v>
      </c>
      <c r="G62" s="5">
        <v>0.4</v>
      </c>
      <c r="H62" s="5">
        <v>0.6</v>
      </c>
      <c r="I62" s="5">
        <v>15</v>
      </c>
      <c r="J62" s="5">
        <v>0.2</v>
      </c>
      <c r="K62" s="5">
        <v>15</v>
      </c>
      <c r="L62" s="6">
        <f t="shared" si="1"/>
        <v>162</v>
      </c>
    </row>
    <row r="63" spans="3:12" x14ac:dyDescent="0.3">
      <c r="C63" s="4" t="s">
        <v>21</v>
      </c>
      <c r="D63" s="5">
        <v>1.3</v>
      </c>
      <c r="E63" s="5">
        <v>1.4</v>
      </c>
      <c r="F63" s="5">
        <v>15</v>
      </c>
      <c r="G63" s="5">
        <v>1.2</v>
      </c>
      <c r="H63" s="5">
        <v>1.4</v>
      </c>
      <c r="I63" s="5">
        <v>15</v>
      </c>
      <c r="J63" s="5">
        <v>0.2</v>
      </c>
      <c r="K63" s="5">
        <v>15</v>
      </c>
      <c r="L63" s="6">
        <f t="shared" si="1"/>
        <v>162</v>
      </c>
    </row>
    <row r="64" spans="3:12" x14ac:dyDescent="0.3">
      <c r="C64" s="4" t="s">
        <v>22</v>
      </c>
      <c r="D64" s="5">
        <v>1.3</v>
      </c>
      <c r="E64" s="5">
        <v>1.4</v>
      </c>
      <c r="F64" s="5">
        <v>15</v>
      </c>
      <c r="G64" s="5">
        <v>1.2</v>
      </c>
      <c r="H64" s="5">
        <v>1.4</v>
      </c>
      <c r="I64" s="5">
        <v>15</v>
      </c>
      <c r="J64" s="5">
        <v>0.2</v>
      </c>
      <c r="K64" s="5">
        <v>15</v>
      </c>
      <c r="L64" s="6">
        <f>D65*F65</f>
        <v>36</v>
      </c>
    </row>
    <row r="65" spans="3:12" x14ac:dyDescent="0.3">
      <c r="C65" s="4" t="s">
        <v>24</v>
      </c>
      <c r="D65" s="5">
        <v>6</v>
      </c>
      <c r="E65" s="5"/>
      <c r="F65" s="5">
        <v>6</v>
      </c>
      <c r="G65" s="5"/>
      <c r="H65" s="5"/>
      <c r="I65" s="5"/>
      <c r="J65" s="5"/>
      <c r="K65" s="5"/>
      <c r="L65" s="1">
        <f>SUM(L53:L64)</f>
        <v>1366.9</v>
      </c>
    </row>
    <row r="66" spans="3:12" x14ac:dyDescent="0.3">
      <c r="C66" s="27" t="s">
        <v>25</v>
      </c>
      <c r="D66" s="28"/>
      <c r="E66" s="28"/>
      <c r="F66" s="28"/>
      <c r="G66" s="28"/>
      <c r="H66" s="28"/>
      <c r="I66" s="28"/>
      <c r="J66" s="28"/>
      <c r="K66" s="28"/>
      <c r="L66" s="1">
        <v>50</v>
      </c>
    </row>
    <row r="67" spans="3:12" ht="15" thickBot="1" x14ac:dyDescent="0.35">
      <c r="C67" s="27" t="s">
        <v>26</v>
      </c>
      <c r="D67" s="28"/>
      <c r="E67" s="28"/>
      <c r="F67" s="28"/>
      <c r="G67" s="28"/>
      <c r="H67" s="28"/>
      <c r="I67" s="28"/>
      <c r="J67" s="28"/>
      <c r="K67" s="28"/>
      <c r="L67" s="2">
        <f>L65/L66</f>
        <v>27.338000000000001</v>
      </c>
    </row>
    <row r="68" spans="3:12" ht="15" thickBot="1" x14ac:dyDescent="0.35">
      <c r="C68" s="29" t="s">
        <v>27</v>
      </c>
      <c r="D68" s="30"/>
      <c r="E68" s="30"/>
      <c r="F68" s="30"/>
      <c r="G68" s="30"/>
      <c r="H68" s="30"/>
      <c r="I68" s="30"/>
      <c r="J68" s="30"/>
      <c r="K68" s="30"/>
    </row>
  </sheetData>
  <mergeCells count="18">
    <mergeCell ref="C3:K3"/>
    <mergeCell ref="C45:I45"/>
    <mergeCell ref="C46:I46"/>
    <mergeCell ref="C47:I47"/>
    <mergeCell ref="C4:C5"/>
    <mergeCell ref="G4:I4"/>
    <mergeCell ref="J4:J5"/>
    <mergeCell ref="C66:K66"/>
    <mergeCell ref="C67:K67"/>
    <mergeCell ref="C68:K68"/>
    <mergeCell ref="K4:K5"/>
    <mergeCell ref="C52:C53"/>
    <mergeCell ref="D52:F52"/>
    <mergeCell ref="G52:I52"/>
    <mergeCell ref="J52:J53"/>
    <mergeCell ref="K52:K53"/>
    <mergeCell ref="L51:L52"/>
    <mergeCell ref="D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Resane Sicoplast</vt:lpstr>
      <vt:lpstr>SILICONITE</vt:lpstr>
      <vt:lpstr>PINTURA</vt:lpstr>
      <vt:lpstr>Pasta de nivelación</vt:lpstr>
      <vt:lpstr>Lavado de fachadas</vt:lpstr>
      <vt:lpstr>Sello Ventaneria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Estefania Osorno Sarmiento</dc:creator>
  <cp:lastModifiedBy>Andrés Felipe Montoya Osorio</cp:lastModifiedBy>
  <dcterms:created xsi:type="dcterms:W3CDTF">2025-01-31T17:44:00Z</dcterms:created>
  <dcterms:modified xsi:type="dcterms:W3CDTF">2025-04-21T13:23:52Z</dcterms:modified>
</cp:coreProperties>
</file>