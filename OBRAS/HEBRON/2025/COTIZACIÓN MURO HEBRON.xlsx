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8_{8745C2C9-C626-45C8-BCA2-A32954D8FF0B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COTIZACIÓN PARTE BLANCA" sheetId="3" r:id="rId1"/>
    <sheet name="COTIZACIÓN PARTE NEGRA" sheetId="2" r:id="rId2"/>
    <sheet name="COTIZACIÓN BARANDAS" sheetId="6" r:id="rId3"/>
    <sheet name="COTIZACIÓN PERSIANAS" sheetId="7" r:id="rId4"/>
  </sheets>
  <definedNames>
    <definedName name="_xlnm.Print_Area" localSheetId="2">'COTIZACIÓN BARANDAS'!$A$1:$G$12</definedName>
    <definedName name="_xlnm.Print_Area" localSheetId="0">'COTIZACIÓN PARTE BLANCA'!$A$1:$G$15</definedName>
    <definedName name="_xlnm.Print_Area" localSheetId="1">'COTIZACIÓN PARTE NEGRA'!$A$1:$G$14</definedName>
    <definedName name="_xlnm.Print_Area" localSheetId="3">'COTIZACIÓN PERSIANAS'!$A$1:$G$12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3" l="1"/>
  <c r="G18" i="3"/>
  <c r="G17" i="3" s="1"/>
  <c r="G16" i="6"/>
  <c r="G16" i="7"/>
  <c r="G13" i="7"/>
  <c r="G12" i="7" s="1"/>
  <c r="G15" i="7"/>
  <c r="G14" i="7" s="1"/>
  <c r="G11" i="7"/>
  <c r="G9" i="7"/>
  <c r="G15" i="6"/>
  <c r="G14" i="6" s="1"/>
  <c r="G13" i="6"/>
  <c r="G12" i="6" s="1"/>
  <c r="G11" i="6"/>
  <c r="G9" i="6" s="1"/>
  <c r="G18" i="7" l="1"/>
  <c r="G17" i="7"/>
  <c r="G19" i="7"/>
  <c r="G20" i="7" s="1"/>
  <c r="G19" i="6"/>
  <c r="G20" i="6" s="1"/>
  <c r="G17" i="6"/>
  <c r="G18" i="6"/>
  <c r="G21" i="7" l="1"/>
  <c r="G22" i="7" s="1"/>
  <c r="G21" i="6"/>
  <c r="G22" i="6" s="1"/>
  <c r="G14" i="3" l="1"/>
  <c r="G20" i="3"/>
  <c r="G19" i="3" s="1"/>
  <c r="G16" i="3"/>
  <c r="G15" i="3" s="1"/>
  <c r="G13" i="3"/>
  <c r="G11" i="3"/>
  <c r="G9" i="3" s="1"/>
  <c r="G12" i="3" l="1"/>
  <c r="G13" i="2"/>
  <c r="G19" i="2"/>
  <c r="G18" i="2" s="1"/>
  <c r="G24" i="3" l="1"/>
  <c r="G25" i="3" s="1"/>
  <c r="G23" i="3"/>
  <c r="G22" i="3"/>
  <c r="G17" i="2"/>
  <c r="G16" i="2" s="1"/>
  <c r="G20" i="2" s="1"/>
  <c r="G26" i="3" l="1"/>
  <c r="G27" i="3" s="1"/>
  <c r="G15" i="2"/>
  <c r="G14" i="2" s="1"/>
  <c r="G12" i="2" l="1"/>
  <c r="G11" i="2"/>
  <c r="G9" i="2" l="1"/>
  <c r="G21" i="2" l="1"/>
  <c r="G23" i="2"/>
  <c r="G24" i="2" s="1"/>
  <c r="G22" i="2"/>
  <c r="G25" i="2" l="1"/>
  <c r="G26" i="2" s="1"/>
  <c r="G29" i="3" s="1"/>
</calcChain>
</file>

<file path=xl/sharedStrings.xml><?xml version="1.0" encoding="utf-8"?>
<sst xmlns="http://schemas.openxmlformats.org/spreadsheetml/2006/main" count="187" uniqueCount="62">
  <si>
    <t>CAPT</t>
  </si>
  <si>
    <t>ITEMS</t>
  </si>
  <si>
    <t>ACTIVIDAD</t>
  </si>
  <si>
    <t>UNIDAD</t>
  </si>
  <si>
    <t>CANTIDAD</t>
  </si>
  <si>
    <t>VR UNITARIO</t>
  </si>
  <si>
    <t>VALOR DIRECTO ACTIVIDAD</t>
  </si>
  <si>
    <t>M2</t>
  </si>
  <si>
    <t>ML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</si>
  <si>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</si>
  <si>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</si>
  <si>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</si>
  <si>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</si>
  <si>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</si>
  <si>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</si>
  <si>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</si>
  <si>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DIRECCION:</t>
  </si>
  <si>
    <t>CORREO:</t>
  </si>
  <si>
    <t>TELEFONO:</t>
  </si>
  <si>
    <t>+57 310 461 7353</t>
  </si>
  <si>
    <t>CODIGO: FH-F-02</t>
  </si>
  <si>
    <t xml:space="preserve"> PRELIMINARES DE OBRA</t>
  </si>
  <si>
    <t xml:space="preserve"> VERSIÓN: 01</t>
  </si>
  <si>
    <t>1.1</t>
  </si>
  <si>
    <t>GB</t>
  </si>
  <si>
    <t>1.2</t>
  </si>
  <si>
    <t>2.1</t>
  </si>
  <si>
    <t>2.2</t>
  </si>
  <si>
    <t>3.1</t>
  </si>
  <si>
    <t>LIMPIEZA Y ALISTAMIENTO DE SUPERFICIES</t>
  </si>
  <si>
    <t>OBRAS DE PINTURA EN MUROS DE FACHADA</t>
  </si>
  <si>
    <t>4.1</t>
  </si>
  <si>
    <t>5.1</t>
  </si>
  <si>
    <t>LIMPIEZA Y ASEO GENERAL</t>
  </si>
  <si>
    <t>CERRAMIENTO PROVISIONAL Y SENALIZACION DE LAS OBRAS A INTERVENIR. EN CERRAMIENTO CON SENALIZACION RESPECTIVA VISIBLE DEL AREA A INTERVENIR QUE IMPIDA PASO DE PEATONES O VEHICULOS PARA EVITAR RIESGOS DE ACCIDENTES</t>
  </si>
  <si>
    <t xml:space="preserve">SUMINSTRO Y APLICACIÓN DE PINTURA A DOS MANOS DE KORAZA PRO 550 SOBRE TODA LA SUPERFICIE EN GENERAL CON COLORES APROBADOS </t>
  </si>
  <si>
    <t>CANTIDADES DE OBRA Y ESPECIFICACIONES TECNICAS PARA ACTIVIDADES DE RESTAURACIÓN INTEGRAL EN FACHADAS</t>
  </si>
  <si>
    <t>LAVADO COMPLETO Y GENERAL DE LAS SUPERFICIES EXTERNAS CON HIPOCLORITO DE SODIO AL 10%. (CON AGUA EN PROPORCION 1 A 3 ) UNA PARTE DE HIPOCLORITO POR 3 PARTES DE AGUA</t>
  </si>
  <si>
    <t>EN EL TRANSCURSO DE LA EJECUCION Y AL FINAL DE LA OBRA, LIMPIEZA GENERAL Y DESALOJO DE TODO EL MATERIAL SOBRANTE Y DESPERDICIOS</t>
  </si>
  <si>
    <t>CONSTRUCCION CAMPAMENTO PROVISIONAL | ESPACIO PARA GUARDAR MATERIALES Y HERRAMIENTAS</t>
  </si>
  <si>
    <t>OTROS</t>
  </si>
  <si>
    <t>SUMINISTRO E INSTALACIÓN DE SUPERBOARD PARA REPARACIÓN PUNTUAL EN AREA DE BUITRON</t>
  </si>
  <si>
    <t>GLB</t>
  </si>
  <si>
    <t>SUMINISTRO Y APLICACIÓN DE ESMALTE SINTETICO TIPO PINTULUX 3 EN 1</t>
  </si>
  <si>
    <t>PINTURA BARANDAS</t>
  </si>
  <si>
    <t>SUMINISTRO Y APLICACIÓN DE ESMALTE SINTETICO TIPO PINTULUX 3 EN 1 EN AREA DE PERSIANAS</t>
  </si>
  <si>
    <t>CONJUNTO CERRADO HEBRON</t>
  </si>
  <si>
    <t>Calle 19 Norte 18-64 Ed. Atlantis piso 3 local 7</t>
  </si>
  <si>
    <t>Gerencia@freshouse.com.co</t>
  </si>
  <si>
    <t xml:space="preserve">  FECHA:                        12/07/2025</t>
  </si>
  <si>
    <t xml:space="preserve">  VALIDO HASTA:           12/10/2025</t>
  </si>
  <si>
    <t>PRESUPUESTO PARA RESTAURACIÓN DE MURO Y CARPINTERIA METALICA</t>
  </si>
  <si>
    <t>PINTURA PERSIANAS</t>
  </si>
  <si>
    <t>Alistamiento de fachada paneles de madera, incluye reposición de tornilleria anclajes, lijado e imprimación de madera y sello general</t>
  </si>
  <si>
    <t>Construcción campamento provisional | espacio para guardar materiales y herramientas</t>
  </si>
  <si>
    <t>Cerramiento provisional y señalización de las obras a intervenir. En cerramiento con señalización respectiva visible del área a intervenir que impida paso de peatones o vehículos para evitar riesgos de accidentes</t>
  </si>
  <si>
    <t>Aplicación de pintura en superficie de paneles de fachada</t>
  </si>
  <si>
    <t>ACABADO FINAL PANELES DE FACHADA</t>
  </si>
  <si>
    <t>CORRECCIÓN DE PENDIENTE E IMPERMEABILIZACIÓN</t>
  </si>
  <si>
    <t>Resane con Mortero Listo e Impermeabilización con Pintuco Fill</t>
  </si>
  <si>
    <t>Tratamiento de dilataciones con sello hibrido Multibond Soudal incluye resane de superficie con Tex joint y Estuco acrílico y lijado de superficie</t>
  </si>
  <si>
    <t>En el transcurso de la ejecución y al final de la obra, limpieza general y desalojo de todo el material sobrante y desperdicios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</si>
</sst>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</cellStyleXfs>
  <cellXfs count="89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left" vertical="center" wrapText="1"/>
    </xf>
    <xf numFmtId="164" fontId="3" fillId="10" borderId="1" xfId="0" applyNumberFormat="1" applyFont="1" applyFill="1" applyBorder="1" applyAlignment="1">
      <alignment horizontal="left" vertical="center" wrapText="1"/>
    </xf>
    <xf numFmtId="164" fontId="10" fillId="9" borderId="3" xfId="0" applyNumberFormat="1" applyFont="1" applyFill="1" applyBorder="1" applyAlignment="1">
      <alignment horizontal="left" vertical="center" wrapText="1"/>
    </xf>
    <xf numFmtId="164" fontId="10" fillId="8" borderId="3" xfId="0" applyNumberFormat="1" applyFont="1" applyFill="1" applyBorder="1" applyAlignment="1">
      <alignment horizontal="left" vertical="center" wrapText="1"/>
    </xf>
    <xf numFmtId="164" fontId="10" fillId="10" borderId="4" xfId="0" applyNumberFormat="1" applyFont="1" applyFill="1" applyBorder="1" applyAlignment="1">
      <alignment horizontal="left" vertical="center" wrapText="1"/>
    </xf>
    <xf numFmtId="165" fontId="3" fillId="0" borderId="1" xfId="1" applyNumberFormat="1" applyFont="1" applyFill="1" applyBorder="1" applyAlignment="1">
      <alignment vertical="center"/>
    </xf>
    <xf numFmtId="165" fontId="10" fillId="9" borderId="3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11" borderId="1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165" fontId="3" fillId="0" borderId="6" xfId="1" applyNumberFormat="1" applyFont="1" applyFill="1" applyBorder="1" applyAlignment="1">
      <alignment vertical="center"/>
    </xf>
    <xf numFmtId="164" fontId="3" fillId="0" borderId="6" xfId="0" applyNumberFormat="1" applyFont="1" applyBorder="1" applyAlignment="1">
      <alignment horizontal="left" vertical="center" wrapText="1"/>
    </xf>
    <xf numFmtId="164" fontId="10" fillId="10" borderId="6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43" fontId="3" fillId="0" borderId="1" xfId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3" fontId="11" fillId="2" borderId="20" xfId="1" applyFont="1" applyFill="1" applyBorder="1" applyAlignment="1">
      <alignment horizontal="center" vertical="center"/>
    </xf>
    <xf numFmtId="43" fontId="11" fillId="2" borderId="4" xfId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</cellXfs>
  <cellStyles count="5">
    <cellStyle name="Millares" xfId="1" builtinId="3"/>
    <cellStyle name="Moneda" xfId="2" builtinId="4"/>
    <cellStyle name="Normal" xfId="0" builtinId="0"/>
    <cellStyle name="Normal 2" xfId="4" xr:uid="{A3F06B0A-08CE-463A-AE68-10E93FCE8195}"/>
    <cellStyle name="Porcentaje" xfId="3" builtinId="5"/>
  </cellStyles>
  <dxfs count="0"/>
  <tableStyles count="0" defaultTableStyle="TableStyleMedium2" defaultPivotStyle="PivotStyleLight16"/>
  <colors>
    <mruColors>
      <color rgb="FFFF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92DD48-C1E7-4531-9B53-E60F141C2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D84D8C-64A2-4BE1-AEF7-AEB60F3D0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5429" y="999121"/>
          <a:ext cx="3058885" cy="1104073"/>
        </a:xfrm>
        <a:prstGeom prst="rect">
          <a:avLst/>
        </a:prstGeom>
      </xdr:spPr>
    </xdr:pic>
    <xdr:clientData/>
  </xdr:twoCellAnchor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281313-22CE-4C0E-9D80-41B6D6817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A5F45D-F769-4E64-8FA6-9846E7D4B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BC0B44-19D1-466D-B180-74E2DD38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1DDD76-1C5B-484A-A473-3CBC21421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  <xdr:twoCellAnchor editAs="oneCell">
    <xdr:from>
      <xdr:col>5</xdr:col>
      <xdr:colOff>261258</xdr:colOff>
      <xdr:row>2</xdr:row>
      <xdr:rowOff>226235</xdr:rowOff>
    </xdr:from>
    <xdr:to>
      <xdr:col>6</xdr:col>
      <xdr:colOff>1785257</xdr:colOff>
      <xdr:row>4</xdr:row>
      <xdr:rowOff>165537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F4737F-FAD7-4F6C-B9D3-607A48B21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8898" y="1003475"/>
          <a:ext cx="3055619" cy="110516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ED8B-08DD-435C-9EA4-51D68C7D172F}">
  <sheetPr>
    <pageSetUpPr fitToPage="1"/>
  </sheetPr>
  <dimension ref="A1:J35"/>
  <sheetViews>
    <sheetView tabSelected="1" topLeftCell="A14" zoomScale="70" zoomScaleNormal="70" workbookViewId="0">
      <selection activeCell="C14" sqref="C14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57" t="s">
        <v>46</v>
      </c>
      <c r="B1" s="58"/>
      <c r="C1" s="58"/>
      <c r="D1" s="58"/>
      <c r="E1" s="58"/>
      <c r="F1" s="58"/>
      <c r="G1" s="59"/>
    </row>
    <row r="2" spans="1:10" ht="33.6" customHeight="1" x14ac:dyDescent="0.3">
      <c r="A2" s="60" t="s">
        <v>36</v>
      </c>
      <c r="B2" s="61"/>
      <c r="C2" s="61"/>
      <c r="D2" s="61"/>
      <c r="E2" s="61"/>
      <c r="F2" s="61"/>
      <c r="G2" s="62"/>
    </row>
    <row r="3" spans="1:10" ht="39.6" customHeight="1" x14ac:dyDescent="0.3">
      <c r="A3" s="63" t="s">
        <v>16</v>
      </c>
      <c r="B3" s="64"/>
      <c r="C3" s="30" t="s">
        <v>47</v>
      </c>
      <c r="D3" s="33" t="s">
        <v>20</v>
      </c>
      <c r="E3" s="33" t="s">
        <v>22</v>
      </c>
      <c r="F3" s="65"/>
      <c r="G3" s="66"/>
    </row>
    <row r="4" spans="1:10" ht="52.2" customHeight="1" x14ac:dyDescent="0.3">
      <c r="A4" s="63" t="s">
        <v>17</v>
      </c>
      <c r="B4" s="64"/>
      <c r="C4" s="56" t="s">
        <v>48</v>
      </c>
      <c r="D4" s="71" t="s">
        <v>49</v>
      </c>
      <c r="E4" s="72"/>
      <c r="F4" s="67"/>
      <c r="G4" s="68"/>
    </row>
    <row r="5" spans="1:10" ht="36.6" customHeight="1" x14ac:dyDescent="0.3">
      <c r="A5" s="73" t="s">
        <v>18</v>
      </c>
      <c r="B5" s="74"/>
      <c r="C5" s="30" t="s">
        <v>19</v>
      </c>
      <c r="D5" s="75" t="s">
        <v>50</v>
      </c>
      <c r="E5" s="76"/>
      <c r="F5" s="69"/>
      <c r="G5" s="70"/>
    </row>
    <row r="6" spans="1:10" x14ac:dyDescent="0.3">
      <c r="A6" s="77"/>
      <c r="B6" s="78"/>
      <c r="C6" s="78"/>
      <c r="D6" s="78"/>
      <c r="E6" s="78"/>
      <c r="F6" s="78"/>
      <c r="G6" s="79"/>
    </row>
    <row r="7" spans="1:10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10" ht="23.4" x14ac:dyDescent="0.3">
      <c r="A8" s="80" t="s">
        <v>51</v>
      </c>
      <c r="B8" s="81"/>
      <c r="C8" s="81"/>
      <c r="D8" s="81"/>
      <c r="E8" s="81"/>
      <c r="F8" s="81"/>
      <c r="G8" s="82"/>
    </row>
    <row r="9" spans="1:10" ht="23.4" x14ac:dyDescent="0.3">
      <c r="A9" s="3">
        <v>1</v>
      </c>
      <c r="B9" s="4"/>
      <c r="C9" s="5" t="s">
        <v>21</v>
      </c>
      <c r="D9" s="6"/>
      <c r="E9" s="6"/>
      <c r="F9" s="20"/>
      <c r="G9" s="21">
        <f>SUM(G10:G11)</f>
        <v>250000</v>
      </c>
    </row>
    <row r="10" spans="1:10" ht="78.599999999999994" customHeight="1" x14ac:dyDescent="0.3">
      <c r="A10" s="7"/>
      <c r="B10" s="7" t="s">
        <v>23</v>
      </c>
      <c r="C10" s="9" t="s">
        <v>55</v>
      </c>
      <c r="D10" s="2" t="s">
        <v>42</v>
      </c>
      <c r="E10" s="27">
        <v>1</v>
      </c>
      <c r="F10" s="22">
        <v>170000</v>
      </c>
      <c r="G10" s="23">
        <v>100000</v>
      </c>
    </row>
    <row r="11" spans="1:10" ht="49.2" customHeight="1" x14ac:dyDescent="0.3">
      <c r="A11" s="7"/>
      <c r="B11" s="7" t="s">
        <v>25</v>
      </c>
      <c r="C11" s="9" t="s">
        <v>54</v>
      </c>
      <c r="D11" s="2" t="s">
        <v>42</v>
      </c>
      <c r="E11" s="27">
        <v>1</v>
      </c>
      <c r="F11" s="22">
        <v>150000</v>
      </c>
      <c r="G11" s="23">
        <f>+E11*F11</f>
        <v>150000</v>
      </c>
    </row>
    <row r="12" spans="1:10" ht="23.4" x14ac:dyDescent="0.3">
      <c r="A12" s="15">
        <v>2</v>
      </c>
      <c r="B12" s="16"/>
      <c r="C12" s="17" t="s">
        <v>29</v>
      </c>
      <c r="D12" s="18"/>
      <c r="E12" s="28"/>
      <c r="F12" s="24"/>
      <c r="G12" s="25">
        <f>SUM(G13:G14)</f>
        <v>32762219.747301586</v>
      </c>
    </row>
    <row r="13" spans="1:10" ht="64.2" customHeight="1" x14ac:dyDescent="0.3">
      <c r="A13" s="8"/>
      <c r="B13" s="29" t="s">
        <v>26</v>
      </c>
      <c r="C13" s="39" t="s">
        <v>53</v>
      </c>
      <c r="D13" s="2" t="s">
        <v>7</v>
      </c>
      <c r="E13" s="55">
        <v>822.48</v>
      </c>
      <c r="F13" s="22">
        <v>18600.597883597882</v>
      </c>
      <c r="G13" s="23">
        <f>+E13*F13</f>
        <v>15298619.747301586</v>
      </c>
      <c r="J13" s="38"/>
    </row>
    <row r="14" spans="1:10" ht="64.2" customHeight="1" x14ac:dyDescent="0.3">
      <c r="A14" s="8"/>
      <c r="B14" s="29" t="s">
        <v>27</v>
      </c>
      <c r="C14" s="40" t="s">
        <v>60</v>
      </c>
      <c r="D14" s="2" t="s">
        <v>7</v>
      </c>
      <c r="E14" s="55">
        <v>423.36</v>
      </c>
      <c r="F14" s="22">
        <v>41250</v>
      </c>
      <c r="G14" s="23">
        <f>+E14*F14</f>
        <v>17463600</v>
      </c>
      <c r="J14" s="38"/>
    </row>
    <row r="15" spans="1:10" ht="43.8" customHeight="1" x14ac:dyDescent="0.3">
      <c r="A15" s="15">
        <v>3</v>
      </c>
      <c r="B15" s="16"/>
      <c r="C15" s="17" t="s">
        <v>57</v>
      </c>
      <c r="D15" s="18"/>
      <c r="E15" s="28"/>
      <c r="F15" s="24"/>
      <c r="G15" s="25">
        <f>SUM(G16:G16)</f>
        <v>23982420.000000004</v>
      </c>
    </row>
    <row r="16" spans="1:10" ht="45.6" customHeight="1" x14ac:dyDescent="0.3">
      <c r="A16" s="8"/>
      <c r="B16" s="29" t="s">
        <v>28</v>
      </c>
      <c r="C16" s="39" t="s">
        <v>56</v>
      </c>
      <c r="D16" s="2" t="s">
        <v>7</v>
      </c>
      <c r="E16" s="27">
        <v>1245.8400000000001</v>
      </c>
      <c r="F16" s="22">
        <v>19250</v>
      </c>
      <c r="G16" s="23">
        <f>+E16*F16</f>
        <v>23982420.000000004</v>
      </c>
    </row>
    <row r="17" spans="1:7" ht="43.8" customHeight="1" x14ac:dyDescent="0.3">
      <c r="A17" s="15">
        <v>3</v>
      </c>
      <c r="B17" s="16"/>
      <c r="C17" s="17" t="s">
        <v>58</v>
      </c>
      <c r="D17" s="18"/>
      <c r="E17" s="28"/>
      <c r="F17" s="24"/>
      <c r="G17" s="25">
        <f>SUM(G18:G18)</f>
        <v>2032800</v>
      </c>
    </row>
    <row r="18" spans="1:7" ht="45.6" customHeight="1" x14ac:dyDescent="0.3">
      <c r="A18" s="8"/>
      <c r="B18" s="29" t="s">
        <v>28</v>
      </c>
      <c r="C18" s="39" t="s">
        <v>59</v>
      </c>
      <c r="D18" s="2" t="s">
        <v>7</v>
      </c>
      <c r="E18" s="27">
        <v>105.6</v>
      </c>
      <c r="F18" s="22">
        <v>19250</v>
      </c>
      <c r="G18" s="23">
        <f>+E18*F18</f>
        <v>2032800</v>
      </c>
    </row>
    <row r="19" spans="1:7" ht="31.8" customHeight="1" x14ac:dyDescent="0.3">
      <c r="A19" s="41">
        <v>4</v>
      </c>
      <c r="B19" s="42"/>
      <c r="C19" s="43" t="s">
        <v>33</v>
      </c>
      <c r="D19" s="44"/>
      <c r="E19" s="45"/>
      <c r="F19" s="46"/>
      <c r="G19" s="54">
        <f>G20</f>
        <v>140000</v>
      </c>
    </row>
    <row r="20" spans="1:7" ht="73.8" customHeight="1" x14ac:dyDescent="0.3">
      <c r="A20" s="47"/>
      <c r="B20" s="48" t="s">
        <v>31</v>
      </c>
      <c r="C20" s="49" t="s">
        <v>61</v>
      </c>
      <c r="D20" s="50" t="s">
        <v>24</v>
      </c>
      <c r="E20" s="51">
        <v>1</v>
      </c>
      <c r="F20" s="52">
        <v>140000</v>
      </c>
      <c r="G20" s="53">
        <f>F20*E20</f>
        <v>140000</v>
      </c>
    </row>
    <row r="21" spans="1:7" ht="39.6" customHeight="1" x14ac:dyDescent="0.3">
      <c r="A21" s="13"/>
      <c r="B21" s="13"/>
      <c r="C21" s="13"/>
      <c r="D21" s="13"/>
      <c r="E21" s="83" t="s">
        <v>9</v>
      </c>
      <c r="F21" s="84"/>
      <c r="G21" s="34">
        <f>+G15+G12+G9+G19+G17</f>
        <v>59167439.747301593</v>
      </c>
    </row>
    <row r="22" spans="1:7" ht="17.399999999999999" x14ac:dyDescent="0.3">
      <c r="A22" s="13"/>
      <c r="B22" s="13"/>
      <c r="C22" s="13"/>
      <c r="D22" s="13"/>
      <c r="E22" s="14" t="s">
        <v>10</v>
      </c>
      <c r="F22" s="19">
        <v>0.1</v>
      </c>
      <c r="G22" s="35">
        <f>+$G$21*F22</f>
        <v>5916743.9747301601</v>
      </c>
    </row>
    <row r="23" spans="1:7" ht="17.399999999999999" x14ac:dyDescent="0.3">
      <c r="A23" s="13"/>
      <c r="B23" s="13"/>
      <c r="C23" s="13"/>
      <c r="D23" s="13"/>
      <c r="E23" s="14" t="s">
        <v>11</v>
      </c>
      <c r="F23" s="19">
        <v>0.05</v>
      </c>
      <c r="G23" s="35">
        <f>+$G$21*F23</f>
        <v>2958371.98736508</v>
      </c>
    </row>
    <row r="24" spans="1:7" ht="19.95" customHeight="1" x14ac:dyDescent="0.3">
      <c r="A24" s="13"/>
      <c r="B24" s="13"/>
      <c r="C24" s="13"/>
      <c r="D24" s="13"/>
      <c r="E24" s="14" t="s">
        <v>12</v>
      </c>
      <c r="F24" s="19">
        <v>0.05</v>
      </c>
      <c r="G24" s="35">
        <f>+$G$21*F24</f>
        <v>2958371.98736508</v>
      </c>
    </row>
    <row r="25" spans="1:7" ht="19.95" customHeight="1" x14ac:dyDescent="0.3">
      <c r="A25" s="13"/>
      <c r="B25" s="13"/>
      <c r="C25" s="13"/>
      <c r="D25" s="13"/>
      <c r="E25" s="14" t="s">
        <v>13</v>
      </c>
      <c r="F25" s="19">
        <v>0.19</v>
      </c>
      <c r="G25" s="35">
        <f>+G24*F25</f>
        <v>562090.67759936524</v>
      </c>
    </row>
    <row r="26" spans="1:7" ht="19.95" customHeight="1" x14ac:dyDescent="0.3">
      <c r="A26" s="13"/>
      <c r="B26" s="13"/>
      <c r="C26" s="13"/>
      <c r="D26" s="13"/>
      <c r="E26" s="85" t="s">
        <v>14</v>
      </c>
      <c r="F26" s="86"/>
      <c r="G26" s="36">
        <f>+G22+G23+G24+G25</f>
        <v>12395578.627059685</v>
      </c>
    </row>
    <row r="27" spans="1:7" ht="19.95" customHeight="1" x14ac:dyDescent="0.3">
      <c r="A27" s="13"/>
      <c r="B27" s="13"/>
      <c r="C27" s="13"/>
      <c r="D27" s="13"/>
      <c r="E27" s="87" t="s">
        <v>15</v>
      </c>
      <c r="F27" s="88"/>
      <c r="G27" s="37">
        <f>+G21+G26</f>
        <v>71563018.374361277</v>
      </c>
    </row>
    <row r="28" spans="1:7" ht="19.95" customHeight="1" x14ac:dyDescent="0.3"/>
    <row r="29" spans="1:7" ht="19.95" customHeight="1" x14ac:dyDescent="0.3">
      <c r="G29" s="38">
        <f>G27+'COTIZACIÓN PARTE NEGRA'!G26+'COTIZACIÓN BARANDAS'!G22+'COTIZACIÓN PERSIANAS'!G22</f>
        <v>86150102.895661265</v>
      </c>
    </row>
    <row r="30" spans="1:7" ht="19.95" customHeight="1" x14ac:dyDescent="0.3"/>
    <row r="31" spans="1:7" ht="15" customHeight="1" x14ac:dyDescent="0.3"/>
    <row r="34" spans="7:7" x14ac:dyDescent="0.3">
      <c r="G34" s="38"/>
    </row>
    <row r="35" spans="7:7" x14ac:dyDescent="0.3">
      <c r="G35" s="38"/>
    </row>
  </sheetData>
  <mergeCells count="13">
    <mergeCell ref="A6:G6"/>
    <mergeCell ref="A8:G8"/>
    <mergeCell ref="E21:F21"/>
    <mergeCell ref="E26:F26"/>
    <mergeCell ref="E27:F27"/>
    <mergeCell ref="A1:G1"/>
    <mergeCell ref="A2:G2"/>
    <mergeCell ref="A3:B3"/>
    <mergeCell ref="F3:G5"/>
    <mergeCell ref="A4:B4"/>
    <mergeCell ref="D4:E4"/>
    <mergeCell ref="A5:B5"/>
    <mergeCell ref="D5:E5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6AAF-44A3-490E-AA4C-1D5EA92813D8}">
  <sheetPr>
    <pageSetUpPr fitToPage="1"/>
  </sheetPr>
  <dimension ref="A1:J34"/>
  <sheetViews>
    <sheetView topLeftCell="A13" zoomScale="70" zoomScaleNormal="70" workbookViewId="0">
      <selection activeCell="G26" sqref="A1:G26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10" ht="27.6" x14ac:dyDescent="0.3">
      <c r="A1" s="57" t="s">
        <v>46</v>
      </c>
      <c r="B1" s="58"/>
      <c r="C1" s="58"/>
      <c r="D1" s="58"/>
      <c r="E1" s="58"/>
      <c r="F1" s="58"/>
      <c r="G1" s="59"/>
    </row>
    <row r="2" spans="1:10" ht="33.6" customHeight="1" x14ac:dyDescent="0.3">
      <c r="A2" s="60" t="s">
        <v>36</v>
      </c>
      <c r="B2" s="61"/>
      <c r="C2" s="61"/>
      <c r="D2" s="61"/>
      <c r="E2" s="61"/>
      <c r="F2" s="61"/>
      <c r="G2" s="62"/>
    </row>
    <row r="3" spans="1:10" ht="39.6" customHeight="1" x14ac:dyDescent="0.3">
      <c r="A3" s="63" t="s">
        <v>16</v>
      </c>
      <c r="B3" s="64"/>
      <c r="C3" s="30" t="s">
        <v>47</v>
      </c>
      <c r="D3" s="33" t="s">
        <v>20</v>
      </c>
      <c r="E3" s="33" t="s">
        <v>22</v>
      </c>
      <c r="F3" s="65"/>
      <c r="G3" s="66"/>
    </row>
    <row r="4" spans="1:10" ht="52.2" customHeight="1" x14ac:dyDescent="0.3">
      <c r="A4" s="63" t="s">
        <v>17</v>
      </c>
      <c r="B4" s="64"/>
      <c r="C4" s="56" t="s">
        <v>48</v>
      </c>
      <c r="D4" s="71" t="s">
        <v>49</v>
      </c>
      <c r="E4" s="72"/>
      <c r="F4" s="67"/>
      <c r="G4" s="68"/>
    </row>
    <row r="5" spans="1:10" ht="36.6" customHeight="1" x14ac:dyDescent="0.3">
      <c r="A5" s="73" t="s">
        <v>18</v>
      </c>
      <c r="B5" s="74"/>
      <c r="C5" s="30" t="s">
        <v>19</v>
      </c>
      <c r="D5" s="75" t="s">
        <v>50</v>
      </c>
      <c r="E5" s="76"/>
      <c r="F5" s="69"/>
      <c r="G5" s="70"/>
    </row>
    <row r="6" spans="1:10" x14ac:dyDescent="0.3">
      <c r="A6" s="77"/>
      <c r="B6" s="78"/>
      <c r="C6" s="78"/>
      <c r="D6" s="78"/>
      <c r="E6" s="78"/>
      <c r="F6" s="78"/>
      <c r="G6" s="79"/>
    </row>
    <row r="7" spans="1:10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10" ht="23.4" x14ac:dyDescent="0.3">
      <c r="A8" s="80" t="s">
        <v>51</v>
      </c>
      <c r="B8" s="81"/>
      <c r="C8" s="81"/>
      <c r="D8" s="81"/>
      <c r="E8" s="81"/>
      <c r="F8" s="81"/>
      <c r="G8" s="82"/>
    </row>
    <row r="9" spans="1:10" ht="23.4" x14ac:dyDescent="0.3">
      <c r="A9" s="3">
        <v>1</v>
      </c>
      <c r="B9" s="4"/>
      <c r="C9" s="5" t="s">
        <v>21</v>
      </c>
      <c r="D9" s="6"/>
      <c r="E9" s="6"/>
      <c r="F9" s="20"/>
      <c r="G9" s="21">
        <f>SUM(G10:G11)</f>
        <v>100000</v>
      </c>
    </row>
    <row r="10" spans="1:10" ht="78.599999999999994" customHeight="1" x14ac:dyDescent="0.3">
      <c r="A10" s="7"/>
      <c r="B10" s="7" t="s">
        <v>23</v>
      </c>
      <c r="C10" s="9" t="s">
        <v>34</v>
      </c>
      <c r="D10" s="2" t="s">
        <v>24</v>
      </c>
      <c r="E10" s="27">
        <v>1</v>
      </c>
      <c r="F10" s="22">
        <v>100000</v>
      </c>
      <c r="G10" s="23">
        <v>100000</v>
      </c>
    </row>
    <row r="11" spans="1:10" ht="33.6" x14ac:dyDescent="0.3">
      <c r="A11" s="7"/>
      <c r="B11" s="7" t="s">
        <v>25</v>
      </c>
      <c r="C11" s="9" t="s">
        <v>39</v>
      </c>
      <c r="D11" s="2" t="s">
        <v>24</v>
      </c>
      <c r="E11" s="27">
        <v>1</v>
      </c>
      <c r="F11" s="22">
        <v>0</v>
      </c>
      <c r="G11" s="23">
        <f>+E11*F11</f>
        <v>0</v>
      </c>
    </row>
    <row r="12" spans="1:10" ht="23.4" x14ac:dyDescent="0.3">
      <c r="A12" s="15">
        <v>2</v>
      </c>
      <c r="B12" s="16"/>
      <c r="C12" s="17" t="s">
        <v>29</v>
      </c>
      <c r="D12" s="18"/>
      <c r="E12" s="28"/>
      <c r="F12" s="24"/>
      <c r="G12" s="25">
        <f>SUM(G13:G13)</f>
        <v>989894.40000000014</v>
      </c>
    </row>
    <row r="13" spans="1:10" ht="64.2" customHeight="1" x14ac:dyDescent="0.3">
      <c r="A13" s="8"/>
      <c r="B13" s="29" t="s">
        <v>26</v>
      </c>
      <c r="C13" s="39" t="s">
        <v>37</v>
      </c>
      <c r="D13" s="2" t="s">
        <v>7</v>
      </c>
      <c r="E13" s="55">
        <v>281.22000000000003</v>
      </c>
      <c r="F13" s="22">
        <v>3520</v>
      </c>
      <c r="G13" s="23">
        <f>+E13*F13</f>
        <v>989894.40000000014</v>
      </c>
      <c r="J13" s="38"/>
    </row>
    <row r="14" spans="1:10" ht="43.8" customHeight="1" x14ac:dyDescent="0.3">
      <c r="A14" s="15">
        <v>3</v>
      </c>
      <c r="B14" s="16"/>
      <c r="C14" s="17" t="s">
        <v>30</v>
      </c>
      <c r="D14" s="18"/>
      <c r="E14" s="28"/>
      <c r="F14" s="24"/>
      <c r="G14" s="25">
        <f>SUM(G15:G15)</f>
        <v>4287360</v>
      </c>
    </row>
    <row r="15" spans="1:10" ht="76.2" customHeight="1" x14ac:dyDescent="0.3">
      <c r="A15" s="8"/>
      <c r="B15" s="29" t="s">
        <v>28</v>
      </c>
      <c r="C15" s="39" t="s">
        <v>35</v>
      </c>
      <c r="D15" s="2" t="s">
        <v>7</v>
      </c>
      <c r="E15" s="27">
        <v>222.72</v>
      </c>
      <c r="F15" s="22">
        <v>19250</v>
      </c>
      <c r="G15" s="23">
        <f>+E15*F15</f>
        <v>4287360</v>
      </c>
    </row>
    <row r="16" spans="1:10" ht="23.4" x14ac:dyDescent="0.3">
      <c r="A16" s="15">
        <v>4</v>
      </c>
      <c r="B16" s="16"/>
      <c r="C16" s="17" t="s">
        <v>40</v>
      </c>
      <c r="D16" s="18"/>
      <c r="E16" s="28"/>
      <c r="F16" s="24"/>
      <c r="G16" s="25">
        <f>SUM(G17:G17)</f>
        <v>210000</v>
      </c>
    </row>
    <row r="17" spans="1:7" ht="64.8" customHeight="1" x14ac:dyDescent="0.3">
      <c r="A17" s="10"/>
      <c r="B17" s="29" t="s">
        <v>31</v>
      </c>
      <c r="C17" s="11" t="s">
        <v>41</v>
      </c>
      <c r="D17" s="12" t="s">
        <v>42</v>
      </c>
      <c r="E17" s="27">
        <v>1</v>
      </c>
      <c r="F17" s="22">
        <v>210000</v>
      </c>
      <c r="G17" s="26">
        <f>F17*E17</f>
        <v>210000</v>
      </c>
    </row>
    <row r="18" spans="1:7" ht="31.8" customHeight="1" x14ac:dyDescent="0.3">
      <c r="A18" s="41">
        <v>5</v>
      </c>
      <c r="B18" s="42"/>
      <c r="C18" s="43" t="s">
        <v>33</v>
      </c>
      <c r="D18" s="44"/>
      <c r="E18" s="45"/>
      <c r="F18" s="46"/>
      <c r="G18" s="54">
        <f>G19</f>
        <v>100000</v>
      </c>
    </row>
    <row r="19" spans="1:7" ht="73.8" customHeight="1" x14ac:dyDescent="0.3">
      <c r="A19" s="47"/>
      <c r="B19" s="48" t="s">
        <v>32</v>
      </c>
      <c r="C19" s="49" t="s">
        <v>38</v>
      </c>
      <c r="D19" s="50" t="s">
        <v>24</v>
      </c>
      <c r="E19" s="51">
        <v>1</v>
      </c>
      <c r="F19" s="52">
        <v>100000</v>
      </c>
      <c r="G19" s="53">
        <f>F19*E19</f>
        <v>100000</v>
      </c>
    </row>
    <row r="20" spans="1:7" ht="39.6" customHeight="1" x14ac:dyDescent="0.3">
      <c r="A20" s="13"/>
      <c r="B20" s="13"/>
      <c r="C20" s="13"/>
      <c r="D20" s="13"/>
      <c r="E20" s="83" t="s">
        <v>9</v>
      </c>
      <c r="F20" s="84"/>
      <c r="G20" s="34">
        <f>G16+G14+G12+G9+G18</f>
        <v>5687254.4000000004</v>
      </c>
    </row>
    <row r="21" spans="1:7" ht="17.399999999999999" x14ac:dyDescent="0.3">
      <c r="A21" s="13"/>
      <c r="B21" s="13"/>
      <c r="C21" s="13"/>
      <c r="D21" s="13"/>
      <c r="E21" s="14" t="s">
        <v>10</v>
      </c>
      <c r="F21" s="19">
        <v>0.1</v>
      </c>
      <c r="G21" s="35">
        <f>+$G$20*F21</f>
        <v>568725.44000000006</v>
      </c>
    </row>
    <row r="22" spans="1:7" ht="17.399999999999999" x14ac:dyDescent="0.3">
      <c r="A22" s="13"/>
      <c r="B22" s="13"/>
      <c r="C22" s="13"/>
      <c r="D22" s="13"/>
      <c r="E22" s="14" t="s">
        <v>11</v>
      </c>
      <c r="F22" s="19">
        <v>0.05</v>
      </c>
      <c r="G22" s="35">
        <f>+$G$20*F22</f>
        <v>284362.72000000003</v>
      </c>
    </row>
    <row r="23" spans="1:7" ht="19.95" customHeight="1" x14ac:dyDescent="0.3">
      <c r="A23" s="13"/>
      <c r="B23" s="13"/>
      <c r="C23" s="13"/>
      <c r="D23" s="13"/>
      <c r="E23" s="14" t="s">
        <v>12</v>
      </c>
      <c r="F23" s="19">
        <v>0.05</v>
      </c>
      <c r="G23" s="35">
        <f>+$G$20*F23</f>
        <v>284362.72000000003</v>
      </c>
    </row>
    <row r="24" spans="1:7" ht="19.95" customHeight="1" x14ac:dyDescent="0.3">
      <c r="A24" s="13"/>
      <c r="B24" s="13"/>
      <c r="C24" s="13"/>
      <c r="D24" s="13"/>
      <c r="E24" s="14" t="s">
        <v>13</v>
      </c>
      <c r="F24" s="19">
        <v>0.19</v>
      </c>
      <c r="G24" s="35">
        <f>+G23*F24</f>
        <v>54028.916800000006</v>
      </c>
    </row>
    <row r="25" spans="1:7" ht="19.95" customHeight="1" x14ac:dyDescent="0.3">
      <c r="A25" s="13"/>
      <c r="B25" s="13"/>
      <c r="C25" s="13"/>
      <c r="D25" s="13"/>
      <c r="E25" s="85" t="s">
        <v>14</v>
      </c>
      <c r="F25" s="86"/>
      <c r="G25" s="36">
        <f>+G21+G22+G23+G24</f>
        <v>1191479.7968000001</v>
      </c>
    </row>
    <row r="26" spans="1:7" ht="19.95" customHeight="1" x14ac:dyDescent="0.3">
      <c r="A26" s="13"/>
      <c r="B26" s="13"/>
      <c r="C26" s="13"/>
      <c r="D26" s="13"/>
      <c r="E26" s="87" t="s">
        <v>15</v>
      </c>
      <c r="F26" s="88"/>
      <c r="G26" s="37">
        <f>+G20+G25</f>
        <v>6878734.196800001</v>
      </c>
    </row>
    <row r="27" spans="1:7" ht="19.95" customHeight="1" x14ac:dyDescent="0.3"/>
    <row r="28" spans="1:7" ht="19.95" customHeight="1" x14ac:dyDescent="0.3"/>
    <row r="29" spans="1:7" ht="19.95" customHeight="1" x14ac:dyDescent="0.3"/>
    <row r="30" spans="1:7" ht="15" customHeight="1" x14ac:dyDescent="0.3"/>
    <row r="33" spans="7:7" x14ac:dyDescent="0.3">
      <c r="G33" s="38"/>
    </row>
    <row r="34" spans="7:7" x14ac:dyDescent="0.3">
      <c r="G34" s="38"/>
    </row>
  </sheetData>
  <mergeCells count="13">
    <mergeCell ref="A1:G1"/>
    <mergeCell ref="A2:G2"/>
    <mergeCell ref="A3:B3"/>
    <mergeCell ref="F3:G5"/>
    <mergeCell ref="A4:B4"/>
    <mergeCell ref="D4:E4"/>
    <mergeCell ref="A5:B5"/>
    <mergeCell ref="D5:E5"/>
    <mergeCell ref="A6:G6"/>
    <mergeCell ref="A8:G8"/>
    <mergeCell ref="E20:F20"/>
    <mergeCell ref="E25:F25"/>
    <mergeCell ref="E26:F26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F803-67FB-4FE5-91D6-E815D15DD028}">
  <sheetPr>
    <pageSetUpPr fitToPage="1"/>
  </sheetPr>
  <dimension ref="A1:G30"/>
  <sheetViews>
    <sheetView zoomScale="70" zoomScaleNormal="70" workbookViewId="0">
      <selection activeCell="G22" sqref="A1:G22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57" t="s">
        <v>46</v>
      </c>
      <c r="B1" s="58"/>
      <c r="C1" s="58"/>
      <c r="D1" s="58"/>
      <c r="E1" s="58"/>
      <c r="F1" s="58"/>
      <c r="G1" s="59"/>
    </row>
    <row r="2" spans="1:7" ht="33.6" customHeight="1" x14ac:dyDescent="0.3">
      <c r="A2" s="60" t="s">
        <v>36</v>
      </c>
      <c r="B2" s="61"/>
      <c r="C2" s="61"/>
      <c r="D2" s="61"/>
      <c r="E2" s="61"/>
      <c r="F2" s="61"/>
      <c r="G2" s="62"/>
    </row>
    <row r="3" spans="1:7" ht="39.6" customHeight="1" x14ac:dyDescent="0.3">
      <c r="A3" s="63" t="s">
        <v>16</v>
      </c>
      <c r="B3" s="64"/>
      <c r="C3" s="30" t="s">
        <v>47</v>
      </c>
      <c r="D3" s="33" t="s">
        <v>20</v>
      </c>
      <c r="E3" s="33" t="s">
        <v>22</v>
      </c>
      <c r="F3" s="65"/>
      <c r="G3" s="66"/>
    </row>
    <row r="4" spans="1:7" ht="52.2" customHeight="1" x14ac:dyDescent="0.3">
      <c r="A4" s="63" t="s">
        <v>17</v>
      </c>
      <c r="B4" s="64"/>
      <c r="C4" s="56" t="s">
        <v>48</v>
      </c>
      <c r="D4" s="71" t="s">
        <v>49</v>
      </c>
      <c r="E4" s="72"/>
      <c r="F4" s="67"/>
      <c r="G4" s="68"/>
    </row>
    <row r="5" spans="1:7" ht="36.6" customHeight="1" x14ac:dyDescent="0.3">
      <c r="A5" s="73" t="s">
        <v>18</v>
      </c>
      <c r="B5" s="74"/>
      <c r="C5" s="30" t="s">
        <v>19</v>
      </c>
      <c r="D5" s="75" t="s">
        <v>50</v>
      </c>
      <c r="E5" s="76"/>
      <c r="F5" s="69"/>
      <c r="G5" s="70"/>
    </row>
    <row r="6" spans="1:7" x14ac:dyDescent="0.3">
      <c r="A6" s="77"/>
      <c r="B6" s="78"/>
      <c r="C6" s="78"/>
      <c r="D6" s="78"/>
      <c r="E6" s="78"/>
      <c r="F6" s="78"/>
      <c r="G6" s="79"/>
    </row>
    <row r="7" spans="1:7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7" ht="23.4" x14ac:dyDescent="0.3">
      <c r="A8" s="80" t="s">
        <v>51</v>
      </c>
      <c r="B8" s="81"/>
      <c r="C8" s="81"/>
      <c r="D8" s="81"/>
      <c r="E8" s="81"/>
      <c r="F8" s="81"/>
      <c r="G8" s="82"/>
    </row>
    <row r="9" spans="1:7" ht="23.4" x14ac:dyDescent="0.3">
      <c r="A9" s="3">
        <v>1</v>
      </c>
      <c r="B9" s="4"/>
      <c r="C9" s="5" t="s">
        <v>21</v>
      </c>
      <c r="D9" s="6"/>
      <c r="E9" s="6"/>
      <c r="F9" s="20"/>
      <c r="G9" s="21">
        <f>SUM(G10:G11)</f>
        <v>100000</v>
      </c>
    </row>
    <row r="10" spans="1:7" ht="112.2" customHeight="1" x14ac:dyDescent="0.3">
      <c r="A10" s="7"/>
      <c r="B10" s="7" t="s">
        <v>23</v>
      </c>
      <c r="C10" s="9" t="s">
        <v>34</v>
      </c>
      <c r="D10" s="2" t="s">
        <v>24</v>
      </c>
      <c r="E10" s="27">
        <v>1</v>
      </c>
      <c r="F10" s="22">
        <v>100000</v>
      </c>
      <c r="G10" s="23">
        <v>100000</v>
      </c>
    </row>
    <row r="11" spans="1:7" ht="77.400000000000006" customHeight="1" x14ac:dyDescent="0.3">
      <c r="A11" s="7"/>
      <c r="B11" s="7" t="s">
        <v>25</v>
      </c>
      <c r="C11" s="9" t="s">
        <v>39</v>
      </c>
      <c r="D11" s="2" t="s">
        <v>24</v>
      </c>
      <c r="E11" s="27">
        <v>1</v>
      </c>
      <c r="F11" s="22">
        <v>0</v>
      </c>
      <c r="G11" s="23">
        <f>+E11*F11</f>
        <v>0</v>
      </c>
    </row>
    <row r="12" spans="1:7" ht="53.4" customHeight="1" x14ac:dyDescent="0.3">
      <c r="A12" s="15">
        <v>2</v>
      </c>
      <c r="B12" s="16"/>
      <c r="C12" s="17" t="s">
        <v>44</v>
      </c>
      <c r="D12" s="18"/>
      <c r="E12" s="28"/>
      <c r="F12" s="24"/>
      <c r="G12" s="25">
        <f>SUM(G13)</f>
        <v>2193486</v>
      </c>
    </row>
    <row r="13" spans="1:7" ht="63" customHeight="1" x14ac:dyDescent="0.3">
      <c r="A13" s="10"/>
      <c r="B13" s="29" t="s">
        <v>26</v>
      </c>
      <c r="C13" s="11" t="s">
        <v>43</v>
      </c>
      <c r="D13" s="12" t="s">
        <v>8</v>
      </c>
      <c r="E13" s="27">
        <v>260.2</v>
      </c>
      <c r="F13" s="22">
        <v>8430</v>
      </c>
      <c r="G13" s="26">
        <f>F13*E13</f>
        <v>2193486</v>
      </c>
    </row>
    <row r="14" spans="1:7" ht="31.8" customHeight="1" x14ac:dyDescent="0.3">
      <c r="A14" s="41">
        <v>3</v>
      </c>
      <c r="B14" s="42"/>
      <c r="C14" s="43" t="s">
        <v>33</v>
      </c>
      <c r="D14" s="44"/>
      <c r="E14" s="45"/>
      <c r="F14" s="46"/>
      <c r="G14" s="54">
        <f>G15</f>
        <v>100000</v>
      </c>
    </row>
    <row r="15" spans="1:7" ht="73.8" customHeight="1" x14ac:dyDescent="0.3">
      <c r="A15" s="47"/>
      <c r="B15" s="48" t="s">
        <v>28</v>
      </c>
      <c r="C15" s="49" t="s">
        <v>38</v>
      </c>
      <c r="D15" s="50" t="s">
        <v>24</v>
      </c>
      <c r="E15" s="51">
        <v>1</v>
      </c>
      <c r="F15" s="52">
        <v>100000</v>
      </c>
      <c r="G15" s="53">
        <f>F15*E15</f>
        <v>100000</v>
      </c>
    </row>
    <row r="16" spans="1:7" ht="39.6" customHeight="1" x14ac:dyDescent="0.3">
      <c r="A16" s="13"/>
      <c r="B16" s="13"/>
      <c r="C16" s="13"/>
      <c r="D16" s="13"/>
      <c r="E16" s="83" t="s">
        <v>9</v>
      </c>
      <c r="F16" s="84"/>
      <c r="G16" s="34">
        <f>G12+G9+G14</f>
        <v>2393486</v>
      </c>
    </row>
    <row r="17" spans="1:7" ht="17.399999999999999" x14ac:dyDescent="0.3">
      <c r="A17" s="13"/>
      <c r="B17" s="13"/>
      <c r="C17" s="13"/>
      <c r="D17" s="13"/>
      <c r="E17" s="14" t="s">
        <v>10</v>
      </c>
      <c r="F17" s="19">
        <v>0.1</v>
      </c>
      <c r="G17" s="35">
        <f>+$G$16*F17</f>
        <v>239348.6</v>
      </c>
    </row>
    <row r="18" spans="1:7" ht="17.399999999999999" x14ac:dyDescent="0.3">
      <c r="A18" s="13"/>
      <c r="B18" s="13"/>
      <c r="C18" s="13"/>
      <c r="D18" s="13"/>
      <c r="E18" s="14" t="s">
        <v>11</v>
      </c>
      <c r="F18" s="19">
        <v>0.05</v>
      </c>
      <c r="G18" s="35">
        <f>+$G$16*F18</f>
        <v>119674.3</v>
      </c>
    </row>
    <row r="19" spans="1:7" ht="19.95" customHeight="1" x14ac:dyDescent="0.3">
      <c r="A19" s="13"/>
      <c r="B19" s="13"/>
      <c r="C19" s="13"/>
      <c r="D19" s="13"/>
      <c r="E19" s="14" t="s">
        <v>12</v>
      </c>
      <c r="F19" s="19">
        <v>0.05</v>
      </c>
      <c r="G19" s="35">
        <f>+$G$16*F19</f>
        <v>119674.3</v>
      </c>
    </row>
    <row r="20" spans="1:7" ht="19.95" customHeight="1" x14ac:dyDescent="0.3">
      <c r="A20" s="13"/>
      <c r="B20" s="13"/>
      <c r="C20" s="13"/>
      <c r="D20" s="13"/>
      <c r="E20" s="14" t="s">
        <v>13</v>
      </c>
      <c r="F20" s="19">
        <v>0.19</v>
      </c>
      <c r="G20" s="35">
        <f>+G19*F20</f>
        <v>22738.117000000002</v>
      </c>
    </row>
    <row r="21" spans="1:7" ht="19.95" customHeight="1" x14ac:dyDescent="0.3">
      <c r="A21" s="13"/>
      <c r="B21" s="13"/>
      <c r="C21" s="13"/>
      <c r="D21" s="13"/>
      <c r="E21" s="85" t="s">
        <v>14</v>
      </c>
      <c r="F21" s="86"/>
      <c r="G21" s="36">
        <f>+G17+G18+G19+G20</f>
        <v>501435.31700000004</v>
      </c>
    </row>
    <row r="22" spans="1:7" ht="19.95" customHeight="1" x14ac:dyDescent="0.3">
      <c r="A22" s="13"/>
      <c r="B22" s="13"/>
      <c r="C22" s="13"/>
      <c r="D22" s="13"/>
      <c r="E22" s="87" t="s">
        <v>15</v>
      </c>
      <c r="F22" s="88"/>
      <c r="G22" s="37">
        <f>+G16+G21</f>
        <v>2894921.3169999998</v>
      </c>
    </row>
    <row r="23" spans="1:7" ht="19.95" customHeight="1" x14ac:dyDescent="0.3"/>
    <row r="24" spans="1:7" ht="19.95" customHeight="1" x14ac:dyDescent="0.3"/>
    <row r="25" spans="1:7" ht="19.95" customHeight="1" x14ac:dyDescent="0.3"/>
    <row r="26" spans="1:7" ht="15" customHeight="1" x14ac:dyDescent="0.3"/>
    <row r="29" spans="1:7" x14ac:dyDescent="0.3">
      <c r="G29" s="38"/>
    </row>
    <row r="30" spans="1:7" x14ac:dyDescent="0.3">
      <c r="G30" s="38"/>
    </row>
  </sheetData>
  <mergeCells count="13">
    <mergeCell ref="A6:G6"/>
    <mergeCell ref="A8:G8"/>
    <mergeCell ref="E16:F16"/>
    <mergeCell ref="E21:F21"/>
    <mergeCell ref="E22:F22"/>
    <mergeCell ref="A1:G1"/>
    <mergeCell ref="A2:G2"/>
    <mergeCell ref="A3:B3"/>
    <mergeCell ref="F3:G5"/>
    <mergeCell ref="A4:B4"/>
    <mergeCell ref="D4:E4"/>
    <mergeCell ref="A5:B5"/>
    <mergeCell ref="D5:E5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5C38-A339-43ED-B34F-2B29DAA881A2}">
  <sheetPr>
    <pageSetUpPr fitToPage="1"/>
  </sheetPr>
  <dimension ref="A1:G30"/>
  <sheetViews>
    <sheetView topLeftCell="A25" zoomScale="70" zoomScaleNormal="70" workbookViewId="0">
      <selection activeCell="G22" sqref="A1:G22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57" t="s">
        <v>46</v>
      </c>
      <c r="B1" s="58"/>
      <c r="C1" s="58"/>
      <c r="D1" s="58"/>
      <c r="E1" s="58"/>
      <c r="F1" s="58"/>
      <c r="G1" s="59"/>
    </row>
    <row r="2" spans="1:7" ht="33.6" customHeight="1" x14ac:dyDescent="0.3">
      <c r="A2" s="60" t="s">
        <v>36</v>
      </c>
      <c r="B2" s="61"/>
      <c r="C2" s="61"/>
      <c r="D2" s="61"/>
      <c r="E2" s="61"/>
      <c r="F2" s="61"/>
      <c r="G2" s="62"/>
    </row>
    <row r="3" spans="1:7" ht="39.6" customHeight="1" x14ac:dyDescent="0.3">
      <c r="A3" s="63" t="s">
        <v>16</v>
      </c>
      <c r="B3" s="64"/>
      <c r="C3" s="30" t="s">
        <v>47</v>
      </c>
      <c r="D3" s="33" t="s">
        <v>20</v>
      </c>
      <c r="E3" s="33" t="s">
        <v>22</v>
      </c>
      <c r="F3" s="65"/>
      <c r="G3" s="66"/>
    </row>
    <row r="4" spans="1:7" ht="52.2" customHeight="1" x14ac:dyDescent="0.3">
      <c r="A4" s="63" t="s">
        <v>17</v>
      </c>
      <c r="B4" s="64"/>
      <c r="C4" s="56" t="s">
        <v>48</v>
      </c>
      <c r="D4" s="71" t="s">
        <v>49</v>
      </c>
      <c r="E4" s="72"/>
      <c r="F4" s="67"/>
      <c r="G4" s="68"/>
    </row>
    <row r="5" spans="1:7" ht="36.6" customHeight="1" x14ac:dyDescent="0.3">
      <c r="A5" s="73" t="s">
        <v>18</v>
      </c>
      <c r="B5" s="74"/>
      <c r="C5" s="30" t="s">
        <v>19</v>
      </c>
      <c r="D5" s="75" t="s">
        <v>50</v>
      </c>
      <c r="E5" s="76"/>
      <c r="F5" s="69"/>
      <c r="G5" s="70"/>
    </row>
    <row r="6" spans="1:7" x14ac:dyDescent="0.3">
      <c r="A6" s="77"/>
      <c r="B6" s="78"/>
      <c r="C6" s="78"/>
      <c r="D6" s="78"/>
      <c r="E6" s="78"/>
      <c r="F6" s="78"/>
      <c r="G6" s="79"/>
    </row>
    <row r="7" spans="1:7" ht="34.799999999999997" x14ac:dyDescent="0.3">
      <c r="A7" s="31" t="s">
        <v>0</v>
      </c>
      <c r="B7" s="32" t="s">
        <v>1</v>
      </c>
      <c r="C7" s="32" t="s">
        <v>2</v>
      </c>
      <c r="D7" s="32" t="s">
        <v>3</v>
      </c>
      <c r="E7" s="31" t="s">
        <v>4</v>
      </c>
      <c r="F7" s="32" t="s">
        <v>5</v>
      </c>
      <c r="G7" s="31" t="s">
        <v>6</v>
      </c>
    </row>
    <row r="8" spans="1:7" ht="23.4" x14ac:dyDescent="0.3">
      <c r="A8" s="80" t="s">
        <v>51</v>
      </c>
      <c r="B8" s="81"/>
      <c r="C8" s="81"/>
      <c r="D8" s="81"/>
      <c r="E8" s="81"/>
      <c r="F8" s="81"/>
      <c r="G8" s="82"/>
    </row>
    <row r="9" spans="1:7" ht="23.4" x14ac:dyDescent="0.3">
      <c r="A9" s="3">
        <v>1</v>
      </c>
      <c r="B9" s="4"/>
      <c r="C9" s="5" t="s">
        <v>21</v>
      </c>
      <c r="D9" s="6"/>
      <c r="E9" s="6"/>
      <c r="F9" s="20"/>
      <c r="G9" s="21">
        <f>SUM(G10:G11)</f>
        <v>100000</v>
      </c>
    </row>
    <row r="10" spans="1:7" ht="107.4" customHeight="1" x14ac:dyDescent="0.3">
      <c r="A10" s="7"/>
      <c r="B10" s="7" t="s">
        <v>23</v>
      </c>
      <c r="C10" s="9" t="s">
        <v>34</v>
      </c>
      <c r="D10" s="2" t="s">
        <v>24</v>
      </c>
      <c r="E10" s="27">
        <v>1</v>
      </c>
      <c r="F10" s="22">
        <v>100000</v>
      </c>
      <c r="G10" s="23">
        <v>100000</v>
      </c>
    </row>
    <row r="11" spans="1:7" ht="76.8" customHeight="1" x14ac:dyDescent="0.3">
      <c r="A11" s="7"/>
      <c r="B11" s="7" t="s">
        <v>25</v>
      </c>
      <c r="C11" s="9" t="s">
        <v>39</v>
      </c>
      <c r="D11" s="2" t="s">
        <v>24</v>
      </c>
      <c r="E11" s="27">
        <v>1</v>
      </c>
      <c r="F11" s="22">
        <v>0</v>
      </c>
      <c r="G11" s="23">
        <f>+E11*F11</f>
        <v>0</v>
      </c>
    </row>
    <row r="12" spans="1:7" ht="42" customHeight="1" x14ac:dyDescent="0.3">
      <c r="A12" s="15">
        <v>2</v>
      </c>
      <c r="B12" s="16"/>
      <c r="C12" s="17" t="s">
        <v>52</v>
      </c>
      <c r="D12" s="18"/>
      <c r="E12" s="28"/>
      <c r="F12" s="24"/>
      <c r="G12" s="25">
        <f>SUM(G13)</f>
        <v>3779685</v>
      </c>
    </row>
    <row r="13" spans="1:7" ht="66" customHeight="1" x14ac:dyDescent="0.3">
      <c r="A13" s="10"/>
      <c r="B13" s="29" t="s">
        <v>26</v>
      </c>
      <c r="C13" s="11" t="s">
        <v>45</v>
      </c>
      <c r="D13" s="12" t="s">
        <v>7</v>
      </c>
      <c r="E13" s="27">
        <v>106.5</v>
      </c>
      <c r="F13" s="22">
        <v>35490</v>
      </c>
      <c r="G13" s="26">
        <f>F13*E13</f>
        <v>3779685</v>
      </c>
    </row>
    <row r="14" spans="1:7" ht="38.4" customHeight="1" x14ac:dyDescent="0.3">
      <c r="A14" s="41">
        <v>3</v>
      </c>
      <c r="B14" s="42"/>
      <c r="C14" s="43" t="s">
        <v>33</v>
      </c>
      <c r="D14" s="44"/>
      <c r="E14" s="45"/>
      <c r="F14" s="46"/>
      <c r="G14" s="54">
        <f>G15</f>
        <v>100000</v>
      </c>
    </row>
    <row r="15" spans="1:7" ht="73.8" customHeight="1" x14ac:dyDescent="0.3">
      <c r="A15" s="47"/>
      <c r="B15" s="48" t="s">
        <v>28</v>
      </c>
      <c r="C15" s="49" t="s">
        <v>38</v>
      </c>
      <c r="D15" s="50" t="s">
        <v>24</v>
      </c>
      <c r="E15" s="51">
        <v>1</v>
      </c>
      <c r="F15" s="52">
        <v>100000</v>
      </c>
      <c r="G15" s="53">
        <f>F15*E15</f>
        <v>100000</v>
      </c>
    </row>
    <row r="16" spans="1:7" ht="39.6" customHeight="1" x14ac:dyDescent="0.3">
      <c r="A16" s="13"/>
      <c r="B16" s="13"/>
      <c r="C16" s="13"/>
      <c r="D16" s="13"/>
      <c r="E16" s="83" t="s">
        <v>9</v>
      </c>
      <c r="F16" s="84"/>
      <c r="G16" s="34">
        <f>G12+G9+G14</f>
        <v>3979685</v>
      </c>
    </row>
    <row r="17" spans="1:7" ht="17.399999999999999" x14ac:dyDescent="0.3">
      <c r="A17" s="13"/>
      <c r="B17" s="13"/>
      <c r="C17" s="13"/>
      <c r="D17" s="13"/>
      <c r="E17" s="14" t="s">
        <v>10</v>
      </c>
      <c r="F17" s="19">
        <v>0.1</v>
      </c>
      <c r="G17" s="35">
        <f>+$G$16*F17</f>
        <v>397968.5</v>
      </c>
    </row>
    <row r="18" spans="1:7" ht="17.399999999999999" x14ac:dyDescent="0.3">
      <c r="A18" s="13"/>
      <c r="B18" s="13"/>
      <c r="C18" s="13"/>
      <c r="D18" s="13"/>
      <c r="E18" s="14" t="s">
        <v>11</v>
      </c>
      <c r="F18" s="19">
        <v>0.05</v>
      </c>
      <c r="G18" s="35">
        <f>+$G$16*F18</f>
        <v>198984.25</v>
      </c>
    </row>
    <row r="19" spans="1:7" ht="19.95" customHeight="1" x14ac:dyDescent="0.3">
      <c r="A19" s="13"/>
      <c r="B19" s="13"/>
      <c r="C19" s="13"/>
      <c r="D19" s="13"/>
      <c r="E19" s="14" t="s">
        <v>12</v>
      </c>
      <c r="F19" s="19">
        <v>0.05</v>
      </c>
      <c r="G19" s="35">
        <f>+$G$16*F19</f>
        <v>198984.25</v>
      </c>
    </row>
    <row r="20" spans="1:7" ht="19.95" customHeight="1" x14ac:dyDescent="0.3">
      <c r="A20" s="13"/>
      <c r="B20" s="13"/>
      <c r="C20" s="13"/>
      <c r="D20" s="13"/>
      <c r="E20" s="14" t="s">
        <v>13</v>
      </c>
      <c r="F20" s="19">
        <v>0.19</v>
      </c>
      <c r="G20" s="35">
        <f>+G19*F20</f>
        <v>37807.0075</v>
      </c>
    </row>
    <row r="21" spans="1:7" ht="19.95" customHeight="1" x14ac:dyDescent="0.3">
      <c r="A21" s="13"/>
      <c r="B21" s="13"/>
      <c r="C21" s="13"/>
      <c r="D21" s="13"/>
      <c r="E21" s="85" t="s">
        <v>14</v>
      </c>
      <c r="F21" s="86"/>
      <c r="G21" s="36">
        <f>+G17+G18+G19+G20</f>
        <v>833744.00749999995</v>
      </c>
    </row>
    <row r="22" spans="1:7" ht="19.95" customHeight="1" x14ac:dyDescent="0.3">
      <c r="A22" s="13"/>
      <c r="B22" s="13"/>
      <c r="C22" s="13"/>
      <c r="D22" s="13"/>
      <c r="E22" s="87" t="s">
        <v>15</v>
      </c>
      <c r="F22" s="88"/>
      <c r="G22" s="37">
        <f>+G16+G21</f>
        <v>4813429.0075000003</v>
      </c>
    </row>
    <row r="23" spans="1:7" ht="19.95" customHeight="1" x14ac:dyDescent="0.3"/>
    <row r="24" spans="1:7" ht="19.95" customHeight="1" x14ac:dyDescent="0.3"/>
    <row r="25" spans="1:7" ht="19.95" customHeight="1" x14ac:dyDescent="0.3"/>
    <row r="26" spans="1:7" ht="15" customHeight="1" x14ac:dyDescent="0.3"/>
    <row r="29" spans="1:7" x14ac:dyDescent="0.3">
      <c r="G29" s="38"/>
    </row>
    <row r="30" spans="1:7" x14ac:dyDescent="0.3">
      <c r="G30" s="38"/>
    </row>
  </sheetData>
  <mergeCells count="13">
    <mergeCell ref="A6:G6"/>
    <mergeCell ref="A8:G8"/>
    <mergeCell ref="E16:F16"/>
    <mergeCell ref="E21:F21"/>
    <mergeCell ref="E22:F22"/>
    <mergeCell ref="A1:G1"/>
    <mergeCell ref="A2:G2"/>
    <mergeCell ref="A3:B3"/>
    <mergeCell ref="F3:G5"/>
    <mergeCell ref="A4:B4"/>
    <mergeCell ref="D4:E4"/>
    <mergeCell ref="A5:B5"/>
    <mergeCell ref="D5:E5"/>
  </mergeCells>
  <pageMargins left="0.70866141732283472" right="0.70866141732283472" top="0.74803149606299213" bottom="0.74803149606299213" header="0.31496062992125984" footer="0.31496062992125984"/>
  <pageSetup scale="41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COTIZACIÓN PARTE BLANCA</vt:lpstr>
      <vt:lpstr>COTIZACIÓN PARTE NEGRA</vt:lpstr>
      <vt:lpstr>COTIZACIÓN BARANDAS</vt:lpstr>
      <vt:lpstr>COTIZACIÓN PERSIANAS</vt:lpstr>
      <vt:lpstr>'COTIZACIÓN BARANDAS'!Área_de_impresión</vt:lpstr>
      <vt:lpstr>'COTIZACIÓN PARTE BLANCA'!Área_de_impresión</vt:lpstr>
      <vt:lpstr>'COTIZACIÓN PARTE NEGRA'!Área_de_impresión</vt:lpstr>
      <vt:lpstr>'COTIZACIÓN PERSIANAS'!Área_de_impresión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2024-07-04T22:53:17Z</cp:lastPrinted>
  <dcterms:created xsi:type="dcterms:W3CDTF">2024-02-08T21:06:52Z</dcterms:created>
  <dcterms:modified xsi:type="dcterms:W3CDTF">2025-07-15T19:45:22Z</dcterms:modified>
  <cp:category/>
  <cp:contentStatus/>
</cp:coreProperties>
</file>