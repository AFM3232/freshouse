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D738BF0E-D16D-410C-BA70-1690B8288E5A}" xr6:coauthVersionLast="47" xr6:coauthVersionMax="47" xr10:uidLastSave="{00000000-0000-0000-0000-000000000000}"/>
  <bookViews>
    <workbookView xWindow="-108" yWindow="-108" windowWidth="23256" windowHeight="12456" activeTab="1" xr2:uid="{325B0686-2D22-490A-92F5-0D3E9AAE1101}"/>
  </bookViews>
  <sheets>
    <sheet name="COTIZACIÓN 1" sheetId="1" r:id="rId1"/>
    <sheet name="COTIZACIÓN 2" sheetId="6" r:id="rId2"/>
  </sheets>
  <definedNames>
    <definedName name="_xlnm.Print_Area" localSheetId="0">'COTIZACIÓN 1'!$A$1:$G$24</definedName>
    <definedName name="_xlnm.Print_Area" localSheetId="1">'COTIZACIÓN 2'!$A$1:$G$24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  <c r="G9" i="6"/>
  <c r="G17" i="6"/>
  <c r="G16" i="6"/>
  <c r="G15" i="6"/>
  <c r="G14" i="6"/>
  <c r="G13" i="6"/>
  <c r="G12" i="6"/>
  <c r="G11" i="6"/>
  <c r="G10" i="6"/>
  <c r="G8" i="6"/>
  <c r="G7" i="6"/>
  <c r="G6" i="6"/>
  <c r="G18" i="6" l="1"/>
  <c r="G19" i="6" s="1"/>
  <c r="G21" i="6"/>
  <c r="G22" i="6" s="1"/>
  <c r="G20" i="6"/>
  <c r="G15" i="1"/>
  <c r="G14" i="1"/>
  <c r="G13" i="1"/>
  <c r="G12" i="1"/>
  <c r="G17" i="1"/>
  <c r="G11" i="1"/>
  <c r="G10" i="1"/>
  <c r="G8" i="1"/>
  <c r="G7" i="1"/>
  <c r="G23" i="6" l="1"/>
  <c r="G24" i="6" s="1"/>
  <c r="G9" i="1"/>
  <c r="G6" i="1"/>
  <c r="G16" i="1"/>
  <c r="G21" i="1" l="1"/>
  <c r="G22" i="1" s="1"/>
  <c r="G20" i="1" l="1"/>
  <c r="G19" i="1"/>
  <c r="G23" i="1" l="1"/>
  <c r="G24" i="1" s="1"/>
</calcChain>
</file>

<file path=xl/sharedStrings.xml><?xml version="1.0" encoding="utf-8"?>
<sst xmlns="http://schemas.openxmlformats.org/spreadsheetml/2006/main" count="96" uniqueCount="44">
  <si>
    <t>CAPT</t>
  </si>
  <si>
    <t>ITEMS</t>
  </si>
  <si>
    <t>ML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</si>
  <si>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</si>
  <si>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</si>
  <si>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</si>
  <si>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</si>
  <si>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</si>
  <si>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</si>
  <si>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</si>
  <si>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</si>
  <si>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</si>
  <si>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</si>
  <si>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</si>
  <si>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</si>
  <si>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</si>
  <si>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</si>
  <si>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</si>
  <si>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</si>
  <si>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</si>
  <si>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</si>
  <si>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</si>
  <si>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</si>
  <si>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</si>
  <si>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MT2</t>
  </si>
  <si>
    <t>GLB</t>
  </si>
  <si>
    <t>DEMOLICIÓN - PREPARADO DE SUPERFICIE</t>
  </si>
  <si>
    <t>UND</t>
  </si>
  <si>
    <t>TERMINADO Y LIMPIEZA</t>
  </si>
  <si>
    <t xml:space="preserve">Admin@fresh-house.co
Rensomontoya@fresh-house.co                                                                                                                 </t>
  </si>
  <si>
    <t>Construcción de campamento provisional de obra y bodega para los trabajadores | deposito seguro de los materiales en obra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</si>
  <si>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</si>
  <si>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Aseo general y retiro de pintura.</t>
  </si>
  <si>
    <t xml:space="preserve">  FECHA: 04/02/2025</t>
  </si>
  <si>
    <t xml:space="preserve">  VALIDO HASTA: 04/05/2025</t>
  </si>
  <si>
    <t>Limpieza de fachadas, incluye protección con polisombra</t>
  </si>
  <si>
    <t>Mantenimiento y revoque de fachadas con graniplast antihongos o similar</t>
  </si>
  <si>
    <t>Limpieza y sello con silicona plastica Sika o similar, alrededor de ventanas de fachada. No aplica para ventanas internas</t>
  </si>
  <si>
    <t>Pintura en fachadas exteriores Koraza. Dos manos color blanco, negro y morado en un solo tono, incluye protección con polisombra</t>
  </si>
  <si>
    <t>Limpieza de fachada en piedra. Incluye la aplicación de hidrofugo Siliconite de Pintuco o similar</t>
  </si>
  <si>
    <t>Pintura con esmalte para barandas metalicas balcones y rejas metalicas de fachada. Dos manos- Aplica solamente para elementos de fachada</t>
  </si>
  <si>
    <t>morado a varios tonos</t>
  </si>
  <si>
    <t>morado a 1 tono</t>
  </si>
  <si>
    <t>COTIZACION OBRA - CONJUNTO RESIDENCIAL HEBRON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</si>
</sst>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left" vertical="center" wrapText="1"/>
    </xf>
    <xf numFmtId="164" fontId="5" fillId="0" borderId="6" xfId="0" applyNumberFormat="1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9" fontId="5" fillId="0" borderId="6" xfId="3" applyFont="1" applyFill="1" applyBorder="1" applyAlignment="1">
      <alignment horizontal="center" vertical="center"/>
    </xf>
    <xf numFmtId="164" fontId="5" fillId="0" borderId="3" xfId="2" applyNumberFormat="1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3" fontId="5" fillId="0" borderId="6" xfId="1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43" fontId="3" fillId="2" borderId="14" xfId="0" applyNumberFormat="1" applyFont="1" applyFill="1" applyBorder="1" applyAlignment="1">
      <alignment vertical="center" wrapText="1"/>
    </xf>
    <xf numFmtId="43" fontId="5" fillId="0" borderId="1" xfId="1" applyFont="1" applyFill="1" applyBorder="1" applyAlignment="1">
      <alignment vertical="center" wrapText="1"/>
    </xf>
    <xf numFmtId="165" fontId="3" fillId="2" borderId="13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43" fontId="3" fillId="2" borderId="7" xfId="1" applyFont="1" applyFill="1" applyBorder="1" applyAlignment="1">
      <alignment horizontal="center" vertical="center"/>
    </xf>
    <xf numFmtId="43" fontId="3" fillId="2" borderId="9" xfId="1" applyFont="1" applyFill="1" applyBorder="1" applyAlignment="1">
      <alignment horizontal="center" vertical="center"/>
    </xf>
    <xf numFmtId="43" fontId="3" fillId="2" borderId="8" xfId="1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microsoft.com/office/2022/10/relationships/richValueRel" Target="richData/richValueRel.xml"/><Relationship Id="rId5" Type="http://schemas.openxmlformats.org/officeDocument/2006/relationships/sharedStrings" Target="sharedStrings.xml"/><Relationship Id="rId10" Type="http://schemas.microsoft.com/office/2017/06/relationships/rdRichValue" Target="richData/rdrichvalue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6</xdr:col>
      <xdr:colOff>1104901</xdr:colOff>
      <xdr:row>3</xdr:row>
      <xdr:rowOff>160437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9B59D5-B26C-E1BA-9849-F968261D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3301" y="355600"/>
          <a:ext cx="1968500" cy="7827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6</xdr:col>
      <xdr:colOff>1104901</xdr:colOff>
      <xdr:row>3</xdr:row>
      <xdr:rowOff>160437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901A16-977B-41E6-A17C-D0F27BF3F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5101" y="358140"/>
          <a:ext cx="1963420" cy="7852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zoomScale="70" zoomScaleNormal="70" workbookViewId="0">
      <selection sqref="A1:G1"/>
    </sheetView>
  </sheetViews>
  <sheetFormatPr baseColWidth="10" defaultColWidth="12.33203125" defaultRowHeight="13.8" x14ac:dyDescent="0.3"/>
  <cols>
    <col min="1" max="1" width="8.5546875" style="2" customWidth="1"/>
    <col min="2" max="2" width="8.33203125" style="1" customWidth="1"/>
    <col min="3" max="3" width="77.6640625" style="1" customWidth="1"/>
    <col min="4" max="4" width="20.109375" style="1" bestFit="1" customWidth="1"/>
    <col min="5" max="5" width="14.77734375" style="1" bestFit="1" customWidth="1"/>
    <col min="6" max="6" width="15.109375" style="1" bestFit="1" customWidth="1"/>
    <col min="7" max="7" width="18.44140625" style="1" bestFit="1" customWidth="1"/>
    <col min="8" max="8" width="25.5546875" style="1" customWidth="1"/>
    <col min="9" max="16384" width="12.33203125" style="1"/>
  </cols>
  <sheetData>
    <row r="1" spans="1:12" ht="22.5" customHeight="1" x14ac:dyDescent="0.3">
      <c r="A1" s="42" t="s">
        <v>43</v>
      </c>
      <c r="B1" s="43"/>
      <c r="C1" s="43"/>
      <c r="D1" s="43"/>
      <c r="E1" s="43"/>
      <c r="F1" s="43"/>
      <c r="G1" s="44"/>
    </row>
    <row r="2" spans="1:12" ht="25.2" customHeight="1" x14ac:dyDescent="0.3">
      <c r="A2" s="45" t="s">
        <v>13</v>
      </c>
      <c r="B2" s="46"/>
      <c r="C2" s="3" t="s">
        <v>14</v>
      </c>
      <c r="D2" s="3" t="s">
        <v>15</v>
      </c>
      <c r="E2" s="3" t="s">
        <v>16</v>
      </c>
      <c r="F2" s="47"/>
      <c r="G2" s="48"/>
    </row>
    <row r="3" spans="1:12" ht="30" x14ac:dyDescent="0.3">
      <c r="A3" s="45" t="s">
        <v>17</v>
      </c>
      <c r="B3" s="46"/>
      <c r="C3" s="3" t="s">
        <v>29</v>
      </c>
      <c r="D3" s="45" t="s">
        <v>33</v>
      </c>
      <c r="E3" s="46"/>
      <c r="F3" s="49"/>
      <c r="G3" s="50"/>
      <c r="H3"/>
    </row>
    <row r="4" spans="1:12" ht="22.5" customHeight="1" x14ac:dyDescent="0.3">
      <c r="A4" s="45" t="s">
        <v>18</v>
      </c>
      <c r="B4" s="46"/>
      <c r="C4" s="3" t="s">
        <v>19</v>
      </c>
      <c r="D4" s="45" t="s">
        <v>34</v>
      </c>
      <c r="E4" s="46"/>
      <c r="F4" s="51"/>
      <c r="G4" s="52"/>
      <c r="H4"/>
      <c r="I4" s="56" t="s">
        <v>42</v>
      </c>
      <c r="J4" s="56"/>
      <c r="K4" s="56"/>
      <c r="L4" s="56"/>
    </row>
    <row r="5" spans="1:12" ht="30" x14ac:dyDescent="0.3">
      <c r="A5" s="15" t="s">
        <v>0</v>
      </c>
      <c r="B5" s="15" t="s">
        <v>1</v>
      </c>
      <c r="C5" s="15" t="s">
        <v>4</v>
      </c>
      <c r="D5" s="15" t="s">
        <v>20</v>
      </c>
      <c r="E5" s="15" t="s">
        <v>21</v>
      </c>
      <c r="F5" s="15" t="s">
        <v>22</v>
      </c>
      <c r="G5" s="15" t="s">
        <v>23</v>
      </c>
      <c r="H5"/>
      <c r="I5" s="56"/>
      <c r="J5" s="56"/>
      <c r="K5" s="56"/>
      <c r="L5" s="56"/>
    </row>
    <row r="6" spans="1:12" ht="23.25" customHeight="1" x14ac:dyDescent="0.3">
      <c r="A6" s="21" t="s">
        <v>5</v>
      </c>
      <c r="B6" s="18"/>
      <c r="C6" s="18" t="s">
        <v>6</v>
      </c>
      <c r="D6" s="18"/>
      <c r="E6" s="18"/>
      <c r="F6" s="18"/>
      <c r="G6" s="4">
        <f>SUM(G7:G8)</f>
        <v>0</v>
      </c>
      <c r="I6" s="56"/>
      <c r="J6" s="56"/>
      <c r="K6" s="56"/>
      <c r="L6" s="56"/>
    </row>
    <row r="7" spans="1:12" ht="39" customHeight="1" x14ac:dyDescent="0.3">
      <c r="A7" s="16"/>
      <c r="B7" s="26">
        <v>1.1000000000000001</v>
      </c>
      <c r="C7" s="33" t="s">
        <v>30</v>
      </c>
      <c r="D7" s="29" t="s">
        <v>27</v>
      </c>
      <c r="E7" s="17">
        <v>1</v>
      </c>
      <c r="F7" s="5">
        <v>0</v>
      </c>
      <c r="G7" s="6">
        <f>F7*E7</f>
        <v>0</v>
      </c>
    </row>
    <row r="8" spans="1:12" ht="97.2" customHeight="1" x14ac:dyDescent="0.3">
      <c r="A8" s="16"/>
      <c r="B8" s="26">
        <v>1.2</v>
      </c>
      <c r="C8" s="33" t="s">
        <v>31</v>
      </c>
      <c r="D8" s="29" t="s">
        <v>25</v>
      </c>
      <c r="E8" s="17">
        <v>1</v>
      </c>
      <c r="F8" s="5">
        <v>0</v>
      </c>
      <c r="G8" s="6">
        <f t="shared" ref="G8" si="0">F8*E8</f>
        <v>0</v>
      </c>
    </row>
    <row r="9" spans="1:12" ht="23.25" customHeight="1" x14ac:dyDescent="0.3">
      <c r="A9" s="21">
        <v>2</v>
      </c>
      <c r="B9" s="22"/>
      <c r="C9" s="32" t="s">
        <v>26</v>
      </c>
      <c r="D9" s="18"/>
      <c r="E9" s="19"/>
      <c r="F9" s="18"/>
      <c r="G9" s="4">
        <f>SUM(G10:G15)</f>
        <v>156412362</v>
      </c>
    </row>
    <row r="10" spans="1:12" ht="21.6" customHeight="1" x14ac:dyDescent="0.3">
      <c r="A10" s="23"/>
      <c r="B10" s="27">
        <v>2.1</v>
      </c>
      <c r="C10" s="33" t="s">
        <v>35</v>
      </c>
      <c r="D10" s="30" t="s">
        <v>24</v>
      </c>
      <c r="E10" s="20">
        <v>4560.59</v>
      </c>
      <c r="F10" s="7">
        <v>3300</v>
      </c>
      <c r="G10" s="6">
        <f>F10*E10</f>
        <v>15049947</v>
      </c>
    </row>
    <row r="11" spans="1:12" ht="33" customHeight="1" x14ac:dyDescent="0.3">
      <c r="A11" s="23"/>
      <c r="B11" s="27">
        <v>2.2000000000000002</v>
      </c>
      <c r="C11" s="33" t="s">
        <v>36</v>
      </c>
      <c r="D11" s="30" t="s">
        <v>24</v>
      </c>
      <c r="E11" s="20">
        <v>197.37</v>
      </c>
      <c r="F11" s="7">
        <v>37000</v>
      </c>
      <c r="G11" s="6">
        <f t="shared" ref="G11" si="1">F11*E11</f>
        <v>7302690</v>
      </c>
    </row>
    <row r="12" spans="1:12" ht="34.799999999999997" customHeight="1" x14ac:dyDescent="0.3">
      <c r="A12" s="23"/>
      <c r="B12" s="27">
        <v>2.2999999999999998</v>
      </c>
      <c r="C12" s="33" t="s">
        <v>37</v>
      </c>
      <c r="D12" s="30" t="s">
        <v>2</v>
      </c>
      <c r="E12" s="20">
        <v>7534.4</v>
      </c>
      <c r="F12" s="7">
        <v>5600</v>
      </c>
      <c r="G12" s="6">
        <f t="shared" ref="G12:G15" si="2">F12*E12</f>
        <v>42192640</v>
      </c>
    </row>
    <row r="13" spans="1:12" ht="37.799999999999997" customHeight="1" x14ac:dyDescent="0.3">
      <c r="A13" s="23"/>
      <c r="B13" s="27">
        <v>2.4</v>
      </c>
      <c r="C13" s="33" t="s">
        <v>38</v>
      </c>
      <c r="D13" s="30" t="s">
        <v>24</v>
      </c>
      <c r="E13" s="20">
        <v>3947.39</v>
      </c>
      <c r="F13" s="7">
        <v>17500</v>
      </c>
      <c r="G13" s="6">
        <f t="shared" si="2"/>
        <v>69079325</v>
      </c>
    </row>
    <row r="14" spans="1:12" ht="36" customHeight="1" x14ac:dyDescent="0.3">
      <c r="A14" s="23"/>
      <c r="B14" s="27">
        <v>2.5</v>
      </c>
      <c r="C14" s="33" t="s">
        <v>39</v>
      </c>
      <c r="D14" s="30" t="s">
        <v>24</v>
      </c>
      <c r="E14" s="20">
        <v>452.92</v>
      </c>
      <c r="F14" s="7">
        <v>12000</v>
      </c>
      <c r="G14" s="6">
        <f t="shared" si="2"/>
        <v>5435040</v>
      </c>
    </row>
    <row r="15" spans="1:12" ht="55.2" customHeight="1" x14ac:dyDescent="0.3">
      <c r="A15" s="23"/>
      <c r="B15" s="27">
        <v>2.6</v>
      </c>
      <c r="C15" s="33" t="s">
        <v>40</v>
      </c>
      <c r="D15" s="30" t="s">
        <v>24</v>
      </c>
      <c r="E15" s="20">
        <v>723.03</v>
      </c>
      <c r="F15" s="7">
        <v>24000</v>
      </c>
      <c r="G15" s="6">
        <f t="shared" si="2"/>
        <v>17352720</v>
      </c>
    </row>
    <row r="16" spans="1:12" ht="21" customHeight="1" x14ac:dyDescent="0.3">
      <c r="A16" s="21">
        <v>6</v>
      </c>
      <c r="B16" s="22"/>
      <c r="C16" s="32" t="s">
        <v>28</v>
      </c>
      <c r="D16" s="25"/>
      <c r="E16" s="19"/>
      <c r="F16" s="18"/>
      <c r="G16" s="4">
        <f>SUM(G17:G17)</f>
        <v>400000</v>
      </c>
    </row>
    <row r="17" spans="1:7" ht="21.75" customHeight="1" x14ac:dyDescent="0.3">
      <c r="A17" s="24"/>
      <c r="B17" s="28">
        <v>6.1</v>
      </c>
      <c r="C17" s="33" t="s">
        <v>32</v>
      </c>
      <c r="D17" s="31" t="s">
        <v>27</v>
      </c>
      <c r="E17" s="17">
        <v>1</v>
      </c>
      <c r="F17" s="5">
        <v>400000</v>
      </c>
      <c r="G17" s="6">
        <f>F17*E17</f>
        <v>400000</v>
      </c>
    </row>
    <row r="18" spans="1:7" ht="21.75" customHeight="1" x14ac:dyDescent="0.3">
      <c r="A18" s="8"/>
      <c r="B18" s="9"/>
      <c r="C18" s="9"/>
      <c r="D18" s="53" t="s">
        <v>7</v>
      </c>
      <c r="E18" s="54"/>
      <c r="F18" s="55"/>
      <c r="G18" s="10">
        <f>+G16+G9+G6</f>
        <v>156812362</v>
      </c>
    </row>
    <row r="19" spans="1:7" ht="21.75" customHeight="1" x14ac:dyDescent="0.3">
      <c r="A19" s="8"/>
      <c r="B19" s="9"/>
      <c r="C19" s="9"/>
      <c r="D19" s="40" t="s">
        <v>8</v>
      </c>
      <c r="E19" s="41"/>
      <c r="F19" s="11">
        <v>0.1</v>
      </c>
      <c r="G19" s="12">
        <f>+$G$18*F19</f>
        <v>15681236.200000001</v>
      </c>
    </row>
    <row r="20" spans="1:7" ht="21.75" customHeight="1" x14ac:dyDescent="0.3">
      <c r="A20" s="8"/>
      <c r="B20" s="9"/>
      <c r="C20" s="9"/>
      <c r="D20" s="40" t="s">
        <v>9</v>
      </c>
      <c r="E20" s="41"/>
      <c r="F20" s="11">
        <v>0.05</v>
      </c>
      <c r="G20" s="12">
        <f>+$G$18*F20</f>
        <v>7840618.1000000006</v>
      </c>
    </row>
    <row r="21" spans="1:7" ht="21.75" customHeight="1" x14ac:dyDescent="0.3">
      <c r="A21" s="8"/>
      <c r="B21" s="9"/>
      <c r="C21" s="9"/>
      <c r="D21" s="40" t="s">
        <v>10</v>
      </c>
      <c r="E21" s="41"/>
      <c r="F21" s="11">
        <v>0.05</v>
      </c>
      <c r="G21" s="12">
        <f>+$G$18*F21</f>
        <v>7840618.1000000006</v>
      </c>
    </row>
    <row r="22" spans="1:7" ht="21.75" customHeight="1" x14ac:dyDescent="0.3">
      <c r="A22" s="8"/>
      <c r="B22" s="9"/>
      <c r="C22" s="9"/>
      <c r="D22" s="40" t="s">
        <v>3</v>
      </c>
      <c r="E22" s="41"/>
      <c r="F22" s="11">
        <v>0.19</v>
      </c>
      <c r="G22" s="12">
        <f>+G21*F22</f>
        <v>1489717.439</v>
      </c>
    </row>
    <row r="23" spans="1:7" ht="21.75" customHeight="1" x14ac:dyDescent="0.3">
      <c r="A23" s="8"/>
      <c r="B23" s="9"/>
      <c r="C23" s="9"/>
      <c r="D23" s="37" t="s">
        <v>11</v>
      </c>
      <c r="E23" s="38"/>
      <c r="F23" s="39"/>
      <c r="G23" s="13">
        <f>+G19+G20+G21+G22</f>
        <v>32852189.839000002</v>
      </c>
    </row>
    <row r="24" spans="1:7" ht="15" x14ac:dyDescent="0.3">
      <c r="A24" s="8"/>
      <c r="B24" s="9"/>
      <c r="C24" s="9"/>
      <c r="D24" s="34" t="s">
        <v>12</v>
      </c>
      <c r="E24" s="35"/>
      <c r="F24" s="36"/>
      <c r="G24" s="14">
        <f>+G18+G23</f>
        <v>189664551.83899999</v>
      </c>
    </row>
  </sheetData>
  <mergeCells count="15">
    <mergeCell ref="I4:L6"/>
    <mergeCell ref="D24:F24"/>
    <mergeCell ref="D23:F23"/>
    <mergeCell ref="D22:E22"/>
    <mergeCell ref="A1:G1"/>
    <mergeCell ref="D21:E21"/>
    <mergeCell ref="D20:E20"/>
    <mergeCell ref="D19:E19"/>
    <mergeCell ref="A2:B2"/>
    <mergeCell ref="A3:B3"/>
    <mergeCell ref="D3:E3"/>
    <mergeCell ref="A4:B4"/>
    <mergeCell ref="D4:E4"/>
    <mergeCell ref="F2:G4"/>
    <mergeCell ref="D18:F18"/>
  </mergeCells>
  <phoneticPr fontId="2" type="noConversion"/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8F3A-5170-46D3-BC36-2149D168C411}">
  <dimension ref="A1:L24"/>
  <sheetViews>
    <sheetView tabSelected="1" zoomScale="60" zoomScaleNormal="60" workbookViewId="0">
      <selection sqref="A1:G1"/>
    </sheetView>
  </sheetViews>
  <sheetFormatPr baseColWidth="10" defaultColWidth="12.33203125" defaultRowHeight="13.8" x14ac:dyDescent="0.3"/>
  <cols>
    <col min="1" max="1" width="8.5546875" style="2" customWidth="1"/>
    <col min="2" max="2" width="8.33203125" style="1" customWidth="1"/>
    <col min="3" max="3" width="77.6640625" style="1" customWidth="1"/>
    <col min="4" max="4" width="20.109375" style="1" bestFit="1" customWidth="1"/>
    <col min="5" max="5" width="14.77734375" style="1" bestFit="1" customWidth="1"/>
    <col min="6" max="6" width="15.109375" style="1" bestFit="1" customWidth="1"/>
    <col min="7" max="7" width="18.44140625" style="1" bestFit="1" customWidth="1"/>
    <col min="8" max="8" width="25.5546875" style="1" customWidth="1"/>
    <col min="9" max="16384" width="12.33203125" style="1"/>
  </cols>
  <sheetData>
    <row r="1" spans="1:12" ht="22.5" customHeight="1" x14ac:dyDescent="0.3">
      <c r="A1" s="42" t="s">
        <v>43</v>
      </c>
      <c r="B1" s="43"/>
      <c r="C1" s="43"/>
      <c r="D1" s="43"/>
      <c r="E1" s="43"/>
      <c r="F1" s="43"/>
      <c r="G1" s="44"/>
    </row>
    <row r="2" spans="1:12" ht="25.2" customHeight="1" x14ac:dyDescent="0.3">
      <c r="A2" s="45" t="s">
        <v>13</v>
      </c>
      <c r="B2" s="46"/>
      <c r="C2" s="3" t="s">
        <v>14</v>
      </c>
      <c r="D2" s="3" t="s">
        <v>15</v>
      </c>
      <c r="E2" s="3" t="s">
        <v>16</v>
      </c>
      <c r="F2" s="47"/>
      <c r="G2" s="48"/>
    </row>
    <row r="3" spans="1:12" ht="30" x14ac:dyDescent="0.3">
      <c r="A3" s="45" t="s">
        <v>17</v>
      </c>
      <c r="B3" s="46"/>
      <c r="C3" s="3" t="s">
        <v>29</v>
      </c>
      <c r="D3" s="45" t="s">
        <v>33</v>
      </c>
      <c r="E3" s="46"/>
      <c r="F3" s="49"/>
      <c r="G3" s="50"/>
      <c r="H3"/>
    </row>
    <row r="4" spans="1:12" ht="22.5" customHeight="1" x14ac:dyDescent="0.3">
      <c r="A4" s="45" t="s">
        <v>18</v>
      </c>
      <c r="B4" s="46"/>
      <c r="C4" s="3" t="s">
        <v>19</v>
      </c>
      <c r="D4" s="45" t="s">
        <v>34</v>
      </c>
      <c r="E4" s="46"/>
      <c r="F4" s="51"/>
      <c r="G4" s="52"/>
      <c r="H4"/>
      <c r="I4" s="56" t="s">
        <v>41</v>
      </c>
      <c r="J4" s="56"/>
      <c r="K4" s="56"/>
      <c r="L4" s="56"/>
    </row>
    <row r="5" spans="1:12" ht="30" x14ac:dyDescent="0.3">
      <c r="A5" s="15" t="s">
        <v>0</v>
      </c>
      <c r="B5" s="15" t="s">
        <v>1</v>
      </c>
      <c r="C5" s="15" t="s">
        <v>4</v>
      </c>
      <c r="D5" s="15" t="s">
        <v>20</v>
      </c>
      <c r="E5" s="15" t="s">
        <v>21</v>
      </c>
      <c r="F5" s="15" t="s">
        <v>22</v>
      </c>
      <c r="G5" s="15" t="s">
        <v>23</v>
      </c>
      <c r="H5"/>
      <c r="I5" s="56"/>
      <c r="J5" s="56"/>
      <c r="K5" s="56"/>
      <c r="L5" s="56"/>
    </row>
    <row r="6" spans="1:12" ht="23.25" customHeight="1" x14ac:dyDescent="0.3">
      <c r="A6" s="21" t="s">
        <v>5</v>
      </c>
      <c r="B6" s="18"/>
      <c r="C6" s="18" t="s">
        <v>6</v>
      </c>
      <c r="D6" s="18"/>
      <c r="E6" s="18"/>
      <c r="F6" s="18"/>
      <c r="G6" s="4">
        <f>SUM(G7:G8)</f>
        <v>0</v>
      </c>
      <c r="I6" s="56"/>
      <c r="J6" s="56"/>
      <c r="K6" s="56"/>
      <c r="L6" s="56"/>
    </row>
    <row r="7" spans="1:12" ht="39" customHeight="1" x14ac:dyDescent="0.3">
      <c r="A7" s="16"/>
      <c r="B7" s="26">
        <v>1.1000000000000001</v>
      </c>
      <c r="C7" s="33" t="s">
        <v>30</v>
      </c>
      <c r="D7" s="29" t="s">
        <v>27</v>
      </c>
      <c r="E7" s="17">
        <v>1</v>
      </c>
      <c r="F7" s="5">
        <v>0</v>
      </c>
      <c r="G7" s="6">
        <f>F7*E7</f>
        <v>0</v>
      </c>
    </row>
    <row r="8" spans="1:12" ht="97.2" customHeight="1" x14ac:dyDescent="0.3">
      <c r="A8" s="16"/>
      <c r="B8" s="26">
        <v>1.2</v>
      </c>
      <c r="C8" s="33" t="s">
        <v>31</v>
      </c>
      <c r="D8" s="29" t="s">
        <v>25</v>
      </c>
      <c r="E8" s="17">
        <v>1</v>
      </c>
      <c r="F8" s="5">
        <v>0</v>
      </c>
      <c r="G8" s="6">
        <f t="shared" ref="G8" si="0">F8*E8</f>
        <v>0</v>
      </c>
    </row>
    <row r="9" spans="1:12" ht="23.25" customHeight="1" x14ac:dyDescent="0.3">
      <c r="A9" s="21">
        <v>2</v>
      </c>
      <c r="B9" s="22"/>
      <c r="C9" s="32" t="s">
        <v>26</v>
      </c>
      <c r="D9" s="18"/>
      <c r="E9" s="19"/>
      <c r="F9" s="18"/>
      <c r="G9" s="4">
        <f>SUM(G10:G15)</f>
        <v>156412362</v>
      </c>
    </row>
    <row r="10" spans="1:12" ht="21.6" customHeight="1" x14ac:dyDescent="0.3">
      <c r="A10" s="23"/>
      <c r="B10" s="27">
        <v>2.1</v>
      </c>
      <c r="C10" s="33" t="s">
        <v>35</v>
      </c>
      <c r="D10" s="30" t="s">
        <v>24</v>
      </c>
      <c r="E10" s="20">
        <v>4560.59</v>
      </c>
      <c r="F10" s="7">
        <v>3300</v>
      </c>
      <c r="G10" s="6">
        <f>F10*E10</f>
        <v>15049947</v>
      </c>
    </row>
    <row r="11" spans="1:12" ht="33" customHeight="1" x14ac:dyDescent="0.3">
      <c r="A11" s="23"/>
      <c r="B11" s="27">
        <v>2.2000000000000002</v>
      </c>
      <c r="C11" s="33" t="s">
        <v>36</v>
      </c>
      <c r="D11" s="30" t="s">
        <v>24</v>
      </c>
      <c r="E11" s="20">
        <v>197.37</v>
      </c>
      <c r="F11" s="7">
        <v>37000</v>
      </c>
      <c r="G11" s="6">
        <f t="shared" ref="G11:G15" si="1">F11*E11</f>
        <v>7302690</v>
      </c>
    </row>
    <row r="12" spans="1:12" ht="34.799999999999997" customHeight="1" x14ac:dyDescent="0.3">
      <c r="A12" s="23"/>
      <c r="B12" s="27">
        <v>2.2999999999999998</v>
      </c>
      <c r="C12" s="33" t="s">
        <v>37</v>
      </c>
      <c r="D12" s="30" t="s">
        <v>2</v>
      </c>
      <c r="E12" s="20">
        <v>7534.4</v>
      </c>
      <c r="F12" s="7">
        <v>5600</v>
      </c>
      <c r="G12" s="6">
        <f t="shared" si="1"/>
        <v>42192640</v>
      </c>
    </row>
    <row r="13" spans="1:12" ht="37.799999999999997" customHeight="1" x14ac:dyDescent="0.3">
      <c r="A13" s="23"/>
      <c r="B13" s="27">
        <v>2.4</v>
      </c>
      <c r="C13" s="33" t="s">
        <v>38</v>
      </c>
      <c r="D13" s="30" t="s">
        <v>24</v>
      </c>
      <c r="E13" s="20">
        <v>3947.39</v>
      </c>
      <c r="F13" s="7">
        <v>17500</v>
      </c>
      <c r="G13" s="6">
        <f t="shared" si="1"/>
        <v>69079325</v>
      </c>
    </row>
    <row r="14" spans="1:12" ht="36" customHeight="1" x14ac:dyDescent="0.3">
      <c r="A14" s="23"/>
      <c r="B14" s="27">
        <v>2.5</v>
      </c>
      <c r="C14" s="33" t="s">
        <v>39</v>
      </c>
      <c r="D14" s="30" t="s">
        <v>24</v>
      </c>
      <c r="E14" s="20">
        <v>452.92</v>
      </c>
      <c r="F14" s="7">
        <v>12000</v>
      </c>
      <c r="G14" s="6">
        <f t="shared" si="1"/>
        <v>5435040</v>
      </c>
    </row>
    <row r="15" spans="1:12" ht="55.2" customHeight="1" x14ac:dyDescent="0.3">
      <c r="A15" s="23"/>
      <c r="B15" s="27">
        <v>2.6</v>
      </c>
      <c r="C15" s="33" t="s">
        <v>40</v>
      </c>
      <c r="D15" s="30" t="s">
        <v>24</v>
      </c>
      <c r="E15" s="20">
        <v>723.03</v>
      </c>
      <c r="F15" s="7">
        <v>24000</v>
      </c>
      <c r="G15" s="6">
        <f t="shared" si="1"/>
        <v>17352720</v>
      </c>
    </row>
    <row r="16" spans="1:12" ht="21" customHeight="1" x14ac:dyDescent="0.3">
      <c r="A16" s="21">
        <v>6</v>
      </c>
      <c r="B16" s="22"/>
      <c r="C16" s="32" t="s">
        <v>28</v>
      </c>
      <c r="D16" s="25"/>
      <c r="E16" s="19"/>
      <c r="F16" s="18"/>
      <c r="G16" s="4">
        <f>SUM(G17:G17)</f>
        <v>400000</v>
      </c>
    </row>
    <row r="17" spans="1:7" ht="21.75" customHeight="1" x14ac:dyDescent="0.3">
      <c r="A17" s="24"/>
      <c r="B17" s="28">
        <v>6.1</v>
      </c>
      <c r="C17" s="33" t="s">
        <v>32</v>
      </c>
      <c r="D17" s="31" t="s">
        <v>27</v>
      </c>
      <c r="E17" s="17">
        <v>1</v>
      </c>
      <c r="F17" s="5">
        <v>400000</v>
      </c>
      <c r="G17" s="6">
        <f>F17*E17</f>
        <v>400000</v>
      </c>
    </row>
    <row r="18" spans="1:7" ht="21.75" customHeight="1" x14ac:dyDescent="0.3">
      <c r="A18" s="8"/>
      <c r="B18" s="9"/>
      <c r="C18" s="9"/>
      <c r="D18" s="53" t="s">
        <v>7</v>
      </c>
      <c r="E18" s="54"/>
      <c r="F18" s="55"/>
      <c r="G18" s="10">
        <f>+G16+G9+G6</f>
        <v>156812362</v>
      </c>
    </row>
    <row r="19" spans="1:7" ht="21.75" customHeight="1" x14ac:dyDescent="0.3">
      <c r="A19" s="8"/>
      <c r="B19" s="9"/>
      <c r="C19" s="9"/>
      <c r="D19" s="40" t="s">
        <v>8</v>
      </c>
      <c r="E19" s="41"/>
      <c r="F19" s="11">
        <v>0.1</v>
      </c>
      <c r="G19" s="12">
        <f>+$G$18*F19</f>
        <v>15681236.200000001</v>
      </c>
    </row>
    <row r="20" spans="1:7" ht="21.75" customHeight="1" x14ac:dyDescent="0.3">
      <c r="A20" s="8"/>
      <c r="B20" s="9"/>
      <c r="C20" s="9"/>
      <c r="D20" s="40" t="s">
        <v>9</v>
      </c>
      <c r="E20" s="41"/>
      <c r="F20" s="11">
        <v>0.05</v>
      </c>
      <c r="G20" s="12">
        <f>+$G$18*F20</f>
        <v>7840618.1000000006</v>
      </c>
    </row>
    <row r="21" spans="1:7" ht="21.75" customHeight="1" x14ac:dyDescent="0.3">
      <c r="A21" s="8"/>
      <c r="B21" s="9"/>
      <c r="C21" s="9"/>
      <c r="D21" s="40" t="s">
        <v>10</v>
      </c>
      <c r="E21" s="41"/>
      <c r="F21" s="11">
        <v>0.05</v>
      </c>
      <c r="G21" s="12">
        <f>+$G$18*F21</f>
        <v>7840618.1000000006</v>
      </c>
    </row>
    <row r="22" spans="1:7" ht="21.75" customHeight="1" x14ac:dyDescent="0.3">
      <c r="A22" s="8"/>
      <c r="B22" s="9"/>
      <c r="C22" s="9"/>
      <c r="D22" s="40" t="s">
        <v>3</v>
      </c>
      <c r="E22" s="41"/>
      <c r="F22" s="11">
        <v>0.19</v>
      </c>
      <c r="G22" s="12">
        <f>+G21*F22</f>
        <v>1489717.439</v>
      </c>
    </row>
    <row r="23" spans="1:7" ht="21.75" customHeight="1" x14ac:dyDescent="0.3">
      <c r="A23" s="8"/>
      <c r="B23" s="9"/>
      <c r="C23" s="9"/>
      <c r="D23" s="37" t="s">
        <v>11</v>
      </c>
      <c r="E23" s="38"/>
      <c r="F23" s="39"/>
      <c r="G23" s="13">
        <f>+G19+G20+G21+G22</f>
        <v>32852189.839000002</v>
      </c>
    </row>
    <row r="24" spans="1:7" ht="15" x14ac:dyDescent="0.3">
      <c r="A24" s="8"/>
      <c r="B24" s="9"/>
      <c r="C24" s="9"/>
      <c r="D24" s="34" t="s">
        <v>12</v>
      </c>
      <c r="E24" s="35"/>
      <c r="F24" s="36"/>
      <c r="G24" s="14">
        <f>+G18+G23</f>
        <v>189664551.83899999</v>
      </c>
    </row>
  </sheetData>
  <mergeCells count="15">
    <mergeCell ref="D24:F24"/>
    <mergeCell ref="I4:L6"/>
    <mergeCell ref="D18:F18"/>
    <mergeCell ref="D19:E19"/>
    <mergeCell ref="D20:E20"/>
    <mergeCell ref="D21:E21"/>
    <mergeCell ref="D22:E22"/>
    <mergeCell ref="D23:F2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COTIZACIÓN 1</vt:lpstr>
      <vt:lpstr>COTIZACIÓN 2</vt:lpstr>
      <vt:lpstr>'COTIZACIÓN 1'!Área_de_impresión</vt:lpstr>
      <vt:lpstr>'COTIZACIÓN 2'!Área_de_impresión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2024-09-20T23:06:03Z</cp:lastPrinted>
  <dcterms:created xsi:type="dcterms:W3CDTF">2024-02-08T21:06:52Z</dcterms:created>
  <dcterms:modified xsi:type="dcterms:W3CDTF">2025-03-03T01:51:41Z</dcterms:modified>
  <cp:category/>
  <cp:contentStatus/>
</cp:coreProperties>
</file>