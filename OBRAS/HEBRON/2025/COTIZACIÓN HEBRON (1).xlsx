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D31A5AF3-8754-4A9B-8043-9BF135C72B4E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COTIZACIÓN 1" sheetId="7" r:id="rId1"/>
    <sheet name="COTIZACIÓN 2" sheetId="8" r:id="rId2"/>
  </sheets>
  <definedNames>
    <definedName name="_xlnm.Print_Area" localSheetId="0">'COTIZACIÓN 1'!$A$1:$G$26</definedName>
    <definedName name="_xlnm.Print_Area" localSheetId="1">'COTIZACIÓN 2'!$A$1:$G$26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8" l="1"/>
  <c r="G18" i="8"/>
  <c r="G17" i="8"/>
  <c r="G16" i="8"/>
  <c r="G15" i="8"/>
  <c r="G14" i="8"/>
  <c r="G13" i="8"/>
  <c r="G12" i="8"/>
  <c r="G11" i="8"/>
  <c r="G10" i="8"/>
  <c r="G20" i="8" s="1"/>
  <c r="G6" i="8"/>
  <c r="G17" i="7"/>
  <c r="G19" i="7"/>
  <c r="G18" i="7" s="1"/>
  <c r="G16" i="7"/>
  <c r="G15" i="7"/>
  <c r="G14" i="7"/>
  <c r="G13" i="7"/>
  <c r="G12" i="7"/>
  <c r="G11" i="7"/>
  <c r="G10" i="7" s="1"/>
  <c r="G20" i="7" s="1"/>
  <c r="G23" i="8" l="1"/>
  <c r="G24" i="8" s="1"/>
  <c r="G21" i="8"/>
  <c r="G22" i="8"/>
  <c r="G6" i="7"/>
  <c r="G25" i="8" l="1"/>
  <c r="G26" i="8" s="1"/>
  <c r="G22" i="7"/>
  <c r="G23" i="7" l="1"/>
  <c r="G24" i="7" s="1"/>
  <c r="G21" i="7"/>
  <c r="G25" i="7" l="1"/>
  <c r="G26" i="7" s="1"/>
</calcChain>
</file>

<file path=xl/sharedStrings.xml><?xml version="1.0" encoding="utf-8"?>
<sst xmlns="http://schemas.openxmlformats.org/spreadsheetml/2006/main" count="106" uniqueCount="49">
  <si>
    <t>CAPT</t>
  </si>
  <si>
    <t>ITEMS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</si>
  <si>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</si>
  <si>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</si>
  <si>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</si>
  <si>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</si>
  <si>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</si>
  <si>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</si>
  <si>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</si>
  <si>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</si>
  <si>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</si>
  <si>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</si>
  <si>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</si>
  <si>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</si>
  <si>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</si>
  <si>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</si>
  <si>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</si>
  <si>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</si>
  <si>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</si>
  <si>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</si>
  <si>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</si>
  <si>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</si>
  <si>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</si>
  <si>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</si>
  <si>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MT2</t>
  </si>
  <si>
    <t>GLB</t>
  </si>
  <si>
    <t>UND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</si>
  <si>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</si>
  <si>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</si>
  <si>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</si>
  <si>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</si>
  <si>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</si>
  <si>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 xml:space="preserve">  FECHA: 04/02/2025</t>
  </si>
  <si>
    <t xml:space="preserve">  VALIDO HASTA: 04/05/2025</t>
  </si>
  <si>
    <t>Limpieza de fachadas, incluye protección con polisombra</t>
  </si>
  <si>
    <t>Limpieza y sello con silicona plastica Sika o similar, alrededor de ventanas de fachada. No aplica para ventanas internas</t>
  </si>
  <si>
    <t>Limpieza de fachada en piedra. Incluye la aplicación de hidrofugo Siliconite de Pintuco o similar</t>
  </si>
  <si>
    <t>Pintura con esmalte para barandas metalicas balcones y rejas metalicas de fachada. Dos manos- Aplica solamente para elementos de fachada</t>
  </si>
  <si>
    <t>INCLUIDO</t>
  </si>
  <si>
    <t>Estuco y pintura Techos balcones. Dos manos de pintura</t>
  </si>
  <si>
    <t>FACHADAS Y COMPLEMENTARIOS</t>
  </si>
  <si>
    <t>FACHADAS</t>
  </si>
  <si>
    <t>Mantenimiento y revoque de fachadas con graniplast antihongos o similar (5% del área de pintura de fachadas)</t>
  </si>
  <si>
    <t>Pintura en fachadas exteriores (Koraza o similar). Dos manos color blanco, negro y morado en un solo tono, incluye protección con polisombra</t>
  </si>
  <si>
    <t>Pintura en fachadas exteriores (Koraza o similar). Dos manos color blanco, negro y morado a diferentes tonos, incluye protección con polisombra</t>
  </si>
  <si>
    <t>TONOS DIFERENTES</t>
  </si>
  <si>
    <t>1 SOLO TONO</t>
  </si>
  <si>
    <t>PROPUESTA 1 - COTIZACION OBRA - CONJUNTO RESIDENCIAL HEBRON</t>
  </si>
  <si>
    <t>PROPUESTA 2 - COTIZACION OBRA - CONJUNTO RESIDENCIAL HEBRON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</si>
</sst>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6" xfId="3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3" fontId="4" fillId="0" borderId="6" xfId="1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43" fontId="2" fillId="2" borderId="14" xfId="0" applyNumberFormat="1" applyFont="1" applyFill="1" applyBorder="1" applyAlignment="1">
      <alignment vertical="center" wrapText="1"/>
    </xf>
    <xf numFmtId="43" fontId="4" fillId="0" borderId="1" xfId="1" applyFont="1" applyFill="1" applyBorder="1" applyAlignment="1">
      <alignment vertical="center" wrapText="1"/>
    </xf>
    <xf numFmtId="165" fontId="2" fillId="2" borderId="1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3" fontId="4" fillId="0" borderId="14" xfId="1" applyFont="1" applyFill="1" applyBorder="1" applyAlignment="1">
      <alignment vertical="center" wrapText="1"/>
    </xf>
    <xf numFmtId="165" fontId="2" fillId="2" borderId="21" xfId="0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43" fontId="2" fillId="2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165" fontId="2" fillId="6" borderId="23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43" fontId="2" fillId="6" borderId="9" xfId="0" applyNumberFormat="1" applyFont="1" applyFill="1" applyBorder="1" applyAlignment="1">
      <alignment vertical="center" wrapText="1"/>
    </xf>
    <xf numFmtId="0" fontId="2" fillId="6" borderId="24" xfId="0" applyFont="1" applyFill="1" applyBorder="1" applyAlignment="1">
      <alignment vertical="center" wrapText="1"/>
    </xf>
    <xf numFmtId="164" fontId="2" fillId="6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43" fontId="2" fillId="2" borderId="7" xfId="1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7" borderId="9" xfId="0" applyFont="1" applyFill="1" applyBorder="1" applyAlignment="1">
      <alignment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22/10/relationships/richValueRel" Target="richData/richValueRel.xml"/><Relationship Id="rId5" Type="http://schemas.openxmlformats.org/officeDocument/2006/relationships/sharedStrings" Target="sharedStrings.xml"/><Relationship Id="rId10" Type="http://schemas.microsoft.com/office/2017/06/relationships/rdRichValue" Target="richData/rdrichvalue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7451" y="361950"/>
          <a:ext cx="1936750" cy="7795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4976" y="361950"/>
          <a:ext cx="1927225" cy="77820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zoomScale="60" zoomScaleNormal="60" workbookViewId="0">
      <selection activeCell="G20" sqref="G20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10" s="37" customFormat="1" ht="22.5" customHeight="1" x14ac:dyDescent="0.3">
      <c r="A1" s="48" t="s">
        <v>47</v>
      </c>
      <c r="B1" s="49"/>
      <c r="C1" s="49"/>
      <c r="D1" s="49"/>
      <c r="E1" s="49"/>
      <c r="F1" s="49"/>
      <c r="G1" s="50"/>
    </row>
    <row r="2" spans="1:10" ht="30" x14ac:dyDescent="0.3">
      <c r="A2" s="51" t="s">
        <v>13</v>
      </c>
      <c r="B2" s="52"/>
      <c r="C2" s="3" t="s">
        <v>14</v>
      </c>
      <c r="D2" s="3" t="s">
        <v>15</v>
      </c>
      <c r="E2" s="3" t="s">
        <v>16</v>
      </c>
      <c r="F2" s="53"/>
      <c r="G2" s="54"/>
    </row>
    <row r="3" spans="1:10" ht="30" x14ac:dyDescent="0.3">
      <c r="A3" s="51" t="s">
        <v>17</v>
      </c>
      <c r="B3" s="52"/>
      <c r="C3" s="3" t="s">
        <v>28</v>
      </c>
      <c r="D3" s="51" t="s">
        <v>32</v>
      </c>
      <c r="E3" s="52"/>
      <c r="F3" s="55"/>
      <c r="G3" s="56"/>
      <c r="H3"/>
    </row>
    <row r="4" spans="1:10" ht="40.5" customHeight="1" x14ac:dyDescent="0.3">
      <c r="A4" s="51" t="s">
        <v>18</v>
      </c>
      <c r="B4" s="52"/>
      <c r="C4" s="3" t="s">
        <v>19</v>
      </c>
      <c r="D4" s="51" t="s">
        <v>33</v>
      </c>
      <c r="E4" s="52"/>
      <c r="F4" s="57"/>
      <c r="G4" s="58"/>
      <c r="H4"/>
    </row>
    <row r="5" spans="1:10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  <c r="I5" s="65" t="s">
        <v>46</v>
      </c>
      <c r="J5" s="65"/>
    </row>
    <row r="6" spans="1:10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  <c r="I6" s="65"/>
      <c r="J6" s="65"/>
    </row>
    <row r="7" spans="1:10" ht="39" customHeight="1" x14ac:dyDescent="0.3">
      <c r="A7" s="14"/>
      <c r="B7" s="23">
        <v>1.1000000000000001</v>
      </c>
      <c r="C7" s="30" t="s">
        <v>29</v>
      </c>
      <c r="D7" s="26" t="s">
        <v>26</v>
      </c>
      <c r="E7" s="15">
        <v>1</v>
      </c>
      <c r="F7" s="31" t="s">
        <v>38</v>
      </c>
      <c r="G7" s="6"/>
      <c r="I7" s="65"/>
      <c r="J7" s="65"/>
    </row>
    <row r="8" spans="1:10" ht="90" x14ac:dyDescent="0.3">
      <c r="A8" s="14"/>
      <c r="B8" s="23">
        <v>1.2</v>
      </c>
      <c r="C8" s="30" t="s">
        <v>30</v>
      </c>
      <c r="D8" s="26" t="s">
        <v>25</v>
      </c>
      <c r="E8" s="15">
        <v>1</v>
      </c>
      <c r="F8" s="31" t="s">
        <v>38</v>
      </c>
      <c r="G8" s="6"/>
    </row>
    <row r="9" spans="1:10" ht="23.25" customHeight="1" x14ac:dyDescent="0.3">
      <c r="A9" s="39">
        <v>1</v>
      </c>
      <c r="B9" s="40"/>
      <c r="C9" s="41" t="s">
        <v>41</v>
      </c>
      <c r="D9" s="40"/>
      <c r="E9" s="42"/>
      <c r="F9" s="43"/>
      <c r="G9" s="44"/>
    </row>
    <row r="10" spans="1:10" s="45" customFormat="1" ht="23.25" customHeight="1" x14ac:dyDescent="0.3">
      <c r="A10" s="34">
        <v>1.1000000000000001</v>
      </c>
      <c r="B10" s="22"/>
      <c r="C10" s="35" t="s">
        <v>40</v>
      </c>
      <c r="D10" s="22"/>
      <c r="E10" s="36"/>
      <c r="F10" s="22"/>
      <c r="G10" s="38">
        <f>SUM(G11:G17)</f>
        <v>169173818</v>
      </c>
    </row>
    <row r="11" spans="1:10" ht="21.6" customHeight="1" x14ac:dyDescent="0.3">
      <c r="A11" s="20"/>
      <c r="B11" s="24">
        <v>10101</v>
      </c>
      <c r="C11" s="30" t="s">
        <v>34</v>
      </c>
      <c r="D11" s="27" t="s">
        <v>24</v>
      </c>
      <c r="E11" s="18">
        <v>4560.59</v>
      </c>
      <c r="F11" s="7">
        <v>3100</v>
      </c>
      <c r="G11" s="6">
        <f>F11*E11</f>
        <v>14137829</v>
      </c>
    </row>
    <row r="12" spans="1:10" ht="30" x14ac:dyDescent="0.3">
      <c r="A12" s="20"/>
      <c r="B12" s="24">
        <v>10102</v>
      </c>
      <c r="C12" s="30" t="s">
        <v>42</v>
      </c>
      <c r="D12" s="27" t="s">
        <v>24</v>
      </c>
      <c r="E12" s="18">
        <v>197.37</v>
      </c>
      <c r="F12" s="7">
        <v>34000</v>
      </c>
      <c r="G12" s="6">
        <f t="shared" ref="G12:G16" si="0">F12*E12</f>
        <v>6710580</v>
      </c>
    </row>
    <row r="13" spans="1:10" ht="30" x14ac:dyDescent="0.3">
      <c r="A13" s="20"/>
      <c r="B13" s="24">
        <v>10103</v>
      </c>
      <c r="C13" s="30" t="s">
        <v>35</v>
      </c>
      <c r="D13" s="27" t="s">
        <v>2</v>
      </c>
      <c r="E13" s="18">
        <v>7534.4</v>
      </c>
      <c r="F13" s="7">
        <v>5400</v>
      </c>
      <c r="G13" s="6">
        <f t="shared" si="0"/>
        <v>40685760</v>
      </c>
    </row>
    <row r="14" spans="1:10" ht="45" x14ac:dyDescent="0.3">
      <c r="A14" s="20"/>
      <c r="B14" s="24">
        <v>10104</v>
      </c>
      <c r="C14" s="30" t="s">
        <v>43</v>
      </c>
      <c r="D14" s="27" t="s">
        <v>24</v>
      </c>
      <c r="E14" s="18">
        <v>3947.39</v>
      </c>
      <c r="F14" s="7">
        <v>17500</v>
      </c>
      <c r="G14" s="6">
        <f t="shared" si="0"/>
        <v>69079325</v>
      </c>
    </row>
    <row r="15" spans="1:10" ht="36" customHeight="1" x14ac:dyDescent="0.3">
      <c r="A15" s="20"/>
      <c r="B15" s="24">
        <v>10105</v>
      </c>
      <c r="C15" s="30" t="s">
        <v>36</v>
      </c>
      <c r="D15" s="27" t="s">
        <v>24</v>
      </c>
      <c r="E15" s="18">
        <v>452.92</v>
      </c>
      <c r="F15" s="7">
        <v>16000</v>
      </c>
      <c r="G15" s="6">
        <f t="shared" si="0"/>
        <v>7246720</v>
      </c>
    </row>
    <row r="16" spans="1:10" ht="55.2" customHeight="1" x14ac:dyDescent="0.3">
      <c r="A16" s="20"/>
      <c r="B16" s="24">
        <v>10106</v>
      </c>
      <c r="C16" s="30" t="s">
        <v>37</v>
      </c>
      <c r="D16" s="27" t="s">
        <v>24</v>
      </c>
      <c r="E16" s="18">
        <v>1261.3800000000001</v>
      </c>
      <c r="F16" s="7">
        <v>16800</v>
      </c>
      <c r="G16" s="6">
        <f t="shared" si="0"/>
        <v>21191184</v>
      </c>
    </row>
    <row r="17" spans="1:7" ht="55.2" customHeight="1" x14ac:dyDescent="0.3">
      <c r="A17" s="32"/>
      <c r="B17" s="24">
        <v>10107</v>
      </c>
      <c r="C17" s="30" t="s">
        <v>39</v>
      </c>
      <c r="D17" s="27" t="s">
        <v>24</v>
      </c>
      <c r="E17" s="33">
        <v>723.03</v>
      </c>
      <c r="F17" s="7">
        <v>14000</v>
      </c>
      <c r="G17" s="6">
        <f t="shared" ref="G17" si="1">F17*E17</f>
        <v>10122420</v>
      </c>
    </row>
    <row r="18" spans="1:7" s="45" customFormat="1" ht="21" customHeight="1" x14ac:dyDescent="0.3">
      <c r="A18" s="19">
        <v>1.2</v>
      </c>
      <c r="B18" s="22"/>
      <c r="C18" s="29" t="s">
        <v>27</v>
      </c>
      <c r="D18" s="22"/>
      <c r="E18" s="17"/>
      <c r="F18" s="16"/>
      <c r="G18" s="38">
        <f>SUM(G19:G19)</f>
        <v>400000</v>
      </c>
    </row>
    <row r="19" spans="1:7" ht="21.75" customHeight="1" x14ac:dyDescent="0.3">
      <c r="A19" s="21"/>
      <c r="B19" s="25">
        <v>10201</v>
      </c>
      <c r="C19" s="30" t="s">
        <v>31</v>
      </c>
      <c r="D19" s="28" t="s">
        <v>26</v>
      </c>
      <c r="E19" s="15">
        <v>1</v>
      </c>
      <c r="F19" s="5">
        <v>400000</v>
      </c>
      <c r="G19" s="6">
        <f>F19*E19</f>
        <v>400000</v>
      </c>
    </row>
    <row r="20" spans="1:7" ht="21.75" customHeight="1" x14ac:dyDescent="0.3">
      <c r="A20" s="8"/>
      <c r="B20" s="9"/>
      <c r="C20" s="9"/>
      <c r="D20" s="66" t="s">
        <v>7</v>
      </c>
      <c r="E20" s="67"/>
      <c r="F20" s="68"/>
      <c r="G20" s="46">
        <f>+G10+G18</f>
        <v>169573818</v>
      </c>
    </row>
    <row r="21" spans="1:7" ht="21.75" customHeight="1" x14ac:dyDescent="0.3">
      <c r="A21" s="8"/>
      <c r="B21" s="9"/>
      <c r="C21" s="9"/>
      <c r="D21" s="69" t="s">
        <v>8</v>
      </c>
      <c r="E21" s="70"/>
      <c r="F21" s="10">
        <v>0.08</v>
      </c>
      <c r="G21" s="11">
        <f>+$G$20*F21</f>
        <v>13565905.439999999</v>
      </c>
    </row>
    <row r="22" spans="1:7" ht="21.75" customHeight="1" x14ac:dyDescent="0.3">
      <c r="A22" s="8"/>
      <c r="B22" s="9"/>
      <c r="C22" s="9"/>
      <c r="D22" s="69" t="s">
        <v>9</v>
      </c>
      <c r="E22" s="70"/>
      <c r="F22" s="10">
        <v>0.05</v>
      </c>
      <c r="G22" s="11">
        <f>+$G$20*F22</f>
        <v>8478690.9000000004</v>
      </c>
    </row>
    <row r="23" spans="1:7" ht="21.75" customHeight="1" x14ac:dyDescent="0.3">
      <c r="A23" s="8"/>
      <c r="B23" s="9"/>
      <c r="C23" s="9"/>
      <c r="D23" s="69" t="s">
        <v>10</v>
      </c>
      <c r="E23" s="70"/>
      <c r="F23" s="10">
        <v>0.05</v>
      </c>
      <c r="G23" s="11">
        <f>+$G$20*F23</f>
        <v>8478690.9000000004</v>
      </c>
    </row>
    <row r="24" spans="1:7" ht="21.75" customHeight="1" x14ac:dyDescent="0.3">
      <c r="A24" s="8"/>
      <c r="B24" s="9"/>
      <c r="C24" s="9"/>
      <c r="D24" s="69" t="s">
        <v>3</v>
      </c>
      <c r="E24" s="70"/>
      <c r="F24" s="10">
        <v>0.19</v>
      </c>
      <c r="G24" s="11">
        <f>+G23*F24</f>
        <v>1610951.2710000002</v>
      </c>
    </row>
    <row r="25" spans="1:7" ht="21.75" customHeight="1" x14ac:dyDescent="0.3">
      <c r="A25" s="8"/>
      <c r="B25" s="9"/>
      <c r="C25" s="9"/>
      <c r="D25" s="59" t="s">
        <v>11</v>
      </c>
      <c r="E25" s="60"/>
      <c r="F25" s="61"/>
      <c r="G25" s="47">
        <f>+G21+G22+G23+G24</f>
        <v>32134238.511000004</v>
      </c>
    </row>
    <row r="26" spans="1:7" ht="15" x14ac:dyDescent="0.3">
      <c r="A26" s="8"/>
      <c r="B26" s="9"/>
      <c r="C26" s="9"/>
      <c r="D26" s="62" t="s">
        <v>12</v>
      </c>
      <c r="E26" s="63"/>
      <c r="F26" s="64"/>
      <c r="G26" s="12">
        <f>+G20+G25</f>
        <v>201708056.51100001</v>
      </c>
    </row>
  </sheetData>
  <mergeCells count="15">
    <mergeCell ref="D25:F25"/>
    <mergeCell ref="D26:F26"/>
    <mergeCell ref="I5:J7"/>
    <mergeCell ref="D20:F20"/>
    <mergeCell ref="D21:E21"/>
    <mergeCell ref="D22:E22"/>
    <mergeCell ref="D23:E23"/>
    <mergeCell ref="D24:E24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6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abSelected="1" topLeftCell="A7" zoomScale="80" zoomScaleNormal="80" workbookViewId="0">
      <selection activeCell="D9" sqref="D9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10" s="37" customFormat="1" ht="22.5" customHeight="1" x14ac:dyDescent="0.3">
      <c r="A1" s="48" t="s">
        <v>48</v>
      </c>
      <c r="B1" s="49"/>
      <c r="C1" s="49"/>
      <c r="D1" s="49"/>
      <c r="E1" s="49"/>
      <c r="F1" s="49"/>
      <c r="G1" s="50"/>
    </row>
    <row r="2" spans="1:10" ht="30" x14ac:dyDescent="0.3">
      <c r="A2" s="51" t="s">
        <v>13</v>
      </c>
      <c r="B2" s="52"/>
      <c r="C2" s="3" t="s">
        <v>14</v>
      </c>
      <c r="D2" s="3" t="s">
        <v>15</v>
      </c>
      <c r="E2" s="3" t="s">
        <v>16</v>
      </c>
      <c r="F2" s="53"/>
      <c r="G2" s="54"/>
    </row>
    <row r="3" spans="1:10" ht="30" x14ac:dyDescent="0.3">
      <c r="A3" s="51" t="s">
        <v>17</v>
      </c>
      <c r="B3" s="52"/>
      <c r="C3" s="3" t="s">
        <v>28</v>
      </c>
      <c r="D3" s="51" t="s">
        <v>32</v>
      </c>
      <c r="E3" s="52"/>
      <c r="F3" s="55"/>
      <c r="G3" s="56"/>
      <c r="H3"/>
    </row>
    <row r="4" spans="1:10" ht="40.5" customHeight="1" x14ac:dyDescent="0.3">
      <c r="A4" s="51" t="s">
        <v>18</v>
      </c>
      <c r="B4" s="52"/>
      <c r="C4" s="3" t="s">
        <v>19</v>
      </c>
      <c r="D4" s="51" t="s">
        <v>33</v>
      </c>
      <c r="E4" s="52"/>
      <c r="F4" s="57"/>
      <c r="G4" s="58"/>
      <c r="H4"/>
    </row>
    <row r="5" spans="1:10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  <c r="I5" s="65" t="s">
        <v>45</v>
      </c>
      <c r="J5" s="65"/>
    </row>
    <row r="6" spans="1:10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  <c r="I6" s="65"/>
      <c r="J6" s="65"/>
    </row>
    <row r="7" spans="1:10" ht="39" customHeight="1" x14ac:dyDescent="0.3">
      <c r="A7" s="14"/>
      <c r="B7" s="23">
        <v>1.1000000000000001</v>
      </c>
      <c r="C7" s="30" t="s">
        <v>29</v>
      </c>
      <c r="D7" s="26" t="s">
        <v>26</v>
      </c>
      <c r="E7" s="15">
        <v>1</v>
      </c>
      <c r="F7" s="31" t="s">
        <v>38</v>
      </c>
      <c r="G7" s="6"/>
      <c r="I7" s="65"/>
      <c r="J7" s="65"/>
    </row>
    <row r="8" spans="1:10" ht="90" x14ac:dyDescent="0.3">
      <c r="A8" s="14"/>
      <c r="B8" s="23">
        <v>1.2</v>
      </c>
      <c r="C8" s="30" t="s">
        <v>30</v>
      </c>
      <c r="D8" s="26" t="s">
        <v>25</v>
      </c>
      <c r="E8" s="15">
        <v>1</v>
      </c>
      <c r="F8" s="31" t="s">
        <v>38</v>
      </c>
      <c r="G8" s="6"/>
    </row>
    <row r="9" spans="1:10" ht="23.25" customHeight="1" x14ac:dyDescent="0.3">
      <c r="A9" s="39">
        <v>1</v>
      </c>
      <c r="B9" s="40"/>
      <c r="C9" s="41" t="s">
        <v>41</v>
      </c>
      <c r="D9" s="71"/>
      <c r="E9" s="42"/>
      <c r="F9" s="43"/>
      <c r="G9" s="44"/>
    </row>
    <row r="10" spans="1:10" s="45" customFormat="1" ht="23.25" customHeight="1" x14ac:dyDescent="0.3">
      <c r="A10" s="34">
        <v>1.1000000000000001</v>
      </c>
      <c r="B10" s="22"/>
      <c r="C10" s="35" t="s">
        <v>40</v>
      </c>
      <c r="D10" s="22"/>
      <c r="E10" s="36"/>
      <c r="F10" s="22"/>
      <c r="G10" s="38">
        <f>SUM(G11:G17)</f>
        <v>189897615.5</v>
      </c>
    </row>
    <row r="11" spans="1:10" ht="21.6" customHeight="1" x14ac:dyDescent="0.3">
      <c r="A11" s="20"/>
      <c r="B11" s="24">
        <v>10101</v>
      </c>
      <c r="C11" s="30" t="s">
        <v>34</v>
      </c>
      <c r="D11" s="27" t="s">
        <v>24</v>
      </c>
      <c r="E11" s="18">
        <v>4560.59</v>
      </c>
      <c r="F11" s="7">
        <v>3100</v>
      </c>
      <c r="G11" s="6">
        <f>F11*E11</f>
        <v>14137829</v>
      </c>
    </row>
    <row r="12" spans="1:10" ht="30" x14ac:dyDescent="0.3">
      <c r="A12" s="20"/>
      <c r="B12" s="24">
        <v>10102</v>
      </c>
      <c r="C12" s="30" t="s">
        <v>42</v>
      </c>
      <c r="D12" s="27" t="s">
        <v>24</v>
      </c>
      <c r="E12" s="18">
        <v>197.37</v>
      </c>
      <c r="F12" s="7">
        <v>34000</v>
      </c>
      <c r="G12" s="6">
        <f t="shared" ref="G12:G17" si="0">F12*E12</f>
        <v>6710580</v>
      </c>
    </row>
    <row r="13" spans="1:10" ht="30" x14ac:dyDescent="0.3">
      <c r="A13" s="20"/>
      <c r="B13" s="24">
        <v>10103</v>
      </c>
      <c r="C13" s="30" t="s">
        <v>35</v>
      </c>
      <c r="D13" s="27" t="s">
        <v>2</v>
      </c>
      <c r="E13" s="18">
        <v>7534.4</v>
      </c>
      <c r="F13" s="7">
        <v>5400</v>
      </c>
      <c r="G13" s="6">
        <f t="shared" si="0"/>
        <v>40685760</v>
      </c>
    </row>
    <row r="14" spans="1:10" ht="45" x14ac:dyDescent="0.3">
      <c r="A14" s="20"/>
      <c r="B14" s="24">
        <v>10104</v>
      </c>
      <c r="C14" s="30" t="s">
        <v>44</v>
      </c>
      <c r="D14" s="27" t="s">
        <v>24</v>
      </c>
      <c r="E14" s="18">
        <v>3947.39</v>
      </c>
      <c r="F14" s="7">
        <v>22750</v>
      </c>
      <c r="G14" s="6">
        <f t="shared" si="0"/>
        <v>89803122.5</v>
      </c>
    </row>
    <row r="15" spans="1:10" ht="36" customHeight="1" x14ac:dyDescent="0.3">
      <c r="A15" s="20"/>
      <c r="B15" s="24">
        <v>10105</v>
      </c>
      <c r="C15" s="30" t="s">
        <v>36</v>
      </c>
      <c r="D15" s="27" t="s">
        <v>24</v>
      </c>
      <c r="E15" s="18">
        <v>452.92</v>
      </c>
      <c r="F15" s="7">
        <v>16000</v>
      </c>
      <c r="G15" s="6">
        <f t="shared" si="0"/>
        <v>7246720</v>
      </c>
    </row>
    <row r="16" spans="1:10" ht="55.2" customHeight="1" x14ac:dyDescent="0.3">
      <c r="A16" s="20"/>
      <c r="B16" s="24">
        <v>10106</v>
      </c>
      <c r="C16" s="30" t="s">
        <v>37</v>
      </c>
      <c r="D16" s="27" t="s">
        <v>24</v>
      </c>
      <c r="E16" s="18">
        <v>1261.3800000000001</v>
      </c>
      <c r="F16" s="7">
        <v>16800</v>
      </c>
      <c r="G16" s="6">
        <f t="shared" si="0"/>
        <v>21191184</v>
      </c>
    </row>
    <row r="17" spans="1:7" ht="55.2" customHeight="1" x14ac:dyDescent="0.3">
      <c r="A17" s="32"/>
      <c r="B17" s="24">
        <v>10107</v>
      </c>
      <c r="C17" s="30" t="s">
        <v>39</v>
      </c>
      <c r="D17" s="27" t="s">
        <v>24</v>
      </c>
      <c r="E17" s="33">
        <v>723.03</v>
      </c>
      <c r="F17" s="7">
        <v>14000</v>
      </c>
      <c r="G17" s="6">
        <f t="shared" si="0"/>
        <v>10122420</v>
      </c>
    </row>
    <row r="18" spans="1:7" s="45" customFormat="1" ht="21" customHeight="1" x14ac:dyDescent="0.3">
      <c r="A18" s="19">
        <v>1.2</v>
      </c>
      <c r="B18" s="22"/>
      <c r="C18" s="29" t="s">
        <v>27</v>
      </c>
      <c r="D18" s="22"/>
      <c r="E18" s="17"/>
      <c r="F18" s="16"/>
      <c r="G18" s="38">
        <f>SUM(G19:G19)</f>
        <v>400000</v>
      </c>
    </row>
    <row r="19" spans="1:7" ht="21.75" customHeight="1" x14ac:dyDescent="0.3">
      <c r="A19" s="21"/>
      <c r="B19" s="25">
        <v>10201</v>
      </c>
      <c r="C19" s="30" t="s">
        <v>31</v>
      </c>
      <c r="D19" s="28" t="s">
        <v>26</v>
      </c>
      <c r="E19" s="15">
        <v>1</v>
      </c>
      <c r="F19" s="5">
        <v>400000</v>
      </c>
      <c r="G19" s="6">
        <f>F19*E19</f>
        <v>400000</v>
      </c>
    </row>
    <row r="20" spans="1:7" ht="21.75" customHeight="1" x14ac:dyDescent="0.3">
      <c r="A20" s="8"/>
      <c r="B20" s="9"/>
      <c r="C20" s="9"/>
      <c r="D20" s="66" t="s">
        <v>7</v>
      </c>
      <c r="E20" s="67"/>
      <c r="F20" s="68"/>
      <c r="G20" s="46">
        <f>+G10+G18</f>
        <v>190297615.5</v>
      </c>
    </row>
    <row r="21" spans="1:7" ht="21.75" customHeight="1" x14ac:dyDescent="0.3">
      <c r="A21" s="8"/>
      <c r="B21" s="9"/>
      <c r="C21" s="9"/>
      <c r="D21" s="69" t="s">
        <v>8</v>
      </c>
      <c r="E21" s="70"/>
      <c r="F21" s="10">
        <v>0.08</v>
      </c>
      <c r="G21" s="11">
        <f>+$G$20*F21</f>
        <v>15223809.24</v>
      </c>
    </row>
    <row r="22" spans="1:7" ht="21.75" customHeight="1" x14ac:dyDescent="0.3">
      <c r="A22" s="8"/>
      <c r="B22" s="9"/>
      <c r="C22" s="9"/>
      <c r="D22" s="69" t="s">
        <v>9</v>
      </c>
      <c r="E22" s="70"/>
      <c r="F22" s="10">
        <v>0.05</v>
      </c>
      <c r="G22" s="11">
        <f>+$G$20*F22</f>
        <v>9514880.7750000004</v>
      </c>
    </row>
    <row r="23" spans="1:7" ht="21.75" customHeight="1" x14ac:dyDescent="0.3">
      <c r="A23" s="8"/>
      <c r="B23" s="9"/>
      <c r="C23" s="9"/>
      <c r="D23" s="69" t="s">
        <v>10</v>
      </c>
      <c r="E23" s="70"/>
      <c r="F23" s="10">
        <v>0.05</v>
      </c>
      <c r="G23" s="11">
        <f>+$G$20*F23</f>
        <v>9514880.7750000004</v>
      </c>
    </row>
    <row r="24" spans="1:7" ht="21.75" customHeight="1" x14ac:dyDescent="0.3">
      <c r="A24" s="8"/>
      <c r="B24" s="9"/>
      <c r="C24" s="9"/>
      <c r="D24" s="69" t="s">
        <v>3</v>
      </c>
      <c r="E24" s="70"/>
      <c r="F24" s="10">
        <v>0.19</v>
      </c>
      <c r="G24" s="11">
        <f>+G23*F24</f>
        <v>1807827.3472500001</v>
      </c>
    </row>
    <row r="25" spans="1:7" ht="21.75" customHeight="1" x14ac:dyDescent="0.3">
      <c r="A25" s="8"/>
      <c r="B25" s="9"/>
      <c r="C25" s="9"/>
      <c r="D25" s="59" t="s">
        <v>11</v>
      </c>
      <c r="E25" s="60"/>
      <c r="F25" s="61"/>
      <c r="G25" s="47">
        <f>+G21+G22+G23+G24</f>
        <v>36061398.137249999</v>
      </c>
    </row>
    <row r="26" spans="1:7" ht="15" x14ac:dyDescent="0.3">
      <c r="A26" s="8"/>
      <c r="B26" s="9"/>
      <c r="C26" s="9"/>
      <c r="D26" s="62" t="s">
        <v>12</v>
      </c>
      <c r="E26" s="63"/>
      <c r="F26" s="64"/>
      <c r="G26" s="12">
        <f>+G20+G25</f>
        <v>226359013.63725001</v>
      </c>
    </row>
  </sheetData>
  <mergeCells count="15">
    <mergeCell ref="D26:F26"/>
    <mergeCell ref="I5:J7"/>
    <mergeCell ref="D20:F20"/>
    <mergeCell ref="D21:E21"/>
    <mergeCell ref="D22:E22"/>
    <mergeCell ref="D23:E23"/>
    <mergeCell ref="D24:E24"/>
    <mergeCell ref="D25:F2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COTIZACIÓN 1</vt:lpstr>
      <vt:lpstr>COTIZACIÓN 2</vt:lpstr>
      <vt:lpstr>'COTIZACIÓN 1'!Área_de_impresión</vt:lpstr>
      <vt:lpstr>'COTIZACIÓN 2'!Área_de_impresión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2025-03-03T21:27:54Z</cp:lastPrinted>
  <dcterms:created xsi:type="dcterms:W3CDTF">2024-02-08T21:06:52Z</dcterms:created>
  <dcterms:modified xsi:type="dcterms:W3CDTF">2025-03-04T18:13:50Z</dcterms:modified>
  <cp:category/>
  <cp:contentStatus/>
</cp:coreProperties>
</file>