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91570145-4940-498B-816C-007B7B15D8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TIVO" sheetId="2" r:id="rId1"/>
    <sheet name="CORTES DE OBRA" sheetId="1" r:id="rId2"/>
  </sheets>
  <externalReferences>
    <externalReference r:id="rId3"/>
  </externalReferences>
  <definedNames>
    <definedName name="_xlnm.Print_Area" localSheetId="0">COMPARATIVO!$A$1:$G$26</definedName>
    <definedName name="_xlnm.Print_Area" localSheetId="1">'CORTES DE OBRA'!$A$1:$G$26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2" l="1"/>
  <c r="I29" i="2"/>
  <c r="I28" i="2"/>
  <c r="I19" i="2"/>
  <c r="I18" i="2" s="1"/>
  <c r="G19" i="2"/>
  <c r="G18" i="2" s="1"/>
  <c r="I17" i="2"/>
  <c r="G17" i="2"/>
  <c r="I16" i="2"/>
  <c r="G16" i="2"/>
  <c r="I15" i="2"/>
  <c r="G15" i="2"/>
  <c r="I14" i="2"/>
  <c r="G14" i="2"/>
  <c r="I13" i="2"/>
  <c r="G13" i="2"/>
  <c r="I12" i="2"/>
  <c r="G12" i="2"/>
  <c r="I11" i="2"/>
  <c r="G11" i="2"/>
  <c r="I6" i="2"/>
  <c r="G6" i="2"/>
  <c r="N17" i="1"/>
  <c r="M16" i="1"/>
  <c r="N14" i="1"/>
  <c r="N15" i="1"/>
  <c r="N13" i="1"/>
  <c r="K14" i="1"/>
  <c r="K15" i="1"/>
  <c r="K16" i="1"/>
  <c r="K17" i="1"/>
  <c r="K13" i="1"/>
  <c r="K6" i="1"/>
  <c r="N12" i="1"/>
  <c r="N11" i="1"/>
  <c r="L14" i="1"/>
  <c r="M13" i="1"/>
  <c r="I19" i="1"/>
  <c r="I18" i="1" s="1"/>
  <c r="I12" i="1"/>
  <c r="I13" i="1"/>
  <c r="I14" i="1"/>
  <c r="I15" i="1"/>
  <c r="I16" i="1"/>
  <c r="I11" i="1"/>
  <c r="M11" i="1"/>
  <c r="I28" i="1"/>
  <c r="H17" i="1"/>
  <c r="I6" i="1"/>
  <c r="M12" i="1"/>
  <c r="M14" i="1"/>
  <c r="M15" i="1"/>
  <c r="G10" i="2" l="1"/>
  <c r="G20" i="2" s="1"/>
  <c r="G23" i="2" s="1"/>
  <c r="G24" i="2" s="1"/>
  <c r="I10" i="2"/>
  <c r="I20" i="2" s="1"/>
  <c r="M17" i="1"/>
  <c r="N16" i="1"/>
  <c r="K10" i="1"/>
  <c r="K20" i="1" s="1"/>
  <c r="K23" i="1" s="1"/>
  <c r="K24" i="1" s="1"/>
  <c r="I17" i="1"/>
  <c r="I10" i="1" s="1"/>
  <c r="I20" i="1" s="1"/>
  <c r="M10" i="1"/>
  <c r="G22" i="2" l="1"/>
  <c r="G21" i="2"/>
  <c r="G25" i="2" s="1"/>
  <c r="G26" i="2" s="1"/>
  <c r="I22" i="2"/>
  <c r="I23" i="2"/>
  <c r="I24" i="2" s="1"/>
  <c r="I21" i="2"/>
  <c r="M32" i="2"/>
  <c r="K21" i="1"/>
  <c r="K22" i="1"/>
  <c r="I23" i="1"/>
  <c r="I24" i="1" s="1"/>
  <c r="I21" i="1"/>
  <c r="I22" i="1"/>
  <c r="Q19" i="1"/>
  <c r="Q18" i="1" s="1"/>
  <c r="N19" i="1"/>
  <c r="O19" i="1" s="1"/>
  <c r="O18" i="1" s="1"/>
  <c r="M19" i="1"/>
  <c r="M18" i="1" s="1"/>
  <c r="M20" i="1" s="1"/>
  <c r="G19" i="1"/>
  <c r="G18" i="1" s="1"/>
  <c r="P17" i="1"/>
  <c r="Q17" i="1" s="1"/>
  <c r="O17" i="1"/>
  <c r="G17" i="1"/>
  <c r="P16" i="1"/>
  <c r="Q16" i="1" s="1"/>
  <c r="G16" i="1"/>
  <c r="P15" i="1"/>
  <c r="Q15" i="1" s="1"/>
  <c r="O15" i="1"/>
  <c r="G15" i="1"/>
  <c r="Q14" i="1"/>
  <c r="G14" i="1"/>
  <c r="Q13" i="1"/>
  <c r="O13" i="1"/>
  <c r="G13" i="1"/>
  <c r="P12" i="1"/>
  <c r="Q12" i="1" s="1"/>
  <c r="O12" i="1"/>
  <c r="G12" i="1"/>
  <c r="P11" i="1"/>
  <c r="Q11" i="1" s="1"/>
  <c r="G11" i="1"/>
  <c r="Q6" i="1"/>
  <c r="O6" i="1"/>
  <c r="M6" i="1"/>
  <c r="G6" i="1"/>
  <c r="I25" i="2" l="1"/>
  <c r="I26" i="2" s="1"/>
  <c r="K25" i="1"/>
  <c r="K26" i="1" s="1"/>
  <c r="G10" i="1"/>
  <c r="I25" i="1"/>
  <c r="I26" i="1" s="1"/>
  <c r="I29" i="1" s="1"/>
  <c r="Q10" i="1"/>
  <c r="Q20" i="1" s="1"/>
  <c r="O11" i="1"/>
  <c r="O16" i="1"/>
  <c r="G20" i="1"/>
  <c r="G21" i="1" s="1"/>
  <c r="O14" i="1" l="1"/>
  <c r="O10" i="1" s="1"/>
  <c r="O20" i="1" s="1"/>
  <c r="G22" i="1"/>
  <c r="G23" i="1"/>
  <c r="G24" i="1" s="1"/>
  <c r="M22" i="1"/>
  <c r="Q23" i="1"/>
  <c r="Q24" i="1" s="1"/>
  <c r="Q22" i="1"/>
  <c r="Q21" i="1"/>
  <c r="O23" i="1" l="1"/>
  <c r="O24" i="1" s="1"/>
  <c r="O22" i="1"/>
  <c r="O21" i="1"/>
  <c r="G25" i="1"/>
  <c r="G26" i="1" s="1"/>
  <c r="M21" i="1"/>
  <c r="M23" i="1"/>
  <c r="M24" i="1" s="1"/>
  <c r="Q25" i="1"/>
  <c r="Q26" i="1" s="1"/>
  <c r="O25" i="1" l="1"/>
  <c r="O26" i="1" s="1"/>
  <c r="M25" i="1"/>
  <c r="M26" i="1" l="1"/>
  <c r="M32" i="1" s="1"/>
</calcChain>
</file>

<file path=xl/sharedStrings.xml><?xml version="1.0" encoding="utf-8"?>
<sst xmlns="http://schemas.openxmlformats.org/spreadsheetml/2006/main" count="168" uniqueCount="56">
  <si>
    <t>DIRECCION:</t>
  </si>
  <si>
    <t>CALLE 3 NORTE # 18-49 LOCAL 2</t>
  </si>
  <si>
    <t>CODIGO: FH-F-02</t>
  </si>
  <si>
    <t xml:space="preserve"> VERSIÓN: 01</t>
  </si>
  <si>
    <t>CORREO:</t>
  </si>
  <si>
    <t>CORTE #1</t>
  </si>
  <si>
    <t>SALDO</t>
  </si>
  <si>
    <t>REAL AJUSTADO</t>
  </si>
  <si>
    <t>TELEFONO:</t>
  </si>
  <si>
    <t>+57 310 461 7353</t>
  </si>
  <si>
    <t>CAPT</t>
  </si>
  <si>
    <t>ITEMS</t>
  </si>
  <si>
    <t>DESCRIPCION</t>
  </si>
  <si>
    <t>UNIDAD</t>
  </si>
  <si>
    <t>CANTIDAD</t>
  </si>
  <si>
    <t>VR UNITARIO</t>
  </si>
  <si>
    <t>VALOR DIRECTO ACTIVIDAD</t>
  </si>
  <si>
    <t>VALOR</t>
  </si>
  <si>
    <t>1.0</t>
  </si>
  <si>
    <t>PRELIMINARES</t>
  </si>
  <si>
    <t>Construcción de campamento provisional de obra y bodega para los trabajadores | deposito seguro de los materiales en obra</t>
  </si>
  <si>
    <t>UND</t>
  </si>
  <si>
    <t>INCLUIDO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</si>
  <si>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</si>
  <si>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GLB</t>
  </si>
  <si>
    <t>FACHADAS</t>
  </si>
  <si>
    <t>FACHADAS Y COMPLEMENTARIOS</t>
  </si>
  <si>
    <t>Limpieza de fachadas, incluye protección con polisombra</t>
  </si>
  <si>
    <t>MT2</t>
  </si>
  <si>
    <t>Mantenimiento y revoque de fachadas con graniplast antihongos o similar (5% del área de pintura de fachadas)</t>
  </si>
  <si>
    <t>Limpieza y sello con silicona plastica Sika o similar, alrededor de ventanas de fachada. No aplica para ventanas internas</t>
  </si>
  <si>
    <t>ML</t>
  </si>
  <si>
    <t>Pintura en fachadas exteriores (Koraza o similar). Dos manos color blanco, negro y morado a diferentes tonos, incluye protección con polisombra</t>
  </si>
  <si>
    <t>Limpieza de fachada en piedra. Incluye la aplicación de hidrofugo Siliconite de Pintuco o similar</t>
  </si>
  <si>
    <t>Pintura con esmalte para barandas metalicas balcones y rejas metalicas de fachada. Dos manos- Aplica solamente para elementos de fachada</t>
  </si>
  <si>
    <t>Estuco y pintura Techos balcones. Dos manos de pintura</t>
  </si>
  <si>
    <t>TERMINADO Y LIMPIEZA</t>
  </si>
  <si>
    <t>Aseo general y retiro de pintura.</t>
  </si>
  <si>
    <t>TOTALES DIRECTOS</t>
  </si>
  <si>
    <t>Administracion</t>
  </si>
  <si>
    <t>Imprevistos</t>
  </si>
  <si>
    <t>Utilidad</t>
  </si>
  <si>
    <t>IVA/U</t>
  </si>
  <si>
    <t>TOTAL INDIRECTOS</t>
  </si>
  <si>
    <t>TOTAL PROPUESTA</t>
  </si>
  <si>
    <t>TOTAL CORTE</t>
  </si>
  <si>
    <t>Anticipo por amortizar</t>
  </si>
  <si>
    <t>TOTAL PAGO CORTE</t>
  </si>
  <si>
    <t>Amortizacion 100%</t>
  </si>
  <si>
    <t>CORTES DE OBRA - CONJUNTO RESIDENCIAL HEBRON</t>
  </si>
  <si>
    <t>CORTE #2</t>
  </si>
  <si>
    <t>Gerencia@freshouse.com.co</t>
  </si>
  <si>
    <t>x</t>
  </si>
  <si>
    <t>CORTE #3</t>
  </si>
  <si>
    <t>REAL AJUSTADO (SIN VALOR ADICIONAL)</t>
  </si>
  <si>
    <t>EL PROYECTO TENDRIA UN VALOR ADICIONAL DE $ 35.986.208 (≈14%)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</si>
</sst>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_-&quot;$&quot;\ * #,##0_-;\-&quot;$&quot;\ * #,##0_-;_-&quot;$&quot;\ * &quot;-&quot;??_-;_-@_-"/>
    <numFmt numFmtId="166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Swis721 BT"/>
      <family val="2"/>
    </font>
    <font>
      <sz val="11"/>
      <color theme="1"/>
      <name val="Swis721 BT"/>
      <family val="2"/>
    </font>
    <font>
      <b/>
      <sz val="11"/>
      <color theme="1"/>
      <name val="Swis721 BT"/>
      <family val="2"/>
    </font>
    <font>
      <sz val="11"/>
      <color theme="0"/>
      <name val="Swis721 BT"/>
      <family val="2"/>
    </font>
    <font>
      <sz val="11"/>
      <color rgb="FF000000"/>
      <name val="Swis721 BT"/>
      <family val="2"/>
    </font>
    <font>
      <b/>
      <sz val="11"/>
      <color rgb="FFFF0000"/>
      <name val="Swis721 BT"/>
      <family val="2"/>
    </font>
    <font>
      <b/>
      <sz val="11"/>
      <color rgb="FF000000"/>
      <name val="Swis721 BT"/>
      <family val="2"/>
    </font>
    <font>
      <sz val="11"/>
      <name val="Swis721 BT"/>
      <family val="2"/>
    </font>
    <font>
      <b/>
      <sz val="14"/>
      <color theme="1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44768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A97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4A0B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A86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7C9D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C5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64" fontId="2" fillId="6" borderId="15" xfId="0" applyNumberFormat="1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vertical="center" wrapText="1"/>
    </xf>
    <xf numFmtId="165" fontId="5" fillId="6" borderId="17" xfId="0" applyNumberFormat="1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vertical="center" wrapText="1"/>
    </xf>
    <xf numFmtId="165" fontId="5" fillId="6" borderId="6" xfId="0" applyNumberFormat="1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vertical="center" wrapText="1"/>
    </xf>
    <xf numFmtId="165" fontId="5" fillId="7" borderId="6" xfId="0" applyNumberFormat="1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vertical="center" wrapText="1"/>
    </xf>
    <xf numFmtId="165" fontId="5" fillId="8" borderId="6" xfId="0" applyNumberFormat="1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43" fontId="3" fillId="0" borderId="6" xfId="1" applyFont="1" applyFill="1" applyBorder="1" applyAlignment="1">
      <alignment vertical="center" wrapText="1"/>
    </xf>
    <xf numFmtId="165" fontId="7" fillId="9" borderId="6" xfId="0" applyNumberFormat="1" applyFont="1" applyFill="1" applyBorder="1" applyAlignment="1">
      <alignment horizontal="center" vertical="center" wrapText="1"/>
    </xf>
    <xf numFmtId="165" fontId="3" fillId="0" borderId="18" xfId="0" applyNumberFormat="1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left" vertical="center" wrapText="1"/>
    </xf>
    <xf numFmtId="164" fontId="2" fillId="2" borderId="19" xfId="0" applyNumberFormat="1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43" fontId="2" fillId="2" borderId="20" xfId="0" applyNumberFormat="1" applyFont="1" applyFill="1" applyBorder="1" applyAlignment="1">
      <alignment vertical="center" wrapText="1"/>
    </xf>
    <xf numFmtId="0" fontId="2" fillId="2" borderId="21" xfId="0" applyFont="1" applyFill="1" applyBorder="1" applyAlignment="1">
      <alignment vertical="center" wrapText="1"/>
    </xf>
    <xf numFmtId="165" fontId="2" fillId="2" borderId="17" xfId="0" applyNumberFormat="1" applyFont="1" applyFill="1" applyBorder="1" applyAlignment="1">
      <alignment horizontal="left" vertical="center" wrapText="1"/>
    </xf>
    <xf numFmtId="43" fontId="2" fillId="2" borderId="6" xfId="0" applyNumberFormat="1" applyFont="1" applyFill="1" applyBorder="1" applyAlignment="1">
      <alignment vertical="center" wrapText="1"/>
    </xf>
    <xf numFmtId="165" fontId="2" fillId="2" borderId="6" xfId="0" applyNumberFormat="1" applyFont="1" applyFill="1" applyBorder="1" applyAlignment="1">
      <alignment horizontal="left" vertical="center" wrapText="1"/>
    </xf>
    <xf numFmtId="43" fontId="2" fillId="3" borderId="6" xfId="0" applyNumberFormat="1" applyFont="1" applyFill="1" applyBorder="1" applyAlignment="1">
      <alignment vertical="center" wrapText="1"/>
    </xf>
    <xf numFmtId="165" fontId="2" fillId="3" borderId="6" xfId="0" applyNumberFormat="1" applyFont="1" applyFill="1" applyBorder="1" applyAlignment="1">
      <alignment horizontal="left" vertical="center" wrapText="1"/>
    </xf>
    <xf numFmtId="164" fontId="2" fillId="6" borderId="22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6" borderId="23" xfId="0" applyFont="1" applyFill="1" applyBorder="1" applyAlignment="1">
      <alignment vertical="center" wrapText="1"/>
    </xf>
    <xf numFmtId="43" fontId="2" fillId="6" borderId="0" xfId="0" applyNumberFormat="1" applyFont="1" applyFill="1" applyAlignment="1">
      <alignment vertical="center" wrapText="1"/>
    </xf>
    <xf numFmtId="165" fontId="2" fillId="6" borderId="17" xfId="0" applyNumberFormat="1" applyFont="1" applyFill="1" applyBorder="1" applyAlignment="1">
      <alignment horizontal="left" vertical="center" wrapText="1"/>
    </xf>
    <xf numFmtId="43" fontId="2" fillId="6" borderId="6" xfId="0" applyNumberFormat="1" applyFont="1" applyFill="1" applyBorder="1" applyAlignment="1">
      <alignment vertical="center" wrapText="1"/>
    </xf>
    <xf numFmtId="165" fontId="2" fillId="6" borderId="6" xfId="0" applyNumberFormat="1" applyFont="1" applyFill="1" applyBorder="1" applyAlignment="1">
      <alignment horizontal="left" vertical="center" wrapText="1"/>
    </xf>
    <xf numFmtId="43" fontId="2" fillId="7" borderId="6" xfId="0" applyNumberFormat="1" applyFont="1" applyFill="1" applyBorder="1" applyAlignment="1">
      <alignment vertical="center" wrapText="1"/>
    </xf>
    <xf numFmtId="165" fontId="2" fillId="7" borderId="6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2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43" fontId="3" fillId="0" borderId="24" xfId="1" applyFont="1" applyFill="1" applyBorder="1" applyAlignment="1">
      <alignment vertical="center" wrapText="1"/>
    </xf>
    <xf numFmtId="165" fontId="3" fillId="0" borderId="24" xfId="0" applyNumberFormat="1" applyFont="1" applyBorder="1" applyAlignment="1">
      <alignment horizontal="left" vertical="center" wrapText="1"/>
    </xf>
    <xf numFmtId="43" fontId="3" fillId="0" borderId="0" xfId="0" applyNumberFormat="1" applyFont="1" applyAlignment="1">
      <alignment vertical="center"/>
    </xf>
    <xf numFmtId="0" fontId="4" fillId="0" borderId="15" xfId="0" applyFont="1" applyBorder="1" applyAlignment="1">
      <alignment horizontal="center" vertical="center" wrapText="1"/>
    </xf>
    <xf numFmtId="43" fontId="3" fillId="0" borderId="16" xfId="1" applyFont="1" applyFill="1" applyBorder="1" applyAlignment="1">
      <alignment vertical="center" wrapText="1"/>
    </xf>
    <xf numFmtId="43" fontId="2" fillId="6" borderId="16" xfId="0" applyNumberFormat="1" applyFont="1" applyFill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2" fillId="2" borderId="26" xfId="0" applyNumberFormat="1" applyFont="1" applyFill="1" applyBorder="1" applyAlignment="1">
      <alignment vertical="center"/>
    </xf>
    <xf numFmtId="165" fontId="2" fillId="2" borderId="6" xfId="0" applyNumberFormat="1" applyFont="1" applyFill="1" applyBorder="1" applyAlignment="1">
      <alignment vertical="center"/>
    </xf>
    <xf numFmtId="165" fontId="2" fillId="3" borderId="6" xfId="0" applyNumberFormat="1" applyFont="1" applyFill="1" applyBorder="1" applyAlignment="1">
      <alignment vertical="center"/>
    </xf>
    <xf numFmtId="165" fontId="2" fillId="5" borderId="6" xfId="0" applyNumberFormat="1" applyFont="1" applyFill="1" applyBorder="1" applyAlignment="1">
      <alignment horizontal="center" vertical="center" wrapText="1"/>
    </xf>
    <xf numFmtId="9" fontId="3" fillId="0" borderId="6" xfId="3" applyFont="1" applyFill="1" applyBorder="1" applyAlignment="1">
      <alignment horizontal="center" vertical="center"/>
    </xf>
    <xf numFmtId="165" fontId="3" fillId="0" borderId="18" xfId="2" applyNumberFormat="1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165" fontId="3" fillId="0" borderId="6" xfId="2" applyNumberFormat="1" applyFont="1" applyFill="1" applyBorder="1" applyAlignment="1">
      <alignment vertical="center"/>
    </xf>
    <xf numFmtId="165" fontId="4" fillId="6" borderId="18" xfId="0" applyNumberFormat="1" applyFont="1" applyFill="1" applyBorder="1" applyAlignment="1">
      <alignment vertical="center"/>
    </xf>
    <xf numFmtId="165" fontId="4" fillId="6" borderId="6" xfId="0" applyNumberFormat="1" applyFont="1" applyFill="1" applyBorder="1" applyAlignment="1">
      <alignment vertical="center"/>
    </xf>
    <xf numFmtId="165" fontId="4" fillId="7" borderId="6" xfId="0" applyNumberFormat="1" applyFont="1" applyFill="1" applyBorder="1" applyAlignment="1">
      <alignment vertical="center"/>
    </xf>
    <xf numFmtId="165" fontId="4" fillId="8" borderId="6" xfId="0" applyNumberFormat="1" applyFont="1" applyFill="1" applyBorder="1" applyAlignment="1">
      <alignment vertical="center"/>
    </xf>
    <xf numFmtId="165" fontId="4" fillId="10" borderId="18" xfId="0" applyNumberFormat="1" applyFont="1" applyFill="1" applyBorder="1" applyAlignment="1">
      <alignment vertical="center"/>
    </xf>
    <xf numFmtId="165" fontId="4" fillId="10" borderId="6" xfId="0" applyNumberFormat="1" applyFont="1" applyFill="1" applyBorder="1" applyAlignment="1">
      <alignment vertical="center"/>
    </xf>
    <xf numFmtId="165" fontId="4" fillId="11" borderId="6" xfId="0" applyNumberFormat="1" applyFont="1" applyFill="1" applyBorder="1" applyAlignment="1">
      <alignment vertical="center"/>
    </xf>
    <xf numFmtId="165" fontId="4" fillId="12" borderId="6" xfId="0" applyNumberFormat="1" applyFont="1" applyFill="1" applyBorder="1" applyAlignment="1">
      <alignment vertical="center"/>
    </xf>
    <xf numFmtId="165" fontId="3" fillId="0" borderId="0" xfId="0" applyNumberFormat="1" applyFont="1" applyAlignment="1">
      <alignment vertical="center"/>
    </xf>
    <xf numFmtId="43" fontId="3" fillId="13" borderId="24" xfId="1" applyFont="1" applyFill="1" applyBorder="1" applyAlignment="1">
      <alignment vertical="center" wrapText="1"/>
    </xf>
    <xf numFmtId="42" fontId="3" fillId="0" borderId="6" xfId="4" applyFont="1" applyBorder="1" applyAlignment="1">
      <alignment horizontal="left"/>
    </xf>
    <xf numFmtId="44" fontId="9" fillId="0" borderId="6" xfId="2" applyFont="1" applyBorder="1" applyAlignment="1">
      <alignment horizontal="left" vertical="center"/>
    </xf>
    <xf numFmtId="166" fontId="3" fillId="0" borderId="6" xfId="0" applyNumberFormat="1" applyFont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43" fontId="3" fillId="13" borderId="6" xfId="1" applyFont="1" applyFill="1" applyBorder="1" applyAlignment="1">
      <alignment vertical="center" wrapText="1"/>
    </xf>
    <xf numFmtId="43" fontId="3" fillId="0" borderId="13" xfId="1" applyFont="1" applyFill="1" applyBorder="1" applyAlignment="1">
      <alignment vertical="center" wrapText="1"/>
    </xf>
    <xf numFmtId="2" fontId="3" fillId="0" borderId="6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43" fontId="2" fillId="2" borderId="4" xfId="1" applyFont="1" applyFill="1" applyBorder="1" applyAlignment="1">
      <alignment horizontal="center" vertical="center"/>
    </xf>
    <xf numFmtId="43" fontId="2" fillId="2" borderId="20" xfId="1" applyFont="1" applyFill="1" applyBorder="1" applyAlignment="1">
      <alignment horizontal="center" vertical="center"/>
    </xf>
    <xf numFmtId="43" fontId="2" fillId="2" borderId="5" xfId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9" fontId="3" fillId="0" borderId="0" xfId="3" applyFont="1" applyAlignment="1">
      <alignment vertical="center"/>
    </xf>
    <xf numFmtId="10" fontId="3" fillId="0" borderId="0" xfId="0" applyNumberFormat="1" applyFont="1" applyAlignment="1">
      <alignment vertical="center"/>
    </xf>
  </cellXfs>
  <cellStyles count="5">
    <cellStyle name="Millares" xfId="1" builtinId="3"/>
    <cellStyle name="Moneda" xfId="2" builtinId="4"/>
    <cellStyle name="Moneda [0]" xfId="4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96839</xdr:colOff>
      <xdr:row>1</xdr:row>
      <xdr:rowOff>207169</xdr:rowOff>
    </xdr:from>
    <xdr:to>
      <xdr:col>6</xdr:col>
      <xdr:colOff>1187451</xdr:colOff>
      <xdr:row>3</xdr:row>
      <xdr:rowOff>288685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58B12A-7CB7-44A5-8466-1D3D9E675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9299" y="489109"/>
          <a:ext cx="2187892" cy="7825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96839</xdr:colOff>
      <xdr:row>1</xdr:row>
      <xdr:rowOff>207169</xdr:rowOff>
    </xdr:from>
    <xdr:to>
      <xdr:col>6</xdr:col>
      <xdr:colOff>1187451</xdr:colOff>
      <xdr:row>3</xdr:row>
      <xdr:rowOff>288685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9139" y="486569"/>
          <a:ext cx="2182812" cy="7927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aulina\HEBRON\CONTROL%20DE%20EJECUCI&#211;N%20DE%20OBRA%20(PORCENTAJES)%20-%20EDIFICIO%20HEBR&#211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 EJECUCIÓN DE OBRA"/>
      <sheetName val="(1) LAVADO (T2)"/>
      <sheetName val="(2) RESANES (T2)"/>
      <sheetName val="(3) SELLADO VENTANAS (T2)"/>
      <sheetName val="(4A) PINTURA CARP MET"/>
      <sheetName val="(4) PINTURA1ra-2da-aseo(T2)"/>
      <sheetName val="CANTIDAD DE OBRA (T2)"/>
      <sheetName val="CANTIDAD DE OBRA (T1)"/>
      <sheetName val="(5) LAVADO (T1)"/>
      <sheetName val="(6) RESANES (T1))"/>
      <sheetName val="(7) SELLADO VENTANAS (T1)"/>
      <sheetName val="(8A) PINTURA CARP MET (T1)"/>
      <sheetName val="(8) PINTURA 1ra y 2da (T1)"/>
      <sheetName val="RENDIMIENTO  PERSONA"/>
      <sheetName val="CORTES DE OBRA"/>
      <sheetName val="CORTES DE OBRA (2)"/>
    </sheetNames>
    <sheetDataSet>
      <sheetData sheetId="0"/>
      <sheetData sheetId="1">
        <row r="107">
          <cell r="E107">
            <v>3857.9549999999999</v>
          </cell>
        </row>
        <row r="113">
          <cell r="E113">
            <v>275.97000000000003</v>
          </cell>
        </row>
      </sheetData>
      <sheetData sheetId="2">
        <row r="15">
          <cell r="E15">
            <v>197.37</v>
          </cell>
        </row>
      </sheetData>
      <sheetData sheetId="3">
        <row r="106">
          <cell r="E106">
            <v>1016.8</v>
          </cell>
        </row>
      </sheetData>
      <sheetData sheetId="4">
        <row r="41">
          <cell r="I41">
            <v>243.87</v>
          </cell>
        </row>
        <row r="47">
          <cell r="I47">
            <v>638.476</v>
          </cell>
        </row>
      </sheetData>
      <sheetData sheetId="5">
        <row r="105">
          <cell r="E105">
            <v>189</v>
          </cell>
        </row>
      </sheetData>
      <sheetData sheetId="6">
        <row r="81">
          <cell r="R81">
            <v>597.56999999999994</v>
          </cell>
          <cell r="S81">
            <v>275.97000000000003</v>
          </cell>
        </row>
      </sheetData>
      <sheetData sheetId="7">
        <row r="73">
          <cell r="R73">
            <v>119.61</v>
          </cell>
          <cell r="S73">
            <v>191.25</v>
          </cell>
        </row>
      </sheetData>
      <sheetData sheetId="8">
        <row r="81">
          <cell r="E81">
            <v>2954.7</v>
          </cell>
        </row>
      </sheetData>
      <sheetData sheetId="9">
        <row r="14">
          <cell r="E14">
            <v>200</v>
          </cell>
        </row>
      </sheetData>
      <sheetData sheetId="10">
        <row r="62">
          <cell r="E62">
            <v>1554.3369999999998</v>
          </cell>
        </row>
      </sheetData>
      <sheetData sheetId="11">
        <row r="42">
          <cell r="H42">
            <v>381.27320000000003</v>
          </cell>
        </row>
      </sheetData>
      <sheetData sheetId="12">
        <row r="81">
          <cell r="E81">
            <v>2344.3715000000002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1B92-E69D-4A93-8DD7-5E3FD6AC7C29}">
  <sheetPr>
    <pageSetUpPr fitToPage="1"/>
  </sheetPr>
  <dimension ref="A1:M32"/>
  <sheetViews>
    <sheetView tabSelected="1" zoomScale="60" zoomScaleNormal="60" workbookViewId="0">
      <selection activeCell="I26" sqref="A1:I26"/>
    </sheetView>
  </sheetViews>
  <sheetFormatPr baseColWidth="10" defaultColWidth="13.6640625" defaultRowHeight="13.8" x14ac:dyDescent="0.3"/>
  <cols>
    <col min="1" max="1" width="8.5546875" style="57" customWidth="1"/>
    <col min="2" max="2" width="9.33203125" style="1" customWidth="1"/>
    <col min="3" max="3" width="71.109375" style="1" customWidth="1"/>
    <col min="4" max="4" width="17" style="1" customWidth="1"/>
    <col min="5" max="5" width="14.33203125" style="1" customWidth="1"/>
    <col min="6" max="6" width="16" style="1" customWidth="1"/>
    <col min="7" max="7" width="19" style="1" customWidth="1"/>
    <col min="8" max="8" width="28.109375" style="1" customWidth="1"/>
    <col min="9" max="9" width="19.33203125" style="1" bestFit="1" customWidth="1"/>
    <col min="10" max="10" width="28.77734375" style="1" customWidth="1"/>
    <col min="11" max="11" width="22.44140625" style="1" customWidth="1"/>
    <col min="12" max="12" width="29.21875" style="1" bestFit="1" customWidth="1"/>
    <col min="13" max="13" width="23.5546875" style="1" bestFit="1" customWidth="1"/>
    <col min="14" max="14" width="27" style="1" customWidth="1"/>
    <col min="15" max="15" width="23.5546875" style="1" bestFit="1" customWidth="1"/>
    <col min="16" max="16384" width="13.6640625" style="1"/>
  </cols>
  <sheetData>
    <row r="1" spans="1:11" ht="22.5" customHeight="1" x14ac:dyDescent="0.3">
      <c r="A1" s="85" t="s">
        <v>49</v>
      </c>
      <c r="B1" s="86"/>
      <c r="C1" s="86"/>
      <c r="D1" s="86"/>
      <c r="E1" s="86"/>
      <c r="F1" s="86"/>
      <c r="G1" s="115"/>
      <c r="H1" s="87"/>
      <c r="I1" s="88"/>
    </row>
    <row r="2" spans="1:11" ht="27.6" x14ac:dyDescent="0.3">
      <c r="A2" s="89" t="s">
        <v>0</v>
      </c>
      <c r="B2" s="90"/>
      <c r="C2" s="2" t="s">
        <v>1</v>
      </c>
      <c r="D2" s="2" t="s">
        <v>2</v>
      </c>
      <c r="E2" s="2" t="s">
        <v>3</v>
      </c>
      <c r="F2" s="91"/>
      <c r="G2" s="92"/>
      <c r="H2" s="97"/>
      <c r="I2" s="98"/>
    </row>
    <row r="3" spans="1:11" ht="27.6" customHeight="1" x14ac:dyDescent="0.3">
      <c r="A3" s="89" t="s">
        <v>4</v>
      </c>
      <c r="B3" s="90"/>
      <c r="C3" s="113" t="s">
        <v>51</v>
      </c>
      <c r="D3" s="113"/>
      <c r="E3" s="113"/>
      <c r="F3" s="93"/>
      <c r="G3" s="94"/>
      <c r="H3" s="98" t="s">
        <v>54</v>
      </c>
      <c r="I3" s="98"/>
    </row>
    <row r="4" spans="1:11" ht="40.5" customHeight="1" x14ac:dyDescent="0.3">
      <c r="A4" s="89" t="s">
        <v>8</v>
      </c>
      <c r="B4" s="90"/>
      <c r="C4" s="89" t="s">
        <v>9</v>
      </c>
      <c r="D4" s="114"/>
      <c r="E4" s="90"/>
      <c r="F4" s="95"/>
      <c r="G4" s="96"/>
      <c r="H4" s="97"/>
      <c r="I4" s="98"/>
    </row>
    <row r="5" spans="1:11" ht="27.6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 t="s">
        <v>16</v>
      </c>
      <c r="H5" s="7" t="s">
        <v>14</v>
      </c>
      <c r="I5" s="7" t="s">
        <v>17</v>
      </c>
    </row>
    <row r="6" spans="1:11" ht="23.25" customHeight="1" x14ac:dyDescent="0.3">
      <c r="A6" s="8" t="s">
        <v>18</v>
      </c>
      <c r="B6" s="9"/>
      <c r="C6" s="9" t="s">
        <v>19</v>
      </c>
      <c r="D6" s="9"/>
      <c r="E6" s="9"/>
      <c r="F6" s="9"/>
      <c r="G6" s="10">
        <f>SUM(G7:G8)</f>
        <v>0</v>
      </c>
      <c r="H6" s="15"/>
      <c r="I6" s="16">
        <f>SUM(I7:I8)</f>
        <v>0</v>
      </c>
    </row>
    <row r="7" spans="1:11" ht="39" customHeight="1" x14ac:dyDescent="0.3">
      <c r="A7" s="17"/>
      <c r="B7" s="18">
        <v>1.1000000000000001</v>
      </c>
      <c r="C7" s="19" t="s">
        <v>20</v>
      </c>
      <c r="D7" s="20" t="s">
        <v>21</v>
      </c>
      <c r="E7" s="21">
        <v>1</v>
      </c>
      <c r="F7" s="22" t="s">
        <v>22</v>
      </c>
      <c r="G7" s="23"/>
      <c r="H7" s="21"/>
      <c r="I7" s="24"/>
    </row>
    <row r="8" spans="1:11" ht="83.4" customHeight="1" x14ac:dyDescent="0.3">
      <c r="A8" s="17"/>
      <c r="B8" s="18">
        <v>1.2</v>
      </c>
      <c r="C8" s="19" t="s">
        <v>23</v>
      </c>
      <c r="D8" s="20" t="s">
        <v>24</v>
      </c>
      <c r="E8" s="21">
        <v>1</v>
      </c>
      <c r="F8" s="22" t="s">
        <v>22</v>
      </c>
      <c r="G8" s="23"/>
      <c r="H8" s="21"/>
      <c r="I8" s="24"/>
    </row>
    <row r="9" spans="1:11" ht="23.25" customHeight="1" x14ac:dyDescent="0.3">
      <c r="A9" s="25">
        <v>1</v>
      </c>
      <c r="B9" s="26"/>
      <c r="C9" s="27" t="s">
        <v>25</v>
      </c>
      <c r="D9" s="26"/>
      <c r="E9" s="28"/>
      <c r="F9" s="29"/>
      <c r="G9" s="30"/>
      <c r="H9" s="7"/>
      <c r="I9" s="7"/>
    </row>
    <row r="10" spans="1:11" s="44" customFormat="1" ht="23.25" customHeight="1" x14ac:dyDescent="0.3">
      <c r="A10" s="35">
        <v>1.1000000000000001</v>
      </c>
      <c r="B10" s="36"/>
      <c r="C10" s="37" t="s">
        <v>26</v>
      </c>
      <c r="D10" s="36"/>
      <c r="E10" s="38"/>
      <c r="F10" s="36"/>
      <c r="G10" s="39">
        <f>SUM(G11:G17)</f>
        <v>189056926.82875699</v>
      </c>
      <c r="H10" s="15"/>
      <c r="I10" s="16">
        <f>SUM(I11:I17)</f>
        <v>219310148.99859399</v>
      </c>
    </row>
    <row r="11" spans="1:11" ht="33" customHeight="1" x14ac:dyDescent="0.3">
      <c r="A11" s="45"/>
      <c r="B11" s="46">
        <v>10101</v>
      </c>
      <c r="C11" s="19" t="s">
        <v>27</v>
      </c>
      <c r="D11" s="47" t="s">
        <v>28</v>
      </c>
      <c r="E11" s="48">
        <v>4560.59</v>
      </c>
      <c r="F11" s="49">
        <v>2915.6623</v>
      </c>
      <c r="G11" s="23">
        <f>F11*E11</f>
        <v>13297140.328757001</v>
      </c>
      <c r="H11" s="21">
        <v>7340.78</v>
      </c>
      <c r="I11" s="24">
        <f>H11*F11</f>
        <v>21403235.498593997</v>
      </c>
      <c r="K11" s="1" t="s">
        <v>52</v>
      </c>
    </row>
    <row r="12" spans="1:11" ht="39.6" customHeight="1" x14ac:dyDescent="0.3">
      <c r="A12" s="45"/>
      <c r="B12" s="46">
        <v>10102</v>
      </c>
      <c r="C12" s="19" t="s">
        <v>29</v>
      </c>
      <c r="D12" s="47" t="s">
        <v>28</v>
      </c>
      <c r="E12" s="48">
        <v>197.37</v>
      </c>
      <c r="F12" s="49">
        <v>34000</v>
      </c>
      <c r="G12" s="23">
        <f t="shared" ref="G12:G17" si="0">F12*E12</f>
        <v>6710580</v>
      </c>
      <c r="H12" s="21">
        <v>397.37</v>
      </c>
      <c r="I12" s="24">
        <f>H12*F12</f>
        <v>13510580</v>
      </c>
      <c r="K12" s="1" t="s">
        <v>52</v>
      </c>
    </row>
    <row r="13" spans="1:11" ht="39.6" customHeight="1" x14ac:dyDescent="0.3">
      <c r="A13" s="45"/>
      <c r="B13" s="46">
        <v>10103</v>
      </c>
      <c r="C13" s="19" t="s">
        <v>30</v>
      </c>
      <c r="D13" s="47" t="s">
        <v>31</v>
      </c>
      <c r="E13" s="75">
        <v>7534.4</v>
      </c>
      <c r="F13" s="49">
        <v>5400</v>
      </c>
      <c r="G13" s="23">
        <f t="shared" si="0"/>
        <v>40685760</v>
      </c>
      <c r="H13" s="21">
        <v>5537.48</v>
      </c>
      <c r="I13" s="24">
        <f>H13*F13</f>
        <v>29902391.999999996</v>
      </c>
    </row>
    <row r="14" spans="1:11" ht="39.6" customHeight="1" x14ac:dyDescent="0.3">
      <c r="A14" s="45"/>
      <c r="B14" s="46">
        <v>10104</v>
      </c>
      <c r="C14" s="19" t="s">
        <v>32</v>
      </c>
      <c r="D14" s="47" t="s">
        <v>28</v>
      </c>
      <c r="E14" s="48">
        <v>3947.39</v>
      </c>
      <c r="F14" s="49">
        <v>22750</v>
      </c>
      <c r="G14" s="23">
        <f t="shared" si="0"/>
        <v>89803122.5</v>
      </c>
      <c r="H14" s="21">
        <v>4910.13</v>
      </c>
      <c r="I14" s="24">
        <f>H14*F14</f>
        <v>111705457.5</v>
      </c>
      <c r="K14" s="50"/>
    </row>
    <row r="15" spans="1:11" ht="39.6" customHeight="1" x14ac:dyDescent="0.3">
      <c r="A15" s="45"/>
      <c r="B15" s="46">
        <v>10105</v>
      </c>
      <c r="C15" s="19" t="s">
        <v>33</v>
      </c>
      <c r="D15" s="47" t="s">
        <v>28</v>
      </c>
      <c r="E15" s="48">
        <v>452.92</v>
      </c>
      <c r="F15" s="49">
        <v>16000</v>
      </c>
      <c r="G15" s="23">
        <f t="shared" si="0"/>
        <v>7246720</v>
      </c>
      <c r="H15" s="21">
        <v>717.18</v>
      </c>
      <c r="I15" s="24">
        <f>H15*F15</f>
        <v>11474880</v>
      </c>
    </row>
    <row r="16" spans="1:11" ht="55.2" customHeight="1" x14ac:dyDescent="0.3">
      <c r="A16" s="45"/>
      <c r="B16" s="46">
        <v>10106</v>
      </c>
      <c r="C16" s="19" t="s">
        <v>34</v>
      </c>
      <c r="D16" s="47" t="s">
        <v>28</v>
      </c>
      <c r="E16" s="48">
        <v>1261.3800000000001</v>
      </c>
      <c r="F16" s="49">
        <v>16800</v>
      </c>
      <c r="G16" s="23">
        <f t="shared" si="0"/>
        <v>21191184</v>
      </c>
      <c r="H16" s="48">
        <v>1261.3800000000001</v>
      </c>
      <c r="I16" s="24">
        <f>H16*F16</f>
        <v>21191184</v>
      </c>
      <c r="J16" s="50"/>
    </row>
    <row r="17" spans="1:13" ht="41.4" customHeight="1" x14ac:dyDescent="0.3">
      <c r="A17" s="51"/>
      <c r="B17" s="46">
        <v>10107</v>
      </c>
      <c r="C17" s="19" t="s">
        <v>35</v>
      </c>
      <c r="D17" s="47" t="s">
        <v>28</v>
      </c>
      <c r="E17" s="52">
        <v>723.03</v>
      </c>
      <c r="F17" s="49">
        <v>14000</v>
      </c>
      <c r="G17" s="23">
        <f t="shared" si="0"/>
        <v>10122420</v>
      </c>
      <c r="H17" s="21">
        <v>723.03</v>
      </c>
      <c r="I17" s="24">
        <f>H17*F17</f>
        <v>10122420</v>
      </c>
      <c r="J17" s="50"/>
    </row>
    <row r="18" spans="1:13" s="44" customFormat="1" ht="21" customHeight="1" x14ac:dyDescent="0.3">
      <c r="A18" s="8">
        <v>1.2</v>
      </c>
      <c r="B18" s="36"/>
      <c r="C18" s="11" t="s">
        <v>36</v>
      </c>
      <c r="D18" s="36"/>
      <c r="E18" s="53"/>
      <c r="F18" s="9"/>
      <c r="G18" s="39">
        <f>SUM(G19:G19)</f>
        <v>400000</v>
      </c>
      <c r="H18" s="15"/>
      <c r="I18" s="16">
        <f>SUM(I19:I19)</f>
        <v>400000</v>
      </c>
    </row>
    <row r="19" spans="1:13" ht="21.75" customHeight="1" x14ac:dyDescent="0.3">
      <c r="A19" s="54"/>
      <c r="B19" s="55">
        <v>10201</v>
      </c>
      <c r="C19" s="19" t="s">
        <v>37</v>
      </c>
      <c r="D19" s="56" t="s">
        <v>21</v>
      </c>
      <c r="E19" s="21">
        <v>1</v>
      </c>
      <c r="F19" s="24">
        <v>400000</v>
      </c>
      <c r="G19" s="23">
        <f>F19*E19</f>
        <v>400000</v>
      </c>
      <c r="H19" s="21">
        <v>1</v>
      </c>
      <c r="I19" s="24">
        <f>H19*F19</f>
        <v>400000</v>
      </c>
    </row>
    <row r="20" spans="1:13" ht="21.75" customHeight="1" x14ac:dyDescent="0.3">
      <c r="A20" s="117" t="s">
        <v>55</v>
      </c>
      <c r="B20" s="117"/>
      <c r="C20" s="118"/>
      <c r="D20" s="104" t="s">
        <v>38</v>
      </c>
      <c r="E20" s="105"/>
      <c r="F20" s="106"/>
      <c r="G20" s="58">
        <f>+G10+G18</f>
        <v>189456926.82875699</v>
      </c>
      <c r="H20" s="7" t="s">
        <v>38</v>
      </c>
      <c r="I20" s="61">
        <f>+I10+I18</f>
        <v>219710148.99859399</v>
      </c>
    </row>
    <row r="21" spans="1:13" ht="19.95" customHeight="1" x14ac:dyDescent="0.3">
      <c r="A21" s="116"/>
      <c r="B21" s="116"/>
      <c r="C21" s="119"/>
      <c r="D21" s="107" t="s">
        <v>39</v>
      </c>
      <c r="E21" s="108"/>
      <c r="F21" s="62">
        <v>0.08</v>
      </c>
      <c r="G21" s="63">
        <f>+$G$20*F21</f>
        <v>15156554.14630056</v>
      </c>
      <c r="H21" s="64" t="s">
        <v>39</v>
      </c>
      <c r="I21" s="65">
        <f>+$I$20*$F$21</f>
        <v>17576811.91988752</v>
      </c>
    </row>
    <row r="22" spans="1:13" ht="19.95" customHeight="1" x14ac:dyDescent="0.3">
      <c r="A22" s="116"/>
      <c r="B22" s="116"/>
      <c r="C22" s="119"/>
      <c r="D22" s="107" t="s">
        <v>40</v>
      </c>
      <c r="E22" s="108"/>
      <c r="F22" s="62">
        <v>0.05</v>
      </c>
      <c r="G22" s="63">
        <f>+$G$20*F22</f>
        <v>9472846.3414378501</v>
      </c>
      <c r="H22" s="64" t="s">
        <v>40</v>
      </c>
      <c r="I22" s="65">
        <f>+$I$20*$F$22</f>
        <v>10985507.449929699</v>
      </c>
    </row>
    <row r="23" spans="1:13" ht="19.95" customHeight="1" x14ac:dyDescent="0.3">
      <c r="A23" s="116"/>
      <c r="B23" s="116"/>
      <c r="C23" s="119"/>
      <c r="D23" s="107" t="s">
        <v>41</v>
      </c>
      <c r="E23" s="108"/>
      <c r="F23" s="62">
        <v>0.05</v>
      </c>
      <c r="G23" s="63">
        <f>+$G$20*F23</f>
        <v>9472846.3414378501</v>
      </c>
      <c r="H23" s="64" t="s">
        <v>41</v>
      </c>
      <c r="I23" s="65">
        <f>+$I$20*$F$23</f>
        <v>10985507.449929699</v>
      </c>
    </row>
    <row r="24" spans="1:13" ht="19.95" customHeight="1" x14ac:dyDescent="0.3">
      <c r="A24" s="116"/>
      <c r="B24" s="116"/>
      <c r="C24" s="119"/>
      <c r="D24" s="107" t="s">
        <v>42</v>
      </c>
      <c r="E24" s="108"/>
      <c r="F24" s="62">
        <v>0.19</v>
      </c>
      <c r="G24" s="63">
        <f>+G23*F24</f>
        <v>1799840.8048731915</v>
      </c>
      <c r="H24" s="64" t="s">
        <v>42</v>
      </c>
      <c r="I24" s="65">
        <f>+$I$23*$F$24</f>
        <v>2087246.4154866429</v>
      </c>
    </row>
    <row r="25" spans="1:13" ht="19.95" customHeight="1" x14ac:dyDescent="0.3">
      <c r="A25" s="116"/>
      <c r="B25" s="116"/>
      <c r="C25" s="119"/>
      <c r="D25" s="109" t="s">
        <v>43</v>
      </c>
      <c r="E25" s="110"/>
      <c r="F25" s="111"/>
      <c r="G25" s="66">
        <f>+G21+G22+G23+G24</f>
        <v>35902087.634049453</v>
      </c>
      <c r="H25" s="69" t="s">
        <v>43</v>
      </c>
      <c r="I25" s="69">
        <f>+I21+I22+I23+I24</f>
        <v>41635073.23523356</v>
      </c>
    </row>
    <row r="26" spans="1:13" ht="19.95" customHeight="1" x14ac:dyDescent="0.3">
      <c r="A26" s="116"/>
      <c r="B26" s="116"/>
      <c r="C26" s="119"/>
      <c r="D26" s="101" t="s">
        <v>44</v>
      </c>
      <c r="E26" s="102"/>
      <c r="F26" s="103"/>
      <c r="G26" s="70">
        <f>+G20+G25</f>
        <v>225359014.46280643</v>
      </c>
      <c r="H26" s="73" t="s">
        <v>44</v>
      </c>
      <c r="I26" s="73">
        <f>+I20+I25</f>
        <v>261345222.23382753</v>
      </c>
    </row>
    <row r="27" spans="1:13" ht="19.95" customHeight="1" x14ac:dyDescent="0.3"/>
    <row r="28" spans="1:13" ht="19.95" customHeight="1" x14ac:dyDescent="0.3">
      <c r="H28" s="74"/>
      <c r="I28" s="74">
        <f>I26-G26</f>
        <v>35986207.771021098</v>
      </c>
      <c r="J28" s="74"/>
      <c r="K28" s="74"/>
    </row>
    <row r="29" spans="1:13" ht="19.95" customHeight="1" x14ac:dyDescent="0.3">
      <c r="I29" s="120">
        <f>G26/I26</f>
        <v>0.8623039385857838</v>
      </c>
      <c r="J29" s="74"/>
    </row>
    <row r="30" spans="1:13" ht="19.95" customHeight="1" x14ac:dyDescent="0.3">
      <c r="I30" s="121">
        <f>I29-1</f>
        <v>-0.1376960614142162</v>
      </c>
    </row>
    <row r="31" spans="1:13" x14ac:dyDescent="0.3">
      <c r="I31" s="74"/>
      <c r="J31" s="74"/>
      <c r="K31" s="74"/>
      <c r="M31" s="74"/>
    </row>
    <row r="32" spans="1:13" x14ac:dyDescent="0.3">
      <c r="M32" s="74" t="e">
        <f>#REF!+#REF!+#REF!</f>
        <v>#REF!</v>
      </c>
    </row>
  </sheetData>
  <mergeCells count="19">
    <mergeCell ref="D25:F25"/>
    <mergeCell ref="D26:F26"/>
    <mergeCell ref="A20:C26"/>
    <mergeCell ref="H4:I4"/>
    <mergeCell ref="D20:F20"/>
    <mergeCell ref="D21:E21"/>
    <mergeCell ref="D22:E22"/>
    <mergeCell ref="D23:E23"/>
    <mergeCell ref="D24:E24"/>
    <mergeCell ref="A4:B4"/>
    <mergeCell ref="C4:E4"/>
    <mergeCell ref="H2:I2"/>
    <mergeCell ref="A3:B3"/>
    <mergeCell ref="C3:E3"/>
    <mergeCell ref="H3:I3"/>
    <mergeCell ref="A1:G1"/>
    <mergeCell ref="H1:I1"/>
    <mergeCell ref="A2:B2"/>
    <mergeCell ref="F2:G4"/>
  </mergeCells>
  <pageMargins left="0.23622047244094491" right="3.937007874015748E-2" top="0.35433070866141736" bottom="0.35433070866141736" header="0.11811023622047245" footer="0.11811023622047245"/>
  <pageSetup scale="69" orientation="landscape" r:id="rId1"/>
  <rowBreaks count="1" manualBreakCount="1">
    <brk id="2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2"/>
  <sheetViews>
    <sheetView zoomScale="60" zoomScaleNormal="60" workbookViewId="0">
      <selection activeCell="H29" sqref="H1:M29"/>
    </sheetView>
  </sheetViews>
  <sheetFormatPr baseColWidth="10" defaultColWidth="13.6640625" defaultRowHeight="13.8" x14ac:dyDescent="0.3"/>
  <cols>
    <col min="1" max="1" width="8.5546875" style="57" customWidth="1"/>
    <col min="2" max="2" width="9.33203125" style="1" customWidth="1"/>
    <col min="3" max="3" width="71.109375" style="1" customWidth="1"/>
    <col min="4" max="4" width="17" style="1" customWidth="1"/>
    <col min="5" max="5" width="14.33203125" style="1" customWidth="1"/>
    <col min="6" max="6" width="16" style="1" customWidth="1"/>
    <col min="7" max="7" width="19" style="1" customWidth="1"/>
    <col min="8" max="8" width="28.109375" style="1" customWidth="1"/>
    <col min="9" max="9" width="19.33203125" style="1" bestFit="1" customWidth="1"/>
    <col min="10" max="10" width="28.77734375" style="1" customWidth="1"/>
    <col min="11" max="11" width="22.44140625" style="1" customWidth="1"/>
    <col min="12" max="12" width="29.21875" style="1" bestFit="1" customWidth="1"/>
    <col min="13" max="13" width="23.5546875" style="1" bestFit="1" customWidth="1"/>
    <col min="14" max="14" width="27" style="1" customWidth="1"/>
    <col min="15" max="15" width="23.5546875" style="1" bestFit="1" customWidth="1"/>
    <col min="16" max="16384" width="13.6640625" style="1"/>
  </cols>
  <sheetData>
    <row r="1" spans="1:19" ht="22.5" customHeight="1" x14ac:dyDescent="0.3">
      <c r="A1" s="85" t="s">
        <v>49</v>
      </c>
      <c r="B1" s="86"/>
      <c r="C1" s="86"/>
      <c r="D1" s="86"/>
      <c r="E1" s="86"/>
      <c r="F1" s="86"/>
      <c r="G1" s="115"/>
      <c r="H1" s="85"/>
      <c r="I1" s="86"/>
      <c r="J1" s="83"/>
      <c r="K1" s="83"/>
      <c r="L1" s="85"/>
      <c r="M1" s="86"/>
      <c r="N1" s="87"/>
      <c r="O1" s="88"/>
      <c r="P1" s="87"/>
      <c r="Q1" s="88"/>
    </row>
    <row r="2" spans="1:19" ht="27.6" x14ac:dyDescent="0.3">
      <c r="A2" s="89" t="s">
        <v>0</v>
      </c>
      <c r="B2" s="90"/>
      <c r="C2" s="2" t="s">
        <v>1</v>
      </c>
      <c r="D2" s="2" t="s">
        <v>2</v>
      </c>
      <c r="E2" s="2" t="s">
        <v>3</v>
      </c>
      <c r="F2" s="91"/>
      <c r="G2" s="92"/>
      <c r="H2" s="97"/>
      <c r="I2" s="98"/>
      <c r="J2" s="97"/>
      <c r="K2" s="98"/>
      <c r="L2" s="97"/>
      <c r="M2" s="98"/>
      <c r="N2" s="97"/>
      <c r="O2" s="98"/>
      <c r="P2" s="97"/>
      <c r="Q2" s="98"/>
    </row>
    <row r="3" spans="1:19" ht="27.6" customHeight="1" x14ac:dyDescent="0.3">
      <c r="A3" s="89" t="s">
        <v>4</v>
      </c>
      <c r="B3" s="90"/>
      <c r="C3" s="113" t="s">
        <v>51</v>
      </c>
      <c r="D3" s="113"/>
      <c r="E3" s="113"/>
      <c r="F3" s="93"/>
      <c r="G3" s="94"/>
      <c r="H3" s="112" t="s">
        <v>5</v>
      </c>
      <c r="I3" s="112"/>
      <c r="J3" s="100" t="s">
        <v>50</v>
      </c>
      <c r="K3" s="100"/>
      <c r="L3" s="99" t="s">
        <v>53</v>
      </c>
      <c r="M3" s="99"/>
      <c r="N3" s="98" t="s">
        <v>6</v>
      </c>
      <c r="O3" s="98"/>
      <c r="P3" s="98" t="s">
        <v>7</v>
      </c>
      <c r="Q3" s="98"/>
    </row>
    <row r="4" spans="1:19" ht="40.5" customHeight="1" x14ac:dyDescent="0.3">
      <c r="A4" s="89" t="s">
        <v>8</v>
      </c>
      <c r="B4" s="90"/>
      <c r="C4" s="89" t="s">
        <v>9</v>
      </c>
      <c r="D4" s="114"/>
      <c r="E4" s="90"/>
      <c r="F4" s="95"/>
      <c r="G4" s="96"/>
      <c r="H4" s="97">
        <v>45817</v>
      </c>
      <c r="I4" s="98"/>
      <c r="J4" s="97">
        <v>45833</v>
      </c>
      <c r="K4" s="98"/>
      <c r="L4" s="97">
        <v>45848</v>
      </c>
      <c r="M4" s="98"/>
      <c r="N4" s="97"/>
      <c r="O4" s="98"/>
      <c r="P4" s="97"/>
      <c r="Q4" s="98"/>
    </row>
    <row r="5" spans="1:19" ht="27.6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 t="s">
        <v>16</v>
      </c>
      <c r="H5" s="5" t="s">
        <v>14</v>
      </c>
      <c r="I5" s="5" t="s">
        <v>17</v>
      </c>
      <c r="J5" s="5" t="s">
        <v>14</v>
      </c>
      <c r="K5" s="5" t="s">
        <v>17</v>
      </c>
      <c r="L5" s="5" t="s">
        <v>14</v>
      </c>
      <c r="M5" s="5" t="s">
        <v>17</v>
      </c>
      <c r="N5" s="6" t="s">
        <v>14</v>
      </c>
      <c r="O5" s="6" t="s">
        <v>17</v>
      </c>
      <c r="P5" s="7" t="s">
        <v>14</v>
      </c>
      <c r="Q5" s="7" t="s">
        <v>17</v>
      </c>
    </row>
    <row r="6" spans="1:19" ht="23.25" customHeight="1" x14ac:dyDescent="0.3">
      <c r="A6" s="8" t="s">
        <v>18</v>
      </c>
      <c r="B6" s="9"/>
      <c r="C6" s="9" t="s">
        <v>19</v>
      </c>
      <c r="D6" s="9"/>
      <c r="E6" s="9"/>
      <c r="F6" s="9"/>
      <c r="G6" s="10">
        <f>SUM(G7:G8)</f>
        <v>0</v>
      </c>
      <c r="H6" s="11"/>
      <c r="I6" s="12">
        <f>SUM(I7:I8)</f>
        <v>0</v>
      </c>
      <c r="J6" s="11"/>
      <c r="K6" s="12">
        <f>SUM(K7:K8)</f>
        <v>0</v>
      </c>
      <c r="L6" s="11"/>
      <c r="M6" s="12">
        <f>SUM(M7:M8)</f>
        <v>0</v>
      </c>
      <c r="N6" s="13"/>
      <c r="O6" s="14">
        <f>SUM(O7:O8)</f>
        <v>0</v>
      </c>
      <c r="P6" s="15"/>
      <c r="Q6" s="16">
        <f>SUM(Q7:Q8)</f>
        <v>0</v>
      </c>
    </row>
    <row r="7" spans="1:19" ht="39" customHeight="1" x14ac:dyDescent="0.3">
      <c r="A7" s="17"/>
      <c r="B7" s="18">
        <v>1.1000000000000001</v>
      </c>
      <c r="C7" s="19" t="s">
        <v>20</v>
      </c>
      <c r="D7" s="20" t="s">
        <v>21</v>
      </c>
      <c r="E7" s="21">
        <v>1</v>
      </c>
      <c r="F7" s="22" t="s">
        <v>22</v>
      </c>
      <c r="G7" s="23"/>
      <c r="H7" s="21"/>
      <c r="I7" s="24"/>
      <c r="J7" s="21"/>
      <c r="K7" s="24"/>
      <c r="L7" s="21"/>
      <c r="M7" s="24"/>
      <c r="N7" s="21"/>
      <c r="O7" s="24"/>
      <c r="P7" s="21"/>
      <c r="Q7" s="24"/>
    </row>
    <row r="8" spans="1:19" ht="83.4" customHeight="1" x14ac:dyDescent="0.3">
      <c r="A8" s="17"/>
      <c r="B8" s="18">
        <v>1.2</v>
      </c>
      <c r="C8" s="19" t="s">
        <v>23</v>
      </c>
      <c r="D8" s="20" t="s">
        <v>24</v>
      </c>
      <c r="E8" s="21">
        <v>1</v>
      </c>
      <c r="F8" s="22" t="s">
        <v>22</v>
      </c>
      <c r="G8" s="23"/>
      <c r="H8" s="21"/>
      <c r="I8" s="24"/>
      <c r="J8" s="21"/>
      <c r="K8" s="24"/>
      <c r="L8" s="21"/>
      <c r="M8" s="24"/>
      <c r="N8" s="21"/>
      <c r="O8" s="24"/>
      <c r="P8" s="21"/>
      <c r="Q8" s="24"/>
    </row>
    <row r="9" spans="1:19" ht="23.25" customHeight="1" x14ac:dyDescent="0.3">
      <c r="A9" s="25">
        <v>1</v>
      </c>
      <c r="B9" s="26"/>
      <c r="C9" s="27" t="s">
        <v>25</v>
      </c>
      <c r="D9" s="26"/>
      <c r="E9" s="28"/>
      <c r="F9" s="29"/>
      <c r="G9" s="30"/>
      <c r="H9" s="31"/>
      <c r="I9" s="32"/>
      <c r="J9" s="31"/>
      <c r="K9" s="32"/>
      <c r="L9" s="31"/>
      <c r="M9" s="32"/>
      <c r="N9" s="33"/>
      <c r="O9" s="34"/>
      <c r="P9" s="7"/>
      <c r="Q9" s="7"/>
    </row>
    <row r="10" spans="1:19" s="44" customFormat="1" ht="23.25" customHeight="1" x14ac:dyDescent="0.3">
      <c r="A10" s="35">
        <v>1.1000000000000001</v>
      </c>
      <c r="B10" s="36"/>
      <c r="C10" s="37" t="s">
        <v>26</v>
      </c>
      <c r="D10" s="36"/>
      <c r="E10" s="38"/>
      <c r="F10" s="36"/>
      <c r="G10" s="39">
        <f>SUM(G11:G17)</f>
        <v>189056926.82875699</v>
      </c>
      <c r="H10" s="40"/>
      <c r="I10" s="41">
        <f>SUM(I11:I17)</f>
        <v>119989323.24506095</v>
      </c>
      <c r="J10" s="40"/>
      <c r="K10" s="41">
        <f>SUM(K11:K17)</f>
        <v>31576218.579234969</v>
      </c>
      <c r="L10" s="40"/>
      <c r="M10" s="41">
        <f>SUM(M11:M17)</f>
        <v>37491385.004461072</v>
      </c>
      <c r="N10" s="42"/>
      <c r="O10" s="43">
        <f>SUM(O11:O17)</f>
        <v>0</v>
      </c>
      <c r="P10" s="15"/>
      <c r="Q10" s="16">
        <f>SUM(Q11:Q17)</f>
        <v>217964701.40640649</v>
      </c>
    </row>
    <row r="11" spans="1:19" ht="33" customHeight="1" x14ac:dyDescent="0.3">
      <c r="A11" s="45"/>
      <c r="B11" s="46">
        <v>10101</v>
      </c>
      <c r="C11" s="19" t="s">
        <v>27</v>
      </c>
      <c r="D11" s="47" t="s">
        <v>28</v>
      </c>
      <c r="E11" s="48">
        <v>4560.59</v>
      </c>
      <c r="F11" s="49">
        <v>2915.6623</v>
      </c>
      <c r="G11" s="23">
        <f>F11*E11</f>
        <v>13297140.328757001</v>
      </c>
      <c r="H11" s="48">
        <v>4560.59</v>
      </c>
      <c r="I11" s="24">
        <f>H11*F11</f>
        <v>13297140.328757001</v>
      </c>
      <c r="J11" s="48"/>
      <c r="K11" s="24">
        <v>0</v>
      </c>
      <c r="L11" s="48"/>
      <c r="M11" s="24">
        <f t="shared" ref="M11:M17" si="0">L11*F11</f>
        <v>0</v>
      </c>
      <c r="N11" s="21">
        <f>+E11-H11+L11</f>
        <v>0</v>
      </c>
      <c r="O11" s="24">
        <f t="shared" ref="O11:O17" si="1">N11*F11</f>
        <v>0</v>
      </c>
      <c r="P11" s="21">
        <f>+'[1](1) LAVADO (T2)'!$E$107+'[1](5) LAVADO (T1)'!$E$81</f>
        <v>6812.6549999999997</v>
      </c>
      <c r="Q11" s="24">
        <f t="shared" ref="Q11:Q17" si="2">P11*F11</f>
        <v>19863401.346406501</v>
      </c>
      <c r="S11" s="1" t="s">
        <v>52</v>
      </c>
    </row>
    <row r="12" spans="1:19" ht="39.6" customHeight="1" x14ac:dyDescent="0.3">
      <c r="A12" s="45"/>
      <c r="B12" s="46">
        <v>10102</v>
      </c>
      <c r="C12" s="19" t="s">
        <v>29</v>
      </c>
      <c r="D12" s="47" t="s">
        <v>28</v>
      </c>
      <c r="E12" s="48">
        <v>197.37</v>
      </c>
      <c r="F12" s="49">
        <v>34000</v>
      </c>
      <c r="G12" s="23">
        <f t="shared" ref="G12:G17" si="3">F12*E12</f>
        <v>6710580</v>
      </c>
      <c r="H12" s="48">
        <v>197.37</v>
      </c>
      <c r="I12" s="24">
        <f t="shared" ref="I12:I17" si="4">H12*F12</f>
        <v>6710580</v>
      </c>
      <c r="J12" s="48"/>
      <c r="K12" s="24">
        <v>0</v>
      </c>
      <c r="L12" s="48"/>
      <c r="M12" s="24">
        <f t="shared" si="0"/>
        <v>0</v>
      </c>
      <c r="N12" s="21">
        <f>+E12-H12+L12</f>
        <v>0</v>
      </c>
      <c r="O12" s="24">
        <f t="shared" si="1"/>
        <v>0</v>
      </c>
      <c r="P12" s="21">
        <f>+'[1](2) RESANES (T2)'!$E$15+'[1](6) RESANES (T1))'!$E$14</f>
        <v>397.37</v>
      </c>
      <c r="Q12" s="24">
        <f t="shared" si="2"/>
        <v>13510580</v>
      </c>
      <c r="S12" s="1" t="s">
        <v>52</v>
      </c>
    </row>
    <row r="13" spans="1:19" ht="39.6" customHeight="1" x14ac:dyDescent="0.3">
      <c r="A13" s="45"/>
      <c r="B13" s="46">
        <v>10103</v>
      </c>
      <c r="C13" s="19" t="s">
        <v>30</v>
      </c>
      <c r="D13" s="47" t="s">
        <v>31</v>
      </c>
      <c r="E13" s="75">
        <v>7534.4</v>
      </c>
      <c r="F13" s="49">
        <v>5400</v>
      </c>
      <c r="G13" s="23">
        <f t="shared" si="3"/>
        <v>40685760</v>
      </c>
      <c r="H13" s="80">
        <v>2375.7045162511477</v>
      </c>
      <c r="I13" s="24">
        <f t="shared" si="4"/>
        <v>12828804.387756197</v>
      </c>
      <c r="J13" s="80">
        <v>5158.695483748852</v>
      </c>
      <c r="K13" s="24">
        <f>J13*F13</f>
        <v>27856955.612243801</v>
      </c>
      <c r="L13" s="80"/>
      <c r="M13" s="24">
        <f t="shared" si="0"/>
        <v>0</v>
      </c>
      <c r="N13" s="21">
        <f>+E13-H13-L13-J13</f>
        <v>0</v>
      </c>
      <c r="O13" s="24">
        <f t="shared" si="1"/>
        <v>0</v>
      </c>
      <c r="P13" s="21">
        <v>5573.48</v>
      </c>
      <c r="Q13" s="24">
        <f t="shared" si="2"/>
        <v>30096791.999999996</v>
      </c>
    </row>
    <row r="14" spans="1:19" ht="39.6" customHeight="1" x14ac:dyDescent="0.3">
      <c r="A14" s="45"/>
      <c r="B14" s="46">
        <v>10104</v>
      </c>
      <c r="C14" s="19" t="s">
        <v>32</v>
      </c>
      <c r="D14" s="47" t="s">
        <v>28</v>
      </c>
      <c r="E14" s="48">
        <v>3947.39</v>
      </c>
      <c r="F14" s="49">
        <v>22750</v>
      </c>
      <c r="G14" s="23">
        <f t="shared" si="3"/>
        <v>89803122.5</v>
      </c>
      <c r="H14" s="82">
        <v>2871.03448477133</v>
      </c>
      <c r="I14" s="24">
        <f t="shared" si="4"/>
        <v>65316034.528547756</v>
      </c>
      <c r="J14" s="82"/>
      <c r="K14" s="24">
        <f t="shared" ref="K14:K17" si="5">J14*F14</f>
        <v>0</v>
      </c>
      <c r="L14" s="82">
        <f>E14-H14</f>
        <v>1076.3555152286699</v>
      </c>
      <c r="M14" s="24">
        <f t="shared" si="0"/>
        <v>24487087.97145224</v>
      </c>
      <c r="N14" s="21">
        <f t="shared" ref="N14:N17" si="6">+E14-H14-L14-J14</f>
        <v>0</v>
      </c>
      <c r="O14" s="24">
        <f t="shared" si="1"/>
        <v>0</v>
      </c>
      <c r="P14" s="21">
        <v>4910.13</v>
      </c>
      <c r="Q14" s="24">
        <f t="shared" si="2"/>
        <v>111705457.5</v>
      </c>
      <c r="S14" s="50"/>
    </row>
    <row r="15" spans="1:19" ht="39.6" customHeight="1" x14ac:dyDescent="0.3">
      <c r="A15" s="45"/>
      <c r="B15" s="46">
        <v>10105</v>
      </c>
      <c r="C15" s="19" t="s">
        <v>33</v>
      </c>
      <c r="D15" s="47" t="s">
        <v>28</v>
      </c>
      <c r="E15" s="48">
        <v>452.92</v>
      </c>
      <c r="F15" s="49">
        <v>16000</v>
      </c>
      <c r="G15" s="23">
        <f t="shared" si="3"/>
        <v>7246720</v>
      </c>
      <c r="H15" s="81">
        <v>452.92</v>
      </c>
      <c r="I15" s="24">
        <f t="shared" si="4"/>
        <v>7246720</v>
      </c>
      <c r="J15" s="81"/>
      <c r="K15" s="24">
        <f t="shared" si="5"/>
        <v>0</v>
      </c>
      <c r="L15" s="81"/>
      <c r="M15" s="24">
        <f t="shared" si="0"/>
        <v>0</v>
      </c>
      <c r="N15" s="21">
        <f t="shared" si="6"/>
        <v>0</v>
      </c>
      <c r="O15" s="24">
        <f t="shared" si="1"/>
        <v>0</v>
      </c>
      <c r="P15" s="21">
        <f>+'[1]CANTIDAD DE OBRA (T2)'!$R$81+'[1]CANTIDAD DE OBRA (T1)'!$R$73</f>
        <v>717.18</v>
      </c>
      <c r="Q15" s="24">
        <f t="shared" si="2"/>
        <v>11474880</v>
      </c>
    </row>
    <row r="16" spans="1:19" ht="55.2" customHeight="1" x14ac:dyDescent="0.3">
      <c r="A16" s="45"/>
      <c r="B16" s="46">
        <v>10106</v>
      </c>
      <c r="C16" s="19" t="s">
        <v>34</v>
      </c>
      <c r="D16" s="47" t="s">
        <v>28</v>
      </c>
      <c r="E16" s="48">
        <v>1261.3800000000001</v>
      </c>
      <c r="F16" s="49">
        <v>16800</v>
      </c>
      <c r="G16" s="23">
        <f t="shared" si="3"/>
        <v>21191184</v>
      </c>
      <c r="H16" s="21">
        <v>638.48</v>
      </c>
      <c r="I16" s="24">
        <f t="shared" si="4"/>
        <v>10726464</v>
      </c>
      <c r="J16" s="21">
        <v>125.75970041614093</v>
      </c>
      <c r="K16" s="24">
        <f t="shared" si="5"/>
        <v>2112762.9669911675</v>
      </c>
      <c r="L16" s="21">
        <v>497.14029958385913</v>
      </c>
      <c r="M16" s="24">
        <f t="shared" si="0"/>
        <v>8351957.0330088334</v>
      </c>
      <c r="N16" s="21">
        <f t="shared" si="6"/>
        <v>0</v>
      </c>
      <c r="O16" s="24">
        <f t="shared" si="1"/>
        <v>0</v>
      </c>
      <c r="P16" s="48">
        <f>+'[1](8A) PINTURA CARP MET (T1)'!$H$42+'[1](4A) PINTURA CARP MET'!$I$47+241.63</f>
        <v>1261.3791999999999</v>
      </c>
      <c r="Q16" s="24">
        <f t="shared" si="2"/>
        <v>21191170.559999999</v>
      </c>
      <c r="R16" s="50"/>
    </row>
    <row r="17" spans="1:18" ht="41.4" customHeight="1" x14ac:dyDescent="0.3">
      <c r="A17" s="51"/>
      <c r="B17" s="46">
        <v>10107</v>
      </c>
      <c r="C17" s="19" t="s">
        <v>35</v>
      </c>
      <c r="D17" s="47" t="s">
        <v>28</v>
      </c>
      <c r="E17" s="52">
        <v>723.03</v>
      </c>
      <c r="F17" s="49">
        <v>14000</v>
      </c>
      <c r="G17" s="23">
        <f t="shared" si="3"/>
        <v>10122420</v>
      </c>
      <c r="H17" s="21">
        <f>+'[1](1) LAVADO (T2)'!$E$113</f>
        <v>275.97000000000003</v>
      </c>
      <c r="I17" s="24">
        <f t="shared" si="4"/>
        <v>3863580.0000000005</v>
      </c>
      <c r="J17" s="21">
        <v>114.75</v>
      </c>
      <c r="K17" s="24">
        <f t="shared" si="5"/>
        <v>1606500</v>
      </c>
      <c r="L17" s="21">
        <v>332.30999999999995</v>
      </c>
      <c r="M17" s="24">
        <f t="shared" si="0"/>
        <v>4652339.9999999991</v>
      </c>
      <c r="N17" s="21">
        <f t="shared" si="6"/>
        <v>0</v>
      </c>
      <c r="O17" s="24">
        <f t="shared" si="1"/>
        <v>0</v>
      </c>
      <c r="P17" s="21">
        <f>+'[1]CANTIDAD DE OBRA (T2)'!$S$81+'[1]CANTIDAD DE OBRA (T1)'!$S$73+255.81</f>
        <v>723.03</v>
      </c>
      <c r="Q17" s="24">
        <f t="shared" si="2"/>
        <v>10122420</v>
      </c>
      <c r="R17" s="50"/>
    </row>
    <row r="18" spans="1:18" s="44" customFormat="1" ht="21" customHeight="1" x14ac:dyDescent="0.3">
      <c r="A18" s="8">
        <v>1.2</v>
      </c>
      <c r="B18" s="36"/>
      <c r="C18" s="11" t="s">
        <v>36</v>
      </c>
      <c r="D18" s="36"/>
      <c r="E18" s="53"/>
      <c r="F18" s="9"/>
      <c r="G18" s="39">
        <f>SUM(G19:G19)</f>
        <v>400000</v>
      </c>
      <c r="H18" s="40"/>
      <c r="I18" s="41">
        <f>SUM(I19:I19)</f>
        <v>0</v>
      </c>
      <c r="J18" s="40"/>
      <c r="K18" s="41">
        <v>0</v>
      </c>
      <c r="L18" s="40"/>
      <c r="M18" s="41">
        <f>SUM(M19:M19)</f>
        <v>400000</v>
      </c>
      <c r="N18" s="42"/>
      <c r="O18" s="43">
        <f>SUM(O19:O19)</f>
        <v>0</v>
      </c>
      <c r="P18" s="15"/>
      <c r="Q18" s="16">
        <f>SUM(Q19:Q19)</f>
        <v>400000</v>
      </c>
    </row>
    <row r="19" spans="1:18" ht="21.75" customHeight="1" x14ac:dyDescent="0.3">
      <c r="A19" s="54"/>
      <c r="B19" s="55">
        <v>10201</v>
      </c>
      <c r="C19" s="19" t="s">
        <v>37</v>
      </c>
      <c r="D19" s="56" t="s">
        <v>21</v>
      </c>
      <c r="E19" s="21">
        <v>1</v>
      </c>
      <c r="F19" s="24">
        <v>400000</v>
      </c>
      <c r="G19" s="23">
        <f>F19*E19</f>
        <v>400000</v>
      </c>
      <c r="H19" s="21"/>
      <c r="I19" s="24">
        <f>H19*F19</f>
        <v>0</v>
      </c>
      <c r="J19" s="21">
        <v>0</v>
      </c>
      <c r="K19" s="24"/>
      <c r="L19" s="21">
        <v>1</v>
      </c>
      <c r="M19" s="24">
        <f>L19*F19</f>
        <v>400000</v>
      </c>
      <c r="N19" s="21">
        <f>+E19-L19</f>
        <v>0</v>
      </c>
      <c r="O19" s="24">
        <f>N19*F19</f>
        <v>0</v>
      </c>
      <c r="P19" s="21">
        <v>1</v>
      </c>
      <c r="Q19" s="24">
        <f>P19*F19</f>
        <v>400000</v>
      </c>
    </row>
    <row r="20" spans="1:18" ht="21.75" customHeight="1" x14ac:dyDescent="0.3">
      <c r="D20" s="104" t="s">
        <v>38</v>
      </c>
      <c r="E20" s="105"/>
      <c r="F20" s="106"/>
      <c r="G20" s="58">
        <f>+G10+G18</f>
        <v>189456926.82875699</v>
      </c>
      <c r="H20" s="59" t="s">
        <v>38</v>
      </c>
      <c r="I20" s="59">
        <f>+I10+I18</f>
        <v>119989323.24506095</v>
      </c>
      <c r="J20" s="59" t="s">
        <v>38</v>
      </c>
      <c r="K20" s="59">
        <f>+K10+K18</f>
        <v>31576218.579234969</v>
      </c>
      <c r="L20" s="59" t="s">
        <v>38</v>
      </c>
      <c r="M20" s="59">
        <f>+M10+M18</f>
        <v>37891385.004461072</v>
      </c>
      <c r="N20" s="60" t="s">
        <v>38</v>
      </c>
      <c r="O20" s="60">
        <f>+O10+O18</f>
        <v>0</v>
      </c>
      <c r="P20" s="7" t="s">
        <v>38</v>
      </c>
      <c r="Q20" s="61">
        <f>+Q10+Q18</f>
        <v>218364701.40640649</v>
      </c>
    </row>
    <row r="21" spans="1:18" ht="19.95" customHeight="1" x14ac:dyDescent="0.3">
      <c r="D21" s="107" t="s">
        <v>39</v>
      </c>
      <c r="E21" s="108"/>
      <c r="F21" s="62">
        <v>0.08</v>
      </c>
      <c r="G21" s="63">
        <f>+$G$20*F21</f>
        <v>15156554.14630056</v>
      </c>
      <c r="H21" s="64" t="s">
        <v>39</v>
      </c>
      <c r="I21" s="65">
        <f>+$I$20*F21</f>
        <v>9599145.8596048765</v>
      </c>
      <c r="J21" s="64" t="s">
        <v>39</v>
      </c>
      <c r="K21" s="65">
        <f>+$K$20*F21</f>
        <v>2526097.4863387975</v>
      </c>
      <c r="L21" s="64" t="s">
        <v>39</v>
      </c>
      <c r="M21" s="65">
        <f>+$M$20*F21</f>
        <v>3031310.8003568859</v>
      </c>
      <c r="N21" s="64" t="s">
        <v>39</v>
      </c>
      <c r="O21" s="65">
        <f>+$O$20*$F$21</f>
        <v>0</v>
      </c>
      <c r="P21" s="64" t="s">
        <v>39</v>
      </c>
      <c r="Q21" s="65">
        <f>+$Q$20*$F$21</f>
        <v>17469176.112512521</v>
      </c>
    </row>
    <row r="22" spans="1:18" ht="19.95" customHeight="1" x14ac:dyDescent="0.3">
      <c r="D22" s="107" t="s">
        <v>40</v>
      </c>
      <c r="E22" s="108"/>
      <c r="F22" s="62">
        <v>0.05</v>
      </c>
      <c r="G22" s="63">
        <f>+$G$20*F22</f>
        <v>9472846.3414378501</v>
      </c>
      <c r="H22" s="64" t="s">
        <v>40</v>
      </c>
      <c r="I22" s="65">
        <f t="shared" ref="I22:I23" si="7">+$I$20*F22</f>
        <v>5999466.1622530483</v>
      </c>
      <c r="J22" s="64" t="s">
        <v>40</v>
      </c>
      <c r="K22" s="65">
        <f t="shared" ref="K22:K23" si="8">+$K$20*F22</f>
        <v>1578810.9289617485</v>
      </c>
      <c r="L22" s="64" t="s">
        <v>40</v>
      </c>
      <c r="M22" s="65">
        <f>+$M$20*F22</f>
        <v>1894569.2502230536</v>
      </c>
      <c r="N22" s="64" t="s">
        <v>40</v>
      </c>
      <c r="O22" s="65">
        <f>+$O$20*$F$22</f>
        <v>0</v>
      </c>
      <c r="P22" s="64" t="s">
        <v>40</v>
      </c>
      <c r="Q22" s="65">
        <f>+$Q$20*$F$22</f>
        <v>10918235.070320325</v>
      </c>
    </row>
    <row r="23" spans="1:18" ht="19.95" customHeight="1" x14ac:dyDescent="0.3">
      <c r="D23" s="107" t="s">
        <v>41</v>
      </c>
      <c r="E23" s="108"/>
      <c r="F23" s="62">
        <v>0.05</v>
      </c>
      <c r="G23" s="63">
        <f>+$G$20*F23</f>
        <v>9472846.3414378501</v>
      </c>
      <c r="H23" s="64" t="s">
        <v>41</v>
      </c>
      <c r="I23" s="65">
        <f t="shared" si="7"/>
        <v>5999466.1622530483</v>
      </c>
      <c r="J23" s="64" t="s">
        <v>41</v>
      </c>
      <c r="K23" s="65">
        <f t="shared" si="8"/>
        <v>1578810.9289617485</v>
      </c>
      <c r="L23" s="64" t="s">
        <v>41</v>
      </c>
      <c r="M23" s="65">
        <f>+$M$20*F23</f>
        <v>1894569.2502230536</v>
      </c>
      <c r="N23" s="64" t="s">
        <v>41</v>
      </c>
      <c r="O23" s="65">
        <f>+$O$20*$F$23</f>
        <v>0</v>
      </c>
      <c r="P23" s="64" t="s">
        <v>41</v>
      </c>
      <c r="Q23" s="65">
        <f>+$Q$20*$F$23</f>
        <v>10918235.070320325</v>
      </c>
    </row>
    <row r="24" spans="1:18" ht="19.95" customHeight="1" x14ac:dyDescent="0.3">
      <c r="D24" s="107" t="s">
        <v>42</v>
      </c>
      <c r="E24" s="108"/>
      <c r="F24" s="62">
        <v>0.19</v>
      </c>
      <c r="G24" s="63">
        <f>+G23*F24</f>
        <v>1799840.8048731915</v>
      </c>
      <c r="H24" s="64" t="s">
        <v>42</v>
      </c>
      <c r="I24" s="65">
        <f>+I23*F24</f>
        <v>1139898.5708280792</v>
      </c>
      <c r="J24" s="64" t="s">
        <v>42</v>
      </c>
      <c r="K24" s="65">
        <f>K23*F24</f>
        <v>299974.07650273223</v>
      </c>
      <c r="L24" s="64" t="s">
        <v>42</v>
      </c>
      <c r="M24" s="65">
        <f>+M23*F24</f>
        <v>359968.15754238021</v>
      </c>
      <c r="N24" s="64" t="s">
        <v>42</v>
      </c>
      <c r="O24" s="65">
        <f>+O23*$F$24</f>
        <v>0</v>
      </c>
      <c r="P24" s="64" t="s">
        <v>42</v>
      </c>
      <c r="Q24" s="65">
        <f>+$Q$23*$F$24</f>
        <v>2074464.6633608618</v>
      </c>
    </row>
    <row r="25" spans="1:18" ht="19.95" customHeight="1" x14ac:dyDescent="0.3">
      <c r="D25" s="109" t="s">
        <v>43</v>
      </c>
      <c r="E25" s="110"/>
      <c r="F25" s="111"/>
      <c r="G25" s="66">
        <f>+G21+G22+G23+G24</f>
        <v>35902087.634049453</v>
      </c>
      <c r="H25" s="67" t="s">
        <v>43</v>
      </c>
      <c r="I25" s="67">
        <f>+I21+I22+I23+I24</f>
        <v>22737976.754939053</v>
      </c>
      <c r="J25" s="67" t="s">
        <v>43</v>
      </c>
      <c r="K25" s="67">
        <f>+K21+K22+K23+K24</f>
        <v>5983693.4207650265</v>
      </c>
      <c r="L25" s="67" t="s">
        <v>43</v>
      </c>
      <c r="M25" s="67">
        <f>+M21+M22+M23+M24</f>
        <v>7180417.4583453732</v>
      </c>
      <c r="N25" s="68" t="s">
        <v>43</v>
      </c>
      <c r="O25" s="68">
        <f>+O21+O22+O23+O24</f>
        <v>0</v>
      </c>
      <c r="P25" s="69" t="s">
        <v>43</v>
      </c>
      <c r="Q25" s="69">
        <f>+Q21+Q22+Q23+Q24</f>
        <v>41380110.916514032</v>
      </c>
    </row>
    <row r="26" spans="1:18" ht="19.95" customHeight="1" x14ac:dyDescent="0.3">
      <c r="D26" s="101" t="s">
        <v>44</v>
      </c>
      <c r="E26" s="102"/>
      <c r="F26" s="103"/>
      <c r="G26" s="70">
        <f>+G20+G25</f>
        <v>225359014.46280643</v>
      </c>
      <c r="H26" s="71" t="s">
        <v>45</v>
      </c>
      <c r="I26" s="71">
        <f>+I20+I25</f>
        <v>142727300</v>
      </c>
      <c r="J26" s="71" t="s">
        <v>45</v>
      </c>
      <c r="K26" s="71">
        <f>K25+K20</f>
        <v>37559911.999999993</v>
      </c>
      <c r="L26" s="71" t="s">
        <v>45</v>
      </c>
      <c r="M26" s="71">
        <f>+M20+M25</f>
        <v>45071802.462806448</v>
      </c>
      <c r="N26" s="72" t="s">
        <v>44</v>
      </c>
      <c r="O26" s="72">
        <f>+O20+O25</f>
        <v>0</v>
      </c>
      <c r="P26" s="73" t="s">
        <v>44</v>
      </c>
      <c r="Q26" s="73">
        <f>+Q20+Q25</f>
        <v>259744812.32292053</v>
      </c>
    </row>
    <row r="27" spans="1:18" ht="19.95" customHeight="1" x14ac:dyDescent="0.3">
      <c r="H27" s="79" t="s">
        <v>46</v>
      </c>
      <c r="I27" s="76">
        <v>67607704</v>
      </c>
      <c r="J27"/>
      <c r="K27"/>
      <c r="L27"/>
      <c r="M27"/>
    </row>
    <row r="28" spans="1:18" ht="19.95" customHeight="1" x14ac:dyDescent="0.3">
      <c r="H28" s="77" t="s">
        <v>48</v>
      </c>
      <c r="I28" s="78">
        <f>I27</f>
        <v>67607704</v>
      </c>
      <c r="J28"/>
      <c r="K28"/>
      <c r="L28" s="84"/>
      <c r="M28"/>
      <c r="N28" s="74"/>
      <c r="O28" s="74"/>
      <c r="P28" s="74"/>
      <c r="Q28" s="74"/>
    </row>
    <row r="29" spans="1:18" ht="19.95" customHeight="1" x14ac:dyDescent="0.3">
      <c r="H29" s="71" t="s">
        <v>47</v>
      </c>
      <c r="I29" s="71">
        <f>I26-I28</f>
        <v>75119596</v>
      </c>
      <c r="J29"/>
      <c r="K29"/>
      <c r="L29" s="84"/>
      <c r="M29"/>
      <c r="O29" s="74"/>
      <c r="P29" s="74"/>
    </row>
    <row r="30" spans="1:18" ht="19.95" customHeight="1" x14ac:dyDescent="0.3"/>
    <row r="31" spans="1:18" x14ac:dyDescent="0.3">
      <c r="I31" s="74"/>
      <c r="J31" s="74"/>
      <c r="K31" s="74"/>
      <c r="M31" s="74"/>
    </row>
    <row r="32" spans="1:18" x14ac:dyDescent="0.3">
      <c r="M32" s="74">
        <f>M29+I29+I27</f>
        <v>142727300</v>
      </c>
    </row>
  </sheetData>
  <mergeCells count="33">
    <mergeCell ref="H1:I1"/>
    <mergeCell ref="H2:I2"/>
    <mergeCell ref="H3:I3"/>
    <mergeCell ref="H4:I4"/>
    <mergeCell ref="C3:E3"/>
    <mergeCell ref="C4:E4"/>
    <mergeCell ref="A1:G1"/>
    <mergeCell ref="N4:O4"/>
    <mergeCell ref="P4:Q4"/>
    <mergeCell ref="D26:F26"/>
    <mergeCell ref="D20:F20"/>
    <mergeCell ref="D21:E21"/>
    <mergeCell ref="D22:E22"/>
    <mergeCell ref="D23:E23"/>
    <mergeCell ref="D24:E24"/>
    <mergeCell ref="D25:F25"/>
    <mergeCell ref="J4:K4"/>
    <mergeCell ref="L1:M1"/>
    <mergeCell ref="N1:O1"/>
    <mergeCell ref="P1:Q1"/>
    <mergeCell ref="A2:B2"/>
    <mergeCell ref="F2:G4"/>
    <mergeCell ref="L2:M2"/>
    <mergeCell ref="N2:O2"/>
    <mergeCell ref="P2:Q2"/>
    <mergeCell ref="A3:B3"/>
    <mergeCell ref="L3:M3"/>
    <mergeCell ref="N3:O3"/>
    <mergeCell ref="P3:Q3"/>
    <mergeCell ref="A4:B4"/>
    <mergeCell ref="J2:K2"/>
    <mergeCell ref="J3:K3"/>
    <mergeCell ref="L4:M4"/>
  </mergeCells>
  <pageMargins left="0.23622047244094491" right="3.937007874015748E-2" top="0.35433070866141736" bottom="0.35433070866141736" header="0.11811023622047245" footer="0.11811023622047245"/>
  <pageSetup scale="88" fitToHeight="0" orientation="landscape" r:id="rId1"/>
  <rowBreaks count="1" manualBreakCount="1">
    <brk id="2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COMPARATIVO</vt:lpstr>
      <vt:lpstr>CORTES DE OBRA</vt:lpstr>
      <vt:lpstr>COMPARATIVO!Área_de_impresión</vt:lpstr>
      <vt:lpstr>'CORTES DE OBRA'!Área_de_impresión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Andrés Felipe Montoya Osorio</cp:lastModifiedBy>
  <cp:lastPrinted>2025-07-17T14:39:37Z</cp:lastPrinted>
  <dcterms:created xsi:type="dcterms:W3CDTF">2025-06-11T21:19:35Z</dcterms:created>
  <dcterms:modified xsi:type="dcterms:W3CDTF">2025-07-17T14:40:24Z</dcterms:modified>
</cp:coreProperties>
</file>