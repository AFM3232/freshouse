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OneDrive\Escritorio\"/>
    </mc:Choice>
  </mc:AlternateContent>
  <xr:revisionPtr revIDLastSave="0" documentId="8_{CA942AE2-F2D8-4B0B-BFEB-79DFFC1BA75F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formato present oferta" sheetId="1" r:id="rId1"/>
  </sheets>
  <definedNames>
    <definedName name="_xlnm.Print_Area" localSheetId="0">'formato present oferta'!$A$1:$G$21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25" i="1" l="1"/>
  <c r="G24" i="1" s="1"/>
  <c r="G19" i="1"/>
  <c r="G22" i="1"/>
  <c r="G15" i="1"/>
  <c r="G16" i="1"/>
  <c r="G17" i="1"/>
  <c r="G23" i="1"/>
  <c r="G20" i="1"/>
  <c r="G18" i="1" s="1"/>
  <c r="G11" i="1"/>
  <c r="G10" i="1"/>
  <c r="G21" i="1" l="1"/>
  <c r="G26" i="1" l="1"/>
  <c r="G14" i="1"/>
  <c r="G12" i="1"/>
  <c r="G9" i="1" s="1"/>
  <c r="G28" i="1" l="1"/>
  <c r="G29" i="1" l="1"/>
  <c r="G30" i="1" s="1"/>
  <c r="G27" i="1"/>
  <c r="G31" i="1" l="1"/>
  <c r="G3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<sst xmlns="http://schemas.openxmlformats.org/spreadsheetml/2006/main" count="68" uniqueCount="60">
  <si>
    <t>COTIZACIÓN OBRA</t>
  </si>
  <si>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</si>
  <si>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</si>
  <si>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</si>
  <si>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</si>
  <si>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</si>
  <si>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</si>
  <si>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</si>
  <si>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</si>
  <si>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</si>
  <si>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1.1.1</t>
  </si>
  <si>
    <t>CONTRUCCION DE CAMPAMENTO PROVISIONAL DE OBRA</t>
  </si>
  <si>
    <t>GL</t>
  </si>
  <si>
    <t>1.1.2</t>
  </si>
  <si>
    <t>1.1.3</t>
  </si>
  <si>
    <t>1.2.1</t>
  </si>
  <si>
    <t>M2</t>
  </si>
  <si>
    <t>1.2.2</t>
  </si>
  <si>
    <t>LEVANTAMIENTO Y REMOCION DE TEXTURAS EN MAL ESTADO Y QUE YA NO PRESENTAN ADHERENCIA, SE REMOVERAN TEXTURAS SOPLADAS A LA VISTA Y EL QUE POR REMOCION CON LA ESPATULA NO PRESENTE SUFICIENTE ADHERENCIA, EN LOS RESANES MAYORES A UN M2 SE REALIZARA EL PAÑO COMPLETO</t>
  </si>
  <si>
    <t>1.2.3</t>
  </si>
  <si>
    <t>APLICACIÓN DE IMPRIMANTE O ACRONAL, RESANE CON ESTUKA PAÑETE DE SIKA Y REPOSICION DE TEXTURA CON GRANIPLAST DE LA MARCA IMPATEXTURA, SE VOLVERA A IMPRIMAR PARA PERMITIR UN CORRECTO PUENTE DE ADHERENCIA</t>
  </si>
  <si>
    <t>1.2.4</t>
  </si>
  <si>
    <t>SE HARA TRATAMIENTO A ALFAJIAS, INCLUYE RESANE Y SELLO DE LAS MISMAS</t>
  </si>
  <si>
    <t>ML</t>
  </si>
  <si>
    <t>IMPERMEABILIZACION</t>
  </si>
  <si>
    <t>1.3.1</t>
  </si>
  <si>
    <t>SE HARA TRATAMIENTO DE FISURAS EN DILATACIONES Y SE IMPERMEABILIZARAN CON PINTUCOFILL 7 AÑOS EN UN ÁREA MAYOR AL 10% EN ANCHO</t>
  </si>
  <si>
    <t>1.3.2</t>
  </si>
  <si>
    <t>TRATAMIENTO PARA EL SELLO DE JUNTAS ENTRE LAS PAREDES Y LAS VENTANAS, INCLUYENDO DESPRENDIMIENTO DE LOS SELLOS QUE SE ENCUENTREN EN MAL ESTADO, LIMPIEZA DE LAS SUPERFICIES, RELLENO DE ESPACIOS RESULTANTES CON POLIURETANO HUBRIDO 100% PINTABLE TIPO PINTUCOFIX O SOUDAL FIX ALL HIGH TACK</t>
  </si>
  <si>
    <t>1.4.1</t>
  </si>
  <si>
    <t xml:space="preserve">SUMINISTRO Y APLICACIÓN DE PINTURA KORAZA PRO 550 EN IGUALES COLORES A LOS ACTUALES A DOS MANOS TENIENDO UN TIEMPO MINIMO ENTRE MANOS DE DOS HORAS </t>
  </si>
  <si>
    <t>1.4.2</t>
  </si>
  <si>
    <t>SUMINISTRO Y APLICACIÓN DE PINTURA TIPO PINTULUX  3 EN 1 EN CARPINTERIA METALICA (BALCONES Y REJAS DE VENTANAS)</t>
  </si>
  <si>
    <t>TERMINADO/LIMPIEZA</t>
  </si>
  <si>
    <t>1.5.1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</si>
  <si>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</si>
  <si>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</si>
  <si>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</si>
  <si>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</si>
  <si>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</si>
  <si>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</si>
  <si>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</si>
  <si>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</si>
  <si>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</si>
  <si>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</si>
  <si>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</si>
  <si>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 xml:space="preserve">  FECHA:</t>
  </si>
  <si>
    <t xml:space="preserve">  VALIDO HASTA:</t>
  </si>
  <si>
    <t>INSTALACION Y DEMARCACIÓN DE SEÑALETICA</t>
  </si>
  <si>
    <t>PROTECCION DE TECHO PARA TRABAJO SEGURO Y PREVENCIÓN DE DAÑOS EN TECHO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</si>
  <si>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</si>
  <si>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</si>
  <si>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</si>
  <si>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</si>
  <si>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</si>
  <si>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</si>
  <si>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PRELIMINARES DE OBRA</t>
  </si>
  <si>
    <t xml:space="preserve"> ACABADO DE PINTURA</t>
  </si>
  <si>
    <t xml:space="preserve"> VERSIÓN: 01</t>
  </si>
  <si>
    <t>LAVADO Y LIMPIEZA DE SUPERFICIES QUE PRESENTAN HONGOS, INCLUYE PAREDES, VENTANAS Y VIDRIERAS. EL LAVADO SE REALIZARA CON BACTERICIDAS O HIPOCLORITO AL 10%, SE DEBEN ELIMINAR POLVOS Y GRASAS QUE IMPIDAN EL CORRECTO FUNCIONAMIENTO DE LOS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</si>
</sst>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left" vertical="center" wrapText="1"/>
    </xf>
    <xf numFmtId="164" fontId="11" fillId="10" borderId="4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vertical="center"/>
    </xf>
    <xf numFmtId="164" fontId="4" fillId="0" borderId="1" xfId="2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165" fontId="4" fillId="6" borderId="1" xfId="1" applyNumberFormat="1" applyFont="1" applyFill="1" applyBorder="1" applyAlignment="1">
      <alignment vertical="center"/>
    </xf>
    <xf numFmtId="165" fontId="11" fillId="9" borderId="3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dimension ref="A1:G36"/>
  <sheetViews>
    <sheetView tabSelected="1" topLeftCell="A15" zoomScale="60" zoomScaleNormal="60" workbookViewId="0">
      <selection activeCell="F33" sqref="F33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61" t="s">
        <v>0</v>
      </c>
      <c r="B1" s="62"/>
      <c r="C1" s="62"/>
      <c r="D1" s="62"/>
      <c r="E1" s="62"/>
      <c r="F1" s="62"/>
      <c r="G1" s="63"/>
    </row>
    <row r="2" spans="1:7" ht="33.6" customHeight="1" x14ac:dyDescent="0.3">
      <c r="A2" s="64" t="s">
        <v>1</v>
      </c>
      <c r="B2" s="65"/>
      <c r="C2" s="65"/>
      <c r="D2" s="65"/>
      <c r="E2" s="65"/>
      <c r="F2" s="65"/>
      <c r="G2" s="66"/>
    </row>
    <row r="3" spans="1:7" ht="39.6" customHeight="1" x14ac:dyDescent="0.3">
      <c r="A3" s="67" t="s">
        <v>45</v>
      </c>
      <c r="B3" s="68"/>
      <c r="C3" s="44" t="s">
        <v>44</v>
      </c>
      <c r="D3" s="48" t="s">
        <v>54</v>
      </c>
      <c r="E3" s="48" t="s">
        <v>58</v>
      </c>
      <c r="F3" s="69" t="e" vm="1">
        <v>#VALUE!</v>
      </c>
      <c r="G3" s="70"/>
    </row>
    <row r="4" spans="1:7" ht="52.2" customHeight="1" x14ac:dyDescent="0.3">
      <c r="A4" s="67" t="s">
        <v>50</v>
      </c>
      <c r="B4" s="68"/>
      <c r="C4" s="45" t="s">
        <v>52</v>
      </c>
      <c r="D4" s="49" t="s">
        <v>46</v>
      </c>
      <c r="E4" s="50"/>
      <c r="F4" s="71"/>
      <c r="G4" s="72"/>
    </row>
    <row r="5" spans="1:7" ht="36.6" customHeight="1" x14ac:dyDescent="0.3">
      <c r="A5" s="51" t="s">
        <v>51</v>
      </c>
      <c r="B5" s="52"/>
      <c r="C5" s="44" t="s">
        <v>53</v>
      </c>
      <c r="D5" s="59" t="s">
        <v>47</v>
      </c>
      <c r="E5" s="60"/>
      <c r="F5" s="73"/>
      <c r="G5" s="74"/>
    </row>
    <row r="6" spans="1:7" x14ac:dyDescent="0.3">
      <c r="A6" s="53"/>
      <c r="B6" s="54"/>
      <c r="C6" s="54"/>
      <c r="D6" s="54"/>
      <c r="E6" s="54"/>
      <c r="F6" s="54"/>
      <c r="G6" s="55"/>
    </row>
    <row r="7" spans="1:7" ht="34.799999999999997" x14ac:dyDescent="0.3">
      <c r="A7" s="46" t="s">
        <v>2</v>
      </c>
      <c r="B7" s="47" t="s">
        <v>3</v>
      </c>
      <c r="C7" s="47" t="s">
        <v>4</v>
      </c>
      <c r="D7" s="47" t="s">
        <v>5</v>
      </c>
      <c r="E7" s="46" t="s">
        <v>6</v>
      </c>
      <c r="F7" s="47" t="s">
        <v>7</v>
      </c>
      <c r="G7" s="46" t="s">
        <v>8</v>
      </c>
    </row>
    <row r="8" spans="1:7" ht="23.4" x14ac:dyDescent="0.3">
      <c r="A8" s="56" t="s">
        <v>9</v>
      </c>
      <c r="B8" s="57"/>
      <c r="C8" s="57"/>
      <c r="D8" s="57"/>
      <c r="E8" s="57"/>
      <c r="F8" s="57"/>
      <c r="G8" s="58"/>
    </row>
    <row r="9" spans="1:7" ht="23.4" x14ac:dyDescent="0.3">
      <c r="A9" s="3">
        <v>1.1000000000000001</v>
      </c>
      <c r="B9" s="4"/>
      <c r="C9" s="5" t="s">
        <v>56</v>
      </c>
      <c r="D9" s="6"/>
      <c r="E9" s="6"/>
      <c r="F9" s="22"/>
      <c r="G9" s="23">
        <f>SUM(G10:G12)</f>
        <v>1000000</v>
      </c>
    </row>
    <row r="10" spans="1:7" ht="21" x14ac:dyDescent="0.3">
      <c r="A10" s="7"/>
      <c r="B10" s="7" t="s">
        <v>10</v>
      </c>
      <c r="C10" s="8" t="s">
        <v>11</v>
      </c>
      <c r="D10" s="2" t="s">
        <v>12</v>
      </c>
      <c r="E10" s="35">
        <v>1</v>
      </c>
      <c r="F10" s="24">
        <v>400000</v>
      </c>
      <c r="G10" s="25">
        <f>+E10*F10</f>
        <v>400000</v>
      </c>
    </row>
    <row r="11" spans="1:7" ht="33.6" x14ac:dyDescent="0.3">
      <c r="A11" s="7"/>
      <c r="B11" s="7" t="s">
        <v>13</v>
      </c>
      <c r="C11" s="11" t="s">
        <v>49</v>
      </c>
      <c r="D11" s="2" t="s">
        <v>12</v>
      </c>
      <c r="E11" s="35">
        <v>1</v>
      </c>
      <c r="F11" s="24">
        <v>300000</v>
      </c>
      <c r="G11" s="25">
        <f>+E11*F11</f>
        <v>300000</v>
      </c>
    </row>
    <row r="12" spans="1:7" ht="21" x14ac:dyDescent="0.3">
      <c r="A12" s="7"/>
      <c r="B12" s="7" t="s">
        <v>14</v>
      </c>
      <c r="C12" s="8" t="s">
        <v>48</v>
      </c>
      <c r="D12" s="2" t="s">
        <v>12</v>
      </c>
      <c r="E12" s="35">
        <v>1</v>
      </c>
      <c r="F12" s="24">
        <v>300000</v>
      </c>
      <c r="G12" s="25">
        <f>+E12*F12</f>
        <v>300000</v>
      </c>
    </row>
    <row r="13" spans="1:7" ht="37.200000000000003" customHeight="1" x14ac:dyDescent="0.3">
      <c r="A13" s="3">
        <v>1.2</v>
      </c>
      <c r="B13" s="4"/>
      <c r="C13" s="5" t="s">
        <v>55</v>
      </c>
      <c r="D13" s="9"/>
      <c r="E13" s="36"/>
      <c r="F13" s="26"/>
      <c r="G13" s="27">
        <f>SUM(G14:G17)</f>
        <v>18149800</v>
      </c>
    </row>
    <row r="14" spans="1:7" ht="88.2" customHeight="1" x14ac:dyDescent="0.3">
      <c r="A14" s="10"/>
      <c r="B14" s="7" t="s">
        <v>15</v>
      </c>
      <c r="C14" s="11" t="s">
        <v>59</v>
      </c>
      <c r="D14" s="2" t="s">
        <v>16</v>
      </c>
      <c r="E14" s="35">
        <v>5004</v>
      </c>
      <c r="F14" s="24">
        <v>3200</v>
      </c>
      <c r="G14" s="25">
        <f t="shared" ref="G14:G17" si="0">+E14*F14</f>
        <v>16012800</v>
      </c>
    </row>
    <row r="15" spans="1:7" ht="84" x14ac:dyDescent="0.3">
      <c r="A15" s="10"/>
      <c r="B15" s="7" t="s">
        <v>17</v>
      </c>
      <c r="C15" s="11" t="s">
        <v>18</v>
      </c>
      <c r="D15" s="2" t="s">
        <v>16</v>
      </c>
      <c r="E15" s="35">
        <v>30</v>
      </c>
      <c r="F15" s="24">
        <v>2800</v>
      </c>
      <c r="G15" s="25">
        <f t="shared" si="0"/>
        <v>84000</v>
      </c>
    </row>
    <row r="16" spans="1:7" ht="74.400000000000006" customHeight="1" x14ac:dyDescent="0.3">
      <c r="A16" s="10"/>
      <c r="B16" s="7" t="s">
        <v>19</v>
      </c>
      <c r="C16" s="11" t="s">
        <v>20</v>
      </c>
      <c r="D16" s="2" t="s">
        <v>16</v>
      </c>
      <c r="E16" s="35">
        <v>30</v>
      </c>
      <c r="F16" s="24">
        <v>36000</v>
      </c>
      <c r="G16" s="25">
        <f t="shared" si="0"/>
        <v>1080000</v>
      </c>
    </row>
    <row r="17" spans="1:7" ht="21" x14ac:dyDescent="0.3">
      <c r="A17" s="10"/>
      <c r="B17" s="7" t="s">
        <v>21</v>
      </c>
      <c r="C17" s="8" t="s">
        <v>22</v>
      </c>
      <c r="D17" s="2" t="s">
        <v>23</v>
      </c>
      <c r="E17" s="35">
        <v>139</v>
      </c>
      <c r="F17" s="24">
        <v>7000</v>
      </c>
      <c r="G17" s="25">
        <f t="shared" si="0"/>
        <v>973000</v>
      </c>
    </row>
    <row r="18" spans="1:7" ht="23.4" x14ac:dyDescent="0.3">
      <c r="A18" s="17">
        <v>1.3</v>
      </c>
      <c r="B18" s="18"/>
      <c r="C18" s="19" t="s">
        <v>24</v>
      </c>
      <c r="D18" s="20"/>
      <c r="E18" s="37"/>
      <c r="F18" s="28"/>
      <c r="G18" s="29">
        <f>SUM(G19:G20)</f>
        <v>20686400</v>
      </c>
    </row>
    <row r="19" spans="1:7" ht="50.4" x14ac:dyDescent="0.3">
      <c r="A19" s="12"/>
      <c r="B19" s="38" t="s">
        <v>25</v>
      </c>
      <c r="C19" s="13" t="s">
        <v>26</v>
      </c>
      <c r="D19" s="14" t="s">
        <v>23</v>
      </c>
      <c r="E19" s="35">
        <v>3892</v>
      </c>
      <c r="F19" s="24">
        <v>3200</v>
      </c>
      <c r="G19" s="25">
        <f>+E19*F19</f>
        <v>12454400</v>
      </c>
    </row>
    <row r="20" spans="1:7" ht="90.6" customHeight="1" x14ac:dyDescent="0.3">
      <c r="A20" s="10"/>
      <c r="B20" s="38" t="s">
        <v>27</v>
      </c>
      <c r="C20" s="11" t="s">
        <v>28</v>
      </c>
      <c r="D20" s="2" t="s">
        <v>23</v>
      </c>
      <c r="E20" s="35">
        <v>1960</v>
      </c>
      <c r="F20" s="24">
        <v>4200</v>
      </c>
      <c r="G20" s="25">
        <f>+E20*F20</f>
        <v>8232000</v>
      </c>
    </row>
    <row r="21" spans="1:7" ht="31.8" customHeight="1" x14ac:dyDescent="0.3">
      <c r="A21" s="17">
        <v>1.4</v>
      </c>
      <c r="B21" s="18"/>
      <c r="C21" s="19" t="s">
        <v>57</v>
      </c>
      <c r="D21" s="20"/>
      <c r="E21" s="37"/>
      <c r="F21" s="28"/>
      <c r="G21" s="29">
        <f>SUM(G22:G23)</f>
        <v>77042784</v>
      </c>
    </row>
    <row r="22" spans="1:7" ht="63.6" customHeight="1" x14ac:dyDescent="0.3">
      <c r="A22" s="12"/>
      <c r="B22" s="38" t="s">
        <v>29</v>
      </c>
      <c r="C22" s="13" t="s">
        <v>30</v>
      </c>
      <c r="D22" s="14" t="s">
        <v>16</v>
      </c>
      <c r="E22" s="35">
        <v>4392.4799999999996</v>
      </c>
      <c r="F22" s="24">
        <v>15800</v>
      </c>
      <c r="G22" s="25">
        <f>+E22*F22</f>
        <v>69401184</v>
      </c>
    </row>
    <row r="23" spans="1:7" ht="50.4" customHeight="1" x14ac:dyDescent="0.3">
      <c r="A23" s="10"/>
      <c r="B23" s="38" t="s">
        <v>31</v>
      </c>
      <c r="C23" s="11" t="s">
        <v>32</v>
      </c>
      <c r="D23" s="2" t="s">
        <v>16</v>
      </c>
      <c r="E23" s="35">
        <v>318.39999999999998</v>
      </c>
      <c r="F23" s="24">
        <v>24000</v>
      </c>
      <c r="G23" s="25">
        <f>+E23*F23</f>
        <v>7641599.9999999991</v>
      </c>
    </row>
    <row r="24" spans="1:7" ht="23.4" x14ac:dyDescent="0.3">
      <c r="A24" s="17">
        <v>1.5</v>
      </c>
      <c r="B24" s="18"/>
      <c r="C24" s="19" t="s">
        <v>33</v>
      </c>
      <c r="D24" s="20"/>
      <c r="E24" s="37"/>
      <c r="F24" s="28"/>
      <c r="G24" s="29">
        <f>G25</f>
        <v>200000</v>
      </c>
    </row>
    <row r="25" spans="1:7" ht="55.2" customHeight="1" x14ac:dyDescent="0.3">
      <c r="A25" s="12"/>
      <c r="B25" s="38" t="s">
        <v>34</v>
      </c>
      <c r="C25" s="13" t="s">
        <v>35</v>
      </c>
      <c r="D25" s="14" t="s">
        <v>36</v>
      </c>
      <c r="E25" s="35">
        <v>1</v>
      </c>
      <c r="F25" s="24">
        <v>200000</v>
      </c>
      <c r="G25" s="30">
        <f>F25*E25</f>
        <v>200000</v>
      </c>
    </row>
    <row r="26" spans="1:7" ht="58.8" customHeight="1" x14ac:dyDescent="0.3">
      <c r="A26" s="15"/>
      <c r="B26" s="15"/>
      <c r="C26" s="15"/>
      <c r="D26" s="15"/>
      <c r="E26" s="39" t="s">
        <v>37</v>
      </c>
      <c r="F26" s="39"/>
      <c r="G26" s="31">
        <f>G24+G21+G18+G13+G9</f>
        <v>117078984</v>
      </c>
    </row>
    <row r="27" spans="1:7" ht="39.6" customHeight="1" x14ac:dyDescent="0.3">
      <c r="A27" s="15"/>
      <c r="B27" s="15"/>
      <c r="C27" s="15"/>
      <c r="D27" s="15"/>
      <c r="E27" s="16" t="s">
        <v>38</v>
      </c>
      <c r="F27" s="21">
        <v>0.05</v>
      </c>
      <c r="G27" s="32">
        <f>+$G$26*F27</f>
        <v>5853949.2000000002</v>
      </c>
    </row>
    <row r="28" spans="1:7" ht="17.399999999999999" x14ac:dyDescent="0.3">
      <c r="A28" s="15"/>
      <c r="B28" s="15"/>
      <c r="C28" s="15"/>
      <c r="D28" s="15"/>
      <c r="E28" s="16" t="s">
        <v>39</v>
      </c>
      <c r="F28" s="21">
        <v>0.05</v>
      </c>
      <c r="G28" s="32">
        <f t="shared" ref="G28:G29" si="1">+$G$26*F28</f>
        <v>5853949.2000000002</v>
      </c>
    </row>
    <row r="29" spans="1:7" ht="17.399999999999999" x14ac:dyDescent="0.3">
      <c r="A29" s="15"/>
      <c r="B29" s="15"/>
      <c r="C29" s="15"/>
      <c r="D29" s="15"/>
      <c r="E29" s="16" t="s">
        <v>40</v>
      </c>
      <c r="F29" s="21">
        <v>0.05</v>
      </c>
      <c r="G29" s="32">
        <f t="shared" si="1"/>
        <v>5853949.2000000002</v>
      </c>
    </row>
    <row r="30" spans="1:7" ht="19.95" customHeight="1" x14ac:dyDescent="0.3">
      <c r="A30" s="15"/>
      <c r="B30" s="15"/>
      <c r="C30" s="15"/>
      <c r="D30" s="15"/>
      <c r="E30" s="16" t="s">
        <v>41</v>
      </c>
      <c r="F30" s="21">
        <v>0.19</v>
      </c>
      <c r="G30" s="32">
        <f>+G29*F30</f>
        <v>1112250.348</v>
      </c>
    </row>
    <row r="31" spans="1:7" ht="19.95" customHeight="1" x14ac:dyDescent="0.3">
      <c r="A31" s="15"/>
      <c r="B31" s="15"/>
      <c r="C31" s="15"/>
      <c r="D31" s="15"/>
      <c r="E31" s="40" t="s">
        <v>42</v>
      </c>
      <c r="F31" s="41"/>
      <c r="G31" s="33">
        <f>+G27+G28+G29+G30</f>
        <v>18674097.948000003</v>
      </c>
    </row>
    <row r="32" spans="1:7" ht="19.95" customHeight="1" x14ac:dyDescent="0.3">
      <c r="A32" s="15"/>
      <c r="B32" s="15"/>
      <c r="C32" s="15"/>
      <c r="D32" s="15"/>
      <c r="E32" s="42" t="s">
        <v>43</v>
      </c>
      <c r="F32" s="43"/>
      <c r="G32" s="34">
        <f>+G26+G31</f>
        <v>135753081.94800001</v>
      </c>
    </row>
    <row r="33" ht="19.95" customHeight="1" x14ac:dyDescent="0.3"/>
    <row r="34" ht="19.95" customHeight="1" x14ac:dyDescent="0.3"/>
    <row r="35" ht="19.95" customHeight="1" x14ac:dyDescent="0.3"/>
    <row r="36" ht="19.95" customHeight="1" x14ac:dyDescent="0.3"/>
  </sheetData>
  <mergeCells count="10">
    <mergeCell ref="A1:G1"/>
    <mergeCell ref="A2:G2"/>
    <mergeCell ref="A4:B4"/>
    <mergeCell ref="F3:G5"/>
    <mergeCell ref="A3:B3"/>
    <mergeCell ref="D4:E4"/>
    <mergeCell ref="A5:B5"/>
    <mergeCell ref="A6:G6"/>
    <mergeCell ref="A8:G8"/>
    <mergeCell ref="D5:E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dcterms:created xsi:type="dcterms:W3CDTF">2024-02-08T21:06:52Z</dcterms:created>
  <dcterms:modified xsi:type="dcterms:W3CDTF">2024-07-04T21:28:53Z</dcterms:modified>
  <cp:category/>
  <cp:contentStatus/>
</cp:coreProperties>
</file>