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30"/>
  <workbookPr defaultThemeVersion="166925"/>
  <mc:AlternateContent xmlns:mc="http://schemas.openxmlformats.org/markup-compatibility/2006">
    <mc:Choice Requires="x15">
      <x15ac:absPath xmlns:x15ac="http://schemas.microsoft.com/office/spreadsheetml/2010/11/ac" url="/Users/andresmontoyaosorio/Downloads/"/>
    </mc:Choice>
  </mc:AlternateContent>
  <xr:revisionPtr revIDLastSave="0" documentId="13_ncr:1_{F8D66B8D-38EA-914C-9745-D9E78B18107C}" xr6:coauthVersionLast="47" xr6:coauthVersionMax="47" xr10:uidLastSave="{00000000-0000-0000-0000-000000000000}"/>
  <bookViews>
    <workbookView xWindow="4420" yWindow="680" windowWidth="24980" windowHeight="16960" xr2:uid="{00000000-000D-0000-FFFF-FFFF00000000}"/>
  </bookViews>
  <sheets>
    <sheet name="COTIZACIÓN A" sheetId="1" r:id="rId1"/>
    <sheet name="COTIZACIÓN B" sheetId="2" r:id="rId2"/>
    <sheet name="COTIZACIÓN C" sheetId="3" r:id="rId3"/>
    <sheet name="COTIZACIÓN D" sheetId="5" r:id="rId4"/>
  </sheets>
  <definedNames>
    <definedName name="_xlnm.Print_Area" localSheetId="0">'COTIZACIÓN A'!$A$1:$G$39</definedName>
    <definedName name="_xlnm.Print_Area" localSheetId="1">'COTIZACIÓN B'!$A$1:$G$24</definedName>
    <definedName name="_xlnm.Print_Area" localSheetId="2">'COTIZACIÓN C'!$A$1:$G$20</definedName>
    <definedName name="_xlnm.Print_Area" localSheetId="3">'COTIZACIÓN D'!$A$1:$G$26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6" i="1" l="1"/>
  <c r="F45" i="1"/>
  <c r="F44" i="1"/>
  <c r="F43" i="1"/>
  <c r="G43" i="1"/>
  <c r="G21" i="5"/>
  <c r="G22" i="5" s="1"/>
  <c r="G15" i="3"/>
  <c r="G16" i="3" s="1"/>
  <c r="G19" i="2"/>
  <c r="G20" i="2" s="1"/>
  <c r="H17" i="5"/>
  <c r="H16" i="5"/>
  <c r="H14" i="5"/>
  <c r="H13" i="5"/>
  <c r="G11" i="5"/>
  <c r="G10" i="5"/>
  <c r="H12" i="5"/>
  <c r="H11" i="3"/>
  <c r="H10" i="3"/>
  <c r="H15" i="2"/>
  <c r="H13" i="2"/>
  <c r="H12" i="2"/>
  <c r="G10" i="2"/>
  <c r="G9" i="2" s="1"/>
  <c r="G26" i="1"/>
  <c r="G23" i="1"/>
  <c r="G22" i="1"/>
  <c r="G18" i="1"/>
  <c r="G19" i="5"/>
  <c r="G18" i="5" s="1"/>
  <c r="G13" i="5"/>
  <c r="G12" i="5"/>
  <c r="G6" i="5"/>
  <c r="G13" i="3"/>
  <c r="G12" i="3" s="1"/>
  <c r="G17" i="2"/>
  <c r="G16" i="2" s="1"/>
  <c r="G25" i="1"/>
  <c r="G16" i="5" l="1"/>
  <c r="G17" i="5"/>
  <c r="G14" i="5"/>
  <c r="G9" i="5" s="1"/>
  <c r="H10" i="5"/>
  <c r="H11" i="5"/>
  <c r="G10" i="3"/>
  <c r="G11" i="3"/>
  <c r="G15" i="2"/>
  <c r="G14" i="2" s="1"/>
  <c r="G12" i="2"/>
  <c r="G11" i="2" s="1"/>
  <c r="G13" i="2"/>
  <c r="H10" i="2"/>
  <c r="G30" i="1"/>
  <c r="G29" i="1"/>
  <c r="G28" i="1" s="1"/>
  <c r="G24" i="1"/>
  <c r="G21" i="1"/>
  <c r="G15" i="5"/>
  <c r="G6" i="3"/>
  <c r="G9" i="3"/>
  <c r="G6" i="2"/>
  <c r="G15" i="1"/>
  <c r="G14" i="1"/>
  <c r="G13" i="1"/>
  <c r="G12" i="1"/>
  <c r="G32" i="1"/>
  <c r="G27" i="1"/>
  <c r="G20" i="1"/>
  <c r="G19" i="1" s="1"/>
  <c r="G17" i="1"/>
  <c r="G16" i="1" s="1"/>
  <c r="G11" i="1"/>
  <c r="G10" i="1"/>
  <c r="G18" i="2" l="1"/>
  <c r="G20" i="5"/>
  <c r="G9" i="1"/>
  <c r="G14" i="3"/>
  <c r="G31" i="1"/>
  <c r="G33" i="1" s="1"/>
  <c r="G34" i="1" s="1"/>
  <c r="G35" i="1" s="1"/>
  <c r="E39" i="1" s="1"/>
  <c r="G44" i="1" l="1"/>
</calcChain>
</file>

<file path=xl/sharedStrings.xml><?xml version="1.0" encoding="utf-8"?>
<sst xmlns="http://schemas.openxmlformats.org/spreadsheetml/2006/main" count="201" uniqueCount="63">
  <si>
    <t>CAPT</t>
  </si>
  <si>
    <t>ITEMS</t>
  </si>
  <si>
    <t>ML</t>
  </si>
  <si>
    <t>DESCRIPCION</t>
  </si>
  <si>
    <t>1.0</t>
  </si>
  <si>
    <t>PRELIMINARES</t>
  </si>
  <si>
    <t>TOTALES DIRECTOS</t>
  </si>
  <si>
    <t>TOTAL PROPUESTA</t>
  </si>
  <si>
    <t>DIRECCION:</t>
  </si>
  <si>
    <t>CALLE 3 NORTE # 18-49 LOCAL 2</t>
  </si>
  <si>
    <t>CODIGO: FH-F-02</t>
  </si>
  <si>
    <t xml:space="preserve"> VERSIÓN: 01</t>
  </si>
  <si>
    <t>CORREO:</t>
  </si>
  <si>
    <t>TELEFONO:</t>
  </si>
  <si>
    <t>+57 310 461 7353</t>
  </si>
  <si>
    <t>UNIDAD</t>
  </si>
  <si>
    <t>CANTIDAD</t>
  </si>
  <si>
    <t>VR UNITARIO</t>
  </si>
  <si>
    <t>VALOR DIRECTO ACTIVIDAD</t>
  </si>
  <si>
    <t>MT2</t>
  </si>
  <si>
    <t>GLB</t>
  </si>
  <si>
    <t>DEMOLICIÓN - PREPARADO DE SUPERFICIE</t>
  </si>
  <si>
    <t>UND</t>
  </si>
  <si>
    <t>IMPERMEABILIZACIÓN/REPARACIÓN DE ACABADOS</t>
  </si>
  <si>
    <t>ACABADO PINTURA</t>
  </si>
  <si>
    <t>TERMINADO Y LIMPIEZA</t>
  </si>
  <si>
    <t xml:space="preserve">Admin@fresh-house.co
Rensomontoya@fresh-house.co                                                                                                                 </t>
  </si>
  <si>
    <t>Construcción de campamento provisional de obra y bodega para los trabajadores | deposito seguro de los materiales en obra</t>
  </si>
  <si>
    <t>Instalación y demarcación de con avisos y señalética necesaria como: salidas vehiculares y peatonales | colocación de señales de precaución caída de objetos, transite con cuidado, instalación de conos y colombinas para demarcar senderos peatonales etc.… toda la implementación del sistema de gestión para la prevención de riesgos laborales</t>
  </si>
  <si>
    <t>Aseo general y retiro de pintura.</t>
  </si>
  <si>
    <t xml:space="preserve">  FECHA: 04/02/2025</t>
  </si>
  <si>
    <t xml:space="preserve">  VALIDO HASTA: 04/05/2025</t>
  </si>
  <si>
    <t>Limpieza de ventanas</t>
  </si>
  <si>
    <t>Sellado acronal</t>
  </si>
  <si>
    <t>VARIOS</t>
  </si>
  <si>
    <t>Reposición balcon</t>
  </si>
  <si>
    <t>Impermeabilización culata</t>
  </si>
  <si>
    <t>COTIZACION OBRA - EDIFICIO LOS MADRIGALES</t>
  </si>
  <si>
    <t>Instalación tablilla 0,06M2</t>
  </si>
  <si>
    <t>Limpieza de alfajias con hidrolavadora</t>
  </si>
  <si>
    <t>CUBIERTA</t>
  </si>
  <si>
    <t>Flanches cubierta</t>
  </si>
  <si>
    <t>Tejas asbesto cemento</t>
  </si>
  <si>
    <t>Limpieza manual de paredes</t>
  </si>
  <si>
    <t>INCLUIDO</t>
  </si>
  <si>
    <t>Limpieza de fachada con hidrolavadora y aplicación de hipoclorito para eliminación de hongos</t>
  </si>
  <si>
    <t>Suministro y aplicación de sellante tipo hibrido Sikaflex</t>
  </si>
  <si>
    <t>Suministro y aplicación de Pintura Koraza de Pintuco siguiendo ficha tecnica del fabricante</t>
  </si>
  <si>
    <t>Suministro y aplicación de Pintura Koraza de Pintuco siguiendo ficha tecnica del fabricante Rojo a 2 manos</t>
  </si>
  <si>
    <t>Suministro y aplicación de Pintura Koraza de Pintuco siguiendo ficha tecnica del fabricante Beige a 2 manos</t>
  </si>
  <si>
    <t>Suministro y aplicación de Pintura Koraza Gris en alfajias a 2 manos</t>
  </si>
  <si>
    <t>Suministro y aplicación de Pintura Koraza de Pintuco siguiendo ficha tecnica del fabricante Beige a 3 manos en area de resanes | Se realizara imprimación en el area de resane y se aplicaran las manos necesarias para garantizar la uniformidad del color</t>
  </si>
  <si>
    <t>Suministro y aplicación de Pintura Koraza de Pintuco siguiendo ficha tecnica del fabricante rojo a 3 manos en area de resanes | Se realizara imprimación en el area de resane y se aplicaran las manos necesarias para garantizar la uniformidad del color</t>
  </si>
  <si>
    <t>La presente cotización contempla de manera integral los trabajos en las áreas designadas, garantizando la ejecución completa de los resanes necesarios, así como la aplicación de pintura requerida para asegurar una adecuada estética y funcionalidad.</t>
  </si>
  <si>
    <t>Resane graniplast | Se realizara la integralidad de resanes en las areas designadas para asegurar estetica y funcionabilidad</t>
  </si>
  <si>
    <t>Revoque | Se realizara la integralidad de resanes en las areas designadas para asegurar estetica y funcionabilidad</t>
  </si>
  <si>
    <t>Raspado manual de fachadas | Se retirara todo material suelto o que presente poca adherencia para poder aplicar material nuevo de calidad</t>
  </si>
  <si>
    <t>Suministro y aplicación Pintura Koraza gris alfajias a 2 manos</t>
  </si>
  <si>
    <t>Suministro y aplicación de Estuco y pintura vinilo blanco a dos manos | De manera integral en las areas designadas garantizando estetica y funcionabilidad</t>
  </si>
  <si>
    <t>Pintura vinilo blanco a 2 manos | De manera integral en las areas designadas garantizando estetica y funcionabilidad</t>
  </si>
  <si>
    <t>Calle 19 Norte 18-64 Ed. Atlantis piso 3 local 7</t>
  </si>
  <si>
    <t>Gerencia@freshouse.com.co</t>
  </si>
  <si>
    <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</si>
</sst>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 #,##0_-;\-&quot;$&quot;\ * #,##0_-;_-&quot;$&quot;\ * &quot;-&quot;_-;_-@_-"/>
    <numFmt numFmtId="44" formatCode="_-&quot;$&quot;\ * #,##0.00_-;\-&quot;$&quot;\ * #,##0.00_-;_-&quot;$&quot;\ * &quot;-&quot;??_-;_-@_-"/>
    <numFmt numFmtId="43" formatCode="_-* #,##0.00_-;\-* #,##0.00_-;_-* &quot;-&quot;??_-;_-@_-"/>
    <numFmt numFmtId="164" formatCode="_-&quot;$&quot;\ * #,##0_-;\-&quot;$&quot;\ * #,##0_-;_-&quot;$&quot;\ * &quot;-&quot;??_-;_-@_-"/>
    <numFmt numFmtId="165" formatCode="0.0"/>
  </numFmts>
  <fonts count="9" x14ac:knownFonts="1">
    <font>
      <sz val="11"/>
      <color theme="1"/>
      <name val="Calibri"/>
      <family val="2"/>
      <scheme val="minor"/>
    </font>
    <font>
      <sz val="11"/>
      <color theme="1"/>
      <name val="Calibri"/>
      <family val="2"/>
      <scheme val="minor"/>
    </font>
    <font>
      <sz val="8"/>
      <name val="Calibri"/>
      <family val="2"/>
      <scheme val="minor"/>
    </font>
    <font>
      <b/>
      <sz val="12"/>
      <color theme="1"/>
      <name val="Century Gothic"/>
      <family val="2"/>
    </font>
    <font>
      <sz val="10"/>
      <color theme="1"/>
      <name val="Calibri"/>
      <family val="2"/>
      <scheme val="minor"/>
    </font>
    <font>
      <sz val="12"/>
      <color theme="1"/>
      <name val="Century Gothic"/>
      <family val="2"/>
    </font>
    <font>
      <b/>
      <sz val="12"/>
      <color rgb="FF000000"/>
      <name val="Century Gothic"/>
      <family val="2"/>
    </font>
    <font>
      <sz val="12"/>
      <color rgb="FF000000"/>
      <name val="Century Gothic"/>
      <family val="2"/>
    </font>
    <font>
      <b/>
      <sz val="12"/>
      <color rgb="FFFF0000"/>
      <name val="Century Gothic"/>
      <family val="2"/>
    </font>
  </fonts>
  <fills count="6">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FFFF00"/>
        <bgColor indexed="64"/>
      </patternFill>
    </fill>
  </fills>
  <borders count="22">
    <border>
      <left/>
      <right/>
      <top/>
      <bottom/>
      <diagonal/>
    </border>
    <border>
      <left style="thin">
        <color rgb="FF505050"/>
      </left>
      <right style="thin">
        <color rgb="FF505050"/>
      </right>
      <top style="thin">
        <color rgb="FF505050"/>
      </top>
      <bottom style="thin">
        <color rgb="FF505050"/>
      </bottom>
      <diagonal/>
    </border>
    <border>
      <left style="thin">
        <color rgb="FF505050"/>
      </left>
      <right style="thin">
        <color rgb="FF505050"/>
      </right>
      <top/>
      <bottom style="thin">
        <color rgb="FF505050"/>
      </bottom>
      <diagonal/>
    </border>
    <border>
      <left/>
      <right style="thin">
        <color rgb="FF505050"/>
      </right>
      <top style="thin">
        <color rgb="FF505050"/>
      </top>
      <bottom style="thin">
        <color rgb="FF505050"/>
      </bottom>
      <diagonal/>
    </border>
    <border>
      <left/>
      <right style="thin">
        <color rgb="FF505050"/>
      </right>
      <top/>
      <bottom style="thin">
        <color rgb="FF505050"/>
      </bottom>
      <diagonal/>
    </border>
    <border>
      <left style="thin">
        <color rgb="FF505050"/>
      </left>
      <right/>
      <top style="thin">
        <color rgb="FF505050"/>
      </top>
      <bottom style="thin">
        <color rgb="FF50505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505050"/>
      </left>
      <right/>
      <top style="thin">
        <color rgb="FF505050"/>
      </top>
      <bottom style="thin">
        <color indexed="64"/>
      </bottom>
      <diagonal/>
    </border>
    <border>
      <left/>
      <right/>
      <top style="thin">
        <color rgb="FF505050"/>
      </top>
      <bottom style="thin">
        <color indexed="64"/>
      </bottom>
      <diagonal/>
    </border>
    <border>
      <left/>
      <right style="thin">
        <color rgb="FF505050"/>
      </right>
      <top style="thin">
        <color rgb="FF505050"/>
      </top>
      <bottom style="thin">
        <color indexed="64"/>
      </bottom>
      <diagonal/>
    </border>
    <border>
      <left style="thin">
        <color rgb="FF505050"/>
      </left>
      <right/>
      <top style="thin">
        <color rgb="FF505050"/>
      </top>
      <bottom/>
      <diagonal/>
    </border>
    <border>
      <left/>
      <right/>
      <top style="thin">
        <color rgb="FF505050"/>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2" fontId="1"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3" fillId="0" borderId="6" xfId="0" applyFont="1" applyBorder="1" applyAlignment="1">
      <alignment horizontal="center" vertical="center" wrapText="1"/>
    </xf>
    <xf numFmtId="164" fontId="5" fillId="2" borderId="1" xfId="0" applyNumberFormat="1" applyFont="1" applyFill="1" applyBorder="1" applyAlignment="1">
      <alignment horizontal="left" vertical="center" wrapText="1"/>
    </xf>
    <xf numFmtId="164" fontId="5" fillId="0" borderId="6" xfId="0" applyNumberFormat="1" applyFont="1" applyBorder="1" applyAlignment="1">
      <alignment horizontal="left" vertical="center" wrapText="1"/>
    </xf>
    <xf numFmtId="164" fontId="5" fillId="0" borderId="3" xfId="0" applyNumberFormat="1" applyFont="1" applyBorder="1" applyAlignment="1">
      <alignment horizontal="left" vertical="center" wrapText="1"/>
    </xf>
    <xf numFmtId="164" fontId="5" fillId="0" borderId="1" xfId="0" applyNumberFormat="1" applyFont="1" applyBorder="1" applyAlignment="1">
      <alignment horizontal="left" vertical="center" wrapText="1"/>
    </xf>
    <xf numFmtId="0" fontId="5" fillId="0" borderId="0" xfId="0" applyFont="1" applyAlignment="1">
      <alignment horizontal="center" vertical="center"/>
    </xf>
    <xf numFmtId="0" fontId="5" fillId="0" borderId="0" xfId="0" applyFont="1" applyAlignment="1">
      <alignment vertical="center"/>
    </xf>
    <xf numFmtId="164" fontId="5" fillId="2" borderId="4" xfId="0" applyNumberFormat="1" applyFont="1" applyFill="1" applyBorder="1" applyAlignment="1">
      <alignment vertical="center"/>
    </xf>
    <xf numFmtId="9" fontId="5" fillId="0" borderId="6" xfId="3" applyFont="1" applyFill="1" applyBorder="1" applyAlignment="1">
      <alignment horizontal="center" vertical="center"/>
    </xf>
    <xf numFmtId="164" fontId="5" fillId="0" borderId="3" xfId="2" applyNumberFormat="1" applyFont="1" applyFill="1" applyBorder="1" applyAlignment="1">
      <alignment vertical="center"/>
    </xf>
    <xf numFmtId="164" fontId="3" fillId="3" borderId="3" xfId="0" applyNumberFormat="1" applyFont="1" applyFill="1" applyBorder="1" applyAlignment="1">
      <alignment vertical="center"/>
    </xf>
    <xf numFmtId="0" fontId="3" fillId="4" borderId="2" xfId="0" applyFont="1" applyFill="1" applyBorder="1" applyAlignment="1">
      <alignment horizontal="center" vertical="center" wrapText="1"/>
    </xf>
    <xf numFmtId="0" fontId="5" fillId="0" borderId="6" xfId="0" applyFont="1" applyBorder="1" applyAlignment="1">
      <alignment horizontal="center" vertical="center" wrapText="1"/>
    </xf>
    <xf numFmtId="43" fontId="5" fillId="0" borderId="6" xfId="1" applyFont="1" applyFill="1" applyBorder="1" applyAlignment="1">
      <alignment vertical="center" wrapText="1"/>
    </xf>
    <xf numFmtId="0" fontId="3" fillId="2" borderId="14" xfId="0" applyFont="1" applyFill="1" applyBorder="1" applyAlignment="1">
      <alignment vertical="center" wrapText="1"/>
    </xf>
    <xf numFmtId="43" fontId="3" fillId="2" borderId="14" xfId="0" applyNumberFormat="1" applyFont="1" applyFill="1" applyBorder="1" applyAlignment="1">
      <alignment vertical="center" wrapText="1"/>
    </xf>
    <xf numFmtId="43" fontId="5" fillId="0" borderId="1" xfId="1" applyFont="1" applyFill="1" applyBorder="1" applyAlignment="1">
      <alignment vertical="center" wrapText="1"/>
    </xf>
    <xf numFmtId="43" fontId="5" fillId="0" borderId="3" xfId="1" applyFont="1" applyFill="1" applyBorder="1" applyAlignment="1">
      <alignment vertical="center" wrapText="1"/>
    </xf>
    <xf numFmtId="165" fontId="3" fillId="2" borderId="13" xfId="0" applyNumberFormat="1" applyFont="1" applyFill="1" applyBorder="1" applyAlignment="1">
      <alignment horizontal="center" vertical="center" wrapText="1"/>
    </xf>
    <xf numFmtId="0" fontId="5" fillId="2" borderId="0" xfId="0" applyFont="1" applyFill="1" applyAlignment="1">
      <alignment vertical="center" wrapText="1"/>
    </xf>
    <xf numFmtId="0" fontId="3" fillId="0" borderId="1" xfId="0" applyFont="1" applyBorder="1" applyAlignment="1">
      <alignment horizontal="center" vertical="center" wrapText="1"/>
    </xf>
    <xf numFmtId="0" fontId="6" fillId="0" borderId="6" xfId="0" applyFont="1" applyBorder="1" applyAlignment="1">
      <alignment horizontal="center" vertical="center" wrapText="1"/>
    </xf>
    <xf numFmtId="0" fontId="3" fillId="2" borderId="0" xfId="0" applyFont="1" applyFill="1" applyAlignment="1">
      <alignment vertical="center" wrapText="1"/>
    </xf>
    <xf numFmtId="0" fontId="5" fillId="0" borderId="7" xfId="0" applyFont="1" applyBorder="1" applyAlignment="1">
      <alignment horizontal="center" vertical="center" wrapText="1"/>
    </xf>
    <xf numFmtId="0" fontId="5" fillId="0" borderId="5" xfId="0" applyFont="1" applyBorder="1" applyAlignment="1">
      <alignment horizontal="center" vertical="center" wrapText="1"/>
    </xf>
    <xf numFmtId="0" fontId="7"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3" xfId="0" applyFont="1" applyBorder="1" applyAlignment="1">
      <alignment horizontal="center" vertical="center" wrapText="1"/>
    </xf>
    <xf numFmtId="0" fontId="7" fillId="0" borderId="8" xfId="0" applyFont="1" applyBorder="1" applyAlignment="1">
      <alignment horizontal="center" vertical="center" wrapText="1"/>
    </xf>
    <xf numFmtId="0" fontId="3" fillId="2" borderId="6" xfId="0" applyFont="1" applyFill="1" applyBorder="1" applyAlignment="1">
      <alignment vertical="center" wrapText="1"/>
    </xf>
    <xf numFmtId="0" fontId="7" fillId="0" borderId="6" xfId="0" applyFont="1" applyBorder="1" applyAlignment="1">
      <alignment vertical="center" wrapText="1"/>
    </xf>
    <xf numFmtId="164" fontId="8" fillId="5" borderId="6" xfId="0" applyNumberFormat="1" applyFont="1" applyFill="1" applyBorder="1" applyAlignment="1">
      <alignment horizontal="center" vertical="center" wrapText="1"/>
    </xf>
    <xf numFmtId="164" fontId="5" fillId="0" borderId="0" xfId="0" applyNumberFormat="1" applyFont="1" applyAlignment="1">
      <alignment vertical="center"/>
    </xf>
    <xf numFmtId="164" fontId="4" fillId="0" borderId="0" xfId="0" applyNumberFormat="1" applyFont="1" applyAlignment="1">
      <alignment vertical="center"/>
    </xf>
    <xf numFmtId="0" fontId="5" fillId="0" borderId="0" xfId="0" applyFont="1" applyAlignment="1">
      <alignment vertical="center" wrapText="1"/>
    </xf>
    <xf numFmtId="42" fontId="4" fillId="0" borderId="0" xfId="4" applyFont="1" applyAlignment="1">
      <alignment vertical="center"/>
    </xf>
    <xf numFmtId="42" fontId="4" fillId="0" borderId="0" xfId="0" applyNumberFormat="1" applyFont="1" applyAlignment="1">
      <alignment vertical="center"/>
    </xf>
    <xf numFmtId="0" fontId="3" fillId="3" borderId="7"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8" xfId="0" applyFont="1" applyFill="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4" borderId="10"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3" fillId="4" borderId="12"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43" fontId="3" fillId="2" borderId="7" xfId="1" applyFont="1" applyFill="1" applyBorder="1" applyAlignment="1">
      <alignment horizontal="center" vertical="center"/>
    </xf>
    <xf numFmtId="43" fontId="3" fillId="2" borderId="9" xfId="1" applyFont="1" applyFill="1" applyBorder="1" applyAlignment="1">
      <alignment horizontal="center" vertical="center"/>
    </xf>
    <xf numFmtId="43" fontId="3" fillId="2" borderId="8" xfId="1" applyFont="1" applyFill="1" applyBorder="1" applyAlignment="1">
      <alignment horizontal="center" vertical="center"/>
    </xf>
    <xf numFmtId="0" fontId="5" fillId="0" borderId="21" xfId="0" applyFont="1" applyBorder="1" applyAlignment="1">
      <alignment horizontal="center" vertical="center" wrapText="1"/>
    </xf>
    <xf numFmtId="0" fontId="5" fillId="0" borderId="0" xfId="0" applyFont="1" applyAlignment="1">
      <alignment horizontal="center" vertical="center" wrapText="1"/>
    </xf>
  </cellXfs>
  <cellStyles count="5">
    <cellStyle name="Millares" xfId="1" builtinId="3"/>
    <cellStyle name="Moneda" xfId="2" builtinId="4"/>
    <cellStyle name="Moneda [0]" xfId="4" builtinId="7"/>
    <cellStyle name="Normal" xfId="0" builtinId="0"/>
    <cellStyle name="Porcentaj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419101</xdr:colOff>
      <xdr:row>1</xdr:row>
      <xdr:rowOff>76200</xdr:rowOff>
    </xdr:from>
    <xdr:to>
      <xdr:col>6</xdr:col>
      <xdr:colOff>1346201</xdr:colOff>
      <xdr:row>3</xdr:row>
      <xdr:rowOff>287437</xdr:rowOff>
    </xdr:to>
    <xdr:pic>
      <xdr:nvPicPr>
        <xdr:cNvPr id="3" name="Imagen 2">
          <a:extLst>
            <a:ext uri="{FF2B5EF4-FFF2-40B4-BE49-F238E27FC236}">
              <a16:creationId xmlns:a16="http://schemas.microsoft.com/office/drawing/2014/main" id="{359B59D5-B26C-E1BA-9849-F968261D07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83701" y="355600"/>
          <a:ext cx="1968500" cy="7827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177801</xdr:colOff>
      <xdr:row>1</xdr:row>
      <xdr:rowOff>76200</xdr:rowOff>
    </xdr:from>
    <xdr:to>
      <xdr:col>7</xdr:col>
      <xdr:colOff>2721</xdr:colOff>
      <xdr:row>3</xdr:row>
      <xdr:rowOff>92401</xdr:rowOff>
    </xdr:to>
    <xdr:pic>
      <xdr:nvPicPr>
        <xdr:cNvPr id="2" name="Imagen 1">
          <a:extLst>
            <a:ext uri="{FF2B5EF4-FFF2-40B4-BE49-F238E27FC236}">
              <a16:creationId xmlns:a16="http://schemas.microsoft.com/office/drawing/2014/main" id="{240EEDF6-1FF9-4DD2-924D-BC94DFB860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55101" y="358140"/>
          <a:ext cx="1963420" cy="78527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177801</xdr:colOff>
      <xdr:row>1</xdr:row>
      <xdr:rowOff>76200</xdr:rowOff>
    </xdr:from>
    <xdr:to>
      <xdr:col>7</xdr:col>
      <xdr:colOff>16329</xdr:colOff>
      <xdr:row>3</xdr:row>
      <xdr:rowOff>92401</xdr:rowOff>
    </xdr:to>
    <xdr:pic>
      <xdr:nvPicPr>
        <xdr:cNvPr id="2" name="Imagen 1">
          <a:extLst>
            <a:ext uri="{FF2B5EF4-FFF2-40B4-BE49-F238E27FC236}">
              <a16:creationId xmlns:a16="http://schemas.microsoft.com/office/drawing/2014/main" id="{92BFB03C-B7FD-4C2D-AFEA-207C72A977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55101" y="358140"/>
          <a:ext cx="1963420" cy="78527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177801</xdr:colOff>
      <xdr:row>1</xdr:row>
      <xdr:rowOff>76200</xdr:rowOff>
    </xdr:from>
    <xdr:to>
      <xdr:col>7</xdr:col>
      <xdr:colOff>29937</xdr:colOff>
      <xdr:row>3</xdr:row>
      <xdr:rowOff>92401</xdr:rowOff>
    </xdr:to>
    <xdr:pic>
      <xdr:nvPicPr>
        <xdr:cNvPr id="2" name="Imagen 1">
          <a:extLst>
            <a:ext uri="{FF2B5EF4-FFF2-40B4-BE49-F238E27FC236}">
              <a16:creationId xmlns:a16="http://schemas.microsoft.com/office/drawing/2014/main" id="{419BDA91-0A8A-4A61-BA82-A7924B7D5B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55101" y="358140"/>
          <a:ext cx="1963420" cy="785277"/>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46"/>
  <sheetViews>
    <sheetView tabSelected="1" topLeftCell="A24" zoomScale="94" zoomScaleNormal="60" workbookViewId="0">
      <selection activeCell="F47" sqref="F47"/>
    </sheetView>
  </sheetViews>
  <sheetFormatPr baseColWidth="10" defaultColWidth="12.33203125" defaultRowHeight="14" x14ac:dyDescent="0.2"/>
  <cols>
    <col min="1" max="1" width="8.5" style="2" customWidth="1"/>
    <col min="2" max="2" width="8.33203125" style="1" customWidth="1"/>
    <col min="3" max="3" width="77.6640625" style="1" customWidth="1"/>
    <col min="4" max="4" width="20.1640625" style="1" bestFit="1" customWidth="1"/>
    <col min="5" max="5" width="14.6640625" style="1" bestFit="1" customWidth="1"/>
    <col min="6" max="6" width="15.1640625" style="1" bestFit="1" customWidth="1"/>
    <col min="7" max="7" width="24.5" style="1" bestFit="1" customWidth="1"/>
    <col min="8" max="8" width="25.5" style="1" customWidth="1"/>
    <col min="9" max="16384" width="12.33203125" style="1"/>
  </cols>
  <sheetData>
    <row r="1" spans="1:8" ht="22.5" customHeight="1" x14ac:dyDescent="0.2">
      <c r="A1" s="45" t="s">
        <v>37</v>
      </c>
      <c r="B1" s="46"/>
      <c r="C1" s="46"/>
      <c r="D1" s="46"/>
      <c r="E1" s="46"/>
      <c r="F1" s="46"/>
      <c r="G1" s="47"/>
    </row>
    <row r="2" spans="1:8" ht="25.25" customHeight="1" x14ac:dyDescent="0.2">
      <c r="A2" s="48" t="s">
        <v>8</v>
      </c>
      <c r="B2" s="49"/>
      <c r="C2" s="3" t="s">
        <v>60</v>
      </c>
      <c r="D2" s="3" t="s">
        <v>10</v>
      </c>
      <c r="E2" s="3" t="s">
        <v>11</v>
      </c>
      <c r="F2" s="50"/>
      <c r="G2" s="51"/>
    </row>
    <row r="3" spans="1:8" ht="20.5" customHeight="1" x14ac:dyDescent="0.2">
      <c r="A3" s="48" t="s">
        <v>12</v>
      </c>
      <c r="B3" s="49"/>
      <c r="C3" s="3" t="s">
        <v>61</v>
      </c>
      <c r="D3" s="48" t="s">
        <v>30</v>
      </c>
      <c r="E3" s="49"/>
      <c r="F3" s="52"/>
      <c r="G3" s="53"/>
      <c r="H3"/>
    </row>
    <row r="4" spans="1:8" ht="29.5" customHeight="1" x14ac:dyDescent="0.2">
      <c r="A4" s="48" t="s">
        <v>13</v>
      </c>
      <c r="B4" s="49"/>
      <c r="C4" s="3" t="s">
        <v>14</v>
      </c>
      <c r="D4" s="48" t="s">
        <v>31</v>
      </c>
      <c r="E4" s="49"/>
      <c r="F4" s="54"/>
      <c r="G4" s="55"/>
      <c r="H4"/>
    </row>
    <row r="5" spans="1:8" ht="34" x14ac:dyDescent="0.2">
      <c r="A5" s="14" t="s">
        <v>0</v>
      </c>
      <c r="B5" s="14" t="s">
        <v>1</v>
      </c>
      <c r="C5" s="14" t="s">
        <v>3</v>
      </c>
      <c r="D5" s="14" t="s">
        <v>15</v>
      </c>
      <c r="E5" s="14" t="s">
        <v>16</v>
      </c>
      <c r="F5" s="14" t="s">
        <v>17</v>
      </c>
      <c r="G5" s="14" t="s">
        <v>18</v>
      </c>
      <c r="H5"/>
    </row>
    <row r="6" spans="1:8" ht="23.25" customHeight="1" x14ac:dyDescent="0.2">
      <c r="A6" s="21" t="s">
        <v>4</v>
      </c>
      <c r="B6" s="17"/>
      <c r="C6" s="17" t="s">
        <v>5</v>
      </c>
      <c r="D6" s="17"/>
      <c r="E6" s="17"/>
      <c r="F6" s="17"/>
      <c r="G6" s="4">
        <v>0</v>
      </c>
    </row>
    <row r="7" spans="1:8" ht="36" customHeight="1" x14ac:dyDescent="0.2">
      <c r="A7" s="15"/>
      <c r="B7" s="26">
        <v>1.1000000000000001</v>
      </c>
      <c r="C7" s="33" t="s">
        <v>27</v>
      </c>
      <c r="D7" s="29" t="s">
        <v>22</v>
      </c>
      <c r="E7" s="16">
        <v>1</v>
      </c>
      <c r="F7" s="34" t="s">
        <v>44</v>
      </c>
      <c r="G7" s="6">
        <v>0</v>
      </c>
    </row>
    <row r="8" spans="1:8" ht="100.75" customHeight="1" x14ac:dyDescent="0.2">
      <c r="A8" s="15"/>
      <c r="B8" s="26">
        <v>1.2</v>
      </c>
      <c r="C8" s="33" t="s">
        <v>28</v>
      </c>
      <c r="D8" s="29" t="s">
        <v>20</v>
      </c>
      <c r="E8" s="16">
        <v>1</v>
      </c>
      <c r="F8" s="34" t="s">
        <v>44</v>
      </c>
      <c r="G8" s="6">
        <v>0</v>
      </c>
    </row>
    <row r="9" spans="1:8" ht="23.25" customHeight="1" x14ac:dyDescent="0.2">
      <c r="A9" s="21">
        <v>2</v>
      </c>
      <c r="B9" s="22"/>
      <c r="C9" s="32" t="s">
        <v>21</v>
      </c>
      <c r="D9" s="17"/>
      <c r="E9" s="18"/>
      <c r="F9" s="17"/>
      <c r="G9" s="4">
        <f>SUM(G10:G15)</f>
        <v>19003071.640000001</v>
      </c>
    </row>
    <row r="10" spans="1:8" ht="33.5" customHeight="1" x14ac:dyDescent="0.2">
      <c r="A10" s="23"/>
      <c r="B10" s="27">
        <v>2.1</v>
      </c>
      <c r="C10" s="33" t="s">
        <v>45</v>
      </c>
      <c r="D10" s="30" t="s">
        <v>19</v>
      </c>
      <c r="E10" s="19">
        <v>1747</v>
      </c>
      <c r="F10" s="7">
        <v>3799.6</v>
      </c>
      <c r="G10" s="6">
        <f>F10*E10</f>
        <v>6637901.2000000002</v>
      </c>
      <c r="H10" s="36"/>
    </row>
    <row r="11" spans="1:8" ht="20" customHeight="1" x14ac:dyDescent="0.2">
      <c r="A11" s="23"/>
      <c r="B11" s="27">
        <v>2.2000000000000002</v>
      </c>
      <c r="C11" s="33" t="s">
        <v>32</v>
      </c>
      <c r="D11" s="30" t="s">
        <v>19</v>
      </c>
      <c r="E11" s="19">
        <v>380.51</v>
      </c>
      <c r="F11" s="7">
        <v>3540</v>
      </c>
      <c r="G11" s="6">
        <f t="shared" ref="G11" si="0">F11*E11</f>
        <v>1347005.4</v>
      </c>
      <c r="H11" s="36"/>
    </row>
    <row r="12" spans="1:8" ht="42.5" customHeight="1" x14ac:dyDescent="0.2">
      <c r="A12" s="23"/>
      <c r="B12" s="27">
        <v>2.2999999999999998</v>
      </c>
      <c r="C12" s="33" t="s">
        <v>56</v>
      </c>
      <c r="D12" s="30" t="s">
        <v>19</v>
      </c>
      <c r="E12" s="19">
        <v>219.26</v>
      </c>
      <c r="F12" s="7">
        <v>4720</v>
      </c>
      <c r="G12" s="6">
        <f t="shared" ref="G12:G15" si="1">F12*E12</f>
        <v>1034907.2</v>
      </c>
      <c r="H12" s="36"/>
    </row>
    <row r="13" spans="1:8" ht="33" customHeight="1" x14ac:dyDescent="0.2">
      <c r="A13" s="23"/>
      <c r="B13" s="27">
        <v>2.4</v>
      </c>
      <c r="C13" s="33" t="s">
        <v>55</v>
      </c>
      <c r="D13" s="30" t="s">
        <v>19</v>
      </c>
      <c r="E13" s="19">
        <v>1.53</v>
      </c>
      <c r="F13" s="7">
        <v>48380</v>
      </c>
      <c r="G13" s="6">
        <f t="shared" si="1"/>
        <v>74021.399999999994</v>
      </c>
      <c r="H13" s="36"/>
    </row>
    <row r="14" spans="1:8" ht="34.75" customHeight="1" x14ac:dyDescent="0.2">
      <c r="A14" s="23"/>
      <c r="B14" s="27">
        <v>2.5</v>
      </c>
      <c r="C14" s="33" t="s">
        <v>54</v>
      </c>
      <c r="D14" s="30" t="s">
        <v>19</v>
      </c>
      <c r="E14" s="19">
        <v>219.26</v>
      </c>
      <c r="F14" s="7">
        <v>42480</v>
      </c>
      <c r="G14" s="6">
        <f t="shared" si="1"/>
        <v>9314164.7999999989</v>
      </c>
      <c r="H14" s="36"/>
    </row>
    <row r="15" spans="1:8" ht="20" customHeight="1" x14ac:dyDescent="0.2">
      <c r="A15" s="23"/>
      <c r="B15" s="27">
        <v>2.6</v>
      </c>
      <c r="C15" s="33" t="s">
        <v>33</v>
      </c>
      <c r="D15" s="30" t="s">
        <v>19</v>
      </c>
      <c r="E15" s="19">
        <v>219.26</v>
      </c>
      <c r="F15" s="7">
        <v>2714</v>
      </c>
      <c r="G15" s="6">
        <f t="shared" si="1"/>
        <v>595071.64</v>
      </c>
      <c r="H15" s="36"/>
    </row>
    <row r="16" spans="1:8" ht="21" customHeight="1" x14ac:dyDescent="0.2">
      <c r="A16" s="21">
        <v>3</v>
      </c>
      <c r="B16" s="22"/>
      <c r="C16" s="32" t="s">
        <v>23</v>
      </c>
      <c r="D16" s="17"/>
      <c r="E16" s="17"/>
      <c r="F16" s="17"/>
      <c r="G16" s="4">
        <f>SUM(G17:G18)</f>
        <v>7757290.5</v>
      </c>
    </row>
    <row r="17" spans="1:8" ht="20" customHeight="1" x14ac:dyDescent="0.2">
      <c r="A17" s="24"/>
      <c r="B17" s="28">
        <v>3.1</v>
      </c>
      <c r="C17" s="33" t="s">
        <v>46</v>
      </c>
      <c r="D17" s="31" t="s">
        <v>2</v>
      </c>
      <c r="E17" s="20">
        <v>1115.25</v>
      </c>
      <c r="F17" s="7">
        <v>6726</v>
      </c>
      <c r="G17" s="6">
        <f>F17*E17</f>
        <v>7501171.5</v>
      </c>
      <c r="H17" s="36"/>
    </row>
    <row r="18" spans="1:8" ht="20" customHeight="1" x14ac:dyDescent="0.2">
      <c r="A18" s="24"/>
      <c r="B18" s="28">
        <v>3.2</v>
      </c>
      <c r="C18" s="33" t="s">
        <v>36</v>
      </c>
      <c r="D18" s="31" t="s">
        <v>19</v>
      </c>
      <c r="E18" s="20">
        <v>14.47</v>
      </c>
      <c r="F18" s="7">
        <v>17700</v>
      </c>
      <c r="G18" s="6">
        <f>F18*E18</f>
        <v>256119</v>
      </c>
      <c r="H18" s="36"/>
    </row>
    <row r="19" spans="1:8" ht="23.25" customHeight="1" x14ac:dyDescent="0.2">
      <c r="A19" s="21">
        <v>4</v>
      </c>
      <c r="B19" s="22"/>
      <c r="C19" s="32" t="s">
        <v>24</v>
      </c>
      <c r="D19" s="25"/>
      <c r="E19" s="18"/>
      <c r="F19" s="17"/>
      <c r="G19" s="4">
        <f>SUM(G20:G27)</f>
        <v>39708374.700000003</v>
      </c>
    </row>
    <row r="20" spans="1:8" ht="40" customHeight="1" x14ac:dyDescent="0.2">
      <c r="A20" s="24"/>
      <c r="B20" s="28">
        <v>4.0999999999999996</v>
      </c>
      <c r="C20" s="33" t="s">
        <v>47</v>
      </c>
      <c r="D20" s="31" t="s">
        <v>19</v>
      </c>
      <c r="E20" s="16">
        <v>233.58</v>
      </c>
      <c r="F20" s="5">
        <v>20650</v>
      </c>
      <c r="G20" s="6">
        <f t="shared" ref="G20:G25" si="2">F20*E20</f>
        <v>4823427</v>
      </c>
      <c r="H20" s="36"/>
    </row>
    <row r="21" spans="1:8" ht="40" customHeight="1" x14ac:dyDescent="0.2">
      <c r="A21" s="24"/>
      <c r="B21" s="28">
        <v>4.2</v>
      </c>
      <c r="C21" s="33" t="s">
        <v>49</v>
      </c>
      <c r="D21" s="31" t="s">
        <v>19</v>
      </c>
      <c r="E21" s="16">
        <v>1108.52</v>
      </c>
      <c r="F21" s="5">
        <v>20650</v>
      </c>
      <c r="G21" s="6">
        <f t="shared" si="2"/>
        <v>22890938</v>
      </c>
      <c r="H21" s="36"/>
    </row>
    <row r="22" spans="1:8" ht="72" customHeight="1" x14ac:dyDescent="0.2">
      <c r="A22" s="24"/>
      <c r="B22" s="28">
        <v>4.3</v>
      </c>
      <c r="C22" s="33" t="s">
        <v>51</v>
      </c>
      <c r="D22" s="31" t="s">
        <v>19</v>
      </c>
      <c r="E22" s="16">
        <v>173.06</v>
      </c>
      <c r="F22" s="5">
        <v>28320</v>
      </c>
      <c r="G22" s="6">
        <f t="shared" si="2"/>
        <v>4901059.2</v>
      </c>
      <c r="H22" s="36"/>
    </row>
    <row r="23" spans="1:8" ht="40" customHeight="1" x14ac:dyDescent="0.2">
      <c r="A23" s="24"/>
      <c r="B23" s="28">
        <v>4.4000000000000004</v>
      </c>
      <c r="C23" s="33" t="s">
        <v>48</v>
      </c>
      <c r="D23" s="31" t="s">
        <v>19</v>
      </c>
      <c r="E23" s="16">
        <v>120.11</v>
      </c>
      <c r="F23" s="5">
        <v>20650</v>
      </c>
      <c r="G23" s="6">
        <f t="shared" si="2"/>
        <v>2480271.5</v>
      </c>
      <c r="H23" s="36"/>
    </row>
    <row r="24" spans="1:8" ht="66.5" customHeight="1" x14ac:dyDescent="0.2">
      <c r="A24" s="24"/>
      <c r="B24" s="28">
        <v>4.5</v>
      </c>
      <c r="C24" s="33" t="s">
        <v>52</v>
      </c>
      <c r="D24" s="31" t="s">
        <v>19</v>
      </c>
      <c r="E24" s="16">
        <v>14.9</v>
      </c>
      <c r="F24" s="5">
        <v>28320</v>
      </c>
      <c r="G24" s="6">
        <f t="shared" si="2"/>
        <v>421968</v>
      </c>
      <c r="H24" s="36"/>
    </row>
    <row r="25" spans="1:8" ht="40" customHeight="1" x14ac:dyDescent="0.2">
      <c r="A25" s="24"/>
      <c r="B25" s="28">
        <v>4.5999999999999996</v>
      </c>
      <c r="C25" s="33" t="s">
        <v>47</v>
      </c>
      <c r="D25" s="31" t="s">
        <v>19</v>
      </c>
      <c r="E25" s="16">
        <v>156.88999999999999</v>
      </c>
      <c r="F25" s="5">
        <v>20650</v>
      </c>
      <c r="G25" s="6">
        <f t="shared" si="2"/>
        <v>3239778.4999999995</v>
      </c>
      <c r="H25" s="36"/>
    </row>
    <row r="26" spans="1:8" ht="40" customHeight="1" x14ac:dyDescent="0.2">
      <c r="A26" s="24"/>
      <c r="B26" s="28">
        <v>4.7</v>
      </c>
      <c r="C26" s="33" t="s">
        <v>47</v>
      </c>
      <c r="D26" s="31" t="s">
        <v>19</v>
      </c>
      <c r="E26" s="16">
        <v>8.3699999999999992</v>
      </c>
      <c r="F26" s="5">
        <v>20650</v>
      </c>
      <c r="G26" s="6">
        <f t="shared" ref="G26" si="3">F26*E26</f>
        <v>172840.49999999997</v>
      </c>
      <c r="H26" s="36"/>
    </row>
    <row r="27" spans="1:8" ht="40" customHeight="1" x14ac:dyDescent="0.2">
      <c r="A27" s="24"/>
      <c r="B27" s="28">
        <v>4.8</v>
      </c>
      <c r="C27" s="33" t="s">
        <v>50</v>
      </c>
      <c r="D27" s="31" t="s">
        <v>19</v>
      </c>
      <c r="E27" s="16">
        <v>37.68</v>
      </c>
      <c r="F27" s="5">
        <v>20650</v>
      </c>
      <c r="G27" s="6">
        <f t="shared" ref="G27" si="4">F27*E27</f>
        <v>778092</v>
      </c>
      <c r="H27" s="36"/>
    </row>
    <row r="28" spans="1:8" ht="23.25" customHeight="1" x14ac:dyDescent="0.2">
      <c r="A28" s="21">
        <v>5</v>
      </c>
      <c r="B28" s="22"/>
      <c r="C28" s="32" t="s">
        <v>34</v>
      </c>
      <c r="D28" s="25"/>
      <c r="E28" s="18"/>
      <c r="F28" s="17"/>
      <c r="G28" s="4">
        <f>SUM(G29:G30)</f>
        <v>448400</v>
      </c>
    </row>
    <row r="29" spans="1:8" ht="27" customHeight="1" x14ac:dyDescent="0.2">
      <c r="A29" s="24"/>
      <c r="B29" s="28">
        <v>5.0999999999999996</v>
      </c>
      <c r="C29" s="33" t="s">
        <v>38</v>
      </c>
      <c r="D29" s="31" t="s">
        <v>20</v>
      </c>
      <c r="E29" s="16">
        <v>1</v>
      </c>
      <c r="F29" s="5">
        <v>271400</v>
      </c>
      <c r="G29" s="6">
        <f>F29*E29</f>
        <v>271400</v>
      </c>
      <c r="H29" s="36"/>
    </row>
    <row r="30" spans="1:8" ht="27" customHeight="1" x14ac:dyDescent="0.2">
      <c r="A30" s="24"/>
      <c r="B30" s="28">
        <v>5.0999999999999996</v>
      </c>
      <c r="C30" s="33" t="s">
        <v>35</v>
      </c>
      <c r="D30" s="31" t="s">
        <v>19</v>
      </c>
      <c r="E30" s="16">
        <v>0.5</v>
      </c>
      <c r="F30" s="5">
        <v>354000</v>
      </c>
      <c r="G30" s="6">
        <f>F30*E30</f>
        <v>177000</v>
      </c>
      <c r="H30" s="36"/>
    </row>
    <row r="31" spans="1:8" ht="21" customHeight="1" x14ac:dyDescent="0.2">
      <c r="A31" s="21">
        <v>6</v>
      </c>
      <c r="B31" s="22"/>
      <c r="C31" s="32" t="s">
        <v>25</v>
      </c>
      <c r="D31" s="25"/>
      <c r="E31" s="18"/>
      <c r="F31" s="17"/>
      <c r="G31" s="4">
        <f>SUM(G32:G32)</f>
        <v>236000</v>
      </c>
    </row>
    <row r="32" spans="1:8" ht="21.75" customHeight="1" x14ac:dyDescent="0.2">
      <c r="A32" s="24"/>
      <c r="B32" s="28">
        <v>6.1</v>
      </c>
      <c r="C32" s="33" t="s">
        <v>29</v>
      </c>
      <c r="D32" s="31" t="s">
        <v>22</v>
      </c>
      <c r="E32" s="16">
        <v>1</v>
      </c>
      <c r="F32" s="5">
        <v>236000</v>
      </c>
      <c r="G32" s="6">
        <f>F32*E32</f>
        <v>236000</v>
      </c>
      <c r="H32" s="36"/>
    </row>
    <row r="33" spans="1:8" ht="21.75" customHeight="1" x14ac:dyDescent="0.2">
      <c r="A33" s="59" t="s">
        <v>53</v>
      </c>
      <c r="B33" s="59"/>
      <c r="C33" s="51"/>
      <c r="D33" s="56" t="s">
        <v>6</v>
      </c>
      <c r="E33" s="57"/>
      <c r="F33" s="58"/>
      <c r="G33" s="10">
        <f>+G31+G19+G16+G9+G6+G28</f>
        <v>67153136.840000004</v>
      </c>
      <c r="H33" s="36"/>
    </row>
    <row r="34" spans="1:8" ht="21.75" customHeight="1" x14ac:dyDescent="0.2">
      <c r="A34" s="60"/>
      <c r="B34" s="60"/>
      <c r="C34" s="53"/>
      <c r="D34" s="43" t="s">
        <v>62</v>
      </c>
      <c r="E34" s="44"/>
      <c r="F34" s="11">
        <v>0.19</v>
      </c>
      <c r="G34" s="12">
        <f>+G33*F34</f>
        <v>12759095.999600001</v>
      </c>
    </row>
    <row r="35" spans="1:8" ht="21.75" customHeight="1" x14ac:dyDescent="0.2">
      <c r="A35" s="60"/>
      <c r="B35" s="60"/>
      <c r="C35" s="53"/>
      <c r="D35" s="40" t="s">
        <v>7</v>
      </c>
      <c r="E35" s="41"/>
      <c r="F35" s="42"/>
      <c r="G35" s="13">
        <f>G34+G33</f>
        <v>79912232.839599997</v>
      </c>
    </row>
    <row r="36" spans="1:8" ht="21.75" customHeight="1" x14ac:dyDescent="0.2">
      <c r="A36" s="37"/>
      <c r="B36" s="37"/>
    </row>
    <row r="37" spans="1:8" ht="21.75" customHeight="1" x14ac:dyDescent="0.2">
      <c r="A37" s="37"/>
      <c r="B37" s="37"/>
    </row>
    <row r="38" spans="1:8" ht="21.75" customHeight="1" x14ac:dyDescent="0.2">
      <c r="A38" s="37"/>
      <c r="B38" s="37"/>
    </row>
    <row r="39" spans="1:8" ht="14" customHeight="1" x14ac:dyDescent="0.2">
      <c r="A39" s="37"/>
      <c r="B39" s="37"/>
      <c r="E39" s="36">
        <f>G35+'COTIZACIÓN B'!G20+'COTIZACIÓN C'!G16+'COTIZACIÓN D'!G22</f>
        <v>106521997.24123999</v>
      </c>
    </row>
    <row r="42" spans="1:8" x14ac:dyDescent="0.2">
      <c r="G42" s="1">
        <v>90234949</v>
      </c>
    </row>
    <row r="43" spans="1:8" x14ac:dyDescent="0.2">
      <c r="F43" s="1">
        <f>90200000*0.13</f>
        <v>11726000</v>
      </c>
      <c r="G43" s="38">
        <f>G42*1.19</f>
        <v>107379589.31</v>
      </c>
      <c r="H43" s="36"/>
    </row>
    <row r="44" spans="1:8" x14ac:dyDescent="0.2">
      <c r="F44" s="1">
        <f>90200000*0.06</f>
        <v>5412000</v>
      </c>
      <c r="G44" s="39">
        <f>G43-E39</f>
        <v>857592.06876000762</v>
      </c>
    </row>
    <row r="45" spans="1:8" x14ac:dyDescent="0.2">
      <c r="F45" s="1">
        <f>90200000*1</f>
        <v>90200000</v>
      </c>
    </row>
    <row r="46" spans="1:8" x14ac:dyDescent="0.2">
      <c r="F46" s="1">
        <f>F45+F44+F43</f>
        <v>107338000</v>
      </c>
    </row>
  </sheetData>
  <mergeCells count="11">
    <mergeCell ref="D35:F35"/>
    <mergeCell ref="D34:E34"/>
    <mergeCell ref="A1:G1"/>
    <mergeCell ref="A2:B2"/>
    <mergeCell ref="A3:B3"/>
    <mergeCell ref="D3:E3"/>
    <mergeCell ref="A4:B4"/>
    <mergeCell ref="D4:E4"/>
    <mergeCell ref="F2:G4"/>
    <mergeCell ref="D33:F33"/>
    <mergeCell ref="A33:C35"/>
  </mergeCells>
  <phoneticPr fontId="2" type="noConversion"/>
  <pageMargins left="0.23622047244094491" right="3.937007874015748E-2" top="0.35433070866141736" bottom="0.35433070866141736" header="0.11811023622047245" footer="0.11811023622047245"/>
  <pageSetup scale="60" orientation="portrait" r:id="rId1"/>
  <rowBreaks count="1" manualBreakCount="1">
    <brk id="39" max="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24"/>
  <sheetViews>
    <sheetView zoomScale="70" zoomScaleNormal="70" workbookViewId="0">
      <selection activeCell="F19" sqref="F19"/>
    </sheetView>
  </sheetViews>
  <sheetFormatPr baseColWidth="10" defaultColWidth="12.33203125" defaultRowHeight="14" x14ac:dyDescent="0.2"/>
  <cols>
    <col min="1" max="1" width="8.5" style="2" customWidth="1"/>
    <col min="2" max="2" width="8.33203125" style="1" customWidth="1"/>
    <col min="3" max="3" width="77.6640625" style="1" customWidth="1"/>
    <col min="4" max="4" width="16.83203125" style="1" customWidth="1"/>
    <col min="5" max="5" width="14.6640625" style="1" bestFit="1" customWidth="1"/>
    <col min="6" max="6" width="13.33203125" style="1" customWidth="1"/>
    <col min="7" max="7" width="18.5" style="1" customWidth="1"/>
    <col min="8" max="8" width="25.5" style="1" customWidth="1"/>
    <col min="9" max="16384" width="12.33203125" style="1"/>
  </cols>
  <sheetData>
    <row r="1" spans="1:8" ht="22.5" customHeight="1" x14ac:dyDescent="0.2">
      <c r="A1" s="45" t="s">
        <v>37</v>
      </c>
      <c r="B1" s="46"/>
      <c r="C1" s="46"/>
      <c r="D1" s="46"/>
      <c r="E1" s="46"/>
      <c r="F1" s="46"/>
      <c r="G1" s="47"/>
    </row>
    <row r="2" spans="1:8" ht="34" x14ac:dyDescent="0.2">
      <c r="A2" s="48" t="s">
        <v>8</v>
      </c>
      <c r="B2" s="49"/>
      <c r="C2" s="3" t="s">
        <v>9</v>
      </c>
      <c r="D2" s="3" t="s">
        <v>10</v>
      </c>
      <c r="E2" s="3" t="s">
        <v>11</v>
      </c>
      <c r="F2" s="50"/>
      <c r="G2" s="51"/>
    </row>
    <row r="3" spans="1:8" ht="34" x14ac:dyDescent="0.2">
      <c r="A3" s="48" t="s">
        <v>12</v>
      </c>
      <c r="B3" s="49"/>
      <c r="C3" s="3" t="s">
        <v>26</v>
      </c>
      <c r="D3" s="48" t="s">
        <v>30</v>
      </c>
      <c r="E3" s="49"/>
      <c r="F3" s="52"/>
      <c r="G3" s="53"/>
      <c r="H3"/>
    </row>
    <row r="4" spans="1:8" ht="22.5" customHeight="1" x14ac:dyDescent="0.2">
      <c r="A4" s="48" t="s">
        <v>13</v>
      </c>
      <c r="B4" s="49"/>
      <c r="C4" s="3" t="s">
        <v>14</v>
      </c>
      <c r="D4" s="48" t="s">
        <v>31</v>
      </c>
      <c r="E4" s="49"/>
      <c r="F4" s="54"/>
      <c r="G4" s="55"/>
      <c r="H4"/>
    </row>
    <row r="5" spans="1:8" ht="34" x14ac:dyDescent="0.2">
      <c r="A5" s="14" t="s">
        <v>0</v>
      </c>
      <c r="B5" s="14" t="s">
        <v>1</v>
      </c>
      <c r="C5" s="14" t="s">
        <v>3</v>
      </c>
      <c r="D5" s="14" t="s">
        <v>15</v>
      </c>
      <c r="E5" s="14" t="s">
        <v>16</v>
      </c>
      <c r="F5" s="14" t="s">
        <v>17</v>
      </c>
      <c r="G5" s="14" t="s">
        <v>18</v>
      </c>
      <c r="H5"/>
    </row>
    <row r="6" spans="1:8" ht="23.25" customHeight="1" x14ac:dyDescent="0.2">
      <c r="A6" s="21" t="s">
        <v>4</v>
      </c>
      <c r="B6" s="17"/>
      <c r="C6" s="17" t="s">
        <v>5</v>
      </c>
      <c r="D6" s="17"/>
      <c r="E6" s="17"/>
      <c r="F6" s="17"/>
      <c r="G6" s="4">
        <f>SUM(G7:G8)</f>
        <v>0</v>
      </c>
    </row>
    <row r="7" spans="1:8" ht="52.25" customHeight="1" x14ac:dyDescent="0.2">
      <c r="A7" s="15"/>
      <c r="B7" s="26">
        <v>1.1000000000000001</v>
      </c>
      <c r="C7" s="33" t="s">
        <v>27</v>
      </c>
      <c r="D7" s="29" t="s">
        <v>22</v>
      </c>
      <c r="E7" s="16">
        <v>1</v>
      </c>
      <c r="F7" s="34" t="s">
        <v>44</v>
      </c>
      <c r="G7" s="6">
        <v>0</v>
      </c>
    </row>
    <row r="8" spans="1:8" ht="114" customHeight="1" x14ac:dyDescent="0.2">
      <c r="A8" s="15"/>
      <c r="B8" s="26">
        <v>1.2</v>
      </c>
      <c r="C8" s="33" t="s">
        <v>28</v>
      </c>
      <c r="D8" s="29" t="s">
        <v>20</v>
      </c>
      <c r="E8" s="16">
        <v>1</v>
      </c>
      <c r="F8" s="34" t="s">
        <v>44</v>
      </c>
      <c r="G8" s="6">
        <v>0</v>
      </c>
    </row>
    <row r="9" spans="1:8" ht="23.25" customHeight="1" x14ac:dyDescent="0.2">
      <c r="A9" s="21">
        <v>2</v>
      </c>
      <c r="B9" s="22"/>
      <c r="C9" s="32" t="s">
        <v>21</v>
      </c>
      <c r="D9" s="17"/>
      <c r="E9" s="18"/>
      <c r="F9" s="17"/>
      <c r="G9" s="4">
        <f>SUM(G10:G10)</f>
        <v>128950.39999999999</v>
      </c>
    </row>
    <row r="10" spans="1:8" ht="32.5" customHeight="1" x14ac:dyDescent="0.2">
      <c r="A10" s="23"/>
      <c r="B10" s="27">
        <v>2.1</v>
      </c>
      <c r="C10" s="33" t="s">
        <v>39</v>
      </c>
      <c r="D10" s="30" t="s">
        <v>19</v>
      </c>
      <c r="E10" s="19">
        <v>34.15</v>
      </c>
      <c r="F10" s="7">
        <v>3776</v>
      </c>
      <c r="G10" s="6">
        <f>F10*E10</f>
        <v>128950.39999999999</v>
      </c>
      <c r="H10" s="36">
        <f>F10*1.18</f>
        <v>4455.6799999999994</v>
      </c>
    </row>
    <row r="11" spans="1:8" ht="21" customHeight="1" x14ac:dyDescent="0.2">
      <c r="A11" s="21">
        <v>3</v>
      </c>
      <c r="B11" s="22"/>
      <c r="C11" s="32" t="s">
        <v>40</v>
      </c>
      <c r="D11" s="17"/>
      <c r="E11" s="17"/>
      <c r="F11" s="17"/>
      <c r="G11" s="4">
        <f>SUM(G12:G13)</f>
        <v>9532984</v>
      </c>
    </row>
    <row r="12" spans="1:8" ht="29.5" customHeight="1" x14ac:dyDescent="0.2">
      <c r="A12" s="24"/>
      <c r="B12" s="28">
        <v>3.1</v>
      </c>
      <c r="C12" s="33" t="s">
        <v>41</v>
      </c>
      <c r="D12" s="31" t="s">
        <v>2</v>
      </c>
      <c r="E12" s="20">
        <v>38</v>
      </c>
      <c r="F12" s="7">
        <v>17700</v>
      </c>
      <c r="G12" s="6">
        <f>F12*E12</f>
        <v>672600</v>
      </c>
      <c r="H12" s="36">
        <f>F12*1.18</f>
        <v>20886</v>
      </c>
    </row>
    <row r="13" spans="1:8" ht="31.75" customHeight="1" x14ac:dyDescent="0.2">
      <c r="A13" s="24"/>
      <c r="B13" s="28">
        <v>3.2</v>
      </c>
      <c r="C13" s="33" t="s">
        <v>42</v>
      </c>
      <c r="D13" s="31" t="s">
        <v>19</v>
      </c>
      <c r="E13" s="20">
        <v>79.040000000000006</v>
      </c>
      <c r="F13" s="7">
        <v>112100</v>
      </c>
      <c r="G13" s="6">
        <f>F13*E13</f>
        <v>8860384</v>
      </c>
      <c r="H13" s="36">
        <f>F13*1.18</f>
        <v>132278</v>
      </c>
    </row>
    <row r="14" spans="1:8" ht="23.25" customHeight="1" x14ac:dyDescent="0.2">
      <c r="A14" s="21">
        <v>4</v>
      </c>
      <c r="B14" s="22"/>
      <c r="C14" s="32" t="s">
        <v>24</v>
      </c>
      <c r="D14" s="25"/>
      <c r="E14" s="18"/>
      <c r="F14" s="17"/>
      <c r="G14" s="4">
        <f>SUM(G15:G15)</f>
        <v>726260.5</v>
      </c>
    </row>
    <row r="15" spans="1:8" ht="35.5" customHeight="1" x14ac:dyDescent="0.2">
      <c r="A15" s="24"/>
      <c r="B15" s="28">
        <v>4.0999999999999996</v>
      </c>
      <c r="C15" s="33" t="s">
        <v>57</v>
      </c>
      <c r="D15" s="31" t="s">
        <v>19</v>
      </c>
      <c r="E15" s="16">
        <v>35.17</v>
      </c>
      <c r="F15" s="5">
        <v>20650</v>
      </c>
      <c r="G15" s="6">
        <f t="shared" ref="G15" si="0">F15*E15</f>
        <v>726260.5</v>
      </c>
      <c r="H15" s="36">
        <f>F15*1.18</f>
        <v>24367</v>
      </c>
    </row>
    <row r="16" spans="1:8" ht="21" customHeight="1" x14ac:dyDescent="0.2">
      <c r="A16" s="21">
        <v>5</v>
      </c>
      <c r="B16" s="22"/>
      <c r="C16" s="32" t="s">
        <v>25</v>
      </c>
      <c r="D16" s="25"/>
      <c r="E16" s="18"/>
      <c r="F16" s="17"/>
      <c r="G16" s="4">
        <f>SUM(G17:G17)</f>
        <v>0</v>
      </c>
    </row>
    <row r="17" spans="1:7" ht="30" customHeight="1" x14ac:dyDescent="0.2">
      <c r="A17" s="24"/>
      <c r="B17" s="28">
        <v>5.0999999999999996</v>
      </c>
      <c r="C17" s="33" t="s">
        <v>29</v>
      </c>
      <c r="D17" s="31" t="s">
        <v>22</v>
      </c>
      <c r="E17" s="16">
        <v>1</v>
      </c>
      <c r="F17" s="5"/>
      <c r="G17" s="6">
        <f>F17*E17</f>
        <v>0</v>
      </c>
    </row>
    <row r="18" spans="1:7" ht="21.75" customHeight="1" x14ac:dyDescent="0.2">
      <c r="A18" s="8"/>
      <c r="B18" s="9"/>
      <c r="C18" s="9"/>
      <c r="D18" s="56" t="s">
        <v>6</v>
      </c>
      <c r="E18" s="57"/>
      <c r="F18" s="58"/>
      <c r="G18" s="10">
        <f>+G16+G14+G11+G9+G6</f>
        <v>10388194.9</v>
      </c>
    </row>
    <row r="19" spans="1:7" ht="21.75" customHeight="1" x14ac:dyDescent="0.2">
      <c r="A19" s="8"/>
      <c r="B19" s="9"/>
      <c r="C19" s="9"/>
      <c r="D19" s="43" t="s">
        <v>62</v>
      </c>
      <c r="E19" s="44"/>
      <c r="F19" s="11">
        <v>0.19</v>
      </c>
      <c r="G19" s="12">
        <f>+G18*F19</f>
        <v>1973757.0310000002</v>
      </c>
    </row>
    <row r="20" spans="1:7" ht="21.75" customHeight="1" x14ac:dyDescent="0.2">
      <c r="A20" s="8"/>
      <c r="B20" s="9"/>
      <c r="C20" s="9"/>
      <c r="D20" s="40" t="s">
        <v>7</v>
      </c>
      <c r="E20" s="41"/>
      <c r="F20" s="42"/>
      <c r="G20" s="13">
        <f>G19+G18</f>
        <v>12361951.931</v>
      </c>
    </row>
    <row r="21" spans="1:7" ht="21.75" customHeight="1" x14ac:dyDescent="0.2">
      <c r="A21" s="8"/>
      <c r="B21" s="9"/>
      <c r="C21" s="9"/>
    </row>
    <row r="22" spans="1:7" ht="21.75" customHeight="1" x14ac:dyDescent="0.2">
      <c r="A22" s="8"/>
      <c r="B22" s="9"/>
      <c r="C22" s="9"/>
    </row>
    <row r="23" spans="1:7" ht="21.75" customHeight="1" x14ac:dyDescent="0.2">
      <c r="A23" s="8"/>
      <c r="B23" s="9"/>
      <c r="C23" s="9"/>
    </row>
    <row r="24" spans="1:7" ht="16" x14ac:dyDescent="0.2">
      <c r="A24" s="8"/>
      <c r="B24" s="9"/>
      <c r="C24" s="9"/>
    </row>
  </sheetData>
  <mergeCells count="10">
    <mergeCell ref="D18:F18"/>
    <mergeCell ref="D19:E19"/>
    <mergeCell ref="D20:F20"/>
    <mergeCell ref="A1:G1"/>
    <mergeCell ref="A2:B2"/>
    <mergeCell ref="F2:G4"/>
    <mergeCell ref="A3:B3"/>
    <mergeCell ref="D3:E3"/>
    <mergeCell ref="A4:B4"/>
    <mergeCell ref="D4:E4"/>
  </mergeCells>
  <pageMargins left="0.23622047244094491" right="3.937007874015748E-2" top="0.35433070866141736" bottom="0.35433070866141736" header="0.11811023622047245" footer="0.11811023622047245"/>
  <pageSetup scale="66" orientation="portrait" r:id="rId1"/>
  <rowBreaks count="1" manualBreakCount="1">
    <brk id="24"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20"/>
  <sheetViews>
    <sheetView zoomScale="70" zoomScaleNormal="70" workbookViewId="0">
      <selection activeCell="F15" sqref="F15"/>
    </sheetView>
  </sheetViews>
  <sheetFormatPr baseColWidth="10" defaultColWidth="12.33203125" defaultRowHeight="14" x14ac:dyDescent="0.2"/>
  <cols>
    <col min="1" max="1" width="8.5" style="2" customWidth="1"/>
    <col min="2" max="2" width="8.33203125" style="1" customWidth="1"/>
    <col min="3" max="3" width="77.6640625" style="1" customWidth="1"/>
    <col min="4" max="4" width="16.33203125" style="1" customWidth="1"/>
    <col min="5" max="5" width="14.6640625" style="1" bestFit="1" customWidth="1"/>
    <col min="6" max="6" width="12.83203125" style="1" customWidth="1"/>
    <col min="7" max="7" width="18.5" style="1" bestFit="1" customWidth="1"/>
    <col min="8" max="8" width="25.5" style="1" customWidth="1"/>
    <col min="9" max="16384" width="12.33203125" style="1"/>
  </cols>
  <sheetData>
    <row r="1" spans="1:8" ht="22.5" customHeight="1" x14ac:dyDescent="0.2">
      <c r="A1" s="45" t="s">
        <v>37</v>
      </c>
      <c r="B1" s="46"/>
      <c r="C1" s="46"/>
      <c r="D1" s="46"/>
      <c r="E1" s="46"/>
      <c r="F1" s="46"/>
      <c r="G1" s="47"/>
    </row>
    <row r="2" spans="1:8" ht="34" x14ac:dyDescent="0.2">
      <c r="A2" s="48" t="s">
        <v>8</v>
      </c>
      <c r="B2" s="49"/>
      <c r="C2" s="3" t="s">
        <v>9</v>
      </c>
      <c r="D2" s="3" t="s">
        <v>10</v>
      </c>
      <c r="E2" s="3" t="s">
        <v>11</v>
      </c>
      <c r="F2" s="50"/>
      <c r="G2" s="51"/>
    </row>
    <row r="3" spans="1:8" ht="34" x14ac:dyDescent="0.2">
      <c r="A3" s="48" t="s">
        <v>12</v>
      </c>
      <c r="B3" s="49"/>
      <c r="C3" s="3" t="s">
        <v>26</v>
      </c>
      <c r="D3" s="48" t="s">
        <v>30</v>
      </c>
      <c r="E3" s="49"/>
      <c r="F3" s="52"/>
      <c r="G3" s="53"/>
      <c r="H3"/>
    </row>
    <row r="4" spans="1:8" ht="45.75" customHeight="1" x14ac:dyDescent="0.2">
      <c r="A4" s="48" t="s">
        <v>13</v>
      </c>
      <c r="B4" s="49"/>
      <c r="C4" s="3" t="s">
        <v>14</v>
      </c>
      <c r="D4" s="48" t="s">
        <v>31</v>
      </c>
      <c r="E4" s="49"/>
      <c r="F4" s="54"/>
      <c r="G4" s="55"/>
      <c r="H4"/>
    </row>
    <row r="5" spans="1:8" ht="34" x14ac:dyDescent="0.2">
      <c r="A5" s="14" t="s">
        <v>0</v>
      </c>
      <c r="B5" s="14" t="s">
        <v>1</v>
      </c>
      <c r="C5" s="14" t="s">
        <v>3</v>
      </c>
      <c r="D5" s="14" t="s">
        <v>15</v>
      </c>
      <c r="E5" s="14" t="s">
        <v>16</v>
      </c>
      <c r="F5" s="14" t="s">
        <v>17</v>
      </c>
      <c r="G5" s="14" t="s">
        <v>18</v>
      </c>
      <c r="H5"/>
    </row>
    <row r="6" spans="1:8" ht="23.25" customHeight="1" x14ac:dyDescent="0.2">
      <c r="A6" s="21" t="s">
        <v>4</v>
      </c>
      <c r="B6" s="17"/>
      <c r="C6" s="17" t="s">
        <v>5</v>
      </c>
      <c r="D6" s="17"/>
      <c r="E6" s="17"/>
      <c r="F6" s="17"/>
      <c r="G6" s="4">
        <f>SUM(G7:G8)</f>
        <v>0</v>
      </c>
    </row>
    <row r="7" spans="1:8" ht="44.5" customHeight="1" x14ac:dyDescent="0.2">
      <c r="A7" s="15"/>
      <c r="B7" s="26">
        <v>1.1000000000000001</v>
      </c>
      <c r="C7" s="33" t="s">
        <v>27</v>
      </c>
      <c r="D7" s="29" t="s">
        <v>22</v>
      </c>
      <c r="E7" s="16">
        <v>1</v>
      </c>
      <c r="F7" s="34" t="s">
        <v>44</v>
      </c>
      <c r="G7" s="6">
        <v>0</v>
      </c>
    </row>
    <row r="8" spans="1:8" ht="100.25" customHeight="1" x14ac:dyDescent="0.2">
      <c r="A8" s="15"/>
      <c r="B8" s="26">
        <v>1.2</v>
      </c>
      <c r="C8" s="33" t="s">
        <v>28</v>
      </c>
      <c r="D8" s="29" t="s">
        <v>20</v>
      </c>
      <c r="E8" s="16">
        <v>1</v>
      </c>
      <c r="F8" s="34" t="s">
        <v>44</v>
      </c>
      <c r="G8" s="6">
        <v>0</v>
      </c>
    </row>
    <row r="9" spans="1:8" ht="21" customHeight="1" x14ac:dyDescent="0.2">
      <c r="A9" s="21">
        <v>2</v>
      </c>
      <c r="B9" s="22"/>
      <c r="C9" s="32" t="s">
        <v>40</v>
      </c>
      <c r="D9" s="17"/>
      <c r="E9" s="17"/>
      <c r="F9" s="17"/>
      <c r="G9" s="4">
        <f>SUM(G10:G11)</f>
        <v>5751886.3999999994</v>
      </c>
    </row>
    <row r="10" spans="1:8" ht="40.25" customHeight="1" x14ac:dyDescent="0.2">
      <c r="A10" s="24"/>
      <c r="B10" s="28">
        <v>2.1</v>
      </c>
      <c r="C10" s="33" t="s">
        <v>41</v>
      </c>
      <c r="D10" s="31" t="s">
        <v>2</v>
      </c>
      <c r="E10" s="20">
        <v>29.3</v>
      </c>
      <c r="F10" s="7">
        <v>17700</v>
      </c>
      <c r="G10" s="6">
        <f>F10*E10</f>
        <v>518610</v>
      </c>
      <c r="H10" s="36">
        <f>F10*1.18</f>
        <v>20886</v>
      </c>
    </row>
    <row r="11" spans="1:8" ht="34.25" customHeight="1" x14ac:dyDescent="0.2">
      <c r="A11" s="24"/>
      <c r="B11" s="28">
        <v>2.2000000000000002</v>
      </c>
      <c r="C11" s="33" t="s">
        <v>42</v>
      </c>
      <c r="D11" s="31" t="s">
        <v>19</v>
      </c>
      <c r="E11" s="20">
        <v>46.683999999999997</v>
      </c>
      <c r="F11" s="7">
        <v>112100</v>
      </c>
      <c r="G11" s="6">
        <f>F11*E11</f>
        <v>5233276.3999999994</v>
      </c>
      <c r="H11" s="36">
        <f>F11*1.18</f>
        <v>132278</v>
      </c>
    </row>
    <row r="12" spans="1:8" ht="21" customHeight="1" x14ac:dyDescent="0.2">
      <c r="A12" s="21">
        <v>3</v>
      </c>
      <c r="B12" s="22"/>
      <c r="C12" s="32" t="s">
        <v>25</v>
      </c>
      <c r="D12" s="25"/>
      <c r="E12" s="18"/>
      <c r="F12" s="17"/>
      <c r="G12" s="4">
        <f>SUM(G13:G13)</f>
        <v>0</v>
      </c>
    </row>
    <row r="13" spans="1:8" ht="21.75" customHeight="1" x14ac:dyDescent="0.2">
      <c r="A13" s="24"/>
      <c r="B13" s="28">
        <v>3.1</v>
      </c>
      <c r="C13" s="33" t="s">
        <v>29</v>
      </c>
      <c r="D13" s="31" t="s">
        <v>22</v>
      </c>
      <c r="E13" s="16">
        <v>1</v>
      </c>
      <c r="F13" s="5"/>
      <c r="G13" s="6">
        <f>F13*E13</f>
        <v>0</v>
      </c>
    </row>
    <row r="14" spans="1:8" ht="21.75" customHeight="1" x14ac:dyDescent="0.2">
      <c r="A14" s="8"/>
      <c r="B14" s="9"/>
      <c r="C14" s="9"/>
      <c r="D14" s="56" t="s">
        <v>6</v>
      </c>
      <c r="E14" s="57"/>
      <c r="F14" s="58"/>
      <c r="G14" s="10">
        <f>G6+G9+G12</f>
        <v>5751886.3999999994</v>
      </c>
    </row>
    <row r="15" spans="1:8" ht="21.75" customHeight="1" x14ac:dyDescent="0.2">
      <c r="A15" s="8"/>
      <c r="B15" s="9"/>
      <c r="C15" s="9"/>
      <c r="D15" s="43" t="s">
        <v>62</v>
      </c>
      <c r="E15" s="44"/>
      <c r="F15" s="11">
        <v>0.19</v>
      </c>
      <c r="G15" s="12">
        <f>+G14*F15</f>
        <v>1092858.416</v>
      </c>
    </row>
    <row r="16" spans="1:8" ht="21.75" customHeight="1" x14ac:dyDescent="0.2">
      <c r="A16" s="8"/>
      <c r="B16" s="9"/>
      <c r="C16" s="9"/>
      <c r="D16" s="40" t="s">
        <v>7</v>
      </c>
      <c r="E16" s="41"/>
      <c r="F16" s="42"/>
      <c r="G16" s="13">
        <f>G15+G14</f>
        <v>6844744.8159999996</v>
      </c>
    </row>
    <row r="17" spans="1:3" ht="21.75" customHeight="1" x14ac:dyDescent="0.2">
      <c r="A17" s="8"/>
      <c r="B17" s="9"/>
      <c r="C17" s="9"/>
    </row>
    <row r="18" spans="1:3" ht="21.75" customHeight="1" x14ac:dyDescent="0.2">
      <c r="A18" s="8"/>
      <c r="B18" s="9"/>
      <c r="C18" s="9"/>
    </row>
    <row r="19" spans="1:3" ht="21.75" customHeight="1" x14ac:dyDescent="0.2">
      <c r="A19" s="8"/>
      <c r="B19" s="9"/>
      <c r="C19" s="9"/>
    </row>
    <row r="20" spans="1:3" ht="24.5" customHeight="1" x14ac:dyDescent="0.2">
      <c r="A20" s="8"/>
      <c r="B20" s="9"/>
      <c r="C20" s="9"/>
    </row>
  </sheetData>
  <mergeCells count="10">
    <mergeCell ref="D14:F14"/>
    <mergeCell ref="D15:E15"/>
    <mergeCell ref="D16:F16"/>
    <mergeCell ref="A1:G1"/>
    <mergeCell ref="A2:B2"/>
    <mergeCell ref="F2:G4"/>
    <mergeCell ref="A3:B3"/>
    <mergeCell ref="D3:E3"/>
    <mergeCell ref="A4:B4"/>
    <mergeCell ref="D4:E4"/>
  </mergeCells>
  <pageMargins left="0.23622047244094491" right="3.937007874015748E-2" top="0.35433070866141736" bottom="0.35433070866141736" header="0.11811023622047245" footer="0.11811023622047245"/>
  <pageSetup scale="66" orientation="portrait" r:id="rId1"/>
  <rowBreaks count="1" manualBreakCount="1">
    <brk id="20" max="6"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6"/>
  <sheetViews>
    <sheetView zoomScale="66" zoomScaleNormal="70" workbookViewId="0">
      <selection activeCell="F21" sqref="F21"/>
    </sheetView>
  </sheetViews>
  <sheetFormatPr baseColWidth="10" defaultColWidth="12.33203125" defaultRowHeight="14" x14ac:dyDescent="0.2"/>
  <cols>
    <col min="1" max="1" width="8.5" style="2" customWidth="1"/>
    <col min="2" max="2" width="8.33203125" style="1" customWidth="1"/>
    <col min="3" max="3" width="77.6640625" style="1" customWidth="1"/>
    <col min="4" max="4" width="18.5" style="1" customWidth="1"/>
    <col min="5" max="5" width="14.6640625" style="1" bestFit="1" customWidth="1"/>
    <col min="6" max="6" width="12.83203125" style="1" customWidth="1"/>
    <col min="7" max="7" width="18.5" style="1" bestFit="1" customWidth="1"/>
    <col min="8" max="8" width="25.5" style="1" customWidth="1"/>
    <col min="9" max="16384" width="12.33203125" style="1"/>
  </cols>
  <sheetData>
    <row r="1" spans="1:8" ht="22.5" customHeight="1" x14ac:dyDescent="0.2">
      <c r="A1" s="45" t="s">
        <v>37</v>
      </c>
      <c r="B1" s="46"/>
      <c r="C1" s="46"/>
      <c r="D1" s="46"/>
      <c r="E1" s="46"/>
      <c r="F1" s="46"/>
      <c r="G1" s="47"/>
    </row>
    <row r="2" spans="1:8" ht="17" x14ac:dyDescent="0.2">
      <c r="A2" s="48" t="s">
        <v>8</v>
      </c>
      <c r="B2" s="49"/>
      <c r="C2" s="3" t="s">
        <v>9</v>
      </c>
      <c r="D2" s="3" t="s">
        <v>10</v>
      </c>
      <c r="E2" s="3" t="s">
        <v>11</v>
      </c>
      <c r="F2" s="50"/>
      <c r="G2" s="51"/>
    </row>
    <row r="3" spans="1:8" ht="34" x14ac:dyDescent="0.2">
      <c r="A3" s="48" t="s">
        <v>12</v>
      </c>
      <c r="B3" s="49"/>
      <c r="C3" s="3" t="s">
        <v>26</v>
      </c>
      <c r="D3" s="48" t="s">
        <v>30</v>
      </c>
      <c r="E3" s="49"/>
      <c r="F3" s="52"/>
      <c r="G3" s="53"/>
      <c r="H3"/>
    </row>
    <row r="4" spans="1:8" ht="22.5" customHeight="1" x14ac:dyDescent="0.2">
      <c r="A4" s="48" t="s">
        <v>13</v>
      </c>
      <c r="B4" s="49"/>
      <c r="C4" s="3" t="s">
        <v>14</v>
      </c>
      <c r="D4" s="48" t="s">
        <v>31</v>
      </c>
      <c r="E4" s="49"/>
      <c r="F4" s="54"/>
      <c r="G4" s="55"/>
      <c r="H4"/>
    </row>
    <row r="5" spans="1:8" ht="34" x14ac:dyDescent="0.2">
      <c r="A5" s="14" t="s">
        <v>0</v>
      </c>
      <c r="B5" s="14" t="s">
        <v>1</v>
      </c>
      <c r="C5" s="14" t="s">
        <v>3</v>
      </c>
      <c r="D5" s="14" t="s">
        <v>15</v>
      </c>
      <c r="E5" s="14" t="s">
        <v>16</v>
      </c>
      <c r="F5" s="14" t="s">
        <v>17</v>
      </c>
      <c r="G5" s="14" t="s">
        <v>18</v>
      </c>
      <c r="H5"/>
    </row>
    <row r="6" spans="1:8" ht="23.25" customHeight="1" x14ac:dyDescent="0.2">
      <c r="A6" s="21" t="s">
        <v>4</v>
      </c>
      <c r="B6" s="17"/>
      <c r="C6" s="17" t="s">
        <v>5</v>
      </c>
      <c r="D6" s="17"/>
      <c r="E6" s="17"/>
      <c r="F6" s="17"/>
      <c r="G6" s="4">
        <f>SUM(G7:G8)</f>
        <v>0</v>
      </c>
    </row>
    <row r="7" spans="1:8" ht="42.5" customHeight="1" x14ac:dyDescent="0.2">
      <c r="A7" s="15"/>
      <c r="B7" s="26">
        <v>1.1000000000000001</v>
      </c>
      <c r="C7" s="33" t="s">
        <v>27</v>
      </c>
      <c r="D7" s="29" t="s">
        <v>22</v>
      </c>
      <c r="E7" s="16">
        <v>1</v>
      </c>
      <c r="F7" s="34" t="s">
        <v>44</v>
      </c>
      <c r="G7" s="6">
        <v>0</v>
      </c>
    </row>
    <row r="8" spans="1:8" ht="107.5" customHeight="1" x14ac:dyDescent="0.2">
      <c r="A8" s="15"/>
      <c r="B8" s="26">
        <v>1.2</v>
      </c>
      <c r="C8" s="33" t="s">
        <v>28</v>
      </c>
      <c r="D8" s="29" t="s">
        <v>20</v>
      </c>
      <c r="E8" s="16">
        <v>1</v>
      </c>
      <c r="F8" s="34" t="s">
        <v>44</v>
      </c>
      <c r="G8" s="6">
        <v>0</v>
      </c>
    </row>
    <row r="9" spans="1:8" ht="23.25" customHeight="1" x14ac:dyDescent="0.2">
      <c r="A9" s="21">
        <v>2</v>
      </c>
      <c r="B9" s="22"/>
      <c r="C9" s="32" t="s">
        <v>21</v>
      </c>
      <c r="D9" s="17"/>
      <c r="E9" s="18"/>
      <c r="F9" s="17"/>
      <c r="G9" s="4">
        <f>SUM(G10:G14)</f>
        <v>2087584.2559999998</v>
      </c>
    </row>
    <row r="10" spans="1:8" ht="25.75" customHeight="1" x14ac:dyDescent="0.2">
      <c r="A10" s="23"/>
      <c r="B10" s="27">
        <v>2.1</v>
      </c>
      <c r="C10" s="33" t="s">
        <v>32</v>
      </c>
      <c r="D10" s="30" t="s">
        <v>19</v>
      </c>
      <c r="E10" s="19">
        <v>114.36</v>
      </c>
      <c r="F10" s="7">
        <v>3799.6</v>
      </c>
      <c r="G10" s="6">
        <f>F10*E10</f>
        <v>434522.25599999999</v>
      </c>
      <c r="H10" s="36">
        <f>F10*1.18</f>
        <v>4483.5279999999993</v>
      </c>
    </row>
    <row r="11" spans="1:8" ht="27.5" customHeight="1" x14ac:dyDescent="0.2">
      <c r="A11" s="23"/>
      <c r="B11" s="27">
        <v>2.2000000000000002</v>
      </c>
      <c r="C11" s="33" t="s">
        <v>43</v>
      </c>
      <c r="D11" s="30" t="s">
        <v>19</v>
      </c>
      <c r="E11" s="19">
        <v>243.07</v>
      </c>
      <c r="F11" s="7">
        <v>3540</v>
      </c>
      <c r="G11" s="6">
        <f t="shared" ref="G11:G14" si="0">F11*E11</f>
        <v>860467.79999999993</v>
      </c>
      <c r="H11" s="36">
        <f t="shared" ref="H11:H17" si="1">F11*1.18</f>
        <v>4177.2</v>
      </c>
    </row>
    <row r="12" spans="1:8" ht="58.75" customHeight="1" x14ac:dyDescent="0.2">
      <c r="A12" s="23"/>
      <c r="B12" s="27">
        <v>2.2999999999999998</v>
      </c>
      <c r="C12" s="33" t="s">
        <v>56</v>
      </c>
      <c r="D12" s="30" t="s">
        <v>19</v>
      </c>
      <c r="E12" s="19">
        <v>69.3</v>
      </c>
      <c r="F12" s="7">
        <v>4720</v>
      </c>
      <c r="G12" s="6">
        <f t="shared" si="0"/>
        <v>327096</v>
      </c>
      <c r="H12" s="36">
        <f t="shared" si="1"/>
        <v>5569.5999999999995</v>
      </c>
    </row>
    <row r="13" spans="1:8" ht="39" customHeight="1" x14ac:dyDescent="0.2">
      <c r="A13" s="23"/>
      <c r="B13" s="27">
        <v>2.4</v>
      </c>
      <c r="C13" s="33" t="s">
        <v>54</v>
      </c>
      <c r="D13" s="30" t="s">
        <v>19</v>
      </c>
      <c r="E13" s="19">
        <v>10.3</v>
      </c>
      <c r="F13" s="7">
        <v>42480</v>
      </c>
      <c r="G13" s="6">
        <f t="shared" si="0"/>
        <v>437544.00000000006</v>
      </c>
      <c r="H13" s="36">
        <f t="shared" si="1"/>
        <v>50126.399999999994</v>
      </c>
    </row>
    <row r="14" spans="1:8" ht="20" customHeight="1" x14ac:dyDescent="0.2">
      <c r="A14" s="23"/>
      <c r="B14" s="27">
        <v>2.5</v>
      </c>
      <c r="C14" s="33" t="s">
        <v>33</v>
      </c>
      <c r="D14" s="30" t="s">
        <v>19</v>
      </c>
      <c r="E14" s="19">
        <v>10.3</v>
      </c>
      <c r="F14" s="7">
        <v>2714</v>
      </c>
      <c r="G14" s="6">
        <f t="shared" si="0"/>
        <v>27954.2</v>
      </c>
      <c r="H14" s="36">
        <f t="shared" si="1"/>
        <v>3202.52</v>
      </c>
    </row>
    <row r="15" spans="1:8" ht="23.25" customHeight="1" x14ac:dyDescent="0.2">
      <c r="A15" s="21">
        <v>3</v>
      </c>
      <c r="B15" s="22"/>
      <c r="C15" s="32" t="s">
        <v>24</v>
      </c>
      <c r="D15" s="25"/>
      <c r="E15" s="18"/>
      <c r="F15" s="17"/>
      <c r="G15" s="4">
        <f>SUM(G16:G17)</f>
        <v>4133481</v>
      </c>
    </row>
    <row r="16" spans="1:8" ht="44.5" customHeight="1" x14ac:dyDescent="0.2">
      <c r="A16" s="24"/>
      <c r="B16" s="28">
        <v>3.1</v>
      </c>
      <c r="C16" s="33" t="s">
        <v>59</v>
      </c>
      <c r="D16" s="31" t="s">
        <v>19</v>
      </c>
      <c r="E16" s="16">
        <v>185.1</v>
      </c>
      <c r="F16" s="5">
        <v>16520</v>
      </c>
      <c r="G16" s="6">
        <f t="shared" ref="G16:G17" si="2">F16*E16</f>
        <v>3057852</v>
      </c>
      <c r="H16" s="36">
        <f t="shared" si="1"/>
        <v>19493.599999999999</v>
      </c>
    </row>
    <row r="17" spans="1:8" ht="60.5" customHeight="1" x14ac:dyDescent="0.2">
      <c r="A17" s="24"/>
      <c r="B17" s="28">
        <v>3.2</v>
      </c>
      <c r="C17" s="33" t="s">
        <v>58</v>
      </c>
      <c r="D17" s="31" t="s">
        <v>19</v>
      </c>
      <c r="E17" s="16">
        <v>60.77</v>
      </c>
      <c r="F17" s="5">
        <v>17700</v>
      </c>
      <c r="G17" s="6">
        <f t="shared" si="2"/>
        <v>1075629</v>
      </c>
      <c r="H17" s="36">
        <f t="shared" si="1"/>
        <v>20886</v>
      </c>
    </row>
    <row r="18" spans="1:8" ht="21" customHeight="1" x14ac:dyDescent="0.2">
      <c r="A18" s="21">
        <v>4</v>
      </c>
      <c r="B18" s="22"/>
      <c r="C18" s="32" t="s">
        <v>25</v>
      </c>
      <c r="D18" s="25"/>
      <c r="E18" s="18"/>
      <c r="F18" s="17"/>
      <c r="G18" s="4">
        <f>SUM(G19:G19)</f>
        <v>0</v>
      </c>
    </row>
    <row r="19" spans="1:8" ht="21.75" customHeight="1" x14ac:dyDescent="0.2">
      <c r="A19" s="24"/>
      <c r="B19" s="28">
        <v>4.0999999999999996</v>
      </c>
      <c r="C19" s="33" t="s">
        <v>29</v>
      </c>
      <c r="D19" s="31" t="s">
        <v>22</v>
      </c>
      <c r="E19" s="16">
        <v>1</v>
      </c>
      <c r="F19" s="5"/>
      <c r="G19" s="6">
        <f>F19*E19</f>
        <v>0</v>
      </c>
    </row>
    <row r="20" spans="1:8" ht="21.75" customHeight="1" x14ac:dyDescent="0.2">
      <c r="A20" s="8"/>
      <c r="B20" s="9"/>
      <c r="C20" s="9"/>
      <c r="D20" s="56" t="s">
        <v>6</v>
      </c>
      <c r="E20" s="57"/>
      <c r="F20" s="58"/>
      <c r="G20" s="10">
        <f>+G18+G15+G9+G6</f>
        <v>6221065.2560000001</v>
      </c>
    </row>
    <row r="21" spans="1:8" ht="21.75" customHeight="1" x14ac:dyDescent="0.2">
      <c r="A21" s="8"/>
      <c r="B21" s="9"/>
      <c r="C21" s="9"/>
      <c r="D21" s="43" t="s">
        <v>62</v>
      </c>
      <c r="E21" s="44"/>
      <c r="F21" s="11">
        <v>0.19</v>
      </c>
      <c r="G21" s="12">
        <f>+G20*F21</f>
        <v>1182002.39864</v>
      </c>
    </row>
    <row r="22" spans="1:8" ht="21.75" customHeight="1" x14ac:dyDescent="0.2">
      <c r="A22" s="8"/>
      <c r="B22" s="9"/>
      <c r="C22" s="9"/>
      <c r="D22" s="40" t="s">
        <v>7</v>
      </c>
      <c r="E22" s="41"/>
      <c r="F22" s="42"/>
      <c r="G22" s="13">
        <f>G21+G20</f>
        <v>7403067.6546400003</v>
      </c>
    </row>
    <row r="23" spans="1:8" ht="21.75" customHeight="1" x14ac:dyDescent="0.2">
      <c r="A23" s="8"/>
      <c r="B23" s="9"/>
      <c r="C23" s="35"/>
    </row>
    <row r="24" spans="1:8" ht="21.75" customHeight="1" x14ac:dyDescent="0.2">
      <c r="A24" s="8"/>
      <c r="B24" s="9"/>
      <c r="C24" s="9"/>
    </row>
    <row r="25" spans="1:8" ht="21.75" customHeight="1" x14ac:dyDescent="0.2">
      <c r="A25" s="8"/>
      <c r="B25" s="9"/>
      <c r="C25" s="9"/>
    </row>
    <row r="26" spans="1:8" ht="28.75" customHeight="1" x14ac:dyDescent="0.2">
      <c r="A26" s="8"/>
      <c r="B26" s="9"/>
      <c r="C26" s="9"/>
    </row>
  </sheetData>
  <mergeCells count="10">
    <mergeCell ref="D20:F20"/>
    <mergeCell ref="D21:E21"/>
    <mergeCell ref="D22:F22"/>
    <mergeCell ref="A1:G1"/>
    <mergeCell ref="A2:B2"/>
    <mergeCell ref="F2:G4"/>
    <mergeCell ref="A3:B3"/>
    <mergeCell ref="D3:E3"/>
    <mergeCell ref="A4:B4"/>
    <mergeCell ref="D4:E4"/>
  </mergeCells>
  <pageMargins left="0.23622047244094491" right="3.937007874015748E-2" top="0.35433070866141736" bottom="0.35433070866141736" header="0.11811023622047245" footer="0.11811023622047245"/>
  <pageSetup scale="65" orientation="portrait" r:id="rId1"/>
  <rowBreaks count="1" manualBreakCount="1">
    <brk id="26" max="6" man="1"/>
  </rowBreaks>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4</vt:i4>
      </vt:variant>
      <vt:variant>
        <vt:lpstr>Rangos con nombre</vt:lpstr>
      </vt:variant>
      <vt:variant>
        <vt:i4>4</vt:i4>
      </vt:variant>
    </vt:vector>
  </HeadingPairs>
  <TitlesOfParts>
    <vt:vector size="8" baseType="lpstr">
      <vt:lpstr>COTIZACIÓN A</vt:lpstr>
      <vt:lpstr>COTIZACIÓN B</vt:lpstr>
      <vt:lpstr>COTIZACIÓN C</vt:lpstr>
      <vt:lpstr>COTIZACIÓN D</vt:lpstr>
      <vt:lpstr>'COTIZACIÓN A'!Área_de_impresión</vt:lpstr>
      <vt:lpstr>'COTIZACIÓN B'!Área_de_impresión</vt:lpstr>
      <vt:lpstr>'COTIZACIÓN C'!Área_de_impresión</vt:lpstr>
      <vt:lpstr>'COTIZACIÓN D'!Área_de_impresión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Renso Montoya Upegui</cp:lastModifiedBy>
  <cp:revision/>
  <cp:lastPrinted>2025-07-14T16:36:15Z</cp:lastPrinted>
  <dcterms:created xsi:type="dcterms:W3CDTF">2024-02-08T21:06:52Z</dcterms:created>
  <dcterms:modified xsi:type="dcterms:W3CDTF">2025-12-09T15:29:00Z</dcterms:modified>
  <cp:category/>
  <cp:contentStatus/>
</cp:coreProperties>
</file>