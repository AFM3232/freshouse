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C71E7B99-7169-41F0-907F-73AA78324A56}" xr6:coauthVersionLast="47" xr6:coauthVersionMax="47" xr10:uidLastSave="{00000000-0000-0000-0000-000000000000}"/>
  <bookViews>
    <workbookView xWindow="-108" yWindow="-108" windowWidth="23256" windowHeight="12456" xr2:uid="{325B0686-2D22-490A-92F5-0D3E9AAE1101}"/>
  </bookViews>
  <sheets>
    <sheet name="COTIZACIÓN A" sheetId="1" r:id="rId1"/>
    <sheet name="COTIZACIÓN B" sheetId="2" r:id="rId2"/>
    <sheet name="COTIZACIÓN C" sheetId="3" r:id="rId3"/>
    <sheet name="COTIZACIÓN D" sheetId="5" r:id="rId4"/>
  </sheets>
  <definedNames>
    <definedName name="_xlnm.Print_Area" localSheetId="0">'COTIZACIÓN A'!$A$1:$G$39</definedName>
    <definedName name="_xlnm.Print_Area" localSheetId="1">'COTIZACIÓN B'!$A$1:$G$24</definedName>
    <definedName name="_xlnm.Print_Area" localSheetId="2">'COTIZACIÓN C'!$A$1:$G$20</definedName>
    <definedName name="_xlnm.Print_Area" localSheetId="3">'COTIZACIÓN D'!$A$1:$G$26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2" l="1"/>
  <c r="G14" i="3"/>
  <c r="G10" i="5"/>
  <c r="G19" i="5"/>
  <c r="G18" i="5" s="1"/>
  <c r="G17" i="5"/>
  <c r="G16" i="5"/>
  <c r="G14" i="5"/>
  <c r="G13" i="5"/>
  <c r="G12" i="5"/>
  <c r="G11" i="5"/>
  <c r="G8" i="5"/>
  <c r="G7" i="5"/>
  <c r="G6" i="5"/>
  <c r="G13" i="3"/>
  <c r="G12" i="3"/>
  <c r="G11" i="3"/>
  <c r="G10" i="3"/>
  <c r="G8" i="3"/>
  <c r="G7" i="3"/>
  <c r="G17" i="2"/>
  <c r="G16" i="2" s="1"/>
  <c r="G15" i="2"/>
  <c r="G14" i="2" s="1"/>
  <c r="G13" i="2"/>
  <c r="G12" i="2"/>
  <c r="G11" i="2" s="1"/>
  <c r="G10" i="2"/>
  <c r="G9" i="2" s="1"/>
  <c r="G8" i="2"/>
  <c r="G7" i="2"/>
  <c r="G9" i="1"/>
  <c r="G16" i="1"/>
  <c r="G18" i="1"/>
  <c r="G29" i="1"/>
  <c r="G28" i="1" s="1"/>
  <c r="G30" i="1"/>
  <c r="G25" i="1"/>
  <c r="G24" i="1"/>
  <c r="G23" i="1"/>
  <c r="G22" i="1"/>
  <c r="G19" i="1" s="1"/>
  <c r="G21" i="1"/>
  <c r="G26" i="1"/>
  <c r="G9" i="5" l="1"/>
  <c r="G15" i="5"/>
  <c r="G20" i="5" s="1"/>
  <c r="G6" i="3"/>
  <c r="G9" i="3"/>
  <c r="G17" i="3"/>
  <c r="G18" i="3" s="1"/>
  <c r="G6" i="2"/>
  <c r="G15" i="1"/>
  <c r="G14" i="1"/>
  <c r="G13" i="1"/>
  <c r="G12" i="1"/>
  <c r="G32" i="1"/>
  <c r="G27" i="1"/>
  <c r="G20" i="1"/>
  <c r="G17" i="1"/>
  <c r="G11" i="1"/>
  <c r="G10" i="1"/>
  <c r="G8" i="1"/>
  <c r="G7" i="1"/>
  <c r="G23" i="5" l="1"/>
  <c r="G24" i="5" s="1"/>
  <c r="G15" i="3"/>
  <c r="G16" i="3"/>
  <c r="G21" i="2"/>
  <c r="G22" i="2" s="1"/>
  <c r="G20" i="2"/>
  <c r="G19" i="2"/>
  <c r="G6" i="1"/>
  <c r="G31" i="1"/>
  <c r="G21" i="5" l="1"/>
  <c r="G22" i="5"/>
  <c r="G19" i="3"/>
  <c r="G20" i="3" s="1"/>
  <c r="G23" i="2"/>
  <c r="G24" i="2" s="1"/>
  <c r="G33" i="1"/>
  <c r="G36" i="1" s="1"/>
  <c r="G37" i="1" s="1"/>
  <c r="G25" i="5" l="1"/>
  <c r="G26" i="5" s="1"/>
  <c r="G35" i="1"/>
  <c r="G34" i="1"/>
  <c r="G38" i="1" l="1"/>
  <c r="G39" i="1" s="1"/>
</calcChain>
</file>

<file path=xl/sharedStrings.xml><?xml version="1.0" encoding="utf-8"?>
<sst xmlns="http://schemas.openxmlformats.org/spreadsheetml/2006/main" count="208" uniqueCount="62">
  <si>
    <t>CAPT</t>
  </si>
  <si>
    <t>ITEMS</t>
  </si>
  <si>
    <t>ML</t>
  </si>
  <si>
    <t>IVA/U</t>
  </si>
  <si>
    <t>DESCRIPCION</t>
  </si>
  <si>
    <t>1.0</t>
  </si>
  <si>
    <t>PRELIMINARES</t>
  </si>
  <si>
    <t>TOTALES DIRECTOS</t>
  </si>
  <si>
    <t>Administracion</t>
  </si>
  <si>
    <t>Imprevistos</t>
  </si>
  <si>
    <t>Utilidad</t>
  </si>
  <si>
    <t>TOTAL INDIRECTOS</t>
  </si>
  <si>
    <t>TOTAL PROPUESTA</t>
  </si>
  <si>
    <t>DIRECCION:</t>
  </si>
  <si>
    <t>CALLE 3 NORTE # 18-49 LOCAL 2</t>
  </si>
  <si>
    <t>CODIGO: FH-F-02</t>
  </si>
  <si>
    <t xml:space="preserve"> VERSIÓN: 01</t>
  </si>
  <si>
    <t>CORREO:</t>
  </si>
  <si>
    <t>TELEFONO:</t>
  </si>
  <si>
    <t>+57 310 461 7353</t>
  </si>
  <si>
    <t>UNIDAD</t>
  </si>
  <si>
    <t>CANTIDAD</t>
  </si>
  <si>
    <t>VR UNITARIO</t>
  </si>
  <si>
    <t>VALOR DIRECTO ACTIVIDAD</t>
  </si>
  <si>
    <t>MT2</t>
  </si>
  <si>
    <t>GLB</t>
  </si>
  <si>
    <t>DEMOLICIÓN - PREPARADO DE SUPERFICIE</t>
  </si>
  <si>
    <t>UND</t>
  </si>
  <si>
    <t>IMPERMEABILIZACIÓN/REPARACIÓN DE ACABADOS</t>
  </si>
  <si>
    <t>ACABADO PINTURA</t>
  </si>
  <si>
    <t>TERMINADO Y LIMPIEZA</t>
  </si>
  <si>
    <t xml:space="preserve">Admin@fresh-house.co
Rensomontoya@fresh-house.co                                                                                                                 </t>
  </si>
  <si>
    <t>Construcción de campamento provisional de obra y bodega para los trabajadores | deposito seguro de los materiales en obra</t>
  </si>
  <si>
    <t>Instalación y demarcación de con avisos y señalética necesaria como: salidas vehiculares y peatonales | colocación de señales de precaución caída de objetos, transite con cuidado, instalación de conos y colombinas para demarcar senderos peatonales etc.… toda la implementación del sistema de gestión para la prevención de riesgos laborales</t>
  </si>
  <si>
    <t>Aseo general y retiro de pintura.</t>
  </si>
  <si>
    <t xml:space="preserve">  FECHA: 04/02/2025</t>
  </si>
  <si>
    <t xml:space="preserve">  VALIDO HASTA: 04/05/2025</t>
  </si>
  <si>
    <t>Limpieza de fachada con hidrolavadora</t>
  </si>
  <si>
    <t>Limpieza de ventanas</t>
  </si>
  <si>
    <t>Raspado manual de fachadas</t>
  </si>
  <si>
    <t>Revoque</t>
  </si>
  <si>
    <t>Resane graniplast</t>
  </si>
  <si>
    <t>Sellado acronal</t>
  </si>
  <si>
    <t>Juntas Sikaflex</t>
  </si>
  <si>
    <t>Pintura Koraza</t>
  </si>
  <si>
    <t>Pintura Koraza Beige a 2 manos</t>
  </si>
  <si>
    <t>Pintura Koraza Beige a 3 manos</t>
  </si>
  <si>
    <t>Pintura Koraza Rojo a 2 manos</t>
  </si>
  <si>
    <t>Pintura Koraza rojo a 3 manos</t>
  </si>
  <si>
    <t>Pintura gris alfajias a 2 manos</t>
  </si>
  <si>
    <t>VARIOS</t>
  </si>
  <si>
    <t>Reposición balcon</t>
  </si>
  <si>
    <t>Impermeabilización culata</t>
  </si>
  <si>
    <t>COTIZACION OBRA - EDIFICIO LOS MADRIGALES</t>
  </si>
  <si>
    <t>Instalación tablilla 0,06M2</t>
  </si>
  <si>
    <t>Limpieza de alfajias con hidrolavadora</t>
  </si>
  <si>
    <t>CUBIERTA</t>
  </si>
  <si>
    <t>Flanches cubierta</t>
  </si>
  <si>
    <t>Tejas asbesto cemento</t>
  </si>
  <si>
    <t>Limpieza manual de paredes</t>
  </si>
  <si>
    <t>Pintura vinilo blanco a 2 manos</t>
  </si>
  <si>
    <t>Estuco y pintura vinilo blanco a dos 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</si>
</sst>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entury Gothic"/>
      <family val="2"/>
    </font>
    <font>
      <sz val="10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rgb="FF000000"/>
      <name val="Century Gothic"/>
      <family val="2"/>
    </font>
    <font>
      <sz val="12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indexed="64"/>
      </bottom>
      <diagonal/>
    </border>
    <border>
      <left/>
      <right/>
      <top style="thin">
        <color rgb="FF505050"/>
      </top>
      <bottom style="thin">
        <color indexed="64"/>
      </bottom>
      <diagonal/>
    </border>
    <border>
      <left/>
      <right style="thin">
        <color rgb="FF505050"/>
      </right>
      <top style="thin">
        <color rgb="FF505050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164" fontId="5" fillId="0" borderId="3" xfId="0" applyNumberFormat="1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164" fontId="5" fillId="2" borderId="4" xfId="0" applyNumberFormat="1" applyFont="1" applyFill="1" applyBorder="1" applyAlignment="1">
      <alignment vertical="center"/>
    </xf>
    <xf numFmtId="9" fontId="5" fillId="0" borderId="6" xfId="3" applyFont="1" applyFill="1" applyBorder="1" applyAlignment="1">
      <alignment horizontal="center" vertical="center"/>
    </xf>
    <xf numFmtId="164" fontId="5" fillId="0" borderId="3" xfId="2" applyNumberFormat="1" applyFont="1" applyFill="1" applyBorder="1" applyAlignment="1">
      <alignment vertical="center"/>
    </xf>
    <xf numFmtId="164" fontId="5" fillId="2" borderId="3" xfId="0" applyNumberFormat="1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3" fontId="5" fillId="0" borderId="6" xfId="1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43" fontId="3" fillId="2" borderId="14" xfId="0" applyNumberFormat="1" applyFont="1" applyFill="1" applyBorder="1" applyAlignment="1">
      <alignment vertical="center" wrapText="1"/>
    </xf>
    <xf numFmtId="43" fontId="5" fillId="0" borderId="1" xfId="1" applyFont="1" applyFill="1" applyBorder="1" applyAlignment="1">
      <alignment vertical="center" wrapText="1"/>
    </xf>
    <xf numFmtId="43" fontId="5" fillId="0" borderId="3" xfId="1" applyFont="1" applyFill="1" applyBorder="1" applyAlignment="1">
      <alignment vertical="center" wrapText="1"/>
    </xf>
    <xf numFmtId="165" fontId="3" fillId="2" borderId="13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43" fontId="3" fillId="2" borderId="7" xfId="1" applyFont="1" applyFill="1" applyBorder="1" applyAlignment="1">
      <alignment horizontal="center" vertical="center"/>
    </xf>
    <xf numFmtId="43" fontId="3" fillId="2" borderId="9" xfId="1" applyFont="1" applyFill="1" applyBorder="1" applyAlignment="1">
      <alignment horizontal="center" vertical="center"/>
    </xf>
    <xf numFmtId="43" fontId="3" fillId="2" borderId="8" xfId="1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2/10/relationships/richValueRel" Target="richData/richValueRel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59B59D5-B26C-E1BA-9849-F968261D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3301" y="355600"/>
          <a:ext cx="1968500" cy="782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0EEDF6-1FF9-4DD2-924D-BC94DFB86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1" y="358140"/>
          <a:ext cx="1963420" cy="78527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BFB03C-B7FD-4C2D-AFEA-207C72A97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1" y="358140"/>
          <a:ext cx="1963420" cy="7852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177801</xdr:colOff>
      <xdr:row>1</xdr:row>
      <xdr:rowOff>76200</xdr:rowOff>
    </xdr:from>
    <xdr:to>
      <xdr:col>6</xdr:col>
      <xdr:colOff>1104901</xdr:colOff>
      <xdr:row>3</xdr:row>
      <xdr:rowOff>160437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9BDA91-0A8A-4A61-BA82-A7924B7D5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1" y="358140"/>
          <a:ext cx="1963420" cy="7852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0" zoomScale="60" zoomScaleNormal="60" workbookViewId="0">
      <selection activeCell="F30" sqref="F30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8" ht="22.5" customHeight="1" x14ac:dyDescent="0.3">
      <c r="A1" s="43" t="s">
        <v>53</v>
      </c>
      <c r="B1" s="44"/>
      <c r="C1" s="44"/>
      <c r="D1" s="44"/>
      <c r="E1" s="44"/>
      <c r="F1" s="44"/>
      <c r="G1" s="45"/>
    </row>
    <row r="2" spans="1:8" ht="25.2" customHeight="1" x14ac:dyDescent="0.3">
      <c r="A2" s="46" t="s">
        <v>13</v>
      </c>
      <c r="B2" s="47"/>
      <c r="C2" s="3" t="s">
        <v>14</v>
      </c>
      <c r="D2" s="3" t="s">
        <v>15</v>
      </c>
      <c r="E2" s="3" t="s">
        <v>16</v>
      </c>
      <c r="F2" s="48"/>
      <c r="G2" s="49"/>
    </row>
    <row r="3" spans="1:8" ht="30" x14ac:dyDescent="0.3">
      <c r="A3" s="46" t="s">
        <v>17</v>
      </c>
      <c r="B3" s="47"/>
      <c r="C3" s="3" t="s">
        <v>31</v>
      </c>
      <c r="D3" s="46" t="s">
        <v>35</v>
      </c>
      <c r="E3" s="47"/>
      <c r="F3" s="50"/>
      <c r="G3" s="51"/>
      <c r="H3"/>
    </row>
    <row r="4" spans="1:8" ht="22.5" customHeight="1" x14ac:dyDescent="0.3">
      <c r="A4" s="46" t="s">
        <v>18</v>
      </c>
      <c r="B4" s="47"/>
      <c r="C4" s="3" t="s">
        <v>19</v>
      </c>
      <c r="D4" s="46" t="s">
        <v>36</v>
      </c>
      <c r="E4" s="47"/>
      <c r="F4" s="52"/>
      <c r="G4" s="53"/>
      <c r="H4"/>
    </row>
    <row r="5" spans="1:8" ht="30" x14ac:dyDescent="0.3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</row>
    <row r="6" spans="1:8" ht="23.25" customHeight="1" x14ac:dyDescent="0.3">
      <c r="A6" s="22" t="s">
        <v>5</v>
      </c>
      <c r="B6" s="18"/>
      <c r="C6" s="18" t="s">
        <v>6</v>
      </c>
      <c r="D6" s="18"/>
      <c r="E6" s="18"/>
      <c r="F6" s="18"/>
      <c r="G6" s="4">
        <f>SUM(G7:G8)</f>
        <v>0</v>
      </c>
    </row>
    <row r="7" spans="1:8" ht="30" x14ac:dyDescent="0.3">
      <c r="A7" s="16"/>
      <c r="B7" s="27">
        <v>1.1000000000000001</v>
      </c>
      <c r="C7" s="34" t="s">
        <v>32</v>
      </c>
      <c r="D7" s="30" t="s">
        <v>27</v>
      </c>
      <c r="E7" s="17">
        <v>1</v>
      </c>
      <c r="F7" s="5">
        <v>0</v>
      </c>
      <c r="G7" s="6">
        <f>F7*E7</f>
        <v>0</v>
      </c>
    </row>
    <row r="8" spans="1:8" ht="90" x14ac:dyDescent="0.3">
      <c r="A8" s="16"/>
      <c r="B8" s="27">
        <v>1.2</v>
      </c>
      <c r="C8" s="34" t="s">
        <v>33</v>
      </c>
      <c r="D8" s="30" t="s">
        <v>25</v>
      </c>
      <c r="E8" s="17">
        <v>1</v>
      </c>
      <c r="F8" s="5">
        <v>0</v>
      </c>
      <c r="G8" s="6">
        <f t="shared" ref="G8" si="0">F8*E8</f>
        <v>0</v>
      </c>
    </row>
    <row r="9" spans="1:8" ht="23.25" customHeight="1" x14ac:dyDescent="0.3">
      <c r="A9" s="22">
        <v>2</v>
      </c>
      <c r="B9" s="23"/>
      <c r="C9" s="33" t="s">
        <v>26</v>
      </c>
      <c r="D9" s="18"/>
      <c r="E9" s="19"/>
      <c r="F9" s="18"/>
      <c r="G9" s="4">
        <f>SUM(G10:G15)</f>
        <v>16104298</v>
      </c>
    </row>
    <row r="10" spans="1:8" ht="19.95" customHeight="1" x14ac:dyDescent="0.3">
      <c r="A10" s="24"/>
      <c r="B10" s="28">
        <v>2.1</v>
      </c>
      <c r="C10" s="34" t="s">
        <v>37</v>
      </c>
      <c r="D10" s="31" t="s">
        <v>24</v>
      </c>
      <c r="E10" s="20">
        <v>1747</v>
      </c>
      <c r="F10" s="7">
        <v>3220</v>
      </c>
      <c r="G10" s="6">
        <f>F10*E10</f>
        <v>5625340</v>
      </c>
    </row>
    <row r="11" spans="1:8" ht="19.95" customHeight="1" x14ac:dyDescent="0.3">
      <c r="A11" s="24"/>
      <c r="B11" s="28">
        <v>2.2000000000000002</v>
      </c>
      <c r="C11" s="34" t="s">
        <v>38</v>
      </c>
      <c r="D11" s="31" t="s">
        <v>24</v>
      </c>
      <c r="E11" s="20">
        <v>380.51</v>
      </c>
      <c r="F11" s="7">
        <v>3000</v>
      </c>
      <c r="G11" s="6">
        <f t="shared" ref="G11" si="1">F11*E11</f>
        <v>1141530</v>
      </c>
    </row>
    <row r="12" spans="1:8" ht="19.95" customHeight="1" x14ac:dyDescent="0.3">
      <c r="A12" s="24"/>
      <c r="B12" s="28">
        <v>2.2999999999999998</v>
      </c>
      <c r="C12" s="34" t="s">
        <v>39</v>
      </c>
      <c r="D12" s="31" t="s">
        <v>24</v>
      </c>
      <c r="E12" s="20">
        <v>219.26</v>
      </c>
      <c r="F12" s="7">
        <v>4000</v>
      </c>
      <c r="G12" s="6">
        <f t="shared" ref="G12:G15" si="2">F12*E12</f>
        <v>877040</v>
      </c>
    </row>
    <row r="13" spans="1:8" ht="19.95" customHeight="1" x14ac:dyDescent="0.3">
      <c r="A13" s="24"/>
      <c r="B13" s="28">
        <v>2.4</v>
      </c>
      <c r="C13" s="34" t="s">
        <v>40</v>
      </c>
      <c r="D13" s="31" t="s">
        <v>24</v>
      </c>
      <c r="E13" s="20">
        <v>1.53</v>
      </c>
      <c r="F13" s="7">
        <v>41000</v>
      </c>
      <c r="G13" s="6">
        <f t="shared" si="2"/>
        <v>62730</v>
      </c>
    </row>
    <row r="14" spans="1:8" ht="19.95" customHeight="1" x14ac:dyDescent="0.3">
      <c r="A14" s="24"/>
      <c r="B14" s="28">
        <v>2.5</v>
      </c>
      <c r="C14" s="34" t="s">
        <v>41</v>
      </c>
      <c r="D14" s="31" t="s">
        <v>24</v>
      </c>
      <c r="E14" s="20">
        <v>219.26</v>
      </c>
      <c r="F14" s="7">
        <v>36000</v>
      </c>
      <c r="G14" s="6">
        <f t="shared" si="2"/>
        <v>7893360</v>
      </c>
    </row>
    <row r="15" spans="1:8" ht="19.95" customHeight="1" x14ac:dyDescent="0.3">
      <c r="A15" s="24"/>
      <c r="B15" s="28">
        <v>2.6</v>
      </c>
      <c r="C15" s="34" t="s">
        <v>42</v>
      </c>
      <c r="D15" s="31" t="s">
        <v>24</v>
      </c>
      <c r="E15" s="20">
        <v>219.26</v>
      </c>
      <c r="F15" s="7">
        <v>2300</v>
      </c>
      <c r="G15" s="6">
        <f t="shared" si="2"/>
        <v>504298</v>
      </c>
    </row>
    <row r="16" spans="1:8" ht="21" customHeight="1" x14ac:dyDescent="0.3">
      <c r="A16" s="22">
        <v>3</v>
      </c>
      <c r="B16" s="23"/>
      <c r="C16" s="33" t="s">
        <v>28</v>
      </c>
      <c r="D16" s="18"/>
      <c r="E16" s="18"/>
      <c r="F16" s="18"/>
      <c r="G16" s="4">
        <f>SUM(G17:G18)</f>
        <v>6573975</v>
      </c>
    </row>
    <row r="17" spans="1:7" ht="19.95" customHeight="1" x14ac:dyDescent="0.3">
      <c r="A17" s="25"/>
      <c r="B17" s="29">
        <v>3.1</v>
      </c>
      <c r="C17" s="34" t="s">
        <v>43</v>
      </c>
      <c r="D17" s="32" t="s">
        <v>2</v>
      </c>
      <c r="E17" s="21">
        <v>1115.25</v>
      </c>
      <c r="F17" s="7">
        <v>5700</v>
      </c>
      <c r="G17" s="6">
        <f>F17*E17</f>
        <v>6356925</v>
      </c>
    </row>
    <row r="18" spans="1:7" ht="19.95" customHeight="1" x14ac:dyDescent="0.3">
      <c r="A18" s="25"/>
      <c r="B18" s="29">
        <v>3.2</v>
      </c>
      <c r="C18" s="34" t="s">
        <v>52</v>
      </c>
      <c r="D18" s="32" t="s">
        <v>24</v>
      </c>
      <c r="E18" s="21">
        <v>14.47</v>
      </c>
      <c r="F18" s="7">
        <v>15000</v>
      </c>
      <c r="G18" s="6">
        <f>F18*E18</f>
        <v>217050</v>
      </c>
    </row>
    <row r="19" spans="1:7" ht="23.25" customHeight="1" x14ac:dyDescent="0.3">
      <c r="A19" s="22">
        <v>4</v>
      </c>
      <c r="B19" s="23"/>
      <c r="C19" s="33" t="s">
        <v>29</v>
      </c>
      <c r="D19" s="26"/>
      <c r="E19" s="19"/>
      <c r="F19" s="18"/>
      <c r="G19" s="4">
        <f>SUM(G20:G27)</f>
        <v>33651165</v>
      </c>
    </row>
    <row r="20" spans="1:7" ht="19.95" customHeight="1" x14ac:dyDescent="0.3">
      <c r="A20" s="25"/>
      <c r="B20" s="29">
        <v>4.0999999999999996</v>
      </c>
      <c r="C20" s="34" t="s">
        <v>44</v>
      </c>
      <c r="D20" s="32" t="s">
        <v>24</v>
      </c>
      <c r="E20" s="17">
        <v>233.58</v>
      </c>
      <c r="F20" s="5">
        <v>17500</v>
      </c>
      <c r="G20" s="6">
        <f t="shared" ref="G20:G25" si="3">F20*E20</f>
        <v>4087650</v>
      </c>
    </row>
    <row r="21" spans="1:7" ht="19.95" customHeight="1" x14ac:dyDescent="0.3">
      <c r="A21" s="25"/>
      <c r="B21" s="29">
        <v>4.2</v>
      </c>
      <c r="C21" s="34" t="s">
        <v>45</v>
      </c>
      <c r="D21" s="32" t="s">
        <v>24</v>
      </c>
      <c r="E21" s="17">
        <v>1108.52</v>
      </c>
      <c r="F21" s="5">
        <v>17500</v>
      </c>
      <c r="G21" s="6">
        <f t="shared" si="3"/>
        <v>19399100</v>
      </c>
    </row>
    <row r="22" spans="1:7" ht="19.95" customHeight="1" x14ac:dyDescent="0.3">
      <c r="A22" s="25"/>
      <c r="B22" s="29">
        <v>4.3</v>
      </c>
      <c r="C22" s="34" t="s">
        <v>46</v>
      </c>
      <c r="D22" s="32" t="s">
        <v>24</v>
      </c>
      <c r="E22" s="17">
        <v>173.06</v>
      </c>
      <c r="F22" s="5">
        <v>24000</v>
      </c>
      <c r="G22" s="6">
        <f t="shared" si="3"/>
        <v>4153440</v>
      </c>
    </row>
    <row r="23" spans="1:7" ht="19.95" customHeight="1" x14ac:dyDescent="0.3">
      <c r="A23" s="25"/>
      <c r="B23" s="29">
        <v>4.4000000000000004</v>
      </c>
      <c r="C23" s="34" t="s">
        <v>47</v>
      </c>
      <c r="D23" s="32" t="s">
        <v>24</v>
      </c>
      <c r="E23" s="17">
        <v>120.11</v>
      </c>
      <c r="F23" s="5">
        <v>17500</v>
      </c>
      <c r="G23" s="6">
        <f t="shared" si="3"/>
        <v>2101925</v>
      </c>
    </row>
    <row r="24" spans="1:7" ht="19.95" customHeight="1" x14ac:dyDescent="0.3">
      <c r="A24" s="25"/>
      <c r="B24" s="29">
        <v>4.5</v>
      </c>
      <c r="C24" s="34" t="s">
        <v>48</v>
      </c>
      <c r="D24" s="32" t="s">
        <v>24</v>
      </c>
      <c r="E24" s="17">
        <v>14.9</v>
      </c>
      <c r="F24" s="5">
        <v>24000</v>
      </c>
      <c r="G24" s="6">
        <f t="shared" si="3"/>
        <v>357600</v>
      </c>
    </row>
    <row r="25" spans="1:7" ht="19.95" customHeight="1" x14ac:dyDescent="0.3">
      <c r="A25" s="25"/>
      <c r="B25" s="29">
        <v>4.5999999999999996</v>
      </c>
      <c r="C25" s="34" t="s">
        <v>44</v>
      </c>
      <c r="D25" s="32" t="s">
        <v>24</v>
      </c>
      <c r="E25" s="17">
        <v>156.88999999999999</v>
      </c>
      <c r="F25" s="5">
        <v>17500</v>
      </c>
      <c r="G25" s="6">
        <f t="shared" si="3"/>
        <v>2745574.9999999995</v>
      </c>
    </row>
    <row r="26" spans="1:7" ht="19.95" customHeight="1" x14ac:dyDescent="0.3">
      <c r="A26" s="25"/>
      <c r="B26" s="29">
        <v>4.7</v>
      </c>
      <c r="C26" s="34" t="s">
        <v>44</v>
      </c>
      <c r="D26" s="32" t="s">
        <v>24</v>
      </c>
      <c r="E26" s="17">
        <v>8.3699999999999992</v>
      </c>
      <c r="F26" s="5">
        <v>17500</v>
      </c>
      <c r="G26" s="6">
        <f t="shared" ref="G26" si="4">F26*E26</f>
        <v>146475</v>
      </c>
    </row>
    <row r="27" spans="1:7" ht="19.95" customHeight="1" x14ac:dyDescent="0.3">
      <c r="A27" s="25"/>
      <c r="B27" s="29">
        <v>4.8</v>
      </c>
      <c r="C27" s="34" t="s">
        <v>49</v>
      </c>
      <c r="D27" s="32" t="s">
        <v>24</v>
      </c>
      <c r="E27" s="17">
        <v>37.68</v>
      </c>
      <c r="F27" s="5">
        <v>17500</v>
      </c>
      <c r="G27" s="6">
        <f t="shared" ref="G27" si="5">F27*E27</f>
        <v>659400</v>
      </c>
    </row>
    <row r="28" spans="1:7" ht="23.25" customHeight="1" x14ac:dyDescent="0.3">
      <c r="A28" s="22">
        <v>5</v>
      </c>
      <c r="B28" s="23"/>
      <c r="C28" s="33" t="s">
        <v>50</v>
      </c>
      <c r="D28" s="26"/>
      <c r="E28" s="19"/>
      <c r="F28" s="18"/>
      <c r="G28" s="4">
        <f>SUM(G29:G30)</f>
        <v>435000</v>
      </c>
    </row>
    <row r="29" spans="1:7" ht="27" customHeight="1" x14ac:dyDescent="0.3">
      <c r="A29" s="25"/>
      <c r="B29" s="29">
        <v>5.0999999999999996</v>
      </c>
      <c r="C29" s="34" t="s">
        <v>54</v>
      </c>
      <c r="D29" s="32" t="s">
        <v>25</v>
      </c>
      <c r="E29" s="17">
        <v>1</v>
      </c>
      <c r="F29" s="5">
        <v>230000</v>
      </c>
      <c r="G29" s="6">
        <f>F29*E29</f>
        <v>230000</v>
      </c>
    </row>
    <row r="30" spans="1:7" ht="27" customHeight="1" x14ac:dyDescent="0.3">
      <c r="A30" s="25"/>
      <c r="B30" s="29">
        <v>5.0999999999999996</v>
      </c>
      <c r="C30" s="34" t="s">
        <v>51</v>
      </c>
      <c r="D30" s="32" t="s">
        <v>24</v>
      </c>
      <c r="E30" s="17">
        <v>0.5</v>
      </c>
      <c r="F30" s="5">
        <v>410000</v>
      </c>
      <c r="G30" s="6">
        <f>F30*E30</f>
        <v>205000</v>
      </c>
    </row>
    <row r="31" spans="1:7" ht="21" customHeight="1" x14ac:dyDescent="0.3">
      <c r="A31" s="22">
        <v>6</v>
      </c>
      <c r="B31" s="23"/>
      <c r="C31" s="33" t="s">
        <v>30</v>
      </c>
      <c r="D31" s="26"/>
      <c r="E31" s="19"/>
      <c r="F31" s="18"/>
      <c r="G31" s="4">
        <f>SUM(G32:G32)</f>
        <v>200000</v>
      </c>
    </row>
    <row r="32" spans="1:7" ht="21.75" customHeight="1" x14ac:dyDescent="0.3">
      <c r="A32" s="25"/>
      <c r="B32" s="29">
        <v>6.1</v>
      </c>
      <c r="C32" s="34" t="s">
        <v>34</v>
      </c>
      <c r="D32" s="32" t="s">
        <v>27</v>
      </c>
      <c r="E32" s="17">
        <v>1</v>
      </c>
      <c r="F32" s="5">
        <v>200000</v>
      </c>
      <c r="G32" s="6">
        <f>F32*E32</f>
        <v>200000</v>
      </c>
    </row>
    <row r="33" spans="1:7" ht="21.75" customHeight="1" x14ac:dyDescent="0.3">
      <c r="A33" s="8"/>
      <c r="B33" s="9"/>
      <c r="C33" s="9"/>
      <c r="D33" s="54" t="s">
        <v>7</v>
      </c>
      <c r="E33" s="55"/>
      <c r="F33" s="56"/>
      <c r="G33" s="10">
        <f>+G31+G19+G16+G9+G6</f>
        <v>56529438</v>
      </c>
    </row>
    <row r="34" spans="1:7" ht="21.75" customHeight="1" x14ac:dyDescent="0.3">
      <c r="A34" s="8"/>
      <c r="B34" s="9"/>
      <c r="C34" s="9"/>
      <c r="D34" s="41" t="s">
        <v>8</v>
      </c>
      <c r="E34" s="42"/>
      <c r="F34" s="11">
        <v>0.1</v>
      </c>
      <c r="G34" s="12">
        <f>+$G$33*F34</f>
        <v>5652943.8000000007</v>
      </c>
    </row>
    <row r="35" spans="1:7" ht="21.75" customHeight="1" x14ac:dyDescent="0.3">
      <c r="A35" s="8"/>
      <c r="B35" s="9"/>
      <c r="C35" s="9"/>
      <c r="D35" s="41" t="s">
        <v>9</v>
      </c>
      <c r="E35" s="42"/>
      <c r="F35" s="11">
        <v>0.05</v>
      </c>
      <c r="G35" s="12">
        <f>+$G$33*F35</f>
        <v>2826471.9000000004</v>
      </c>
    </row>
    <row r="36" spans="1:7" ht="21.75" customHeight="1" x14ac:dyDescent="0.3">
      <c r="A36" s="8"/>
      <c r="B36" s="9"/>
      <c r="C36" s="9"/>
      <c r="D36" s="41" t="s">
        <v>10</v>
      </c>
      <c r="E36" s="42"/>
      <c r="F36" s="11">
        <v>0.05</v>
      </c>
      <c r="G36" s="12">
        <f>+$G$33*F36</f>
        <v>2826471.9000000004</v>
      </c>
    </row>
    <row r="37" spans="1:7" ht="21.75" customHeight="1" x14ac:dyDescent="0.3">
      <c r="A37" s="8"/>
      <c r="B37" s="9"/>
      <c r="C37" s="9"/>
      <c r="D37" s="41" t="s">
        <v>3</v>
      </c>
      <c r="E37" s="42"/>
      <c r="F37" s="11">
        <v>0.19</v>
      </c>
      <c r="G37" s="12">
        <f>+G36*F37</f>
        <v>537029.66100000008</v>
      </c>
    </row>
    <row r="38" spans="1:7" ht="21.75" customHeight="1" x14ac:dyDescent="0.3">
      <c r="A38" s="8"/>
      <c r="B38" s="9"/>
      <c r="C38" s="9"/>
      <c r="D38" s="38" t="s">
        <v>11</v>
      </c>
      <c r="E38" s="39"/>
      <c r="F38" s="40"/>
      <c r="G38" s="13">
        <f>+G34+G35+G36+G37</f>
        <v>11842917.261000002</v>
      </c>
    </row>
    <row r="39" spans="1:7" ht="15" x14ac:dyDescent="0.3">
      <c r="A39" s="8"/>
      <c r="B39" s="9"/>
      <c r="C39" s="9"/>
      <c r="D39" s="35" t="s">
        <v>12</v>
      </c>
      <c r="E39" s="36"/>
      <c r="F39" s="37"/>
      <c r="G39" s="14">
        <f>+G33+G38</f>
        <v>68372355.261000007</v>
      </c>
    </row>
  </sheetData>
  <mergeCells count="14">
    <mergeCell ref="D39:F39"/>
    <mergeCell ref="D38:F38"/>
    <mergeCell ref="D37:E37"/>
    <mergeCell ref="A1:G1"/>
    <mergeCell ref="D36:E36"/>
    <mergeCell ref="D35:E35"/>
    <mergeCell ref="D34:E34"/>
    <mergeCell ref="A2:B2"/>
    <mergeCell ref="A3:B3"/>
    <mergeCell ref="D3:E3"/>
    <mergeCell ref="A4:B4"/>
    <mergeCell ref="D4:E4"/>
    <mergeCell ref="F2:G4"/>
    <mergeCell ref="D33:F33"/>
  </mergeCells>
  <phoneticPr fontId="2" type="noConversion"/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39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8518-98D3-4954-9E47-4F9AF85E5483}">
  <dimension ref="A1:H24"/>
  <sheetViews>
    <sheetView zoomScale="60" zoomScaleNormal="60" workbookViewId="0">
      <selection activeCell="H8" sqref="H8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8" ht="22.5" customHeight="1" x14ac:dyDescent="0.3">
      <c r="A1" s="43" t="s">
        <v>53</v>
      </c>
      <c r="B1" s="44"/>
      <c r="C1" s="44"/>
      <c r="D1" s="44"/>
      <c r="E1" s="44"/>
      <c r="F1" s="44"/>
      <c r="G1" s="45"/>
    </row>
    <row r="2" spans="1:8" ht="25.2" customHeight="1" x14ac:dyDescent="0.3">
      <c r="A2" s="46" t="s">
        <v>13</v>
      </c>
      <c r="B2" s="47"/>
      <c r="C2" s="3" t="s">
        <v>14</v>
      </c>
      <c r="D2" s="3" t="s">
        <v>15</v>
      </c>
      <c r="E2" s="3" t="s">
        <v>16</v>
      </c>
      <c r="F2" s="48"/>
      <c r="G2" s="49"/>
    </row>
    <row r="3" spans="1:8" ht="30" x14ac:dyDescent="0.3">
      <c r="A3" s="46" t="s">
        <v>17</v>
      </c>
      <c r="B3" s="47"/>
      <c r="C3" s="3" t="s">
        <v>31</v>
      </c>
      <c r="D3" s="46" t="s">
        <v>35</v>
      </c>
      <c r="E3" s="47"/>
      <c r="F3" s="50"/>
      <c r="G3" s="51"/>
      <c r="H3"/>
    </row>
    <row r="4" spans="1:8" ht="22.5" customHeight="1" x14ac:dyDescent="0.3">
      <c r="A4" s="46" t="s">
        <v>18</v>
      </c>
      <c r="B4" s="47"/>
      <c r="C4" s="3" t="s">
        <v>19</v>
      </c>
      <c r="D4" s="46" t="s">
        <v>36</v>
      </c>
      <c r="E4" s="47"/>
      <c r="F4" s="52"/>
      <c r="G4" s="53"/>
      <c r="H4"/>
    </row>
    <row r="5" spans="1:8" ht="30" x14ac:dyDescent="0.3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</row>
    <row r="6" spans="1:8" ht="23.25" customHeight="1" x14ac:dyDescent="0.3">
      <c r="A6" s="22" t="s">
        <v>5</v>
      </c>
      <c r="B6" s="18"/>
      <c r="C6" s="18" t="s">
        <v>6</v>
      </c>
      <c r="D6" s="18"/>
      <c r="E6" s="18"/>
      <c r="F6" s="18"/>
      <c r="G6" s="4">
        <f>SUM(G7:G8)</f>
        <v>0</v>
      </c>
    </row>
    <row r="7" spans="1:8" ht="30" x14ac:dyDescent="0.3">
      <c r="A7" s="16"/>
      <c r="B7" s="27">
        <v>1.1000000000000001</v>
      </c>
      <c r="C7" s="34" t="s">
        <v>32</v>
      </c>
      <c r="D7" s="30" t="s">
        <v>27</v>
      </c>
      <c r="E7" s="17">
        <v>1</v>
      </c>
      <c r="F7" s="5">
        <v>0</v>
      </c>
      <c r="G7" s="6">
        <f>F7*E7</f>
        <v>0</v>
      </c>
    </row>
    <row r="8" spans="1:8" ht="90" x14ac:dyDescent="0.3">
      <c r="A8" s="16"/>
      <c r="B8" s="27">
        <v>1.2</v>
      </c>
      <c r="C8" s="34" t="s">
        <v>33</v>
      </c>
      <c r="D8" s="30" t="s">
        <v>25</v>
      </c>
      <c r="E8" s="17">
        <v>1</v>
      </c>
      <c r="F8" s="5">
        <v>0</v>
      </c>
      <c r="G8" s="6">
        <f t="shared" ref="G8" si="0">F8*E8</f>
        <v>0</v>
      </c>
    </row>
    <row r="9" spans="1:8" ht="23.25" customHeight="1" x14ac:dyDescent="0.3">
      <c r="A9" s="22">
        <v>2</v>
      </c>
      <c r="B9" s="23"/>
      <c r="C9" s="33" t="s">
        <v>26</v>
      </c>
      <c r="D9" s="18"/>
      <c r="E9" s="19"/>
      <c r="F9" s="18"/>
      <c r="G9" s="4">
        <f>SUM(G10:G10)</f>
        <v>153675</v>
      </c>
    </row>
    <row r="10" spans="1:8" ht="19.95" customHeight="1" x14ac:dyDescent="0.3">
      <c r="A10" s="24"/>
      <c r="B10" s="28">
        <v>2.1</v>
      </c>
      <c r="C10" s="34" t="s">
        <v>55</v>
      </c>
      <c r="D10" s="31" t="s">
        <v>24</v>
      </c>
      <c r="E10" s="20">
        <v>34.15</v>
      </c>
      <c r="F10" s="7">
        <v>4500</v>
      </c>
      <c r="G10" s="6">
        <f>F10*E10</f>
        <v>153675</v>
      </c>
    </row>
    <row r="11" spans="1:8" ht="21" customHeight="1" x14ac:dyDescent="0.3">
      <c r="A11" s="22">
        <v>3</v>
      </c>
      <c r="B11" s="23"/>
      <c r="C11" s="33" t="s">
        <v>56</v>
      </c>
      <c r="D11" s="18"/>
      <c r="E11" s="18"/>
      <c r="F11" s="18"/>
      <c r="G11" s="4">
        <f>SUM(G12:G13)</f>
        <v>0</v>
      </c>
    </row>
    <row r="12" spans="1:8" ht="19.95" customHeight="1" x14ac:dyDescent="0.3">
      <c r="A12" s="25"/>
      <c r="B12" s="29">
        <v>3.1</v>
      </c>
      <c r="C12" s="34" t="s">
        <v>57</v>
      </c>
      <c r="D12" s="32" t="s">
        <v>2</v>
      </c>
      <c r="E12" s="21">
        <v>35.17</v>
      </c>
      <c r="F12" s="7">
        <v>0</v>
      </c>
      <c r="G12" s="6">
        <f>F12*E12</f>
        <v>0</v>
      </c>
    </row>
    <row r="13" spans="1:8" ht="19.95" customHeight="1" x14ac:dyDescent="0.3">
      <c r="A13" s="25"/>
      <c r="B13" s="29">
        <v>3.2</v>
      </c>
      <c r="C13" s="34" t="s">
        <v>58</v>
      </c>
      <c r="D13" s="32" t="s">
        <v>24</v>
      </c>
      <c r="E13" s="21">
        <v>38</v>
      </c>
      <c r="F13" s="7">
        <v>0</v>
      </c>
      <c r="G13" s="6">
        <f>F13*E13</f>
        <v>0</v>
      </c>
    </row>
    <row r="14" spans="1:8" ht="23.25" customHeight="1" x14ac:dyDescent="0.3">
      <c r="A14" s="22">
        <v>4</v>
      </c>
      <c r="B14" s="23"/>
      <c r="C14" s="33" t="s">
        <v>29</v>
      </c>
      <c r="D14" s="26"/>
      <c r="E14" s="19"/>
      <c r="F14" s="18"/>
      <c r="G14" s="4">
        <f>SUM(G15:G15)</f>
        <v>1383200</v>
      </c>
    </row>
    <row r="15" spans="1:8" ht="19.95" customHeight="1" x14ac:dyDescent="0.3">
      <c r="A15" s="25"/>
      <c r="B15" s="29">
        <v>4.0999999999999996</v>
      </c>
      <c r="C15" s="34" t="s">
        <v>49</v>
      </c>
      <c r="D15" s="32" t="s">
        <v>24</v>
      </c>
      <c r="E15" s="17">
        <v>79.040000000000006</v>
      </c>
      <c r="F15" s="5">
        <v>17500</v>
      </c>
      <c r="G15" s="6">
        <f t="shared" ref="G15" si="1">F15*E15</f>
        <v>1383200</v>
      </c>
    </row>
    <row r="16" spans="1:8" ht="21" customHeight="1" x14ac:dyDescent="0.3">
      <c r="A16" s="22">
        <v>6</v>
      </c>
      <c r="B16" s="23"/>
      <c r="C16" s="33" t="s">
        <v>30</v>
      </c>
      <c r="D16" s="26"/>
      <c r="E16" s="19"/>
      <c r="F16" s="18"/>
      <c r="G16" s="4">
        <f>SUM(G17:G17)</f>
        <v>200000</v>
      </c>
    </row>
    <row r="17" spans="1:7" ht="21.75" customHeight="1" x14ac:dyDescent="0.3">
      <c r="A17" s="25"/>
      <c r="B17" s="29">
        <v>6.1</v>
      </c>
      <c r="C17" s="34" t="s">
        <v>34</v>
      </c>
      <c r="D17" s="32" t="s">
        <v>27</v>
      </c>
      <c r="E17" s="17">
        <v>1</v>
      </c>
      <c r="F17" s="5">
        <v>200000</v>
      </c>
      <c r="G17" s="6">
        <f>F17*E17</f>
        <v>200000</v>
      </c>
    </row>
    <row r="18" spans="1:7" ht="21.75" customHeight="1" x14ac:dyDescent="0.3">
      <c r="A18" s="8"/>
      <c r="B18" s="9"/>
      <c r="C18" s="9"/>
      <c r="D18" s="54" t="s">
        <v>7</v>
      </c>
      <c r="E18" s="55"/>
      <c r="F18" s="56"/>
      <c r="G18" s="10">
        <f>+G16+G14+G11+G9+G6</f>
        <v>1736875</v>
      </c>
    </row>
    <row r="19" spans="1:7" ht="21.75" customHeight="1" x14ac:dyDescent="0.3">
      <c r="A19" s="8"/>
      <c r="B19" s="9"/>
      <c r="C19" s="9"/>
      <c r="D19" s="41" t="s">
        <v>8</v>
      </c>
      <c r="E19" s="42"/>
      <c r="F19" s="11">
        <v>0.1</v>
      </c>
      <c r="G19" s="12">
        <f>+$G$18*F19</f>
        <v>173687.5</v>
      </c>
    </row>
    <row r="20" spans="1:7" ht="21.75" customHeight="1" x14ac:dyDescent="0.3">
      <c r="A20" s="8"/>
      <c r="B20" s="9"/>
      <c r="C20" s="9"/>
      <c r="D20" s="41" t="s">
        <v>9</v>
      </c>
      <c r="E20" s="42"/>
      <c r="F20" s="11">
        <v>0.05</v>
      </c>
      <c r="G20" s="12">
        <f>+$G$18*F20</f>
        <v>86843.75</v>
      </c>
    </row>
    <row r="21" spans="1:7" ht="21.75" customHeight="1" x14ac:dyDescent="0.3">
      <c r="A21" s="8"/>
      <c r="B21" s="9"/>
      <c r="C21" s="9"/>
      <c r="D21" s="41" t="s">
        <v>10</v>
      </c>
      <c r="E21" s="42"/>
      <c r="F21" s="11">
        <v>0.05</v>
      </c>
      <c r="G21" s="12">
        <f>+$G$18*F21</f>
        <v>86843.75</v>
      </c>
    </row>
    <row r="22" spans="1:7" ht="21.75" customHeight="1" x14ac:dyDescent="0.3">
      <c r="A22" s="8"/>
      <c r="B22" s="9"/>
      <c r="C22" s="9"/>
      <c r="D22" s="41" t="s">
        <v>3</v>
      </c>
      <c r="E22" s="42"/>
      <c r="F22" s="11">
        <v>0.19</v>
      </c>
      <c r="G22" s="12">
        <f>+G21*F22</f>
        <v>16500.3125</v>
      </c>
    </row>
    <row r="23" spans="1:7" ht="21.75" customHeight="1" x14ac:dyDescent="0.3">
      <c r="A23" s="8"/>
      <c r="B23" s="9"/>
      <c r="C23" s="9"/>
      <c r="D23" s="38" t="s">
        <v>11</v>
      </c>
      <c r="E23" s="39"/>
      <c r="F23" s="40"/>
      <c r="G23" s="13">
        <f>+G19+G20+G21+G22</f>
        <v>363875.3125</v>
      </c>
    </row>
    <row r="24" spans="1:7" ht="15" x14ac:dyDescent="0.3">
      <c r="A24" s="8"/>
      <c r="B24" s="9"/>
      <c r="C24" s="9"/>
      <c r="D24" s="35" t="s">
        <v>12</v>
      </c>
      <c r="E24" s="36"/>
      <c r="F24" s="37"/>
      <c r="G24" s="14">
        <f>+G18+G23</f>
        <v>2100750.3125</v>
      </c>
    </row>
  </sheetData>
  <mergeCells count="14">
    <mergeCell ref="A1:G1"/>
    <mergeCell ref="A2:B2"/>
    <mergeCell ref="F2:G4"/>
    <mergeCell ref="A3:B3"/>
    <mergeCell ref="D3:E3"/>
    <mergeCell ref="A4:B4"/>
    <mergeCell ref="D4:E4"/>
    <mergeCell ref="D24:F24"/>
    <mergeCell ref="D18:F18"/>
    <mergeCell ref="D19:E19"/>
    <mergeCell ref="D20:E20"/>
    <mergeCell ref="D21:E21"/>
    <mergeCell ref="D22:E22"/>
    <mergeCell ref="D23:F23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4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656C-805F-4073-8B8A-36F95E353042}">
  <dimension ref="A1:H20"/>
  <sheetViews>
    <sheetView zoomScale="60" zoomScaleNormal="60" workbookViewId="0">
      <selection activeCell="G15" sqref="G15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8" ht="22.5" customHeight="1" x14ac:dyDescent="0.3">
      <c r="A1" s="43" t="s">
        <v>53</v>
      </c>
      <c r="B1" s="44"/>
      <c r="C1" s="44"/>
      <c r="D1" s="44"/>
      <c r="E1" s="44"/>
      <c r="F1" s="44"/>
      <c r="G1" s="45"/>
    </row>
    <row r="2" spans="1:8" ht="25.2" customHeight="1" x14ac:dyDescent="0.3">
      <c r="A2" s="46" t="s">
        <v>13</v>
      </c>
      <c r="B2" s="47"/>
      <c r="C2" s="3" t="s">
        <v>14</v>
      </c>
      <c r="D2" s="3" t="s">
        <v>15</v>
      </c>
      <c r="E2" s="3" t="s">
        <v>16</v>
      </c>
      <c r="F2" s="48"/>
      <c r="G2" s="49"/>
    </row>
    <row r="3" spans="1:8" ht="30" x14ac:dyDescent="0.3">
      <c r="A3" s="46" t="s">
        <v>17</v>
      </c>
      <c r="B3" s="47"/>
      <c r="C3" s="3" t="s">
        <v>31</v>
      </c>
      <c r="D3" s="46" t="s">
        <v>35</v>
      </c>
      <c r="E3" s="47"/>
      <c r="F3" s="50"/>
      <c r="G3" s="51"/>
      <c r="H3"/>
    </row>
    <row r="4" spans="1:8" ht="22.5" customHeight="1" x14ac:dyDescent="0.3">
      <c r="A4" s="46" t="s">
        <v>18</v>
      </c>
      <c r="B4" s="47"/>
      <c r="C4" s="3" t="s">
        <v>19</v>
      </c>
      <c r="D4" s="46" t="s">
        <v>36</v>
      </c>
      <c r="E4" s="47"/>
      <c r="F4" s="52"/>
      <c r="G4" s="53"/>
      <c r="H4"/>
    </row>
    <row r="5" spans="1:8" ht="30" x14ac:dyDescent="0.3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</row>
    <row r="6" spans="1:8" ht="23.25" customHeight="1" x14ac:dyDescent="0.3">
      <c r="A6" s="22" t="s">
        <v>5</v>
      </c>
      <c r="B6" s="18"/>
      <c r="C6" s="18" t="s">
        <v>6</v>
      </c>
      <c r="D6" s="18"/>
      <c r="E6" s="18"/>
      <c r="F6" s="18"/>
      <c r="G6" s="4">
        <f>SUM(G7:G8)</f>
        <v>0</v>
      </c>
    </row>
    <row r="7" spans="1:8" ht="30" x14ac:dyDescent="0.3">
      <c r="A7" s="16"/>
      <c r="B7" s="27">
        <v>1.1000000000000001</v>
      </c>
      <c r="C7" s="34" t="s">
        <v>32</v>
      </c>
      <c r="D7" s="30" t="s">
        <v>27</v>
      </c>
      <c r="E7" s="17">
        <v>1</v>
      </c>
      <c r="F7" s="5">
        <v>0</v>
      </c>
      <c r="G7" s="6">
        <f>F7*E7</f>
        <v>0</v>
      </c>
    </row>
    <row r="8" spans="1:8" ht="90" x14ac:dyDescent="0.3">
      <c r="A8" s="16"/>
      <c r="B8" s="27">
        <v>1.2</v>
      </c>
      <c r="C8" s="34" t="s">
        <v>33</v>
      </c>
      <c r="D8" s="30" t="s">
        <v>25</v>
      </c>
      <c r="E8" s="17">
        <v>1</v>
      </c>
      <c r="F8" s="5">
        <v>0</v>
      </c>
      <c r="G8" s="6">
        <f t="shared" ref="G8" si="0">F8*E8</f>
        <v>0</v>
      </c>
    </row>
    <row r="9" spans="1:8" ht="21" customHeight="1" x14ac:dyDescent="0.3">
      <c r="A9" s="22">
        <v>3</v>
      </c>
      <c r="B9" s="23"/>
      <c r="C9" s="33" t="s">
        <v>56</v>
      </c>
      <c r="D9" s="18"/>
      <c r="E9" s="18"/>
      <c r="F9" s="18"/>
      <c r="G9" s="4">
        <f>SUM(G10:G11)</f>
        <v>0</v>
      </c>
    </row>
    <row r="10" spans="1:8" ht="19.95" customHeight="1" x14ac:dyDescent="0.3">
      <c r="A10" s="25"/>
      <c r="B10" s="29">
        <v>3.1</v>
      </c>
      <c r="C10" s="34" t="s">
        <v>57</v>
      </c>
      <c r="D10" s="32" t="s">
        <v>2</v>
      </c>
      <c r="E10" s="21">
        <v>29.3</v>
      </c>
      <c r="F10" s="7">
        <v>0</v>
      </c>
      <c r="G10" s="6">
        <f>F10*E10</f>
        <v>0</v>
      </c>
    </row>
    <row r="11" spans="1:8" ht="19.95" customHeight="1" x14ac:dyDescent="0.3">
      <c r="A11" s="25"/>
      <c r="B11" s="29">
        <v>3.2</v>
      </c>
      <c r="C11" s="34" t="s">
        <v>58</v>
      </c>
      <c r="D11" s="32" t="s">
        <v>24</v>
      </c>
      <c r="E11" s="21">
        <v>46.683999999999997</v>
      </c>
      <c r="F11" s="7">
        <v>0</v>
      </c>
      <c r="G11" s="6">
        <f>F11*E11</f>
        <v>0</v>
      </c>
    </row>
    <row r="12" spans="1:8" ht="21" customHeight="1" x14ac:dyDescent="0.3">
      <c r="A12" s="22">
        <v>6</v>
      </c>
      <c r="B12" s="23"/>
      <c r="C12" s="33" t="s">
        <v>30</v>
      </c>
      <c r="D12" s="26"/>
      <c r="E12" s="19"/>
      <c r="F12" s="18"/>
      <c r="G12" s="4">
        <f>SUM(G13:G13)</f>
        <v>200000</v>
      </c>
    </row>
    <row r="13" spans="1:8" ht="21.75" customHeight="1" x14ac:dyDescent="0.3">
      <c r="A13" s="25"/>
      <c r="B13" s="29">
        <v>6.1</v>
      </c>
      <c r="C13" s="34" t="s">
        <v>34</v>
      </c>
      <c r="D13" s="32" t="s">
        <v>27</v>
      </c>
      <c r="E13" s="17">
        <v>1</v>
      </c>
      <c r="F13" s="5">
        <v>200000</v>
      </c>
      <c r="G13" s="6">
        <f>F13*E13</f>
        <v>200000</v>
      </c>
    </row>
    <row r="14" spans="1:8" ht="21.75" customHeight="1" x14ac:dyDescent="0.3">
      <c r="A14" s="8"/>
      <c r="B14" s="9"/>
      <c r="C14" s="9"/>
      <c r="D14" s="54" t="s">
        <v>7</v>
      </c>
      <c r="E14" s="55"/>
      <c r="F14" s="56"/>
      <c r="G14" s="10">
        <f>G6+G9+G12</f>
        <v>200000</v>
      </c>
    </row>
    <row r="15" spans="1:8" ht="21.75" customHeight="1" x14ac:dyDescent="0.3">
      <c r="A15" s="8"/>
      <c r="B15" s="9"/>
      <c r="C15" s="9"/>
      <c r="D15" s="41" t="s">
        <v>8</v>
      </c>
      <c r="E15" s="42"/>
      <c r="F15" s="11">
        <v>0.1</v>
      </c>
      <c r="G15" s="12">
        <f>+$G$14*F15</f>
        <v>20000</v>
      </c>
    </row>
    <row r="16" spans="1:8" ht="21.75" customHeight="1" x14ac:dyDescent="0.3">
      <c r="A16" s="8"/>
      <c r="B16" s="9"/>
      <c r="C16" s="9"/>
      <c r="D16" s="41" t="s">
        <v>9</v>
      </c>
      <c r="E16" s="42"/>
      <c r="F16" s="11">
        <v>0.05</v>
      </c>
      <c r="G16" s="12">
        <f>+$G$14*F16</f>
        <v>10000</v>
      </c>
    </row>
    <row r="17" spans="1:7" ht="21.75" customHeight="1" x14ac:dyDescent="0.3">
      <c r="A17" s="8"/>
      <c r="B17" s="9"/>
      <c r="C17" s="9"/>
      <c r="D17" s="41" t="s">
        <v>10</v>
      </c>
      <c r="E17" s="42"/>
      <c r="F17" s="11">
        <v>0.05</v>
      </c>
      <c r="G17" s="12">
        <f>+$G$14*F17</f>
        <v>10000</v>
      </c>
    </row>
    <row r="18" spans="1:7" ht="21.75" customHeight="1" x14ac:dyDescent="0.3">
      <c r="A18" s="8"/>
      <c r="B18" s="9"/>
      <c r="C18" s="9"/>
      <c r="D18" s="41" t="s">
        <v>3</v>
      </c>
      <c r="E18" s="42"/>
      <c r="F18" s="11">
        <v>0.19</v>
      </c>
      <c r="G18" s="12">
        <f>+G17*F18</f>
        <v>1900</v>
      </c>
    </row>
    <row r="19" spans="1:7" ht="21.75" customHeight="1" x14ac:dyDescent="0.3">
      <c r="A19" s="8"/>
      <c r="B19" s="9"/>
      <c r="C19" s="9"/>
      <c r="D19" s="38" t="s">
        <v>11</v>
      </c>
      <c r="E19" s="39"/>
      <c r="F19" s="40"/>
      <c r="G19" s="13">
        <f>+G15+G16+G17+G18</f>
        <v>41900</v>
      </c>
    </row>
    <row r="20" spans="1:7" ht="15" x14ac:dyDescent="0.3">
      <c r="A20" s="8"/>
      <c r="B20" s="9"/>
      <c r="C20" s="9"/>
      <c r="D20" s="35" t="s">
        <v>12</v>
      </c>
      <c r="E20" s="36"/>
      <c r="F20" s="37"/>
      <c r="G20" s="14">
        <f>+G14+G19</f>
        <v>241900</v>
      </c>
    </row>
  </sheetData>
  <mergeCells count="14">
    <mergeCell ref="A1:G1"/>
    <mergeCell ref="A2:B2"/>
    <mergeCell ref="F2:G4"/>
    <mergeCell ref="A3:B3"/>
    <mergeCell ref="D3:E3"/>
    <mergeCell ref="A4:B4"/>
    <mergeCell ref="D4:E4"/>
    <mergeCell ref="D20:F20"/>
    <mergeCell ref="D14:F14"/>
    <mergeCell ref="D15:E15"/>
    <mergeCell ref="D16:E16"/>
    <mergeCell ref="D17:E17"/>
    <mergeCell ref="D18:E18"/>
    <mergeCell ref="D19:F19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0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FCA9F-4253-4F4A-A3A7-899909FD513B}">
  <dimension ref="A1:H26"/>
  <sheetViews>
    <sheetView zoomScale="60" zoomScaleNormal="60" workbookViewId="0">
      <selection activeCell="F18" sqref="F18"/>
    </sheetView>
  </sheetViews>
  <sheetFormatPr baseColWidth="10" defaultColWidth="12.33203125" defaultRowHeight="13.8" x14ac:dyDescent="0.3"/>
  <cols>
    <col min="1" max="1" width="8.5546875" style="2" customWidth="1"/>
    <col min="2" max="2" width="8.33203125" style="1" customWidth="1"/>
    <col min="3" max="3" width="77.6640625" style="1" customWidth="1"/>
    <col min="4" max="4" width="20.109375" style="1" bestFit="1" customWidth="1"/>
    <col min="5" max="5" width="14.77734375" style="1" bestFit="1" customWidth="1"/>
    <col min="6" max="6" width="15.109375" style="1" bestFit="1" customWidth="1"/>
    <col min="7" max="7" width="18.44140625" style="1" bestFit="1" customWidth="1"/>
    <col min="8" max="8" width="25.5546875" style="1" customWidth="1"/>
    <col min="9" max="16384" width="12.33203125" style="1"/>
  </cols>
  <sheetData>
    <row r="1" spans="1:8" ht="22.5" customHeight="1" x14ac:dyDescent="0.3">
      <c r="A1" s="43" t="s">
        <v>53</v>
      </c>
      <c r="B1" s="44"/>
      <c r="C1" s="44"/>
      <c r="D1" s="44"/>
      <c r="E1" s="44"/>
      <c r="F1" s="44"/>
      <c r="G1" s="45"/>
    </row>
    <row r="2" spans="1:8" ht="25.2" customHeight="1" x14ac:dyDescent="0.3">
      <c r="A2" s="46" t="s">
        <v>13</v>
      </c>
      <c r="B2" s="47"/>
      <c r="C2" s="3" t="s">
        <v>14</v>
      </c>
      <c r="D2" s="3" t="s">
        <v>15</v>
      </c>
      <c r="E2" s="3" t="s">
        <v>16</v>
      </c>
      <c r="F2" s="48"/>
      <c r="G2" s="49"/>
    </row>
    <row r="3" spans="1:8" ht="30" x14ac:dyDescent="0.3">
      <c r="A3" s="46" t="s">
        <v>17</v>
      </c>
      <c r="B3" s="47"/>
      <c r="C3" s="3" t="s">
        <v>31</v>
      </c>
      <c r="D3" s="46" t="s">
        <v>35</v>
      </c>
      <c r="E3" s="47"/>
      <c r="F3" s="50"/>
      <c r="G3" s="51"/>
      <c r="H3"/>
    </row>
    <row r="4" spans="1:8" ht="22.5" customHeight="1" x14ac:dyDescent="0.3">
      <c r="A4" s="46" t="s">
        <v>18</v>
      </c>
      <c r="B4" s="47"/>
      <c r="C4" s="3" t="s">
        <v>19</v>
      </c>
      <c r="D4" s="46" t="s">
        <v>36</v>
      </c>
      <c r="E4" s="47"/>
      <c r="F4" s="52"/>
      <c r="G4" s="53"/>
      <c r="H4"/>
    </row>
    <row r="5" spans="1:8" ht="30" x14ac:dyDescent="0.3">
      <c r="A5" s="15" t="s">
        <v>0</v>
      </c>
      <c r="B5" s="15" t="s">
        <v>1</v>
      </c>
      <c r="C5" s="15" t="s">
        <v>4</v>
      </c>
      <c r="D5" s="15" t="s">
        <v>20</v>
      </c>
      <c r="E5" s="15" t="s">
        <v>21</v>
      </c>
      <c r="F5" s="15" t="s">
        <v>22</v>
      </c>
      <c r="G5" s="15" t="s">
        <v>23</v>
      </c>
      <c r="H5"/>
    </row>
    <row r="6" spans="1:8" ht="23.25" customHeight="1" x14ac:dyDescent="0.3">
      <c r="A6" s="22" t="s">
        <v>5</v>
      </c>
      <c r="B6" s="18"/>
      <c r="C6" s="18" t="s">
        <v>6</v>
      </c>
      <c r="D6" s="18"/>
      <c r="E6" s="18"/>
      <c r="F6" s="18"/>
      <c r="G6" s="4">
        <f>SUM(G7:G8)</f>
        <v>0</v>
      </c>
    </row>
    <row r="7" spans="1:8" ht="30" x14ac:dyDescent="0.3">
      <c r="A7" s="16"/>
      <c r="B7" s="27">
        <v>1.1000000000000001</v>
      </c>
      <c r="C7" s="34" t="s">
        <v>32</v>
      </c>
      <c r="D7" s="30" t="s">
        <v>27</v>
      </c>
      <c r="E7" s="17">
        <v>1</v>
      </c>
      <c r="F7" s="5">
        <v>0</v>
      </c>
      <c r="G7" s="6">
        <f>F7*E7</f>
        <v>0</v>
      </c>
    </row>
    <row r="8" spans="1:8" ht="90" x14ac:dyDescent="0.3">
      <c r="A8" s="16"/>
      <c r="B8" s="27">
        <v>1.2</v>
      </c>
      <c r="C8" s="34" t="s">
        <v>33</v>
      </c>
      <c r="D8" s="30" t="s">
        <v>25</v>
      </c>
      <c r="E8" s="17">
        <v>1</v>
      </c>
      <c r="F8" s="5">
        <v>0</v>
      </c>
      <c r="G8" s="6">
        <f t="shared" ref="G8" si="0">F8*E8</f>
        <v>0</v>
      </c>
    </row>
    <row r="9" spans="1:8" ht="23.25" customHeight="1" x14ac:dyDescent="0.3">
      <c r="A9" s="22">
        <v>2</v>
      </c>
      <c r="B9" s="23"/>
      <c r="C9" s="33" t="s">
        <v>26</v>
      </c>
      <c r="D9" s="18"/>
      <c r="E9" s="19"/>
      <c r="F9" s="18"/>
      <c r="G9" s="4">
        <f>SUM(G10:G14)</f>
        <v>1769139.2</v>
      </c>
    </row>
    <row r="10" spans="1:8" ht="19.95" customHeight="1" x14ac:dyDescent="0.3">
      <c r="A10" s="24"/>
      <c r="B10" s="28">
        <v>2.1</v>
      </c>
      <c r="C10" s="34" t="s">
        <v>38</v>
      </c>
      <c r="D10" s="31" t="s">
        <v>24</v>
      </c>
      <c r="E10" s="20">
        <v>114.36</v>
      </c>
      <c r="F10" s="7">
        <v>3220</v>
      </c>
      <c r="G10" s="6">
        <f>F10*E10</f>
        <v>368239.2</v>
      </c>
    </row>
    <row r="11" spans="1:8" ht="19.95" customHeight="1" x14ac:dyDescent="0.3">
      <c r="A11" s="24"/>
      <c r="B11" s="28">
        <v>2.2000000000000002</v>
      </c>
      <c r="C11" s="34" t="s">
        <v>59</v>
      </c>
      <c r="D11" s="31" t="s">
        <v>24</v>
      </c>
      <c r="E11" s="20">
        <v>243.07</v>
      </c>
      <c r="F11" s="7">
        <v>3000</v>
      </c>
      <c r="G11" s="6">
        <f t="shared" ref="G11:G14" si="1">F11*E11</f>
        <v>729210</v>
      </c>
    </row>
    <row r="12" spans="1:8" ht="19.95" customHeight="1" x14ac:dyDescent="0.3">
      <c r="A12" s="24"/>
      <c r="B12" s="28">
        <v>2.2999999999999998</v>
      </c>
      <c r="C12" s="34" t="s">
        <v>39</v>
      </c>
      <c r="D12" s="31" t="s">
        <v>24</v>
      </c>
      <c r="E12" s="20">
        <v>69.3</v>
      </c>
      <c r="F12" s="7">
        <v>4000</v>
      </c>
      <c r="G12" s="6">
        <f t="shared" si="1"/>
        <v>277200</v>
      </c>
    </row>
    <row r="13" spans="1:8" ht="19.95" customHeight="1" x14ac:dyDescent="0.3">
      <c r="A13" s="24"/>
      <c r="B13" s="28">
        <v>2.4</v>
      </c>
      <c r="C13" s="34" t="s">
        <v>41</v>
      </c>
      <c r="D13" s="31" t="s">
        <v>24</v>
      </c>
      <c r="E13" s="20">
        <v>10.3</v>
      </c>
      <c r="F13" s="7">
        <v>36000</v>
      </c>
      <c r="G13" s="6">
        <f t="shared" si="1"/>
        <v>370800</v>
      </c>
    </row>
    <row r="14" spans="1:8" ht="19.95" customHeight="1" x14ac:dyDescent="0.3">
      <c r="A14" s="24"/>
      <c r="B14" s="28">
        <v>2.5</v>
      </c>
      <c r="C14" s="34" t="s">
        <v>42</v>
      </c>
      <c r="D14" s="31" t="s">
        <v>24</v>
      </c>
      <c r="E14" s="20">
        <v>10.3</v>
      </c>
      <c r="F14" s="7">
        <v>2300</v>
      </c>
      <c r="G14" s="6">
        <f t="shared" si="1"/>
        <v>23690</v>
      </c>
    </row>
    <row r="15" spans="1:8" ht="23.25" customHeight="1" x14ac:dyDescent="0.3">
      <c r="A15" s="22">
        <v>4</v>
      </c>
      <c r="B15" s="23"/>
      <c r="C15" s="33" t="s">
        <v>29</v>
      </c>
      <c r="D15" s="26"/>
      <c r="E15" s="19"/>
      <c r="F15" s="18"/>
      <c r="G15" s="4">
        <f>SUM(G16:G17)</f>
        <v>2591400</v>
      </c>
    </row>
    <row r="16" spans="1:8" ht="19.95" customHeight="1" x14ac:dyDescent="0.3">
      <c r="A16" s="25"/>
      <c r="B16" s="29">
        <v>4.0999999999999996</v>
      </c>
      <c r="C16" s="34" t="s">
        <v>60</v>
      </c>
      <c r="D16" s="32" t="s">
        <v>24</v>
      </c>
      <c r="E16" s="17">
        <v>185.1</v>
      </c>
      <c r="F16" s="5">
        <v>14000</v>
      </c>
      <c r="G16" s="6">
        <f t="shared" ref="G16:G17" si="2">F16*E16</f>
        <v>2591400</v>
      </c>
    </row>
    <row r="17" spans="1:7" ht="19.95" customHeight="1" x14ac:dyDescent="0.3">
      <c r="A17" s="25"/>
      <c r="B17" s="29">
        <v>4.2</v>
      </c>
      <c r="C17" s="34" t="s">
        <v>61</v>
      </c>
      <c r="D17" s="32" t="s">
        <v>24</v>
      </c>
      <c r="E17" s="17">
        <v>60.77</v>
      </c>
      <c r="F17" s="5"/>
      <c r="G17" s="6">
        <f t="shared" si="2"/>
        <v>0</v>
      </c>
    </row>
    <row r="18" spans="1:7" ht="21" customHeight="1" x14ac:dyDescent="0.3">
      <c r="A18" s="22">
        <v>6</v>
      </c>
      <c r="B18" s="23"/>
      <c r="C18" s="33" t="s">
        <v>30</v>
      </c>
      <c r="D18" s="26"/>
      <c r="E18" s="19"/>
      <c r="F18" s="18"/>
      <c r="G18" s="4">
        <f>SUM(G19:G19)</f>
        <v>200000</v>
      </c>
    </row>
    <row r="19" spans="1:7" ht="21.75" customHeight="1" x14ac:dyDescent="0.3">
      <c r="A19" s="25"/>
      <c r="B19" s="29">
        <v>6.1</v>
      </c>
      <c r="C19" s="34" t="s">
        <v>34</v>
      </c>
      <c r="D19" s="32" t="s">
        <v>27</v>
      </c>
      <c r="E19" s="17">
        <v>1</v>
      </c>
      <c r="F19" s="5">
        <v>200000</v>
      </c>
      <c r="G19" s="6">
        <f>F19*E19</f>
        <v>200000</v>
      </c>
    </row>
    <row r="20" spans="1:7" ht="21.75" customHeight="1" x14ac:dyDescent="0.3">
      <c r="A20" s="8"/>
      <c r="B20" s="9"/>
      <c r="C20" s="9"/>
      <c r="D20" s="54" t="s">
        <v>7</v>
      </c>
      <c r="E20" s="55"/>
      <c r="F20" s="56"/>
      <c r="G20" s="10">
        <f>+G18+G15+G9+G6</f>
        <v>4560539.2</v>
      </c>
    </row>
    <row r="21" spans="1:7" ht="21.75" customHeight="1" x14ac:dyDescent="0.3">
      <c r="A21" s="8"/>
      <c r="B21" s="9"/>
      <c r="C21" s="9"/>
      <c r="D21" s="41" t="s">
        <v>8</v>
      </c>
      <c r="E21" s="42"/>
      <c r="F21" s="11">
        <v>0.1</v>
      </c>
      <c r="G21" s="12">
        <f>+$G$20*F21</f>
        <v>456053.92000000004</v>
      </c>
    </row>
    <row r="22" spans="1:7" ht="21.75" customHeight="1" x14ac:dyDescent="0.3">
      <c r="A22" s="8"/>
      <c r="B22" s="9"/>
      <c r="C22" s="9"/>
      <c r="D22" s="41" t="s">
        <v>9</v>
      </c>
      <c r="E22" s="42"/>
      <c r="F22" s="11">
        <v>0.05</v>
      </c>
      <c r="G22" s="12">
        <f>+$G$20*F22</f>
        <v>228026.96000000002</v>
      </c>
    </row>
    <row r="23" spans="1:7" ht="21.75" customHeight="1" x14ac:dyDescent="0.3">
      <c r="A23" s="8"/>
      <c r="B23" s="9"/>
      <c r="C23" s="9"/>
      <c r="D23" s="41" t="s">
        <v>10</v>
      </c>
      <c r="E23" s="42"/>
      <c r="F23" s="11">
        <v>0.05</v>
      </c>
      <c r="G23" s="12">
        <f>+$G$20*F23</f>
        <v>228026.96000000002</v>
      </c>
    </row>
    <row r="24" spans="1:7" ht="21.75" customHeight="1" x14ac:dyDescent="0.3">
      <c r="A24" s="8"/>
      <c r="B24" s="9"/>
      <c r="C24" s="9"/>
      <c r="D24" s="41" t="s">
        <v>3</v>
      </c>
      <c r="E24" s="42"/>
      <c r="F24" s="11">
        <v>0.19</v>
      </c>
      <c r="G24" s="12">
        <f>+G23*F24</f>
        <v>43325.122400000007</v>
      </c>
    </row>
    <row r="25" spans="1:7" ht="21.75" customHeight="1" x14ac:dyDescent="0.3">
      <c r="A25" s="8"/>
      <c r="B25" s="9"/>
      <c r="C25" s="9"/>
      <c r="D25" s="38" t="s">
        <v>11</v>
      </c>
      <c r="E25" s="39"/>
      <c r="F25" s="40"/>
      <c r="G25" s="13">
        <f>+G21+G22+G23+G24</f>
        <v>955432.96240000008</v>
      </c>
    </row>
    <row r="26" spans="1:7" ht="15" x14ac:dyDescent="0.3">
      <c r="A26" s="8"/>
      <c r="B26" s="9"/>
      <c r="C26" s="9"/>
      <c r="D26" s="35" t="s">
        <v>12</v>
      </c>
      <c r="E26" s="36"/>
      <c r="F26" s="37"/>
      <c r="G26" s="14">
        <f>+G20+G25</f>
        <v>5515972.1623999998</v>
      </c>
    </row>
  </sheetData>
  <mergeCells count="14">
    <mergeCell ref="A1:G1"/>
    <mergeCell ref="A2:B2"/>
    <mergeCell ref="F2:G4"/>
    <mergeCell ref="A3:B3"/>
    <mergeCell ref="D3:E3"/>
    <mergeCell ref="A4:B4"/>
    <mergeCell ref="D4:E4"/>
    <mergeCell ref="D26:F26"/>
    <mergeCell ref="D20:F20"/>
    <mergeCell ref="D21:E21"/>
    <mergeCell ref="D22:E22"/>
    <mergeCell ref="D23:E23"/>
    <mergeCell ref="D24:E24"/>
    <mergeCell ref="D25:F25"/>
  </mergeCells>
  <pageMargins left="0.23622047244094491" right="3.937007874015748E-2" top="0.35433070866141736" bottom="0.35433070866141736" header="0.11811023622047245" footer="0.11811023622047245"/>
  <pageSetup scale="69" orientation="portrait" r:id="rId1"/>
  <rowBreaks count="1" manualBreakCount="1">
    <brk id="26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COTIZACIÓN A</vt:lpstr>
      <vt:lpstr>COTIZACIÓN B</vt:lpstr>
      <vt:lpstr>COTIZACIÓN C</vt:lpstr>
      <vt:lpstr>COTIZACIÓN D</vt:lpstr>
      <vt:lpstr>'COTIZACIÓN A'!Área_de_impresión</vt:lpstr>
      <vt:lpstr>'COTIZACIÓN B'!Área_de_impresión</vt:lpstr>
      <vt:lpstr>'COTIZACIÓN C'!Área_de_impresión</vt:lpstr>
      <vt:lpstr>'COTIZACIÓN D'!Área_de_impresión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Andrés Felipe Montoya Osorio</cp:lastModifiedBy>
  <cp:revision/>
  <cp:lastPrinted>2024-09-20T23:06:03Z</cp:lastPrinted>
  <dcterms:created xsi:type="dcterms:W3CDTF">2024-02-08T21:06:52Z</dcterms:created>
  <dcterms:modified xsi:type="dcterms:W3CDTF">2025-03-03T01:18:44Z</dcterms:modified>
  <cp:category/>
  <cp:contentStatus/>
</cp:coreProperties>
</file>