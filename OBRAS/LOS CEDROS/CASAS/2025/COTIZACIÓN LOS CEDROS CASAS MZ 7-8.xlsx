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smontoyaosorio/Documents/TRABAJO/COTIZACIONES/EDITABLES/"/>
    </mc:Choice>
  </mc:AlternateContent>
  <xr:revisionPtr revIDLastSave="0" documentId="13_ncr:1_{EE76628F-5130-034C-9018-D26C0AC0E8FF}" xr6:coauthVersionLast="47" xr6:coauthVersionMax="47" xr10:uidLastSave="{00000000-0000-0000-0000-000000000000}"/>
  <bookViews>
    <workbookView xWindow="0" yWindow="760" windowWidth="29400" windowHeight="16880" activeTab="2" xr2:uid="{00000000-000D-0000-FFFF-FFFF00000000}"/>
  </bookViews>
  <sheets>
    <sheet name="16) LIBANO ESQ." sheetId="23" r:id="rId1"/>
    <sheet name="15) LIBANO 2 PISOS MED." sheetId="22" r:id="rId2"/>
    <sheet name="14) LIBANO 1 PISO MED." sheetId="21" r:id="rId3"/>
    <sheet name="13) LIBANO 1 PISO ESQ." sheetId="20" r:id="rId4"/>
    <sheet name="11) CHIPRE MED. TIPO 1 termo" sheetId="25" r:id="rId5"/>
    <sheet name="11) CHIPRE MED. TIPO 1" sheetId="18" r:id="rId6"/>
    <sheet name="LISTADO DE CASAS" sheetId="24" r:id="rId7"/>
  </sheets>
  <definedNames>
    <definedName name="_xlnm.Print_Area" localSheetId="5">'11) CHIPRE MED. TIPO 1'!$A$1:$G$25</definedName>
    <definedName name="_xlnm.Print_Area" localSheetId="4">'11) CHIPRE MED. TIPO 1 termo'!$A$1:$G$25</definedName>
    <definedName name="_xlnm.Print_Area" localSheetId="3">'13) LIBANO 1 PISO ESQ.'!$A$1:$G$25</definedName>
    <definedName name="_xlnm.Print_Area" localSheetId="2">'14) LIBANO 1 PISO MED.'!$A$1:$G$26</definedName>
    <definedName name="_xlnm.Print_Area" localSheetId="1">'15) LIBANO 2 PISOS MED.'!$A$1:$G$25</definedName>
    <definedName name="_xlnm.Print_Area" localSheetId="0">'16) LIBANO ESQ.'!$A$1:$G$25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21" l="1"/>
  <c r="G9" i="21" s="1"/>
  <c r="G18" i="25" l="1"/>
  <c r="G17" i="25"/>
  <c r="G16" i="25"/>
  <c r="G15" i="25" s="1"/>
  <c r="G14" i="25"/>
  <c r="G13" i="25"/>
  <c r="G12" i="25"/>
  <c r="G11" i="25"/>
  <c r="G10" i="25"/>
  <c r="G6" i="25"/>
  <c r="P10" i="24"/>
  <c r="G9" i="25" l="1"/>
  <c r="G19" i="25"/>
  <c r="G22" i="25" s="1"/>
  <c r="G23" i="25" s="1"/>
  <c r="K12" i="24"/>
  <c r="H17" i="24"/>
  <c r="K17" i="24" s="1"/>
  <c r="H16" i="24"/>
  <c r="K16" i="24" s="1"/>
  <c r="H15" i="24"/>
  <c r="K15" i="24" s="1"/>
  <c r="H14" i="24"/>
  <c r="K14" i="24" s="1"/>
  <c r="H13" i="24"/>
  <c r="K13" i="24" s="1"/>
  <c r="H12" i="24"/>
  <c r="H11" i="24"/>
  <c r="K11" i="24" s="1"/>
  <c r="H10" i="24"/>
  <c r="K10" i="24" s="1"/>
  <c r="H9" i="24"/>
  <c r="K9" i="24" s="1"/>
  <c r="H8" i="24"/>
  <c r="K8" i="24" s="1"/>
  <c r="H7" i="24"/>
  <c r="K7" i="24" s="1"/>
  <c r="H6" i="24"/>
  <c r="K6" i="24" s="1"/>
  <c r="H5" i="24"/>
  <c r="K5" i="24" s="1"/>
  <c r="H4" i="24"/>
  <c r="K4" i="24" s="1"/>
  <c r="H3" i="24"/>
  <c r="K3" i="24" s="1"/>
  <c r="K2" i="24"/>
  <c r="G17" i="24"/>
  <c r="J17" i="24" s="1"/>
  <c r="G16" i="24"/>
  <c r="J16" i="24" s="1"/>
  <c r="G15" i="24"/>
  <c r="J15" i="24" s="1"/>
  <c r="G14" i="24"/>
  <c r="J14" i="24" s="1"/>
  <c r="G13" i="24"/>
  <c r="J13" i="24" s="1"/>
  <c r="G12" i="24"/>
  <c r="J12" i="24" s="1"/>
  <c r="G11" i="24"/>
  <c r="J11" i="24" s="1"/>
  <c r="G10" i="24"/>
  <c r="J10" i="24" s="1"/>
  <c r="G9" i="24"/>
  <c r="J9" i="24" s="1"/>
  <c r="G8" i="24"/>
  <c r="J8" i="24" s="1"/>
  <c r="G7" i="24"/>
  <c r="J7" i="24" s="1"/>
  <c r="G6" i="24"/>
  <c r="J6" i="24" s="1"/>
  <c r="G5" i="24"/>
  <c r="J5" i="24" s="1"/>
  <c r="G4" i="24"/>
  <c r="J4" i="24" s="1"/>
  <c r="G3" i="24"/>
  <c r="J3" i="24" s="1"/>
  <c r="J2" i="24"/>
  <c r="C18" i="24"/>
  <c r="G20" i="25" l="1"/>
  <c r="G21" i="25"/>
  <c r="K18" i="24"/>
  <c r="P14" i="24" s="1"/>
  <c r="J18" i="24"/>
  <c r="G18" i="23"/>
  <c r="G17" i="23"/>
  <c r="G16" i="23"/>
  <c r="G15" i="23" s="1"/>
  <c r="G14" i="23"/>
  <c r="G13" i="23"/>
  <c r="G12" i="23"/>
  <c r="G11" i="23"/>
  <c r="G10" i="23"/>
  <c r="G6" i="23"/>
  <c r="G18" i="22"/>
  <c r="G17" i="22"/>
  <c r="G16" i="22"/>
  <c r="G15" i="22" s="1"/>
  <c r="G14" i="22"/>
  <c r="G13" i="22"/>
  <c r="G12" i="22"/>
  <c r="G11" i="22"/>
  <c r="G10" i="22"/>
  <c r="G6" i="22"/>
  <c r="G19" i="21"/>
  <c r="G18" i="21" s="1"/>
  <c r="G17" i="21"/>
  <c r="G16" i="21" s="1"/>
  <c r="G14" i="21"/>
  <c r="G13" i="21"/>
  <c r="G12" i="21"/>
  <c r="G11" i="21"/>
  <c r="G10" i="21"/>
  <c r="G6" i="21"/>
  <c r="G18" i="20"/>
  <c r="G17" i="20"/>
  <c r="G16" i="20"/>
  <c r="G15" i="20" s="1"/>
  <c r="G14" i="20"/>
  <c r="G13" i="20"/>
  <c r="G12" i="20"/>
  <c r="G11" i="20"/>
  <c r="G10" i="20"/>
  <c r="G6" i="20"/>
  <c r="G16" i="18"/>
  <c r="G15" i="18" s="1"/>
  <c r="G9" i="23" l="1"/>
  <c r="G19" i="23" s="1"/>
  <c r="G22" i="23" s="1"/>
  <c r="G23" i="23" s="1"/>
  <c r="G24" i="25"/>
  <c r="G25" i="25" s="1"/>
  <c r="G9" i="22"/>
  <c r="G19" i="22" s="1"/>
  <c r="G22" i="22" s="1"/>
  <c r="G23" i="22" s="1"/>
  <c r="G20" i="21"/>
  <c r="G21" i="21" s="1"/>
  <c r="G9" i="20"/>
  <c r="G19" i="20" s="1"/>
  <c r="G18" i="18"/>
  <c r="G17" i="18" s="1"/>
  <c r="G14" i="18"/>
  <c r="G13" i="18"/>
  <c r="G12" i="18"/>
  <c r="G11" i="18"/>
  <c r="G10" i="18"/>
  <c r="G6" i="18"/>
  <c r="G21" i="20" l="1"/>
  <c r="G21" i="23"/>
  <c r="G20" i="23"/>
  <c r="G21" i="22"/>
  <c r="G20" i="22"/>
  <c r="G22" i="21"/>
  <c r="G23" i="21"/>
  <c r="G24" i="21" s="1"/>
  <c r="G20" i="20"/>
  <c r="G22" i="20"/>
  <c r="G23" i="20" s="1"/>
  <c r="G9" i="18"/>
  <c r="G24" i="22" l="1"/>
  <c r="G25" i="22" s="1"/>
  <c r="D16" i="24" s="1"/>
  <c r="E16" i="24" s="1"/>
  <c r="G19" i="18"/>
  <c r="G21" i="18" s="1"/>
  <c r="G24" i="23"/>
  <c r="G25" i="23" s="1"/>
  <c r="D17" i="24" s="1"/>
  <c r="E17" i="24" s="1"/>
  <c r="G25" i="21"/>
  <c r="G26" i="21" s="1"/>
  <c r="D15" i="24" s="1"/>
  <c r="E15" i="24" s="1"/>
  <c r="G24" i="20"/>
  <c r="G25" i="20" s="1"/>
  <c r="D14" i="24" s="1"/>
  <c r="E14" i="24" s="1"/>
  <c r="D13" i="24"/>
  <c r="E13" i="24" s="1"/>
  <c r="D6" i="24" l="1"/>
  <c r="E6" i="24" s="1"/>
  <c r="G20" i="18"/>
  <c r="G22" i="18"/>
  <c r="G23" i="18" s="1"/>
  <c r="D8" i="24"/>
  <c r="E8" i="24" s="1"/>
  <c r="D9" i="24"/>
  <c r="E9" i="24" s="1"/>
  <c r="D4" i="24"/>
  <c r="E4" i="24" s="1"/>
  <c r="D11" i="24"/>
  <c r="E11" i="24" s="1"/>
  <c r="D10" i="24"/>
  <c r="E10" i="24" s="1"/>
  <c r="D7" i="24"/>
  <c r="E7" i="24" s="1"/>
  <c r="D5" i="24"/>
  <c r="E5" i="24" s="1"/>
  <c r="D3" i="24"/>
  <c r="E3" i="24" s="1"/>
  <c r="D2" i="24"/>
  <c r="E2" i="24" s="1"/>
  <c r="G24" i="18" l="1"/>
  <c r="G25" i="18" s="1"/>
  <c r="D12" i="24" s="1"/>
  <c r="E12" i="24" s="1"/>
  <c r="E18" i="24"/>
  <c r="E20" i="24" s="1"/>
</calcChain>
</file>

<file path=xl/sharedStrings.xml><?xml version="1.0" encoding="utf-8"?>
<sst xmlns="http://schemas.openxmlformats.org/spreadsheetml/2006/main" count="382" uniqueCount="96">
  <si>
    <t>CAPT</t>
  </si>
  <si>
    <t>ITEMS</t>
  </si>
  <si>
    <t>ML</t>
  </si>
  <si>
    <t>IVA/U</t>
  </si>
  <si>
    <t>DESCRIPCION</t>
  </si>
  <si>
    <t>1.0</t>
  </si>
  <si>
    <t>PRELIMINARES</t>
  </si>
  <si>
    <t>TOTALES DIRECTOS</t>
  </si>
  <si>
    <t>Administracion</t>
  </si>
  <si>
    <t>Imprevistos</t>
  </si>
  <si>
    <t>Utilidad</t>
  </si>
  <si>
    <t>TOTAL INDIRECTOS</t>
  </si>
  <si>
    <t>TOTAL PROPUESTA</t>
  </si>
  <si>
    <t>DIRECCION:</t>
  </si>
  <si>
    <t>CALLE 3 NORTE # 18-49 LOCAL 2</t>
  </si>
  <si>
    <t>CODIGO: FH-F-02</t>
  </si>
  <si>
    <t xml:space="preserve"> VERSIÓN: 01</t>
  </si>
  <si>
    <t>CORREO:</t>
  </si>
  <si>
    <t>TELEFONO:</t>
  </si>
  <si>
    <t>+57 310 461 7353</t>
  </si>
  <si>
    <t>UNIDAD</t>
  </si>
  <si>
    <t>CANTIDAD</t>
  </si>
  <si>
    <t>VR UNITARIO</t>
  </si>
  <si>
    <t>VALOR DIRECTO ACTIVIDAD</t>
  </si>
  <si>
    <t>GLB</t>
  </si>
  <si>
    <t>UND</t>
  </si>
  <si>
    <t>TERMINADO Y LIMPIEZA</t>
  </si>
  <si>
    <t xml:space="preserve">Admin@fresh-house.co
Rensomontoya@fresh-house.co                                                                                                                 </t>
  </si>
  <si>
    <t>Construcción de campamento provisional de obra y bodega para los trabajadores | deposito seguro de los materiales en obra</t>
  </si>
  <si>
    <t>Instalación y demarcación de con avisos y señalética necesaria como: salidas vehiculares y peatonales | colocación de señales de precaución caída de objetos, transite con cuidado, instalación de conos y colombinas para demarcar senderos peatonales etc.… toda la implementación del sistema de gestión para la prevención de riesgos laborales</t>
  </si>
  <si>
    <t>Aseo general y retiro de pintura.</t>
  </si>
  <si>
    <t>Limpieza de fachada en piedra. Incluye la aplicación de hidrofugo Siliconite de Pintuco o similar</t>
  </si>
  <si>
    <t>INCLUIDO</t>
  </si>
  <si>
    <t>FACHADAS Y COMPLEMENTARIOS</t>
  </si>
  <si>
    <t xml:space="preserve">  FECHA: 01/07/2025</t>
  </si>
  <si>
    <t xml:space="preserve">  VALIDO HASTA: 01/10/2025</t>
  </si>
  <si>
    <t>COTIZACIÓN OBRA - LOS CEDROS (CASAS)</t>
  </si>
  <si>
    <t>2.1</t>
  </si>
  <si>
    <t>2.2</t>
  </si>
  <si>
    <t>2.3</t>
  </si>
  <si>
    <t>2.4</t>
  </si>
  <si>
    <t>2.5</t>
  </si>
  <si>
    <t>3.1</t>
  </si>
  <si>
    <t>CUBIERTA</t>
  </si>
  <si>
    <t>4.1</t>
  </si>
  <si>
    <t>Mantenimiento general de cubierta, revisión de anclajes, sellos, flanches, etc</t>
  </si>
  <si>
    <t>M2</t>
  </si>
  <si>
    <t>Pintura en fachadas exteriores (Koraza o similar). A dos manos respetando ficha tecnica de fabricante</t>
  </si>
  <si>
    <t>Limpieza y sello con sellante tipo hibrido Multibond de la marca Soudal, alrededor de ventanas de fachada</t>
  </si>
  <si>
    <t>Limpieza de fachadas y desprendimiento de material desprendido</t>
  </si>
  <si>
    <t>Restauración y revoque de fachadas con graniplast antihongos o similar</t>
  </si>
  <si>
    <t>HIMALAYA ESQ. TIPO 1</t>
  </si>
  <si>
    <t>HIMALAYA ESQ. TIPO 2</t>
  </si>
  <si>
    <t>HIMALAYA ESQ. TIPO 3 ESP</t>
  </si>
  <si>
    <t>HIMALAYA ESQ. TIPO 4</t>
  </si>
  <si>
    <t>HIMALAYA MED. TIPO 1</t>
  </si>
  <si>
    <t>HIMALAYA MED. TIPO 2</t>
  </si>
  <si>
    <t>ATLAS ESQ. TIPO 1</t>
  </si>
  <si>
    <t>ATLAS ESQ. TIPO 2</t>
  </si>
  <si>
    <t>ATLAS MED. TIPO 1</t>
  </si>
  <si>
    <t>CHIPRE ESQ. TIPO 1</t>
  </si>
  <si>
    <t>CHIPRE MED. TIPO 1</t>
  </si>
  <si>
    <t>HIMALAYA CAMPESTRE</t>
  </si>
  <si>
    <t>LIBANO 1 PISO ESQ.</t>
  </si>
  <si>
    <t>LIBANO 1 PISO MED.</t>
  </si>
  <si>
    <t>LIBANO 2 PISOS MED.</t>
  </si>
  <si>
    <t>LIBANO ESQ.</t>
  </si>
  <si>
    <t>TIPO DE CASA</t>
  </si>
  <si>
    <t>VALOR UNITARIO</t>
  </si>
  <si>
    <t>TOTAL</t>
  </si>
  <si>
    <t>PROMEDIO POR CASA</t>
  </si>
  <si>
    <t>AREA CUBIERTA</t>
  </si>
  <si>
    <t>AREA FACHADA</t>
  </si>
  <si>
    <t>AREA CUBIERTA TOTAL</t>
  </si>
  <si>
    <t>AREA FACHADA TOTAL</t>
  </si>
  <si>
    <t>= 25% VENTANAS</t>
  </si>
  <si>
    <t>AREAS PLANOS</t>
  </si>
  <si>
    <t>MZ 1</t>
  </si>
  <si>
    <t>MZ 2</t>
  </si>
  <si>
    <t>MZ 3</t>
  </si>
  <si>
    <t>MZ 4</t>
  </si>
  <si>
    <t>MZ 5</t>
  </si>
  <si>
    <t>MZ 6</t>
  </si>
  <si>
    <t>MZ 7</t>
  </si>
  <si>
    <t>MZ 8</t>
  </si>
  <si>
    <t>Mantenimiento general de cubierta, revisión de anclajes, sellos, flanches, etc | Suministro y aplicación de Pintucofill 7 de Pintuco</t>
  </si>
  <si>
    <t>Pintura en fachadas exteriores Koraza Pro 550. A dos manos respetando ficha tecnica de fabricante</t>
  </si>
  <si>
    <t>Limpieza de fachadas y desprendimiento de material desprendido, Eliminación de hongos con aplicación de hipoclorito al 10%</t>
  </si>
  <si>
    <t>en color</t>
  </si>
  <si>
    <t>92000 pintada</t>
  </si>
  <si>
    <t>Gerencia@freshouse.com.co</t>
  </si>
  <si>
    <t>Calle 19 Norte 18-64 Ed. Atlantis piso 3 local 7</t>
  </si>
  <si>
    <t xml:space="preserve">  FECHA: 24/09/2025</t>
  </si>
  <si>
    <t xml:space="preserve">  VALIDO HASTA: 24/12/2025</t>
  </si>
  <si>
    <t>2.6</t>
  </si>
  <si>
    <t>Reparaciones internas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</si>
</sst>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sz val="12"/>
      <color rgb="FFFF0000"/>
      <name val="Century Gothic"/>
      <family val="2"/>
    </font>
    <font>
      <b/>
      <sz val="16"/>
      <color theme="1"/>
      <name val="Century Gothic"/>
      <family val="2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505050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left" vertical="center" wrapText="1"/>
    </xf>
    <xf numFmtId="164" fontId="4" fillId="0" borderId="6" xfId="0" applyNumberFormat="1" applyFont="1" applyBorder="1" applyAlignment="1">
      <alignment horizontal="left" vertical="center" wrapText="1"/>
    </xf>
    <xf numFmtId="164" fontId="4" fillId="0" borderId="3" xfId="0" applyNumberFormat="1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9" fontId="4" fillId="0" borderId="6" xfId="3" applyFont="1" applyFill="1" applyBorder="1" applyAlignment="1">
      <alignment horizontal="center" vertical="center"/>
    </xf>
    <xf numFmtId="164" fontId="4" fillId="0" borderId="3" xfId="2" applyNumberFormat="1" applyFont="1" applyFill="1" applyBorder="1" applyAlignment="1">
      <alignment vertical="center"/>
    </xf>
    <xf numFmtId="164" fontId="2" fillId="3" borderId="3" xfId="0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43" fontId="4" fillId="0" borderId="6" xfId="1" applyFont="1" applyFill="1" applyBorder="1" applyAlignment="1">
      <alignment vertical="center" wrapText="1"/>
    </xf>
    <xf numFmtId="0" fontId="2" fillId="2" borderId="14" xfId="0" applyFont="1" applyFill="1" applyBorder="1" applyAlignment="1">
      <alignment vertical="center" wrapText="1"/>
    </xf>
    <xf numFmtId="43" fontId="2" fillId="2" borderId="14" xfId="0" applyNumberFormat="1" applyFont="1" applyFill="1" applyBorder="1" applyAlignment="1">
      <alignment vertical="center" wrapText="1"/>
    </xf>
    <xf numFmtId="43" fontId="4" fillId="0" borderId="1" xfId="1" applyFont="1" applyFill="1" applyBorder="1" applyAlignment="1">
      <alignment vertical="center" wrapText="1"/>
    </xf>
    <xf numFmtId="165" fontId="2" fillId="2" borderId="13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164" fontId="7" fillId="5" borderId="6" xfId="0" applyNumberFormat="1" applyFont="1" applyFill="1" applyBorder="1" applyAlignment="1">
      <alignment horizontal="center" vertical="center" wrapText="1"/>
    </xf>
    <xf numFmtId="165" fontId="2" fillId="2" borderId="21" xfId="0" applyNumberFormat="1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vertical="center" wrapText="1"/>
    </xf>
    <xf numFmtId="43" fontId="2" fillId="2" borderId="0" xfId="0" applyNumberFormat="1" applyFont="1" applyFill="1" applyAlignment="1">
      <alignment vertical="center" wrapText="1"/>
    </xf>
    <xf numFmtId="0" fontId="9" fillId="0" borderId="0" xfId="0" applyFont="1" applyAlignment="1">
      <alignment vertical="center"/>
    </xf>
    <xf numFmtId="164" fontId="2" fillId="2" borderId="1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164" fontId="2" fillId="2" borderId="4" xfId="0" applyNumberFormat="1" applyFont="1" applyFill="1" applyBorder="1" applyAlignment="1">
      <alignment vertical="center"/>
    </xf>
    <xf numFmtId="164" fontId="2" fillId="2" borderId="3" xfId="0" applyNumberFormat="1" applyFont="1" applyFill="1" applyBorder="1" applyAlignment="1">
      <alignment vertical="center"/>
    </xf>
    <xf numFmtId="0" fontId="0" fillId="0" borderId="6" xfId="0" applyBorder="1" applyAlignment="1">
      <alignment horizontal="center"/>
    </xf>
    <xf numFmtId="164" fontId="0" fillId="0" borderId="6" xfId="2" applyNumberFormat="1" applyFont="1" applyBorder="1"/>
    <xf numFmtId="164" fontId="0" fillId="6" borderId="6" xfId="0" applyNumberFormat="1" applyFill="1" applyBorder="1"/>
    <xf numFmtId="0" fontId="0" fillId="6" borderId="6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/>
    <xf numFmtId="164" fontId="0" fillId="0" borderId="8" xfId="0" applyNumberFormat="1" applyBorder="1"/>
    <xf numFmtId="164" fontId="0" fillId="7" borderId="6" xfId="2" applyNumberFormat="1" applyFont="1" applyFill="1" applyBorder="1"/>
    <xf numFmtId="0" fontId="0" fillId="7" borderId="6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0" xfId="0" applyFill="1" applyAlignment="1">
      <alignment horizontal="center"/>
    </xf>
    <xf numFmtId="43" fontId="0" fillId="0" borderId="0" xfId="0" applyNumberFormat="1"/>
    <xf numFmtId="0" fontId="0" fillId="0" borderId="0" xfId="0" applyAlignment="1">
      <alignment horizontal="center"/>
    </xf>
    <xf numFmtId="0" fontId="12" fillId="0" borderId="0" xfId="0" applyFont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 wrapText="1"/>
    </xf>
    <xf numFmtId="0" fontId="2" fillId="2" borderId="24" xfId="0" applyFont="1" applyFill="1" applyBorder="1" applyAlignment="1">
      <alignment horizontal="left" vertical="center" wrapText="1"/>
    </xf>
    <xf numFmtId="43" fontId="2" fillId="2" borderId="7" xfId="1" applyFont="1" applyFill="1" applyBorder="1" applyAlignment="1">
      <alignment horizontal="center" vertical="center"/>
    </xf>
    <xf numFmtId="43" fontId="2" fillId="2" borderId="9" xfId="1" applyFont="1" applyFill="1" applyBorder="1" applyAlignment="1">
      <alignment horizontal="center" vertical="center"/>
    </xf>
    <xf numFmtId="43" fontId="2" fillId="2" borderId="8" xfId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277128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E4CABC0-C88A-44D7-81F8-78BC27108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354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67FAD2-1E41-4667-9BAC-F526E0D4C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354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114301</xdr:colOff>
      <xdr:row>1</xdr:row>
      <xdr:rowOff>241300</xdr:rowOff>
    </xdr:from>
    <xdr:to>
      <xdr:col>6</xdr:col>
      <xdr:colOff>1175947</xdr:colOff>
      <xdr:row>3</xdr:row>
      <xdr:rowOff>292100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2512BD-8A3C-4F6F-8A38-E7814D5D9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1101" y="520700"/>
          <a:ext cx="2090346" cy="863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06B3BC8-993E-439D-9AE0-C14237D5E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354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4B73173-DB53-41A0-BF26-C063CC7E9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354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BAE360B-79E8-429F-A7A1-4C609162A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E3999-6ACC-4FE4-AEF3-7BF209DA3EAB}">
  <dimension ref="A1:H25"/>
  <sheetViews>
    <sheetView zoomScale="66" zoomScaleNormal="66" workbookViewId="0">
      <selection activeCell="D3" sqref="D3:E4"/>
    </sheetView>
  </sheetViews>
  <sheetFormatPr baseColWidth="10" defaultColWidth="12.33203125" defaultRowHeight="14" x14ac:dyDescent="0.2"/>
  <cols>
    <col min="1" max="1" width="7.6640625" style="2" customWidth="1"/>
    <col min="2" max="2" width="8.33203125" style="1" customWidth="1"/>
    <col min="3" max="3" width="74" style="1" customWidth="1"/>
    <col min="4" max="4" width="11.1640625" style="1" customWidth="1"/>
    <col min="5" max="5" width="12.83203125" style="1" customWidth="1"/>
    <col min="6" max="6" width="13.5" style="1" customWidth="1"/>
    <col min="7" max="7" width="17.1640625" style="1" customWidth="1"/>
    <col min="8" max="8" width="25.5" style="1" customWidth="1"/>
    <col min="9" max="16384" width="12.33203125" style="1"/>
  </cols>
  <sheetData>
    <row r="1" spans="1:8" s="35" customFormat="1" ht="22.5" customHeight="1" x14ac:dyDescent="0.2">
      <c r="A1" s="71" t="s">
        <v>36</v>
      </c>
      <c r="B1" s="72"/>
      <c r="C1" s="72"/>
      <c r="D1" s="72"/>
      <c r="E1" s="72"/>
      <c r="F1" s="72"/>
      <c r="G1" s="73"/>
    </row>
    <row r="2" spans="1:8" ht="34" x14ac:dyDescent="0.2">
      <c r="A2" s="74" t="s">
        <v>13</v>
      </c>
      <c r="B2" s="75"/>
      <c r="C2" s="3" t="s">
        <v>91</v>
      </c>
      <c r="D2" s="3" t="s">
        <v>15</v>
      </c>
      <c r="E2" s="3" t="s">
        <v>16</v>
      </c>
      <c r="F2" s="76"/>
      <c r="G2" s="77"/>
    </row>
    <row r="3" spans="1:8" ht="16" x14ac:dyDescent="0.2">
      <c r="A3" s="74" t="s">
        <v>17</v>
      </c>
      <c r="B3" s="75"/>
      <c r="C3" s="56" t="s">
        <v>90</v>
      </c>
      <c r="D3" s="74" t="s">
        <v>92</v>
      </c>
      <c r="E3" s="75"/>
      <c r="F3" s="78"/>
      <c r="G3" s="79"/>
      <c r="H3"/>
    </row>
    <row r="4" spans="1:8" ht="40.5" customHeight="1" x14ac:dyDescent="0.2">
      <c r="A4" s="74" t="s">
        <v>18</v>
      </c>
      <c r="B4" s="75"/>
      <c r="C4" s="3" t="s">
        <v>19</v>
      </c>
      <c r="D4" s="74" t="s">
        <v>93</v>
      </c>
      <c r="E4" s="75"/>
      <c r="F4" s="80"/>
      <c r="G4" s="81"/>
      <c r="H4"/>
    </row>
    <row r="5" spans="1:8" ht="34" x14ac:dyDescent="0.2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2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2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2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2">
      <c r="A9" s="32">
        <v>2</v>
      </c>
      <c r="B9" s="22"/>
      <c r="C9" s="33" t="s">
        <v>33</v>
      </c>
      <c r="D9" s="22"/>
      <c r="E9" s="34"/>
      <c r="F9" s="22"/>
      <c r="G9" s="36">
        <f>SUM(G10:G14)</f>
        <v>5935112.5</v>
      </c>
    </row>
    <row r="10" spans="1:8" ht="21.5" customHeight="1" x14ac:dyDescent="0.2">
      <c r="A10" s="20"/>
      <c r="B10" s="24" t="s">
        <v>37</v>
      </c>
      <c r="C10" s="30" t="s">
        <v>49</v>
      </c>
      <c r="D10" s="27" t="s">
        <v>46</v>
      </c>
      <c r="E10" s="18">
        <v>237.25</v>
      </c>
      <c r="F10" s="7">
        <v>4100</v>
      </c>
      <c r="G10" s="6">
        <f>F10*E10</f>
        <v>972725</v>
      </c>
    </row>
    <row r="11" spans="1:8" ht="17" x14ac:dyDescent="0.2">
      <c r="A11" s="20"/>
      <c r="B11" s="24" t="s">
        <v>38</v>
      </c>
      <c r="C11" s="30" t="s">
        <v>50</v>
      </c>
      <c r="D11" s="27" t="s">
        <v>46</v>
      </c>
      <c r="E11" s="18">
        <v>8.7249999999999996</v>
      </c>
      <c r="F11" s="7">
        <v>42000</v>
      </c>
      <c r="G11" s="6">
        <f t="shared" ref="G11:G14" si="0">F11*E11</f>
        <v>366450</v>
      </c>
    </row>
    <row r="12" spans="1:8" ht="34" x14ac:dyDescent="0.2">
      <c r="A12" s="20"/>
      <c r="B12" s="24" t="s">
        <v>39</v>
      </c>
      <c r="C12" s="30" t="s">
        <v>48</v>
      </c>
      <c r="D12" s="27" t="s">
        <v>2</v>
      </c>
      <c r="E12" s="18">
        <v>70</v>
      </c>
      <c r="F12" s="7">
        <v>7200</v>
      </c>
      <c r="G12" s="6">
        <f t="shared" si="0"/>
        <v>504000</v>
      </c>
    </row>
    <row r="13" spans="1:8" ht="40.75" customHeight="1" x14ac:dyDescent="0.2">
      <c r="A13" s="20"/>
      <c r="B13" s="24" t="s">
        <v>40</v>
      </c>
      <c r="C13" s="30" t="s">
        <v>47</v>
      </c>
      <c r="D13" s="27" t="s">
        <v>46</v>
      </c>
      <c r="E13" s="18">
        <v>171.25</v>
      </c>
      <c r="F13" s="7">
        <v>22750</v>
      </c>
      <c r="G13" s="6">
        <f t="shared" si="0"/>
        <v>3895937.5</v>
      </c>
    </row>
    <row r="14" spans="1:8" ht="36" customHeight="1" x14ac:dyDescent="0.2">
      <c r="A14" s="20"/>
      <c r="B14" s="24" t="s">
        <v>41</v>
      </c>
      <c r="C14" s="30" t="s">
        <v>31</v>
      </c>
      <c r="D14" s="27" t="s">
        <v>46</v>
      </c>
      <c r="E14" s="18">
        <v>12.25</v>
      </c>
      <c r="F14" s="7">
        <v>16000</v>
      </c>
      <c r="G14" s="6">
        <f t="shared" si="0"/>
        <v>196000</v>
      </c>
    </row>
    <row r="15" spans="1:8" ht="36" customHeight="1" x14ac:dyDescent="0.2">
      <c r="A15" s="19">
        <v>3</v>
      </c>
      <c r="B15" s="22"/>
      <c r="C15" s="63" t="s">
        <v>43</v>
      </c>
      <c r="D15" s="64"/>
      <c r="E15" s="64"/>
      <c r="F15" s="65"/>
      <c r="G15" s="36">
        <f>SUM(G16:G16)</f>
        <v>3095180</v>
      </c>
    </row>
    <row r="16" spans="1:8" ht="36" customHeight="1" x14ac:dyDescent="0.2">
      <c r="A16" s="21"/>
      <c r="B16" s="25" t="s">
        <v>42</v>
      </c>
      <c r="C16" s="30" t="s">
        <v>45</v>
      </c>
      <c r="D16" s="28" t="s">
        <v>46</v>
      </c>
      <c r="E16" s="15">
        <v>127.9</v>
      </c>
      <c r="F16" s="5">
        <v>24200</v>
      </c>
      <c r="G16" s="6">
        <f>F16*E16</f>
        <v>3095180</v>
      </c>
    </row>
    <row r="17" spans="1:7" s="37" customFormat="1" ht="21" customHeight="1" x14ac:dyDescent="0.2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2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2">
      <c r="A19" s="8"/>
      <c r="B19" s="9"/>
      <c r="C19" s="9"/>
      <c r="D19" s="66" t="s">
        <v>7</v>
      </c>
      <c r="E19" s="67"/>
      <c r="F19" s="68"/>
      <c r="G19" s="38">
        <f>+G9+G17+G15</f>
        <v>9130292.5</v>
      </c>
    </row>
    <row r="20" spans="1:7" ht="21.75" customHeight="1" x14ac:dyDescent="0.2">
      <c r="A20" s="8"/>
      <c r="B20" s="9"/>
      <c r="C20" s="9"/>
      <c r="D20" s="69" t="s">
        <v>8</v>
      </c>
      <c r="E20" s="70"/>
      <c r="F20" s="10">
        <v>0.08</v>
      </c>
      <c r="G20" s="11">
        <f>+$G$19*F20</f>
        <v>730423.4</v>
      </c>
    </row>
    <row r="21" spans="1:7" ht="21.75" customHeight="1" x14ac:dyDescent="0.2">
      <c r="A21" s="8"/>
      <c r="B21" s="9"/>
      <c r="C21" s="9"/>
      <c r="D21" s="69" t="s">
        <v>9</v>
      </c>
      <c r="E21" s="70"/>
      <c r="F21" s="10">
        <v>0.05</v>
      </c>
      <c r="G21" s="11">
        <f>+$G$19*F21</f>
        <v>456514.625</v>
      </c>
    </row>
    <row r="22" spans="1:7" ht="21.75" customHeight="1" x14ac:dyDescent="0.2">
      <c r="A22" s="8"/>
      <c r="B22" s="9"/>
      <c r="C22" s="9"/>
      <c r="D22" s="69" t="s">
        <v>10</v>
      </c>
      <c r="E22" s="70"/>
      <c r="F22" s="10">
        <v>0.05</v>
      </c>
      <c r="G22" s="11">
        <f>+$G$19*F22</f>
        <v>456514.625</v>
      </c>
    </row>
    <row r="23" spans="1:7" ht="21.75" customHeight="1" x14ac:dyDescent="0.2">
      <c r="A23" s="8"/>
      <c r="B23" s="9"/>
      <c r="C23" s="9"/>
      <c r="D23" s="69" t="s">
        <v>3</v>
      </c>
      <c r="E23" s="70"/>
      <c r="F23" s="10">
        <v>0.19</v>
      </c>
      <c r="G23" s="11">
        <f>+G22*F23</f>
        <v>86737.778749999998</v>
      </c>
    </row>
    <row r="24" spans="1:7" ht="21.75" customHeight="1" x14ac:dyDescent="0.2">
      <c r="A24" s="8"/>
      <c r="B24" s="9"/>
      <c r="C24" s="9"/>
      <c r="D24" s="57" t="s">
        <v>11</v>
      </c>
      <c r="E24" s="58"/>
      <c r="F24" s="59"/>
      <c r="G24" s="39">
        <f>+G20+G21+G22+G23</f>
        <v>1730190.42875</v>
      </c>
    </row>
    <row r="25" spans="1:7" ht="16" x14ac:dyDescent="0.2">
      <c r="A25" s="8"/>
      <c r="B25" s="9"/>
      <c r="C25" s="9"/>
      <c r="D25" s="60" t="s">
        <v>12</v>
      </c>
      <c r="E25" s="61"/>
      <c r="F25" s="62"/>
      <c r="G25" s="12">
        <f>+G19+G24</f>
        <v>10860482.928750001</v>
      </c>
    </row>
  </sheetData>
  <mergeCells count="15"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C15:F1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26537-D888-44C8-B2E5-652A7A257B81}">
  <dimension ref="A1:H25"/>
  <sheetViews>
    <sheetView zoomScale="66" zoomScaleNormal="66" workbookViewId="0">
      <selection activeCell="D3" sqref="D3:E4"/>
    </sheetView>
  </sheetViews>
  <sheetFormatPr baseColWidth="10" defaultColWidth="12.33203125" defaultRowHeight="14" x14ac:dyDescent="0.2"/>
  <cols>
    <col min="1" max="1" width="7.6640625" style="2" customWidth="1"/>
    <col min="2" max="2" width="8.33203125" style="1" customWidth="1"/>
    <col min="3" max="3" width="74" style="1" customWidth="1"/>
    <col min="4" max="4" width="11.1640625" style="1" customWidth="1"/>
    <col min="5" max="5" width="12.83203125" style="1" customWidth="1"/>
    <col min="6" max="6" width="13.5" style="1" customWidth="1"/>
    <col min="7" max="7" width="17.1640625" style="1" customWidth="1"/>
    <col min="8" max="8" width="25.5" style="1" customWidth="1"/>
    <col min="9" max="16384" width="12.33203125" style="1"/>
  </cols>
  <sheetData>
    <row r="1" spans="1:8" s="35" customFormat="1" ht="22.5" customHeight="1" x14ac:dyDescent="0.2">
      <c r="A1" s="71" t="s">
        <v>36</v>
      </c>
      <c r="B1" s="72"/>
      <c r="C1" s="72"/>
      <c r="D1" s="72"/>
      <c r="E1" s="72"/>
      <c r="F1" s="72"/>
      <c r="G1" s="73"/>
    </row>
    <row r="2" spans="1:8" ht="34" x14ac:dyDescent="0.2">
      <c r="A2" s="74" t="s">
        <v>13</v>
      </c>
      <c r="B2" s="75"/>
      <c r="C2" s="3" t="s">
        <v>91</v>
      </c>
      <c r="D2" s="3" t="s">
        <v>15</v>
      </c>
      <c r="E2" s="3" t="s">
        <v>16</v>
      </c>
      <c r="F2" s="76"/>
      <c r="G2" s="77"/>
    </row>
    <row r="3" spans="1:8" ht="30" customHeight="1" x14ac:dyDescent="0.2">
      <c r="A3" s="74" t="s">
        <v>17</v>
      </c>
      <c r="B3" s="75"/>
      <c r="C3" s="56" t="s">
        <v>90</v>
      </c>
      <c r="D3" s="74" t="s">
        <v>92</v>
      </c>
      <c r="E3" s="75"/>
      <c r="F3" s="78"/>
      <c r="G3" s="79"/>
      <c r="H3"/>
    </row>
    <row r="4" spans="1:8" ht="40.5" customHeight="1" x14ac:dyDescent="0.2">
      <c r="A4" s="74" t="s">
        <v>18</v>
      </c>
      <c r="B4" s="75"/>
      <c r="C4" s="3" t="s">
        <v>19</v>
      </c>
      <c r="D4" s="74" t="s">
        <v>93</v>
      </c>
      <c r="E4" s="75"/>
      <c r="F4" s="80"/>
      <c r="G4" s="81"/>
      <c r="H4"/>
    </row>
    <row r="5" spans="1:8" ht="34" x14ac:dyDescent="0.2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2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2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2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2">
      <c r="A9" s="32">
        <v>2</v>
      </c>
      <c r="B9" s="22"/>
      <c r="C9" s="33" t="s">
        <v>33</v>
      </c>
      <c r="D9" s="22"/>
      <c r="E9" s="34"/>
      <c r="F9" s="22"/>
      <c r="G9" s="36">
        <f>SUM(G10:G14)</f>
        <v>3123020.5</v>
      </c>
    </row>
    <row r="10" spans="1:8" ht="21.5" customHeight="1" x14ac:dyDescent="0.2">
      <c r="A10" s="20"/>
      <c r="B10" s="24" t="s">
        <v>37</v>
      </c>
      <c r="C10" s="30" t="s">
        <v>49</v>
      </c>
      <c r="D10" s="27" t="s">
        <v>46</v>
      </c>
      <c r="E10" s="18">
        <v>114.79</v>
      </c>
      <c r="F10" s="7">
        <v>4100</v>
      </c>
      <c r="G10" s="6">
        <f>F10*E10</f>
        <v>470639</v>
      </c>
    </row>
    <row r="11" spans="1:8" ht="17" x14ac:dyDescent="0.2">
      <c r="A11" s="20"/>
      <c r="B11" s="24" t="s">
        <v>38</v>
      </c>
      <c r="C11" s="30" t="s">
        <v>50</v>
      </c>
      <c r="D11" s="27" t="s">
        <v>46</v>
      </c>
      <c r="E11" s="18">
        <v>3.302</v>
      </c>
      <c r="F11" s="7">
        <v>42000</v>
      </c>
      <c r="G11" s="6">
        <f t="shared" ref="G11:G14" si="0">F11*E11</f>
        <v>138684</v>
      </c>
    </row>
    <row r="12" spans="1:8" ht="34" x14ac:dyDescent="0.2">
      <c r="A12" s="20"/>
      <c r="B12" s="24" t="s">
        <v>39</v>
      </c>
      <c r="C12" s="30" t="s">
        <v>48</v>
      </c>
      <c r="D12" s="27" t="s">
        <v>2</v>
      </c>
      <c r="E12" s="18">
        <v>44</v>
      </c>
      <c r="F12" s="7">
        <v>7200</v>
      </c>
      <c r="G12" s="6">
        <f t="shared" si="0"/>
        <v>316800</v>
      </c>
    </row>
    <row r="13" spans="1:8" ht="40.75" customHeight="1" x14ac:dyDescent="0.2">
      <c r="A13" s="20"/>
      <c r="B13" s="24" t="s">
        <v>40</v>
      </c>
      <c r="C13" s="30" t="s">
        <v>47</v>
      </c>
      <c r="D13" s="27" t="s">
        <v>46</v>
      </c>
      <c r="E13" s="18">
        <v>91.89</v>
      </c>
      <c r="F13" s="7">
        <v>22750</v>
      </c>
      <c r="G13" s="6">
        <f t="shared" si="0"/>
        <v>2090497.5</v>
      </c>
    </row>
    <row r="14" spans="1:8" ht="36" customHeight="1" x14ac:dyDescent="0.2">
      <c r="A14" s="20"/>
      <c r="B14" s="24" t="s">
        <v>41</v>
      </c>
      <c r="C14" s="30" t="s">
        <v>31</v>
      </c>
      <c r="D14" s="27" t="s">
        <v>46</v>
      </c>
      <c r="E14" s="18">
        <v>6.65</v>
      </c>
      <c r="F14" s="7">
        <v>16000</v>
      </c>
      <c r="G14" s="6">
        <f t="shared" si="0"/>
        <v>106400</v>
      </c>
    </row>
    <row r="15" spans="1:8" ht="36" customHeight="1" x14ac:dyDescent="0.2">
      <c r="A15" s="19">
        <v>3</v>
      </c>
      <c r="B15" s="22"/>
      <c r="C15" s="63" t="s">
        <v>43</v>
      </c>
      <c r="D15" s="64"/>
      <c r="E15" s="64"/>
      <c r="F15" s="65"/>
      <c r="G15" s="36">
        <f>SUM(G16:G16)</f>
        <v>2383458</v>
      </c>
    </row>
    <row r="16" spans="1:8" ht="36" customHeight="1" x14ac:dyDescent="0.2">
      <c r="A16" s="21"/>
      <c r="B16" s="25" t="s">
        <v>42</v>
      </c>
      <c r="C16" s="30" t="s">
        <v>45</v>
      </c>
      <c r="D16" s="28" t="s">
        <v>46</v>
      </c>
      <c r="E16" s="15">
        <v>98.49</v>
      </c>
      <c r="F16" s="5">
        <v>24200</v>
      </c>
      <c r="G16" s="6">
        <f>F16*E16</f>
        <v>2383458</v>
      </c>
    </row>
    <row r="17" spans="1:7" s="37" customFormat="1" ht="21" customHeight="1" x14ac:dyDescent="0.2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2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2">
      <c r="A19" s="8"/>
      <c r="B19" s="9"/>
      <c r="C19" s="9"/>
      <c r="D19" s="66" t="s">
        <v>7</v>
      </c>
      <c r="E19" s="67"/>
      <c r="F19" s="68"/>
      <c r="G19" s="38">
        <f>+G9+G17+G15</f>
        <v>5606478.5</v>
      </c>
    </row>
    <row r="20" spans="1:7" ht="21.75" customHeight="1" x14ac:dyDescent="0.2">
      <c r="A20" s="8"/>
      <c r="B20" s="9"/>
      <c r="C20" s="9"/>
      <c r="D20" s="69" t="s">
        <v>8</v>
      </c>
      <c r="E20" s="70"/>
      <c r="F20" s="10">
        <v>0.08</v>
      </c>
      <c r="G20" s="11">
        <f>+$G$19*F20</f>
        <v>448518.28</v>
      </c>
    </row>
    <row r="21" spans="1:7" ht="21.75" customHeight="1" x14ac:dyDescent="0.2">
      <c r="A21" s="8"/>
      <c r="B21" s="9"/>
      <c r="C21" s="9"/>
      <c r="D21" s="69" t="s">
        <v>9</v>
      </c>
      <c r="E21" s="70"/>
      <c r="F21" s="10">
        <v>0.05</v>
      </c>
      <c r="G21" s="11">
        <f>+$G$19*F21</f>
        <v>280323.92499999999</v>
      </c>
    </row>
    <row r="22" spans="1:7" ht="21.75" customHeight="1" x14ac:dyDescent="0.2">
      <c r="A22" s="8"/>
      <c r="B22" s="9"/>
      <c r="C22" s="9"/>
      <c r="D22" s="69" t="s">
        <v>10</v>
      </c>
      <c r="E22" s="70"/>
      <c r="F22" s="10">
        <v>0.05</v>
      </c>
      <c r="G22" s="11">
        <f>+$G$19*F22</f>
        <v>280323.92499999999</v>
      </c>
    </row>
    <row r="23" spans="1:7" ht="21.75" customHeight="1" x14ac:dyDescent="0.2">
      <c r="A23" s="8"/>
      <c r="B23" s="9"/>
      <c r="C23" s="9"/>
      <c r="D23" s="69" t="s">
        <v>3</v>
      </c>
      <c r="E23" s="70"/>
      <c r="F23" s="10">
        <v>0.19</v>
      </c>
      <c r="G23" s="11">
        <f>+G22*F23</f>
        <v>53261.545749999997</v>
      </c>
    </row>
    <row r="24" spans="1:7" ht="21.75" customHeight="1" x14ac:dyDescent="0.2">
      <c r="A24" s="8"/>
      <c r="B24" s="9"/>
      <c r="C24" s="9"/>
      <c r="D24" s="57" t="s">
        <v>11</v>
      </c>
      <c r="E24" s="58"/>
      <c r="F24" s="59"/>
      <c r="G24" s="39">
        <f>+G20+G21+G22+G23</f>
        <v>1062427.6757500002</v>
      </c>
    </row>
    <row r="25" spans="1:7" ht="16" x14ac:dyDescent="0.2">
      <c r="A25" s="8"/>
      <c r="B25" s="9"/>
      <c r="C25" s="9"/>
      <c r="D25" s="60" t="s">
        <v>12</v>
      </c>
      <c r="E25" s="61"/>
      <c r="F25" s="62"/>
      <c r="G25" s="12">
        <f>+G19+G24</f>
        <v>6668906.1757500004</v>
      </c>
    </row>
  </sheetData>
  <mergeCells count="15"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C15:F1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5C876-4E00-4846-9232-A7E94BF33914}">
  <dimension ref="A1:H26"/>
  <sheetViews>
    <sheetView tabSelected="1" topLeftCell="A15" zoomScaleNormal="66" workbookViewId="0">
      <selection activeCell="G26" sqref="A1:G26"/>
    </sheetView>
  </sheetViews>
  <sheetFormatPr baseColWidth="10" defaultColWidth="12.33203125" defaultRowHeight="14" x14ac:dyDescent="0.2"/>
  <cols>
    <col min="1" max="1" width="7.6640625" style="2" customWidth="1"/>
    <col min="2" max="2" width="8.33203125" style="1" customWidth="1"/>
    <col min="3" max="3" width="74" style="1" customWidth="1"/>
    <col min="4" max="4" width="11.1640625" style="1" customWidth="1"/>
    <col min="5" max="5" width="12.83203125" style="1" customWidth="1"/>
    <col min="6" max="6" width="13.5" style="1" customWidth="1"/>
    <col min="7" max="7" width="17.1640625" style="1" customWidth="1"/>
    <col min="8" max="8" width="25.5" style="1" customWidth="1"/>
    <col min="9" max="16384" width="12.33203125" style="1"/>
  </cols>
  <sheetData>
    <row r="1" spans="1:8" s="35" customFormat="1" ht="22.5" customHeight="1" x14ac:dyDescent="0.2">
      <c r="A1" s="71" t="s">
        <v>36</v>
      </c>
      <c r="B1" s="72"/>
      <c r="C1" s="72"/>
      <c r="D1" s="72"/>
      <c r="E1" s="72"/>
      <c r="F1" s="72"/>
      <c r="G1" s="73"/>
    </row>
    <row r="2" spans="1:8" ht="34" x14ac:dyDescent="0.2">
      <c r="A2" s="74" t="s">
        <v>13</v>
      </c>
      <c r="B2" s="75"/>
      <c r="C2" s="3" t="s">
        <v>91</v>
      </c>
      <c r="D2" s="3" t="s">
        <v>15</v>
      </c>
      <c r="E2" s="3" t="s">
        <v>16</v>
      </c>
      <c r="F2" s="76"/>
      <c r="G2" s="77"/>
    </row>
    <row r="3" spans="1:8" ht="30" customHeight="1" x14ac:dyDescent="0.2">
      <c r="A3" s="74" t="s">
        <v>17</v>
      </c>
      <c r="B3" s="75"/>
      <c r="C3" s="56" t="s">
        <v>90</v>
      </c>
      <c r="D3" s="74" t="s">
        <v>92</v>
      </c>
      <c r="E3" s="75"/>
      <c r="F3" s="78"/>
      <c r="G3" s="79"/>
      <c r="H3"/>
    </row>
    <row r="4" spans="1:8" ht="40.5" customHeight="1" x14ac:dyDescent="0.2">
      <c r="A4" s="74" t="s">
        <v>18</v>
      </c>
      <c r="B4" s="75"/>
      <c r="C4" s="3" t="s">
        <v>19</v>
      </c>
      <c r="D4" s="74" t="s">
        <v>93</v>
      </c>
      <c r="E4" s="75"/>
      <c r="F4" s="80"/>
      <c r="G4" s="81"/>
      <c r="H4"/>
    </row>
    <row r="5" spans="1:8" ht="34" x14ac:dyDescent="0.2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2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2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2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2">
      <c r="A9" s="32">
        <v>2</v>
      </c>
      <c r="B9" s="22"/>
      <c r="C9" s="33" t="s">
        <v>33</v>
      </c>
      <c r="D9" s="22"/>
      <c r="E9" s="34"/>
      <c r="F9" s="22"/>
      <c r="G9" s="36">
        <f>SUM(G10:G15)</f>
        <v>3363328.1731822491</v>
      </c>
    </row>
    <row r="10" spans="1:8" ht="38.5" customHeight="1" x14ac:dyDescent="0.2">
      <c r="A10" s="20"/>
      <c r="B10" s="24" t="s">
        <v>37</v>
      </c>
      <c r="C10" s="30" t="s">
        <v>87</v>
      </c>
      <c r="D10" s="27" t="s">
        <v>46</v>
      </c>
      <c r="E10" s="18">
        <v>103.8</v>
      </c>
      <c r="F10" s="7">
        <v>4100</v>
      </c>
      <c r="G10" s="6">
        <f>F10*E10</f>
        <v>425580</v>
      </c>
    </row>
    <row r="11" spans="1:8" ht="35.5" customHeight="1" x14ac:dyDescent="0.2">
      <c r="A11" s="20"/>
      <c r="B11" s="24" t="s">
        <v>38</v>
      </c>
      <c r="C11" s="30" t="s">
        <v>50</v>
      </c>
      <c r="D11" s="27" t="s">
        <v>46</v>
      </c>
      <c r="E11" s="18">
        <v>4</v>
      </c>
      <c r="F11" s="7">
        <v>42000</v>
      </c>
      <c r="G11" s="6">
        <f t="shared" ref="G11:G14" si="0">F11*E11</f>
        <v>168000</v>
      </c>
    </row>
    <row r="12" spans="1:8" ht="38.5" customHeight="1" x14ac:dyDescent="0.2">
      <c r="A12" s="20"/>
      <c r="B12" s="24" t="s">
        <v>39</v>
      </c>
      <c r="C12" s="30" t="s">
        <v>48</v>
      </c>
      <c r="D12" s="27" t="s">
        <v>2</v>
      </c>
      <c r="E12" s="18">
        <v>14</v>
      </c>
      <c r="F12" s="7">
        <v>7200</v>
      </c>
      <c r="G12" s="6">
        <f t="shared" si="0"/>
        <v>100800</v>
      </c>
    </row>
    <row r="13" spans="1:8" ht="40.75" customHeight="1" x14ac:dyDescent="0.2">
      <c r="A13" s="20"/>
      <c r="B13" s="24" t="s">
        <v>40</v>
      </c>
      <c r="C13" s="30" t="s">
        <v>86</v>
      </c>
      <c r="D13" s="27" t="s">
        <v>46</v>
      </c>
      <c r="E13" s="18">
        <v>68.400000000000006</v>
      </c>
      <c r="F13" s="7">
        <v>22750</v>
      </c>
      <c r="G13" s="6">
        <f t="shared" si="0"/>
        <v>1556100.0000000002</v>
      </c>
    </row>
    <row r="14" spans="1:8" ht="36" customHeight="1" x14ac:dyDescent="0.2">
      <c r="A14" s="20"/>
      <c r="B14" s="24" t="s">
        <v>41</v>
      </c>
      <c r="C14" s="30" t="s">
        <v>31</v>
      </c>
      <c r="D14" s="27" t="s">
        <v>46</v>
      </c>
      <c r="E14" s="18">
        <v>35.4</v>
      </c>
      <c r="F14" s="7">
        <v>16000</v>
      </c>
      <c r="G14" s="6">
        <f t="shared" si="0"/>
        <v>566400</v>
      </c>
    </row>
    <row r="15" spans="1:8" ht="36" customHeight="1" x14ac:dyDescent="0.2">
      <c r="A15" s="20"/>
      <c r="B15" s="24" t="s">
        <v>94</v>
      </c>
      <c r="C15" s="30" t="s">
        <v>95</v>
      </c>
      <c r="D15" s="27" t="s">
        <v>25</v>
      </c>
      <c r="E15" s="18">
        <v>1</v>
      </c>
      <c r="F15" s="7">
        <v>546448.17318224907</v>
      </c>
      <c r="G15" s="6">
        <f t="shared" ref="G15" si="1">F15*E15</f>
        <v>546448.17318224907</v>
      </c>
    </row>
    <row r="16" spans="1:8" ht="36" customHeight="1" x14ac:dyDescent="0.2">
      <c r="A16" s="19">
        <v>3</v>
      </c>
      <c r="B16" s="22"/>
      <c r="C16" s="63" t="s">
        <v>43</v>
      </c>
      <c r="D16" s="64"/>
      <c r="E16" s="64"/>
      <c r="F16" s="65"/>
      <c r="G16" s="36">
        <f>SUM(G17:G17)</f>
        <v>3964444</v>
      </c>
    </row>
    <row r="17" spans="1:7" ht="36" customHeight="1" x14ac:dyDescent="0.2">
      <c r="A17" s="21"/>
      <c r="B17" s="25" t="s">
        <v>42</v>
      </c>
      <c r="C17" s="30" t="s">
        <v>85</v>
      </c>
      <c r="D17" s="28" t="s">
        <v>46</v>
      </c>
      <c r="E17" s="15">
        <v>163.82</v>
      </c>
      <c r="F17" s="5">
        <v>24200</v>
      </c>
      <c r="G17" s="6">
        <f>F17*E17</f>
        <v>3964444</v>
      </c>
    </row>
    <row r="18" spans="1:7" s="37" customFormat="1" ht="21" customHeight="1" x14ac:dyDescent="0.2">
      <c r="A18" s="19">
        <v>4</v>
      </c>
      <c r="B18" s="22"/>
      <c r="C18" s="29" t="s">
        <v>26</v>
      </c>
      <c r="D18" s="22"/>
      <c r="E18" s="17"/>
      <c r="F18" s="16"/>
      <c r="G18" s="36">
        <f>SUM(G19:G19)</f>
        <v>100000</v>
      </c>
    </row>
    <row r="19" spans="1:7" ht="21.75" customHeight="1" x14ac:dyDescent="0.2">
      <c r="A19" s="21"/>
      <c r="B19" s="25" t="s">
        <v>44</v>
      </c>
      <c r="C19" s="30" t="s">
        <v>30</v>
      </c>
      <c r="D19" s="28" t="s">
        <v>25</v>
      </c>
      <c r="E19" s="15">
        <v>1</v>
      </c>
      <c r="F19" s="5">
        <v>100000</v>
      </c>
      <c r="G19" s="6">
        <f>F19*E19</f>
        <v>100000</v>
      </c>
    </row>
    <row r="20" spans="1:7" ht="21.75" customHeight="1" x14ac:dyDescent="0.2">
      <c r="A20" s="8"/>
      <c r="B20" s="9"/>
      <c r="C20" s="9"/>
      <c r="D20" s="66" t="s">
        <v>7</v>
      </c>
      <c r="E20" s="67"/>
      <c r="F20" s="68"/>
      <c r="G20" s="38">
        <f>+G9+G18+G16</f>
        <v>7427772.1731822491</v>
      </c>
    </row>
    <row r="21" spans="1:7" ht="21.75" customHeight="1" x14ac:dyDescent="0.2">
      <c r="A21" s="8"/>
      <c r="B21" s="9"/>
      <c r="C21" s="9"/>
      <c r="D21" s="69" t="s">
        <v>8</v>
      </c>
      <c r="E21" s="70"/>
      <c r="F21" s="10">
        <v>0.08</v>
      </c>
      <c r="G21" s="11">
        <f>+$G$20*F21</f>
        <v>594221.77385457989</v>
      </c>
    </row>
    <row r="22" spans="1:7" ht="21.75" customHeight="1" x14ac:dyDescent="0.2">
      <c r="A22" s="8"/>
      <c r="B22" s="9"/>
      <c r="C22" s="9"/>
      <c r="D22" s="69" t="s">
        <v>9</v>
      </c>
      <c r="E22" s="70"/>
      <c r="F22" s="10">
        <v>0.05</v>
      </c>
      <c r="G22" s="11">
        <f>+$G$20*F22</f>
        <v>371388.60865911248</v>
      </c>
    </row>
    <row r="23" spans="1:7" ht="21.75" customHeight="1" x14ac:dyDescent="0.2">
      <c r="A23" s="8"/>
      <c r="B23" s="9"/>
      <c r="C23" s="9"/>
      <c r="D23" s="69" t="s">
        <v>10</v>
      </c>
      <c r="E23" s="70"/>
      <c r="F23" s="10">
        <v>0.05</v>
      </c>
      <c r="G23" s="11">
        <f>+$G$20*F23</f>
        <v>371388.60865911248</v>
      </c>
    </row>
    <row r="24" spans="1:7" ht="21.75" customHeight="1" x14ac:dyDescent="0.2">
      <c r="A24" s="8"/>
      <c r="B24" s="9"/>
      <c r="C24" s="9"/>
      <c r="D24" s="69" t="s">
        <v>3</v>
      </c>
      <c r="E24" s="70"/>
      <c r="F24" s="10">
        <v>0.19</v>
      </c>
      <c r="G24" s="11">
        <f>+G23*F24</f>
        <v>70563.835645231375</v>
      </c>
    </row>
    <row r="25" spans="1:7" ht="21.75" customHeight="1" x14ac:dyDescent="0.2">
      <c r="A25" s="8"/>
      <c r="B25" s="9"/>
      <c r="C25" s="9"/>
      <c r="D25" s="57" t="s">
        <v>11</v>
      </c>
      <c r="E25" s="58"/>
      <c r="F25" s="59"/>
      <c r="G25" s="39">
        <f>+G21+G22+G23+G24</f>
        <v>1407562.8268180364</v>
      </c>
    </row>
    <row r="26" spans="1:7" ht="16" x14ac:dyDescent="0.2">
      <c r="A26" s="8"/>
      <c r="B26" s="9"/>
      <c r="C26" s="9"/>
      <c r="D26" s="60" t="s">
        <v>12</v>
      </c>
      <c r="E26" s="61"/>
      <c r="F26" s="62"/>
      <c r="G26" s="12">
        <f>+G20+G25</f>
        <v>8835335.000000285</v>
      </c>
    </row>
  </sheetData>
  <mergeCells count="15">
    <mergeCell ref="A1:G1"/>
    <mergeCell ref="A2:B2"/>
    <mergeCell ref="F2:G4"/>
    <mergeCell ref="A3:B3"/>
    <mergeCell ref="D3:E3"/>
    <mergeCell ref="A4:B4"/>
    <mergeCell ref="D4:E4"/>
    <mergeCell ref="D25:F25"/>
    <mergeCell ref="D26:F26"/>
    <mergeCell ref="C16:F16"/>
    <mergeCell ref="D20:F20"/>
    <mergeCell ref="D21:E21"/>
    <mergeCell ref="D22:E22"/>
    <mergeCell ref="D23:E23"/>
    <mergeCell ref="D24:E2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6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1D9A-35F6-4F97-ADAA-BC5724DA6DE5}">
  <dimension ref="A1:H25"/>
  <sheetViews>
    <sheetView zoomScale="66" zoomScaleNormal="66" workbookViewId="0">
      <selection activeCell="D3" sqref="D3:E4"/>
    </sheetView>
  </sheetViews>
  <sheetFormatPr baseColWidth="10" defaultColWidth="12.33203125" defaultRowHeight="14" x14ac:dyDescent="0.2"/>
  <cols>
    <col min="1" max="1" width="7.6640625" style="2" customWidth="1"/>
    <col min="2" max="2" width="8.33203125" style="1" customWidth="1"/>
    <col min="3" max="3" width="74" style="1" customWidth="1"/>
    <col min="4" max="4" width="11.1640625" style="1" customWidth="1"/>
    <col min="5" max="5" width="12.83203125" style="1" customWidth="1"/>
    <col min="6" max="6" width="13.5" style="1" customWidth="1"/>
    <col min="7" max="7" width="17.1640625" style="1" customWidth="1"/>
    <col min="8" max="8" width="25.5" style="1" customWidth="1"/>
    <col min="9" max="9" width="7.6640625" style="1" customWidth="1"/>
    <col min="10" max="10" width="8.33203125" style="1" customWidth="1"/>
    <col min="11" max="11" width="74" style="1" customWidth="1"/>
    <col min="12" max="12" width="11.1640625" style="1" customWidth="1"/>
    <col min="13" max="13" width="12.83203125" style="1" customWidth="1"/>
    <col min="14" max="14" width="13.5" style="1" customWidth="1"/>
    <col min="15" max="15" width="17.1640625" style="1" customWidth="1"/>
    <col min="16" max="16384" width="12.33203125" style="1"/>
  </cols>
  <sheetData>
    <row r="1" spans="1:8" s="35" customFormat="1" ht="22.5" customHeight="1" x14ac:dyDescent="0.2">
      <c r="A1" s="71" t="s">
        <v>36</v>
      </c>
      <c r="B1" s="72"/>
      <c r="C1" s="72"/>
      <c r="D1" s="72"/>
      <c r="E1" s="72"/>
      <c r="F1" s="72"/>
      <c r="G1" s="73"/>
    </row>
    <row r="2" spans="1:8" ht="34" x14ac:dyDescent="0.2">
      <c r="A2" s="74" t="s">
        <v>13</v>
      </c>
      <c r="B2" s="75"/>
      <c r="C2" s="3" t="s">
        <v>91</v>
      </c>
      <c r="D2" s="3" t="s">
        <v>15</v>
      </c>
      <c r="E2" s="3" t="s">
        <v>16</v>
      </c>
      <c r="F2" s="76"/>
      <c r="G2" s="77"/>
    </row>
    <row r="3" spans="1:8" ht="30" customHeight="1" x14ac:dyDescent="0.2">
      <c r="A3" s="74" t="s">
        <v>17</v>
      </c>
      <c r="B3" s="75"/>
      <c r="C3" s="56" t="s">
        <v>90</v>
      </c>
      <c r="D3" s="74" t="s">
        <v>92</v>
      </c>
      <c r="E3" s="75"/>
      <c r="F3" s="78"/>
      <c r="G3" s="79"/>
      <c r="H3"/>
    </row>
    <row r="4" spans="1:8" ht="40.5" customHeight="1" x14ac:dyDescent="0.2">
      <c r="A4" s="74" t="s">
        <v>18</v>
      </c>
      <c r="B4" s="75"/>
      <c r="C4" s="3" t="s">
        <v>19</v>
      </c>
      <c r="D4" s="74" t="s">
        <v>93</v>
      </c>
      <c r="E4" s="75"/>
      <c r="F4" s="80"/>
      <c r="G4" s="81"/>
      <c r="H4"/>
    </row>
    <row r="5" spans="1:8" ht="34" x14ac:dyDescent="0.2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2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2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2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2">
      <c r="A9" s="32">
        <v>2</v>
      </c>
      <c r="B9" s="22"/>
      <c r="C9" s="33" t="s">
        <v>33</v>
      </c>
      <c r="D9" s="22"/>
      <c r="E9" s="34"/>
      <c r="F9" s="22"/>
      <c r="G9" s="36">
        <f>SUM(G10:G14)</f>
        <v>5627282.5</v>
      </c>
    </row>
    <row r="10" spans="1:8" ht="28.75" customHeight="1" x14ac:dyDescent="0.2">
      <c r="A10" s="20"/>
      <c r="B10" s="24" t="s">
        <v>37</v>
      </c>
      <c r="C10" s="30" t="s">
        <v>87</v>
      </c>
      <c r="D10" s="27" t="s">
        <v>46</v>
      </c>
      <c r="E10" s="18">
        <v>220.75</v>
      </c>
      <c r="F10" s="7">
        <v>4100</v>
      </c>
      <c r="G10" s="6">
        <f>F10*E10</f>
        <v>905075</v>
      </c>
    </row>
    <row r="11" spans="1:8" ht="35.5" customHeight="1" x14ac:dyDescent="0.2">
      <c r="A11" s="20"/>
      <c r="B11" s="24" t="s">
        <v>38</v>
      </c>
      <c r="C11" s="30" t="s">
        <v>50</v>
      </c>
      <c r="D11" s="27" t="s">
        <v>46</v>
      </c>
      <c r="E11" s="18">
        <v>7.61</v>
      </c>
      <c r="F11" s="7">
        <v>42000</v>
      </c>
      <c r="G11" s="6">
        <f t="shared" ref="G11:G14" si="0">F11*E11</f>
        <v>319620</v>
      </c>
    </row>
    <row r="12" spans="1:8" ht="34" x14ac:dyDescent="0.2">
      <c r="A12" s="20"/>
      <c r="B12" s="24" t="s">
        <v>39</v>
      </c>
      <c r="C12" s="30" t="s">
        <v>48</v>
      </c>
      <c r="D12" s="27" t="s">
        <v>2</v>
      </c>
      <c r="E12" s="18">
        <v>53</v>
      </c>
      <c r="F12" s="7">
        <v>7200</v>
      </c>
      <c r="G12" s="6">
        <f t="shared" si="0"/>
        <v>381600</v>
      </c>
    </row>
    <row r="13" spans="1:8" ht="40.75" customHeight="1" x14ac:dyDescent="0.2">
      <c r="A13" s="20"/>
      <c r="B13" s="24" t="s">
        <v>40</v>
      </c>
      <c r="C13" s="30" t="s">
        <v>86</v>
      </c>
      <c r="D13" s="27" t="s">
        <v>46</v>
      </c>
      <c r="E13" s="18">
        <v>151.85</v>
      </c>
      <c r="F13" s="7">
        <v>22750</v>
      </c>
      <c r="G13" s="6">
        <f t="shared" si="0"/>
        <v>3454587.5</v>
      </c>
    </row>
    <row r="14" spans="1:8" ht="36" customHeight="1" x14ac:dyDescent="0.2">
      <c r="A14" s="20"/>
      <c r="B14" s="24" t="s">
        <v>41</v>
      </c>
      <c r="C14" s="30" t="s">
        <v>31</v>
      </c>
      <c r="D14" s="27" t="s">
        <v>46</v>
      </c>
      <c r="E14" s="18">
        <v>35.4</v>
      </c>
      <c r="F14" s="7">
        <v>16000</v>
      </c>
      <c r="G14" s="6">
        <f t="shared" si="0"/>
        <v>566400</v>
      </c>
    </row>
    <row r="15" spans="1:8" ht="36" customHeight="1" x14ac:dyDescent="0.2">
      <c r="A15" s="19">
        <v>3</v>
      </c>
      <c r="B15" s="22"/>
      <c r="C15" s="63" t="s">
        <v>43</v>
      </c>
      <c r="D15" s="64"/>
      <c r="E15" s="64"/>
      <c r="F15" s="65"/>
      <c r="G15" s="36">
        <f>SUM(G16:G16)</f>
        <v>4648820</v>
      </c>
    </row>
    <row r="16" spans="1:8" ht="36" customHeight="1" x14ac:dyDescent="0.2">
      <c r="A16" s="21"/>
      <c r="B16" s="25" t="s">
        <v>42</v>
      </c>
      <c r="C16" s="30" t="s">
        <v>85</v>
      </c>
      <c r="D16" s="28" t="s">
        <v>46</v>
      </c>
      <c r="E16" s="15">
        <v>192.1</v>
      </c>
      <c r="F16" s="5">
        <v>24200</v>
      </c>
      <c r="G16" s="6">
        <f>F16*E16</f>
        <v>4648820</v>
      </c>
    </row>
    <row r="17" spans="1:7" s="37" customFormat="1" ht="21" customHeight="1" x14ac:dyDescent="0.2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2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2">
      <c r="A19" s="8"/>
      <c r="B19" s="9"/>
      <c r="C19" s="9"/>
      <c r="D19" s="66" t="s">
        <v>7</v>
      </c>
      <c r="E19" s="67"/>
      <c r="F19" s="68"/>
      <c r="G19" s="38">
        <f>+G9+G17+G15</f>
        <v>10376102.5</v>
      </c>
    </row>
    <row r="20" spans="1:7" ht="21.75" customHeight="1" x14ac:dyDescent="0.2">
      <c r="A20" s="8"/>
      <c r="B20" s="9"/>
      <c r="C20" s="9"/>
      <c r="D20" s="69" t="s">
        <v>8</v>
      </c>
      <c r="E20" s="70"/>
      <c r="F20" s="10">
        <v>0.08</v>
      </c>
      <c r="G20" s="11">
        <f>+$G$19*F20</f>
        <v>830088.20000000007</v>
      </c>
    </row>
    <row r="21" spans="1:7" ht="21.75" customHeight="1" x14ac:dyDescent="0.2">
      <c r="A21" s="8"/>
      <c r="B21" s="9"/>
      <c r="C21" s="9"/>
      <c r="D21" s="69" t="s">
        <v>9</v>
      </c>
      <c r="E21" s="70"/>
      <c r="F21" s="10">
        <v>0.05</v>
      </c>
      <c r="G21" s="11">
        <f>+$G$19*F21</f>
        <v>518805.125</v>
      </c>
    </row>
    <row r="22" spans="1:7" ht="21.75" customHeight="1" x14ac:dyDescent="0.2">
      <c r="A22" s="8"/>
      <c r="B22" s="9"/>
      <c r="C22" s="9"/>
      <c r="D22" s="69" t="s">
        <v>10</v>
      </c>
      <c r="E22" s="70"/>
      <c r="F22" s="10">
        <v>0.05</v>
      </c>
      <c r="G22" s="11">
        <f>+$G$19*F22</f>
        <v>518805.125</v>
      </c>
    </row>
    <row r="23" spans="1:7" ht="21.75" customHeight="1" x14ac:dyDescent="0.2">
      <c r="A23" s="8"/>
      <c r="B23" s="9"/>
      <c r="C23" s="9"/>
      <c r="D23" s="69" t="s">
        <v>3</v>
      </c>
      <c r="E23" s="70"/>
      <c r="F23" s="10">
        <v>0.19</v>
      </c>
      <c r="G23" s="11">
        <f>+G22*F23</f>
        <v>98572.973750000005</v>
      </c>
    </row>
    <row r="24" spans="1:7" ht="21.75" customHeight="1" x14ac:dyDescent="0.2">
      <c r="A24" s="8"/>
      <c r="B24" s="9"/>
      <c r="C24" s="9"/>
      <c r="D24" s="57" t="s">
        <v>11</v>
      </c>
      <c r="E24" s="58"/>
      <c r="F24" s="59"/>
      <c r="G24" s="39">
        <f>+G20+G21+G22+G23</f>
        <v>1966271.4237500001</v>
      </c>
    </row>
    <row r="25" spans="1:7" ht="16" x14ac:dyDescent="0.2">
      <c r="A25" s="8"/>
      <c r="B25" s="9"/>
      <c r="C25" s="9"/>
      <c r="D25" s="60" t="s">
        <v>12</v>
      </c>
      <c r="E25" s="61"/>
      <c r="F25" s="62"/>
      <c r="G25" s="12">
        <f>+G19+G24</f>
        <v>12342373.92375</v>
      </c>
    </row>
  </sheetData>
  <mergeCells count="15"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C15:F1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CE1A9-E5BD-465D-B3F8-3D6CB4BA7622}">
  <dimension ref="A1:I25"/>
  <sheetViews>
    <sheetView zoomScale="66" zoomScaleNormal="66" workbookViewId="0">
      <selection activeCell="F17" sqref="F17"/>
    </sheetView>
  </sheetViews>
  <sheetFormatPr baseColWidth="10" defaultColWidth="12.33203125" defaultRowHeight="14" x14ac:dyDescent="0.2"/>
  <cols>
    <col min="1" max="1" width="7.6640625" style="2" customWidth="1"/>
    <col min="2" max="2" width="8.33203125" style="1" customWidth="1"/>
    <col min="3" max="3" width="74" style="1" customWidth="1"/>
    <col min="4" max="4" width="11.1640625" style="1" customWidth="1"/>
    <col min="5" max="5" width="12.83203125" style="1" customWidth="1"/>
    <col min="6" max="6" width="13.5" style="1" customWidth="1"/>
    <col min="7" max="7" width="17.1640625" style="1" customWidth="1"/>
    <col min="8" max="8" width="25.5" style="1" customWidth="1"/>
    <col min="9" max="16384" width="12.33203125" style="1"/>
  </cols>
  <sheetData>
    <row r="1" spans="1:9" s="35" customFormat="1" ht="22.5" customHeight="1" x14ac:dyDescent="0.2">
      <c r="A1" s="71" t="s">
        <v>36</v>
      </c>
      <c r="B1" s="72"/>
      <c r="C1" s="72"/>
      <c r="D1" s="72"/>
      <c r="E1" s="72"/>
      <c r="F1" s="72"/>
      <c r="G1" s="73"/>
    </row>
    <row r="2" spans="1:9" ht="34" x14ac:dyDescent="0.2">
      <c r="A2" s="74" t="s">
        <v>13</v>
      </c>
      <c r="B2" s="75"/>
      <c r="C2" s="3" t="s">
        <v>14</v>
      </c>
      <c r="D2" s="3" t="s">
        <v>15</v>
      </c>
      <c r="E2" s="3" t="s">
        <v>16</v>
      </c>
      <c r="F2" s="76"/>
      <c r="G2" s="77"/>
    </row>
    <row r="3" spans="1:9" ht="34" x14ac:dyDescent="0.2">
      <c r="A3" s="74" t="s">
        <v>17</v>
      </c>
      <c r="B3" s="75"/>
      <c r="C3" s="3" t="s">
        <v>27</v>
      </c>
      <c r="D3" s="74" t="s">
        <v>34</v>
      </c>
      <c r="E3" s="75"/>
      <c r="F3" s="78"/>
      <c r="G3" s="79"/>
      <c r="H3"/>
    </row>
    <row r="4" spans="1:9" ht="40.5" customHeight="1" x14ac:dyDescent="0.2">
      <c r="A4" s="74" t="s">
        <v>18</v>
      </c>
      <c r="B4" s="75"/>
      <c r="C4" s="3" t="s">
        <v>19</v>
      </c>
      <c r="D4" s="74" t="s">
        <v>35</v>
      </c>
      <c r="E4" s="75"/>
      <c r="F4" s="80"/>
      <c r="G4" s="81"/>
      <c r="H4"/>
    </row>
    <row r="5" spans="1:9" ht="34" x14ac:dyDescent="0.2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9" ht="23.25" customHeight="1" x14ac:dyDescent="0.2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9" ht="39" customHeight="1" x14ac:dyDescent="0.2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9" ht="99" customHeight="1" x14ac:dyDescent="0.2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9" s="37" customFormat="1" ht="23.25" customHeight="1" x14ac:dyDescent="0.2">
      <c r="A9" s="32">
        <v>2</v>
      </c>
      <c r="B9" s="22"/>
      <c r="C9" s="33" t="s">
        <v>33</v>
      </c>
      <c r="D9" s="22"/>
      <c r="E9" s="34"/>
      <c r="F9" s="22"/>
      <c r="G9" s="36">
        <f>SUM(G10:G14)</f>
        <v>1014168.78</v>
      </c>
    </row>
    <row r="10" spans="1:9" ht="21.5" customHeight="1" x14ac:dyDescent="0.2">
      <c r="A10" s="20"/>
      <c r="B10" s="24" t="s">
        <v>37</v>
      </c>
      <c r="C10" s="30" t="s">
        <v>49</v>
      </c>
      <c r="D10" s="27" t="s">
        <v>46</v>
      </c>
      <c r="E10" s="18">
        <v>39.65</v>
      </c>
      <c r="F10" s="7">
        <v>3146</v>
      </c>
      <c r="G10" s="6">
        <f>F10*E10</f>
        <v>124738.9</v>
      </c>
    </row>
    <row r="11" spans="1:9" ht="17" x14ac:dyDescent="0.2">
      <c r="A11" s="20"/>
      <c r="B11" s="24" t="s">
        <v>38</v>
      </c>
      <c r="C11" s="30" t="s">
        <v>50</v>
      </c>
      <c r="D11" s="27" t="s">
        <v>46</v>
      </c>
      <c r="E11" s="18">
        <v>2.68</v>
      </c>
      <c r="F11" s="7">
        <v>36531</v>
      </c>
      <c r="G11" s="6">
        <f t="shared" ref="G11:G14" si="0">F11*E11</f>
        <v>97903.08</v>
      </c>
    </row>
    <row r="12" spans="1:9" ht="34" x14ac:dyDescent="0.2">
      <c r="A12" s="20"/>
      <c r="B12" s="24" t="s">
        <v>39</v>
      </c>
      <c r="C12" s="30" t="s">
        <v>48</v>
      </c>
      <c r="D12" s="27" t="s">
        <v>2</v>
      </c>
      <c r="E12" s="18">
        <v>24</v>
      </c>
      <c r="F12" s="7">
        <v>5200</v>
      </c>
      <c r="G12" s="6">
        <f t="shared" si="0"/>
        <v>124800</v>
      </c>
    </row>
    <row r="13" spans="1:9" ht="40.75" customHeight="1" x14ac:dyDescent="0.2">
      <c r="A13" s="20"/>
      <c r="B13" s="24" t="s">
        <v>40</v>
      </c>
      <c r="C13" s="30" t="s">
        <v>47</v>
      </c>
      <c r="D13" s="27" t="s">
        <v>46</v>
      </c>
      <c r="E13" s="18">
        <v>33.700000000000003</v>
      </c>
      <c r="F13" s="7">
        <v>16964</v>
      </c>
      <c r="G13" s="6">
        <f t="shared" si="0"/>
        <v>571686.80000000005</v>
      </c>
    </row>
    <row r="14" spans="1:9" ht="36" customHeight="1" x14ac:dyDescent="0.2">
      <c r="A14" s="20"/>
      <c r="B14" s="24" t="s">
        <v>41</v>
      </c>
      <c r="C14" s="30" t="s">
        <v>31</v>
      </c>
      <c r="D14" s="27" t="s">
        <v>46</v>
      </c>
      <c r="E14" s="18">
        <v>5.94</v>
      </c>
      <c r="F14" s="7">
        <v>16000</v>
      </c>
      <c r="G14" s="6">
        <f t="shared" si="0"/>
        <v>95040</v>
      </c>
    </row>
    <row r="15" spans="1:9" ht="36" customHeight="1" x14ac:dyDescent="0.2">
      <c r="A15" s="19">
        <v>3</v>
      </c>
      <c r="B15" s="22"/>
      <c r="C15" s="63" t="s">
        <v>43</v>
      </c>
      <c r="D15" s="64"/>
      <c r="E15" s="64"/>
      <c r="F15" s="65"/>
      <c r="G15" s="36">
        <f>SUM(G16:G16)</f>
        <v>5980440</v>
      </c>
    </row>
    <row r="16" spans="1:9" ht="36" customHeight="1" x14ac:dyDescent="0.2">
      <c r="A16" s="21"/>
      <c r="B16" s="25" t="s">
        <v>42</v>
      </c>
      <c r="C16" s="30" t="s">
        <v>45</v>
      </c>
      <c r="D16" s="28" t="s">
        <v>46</v>
      </c>
      <c r="E16" s="15">
        <v>73.2</v>
      </c>
      <c r="F16" s="5">
        <v>81700</v>
      </c>
      <c r="G16" s="6">
        <f>F16*E16</f>
        <v>5980440</v>
      </c>
      <c r="H16" s="1" t="s">
        <v>88</v>
      </c>
      <c r="I16" s="1" t="s">
        <v>89</v>
      </c>
    </row>
    <row r="17" spans="1:7" s="37" customFormat="1" ht="21" customHeight="1" x14ac:dyDescent="0.2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2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2">
      <c r="A19" s="8"/>
      <c r="B19" s="9"/>
      <c r="C19" s="9"/>
      <c r="D19" s="66" t="s">
        <v>7</v>
      </c>
      <c r="E19" s="67"/>
      <c r="F19" s="68"/>
      <c r="G19" s="38">
        <f>+G9+G17+G15</f>
        <v>7094608.7800000003</v>
      </c>
    </row>
    <row r="20" spans="1:7" ht="21.75" customHeight="1" x14ac:dyDescent="0.2">
      <c r="A20" s="8"/>
      <c r="B20" s="9"/>
      <c r="C20" s="9"/>
      <c r="D20" s="69" t="s">
        <v>8</v>
      </c>
      <c r="E20" s="70"/>
      <c r="F20" s="10">
        <v>0.08</v>
      </c>
      <c r="G20" s="11">
        <f>+$G$19*F20</f>
        <v>567568.70240000007</v>
      </c>
    </row>
    <row r="21" spans="1:7" ht="21.75" customHeight="1" x14ac:dyDescent="0.2">
      <c r="A21" s="8"/>
      <c r="B21" s="9"/>
      <c r="C21" s="9"/>
      <c r="D21" s="69" t="s">
        <v>9</v>
      </c>
      <c r="E21" s="70"/>
      <c r="F21" s="10">
        <v>0.05</v>
      </c>
      <c r="G21" s="11">
        <f>+$G$19*F21</f>
        <v>354730.43900000001</v>
      </c>
    </row>
    <row r="22" spans="1:7" ht="21.75" customHeight="1" x14ac:dyDescent="0.2">
      <c r="A22" s="8"/>
      <c r="B22" s="9"/>
      <c r="C22" s="9"/>
      <c r="D22" s="69" t="s">
        <v>10</v>
      </c>
      <c r="E22" s="70"/>
      <c r="F22" s="10">
        <v>0.05</v>
      </c>
      <c r="G22" s="11">
        <f>+$G$19*F22</f>
        <v>354730.43900000001</v>
      </c>
    </row>
    <row r="23" spans="1:7" ht="21.75" customHeight="1" x14ac:dyDescent="0.2">
      <c r="A23" s="8"/>
      <c r="B23" s="9"/>
      <c r="C23" s="9"/>
      <c r="D23" s="69" t="s">
        <v>3</v>
      </c>
      <c r="E23" s="70"/>
      <c r="F23" s="10">
        <v>0.19</v>
      </c>
      <c r="G23" s="11">
        <f>+G22*F23</f>
        <v>67398.783410000004</v>
      </c>
    </row>
    <row r="24" spans="1:7" ht="21.75" customHeight="1" x14ac:dyDescent="0.2">
      <c r="A24" s="8"/>
      <c r="B24" s="9"/>
      <c r="C24" s="9"/>
      <c r="D24" s="57" t="s">
        <v>11</v>
      </c>
      <c r="E24" s="58"/>
      <c r="F24" s="59"/>
      <c r="G24" s="39">
        <f>+G20+G21+G22+G23</f>
        <v>1344428.36381</v>
      </c>
    </row>
    <row r="25" spans="1:7" ht="16" x14ac:dyDescent="0.2">
      <c r="A25" s="8"/>
      <c r="B25" s="9"/>
      <c r="C25" s="9"/>
      <c r="D25" s="60" t="s">
        <v>12</v>
      </c>
      <c r="E25" s="61"/>
      <c r="F25" s="62"/>
      <c r="G25" s="12">
        <f>+G19+G24</f>
        <v>8439037.1438100003</v>
      </c>
    </row>
  </sheetData>
  <mergeCells count="15"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C15:F1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F1E8C-EA18-4CF2-A6AF-ECAD6EEF682C}">
  <dimension ref="A1:H25"/>
  <sheetViews>
    <sheetView zoomScale="66" zoomScaleNormal="66" workbookViewId="0">
      <selection activeCell="D3" sqref="D3:E4"/>
    </sheetView>
  </sheetViews>
  <sheetFormatPr baseColWidth="10" defaultColWidth="12.33203125" defaultRowHeight="14" x14ac:dyDescent="0.2"/>
  <cols>
    <col min="1" max="1" width="7.6640625" style="2" customWidth="1"/>
    <col min="2" max="2" width="8.33203125" style="1" customWidth="1"/>
    <col min="3" max="3" width="74" style="1" customWidth="1"/>
    <col min="4" max="4" width="11.1640625" style="1" customWidth="1"/>
    <col min="5" max="5" width="12.83203125" style="1" customWidth="1"/>
    <col min="6" max="6" width="13.5" style="1" customWidth="1"/>
    <col min="7" max="7" width="17.1640625" style="1" customWidth="1"/>
    <col min="8" max="8" width="25.5" style="1" customWidth="1"/>
    <col min="9" max="16384" width="12.33203125" style="1"/>
  </cols>
  <sheetData>
    <row r="1" spans="1:8" s="35" customFormat="1" ht="22.5" customHeight="1" x14ac:dyDescent="0.2">
      <c r="A1" s="71" t="s">
        <v>36</v>
      </c>
      <c r="B1" s="72"/>
      <c r="C1" s="72"/>
      <c r="D1" s="72"/>
      <c r="E1" s="72"/>
      <c r="F1" s="72"/>
      <c r="G1" s="73"/>
    </row>
    <row r="2" spans="1:8" ht="34" x14ac:dyDescent="0.2">
      <c r="A2" s="74" t="s">
        <v>13</v>
      </c>
      <c r="B2" s="75"/>
      <c r="C2" s="3" t="s">
        <v>14</v>
      </c>
      <c r="D2" s="3" t="s">
        <v>15</v>
      </c>
      <c r="E2" s="3" t="s">
        <v>16</v>
      </c>
      <c r="F2" s="76"/>
      <c r="G2" s="77"/>
    </row>
    <row r="3" spans="1:8" ht="34" customHeight="1" x14ac:dyDescent="0.2">
      <c r="A3" s="74" t="s">
        <v>17</v>
      </c>
      <c r="B3" s="75"/>
      <c r="C3" s="3" t="s">
        <v>27</v>
      </c>
      <c r="D3" s="74" t="s">
        <v>92</v>
      </c>
      <c r="E3" s="75"/>
      <c r="F3" s="78"/>
      <c r="G3" s="79"/>
      <c r="H3"/>
    </row>
    <row r="4" spans="1:8" ht="40.5" customHeight="1" x14ac:dyDescent="0.2">
      <c r="A4" s="74" t="s">
        <v>18</v>
      </c>
      <c r="B4" s="75"/>
      <c r="C4" s="3" t="s">
        <v>19</v>
      </c>
      <c r="D4" s="74" t="s">
        <v>93</v>
      </c>
      <c r="E4" s="75"/>
      <c r="F4" s="80"/>
      <c r="G4" s="81"/>
      <c r="H4"/>
    </row>
    <row r="5" spans="1:8" ht="34" customHeight="1" x14ac:dyDescent="0.2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2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2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2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2">
      <c r="A9" s="32">
        <v>2</v>
      </c>
      <c r="B9" s="22"/>
      <c r="C9" s="33" t="s">
        <v>33</v>
      </c>
      <c r="D9" s="22"/>
      <c r="E9" s="34"/>
      <c r="F9" s="22"/>
      <c r="G9" s="36">
        <f>SUM(G10:G14)</f>
        <v>1309640</v>
      </c>
    </row>
    <row r="10" spans="1:8" ht="21.5" customHeight="1" x14ac:dyDescent="0.2">
      <c r="A10" s="20"/>
      <c r="B10" s="24" t="s">
        <v>37</v>
      </c>
      <c r="C10" s="30" t="s">
        <v>49</v>
      </c>
      <c r="D10" s="27" t="s">
        <v>46</v>
      </c>
      <c r="E10" s="18">
        <v>39.65</v>
      </c>
      <c r="F10" s="7">
        <v>4100</v>
      </c>
      <c r="G10" s="6">
        <f>F10*E10</f>
        <v>162565</v>
      </c>
    </row>
    <row r="11" spans="1:8" ht="17" x14ac:dyDescent="0.2">
      <c r="A11" s="20"/>
      <c r="B11" s="24" t="s">
        <v>38</v>
      </c>
      <c r="C11" s="30" t="s">
        <v>50</v>
      </c>
      <c r="D11" s="27" t="s">
        <v>46</v>
      </c>
      <c r="E11" s="18">
        <v>2.68</v>
      </c>
      <c r="F11" s="7">
        <v>42000</v>
      </c>
      <c r="G11" s="6">
        <f t="shared" ref="G11:G14" si="0">F11*E11</f>
        <v>112560</v>
      </c>
    </row>
    <row r="12" spans="1:8" ht="34" x14ac:dyDescent="0.2">
      <c r="A12" s="20"/>
      <c r="B12" s="24" t="s">
        <v>39</v>
      </c>
      <c r="C12" s="30" t="s">
        <v>48</v>
      </c>
      <c r="D12" s="27" t="s">
        <v>2</v>
      </c>
      <c r="E12" s="18">
        <v>24</v>
      </c>
      <c r="F12" s="7">
        <v>7200</v>
      </c>
      <c r="G12" s="6">
        <f t="shared" si="0"/>
        <v>172800</v>
      </c>
    </row>
    <row r="13" spans="1:8" ht="40.75" customHeight="1" x14ac:dyDescent="0.2">
      <c r="A13" s="20"/>
      <c r="B13" s="24" t="s">
        <v>40</v>
      </c>
      <c r="C13" s="30" t="s">
        <v>47</v>
      </c>
      <c r="D13" s="27" t="s">
        <v>46</v>
      </c>
      <c r="E13" s="18">
        <v>33.700000000000003</v>
      </c>
      <c r="F13" s="7">
        <v>22750</v>
      </c>
      <c r="G13" s="6">
        <f t="shared" si="0"/>
        <v>766675.00000000012</v>
      </c>
    </row>
    <row r="14" spans="1:8" ht="36" customHeight="1" x14ac:dyDescent="0.2">
      <c r="A14" s="20"/>
      <c r="B14" s="24" t="s">
        <v>41</v>
      </c>
      <c r="C14" s="30" t="s">
        <v>31</v>
      </c>
      <c r="D14" s="27" t="s">
        <v>46</v>
      </c>
      <c r="E14" s="18">
        <v>5.94</v>
      </c>
      <c r="F14" s="7">
        <v>16000</v>
      </c>
      <c r="G14" s="6">
        <f t="shared" si="0"/>
        <v>95040</v>
      </c>
    </row>
    <row r="15" spans="1:8" ht="36" customHeight="1" x14ac:dyDescent="0.2">
      <c r="A15" s="19">
        <v>3</v>
      </c>
      <c r="B15" s="22"/>
      <c r="C15" s="63" t="s">
        <v>43</v>
      </c>
      <c r="D15" s="64"/>
      <c r="E15" s="64"/>
      <c r="F15" s="65"/>
      <c r="G15" s="36">
        <f>SUM(G16:G16)</f>
        <v>1771440</v>
      </c>
    </row>
    <row r="16" spans="1:8" ht="36" customHeight="1" x14ac:dyDescent="0.2">
      <c r="A16" s="21"/>
      <c r="B16" s="25" t="s">
        <v>42</v>
      </c>
      <c r="C16" s="30" t="s">
        <v>45</v>
      </c>
      <c r="D16" s="28" t="s">
        <v>46</v>
      </c>
      <c r="E16" s="15">
        <v>73.2</v>
      </c>
      <c r="F16" s="5">
        <v>24200</v>
      </c>
      <c r="G16" s="6">
        <f>F16*E16</f>
        <v>1771440</v>
      </c>
    </row>
    <row r="17" spans="1:7" s="37" customFormat="1" ht="21" customHeight="1" x14ac:dyDescent="0.2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2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2">
      <c r="A19" s="8"/>
      <c r="B19" s="9"/>
      <c r="C19" s="9"/>
      <c r="D19" s="66" t="s">
        <v>7</v>
      </c>
      <c r="E19" s="67"/>
      <c r="F19" s="68"/>
      <c r="G19" s="38">
        <f>+G9+G17+G15</f>
        <v>3181080</v>
      </c>
    </row>
    <row r="20" spans="1:7" ht="21.75" customHeight="1" x14ac:dyDescent="0.2">
      <c r="A20" s="8"/>
      <c r="B20" s="9"/>
      <c r="C20" s="9"/>
      <c r="D20" s="69" t="s">
        <v>8</v>
      </c>
      <c r="E20" s="70"/>
      <c r="F20" s="10">
        <v>0.08</v>
      </c>
      <c r="G20" s="11">
        <f>+$G$19*F20</f>
        <v>254486.39999999999</v>
      </c>
    </row>
    <row r="21" spans="1:7" ht="21.75" customHeight="1" x14ac:dyDescent="0.2">
      <c r="A21" s="8"/>
      <c r="B21" s="9"/>
      <c r="C21" s="9"/>
      <c r="D21" s="69" t="s">
        <v>9</v>
      </c>
      <c r="E21" s="70"/>
      <c r="F21" s="10">
        <v>0.05</v>
      </c>
      <c r="G21" s="11">
        <f>+$G$19*F21</f>
        <v>159054</v>
      </c>
    </row>
    <row r="22" spans="1:7" ht="21.75" customHeight="1" x14ac:dyDescent="0.2">
      <c r="A22" s="8"/>
      <c r="B22" s="9"/>
      <c r="C22" s="9"/>
      <c r="D22" s="69" t="s">
        <v>10</v>
      </c>
      <c r="E22" s="70"/>
      <c r="F22" s="10">
        <v>0.05</v>
      </c>
      <c r="G22" s="11">
        <f>+$G$19*F22</f>
        <v>159054</v>
      </c>
    </row>
    <row r="23" spans="1:7" ht="21.75" customHeight="1" x14ac:dyDescent="0.2">
      <c r="A23" s="8"/>
      <c r="B23" s="9"/>
      <c r="C23" s="9"/>
      <c r="D23" s="69" t="s">
        <v>3</v>
      </c>
      <c r="E23" s="70"/>
      <c r="F23" s="10">
        <v>0.19</v>
      </c>
      <c r="G23" s="11">
        <f>+G22*F23</f>
        <v>30220.260000000002</v>
      </c>
    </row>
    <row r="24" spans="1:7" ht="21.75" customHeight="1" x14ac:dyDescent="0.2">
      <c r="A24" s="8"/>
      <c r="B24" s="9"/>
      <c r="C24" s="9"/>
      <c r="D24" s="57" t="s">
        <v>11</v>
      </c>
      <c r="E24" s="58"/>
      <c r="F24" s="59"/>
      <c r="G24" s="39">
        <f>+G20+G21+G22+G23</f>
        <v>602814.66</v>
      </c>
    </row>
    <row r="25" spans="1:7" ht="16" x14ac:dyDescent="0.2">
      <c r="A25" s="8"/>
      <c r="B25" s="9"/>
      <c r="C25" s="9"/>
      <c r="D25" s="60" t="s">
        <v>12</v>
      </c>
      <c r="E25" s="61"/>
      <c r="F25" s="62"/>
      <c r="G25" s="12">
        <f>+G19+G24</f>
        <v>3783894.66</v>
      </c>
    </row>
  </sheetData>
  <mergeCells count="15">
    <mergeCell ref="D24:F24"/>
    <mergeCell ref="D25:F25"/>
    <mergeCell ref="D19:F19"/>
    <mergeCell ref="D20:E20"/>
    <mergeCell ref="D21:E21"/>
    <mergeCell ref="D22:E22"/>
    <mergeCell ref="D23:E23"/>
    <mergeCell ref="C15:F15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466E7-AA04-4BC8-88C0-58AA08B3D2E6}">
  <dimension ref="A1:P20"/>
  <sheetViews>
    <sheetView workbookViewId="0">
      <selection activeCell="M10" sqref="M10"/>
    </sheetView>
  </sheetViews>
  <sheetFormatPr baseColWidth="10" defaultRowHeight="15" x14ac:dyDescent="0.2"/>
  <cols>
    <col min="2" max="2" width="25.1640625" customWidth="1"/>
    <col min="3" max="3" width="13.83203125" customWidth="1"/>
    <col min="4" max="4" width="16.33203125" customWidth="1"/>
    <col min="5" max="5" width="15.33203125" bestFit="1" customWidth="1"/>
    <col min="7" max="7" width="15.1640625" customWidth="1"/>
    <col min="8" max="8" width="16.1640625" customWidth="1"/>
    <col min="10" max="10" width="21.33203125" customWidth="1"/>
    <col min="11" max="11" width="22.6640625" customWidth="1"/>
  </cols>
  <sheetData>
    <row r="1" spans="1:16" x14ac:dyDescent="0.2">
      <c r="B1" s="43" t="s">
        <v>67</v>
      </c>
      <c r="C1" s="43" t="s">
        <v>21</v>
      </c>
      <c r="D1" s="43" t="s">
        <v>68</v>
      </c>
      <c r="E1" s="43" t="s">
        <v>69</v>
      </c>
      <c r="G1" s="49" t="s">
        <v>71</v>
      </c>
      <c r="H1" s="49" t="s">
        <v>72</v>
      </c>
      <c r="J1" s="50" t="s">
        <v>73</v>
      </c>
      <c r="K1" s="50" t="s">
        <v>74</v>
      </c>
      <c r="O1" s="82" t="s">
        <v>76</v>
      </c>
      <c r="P1" s="82"/>
    </row>
    <row r="2" spans="1:16" ht="19" x14ac:dyDescent="0.2">
      <c r="A2" s="53">
        <v>1</v>
      </c>
      <c r="B2" s="48" t="s">
        <v>51</v>
      </c>
      <c r="C2" s="40">
        <v>2</v>
      </c>
      <c r="D2" s="41" t="e">
        <f>#REF!</f>
        <v>#REF!</v>
      </c>
      <c r="E2" s="41" t="e">
        <f>D2*C2</f>
        <v>#REF!</v>
      </c>
      <c r="G2" s="51">
        <v>132</v>
      </c>
      <c r="H2" s="51">
        <v>149.5</v>
      </c>
      <c r="J2" s="51">
        <f>G2*C2</f>
        <v>264</v>
      </c>
      <c r="K2" s="51">
        <f>H2*C2</f>
        <v>299</v>
      </c>
      <c r="O2" s="55" t="s">
        <v>77</v>
      </c>
      <c r="P2" s="55">
        <v>1188.3430000000001</v>
      </c>
    </row>
    <row r="3" spans="1:16" ht="19" x14ac:dyDescent="0.2">
      <c r="A3" s="53">
        <v>2</v>
      </c>
      <c r="B3" s="48" t="s">
        <v>52</v>
      </c>
      <c r="C3" s="40">
        <v>7</v>
      </c>
      <c r="D3" s="47" t="e">
        <f>#REF!</f>
        <v>#REF!</v>
      </c>
      <c r="E3" s="41" t="e">
        <f t="shared" ref="E3:E17" si="0">D3*C3</f>
        <v>#REF!</v>
      </c>
      <c r="G3" s="51" t="e">
        <f>#REF!</f>
        <v>#REF!</v>
      </c>
      <c r="H3" s="51" t="e">
        <f>#REF!</f>
        <v>#REF!</v>
      </c>
      <c r="J3" s="51" t="e">
        <f t="shared" ref="J3:J17" si="1">G3*C3</f>
        <v>#REF!</v>
      </c>
      <c r="K3" s="51" t="e">
        <f t="shared" ref="K3:K17" si="2">H3*C3</f>
        <v>#REF!</v>
      </c>
      <c r="O3" s="55" t="s">
        <v>78</v>
      </c>
      <c r="P3" s="55">
        <v>1214.6869999999999</v>
      </c>
    </row>
    <row r="4" spans="1:16" ht="19" x14ac:dyDescent="0.2">
      <c r="A4" s="53">
        <v>3</v>
      </c>
      <c r="B4" s="48" t="s">
        <v>53</v>
      </c>
      <c r="C4" s="40">
        <v>1</v>
      </c>
      <c r="D4" s="47" t="e">
        <f>#REF!</f>
        <v>#REF!</v>
      </c>
      <c r="E4" s="41" t="e">
        <f t="shared" si="0"/>
        <v>#REF!</v>
      </c>
      <c r="G4" s="51" t="e">
        <f>#REF!</f>
        <v>#REF!</v>
      </c>
      <c r="H4" s="51" t="e">
        <f>#REF!</f>
        <v>#REF!</v>
      </c>
      <c r="J4" s="51" t="e">
        <f t="shared" si="1"/>
        <v>#REF!</v>
      </c>
      <c r="K4" s="51" t="e">
        <f t="shared" si="2"/>
        <v>#REF!</v>
      </c>
      <c r="O4" s="55" t="s">
        <v>79</v>
      </c>
      <c r="P4" s="55">
        <v>1062.0999999999999</v>
      </c>
    </row>
    <row r="5" spans="1:16" ht="19" x14ac:dyDescent="0.2">
      <c r="A5" s="53">
        <v>4</v>
      </c>
      <c r="B5" s="48" t="s">
        <v>54</v>
      </c>
      <c r="C5" s="40">
        <v>1</v>
      </c>
      <c r="D5" s="47" t="e">
        <f>#REF!</f>
        <v>#REF!</v>
      </c>
      <c r="E5" s="41" t="e">
        <f t="shared" si="0"/>
        <v>#REF!</v>
      </c>
      <c r="G5" s="51" t="e">
        <f>#REF!</f>
        <v>#REF!</v>
      </c>
      <c r="H5" s="51" t="e">
        <f>#REF!</f>
        <v>#REF!</v>
      </c>
      <c r="J5" s="51" t="e">
        <f t="shared" si="1"/>
        <v>#REF!</v>
      </c>
      <c r="K5" s="51" t="e">
        <f t="shared" si="2"/>
        <v>#REF!</v>
      </c>
      <c r="O5" s="55" t="s">
        <v>80</v>
      </c>
      <c r="P5" s="55">
        <v>879.38499999999999</v>
      </c>
    </row>
    <row r="6" spans="1:16" ht="19" x14ac:dyDescent="0.2">
      <c r="A6" s="53">
        <v>5</v>
      </c>
      <c r="B6" s="48" t="s">
        <v>55</v>
      </c>
      <c r="C6" s="40">
        <v>6</v>
      </c>
      <c r="D6" s="47" t="e">
        <f>#REF!</f>
        <v>#REF!</v>
      </c>
      <c r="E6" s="41" t="e">
        <f t="shared" si="0"/>
        <v>#REF!</v>
      </c>
      <c r="G6" s="51" t="e">
        <f>#REF!</f>
        <v>#REF!</v>
      </c>
      <c r="H6" s="51" t="e">
        <f>#REF!</f>
        <v>#REF!</v>
      </c>
      <c r="J6" s="51" t="e">
        <f t="shared" si="1"/>
        <v>#REF!</v>
      </c>
      <c r="K6" s="51" t="e">
        <f t="shared" si="2"/>
        <v>#REF!</v>
      </c>
      <c r="O6" s="55" t="s">
        <v>81</v>
      </c>
      <c r="P6" s="55">
        <v>928.92100000000005</v>
      </c>
    </row>
    <row r="7" spans="1:16" ht="19" x14ac:dyDescent="0.2">
      <c r="A7" s="53">
        <v>6</v>
      </c>
      <c r="B7" s="48" t="s">
        <v>56</v>
      </c>
      <c r="C7" s="40">
        <v>4</v>
      </c>
      <c r="D7" s="47" t="e">
        <f>#REF!</f>
        <v>#REF!</v>
      </c>
      <c r="E7" s="41" t="e">
        <f t="shared" si="0"/>
        <v>#REF!</v>
      </c>
      <c r="G7" s="51" t="e">
        <f>#REF!</f>
        <v>#REF!</v>
      </c>
      <c r="H7" s="51" t="e">
        <f>#REF!</f>
        <v>#REF!</v>
      </c>
      <c r="J7" s="51" t="e">
        <f t="shared" si="1"/>
        <v>#REF!</v>
      </c>
      <c r="K7" s="51" t="e">
        <f t="shared" si="2"/>
        <v>#REF!</v>
      </c>
      <c r="O7" s="55" t="s">
        <v>82</v>
      </c>
      <c r="P7" s="55">
        <v>310.76799999999997</v>
      </c>
    </row>
    <row r="8" spans="1:16" ht="19" x14ac:dyDescent="0.2">
      <c r="A8" s="53">
        <v>7</v>
      </c>
      <c r="B8" s="48" t="s">
        <v>57</v>
      </c>
      <c r="C8" s="40">
        <v>2</v>
      </c>
      <c r="D8" s="47" t="e">
        <f>#REF!</f>
        <v>#REF!</v>
      </c>
      <c r="E8" s="41" t="e">
        <f t="shared" si="0"/>
        <v>#REF!</v>
      </c>
      <c r="G8" s="51" t="e">
        <f>#REF!</f>
        <v>#REF!</v>
      </c>
      <c r="H8" s="51" t="e">
        <f>#REF!</f>
        <v>#REF!</v>
      </c>
      <c r="J8" s="51" t="e">
        <f t="shared" si="1"/>
        <v>#REF!</v>
      </c>
      <c r="K8" s="51" t="e">
        <f t="shared" si="2"/>
        <v>#REF!</v>
      </c>
      <c r="O8" s="55" t="s">
        <v>83</v>
      </c>
      <c r="P8" s="55">
        <v>1122.29</v>
      </c>
    </row>
    <row r="9" spans="1:16" ht="19" x14ac:dyDescent="0.2">
      <c r="A9" s="53">
        <v>8</v>
      </c>
      <c r="B9" s="48" t="s">
        <v>58</v>
      </c>
      <c r="C9" s="40">
        <v>1</v>
      </c>
      <c r="D9" s="47" t="e">
        <f>#REF!</f>
        <v>#REF!</v>
      </c>
      <c r="E9" s="41" t="e">
        <f t="shared" si="0"/>
        <v>#REF!</v>
      </c>
      <c r="G9" s="51" t="e">
        <f>#REF!</f>
        <v>#REF!</v>
      </c>
      <c r="H9" s="51" t="e">
        <f>#REF!</f>
        <v>#REF!</v>
      </c>
      <c r="J9" s="51" t="e">
        <f t="shared" si="1"/>
        <v>#REF!</v>
      </c>
      <c r="K9" s="51" t="e">
        <f t="shared" si="2"/>
        <v>#REF!</v>
      </c>
      <c r="O9" s="55" t="s">
        <v>84</v>
      </c>
      <c r="P9" s="55">
        <v>910.72</v>
      </c>
    </row>
    <row r="10" spans="1:16" ht="19" x14ac:dyDescent="0.2">
      <c r="A10" s="53">
        <v>9</v>
      </c>
      <c r="B10" s="48" t="s">
        <v>59</v>
      </c>
      <c r="C10" s="40">
        <v>7</v>
      </c>
      <c r="D10" s="47" t="e">
        <f>#REF!</f>
        <v>#REF!</v>
      </c>
      <c r="E10" s="41" t="e">
        <f t="shared" si="0"/>
        <v>#REF!</v>
      </c>
      <c r="G10" s="51" t="e">
        <f>#REF!</f>
        <v>#REF!</v>
      </c>
      <c r="H10" s="51" t="e">
        <f>#REF!</f>
        <v>#REF!</v>
      </c>
      <c r="J10" s="51" t="e">
        <f t="shared" si="1"/>
        <v>#REF!</v>
      </c>
      <c r="K10" s="51" t="e">
        <f t="shared" si="2"/>
        <v>#REF!</v>
      </c>
      <c r="P10" s="52">
        <f>SUM(P2:P9)</f>
        <v>7617.2139999999999</v>
      </c>
    </row>
    <row r="11" spans="1:16" ht="19" x14ac:dyDescent="0.2">
      <c r="A11" s="53">
        <v>10</v>
      </c>
      <c r="B11" s="48" t="s">
        <v>60</v>
      </c>
      <c r="C11" s="40">
        <v>4</v>
      </c>
      <c r="D11" s="47" t="e">
        <f>#REF!</f>
        <v>#REF!</v>
      </c>
      <c r="E11" s="41" t="e">
        <f t="shared" si="0"/>
        <v>#REF!</v>
      </c>
      <c r="G11" s="51" t="e">
        <f>#REF!</f>
        <v>#REF!</v>
      </c>
      <c r="H11" s="51" t="e">
        <f>#REF!</f>
        <v>#REF!</v>
      </c>
      <c r="J11" s="51" t="e">
        <f t="shared" si="1"/>
        <v>#REF!</v>
      </c>
      <c r="K11" s="51" t="e">
        <f t="shared" si="2"/>
        <v>#REF!</v>
      </c>
    </row>
    <row r="12" spans="1:16" ht="19" x14ac:dyDescent="0.2">
      <c r="A12" s="53">
        <v>11</v>
      </c>
      <c r="B12" s="48" t="s">
        <v>61</v>
      </c>
      <c r="C12" s="40">
        <v>29</v>
      </c>
      <c r="D12" s="47">
        <f>'11) CHIPRE MED. TIPO 1'!G25</f>
        <v>3783894.66</v>
      </c>
      <c r="E12" s="41">
        <f t="shared" si="0"/>
        <v>109732945.14</v>
      </c>
      <c r="G12" s="51">
        <f>'11) CHIPRE MED. TIPO 1'!E16</f>
        <v>73.2</v>
      </c>
      <c r="H12" s="51">
        <f>'11) CHIPRE MED. TIPO 1'!E10</f>
        <v>39.65</v>
      </c>
      <c r="J12" s="51">
        <f t="shared" si="1"/>
        <v>2122.8000000000002</v>
      </c>
      <c r="K12" s="51">
        <f t="shared" si="2"/>
        <v>1149.8499999999999</v>
      </c>
    </row>
    <row r="13" spans="1:16" ht="19" x14ac:dyDescent="0.2">
      <c r="A13" s="53">
        <v>12</v>
      </c>
      <c r="B13" s="48" t="s">
        <v>62</v>
      </c>
      <c r="C13" s="40">
        <v>2</v>
      </c>
      <c r="D13" s="47" t="e">
        <f>#REF!</f>
        <v>#REF!</v>
      </c>
      <c r="E13" s="41" t="e">
        <f t="shared" si="0"/>
        <v>#REF!</v>
      </c>
      <c r="G13" s="51" t="e">
        <f>#REF!</f>
        <v>#REF!</v>
      </c>
      <c r="H13" s="51" t="e">
        <f>#REF!</f>
        <v>#REF!</v>
      </c>
      <c r="J13" s="51" t="e">
        <f t="shared" si="1"/>
        <v>#REF!</v>
      </c>
      <c r="K13" s="51" t="e">
        <f t="shared" si="2"/>
        <v>#REF!</v>
      </c>
    </row>
    <row r="14" spans="1:16" ht="19" x14ac:dyDescent="0.2">
      <c r="A14" s="53">
        <v>13</v>
      </c>
      <c r="B14" s="48" t="s">
        <v>63</v>
      </c>
      <c r="C14" s="40">
        <v>2</v>
      </c>
      <c r="D14" s="47">
        <f>'13) LIBANO 1 PISO ESQ.'!G25</f>
        <v>12342373.92375</v>
      </c>
      <c r="E14" s="41">
        <f t="shared" si="0"/>
        <v>24684747.8475</v>
      </c>
      <c r="G14" s="51">
        <f>'13) LIBANO 1 PISO ESQ.'!E16</f>
        <v>192.1</v>
      </c>
      <c r="H14" s="51">
        <f>'13) LIBANO 1 PISO ESQ.'!E10</f>
        <v>220.75</v>
      </c>
      <c r="J14" s="51">
        <f t="shared" si="1"/>
        <v>384.2</v>
      </c>
      <c r="K14" s="51">
        <f t="shared" si="2"/>
        <v>441.5</v>
      </c>
      <c r="P14" s="51" t="e">
        <f>K18/P10</f>
        <v>#REF!</v>
      </c>
    </row>
    <row r="15" spans="1:16" ht="19" x14ac:dyDescent="0.2">
      <c r="A15" s="53">
        <v>14</v>
      </c>
      <c r="B15" s="48" t="s">
        <v>64</v>
      </c>
      <c r="C15" s="40">
        <v>9</v>
      </c>
      <c r="D15" s="47">
        <f>'14) LIBANO 1 PISO MED.'!G26</f>
        <v>8835335.000000285</v>
      </c>
      <c r="E15" s="41">
        <f t="shared" si="0"/>
        <v>79518015.000002563</v>
      </c>
      <c r="G15" s="51">
        <f>'14) LIBANO 1 PISO MED.'!E17</f>
        <v>163.82</v>
      </c>
      <c r="H15" s="51">
        <f>'14) LIBANO 1 PISO MED.'!E10</f>
        <v>103.8</v>
      </c>
      <c r="J15" s="51">
        <f t="shared" si="1"/>
        <v>1474.3799999999999</v>
      </c>
      <c r="K15" s="51">
        <f t="shared" si="2"/>
        <v>934.19999999999993</v>
      </c>
    </row>
    <row r="16" spans="1:16" ht="19" x14ac:dyDescent="0.2">
      <c r="A16" s="53">
        <v>15</v>
      </c>
      <c r="B16" s="48" t="s">
        <v>65</v>
      </c>
      <c r="C16" s="40">
        <v>5</v>
      </c>
      <c r="D16" s="47">
        <f>'15) LIBANO 2 PISOS MED.'!G25</f>
        <v>6668906.1757500004</v>
      </c>
      <c r="E16" s="41">
        <f t="shared" si="0"/>
        <v>33344530.878750004</v>
      </c>
      <c r="G16" s="51">
        <f>'15) LIBANO 2 PISOS MED.'!E16</f>
        <v>98.49</v>
      </c>
      <c r="H16" s="51">
        <f>'15) LIBANO 2 PISOS MED.'!E10</f>
        <v>114.79</v>
      </c>
      <c r="J16" s="51">
        <f t="shared" si="1"/>
        <v>492.45</v>
      </c>
      <c r="K16" s="51">
        <f t="shared" si="2"/>
        <v>573.95000000000005</v>
      </c>
    </row>
    <row r="17" spans="1:12" ht="19" x14ac:dyDescent="0.2">
      <c r="A17" s="53">
        <v>16</v>
      </c>
      <c r="B17" s="48" t="s">
        <v>66</v>
      </c>
      <c r="C17" s="40">
        <v>2</v>
      </c>
      <c r="D17" s="47">
        <f>'16) LIBANO ESQ.'!G25</f>
        <v>10860482.928750001</v>
      </c>
      <c r="E17" s="41">
        <f t="shared" si="0"/>
        <v>21720965.857500002</v>
      </c>
      <c r="G17" s="51">
        <f>'16) LIBANO ESQ.'!E16</f>
        <v>127.9</v>
      </c>
      <c r="H17" s="51">
        <f>'16) LIBANO ESQ.'!E10</f>
        <v>237.25</v>
      </c>
      <c r="J17" s="51">
        <f t="shared" si="1"/>
        <v>255.8</v>
      </c>
      <c r="K17" s="51">
        <f t="shared" si="2"/>
        <v>474.5</v>
      </c>
    </row>
    <row r="18" spans="1:12" x14ac:dyDescent="0.2">
      <c r="C18" s="43">
        <f>SUM(C2:C17)</f>
        <v>84</v>
      </c>
      <c r="E18" s="42" t="e">
        <f>SUM(E2:E17)</f>
        <v>#REF!</v>
      </c>
      <c r="J18" s="51" t="e">
        <f>SUM(J2:J17)</f>
        <v>#REF!</v>
      </c>
      <c r="K18" s="51" t="e">
        <f>SUM(K2:K17)</f>
        <v>#REF!</v>
      </c>
      <c r="L18" s="54" t="s">
        <v>75</v>
      </c>
    </row>
    <row r="20" spans="1:12" x14ac:dyDescent="0.2">
      <c r="B20" s="44" t="s">
        <v>70</v>
      </c>
      <c r="C20" s="45"/>
      <c r="D20" s="45"/>
      <c r="E20" s="46" t="e">
        <f>E18/C18</f>
        <v>#REF!</v>
      </c>
    </row>
  </sheetData>
  <mergeCells count="1">
    <mergeCell ref="O1:P1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16) LIBANO ESQ.</vt:lpstr>
      <vt:lpstr>15) LIBANO 2 PISOS MED.</vt:lpstr>
      <vt:lpstr>14) LIBANO 1 PISO MED.</vt:lpstr>
      <vt:lpstr>13) LIBANO 1 PISO ESQ.</vt:lpstr>
      <vt:lpstr>11) CHIPRE MED. TIPO 1 termo</vt:lpstr>
      <vt:lpstr>11) CHIPRE MED. TIPO 1</vt:lpstr>
      <vt:lpstr>LISTADO DE CASAS</vt:lpstr>
      <vt:lpstr>'11) CHIPRE MED. TIPO 1'!Área_de_impresión</vt:lpstr>
      <vt:lpstr>'11) CHIPRE MED. TIPO 1 termo'!Área_de_impresión</vt:lpstr>
      <vt:lpstr>'13) LIBANO 1 PISO ESQ.'!Área_de_impresión</vt:lpstr>
      <vt:lpstr>'14) LIBANO 1 PISO MED.'!Área_de_impresión</vt:lpstr>
      <vt:lpstr>'15) LIBANO 2 PISOS MED.'!Área_de_impresión</vt:lpstr>
      <vt:lpstr>'16) LIBANO ESQ.'!Área_de_impresión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Renso Montoya Upegui</cp:lastModifiedBy>
  <cp:revision/>
  <cp:lastPrinted>2025-08-15T13:04:01Z</cp:lastPrinted>
  <dcterms:created xsi:type="dcterms:W3CDTF">2024-02-08T21:06:52Z</dcterms:created>
  <dcterms:modified xsi:type="dcterms:W3CDTF">2025-09-24T21:00:51Z</dcterms:modified>
  <cp:category/>
  <cp:contentStatus/>
</cp:coreProperties>
</file>