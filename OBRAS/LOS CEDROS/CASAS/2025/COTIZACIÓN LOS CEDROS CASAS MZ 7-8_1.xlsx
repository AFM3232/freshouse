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E25C56D2-0E48-436B-A3E2-0C34C8BA8F2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1) CHIPRE MED. TIPO 1 termo" sheetId="25" r:id="rId5"/>
    <sheet name="11) CHIPRE MED. TIPO 1" sheetId="18" r:id="rId6"/>
    <sheet name="LISTADO DE CASAS" sheetId="24" r:id="rId7"/>
  </sheets>
  <definedNames>
    <definedName name="_xlnm.Print_Area" localSheetId="5">'11) CHIPRE MED. TIPO 1'!$A$1:$G$25</definedName>
    <definedName name="_xlnm.Print_Area" localSheetId="4">'11) CHIPRE MED. TIPO 1 termo'!$A$1:$G$25</definedName>
    <definedName name="_xlnm.Print_Area" localSheetId="3">'13) LIBANO 1 PISO ESQ.'!$A$1:$G$25</definedName>
    <definedName name="_xlnm.Print_Area" localSheetId="2">'14) LIBANO 1 PISO MED.'!$A$1:$G$25</definedName>
    <definedName name="_xlnm.Print_Area" localSheetId="1">'15) LIBANO 2 PISOS MED.'!$A$1:$G$25</definedName>
    <definedName name="_xlnm.Print_Area" localSheetId="0">'16) LIBANO ESQ.'!$A$1:$G$25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3" l="1"/>
  <c r="G18" i="25"/>
  <c r="G17" i="25"/>
  <c r="G16" i="25"/>
  <c r="G15" i="25" s="1"/>
  <c r="G14" i="25"/>
  <c r="G13" i="25"/>
  <c r="G12" i="25"/>
  <c r="G11" i="25"/>
  <c r="G10" i="25"/>
  <c r="G9" i="25" s="1"/>
  <c r="G6" i="25"/>
  <c r="O18" i="20"/>
  <c r="O17" i="20"/>
  <c r="O16" i="20"/>
  <c r="O15" i="20"/>
  <c r="O14" i="20"/>
  <c r="O13" i="20"/>
  <c r="O12" i="20"/>
  <c r="O11" i="20"/>
  <c r="O10" i="20"/>
  <c r="O6" i="20"/>
  <c r="P10" i="24"/>
  <c r="G19" i="25" l="1"/>
  <c r="G22" i="25" s="1"/>
  <c r="G23" i="25" s="1"/>
  <c r="O9" i="20"/>
  <c r="O19" i="20" s="1"/>
  <c r="K12" i="24"/>
  <c r="H17" i="24"/>
  <c r="K17" i="24" s="1"/>
  <c r="H16" i="24"/>
  <c r="K16" i="24" s="1"/>
  <c r="H15" i="24"/>
  <c r="K15" i="24" s="1"/>
  <c r="H14" i="24"/>
  <c r="K14" i="24" s="1"/>
  <c r="H13" i="24"/>
  <c r="K13" i="24" s="1"/>
  <c r="H12" i="24"/>
  <c r="H11" i="24"/>
  <c r="K11" i="24" s="1"/>
  <c r="H10" i="24"/>
  <c r="K10" i="24" s="1"/>
  <c r="H9" i="24"/>
  <c r="K9" i="24" s="1"/>
  <c r="H8" i="24"/>
  <c r="K8" i="24" s="1"/>
  <c r="H7" i="24"/>
  <c r="K7" i="24" s="1"/>
  <c r="H6" i="24"/>
  <c r="K6" i="24" s="1"/>
  <c r="H5" i="24"/>
  <c r="K5" i="24" s="1"/>
  <c r="H4" i="24"/>
  <c r="K4" i="24" s="1"/>
  <c r="H3" i="24"/>
  <c r="K3" i="24" s="1"/>
  <c r="K2" i="24"/>
  <c r="J12" i="24"/>
  <c r="J15" i="24"/>
  <c r="G17" i="24"/>
  <c r="J17" i="24" s="1"/>
  <c r="G16" i="24"/>
  <c r="J16" i="24" s="1"/>
  <c r="G15" i="24"/>
  <c r="G14" i="24"/>
  <c r="J14" i="24" s="1"/>
  <c r="G13" i="24"/>
  <c r="J13" i="24" s="1"/>
  <c r="G12" i="24"/>
  <c r="G11" i="24"/>
  <c r="J11" i="24" s="1"/>
  <c r="G10" i="24"/>
  <c r="J10" i="24" s="1"/>
  <c r="G9" i="24"/>
  <c r="J9" i="24" s="1"/>
  <c r="G8" i="24"/>
  <c r="J8" i="24" s="1"/>
  <c r="G7" i="24"/>
  <c r="J7" i="24" s="1"/>
  <c r="G6" i="24"/>
  <c r="J6" i="24" s="1"/>
  <c r="G5" i="24"/>
  <c r="J5" i="24" s="1"/>
  <c r="G4" i="24"/>
  <c r="J4" i="24" s="1"/>
  <c r="G3" i="24"/>
  <c r="J3" i="24" s="1"/>
  <c r="J2" i="24"/>
  <c r="C18" i="24"/>
  <c r="G20" i="25" l="1"/>
  <c r="G21" i="25"/>
  <c r="K18" i="24"/>
  <c r="P14" i="24" s="1"/>
  <c r="J18" i="24"/>
  <c r="G18" i="23"/>
  <c r="G17" i="23"/>
  <c r="G16" i="23"/>
  <c r="G15" i="23" s="1"/>
  <c r="G14" i="23"/>
  <c r="G13" i="23"/>
  <c r="G12" i="23"/>
  <c r="G11" i="23"/>
  <c r="G10" i="23"/>
  <c r="G6" i="23"/>
  <c r="G18" i="22"/>
  <c r="G17" i="22"/>
  <c r="G16" i="22"/>
  <c r="G15" i="22" s="1"/>
  <c r="G14" i="22"/>
  <c r="G13" i="22"/>
  <c r="G12" i="22"/>
  <c r="G11" i="22"/>
  <c r="G10" i="22"/>
  <c r="G6" i="22"/>
  <c r="G18" i="21"/>
  <c r="G17" i="21"/>
  <c r="G16" i="21"/>
  <c r="G15" i="21" s="1"/>
  <c r="G14" i="21"/>
  <c r="G13" i="21"/>
  <c r="G12" i="21"/>
  <c r="G11" i="21"/>
  <c r="G10" i="21"/>
  <c r="G6" i="21"/>
  <c r="G18" i="20"/>
  <c r="G17" i="20"/>
  <c r="G16" i="20"/>
  <c r="G15" i="20" s="1"/>
  <c r="G14" i="20"/>
  <c r="G13" i="20"/>
  <c r="G12" i="20"/>
  <c r="G11" i="20"/>
  <c r="G10" i="20"/>
  <c r="G6" i="20"/>
  <c r="G16" i="18"/>
  <c r="G15" i="18" s="1"/>
  <c r="G24" i="25" l="1"/>
  <c r="G25" i="25" s="1"/>
  <c r="G19" i="23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18" i="18"/>
  <c r="G17" i="18" s="1"/>
  <c r="G14" i="18"/>
  <c r="G13" i="18"/>
  <c r="G12" i="18"/>
  <c r="G11" i="18"/>
  <c r="G10" i="18"/>
  <c r="G6" i="18"/>
  <c r="G21" i="20" l="1"/>
  <c r="O21" i="20"/>
  <c r="O22" i="20"/>
  <c r="O23" i="20" s="1"/>
  <c r="O20" i="20"/>
  <c r="G21" i="23"/>
  <c r="G20" i="23"/>
  <c r="G21" i="22"/>
  <c r="G20" i="22"/>
  <c r="G21" i="21"/>
  <c r="G22" i="21"/>
  <c r="G23" i="21" s="1"/>
  <c r="G20" i="20"/>
  <c r="G22" i="20"/>
  <c r="G23" i="20" s="1"/>
  <c r="G9" i="18"/>
  <c r="O24" i="20" l="1"/>
  <c r="O25" i="20" s="1"/>
  <c r="G24" i="22"/>
  <c r="G25" i="22" s="1"/>
  <c r="D16" i="24" s="1"/>
  <c r="E16" i="24" s="1"/>
  <c r="G19" i="18"/>
  <c r="G21" i="18" s="1"/>
  <c r="G24" i="23"/>
  <c r="G25" i="23" s="1"/>
  <c r="D17" i="24" s="1"/>
  <c r="E17" i="24" s="1"/>
  <c r="G24" i="21"/>
  <c r="G25" i="21" s="1"/>
  <c r="D15" i="24" s="1"/>
  <c r="E15" i="24" s="1"/>
  <c r="G24" i="20"/>
  <c r="G25" i="20" s="1"/>
  <c r="D14" i="24" s="1"/>
  <c r="E14" i="24" s="1"/>
  <c r="D13" i="24"/>
  <c r="E13" i="24" s="1"/>
  <c r="D6" i="24" l="1"/>
  <c r="E6" i="24" s="1"/>
  <c r="G20" i="18"/>
  <c r="G22" i="18"/>
  <c r="G23" i="18" s="1"/>
  <c r="D8" i="24"/>
  <c r="E8" i="24" s="1"/>
  <c r="D9" i="24"/>
  <c r="E9" i="24" s="1"/>
  <c r="D4" i="24"/>
  <c r="E4" i="24" s="1"/>
  <c r="D11" i="24"/>
  <c r="E11" i="24" s="1"/>
  <c r="D10" i="24"/>
  <c r="E10" i="24" s="1"/>
  <c r="D7" i="24"/>
  <c r="E7" i="24" s="1"/>
  <c r="D5" i="24"/>
  <c r="E5" i="24" s="1"/>
  <c r="D3" i="24"/>
  <c r="E3" i="24" s="1"/>
  <c r="D2" i="24"/>
  <c r="E2" i="24" s="1"/>
  <c r="G24" i="18" l="1"/>
  <c r="G25" i="18" s="1"/>
  <c r="D12" i="24" s="1"/>
  <c r="E12" i="24" s="1"/>
  <c r="E18" i="24"/>
  <c r="E20" i="24" s="1"/>
</calcChain>
</file>

<file path=xl/sharedStrings.xml><?xml version="1.0" encoding="utf-8"?>
<sst xmlns="http://schemas.openxmlformats.org/spreadsheetml/2006/main" count="418" uniqueCount="95">
  <si>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</si>
  <si>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</si>
  <si>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</si>
  <si>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</si>
  <si>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</si>
  <si>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</si>
  <si>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</si>
  <si>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</si>
  <si>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</si>
  <si>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</si>
  <si>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</si>
  <si>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</si>
  <si>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</si>
  <si>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</si>
  <si>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</si>
  <si>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</si>
  <si>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</si>
  <si>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</si>
  <si>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</si>
  <si>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</si>
  <si>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</si>
  <si>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</si>
  <si>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</si>
  <si>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</si>
  <si>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</si>
  <si>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</si>
  <si>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</si>
  <si>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</si>
  <si>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</si>
  <si>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</si>
  <si>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</si>
  <si>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</si>
  <si>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</si>
  <si>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</si>
  <si>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</si>
  <si>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</si>
  <si>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</si>
  <si>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</si>
  <si>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</si>
  <si>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</si>
  <si>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</si>
  <si>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</si>
  <si>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</si>
  <si>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</si>
  <si>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</si>
  <si>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</si>
  <si>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</si>
  <si>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</si>
  <si>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</si>
  <si>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</si>
  <si>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</si>
  <si>
    <t>HIMALAYA ESQ. TIPO 1</t>
  </si>
  <si>
    <t>HIMALAYA ESQ. TIPO 2</t>
  </si>
  <si>
    <t>HIMALAYA ESQ. TIPO 3 ESP</t>
  </si>
  <si>
    <t>HIMALAYA ESQ. TIPO 4</t>
  </si>
  <si>
    <t>HIMALAYA MED. TIPO 1</t>
  </si>
  <si>
    <t>HIMALAYA MED. TIPO 2</t>
  </si>
  <si>
    <t>ATLAS ESQ. TIPO 1</t>
  </si>
  <si>
    <t>ATLAS ESQ. TIPO 2</t>
  </si>
  <si>
    <t>ATLAS MED. TIPO 1</t>
  </si>
  <si>
    <t>CHIPRE ESQ. TIPO 1</t>
  </si>
  <si>
    <t>CHIPRE MED. TIPO 1</t>
  </si>
  <si>
    <t>HIMALAYA CAMPESTRE</t>
  </si>
  <si>
    <t>LIBANO 1 PISO ESQ.</t>
  </si>
  <si>
    <t>LIBANO 1 PISO MED.</t>
  </si>
  <si>
    <t>LIBANO 2 PISOS MED.</t>
  </si>
  <si>
    <t>LIBANO ESQ.</t>
  </si>
  <si>
    <t>TIPO DE CASA</t>
  </si>
  <si>
    <t>VALOR UNITARIO</t>
  </si>
  <si>
    <t>TOTAL</t>
  </si>
  <si>
    <t>PROMEDIO POR CASA</t>
  </si>
  <si>
    <t>AREA CUBIERTA</t>
  </si>
  <si>
    <t>AREA FACHADA</t>
  </si>
  <si>
    <t>AREA CUBIERTA TOTAL</t>
  </si>
  <si>
    <t>AREA FACHADA TOTAL</t>
  </si>
  <si>
    <t>= 25% VENTANAS</t>
  </si>
  <si>
    <t>AREAS PLANOS</t>
  </si>
  <si>
    <t>MZ 1</t>
  </si>
  <si>
    <t>MZ 2</t>
  </si>
  <si>
    <t>MZ 3</t>
  </si>
  <si>
    <t>MZ 4</t>
  </si>
  <si>
    <t>MZ 5</t>
  </si>
  <si>
    <t>MZ 6</t>
  </si>
  <si>
    <t>MZ 7</t>
  </si>
  <si>
    <t>MZ 8</t>
  </si>
  <si>
    <t>Mantenimiento general de cubierta, revisión de anclajes, sellos, flanches, etc | Suministro y aplicación de Pintucofill 7 de Pintuco</t>
  </si>
  <si>
    <t>Pintura en fachadas exteriores Koraza Pro 550. A dos manos respetando ficha tecnica de fabricante</t>
  </si>
  <si>
    <t>Limpieza de fachadas y desprendimiento de material desprendido, Eliminación de hongos con aplicación de hipoclorito al 10%</t>
  </si>
  <si>
    <t>Limpieza y sello con sellante tipo hibrido Multibond de la marca Soudal, alrededor de ventanas de fachada  (30%)</t>
  </si>
  <si>
    <t>en color</t>
  </si>
  <si>
    <t>92000 pintada</t>
  </si>
  <si>
    <t xml:space="preserve">  FECHA: 28/07/2025</t>
  </si>
  <si>
    <t xml:space="preserve">  VALIDO HASTA: 28/10/2025</t>
  </si>
  <si>
    <t>Gerencia@freshouse.com.co</t>
  </si>
  <si>
    <t>Calle 19 Norte 18-64 Ed. Atlantis piso 3 local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</si>
</sst>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164" fontId="0" fillId="0" borderId="6" xfId="2" applyNumberFormat="1" applyFont="1" applyBorder="1"/>
    <xf numFmtId="164" fontId="0" fillId="6" borderId="6" xfId="0" applyNumberFormat="1" applyFill="1" applyBorder="1"/>
    <xf numFmtId="0" fontId="0" fillId="6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164" fontId="0" fillId="0" borderId="8" xfId="0" applyNumberFormat="1" applyBorder="1"/>
    <xf numFmtId="164" fontId="0" fillId="7" borderId="6" xfId="2" applyNumberFormat="1" applyFont="1" applyFill="1" applyBorder="1"/>
    <xf numFmtId="0" fontId="0" fillId="7" borderId="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164" fontId="4" fillId="5" borderId="1" xfId="0" applyNumberFormat="1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23" Type="http://schemas.microsoft.com/office/2022/10/relationships/richValueRel" Target="richData/richValueRel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277128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B73173-DB53-41A0-BF26-C063CC7E9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abSelected="1" topLeftCell="A16" zoomScale="66" zoomScaleNormal="66" workbookViewId="0">
      <selection activeCell="G25" sqref="A1:G25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8" ht="30" x14ac:dyDescent="0.3">
      <c r="A2" s="75" t="s">
        <v>13</v>
      </c>
      <c r="B2" s="76"/>
      <c r="C2" s="3" t="s">
        <v>94</v>
      </c>
      <c r="D2" s="3" t="s">
        <v>15</v>
      </c>
      <c r="E2" s="3" t="s">
        <v>16</v>
      </c>
      <c r="F2" s="77"/>
      <c r="G2" s="78"/>
    </row>
    <row r="3" spans="1:8" ht="15" x14ac:dyDescent="0.3">
      <c r="A3" s="75" t="s">
        <v>17</v>
      </c>
      <c r="B3" s="76"/>
      <c r="C3" s="84" t="s">
        <v>93</v>
      </c>
      <c r="D3" s="75" t="s">
        <v>91</v>
      </c>
      <c r="E3" s="76"/>
      <c r="F3" s="79"/>
      <c r="G3" s="80"/>
      <c r="H3"/>
    </row>
    <row r="4" spans="1:8" ht="40.5" customHeight="1" x14ac:dyDescent="0.3">
      <c r="A4" s="75" t="s">
        <v>18</v>
      </c>
      <c r="B4" s="76"/>
      <c r="C4" s="3" t="s">
        <v>19</v>
      </c>
      <c r="D4" s="75" t="s">
        <v>92</v>
      </c>
      <c r="E4" s="76"/>
      <c r="F4" s="81"/>
      <c r="G4" s="82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4530206.4749999996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237.25</v>
      </c>
      <c r="F10" s="7">
        <v>3146</v>
      </c>
      <c r="G10" s="6">
        <f>F10*E10</f>
        <v>746388.5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36531</v>
      </c>
      <c r="G11" s="6">
        <f t="shared" ref="G11:G14" si="0">F11*E11</f>
        <v>318732.97499999998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70</v>
      </c>
      <c r="F12" s="7">
        <v>5200</v>
      </c>
      <c r="G12" s="6">
        <f t="shared" si="0"/>
        <v>364000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171.25</v>
      </c>
      <c r="F13" s="7">
        <v>16964</v>
      </c>
      <c r="G13" s="6">
        <f t="shared" si="0"/>
        <v>2905085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12.25</v>
      </c>
      <c r="F14" s="7">
        <v>16000</v>
      </c>
      <c r="G14" s="6">
        <f t="shared" si="0"/>
        <v>196000</v>
      </c>
    </row>
    <row r="15" spans="1:8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3095180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127.9</v>
      </c>
      <c r="F16" s="5">
        <v>24200</v>
      </c>
      <c r="G16" s="6">
        <f>F16*E16</f>
        <v>3095180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7725386.4749999996</v>
      </c>
    </row>
    <row r="20" spans="1:7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618030.91799999995</v>
      </c>
    </row>
    <row r="21" spans="1:7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386269.32374999998</v>
      </c>
    </row>
    <row r="22" spans="1:7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386269.32374999998</v>
      </c>
    </row>
    <row r="23" spans="1:7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73391.17151249999</v>
      </c>
    </row>
    <row r="24" spans="1:7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1463960.7370124999</v>
      </c>
    </row>
    <row r="25" spans="1:7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9189347.2120124996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16" zoomScale="66" zoomScaleNormal="66" workbookViewId="0">
      <selection activeCell="G25" sqref="A1:G25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8" ht="30" x14ac:dyDescent="0.3">
      <c r="A2" s="75" t="s">
        <v>13</v>
      </c>
      <c r="B2" s="76"/>
      <c r="C2" s="3" t="s">
        <v>94</v>
      </c>
      <c r="D2" s="3" t="s">
        <v>15</v>
      </c>
      <c r="E2" s="3" t="s">
        <v>16</v>
      </c>
      <c r="F2" s="77"/>
      <c r="G2" s="78"/>
    </row>
    <row r="3" spans="1:8" ht="30" customHeight="1" x14ac:dyDescent="0.3">
      <c r="A3" s="75" t="s">
        <v>17</v>
      </c>
      <c r="B3" s="76"/>
      <c r="C3" s="84" t="s">
        <v>93</v>
      </c>
      <c r="D3" s="75" t="s">
        <v>91</v>
      </c>
      <c r="E3" s="76"/>
      <c r="F3" s="79"/>
      <c r="G3" s="80"/>
      <c r="H3"/>
    </row>
    <row r="4" spans="1:8" ht="40.5" customHeight="1" x14ac:dyDescent="0.3">
      <c r="A4" s="75" t="s">
        <v>18</v>
      </c>
      <c r="B4" s="76"/>
      <c r="C4" s="3" t="s">
        <v>19</v>
      </c>
      <c r="D4" s="75" t="s">
        <v>92</v>
      </c>
      <c r="E4" s="76"/>
      <c r="F4" s="81"/>
      <c r="G4" s="82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2375776.662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114.79</v>
      </c>
      <c r="F10" s="7">
        <v>3146</v>
      </c>
      <c r="G10" s="6">
        <f>F10*E10</f>
        <v>361129.34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3.302</v>
      </c>
      <c r="F11" s="7">
        <v>36531</v>
      </c>
      <c r="G11" s="6">
        <f t="shared" ref="G11:G14" si="0">F11*E11</f>
        <v>120625.36200000001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5200</v>
      </c>
      <c r="G12" s="6">
        <f t="shared" si="0"/>
        <v>228800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91.89</v>
      </c>
      <c r="F13" s="7">
        <v>16964</v>
      </c>
      <c r="G13" s="6">
        <f t="shared" si="0"/>
        <v>1558821.96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6.65</v>
      </c>
      <c r="F14" s="7">
        <v>16000</v>
      </c>
      <c r="G14" s="6">
        <f t="shared" si="0"/>
        <v>106400</v>
      </c>
    </row>
    <row r="15" spans="1:8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2383458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98.49</v>
      </c>
      <c r="F16" s="5">
        <v>24200</v>
      </c>
      <c r="G16" s="6">
        <f>F16*E16</f>
        <v>2383458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4859234.6620000005</v>
      </c>
    </row>
    <row r="20" spans="1:7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388738.77296000003</v>
      </c>
    </row>
    <row r="21" spans="1:7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242961.73310000004</v>
      </c>
    </row>
    <row r="22" spans="1:7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242961.73310000004</v>
      </c>
    </row>
    <row r="23" spans="1:7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46162.72928900001</v>
      </c>
    </row>
    <row r="24" spans="1:7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920824.96844900015</v>
      </c>
    </row>
    <row r="25" spans="1:7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5780059.6304490007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13" zoomScale="66" zoomScaleNormal="66" workbookViewId="0">
      <selection activeCell="G25" sqref="G25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8" ht="30" x14ac:dyDescent="0.3">
      <c r="A2" s="75" t="s">
        <v>13</v>
      </c>
      <c r="B2" s="76"/>
      <c r="C2" s="3" t="s">
        <v>94</v>
      </c>
      <c r="D2" s="3" t="s">
        <v>15</v>
      </c>
      <c r="E2" s="3" t="s">
        <v>16</v>
      </c>
      <c r="F2" s="77"/>
      <c r="G2" s="78"/>
    </row>
    <row r="3" spans="1:8" ht="30" customHeight="1" x14ac:dyDescent="0.3">
      <c r="A3" s="75" t="s">
        <v>17</v>
      </c>
      <c r="B3" s="76"/>
      <c r="C3" s="84" t="s">
        <v>93</v>
      </c>
      <c r="D3" s="75" t="s">
        <v>91</v>
      </c>
      <c r="E3" s="76"/>
      <c r="F3" s="79"/>
      <c r="G3" s="80"/>
      <c r="H3"/>
    </row>
    <row r="4" spans="1:8" ht="40.5" customHeight="1" x14ac:dyDescent="0.3">
      <c r="A4" s="75" t="s">
        <v>18</v>
      </c>
      <c r="B4" s="76"/>
      <c r="C4" s="3" t="s">
        <v>19</v>
      </c>
      <c r="D4" s="75" t="s">
        <v>92</v>
      </c>
      <c r="E4" s="76"/>
      <c r="F4" s="81"/>
      <c r="G4" s="82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2272216.4000000004</v>
      </c>
    </row>
    <row r="10" spans="1:8" ht="38.4" customHeight="1" x14ac:dyDescent="0.3">
      <c r="A10" s="20"/>
      <c r="B10" s="24" t="s">
        <v>37</v>
      </c>
      <c r="C10" s="30" t="s">
        <v>87</v>
      </c>
      <c r="D10" s="27" t="s">
        <v>46</v>
      </c>
      <c r="E10" s="18">
        <v>103.8</v>
      </c>
      <c r="F10" s="7">
        <v>3146</v>
      </c>
      <c r="G10" s="6">
        <f>F10*E10</f>
        <v>326554.8</v>
      </c>
    </row>
    <row r="11" spans="1:8" ht="35.4" customHeight="1" x14ac:dyDescent="0.3">
      <c r="A11" s="20"/>
      <c r="B11" s="24" t="s">
        <v>38</v>
      </c>
      <c r="C11" s="30" t="s">
        <v>50</v>
      </c>
      <c r="D11" s="27" t="s">
        <v>46</v>
      </c>
      <c r="E11" s="18">
        <v>4</v>
      </c>
      <c r="F11" s="7">
        <v>36531</v>
      </c>
      <c r="G11" s="6">
        <f t="shared" ref="G11:G14" si="0">F11*E11</f>
        <v>146124</v>
      </c>
    </row>
    <row r="12" spans="1:8" ht="38.4" customHeight="1" x14ac:dyDescent="0.3">
      <c r="A12" s="20"/>
      <c r="B12" s="24" t="s">
        <v>39</v>
      </c>
      <c r="C12" s="30" t="s">
        <v>48</v>
      </c>
      <c r="D12" s="27" t="s">
        <v>2</v>
      </c>
      <c r="E12" s="18">
        <v>14</v>
      </c>
      <c r="F12" s="7">
        <v>5200</v>
      </c>
      <c r="G12" s="6">
        <f t="shared" si="0"/>
        <v>72800</v>
      </c>
    </row>
    <row r="13" spans="1:8" ht="40.799999999999997" customHeight="1" x14ac:dyDescent="0.3">
      <c r="A13" s="20"/>
      <c r="B13" s="24" t="s">
        <v>40</v>
      </c>
      <c r="C13" s="30" t="s">
        <v>86</v>
      </c>
      <c r="D13" s="27" t="s">
        <v>46</v>
      </c>
      <c r="E13" s="18">
        <v>68.400000000000006</v>
      </c>
      <c r="F13" s="7">
        <v>16964</v>
      </c>
      <c r="G13" s="6">
        <f t="shared" si="0"/>
        <v>1160337.6000000001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35.4</v>
      </c>
      <c r="F14" s="7">
        <v>16000</v>
      </c>
      <c r="G14" s="6">
        <f t="shared" si="0"/>
        <v>566400</v>
      </c>
    </row>
    <row r="15" spans="1:8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3964444</v>
      </c>
    </row>
    <row r="16" spans="1:8" ht="36" customHeight="1" x14ac:dyDescent="0.3">
      <c r="A16" s="21"/>
      <c r="B16" s="25" t="s">
        <v>42</v>
      </c>
      <c r="C16" s="30" t="s">
        <v>85</v>
      </c>
      <c r="D16" s="28" t="s">
        <v>46</v>
      </c>
      <c r="E16" s="15">
        <v>163.82</v>
      </c>
      <c r="F16" s="5">
        <v>24200</v>
      </c>
      <c r="G16" s="6">
        <f>F16*E16</f>
        <v>3964444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6336660.4000000004</v>
      </c>
    </row>
    <row r="20" spans="1:7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506932.83200000005</v>
      </c>
    </row>
    <row r="21" spans="1:7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316833.02</v>
      </c>
    </row>
    <row r="22" spans="1:7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316833.02</v>
      </c>
    </row>
    <row r="23" spans="1:7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60198.273800000003</v>
      </c>
    </row>
    <row r="24" spans="1:7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1200797.1458000001</v>
      </c>
    </row>
    <row r="25" spans="1:7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7537457.5458000004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O25"/>
  <sheetViews>
    <sheetView topLeftCell="B16" zoomScale="66" zoomScaleNormal="66" workbookViewId="0">
      <selection activeCell="G25" sqref="G25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9" width="7.6640625" style="1" customWidth="1"/>
    <col min="10" max="10" width="8.33203125" style="1" customWidth="1"/>
    <col min="11" max="11" width="74" style="1" customWidth="1"/>
    <col min="12" max="12" width="11.21875" style="1" customWidth="1"/>
    <col min="13" max="13" width="12.88671875" style="1" customWidth="1"/>
    <col min="14" max="14" width="13.5546875" style="1" customWidth="1"/>
    <col min="15" max="15" width="17.109375" style="1" customWidth="1"/>
    <col min="16" max="16384" width="12.33203125" style="1"/>
  </cols>
  <sheetData>
    <row r="1" spans="1:15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15" ht="30" x14ac:dyDescent="0.3">
      <c r="A2" s="75" t="s">
        <v>13</v>
      </c>
      <c r="B2" s="76"/>
      <c r="C2" s="3" t="s">
        <v>94</v>
      </c>
      <c r="D2" s="3" t="s">
        <v>15</v>
      </c>
      <c r="E2" s="3" t="s">
        <v>16</v>
      </c>
      <c r="F2" s="77"/>
      <c r="G2" s="78"/>
    </row>
    <row r="3" spans="1:15" ht="30" customHeight="1" x14ac:dyDescent="0.3">
      <c r="A3" s="75" t="s">
        <v>17</v>
      </c>
      <c r="B3" s="76"/>
      <c r="C3" s="84" t="s">
        <v>93</v>
      </c>
      <c r="D3" s="75" t="s">
        <v>91</v>
      </c>
      <c r="E3" s="76"/>
      <c r="F3" s="79"/>
      <c r="G3" s="80"/>
      <c r="H3"/>
    </row>
    <row r="4" spans="1:15" ht="40.5" customHeight="1" x14ac:dyDescent="0.3">
      <c r="A4" s="75" t="s">
        <v>18</v>
      </c>
      <c r="B4" s="76"/>
      <c r="C4" s="3" t="s">
        <v>19</v>
      </c>
      <c r="D4" s="75" t="s">
        <v>92</v>
      </c>
      <c r="E4" s="76"/>
      <c r="F4" s="81"/>
      <c r="G4" s="82"/>
      <c r="H4"/>
    </row>
    <row r="5" spans="1:15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15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  <c r="I6" s="19" t="s">
        <v>5</v>
      </c>
      <c r="J6" s="16"/>
      <c r="K6" s="16" t="s">
        <v>6</v>
      </c>
      <c r="L6" s="16"/>
      <c r="M6" s="16"/>
      <c r="N6" s="16"/>
      <c r="O6" s="4">
        <f>SUM(O7:O8)</f>
        <v>0</v>
      </c>
    </row>
    <row r="7" spans="1:15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  <c r="I7" s="14"/>
      <c r="J7" s="23">
        <v>1.1000000000000001</v>
      </c>
      <c r="K7" s="30" t="s">
        <v>28</v>
      </c>
      <c r="L7" s="26" t="s">
        <v>25</v>
      </c>
      <c r="M7" s="15">
        <v>1</v>
      </c>
      <c r="N7" s="31" t="s">
        <v>32</v>
      </c>
      <c r="O7" s="6"/>
    </row>
    <row r="8" spans="1:15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  <c r="I8" s="14"/>
      <c r="J8" s="23">
        <v>1.2</v>
      </c>
      <c r="K8" s="30" t="s">
        <v>29</v>
      </c>
      <c r="L8" s="26" t="s">
        <v>24</v>
      </c>
      <c r="M8" s="15">
        <v>1</v>
      </c>
      <c r="N8" s="31" t="s">
        <v>32</v>
      </c>
      <c r="O8" s="6"/>
    </row>
    <row r="9" spans="1:15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4390463.8100000005</v>
      </c>
      <c r="I9" s="32">
        <v>2</v>
      </c>
      <c r="J9" s="22"/>
      <c r="K9" s="33" t="s">
        <v>33</v>
      </c>
      <c r="L9" s="22"/>
      <c r="M9" s="34"/>
      <c r="N9" s="22"/>
      <c r="O9" s="36">
        <f>SUM(O10:O14)</f>
        <v>4390463.8100000005</v>
      </c>
    </row>
    <row r="10" spans="1:15" ht="28.8" customHeight="1" x14ac:dyDescent="0.3">
      <c r="A10" s="20"/>
      <c r="B10" s="24" t="s">
        <v>37</v>
      </c>
      <c r="C10" s="30" t="s">
        <v>87</v>
      </c>
      <c r="D10" s="27" t="s">
        <v>46</v>
      </c>
      <c r="E10" s="18">
        <v>220.75</v>
      </c>
      <c r="F10" s="7">
        <v>3146</v>
      </c>
      <c r="G10" s="6">
        <f>F10*E10</f>
        <v>694479.5</v>
      </c>
      <c r="I10" s="20"/>
      <c r="J10" s="24" t="s">
        <v>37</v>
      </c>
      <c r="K10" s="30" t="s">
        <v>87</v>
      </c>
      <c r="L10" s="27" t="s">
        <v>46</v>
      </c>
      <c r="M10" s="18">
        <v>220.75</v>
      </c>
      <c r="N10" s="7">
        <v>3146</v>
      </c>
      <c r="O10" s="6">
        <f>N10*M10</f>
        <v>694479.5</v>
      </c>
    </row>
    <row r="11" spans="1:15" ht="35.4" customHeight="1" x14ac:dyDescent="0.3">
      <c r="A11" s="20"/>
      <c r="B11" s="24" t="s">
        <v>38</v>
      </c>
      <c r="C11" s="30" t="s">
        <v>50</v>
      </c>
      <c r="D11" s="27" t="s">
        <v>46</v>
      </c>
      <c r="E11" s="18">
        <v>7.61</v>
      </c>
      <c r="F11" s="7">
        <v>36531</v>
      </c>
      <c r="G11" s="6">
        <f t="shared" ref="G11:G14" si="0">F11*E11</f>
        <v>278000.91000000003</v>
      </c>
      <c r="I11" s="20"/>
      <c r="J11" s="24" t="s">
        <v>38</v>
      </c>
      <c r="K11" s="30" t="s">
        <v>50</v>
      </c>
      <c r="L11" s="27" t="s">
        <v>46</v>
      </c>
      <c r="M11" s="18">
        <v>7.61</v>
      </c>
      <c r="N11" s="7">
        <v>36531</v>
      </c>
      <c r="O11" s="6">
        <f t="shared" ref="O11:O14" si="1">N11*M11</f>
        <v>278000.91000000003</v>
      </c>
    </row>
    <row r="12" spans="1:15" ht="30" x14ac:dyDescent="0.3">
      <c r="A12" s="20"/>
      <c r="B12" s="24" t="s">
        <v>39</v>
      </c>
      <c r="C12" s="30" t="s">
        <v>48</v>
      </c>
      <c r="D12" s="27" t="s">
        <v>2</v>
      </c>
      <c r="E12" s="18">
        <v>53</v>
      </c>
      <c r="F12" s="7">
        <v>5200</v>
      </c>
      <c r="G12" s="6">
        <f t="shared" si="0"/>
        <v>275600</v>
      </c>
      <c r="I12" s="20"/>
      <c r="J12" s="24" t="s">
        <v>39</v>
      </c>
      <c r="K12" s="57" t="s">
        <v>88</v>
      </c>
      <c r="L12" s="27" t="s">
        <v>2</v>
      </c>
      <c r="M12" s="18">
        <v>53</v>
      </c>
      <c r="N12" s="56">
        <v>5200</v>
      </c>
      <c r="O12" s="6">
        <f t="shared" si="1"/>
        <v>275600</v>
      </c>
    </row>
    <row r="13" spans="1:15" ht="40.799999999999997" customHeight="1" x14ac:dyDescent="0.3">
      <c r="A13" s="20"/>
      <c r="B13" s="24" t="s">
        <v>40</v>
      </c>
      <c r="C13" s="30" t="s">
        <v>86</v>
      </c>
      <c r="D13" s="27" t="s">
        <v>46</v>
      </c>
      <c r="E13" s="18">
        <v>151.85</v>
      </c>
      <c r="F13" s="7">
        <v>16964</v>
      </c>
      <c r="G13" s="6">
        <f t="shared" si="0"/>
        <v>2575983.4</v>
      </c>
      <c r="I13" s="20"/>
      <c r="J13" s="24" t="s">
        <v>40</v>
      </c>
      <c r="K13" s="30" t="s">
        <v>86</v>
      </c>
      <c r="L13" s="27" t="s">
        <v>46</v>
      </c>
      <c r="M13" s="18">
        <v>151.85</v>
      </c>
      <c r="N13" s="7">
        <v>16964</v>
      </c>
      <c r="O13" s="6">
        <f t="shared" si="1"/>
        <v>2575983.4</v>
      </c>
    </row>
    <row r="14" spans="1:15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35.4</v>
      </c>
      <c r="F14" s="7">
        <v>16000</v>
      </c>
      <c r="G14" s="6">
        <f t="shared" si="0"/>
        <v>566400</v>
      </c>
      <c r="I14" s="20"/>
      <c r="J14" s="24" t="s">
        <v>41</v>
      </c>
      <c r="K14" s="30" t="s">
        <v>31</v>
      </c>
      <c r="L14" s="27" t="s">
        <v>46</v>
      </c>
      <c r="M14" s="18">
        <v>35.4</v>
      </c>
      <c r="N14" s="7">
        <v>16000</v>
      </c>
      <c r="O14" s="6">
        <f t="shared" si="1"/>
        <v>566400</v>
      </c>
    </row>
    <row r="15" spans="1:15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4648820</v>
      </c>
      <c r="I15" s="19">
        <v>3</v>
      </c>
      <c r="J15" s="22"/>
      <c r="K15" s="64" t="s">
        <v>43</v>
      </c>
      <c r="L15" s="65"/>
      <c r="M15" s="65"/>
      <c r="N15" s="66"/>
      <c r="O15" s="36">
        <f>SUM(O16:O16)</f>
        <v>4164728</v>
      </c>
    </row>
    <row r="16" spans="1:15" ht="36" customHeight="1" x14ac:dyDescent="0.3">
      <c r="A16" s="21"/>
      <c r="B16" s="25" t="s">
        <v>42</v>
      </c>
      <c r="C16" s="30" t="s">
        <v>85</v>
      </c>
      <c r="D16" s="28" t="s">
        <v>46</v>
      </c>
      <c r="E16" s="15">
        <v>192.1</v>
      </c>
      <c r="F16" s="5">
        <v>24200</v>
      </c>
      <c r="G16" s="6">
        <f>F16*E16</f>
        <v>4648820</v>
      </c>
      <c r="I16" s="21"/>
      <c r="J16" s="25" t="s">
        <v>42</v>
      </c>
      <c r="K16" s="30" t="s">
        <v>85</v>
      </c>
      <c r="L16" s="28" t="s">
        <v>46</v>
      </c>
      <c r="M16" s="15">
        <v>192.1</v>
      </c>
      <c r="N16" s="5">
        <v>21680</v>
      </c>
      <c r="O16" s="6">
        <f>N16*M16</f>
        <v>4164728</v>
      </c>
    </row>
    <row r="17" spans="1:15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  <c r="I17" s="19">
        <v>4</v>
      </c>
      <c r="J17" s="22"/>
      <c r="K17" s="29" t="s">
        <v>26</v>
      </c>
      <c r="L17" s="22"/>
      <c r="M17" s="17"/>
      <c r="N17" s="16"/>
      <c r="O17" s="36">
        <f>SUM(O18:O18)</f>
        <v>100000</v>
      </c>
    </row>
    <row r="18" spans="1:15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  <c r="I18" s="21"/>
      <c r="J18" s="25" t="s">
        <v>44</v>
      </c>
      <c r="K18" s="30" t="s">
        <v>30</v>
      </c>
      <c r="L18" s="28" t="s">
        <v>25</v>
      </c>
      <c r="M18" s="15">
        <v>1</v>
      </c>
      <c r="N18" s="5">
        <v>100000</v>
      </c>
      <c r="O18" s="6">
        <f>N18*M18</f>
        <v>100000</v>
      </c>
    </row>
    <row r="19" spans="1:15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9139283.8100000005</v>
      </c>
      <c r="I19" s="8"/>
      <c r="J19" s="9"/>
      <c r="K19" s="9"/>
      <c r="L19" s="67" t="s">
        <v>7</v>
      </c>
      <c r="M19" s="68"/>
      <c r="N19" s="69"/>
      <c r="O19" s="38">
        <f>+O9+O17+O15</f>
        <v>8655191.8100000005</v>
      </c>
    </row>
    <row r="20" spans="1:15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731142.70480000007</v>
      </c>
      <c r="I20" s="8"/>
      <c r="J20" s="9"/>
      <c r="K20" s="9"/>
      <c r="L20" s="70" t="s">
        <v>8</v>
      </c>
      <c r="M20" s="71"/>
      <c r="N20" s="10">
        <v>0.08</v>
      </c>
      <c r="O20" s="11">
        <f>+$G$19*N20</f>
        <v>731142.70480000007</v>
      </c>
    </row>
    <row r="21" spans="1:15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456964.19050000003</v>
      </c>
      <c r="I21" s="8"/>
      <c r="J21" s="9"/>
      <c r="K21" s="9"/>
      <c r="L21" s="70" t="s">
        <v>9</v>
      </c>
      <c r="M21" s="71"/>
      <c r="N21" s="10">
        <v>0.05</v>
      </c>
      <c r="O21" s="11">
        <f>+$G$19*N21</f>
        <v>456964.19050000003</v>
      </c>
    </row>
    <row r="22" spans="1:15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456964.19050000003</v>
      </c>
      <c r="I22" s="8"/>
      <c r="J22" s="9"/>
      <c r="K22" s="9"/>
      <c r="L22" s="70" t="s">
        <v>10</v>
      </c>
      <c r="M22" s="71"/>
      <c r="N22" s="10">
        <v>0.05</v>
      </c>
      <c r="O22" s="11">
        <f>+$G$19*N22</f>
        <v>456964.19050000003</v>
      </c>
    </row>
    <row r="23" spans="1:15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86823.196195000011</v>
      </c>
      <c r="I23" s="8"/>
      <c r="J23" s="9"/>
      <c r="K23" s="9"/>
      <c r="L23" s="70" t="s">
        <v>3</v>
      </c>
      <c r="M23" s="71"/>
      <c r="N23" s="10">
        <v>0.19</v>
      </c>
      <c r="O23" s="11">
        <f>+O22*N23</f>
        <v>86823.196195000011</v>
      </c>
    </row>
    <row r="24" spans="1:15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1731894.2819950001</v>
      </c>
      <c r="I24" s="8"/>
      <c r="J24" s="9"/>
      <c r="K24" s="9"/>
      <c r="L24" s="58" t="s">
        <v>11</v>
      </c>
      <c r="M24" s="59"/>
      <c r="N24" s="60"/>
      <c r="O24" s="39">
        <f>+O20+O21+O22+O23</f>
        <v>1731894.2819950001</v>
      </c>
    </row>
    <row r="25" spans="1:15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10871178.091995001</v>
      </c>
      <c r="I25" s="8"/>
      <c r="J25" s="9"/>
      <c r="K25" s="9"/>
      <c r="L25" s="61" t="s">
        <v>12</v>
      </c>
      <c r="M25" s="62"/>
      <c r="N25" s="63"/>
      <c r="O25" s="12">
        <f>+O19+O24</f>
        <v>10387086.091995001</v>
      </c>
    </row>
  </sheetData>
  <mergeCells count="23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  <mergeCell ref="L23:M23"/>
    <mergeCell ref="L24:N24"/>
    <mergeCell ref="L25:N25"/>
    <mergeCell ref="K15:N15"/>
    <mergeCell ref="L19:N19"/>
    <mergeCell ref="L20:M20"/>
    <mergeCell ref="L21:M21"/>
    <mergeCell ref="L22:M22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E1A9-E5BD-465D-B3F8-3D6CB4BA7622}">
  <dimension ref="A1:I25"/>
  <sheetViews>
    <sheetView topLeftCell="A8" zoomScale="66" zoomScaleNormal="66" workbookViewId="0">
      <selection activeCell="F17" sqref="F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9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9" ht="30" x14ac:dyDescent="0.3">
      <c r="A2" s="75" t="s">
        <v>13</v>
      </c>
      <c r="B2" s="76"/>
      <c r="C2" s="3" t="s">
        <v>14</v>
      </c>
      <c r="D2" s="3" t="s">
        <v>15</v>
      </c>
      <c r="E2" s="3" t="s">
        <v>16</v>
      </c>
      <c r="F2" s="77"/>
      <c r="G2" s="78"/>
    </row>
    <row r="3" spans="1:9" ht="30" x14ac:dyDescent="0.3">
      <c r="A3" s="75" t="s">
        <v>17</v>
      </c>
      <c r="B3" s="76"/>
      <c r="C3" s="3" t="s">
        <v>27</v>
      </c>
      <c r="D3" s="75" t="s">
        <v>34</v>
      </c>
      <c r="E3" s="76"/>
      <c r="F3" s="79"/>
      <c r="G3" s="80"/>
      <c r="H3"/>
    </row>
    <row r="4" spans="1:9" ht="40.5" customHeight="1" x14ac:dyDescent="0.3">
      <c r="A4" s="75" t="s">
        <v>18</v>
      </c>
      <c r="B4" s="76"/>
      <c r="C4" s="3" t="s">
        <v>19</v>
      </c>
      <c r="D4" s="75" t="s">
        <v>35</v>
      </c>
      <c r="E4" s="76"/>
      <c r="F4" s="81"/>
      <c r="G4" s="82"/>
      <c r="H4"/>
    </row>
    <row r="5" spans="1:9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9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9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9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9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1014168.78</v>
      </c>
    </row>
    <row r="10" spans="1:9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3146</v>
      </c>
      <c r="G10" s="6">
        <f>F10*E10</f>
        <v>124738.9</v>
      </c>
    </row>
    <row r="11" spans="1:9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36531</v>
      </c>
      <c r="G11" s="6">
        <f t="shared" ref="G11:G14" si="0">F11*E11</f>
        <v>97903.08</v>
      </c>
    </row>
    <row r="12" spans="1:9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5200</v>
      </c>
      <c r="G12" s="6">
        <f t="shared" si="0"/>
        <v>124800</v>
      </c>
    </row>
    <row r="13" spans="1:9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16964</v>
      </c>
      <c r="G13" s="6">
        <f t="shared" si="0"/>
        <v>571686.80000000005</v>
      </c>
    </row>
    <row r="14" spans="1:9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9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5980440</v>
      </c>
    </row>
    <row r="16" spans="1:9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81700</v>
      </c>
      <c r="G16" s="6">
        <f>F16*E16</f>
        <v>5980440</v>
      </c>
      <c r="H16" s="1" t="s">
        <v>89</v>
      </c>
      <c r="I16" s="1" t="s">
        <v>90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7094608.7800000003</v>
      </c>
    </row>
    <row r="20" spans="1:7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567568.70240000007</v>
      </c>
    </row>
    <row r="21" spans="1:7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354730.43900000001</v>
      </c>
    </row>
    <row r="22" spans="1:7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354730.43900000001</v>
      </c>
    </row>
    <row r="23" spans="1:7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67398.783410000004</v>
      </c>
    </row>
    <row r="24" spans="1:7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1344428.36381</v>
      </c>
    </row>
    <row r="25" spans="1:7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8439037.1438100003</v>
      </c>
    </row>
  </sheetData>
  <mergeCells count="15"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C15:F1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8" zoomScale="66" zoomScaleNormal="66" workbookViewId="0">
      <selection activeCell="I24" sqref="I2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72" t="s">
        <v>36</v>
      </c>
      <c r="B1" s="73"/>
      <c r="C1" s="73"/>
      <c r="D1" s="73"/>
      <c r="E1" s="73"/>
      <c r="F1" s="73"/>
      <c r="G1" s="74"/>
    </row>
    <row r="2" spans="1:8" ht="30" x14ac:dyDescent="0.3">
      <c r="A2" s="75" t="s">
        <v>13</v>
      </c>
      <c r="B2" s="76"/>
      <c r="C2" s="3" t="s">
        <v>14</v>
      </c>
      <c r="D2" s="3" t="s">
        <v>15</v>
      </c>
      <c r="E2" s="3" t="s">
        <v>16</v>
      </c>
      <c r="F2" s="77"/>
      <c r="G2" s="78"/>
    </row>
    <row r="3" spans="1:8" ht="30" x14ac:dyDescent="0.3">
      <c r="A3" s="75" t="s">
        <v>17</v>
      </c>
      <c r="B3" s="76"/>
      <c r="C3" s="3" t="s">
        <v>27</v>
      </c>
      <c r="D3" s="75" t="s">
        <v>34</v>
      </c>
      <c r="E3" s="76"/>
      <c r="F3" s="79"/>
      <c r="G3" s="80"/>
      <c r="H3"/>
    </row>
    <row r="4" spans="1:8" ht="40.5" customHeight="1" x14ac:dyDescent="0.3">
      <c r="A4" s="75" t="s">
        <v>18</v>
      </c>
      <c r="B4" s="76"/>
      <c r="C4" s="3" t="s">
        <v>19</v>
      </c>
      <c r="D4" s="75" t="s">
        <v>35</v>
      </c>
      <c r="E4" s="76"/>
      <c r="F4" s="81"/>
      <c r="G4" s="82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1014168.78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3146</v>
      </c>
      <c r="G10" s="6">
        <f>F10*E10</f>
        <v>124738.9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36531</v>
      </c>
      <c r="G11" s="6">
        <f t="shared" ref="G11:G14" si="0">F11*E11</f>
        <v>97903.08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5200</v>
      </c>
      <c r="G12" s="6">
        <f t="shared" si="0"/>
        <v>124800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16964</v>
      </c>
      <c r="G13" s="6">
        <f t="shared" si="0"/>
        <v>571686.80000000005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64" t="s">
        <v>43</v>
      </c>
      <c r="D15" s="65"/>
      <c r="E15" s="65"/>
      <c r="F15" s="66"/>
      <c r="G15" s="36">
        <f>SUM(G16:G16)</f>
        <v>1771440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24200</v>
      </c>
      <c r="G16" s="6">
        <f>F16*E16</f>
        <v>1771440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7" t="s">
        <v>7</v>
      </c>
      <c r="E19" s="68"/>
      <c r="F19" s="69"/>
      <c r="G19" s="38">
        <f>+G9+G17+G15</f>
        <v>2885608.7800000003</v>
      </c>
    </row>
    <row r="20" spans="1:7" ht="21.75" customHeight="1" x14ac:dyDescent="0.3">
      <c r="A20" s="8"/>
      <c r="B20" s="9"/>
      <c r="C20" s="9"/>
      <c r="D20" s="70" t="s">
        <v>8</v>
      </c>
      <c r="E20" s="71"/>
      <c r="F20" s="10">
        <v>0.08</v>
      </c>
      <c r="G20" s="11">
        <f>+$G$19*F20</f>
        <v>230848.70240000004</v>
      </c>
    </row>
    <row r="21" spans="1:7" ht="21.75" customHeight="1" x14ac:dyDescent="0.3">
      <c r="A21" s="8"/>
      <c r="B21" s="9"/>
      <c r="C21" s="9"/>
      <c r="D21" s="70" t="s">
        <v>9</v>
      </c>
      <c r="E21" s="71"/>
      <c r="F21" s="10">
        <v>0.05</v>
      </c>
      <c r="G21" s="11">
        <f>+$G$19*F21</f>
        <v>144280.43900000001</v>
      </c>
    </row>
    <row r="22" spans="1:7" ht="21.75" customHeight="1" x14ac:dyDescent="0.3">
      <c r="A22" s="8"/>
      <c r="B22" s="9"/>
      <c r="C22" s="9"/>
      <c r="D22" s="70" t="s">
        <v>10</v>
      </c>
      <c r="E22" s="71"/>
      <c r="F22" s="10">
        <v>0.05</v>
      </c>
      <c r="G22" s="11">
        <f>+$G$19*F22</f>
        <v>144280.43900000001</v>
      </c>
    </row>
    <row r="23" spans="1:7" ht="21.75" customHeight="1" x14ac:dyDescent="0.3">
      <c r="A23" s="8"/>
      <c r="B23" s="9"/>
      <c r="C23" s="9"/>
      <c r="D23" s="70" t="s">
        <v>3</v>
      </c>
      <c r="E23" s="71"/>
      <c r="F23" s="10">
        <v>0.19</v>
      </c>
      <c r="G23" s="11">
        <f>+G22*F23</f>
        <v>27413.283410000004</v>
      </c>
    </row>
    <row r="24" spans="1:7" ht="21.75" customHeight="1" x14ac:dyDescent="0.3">
      <c r="A24" s="8"/>
      <c r="B24" s="9"/>
      <c r="C24" s="9"/>
      <c r="D24" s="58" t="s">
        <v>11</v>
      </c>
      <c r="E24" s="59"/>
      <c r="F24" s="60"/>
      <c r="G24" s="39">
        <f>+G20+G21+G22+G23</f>
        <v>546822.86381000013</v>
      </c>
    </row>
    <row r="25" spans="1:7" ht="15" x14ac:dyDescent="0.3">
      <c r="A25" s="8"/>
      <c r="B25" s="9"/>
      <c r="C25" s="9"/>
      <c r="D25" s="61" t="s">
        <v>12</v>
      </c>
      <c r="E25" s="62"/>
      <c r="F25" s="63"/>
      <c r="G25" s="12">
        <f>+G19+G24</f>
        <v>3432431.6438100003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66E7-AA04-4BC8-88C0-58AA08B3D2E6}">
  <dimension ref="A1:P20"/>
  <sheetViews>
    <sheetView workbookViewId="0">
      <selection activeCell="M10" sqref="M10"/>
    </sheetView>
  </sheetViews>
  <sheetFormatPr baseColWidth="10" defaultRowHeight="14.4" x14ac:dyDescent="0.3"/>
  <cols>
    <col min="2" max="2" width="25.21875" customWidth="1"/>
    <col min="3" max="3" width="13.88671875" customWidth="1"/>
    <col min="4" max="4" width="16.33203125" customWidth="1"/>
    <col min="5" max="5" width="15.33203125" bestFit="1" customWidth="1"/>
    <col min="7" max="7" width="15.109375" customWidth="1"/>
    <col min="8" max="8" width="16.109375" customWidth="1"/>
    <col min="10" max="10" width="21.33203125" customWidth="1"/>
    <col min="11" max="11" width="22.6640625" customWidth="1"/>
  </cols>
  <sheetData>
    <row r="1" spans="1:16" x14ac:dyDescent="0.3">
      <c r="B1" s="43" t="s">
        <v>67</v>
      </c>
      <c r="C1" s="43" t="s">
        <v>21</v>
      </c>
      <c r="D1" s="43" t="s">
        <v>68</v>
      </c>
      <c r="E1" s="43" t="s">
        <v>69</v>
      </c>
      <c r="G1" s="49" t="s">
        <v>71</v>
      </c>
      <c r="H1" s="49" t="s">
        <v>72</v>
      </c>
      <c r="J1" s="50" t="s">
        <v>73</v>
      </c>
      <c r="K1" s="50" t="s">
        <v>74</v>
      </c>
      <c r="O1" s="83" t="s">
        <v>76</v>
      </c>
      <c r="P1" s="83"/>
    </row>
    <row r="2" spans="1:16" ht="18" x14ac:dyDescent="0.3">
      <c r="A2" s="53">
        <v>1</v>
      </c>
      <c r="B2" s="48" t="s">
        <v>51</v>
      </c>
      <c r="C2" s="40">
        <v>2</v>
      </c>
      <c r="D2" s="41" t="e">
        <f>#REF!</f>
        <v>#REF!</v>
      </c>
      <c r="E2" s="41" t="e">
        <f>D2*C2</f>
        <v>#REF!</v>
      </c>
      <c r="G2" s="51">
        <v>132</v>
      </c>
      <c r="H2" s="51">
        <v>149.5</v>
      </c>
      <c r="J2" s="51">
        <f>G2*C2</f>
        <v>264</v>
      </c>
      <c r="K2" s="51">
        <f>H2*C2</f>
        <v>299</v>
      </c>
      <c r="O2" s="55" t="s">
        <v>77</v>
      </c>
      <c r="P2" s="55">
        <v>1188.3430000000001</v>
      </c>
    </row>
    <row r="3" spans="1:16" ht="18" x14ac:dyDescent="0.3">
      <c r="A3" s="53">
        <v>2</v>
      </c>
      <c r="B3" s="48" t="s">
        <v>52</v>
      </c>
      <c r="C3" s="40">
        <v>7</v>
      </c>
      <c r="D3" s="47" t="e">
        <f>#REF!</f>
        <v>#REF!</v>
      </c>
      <c r="E3" s="41" t="e">
        <f t="shared" ref="E3:E17" si="0">D3*C3</f>
        <v>#REF!</v>
      </c>
      <c r="G3" s="51" t="e">
        <f>#REF!</f>
        <v>#REF!</v>
      </c>
      <c r="H3" s="51" t="e">
        <f>#REF!</f>
        <v>#REF!</v>
      </c>
      <c r="J3" s="51" t="e">
        <f t="shared" ref="J3:J17" si="1">G3*C3</f>
        <v>#REF!</v>
      </c>
      <c r="K3" s="51" t="e">
        <f t="shared" ref="K3:K17" si="2">H3*C3</f>
        <v>#REF!</v>
      </c>
      <c r="O3" s="55" t="s">
        <v>78</v>
      </c>
      <c r="P3" s="55">
        <v>1214.6869999999999</v>
      </c>
    </row>
    <row r="4" spans="1:16" ht="18" x14ac:dyDescent="0.3">
      <c r="A4" s="53">
        <v>3</v>
      </c>
      <c r="B4" s="48" t="s">
        <v>53</v>
      </c>
      <c r="C4" s="40">
        <v>1</v>
      </c>
      <c r="D4" s="47" t="e">
        <f>#REF!</f>
        <v>#REF!</v>
      </c>
      <c r="E4" s="41" t="e">
        <f t="shared" si="0"/>
        <v>#REF!</v>
      </c>
      <c r="G4" s="51" t="e">
        <f>#REF!</f>
        <v>#REF!</v>
      </c>
      <c r="H4" s="51" t="e">
        <f>#REF!</f>
        <v>#REF!</v>
      </c>
      <c r="J4" s="51" t="e">
        <f t="shared" si="1"/>
        <v>#REF!</v>
      </c>
      <c r="K4" s="51" t="e">
        <f t="shared" si="2"/>
        <v>#REF!</v>
      </c>
      <c r="O4" s="55" t="s">
        <v>79</v>
      </c>
      <c r="P4" s="55">
        <v>1062.0999999999999</v>
      </c>
    </row>
    <row r="5" spans="1:16" ht="18" x14ac:dyDescent="0.3">
      <c r="A5" s="53">
        <v>4</v>
      </c>
      <c r="B5" s="48" t="s">
        <v>54</v>
      </c>
      <c r="C5" s="40">
        <v>1</v>
      </c>
      <c r="D5" s="47" t="e">
        <f>#REF!</f>
        <v>#REF!</v>
      </c>
      <c r="E5" s="41" t="e">
        <f t="shared" si="0"/>
        <v>#REF!</v>
      </c>
      <c r="G5" s="51" t="e">
        <f>#REF!</f>
        <v>#REF!</v>
      </c>
      <c r="H5" s="51" t="e">
        <f>#REF!</f>
        <v>#REF!</v>
      </c>
      <c r="J5" s="51" t="e">
        <f t="shared" si="1"/>
        <v>#REF!</v>
      </c>
      <c r="K5" s="51" t="e">
        <f t="shared" si="2"/>
        <v>#REF!</v>
      </c>
      <c r="O5" s="55" t="s">
        <v>80</v>
      </c>
      <c r="P5" s="55">
        <v>879.38499999999999</v>
      </c>
    </row>
    <row r="6" spans="1:16" ht="18" x14ac:dyDescent="0.3">
      <c r="A6" s="53">
        <v>5</v>
      </c>
      <c r="B6" s="48" t="s">
        <v>55</v>
      </c>
      <c r="C6" s="40">
        <v>6</v>
      </c>
      <c r="D6" s="47" t="e">
        <f>#REF!</f>
        <v>#REF!</v>
      </c>
      <c r="E6" s="41" t="e">
        <f t="shared" si="0"/>
        <v>#REF!</v>
      </c>
      <c r="G6" s="51" t="e">
        <f>#REF!</f>
        <v>#REF!</v>
      </c>
      <c r="H6" s="51" t="e">
        <f>#REF!</f>
        <v>#REF!</v>
      </c>
      <c r="J6" s="51" t="e">
        <f t="shared" si="1"/>
        <v>#REF!</v>
      </c>
      <c r="K6" s="51" t="e">
        <f t="shared" si="2"/>
        <v>#REF!</v>
      </c>
      <c r="O6" s="55" t="s">
        <v>81</v>
      </c>
      <c r="P6" s="55">
        <v>928.92100000000005</v>
      </c>
    </row>
    <row r="7" spans="1:16" ht="18" x14ac:dyDescent="0.3">
      <c r="A7" s="53">
        <v>6</v>
      </c>
      <c r="B7" s="48" t="s">
        <v>56</v>
      </c>
      <c r="C7" s="40">
        <v>4</v>
      </c>
      <c r="D7" s="47" t="e">
        <f>#REF!</f>
        <v>#REF!</v>
      </c>
      <c r="E7" s="41" t="e">
        <f t="shared" si="0"/>
        <v>#REF!</v>
      </c>
      <c r="G7" s="51" t="e">
        <f>#REF!</f>
        <v>#REF!</v>
      </c>
      <c r="H7" s="51" t="e">
        <f>#REF!</f>
        <v>#REF!</v>
      </c>
      <c r="J7" s="51" t="e">
        <f t="shared" si="1"/>
        <v>#REF!</v>
      </c>
      <c r="K7" s="51" t="e">
        <f t="shared" si="2"/>
        <v>#REF!</v>
      </c>
      <c r="O7" s="55" t="s">
        <v>82</v>
      </c>
      <c r="P7" s="55">
        <v>310.76799999999997</v>
      </c>
    </row>
    <row r="8" spans="1:16" ht="18" x14ac:dyDescent="0.3">
      <c r="A8" s="53">
        <v>7</v>
      </c>
      <c r="B8" s="48" t="s">
        <v>57</v>
      </c>
      <c r="C8" s="40">
        <v>2</v>
      </c>
      <c r="D8" s="47" t="e">
        <f>#REF!</f>
        <v>#REF!</v>
      </c>
      <c r="E8" s="41" t="e">
        <f t="shared" si="0"/>
        <v>#REF!</v>
      </c>
      <c r="G8" s="51" t="e">
        <f>#REF!</f>
        <v>#REF!</v>
      </c>
      <c r="H8" s="51" t="e">
        <f>#REF!</f>
        <v>#REF!</v>
      </c>
      <c r="J8" s="51" t="e">
        <f t="shared" si="1"/>
        <v>#REF!</v>
      </c>
      <c r="K8" s="51" t="e">
        <f t="shared" si="2"/>
        <v>#REF!</v>
      </c>
      <c r="O8" s="55" t="s">
        <v>83</v>
      </c>
      <c r="P8" s="55">
        <v>1122.29</v>
      </c>
    </row>
    <row r="9" spans="1:16" ht="18" x14ac:dyDescent="0.3">
      <c r="A9" s="53">
        <v>8</v>
      </c>
      <c r="B9" s="48" t="s">
        <v>58</v>
      </c>
      <c r="C9" s="40">
        <v>1</v>
      </c>
      <c r="D9" s="47" t="e">
        <f>#REF!</f>
        <v>#REF!</v>
      </c>
      <c r="E9" s="41" t="e">
        <f t="shared" si="0"/>
        <v>#REF!</v>
      </c>
      <c r="G9" s="51" t="e">
        <f>#REF!</f>
        <v>#REF!</v>
      </c>
      <c r="H9" s="51" t="e">
        <f>#REF!</f>
        <v>#REF!</v>
      </c>
      <c r="J9" s="51" t="e">
        <f t="shared" si="1"/>
        <v>#REF!</v>
      </c>
      <c r="K9" s="51" t="e">
        <f t="shared" si="2"/>
        <v>#REF!</v>
      </c>
      <c r="O9" s="55" t="s">
        <v>84</v>
      </c>
      <c r="P9" s="55">
        <v>910.72</v>
      </c>
    </row>
    <row r="10" spans="1:16" ht="18" x14ac:dyDescent="0.3">
      <c r="A10" s="53">
        <v>9</v>
      </c>
      <c r="B10" s="48" t="s">
        <v>59</v>
      </c>
      <c r="C10" s="40">
        <v>7</v>
      </c>
      <c r="D10" s="47" t="e">
        <f>#REF!</f>
        <v>#REF!</v>
      </c>
      <c r="E10" s="41" t="e">
        <f t="shared" si="0"/>
        <v>#REF!</v>
      </c>
      <c r="G10" s="51" t="e">
        <f>#REF!</f>
        <v>#REF!</v>
      </c>
      <c r="H10" s="51" t="e">
        <f>#REF!</f>
        <v>#REF!</v>
      </c>
      <c r="J10" s="51" t="e">
        <f t="shared" si="1"/>
        <v>#REF!</v>
      </c>
      <c r="K10" s="51" t="e">
        <f t="shared" si="2"/>
        <v>#REF!</v>
      </c>
      <c r="P10" s="52">
        <f>SUM(P2:P9)</f>
        <v>7617.2139999999999</v>
      </c>
    </row>
    <row r="11" spans="1:16" ht="18" x14ac:dyDescent="0.3">
      <c r="A11" s="53">
        <v>10</v>
      </c>
      <c r="B11" s="48" t="s">
        <v>60</v>
      </c>
      <c r="C11" s="40">
        <v>4</v>
      </c>
      <c r="D11" s="47" t="e">
        <f>#REF!</f>
        <v>#REF!</v>
      </c>
      <c r="E11" s="41" t="e">
        <f t="shared" si="0"/>
        <v>#REF!</v>
      </c>
      <c r="G11" s="51" t="e">
        <f>#REF!</f>
        <v>#REF!</v>
      </c>
      <c r="H11" s="51" t="e">
        <f>#REF!</f>
        <v>#REF!</v>
      </c>
      <c r="J11" s="51" t="e">
        <f t="shared" si="1"/>
        <v>#REF!</v>
      </c>
      <c r="K11" s="51" t="e">
        <f t="shared" si="2"/>
        <v>#REF!</v>
      </c>
    </row>
    <row r="12" spans="1:16" ht="18" x14ac:dyDescent="0.3">
      <c r="A12" s="53">
        <v>11</v>
      </c>
      <c r="B12" s="48" t="s">
        <v>61</v>
      </c>
      <c r="C12" s="40">
        <v>29</v>
      </c>
      <c r="D12" s="47">
        <f>'11) CHIPRE MED. TIPO 1'!G25</f>
        <v>3432431.6438100003</v>
      </c>
      <c r="E12" s="41">
        <f t="shared" si="0"/>
        <v>99540517.670490012</v>
      </c>
      <c r="G12" s="51">
        <f>'11) CHIPRE MED. TIPO 1'!E16</f>
        <v>73.2</v>
      </c>
      <c r="H12" s="51">
        <f>'11) CHIPRE MED. TIPO 1'!E10</f>
        <v>39.65</v>
      </c>
      <c r="J12" s="51">
        <f t="shared" si="1"/>
        <v>2122.8000000000002</v>
      </c>
      <c r="K12" s="51">
        <f t="shared" si="2"/>
        <v>1149.8499999999999</v>
      </c>
    </row>
    <row r="13" spans="1:16" ht="18" x14ac:dyDescent="0.3">
      <c r="A13" s="53">
        <v>12</v>
      </c>
      <c r="B13" s="48" t="s">
        <v>62</v>
      </c>
      <c r="C13" s="40">
        <v>2</v>
      </c>
      <c r="D13" s="47" t="e">
        <f>#REF!</f>
        <v>#REF!</v>
      </c>
      <c r="E13" s="41" t="e">
        <f t="shared" si="0"/>
        <v>#REF!</v>
      </c>
      <c r="G13" s="51" t="e">
        <f>#REF!</f>
        <v>#REF!</v>
      </c>
      <c r="H13" s="51" t="e">
        <f>#REF!</f>
        <v>#REF!</v>
      </c>
      <c r="J13" s="51" t="e">
        <f t="shared" si="1"/>
        <v>#REF!</v>
      </c>
      <c r="K13" s="51" t="e">
        <f t="shared" si="2"/>
        <v>#REF!</v>
      </c>
    </row>
    <row r="14" spans="1:16" ht="18" x14ac:dyDescent="0.3">
      <c r="A14" s="53">
        <v>13</v>
      </c>
      <c r="B14" s="48" t="s">
        <v>63</v>
      </c>
      <c r="C14" s="40">
        <v>2</v>
      </c>
      <c r="D14" s="47">
        <f>'13) LIBANO 1 PISO ESQ.'!G25</f>
        <v>10871178.091995001</v>
      </c>
      <c r="E14" s="41">
        <f t="shared" si="0"/>
        <v>21742356.183990002</v>
      </c>
      <c r="G14" s="51">
        <f>'13) LIBANO 1 PISO ESQ.'!E16</f>
        <v>192.1</v>
      </c>
      <c r="H14" s="51">
        <f>'13) LIBANO 1 PISO ESQ.'!E10</f>
        <v>220.75</v>
      </c>
      <c r="J14" s="51">
        <f t="shared" si="1"/>
        <v>384.2</v>
      </c>
      <c r="K14" s="51">
        <f t="shared" si="2"/>
        <v>441.5</v>
      </c>
      <c r="P14" s="51" t="e">
        <f>K18/P10</f>
        <v>#REF!</v>
      </c>
    </row>
    <row r="15" spans="1:16" ht="18" x14ac:dyDescent="0.3">
      <c r="A15" s="53">
        <v>14</v>
      </c>
      <c r="B15" s="48" t="s">
        <v>64</v>
      </c>
      <c r="C15" s="40">
        <v>9</v>
      </c>
      <c r="D15" s="47">
        <f>'14) LIBANO 1 PISO MED.'!G25</f>
        <v>7537457.5458000004</v>
      </c>
      <c r="E15" s="41">
        <f t="shared" si="0"/>
        <v>67837117.912200004</v>
      </c>
      <c r="G15" s="51">
        <f>'14) LIBANO 1 PISO MED.'!E16</f>
        <v>163.82</v>
      </c>
      <c r="H15" s="51">
        <f>'14) LIBANO 1 PISO MED.'!E10</f>
        <v>103.8</v>
      </c>
      <c r="J15" s="51">
        <f t="shared" si="1"/>
        <v>1474.3799999999999</v>
      </c>
      <c r="K15" s="51">
        <f t="shared" si="2"/>
        <v>934.19999999999993</v>
      </c>
    </row>
    <row r="16" spans="1:16" ht="18" x14ac:dyDescent="0.3">
      <c r="A16" s="53">
        <v>15</v>
      </c>
      <c r="B16" s="48" t="s">
        <v>65</v>
      </c>
      <c r="C16" s="40">
        <v>5</v>
      </c>
      <c r="D16" s="47">
        <f>'15) LIBANO 2 PISOS MED.'!G25</f>
        <v>5780059.6304490007</v>
      </c>
      <c r="E16" s="41">
        <f t="shared" si="0"/>
        <v>28900298.152245004</v>
      </c>
      <c r="G16" s="51">
        <f>'15) LIBANO 2 PISOS MED.'!E16</f>
        <v>98.49</v>
      </c>
      <c r="H16" s="51">
        <f>'15) LIBANO 2 PISOS MED.'!E10</f>
        <v>114.79</v>
      </c>
      <c r="J16" s="51">
        <f t="shared" si="1"/>
        <v>492.45</v>
      </c>
      <c r="K16" s="51">
        <f t="shared" si="2"/>
        <v>573.95000000000005</v>
      </c>
    </row>
    <row r="17" spans="1:12" ht="18" x14ac:dyDescent="0.3">
      <c r="A17" s="53">
        <v>16</v>
      </c>
      <c r="B17" s="48" t="s">
        <v>66</v>
      </c>
      <c r="C17" s="40">
        <v>2</v>
      </c>
      <c r="D17" s="47">
        <f>'16) LIBANO ESQ.'!G25</f>
        <v>9189347.2120124996</v>
      </c>
      <c r="E17" s="41">
        <f t="shared" si="0"/>
        <v>18378694.424024999</v>
      </c>
      <c r="G17" s="51">
        <f>'16) LIBANO ESQ.'!E16</f>
        <v>127.9</v>
      </c>
      <c r="H17" s="51">
        <f>'16) LIBANO ESQ.'!E10</f>
        <v>237.25</v>
      </c>
      <c r="J17" s="51">
        <f t="shared" si="1"/>
        <v>255.8</v>
      </c>
      <c r="K17" s="51">
        <f t="shared" si="2"/>
        <v>474.5</v>
      </c>
    </row>
    <row r="18" spans="1:12" x14ac:dyDescent="0.3">
      <c r="C18" s="43">
        <f>SUM(C2:C17)</f>
        <v>84</v>
      </c>
      <c r="E18" s="42" t="e">
        <f>SUM(E2:E17)</f>
        <v>#REF!</v>
      </c>
      <c r="J18" s="51" t="e">
        <f>SUM(J2:J17)</f>
        <v>#REF!</v>
      </c>
      <c r="K18" s="51" t="e">
        <f>SUM(K2:K17)</f>
        <v>#REF!</v>
      </c>
      <c r="L18" s="54" t="s">
        <v>75</v>
      </c>
    </row>
    <row r="20" spans="1:12" x14ac:dyDescent="0.3">
      <c r="B20" s="44" t="s">
        <v>70</v>
      </c>
      <c r="C20" s="45"/>
      <c r="D20" s="45"/>
      <c r="E20" s="46" t="e">
        <f>E18/C18</f>
        <v>#REF!</v>
      </c>
    </row>
  </sheetData>
  <mergeCells count="1">
    <mergeCell ref="O1:P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16) LIBANO ESQ.</vt:lpstr>
      <vt:lpstr>15) LIBANO 2 PISOS MED.</vt:lpstr>
      <vt:lpstr>14) LIBANO 1 PISO MED.</vt:lpstr>
      <vt:lpstr>13) LIBANO 1 PISO ESQ.</vt:lpstr>
      <vt:lpstr>11) CHIPRE MED. TIPO 1 termo</vt:lpstr>
      <vt:lpstr>11) CHIPRE MED. TIPO 1</vt:lpstr>
      <vt:lpstr>LISTADO DE CASAS</vt:lpstr>
      <vt:lpstr>'11) CHIPRE MED. TIPO 1'!Área_de_impresión</vt:lpstr>
      <vt:lpstr>'11) CHIPRE MED. TIPO 1 termo'!Área_de_impresión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andres felipe montoya osorio</cp:lastModifiedBy>
  <cp:revision/>
  <cp:lastPrinted>2025-08-15T13:04:01Z</cp:lastPrinted>
  <dcterms:created xsi:type="dcterms:W3CDTF">2024-02-08T21:06:52Z</dcterms:created>
  <dcterms:modified xsi:type="dcterms:W3CDTF">2025-08-15T13:15:41Z</dcterms:modified>
  <cp:category/>
  <cp:contentStatus/>
</cp:coreProperties>
</file>