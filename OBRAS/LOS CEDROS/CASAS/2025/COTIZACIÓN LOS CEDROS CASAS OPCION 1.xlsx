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2058BFB6-AFEE-4ABB-BF0F-5AC9887CC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2) HIMALAYA CAMPESTRE" sheetId="19" r:id="rId5"/>
    <sheet name="11) CHIPRE MED. TIPO 1" sheetId="18" r:id="rId6"/>
    <sheet name="10) CHIPRE ESQ. TIPO 1" sheetId="17" r:id="rId7"/>
    <sheet name="9) ATLAS MED. TIPO 1" sheetId="16" r:id="rId8"/>
    <sheet name="8) ATLAS ESQ. TIPO 2" sheetId="15" r:id="rId9"/>
    <sheet name="7) ATLAS ESQ. TIPO 1" sheetId="14" r:id="rId10"/>
    <sheet name="6) HIMALAYA MED. TIPO 2" sheetId="13" r:id="rId11"/>
    <sheet name="5) HIMALAYA MED. TIPO 1" sheetId="12" r:id="rId12"/>
    <sheet name="4) HIMALAYA ESQ. TIPO 4" sheetId="11" r:id="rId13"/>
    <sheet name="3) HIMALAYA ESQ. TIPO 3 (ESPE.)" sheetId="10" r:id="rId14"/>
    <sheet name="2) HIMALAYA ESQ. TIPO 2" sheetId="9" r:id="rId15"/>
    <sheet name="1) HIMALAYA ESQ. TIPO 1" sheetId="8" r:id="rId16"/>
    <sheet name="LISTADO DE CASAS" sheetId="24" r:id="rId17"/>
  </sheets>
  <definedNames>
    <definedName name="_xlnm.Print_Area" localSheetId="15">'1) HIMALAYA ESQ. TIPO 1'!$A$1:$G$25</definedName>
    <definedName name="_xlnm.Print_Area" localSheetId="6">'10) CHIPRE ESQ. TIPO 1'!$A$1:$G$25</definedName>
    <definedName name="_xlnm.Print_Area" localSheetId="5">'11) CHIPRE MED. TIPO 1'!$A$1:$G$25</definedName>
    <definedName name="_xlnm.Print_Area" localSheetId="4">'12) HIMALAYA CAMPESTRE'!$A$1:$G$25</definedName>
    <definedName name="_xlnm.Print_Area" localSheetId="3">'13) LIBANO 1 PISO ESQ.'!$A$1:$G$25</definedName>
    <definedName name="_xlnm.Print_Area" localSheetId="2">'14) LIBANO 1 PISO MED.'!$A$1:$G$25</definedName>
    <definedName name="_xlnm.Print_Area" localSheetId="1">'15) LIBANO 2 PISOS MED.'!$A$1:$G$25</definedName>
    <definedName name="_xlnm.Print_Area" localSheetId="0">'16) LIBANO ESQ.'!$A$1:$G$25</definedName>
    <definedName name="_xlnm.Print_Area" localSheetId="14">'2) HIMALAYA ESQ. TIPO 2'!$A$1:$G$25</definedName>
    <definedName name="_xlnm.Print_Area" localSheetId="13">'3) HIMALAYA ESQ. TIPO 3 (ESPE.)'!$A$1:$G$25</definedName>
    <definedName name="_xlnm.Print_Area" localSheetId="12">'4) HIMALAYA ESQ. TIPO 4'!$A$1:$G$25</definedName>
    <definedName name="_xlnm.Print_Area" localSheetId="11">'5) HIMALAYA MED. TIPO 1'!$A$1:$G$25</definedName>
    <definedName name="_xlnm.Print_Area" localSheetId="10">'6) HIMALAYA MED. TIPO 2'!$A$1:$G$25</definedName>
    <definedName name="_xlnm.Print_Area" localSheetId="9">'7) ATLAS ESQ. TIPO 1'!$A$1:$G$25</definedName>
    <definedName name="_xlnm.Print_Area" localSheetId="8">'8) ATLAS ESQ. TIPO 2'!$A$1:$G$25</definedName>
    <definedName name="_xlnm.Print_Area" localSheetId="7">'9) ATLAS MED. TIPO 1'!$A$1:$G$25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24" l="1"/>
  <c r="E13" i="8"/>
  <c r="E14" i="8"/>
  <c r="E11" i="8" l="1"/>
  <c r="E12" i="8"/>
  <c r="K3" i="24" l="1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K2" i="24"/>
  <c r="K18" i="24" s="1"/>
  <c r="P14" i="24" s="1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G17" i="24"/>
  <c r="J17" i="24" s="1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J2" i="24"/>
  <c r="C18" i="24"/>
  <c r="J18" i="24" l="1"/>
  <c r="G18" i="23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8" i="21"/>
  <c r="G17" i="21"/>
  <c r="G16" i="21"/>
  <c r="G15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8" i="19"/>
  <c r="G17" i="19" s="1"/>
  <c r="G16" i="19"/>
  <c r="G15" i="19" s="1"/>
  <c r="G14" i="19"/>
  <c r="G13" i="19"/>
  <c r="G12" i="19"/>
  <c r="G11" i="19"/>
  <c r="G10" i="19"/>
  <c r="G9" i="19" s="1"/>
  <c r="G6" i="19"/>
  <c r="G16" i="18"/>
  <c r="G15" i="18" s="1"/>
  <c r="G16" i="17"/>
  <c r="G15" i="17" s="1"/>
  <c r="G16" i="16"/>
  <c r="G15" i="16" s="1"/>
  <c r="G16" i="15"/>
  <c r="G15" i="15" s="1"/>
  <c r="G16" i="14"/>
  <c r="G15" i="14" s="1"/>
  <c r="G16" i="13"/>
  <c r="G15" i="13" s="1"/>
  <c r="G16" i="12"/>
  <c r="G15" i="12" s="1"/>
  <c r="G16" i="11"/>
  <c r="G15" i="11" s="1"/>
  <c r="G16" i="10"/>
  <c r="G15" i="10" s="1"/>
  <c r="G16" i="9"/>
  <c r="G15" i="9" s="1"/>
  <c r="G9" i="23" l="1"/>
  <c r="G19" i="23" s="1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21" i="20" s="1"/>
  <c r="G19" i="19"/>
  <c r="G16" i="8"/>
  <c r="G15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9" i="8" s="1"/>
  <c r="G13" i="8"/>
  <c r="G12" i="8"/>
  <c r="G11" i="8"/>
  <c r="G10" i="8"/>
  <c r="G6" i="8"/>
  <c r="G19" i="8" l="1"/>
  <c r="G21" i="8"/>
  <c r="G21" i="23"/>
  <c r="G20" i="23"/>
  <c r="G21" i="22"/>
  <c r="G20" i="22"/>
  <c r="G24" i="22" s="1"/>
  <c r="G25" i="22" s="1"/>
  <c r="D16" i="24" s="1"/>
  <c r="E16" i="24" s="1"/>
  <c r="G21" i="21"/>
  <c r="G22" i="21"/>
  <c r="G23" i="21" s="1"/>
  <c r="G20" i="20"/>
  <c r="G22" i="20"/>
  <c r="G23" i="20" s="1"/>
  <c r="G22" i="19"/>
  <c r="G23" i="19" s="1"/>
  <c r="G21" i="19"/>
  <c r="G20" i="19"/>
  <c r="G9" i="14"/>
  <c r="G9" i="9"/>
  <c r="G19" i="9" s="1"/>
  <c r="G9" i="10"/>
  <c r="G9" i="12"/>
  <c r="G9" i="15"/>
  <c r="G9" i="18"/>
  <c r="G9" i="17"/>
  <c r="G9" i="16"/>
  <c r="G9" i="13"/>
  <c r="G9" i="11"/>
  <c r="G19" i="10" l="1"/>
  <c r="G22" i="10" s="1"/>
  <c r="G23" i="10" s="1"/>
  <c r="G19" i="11"/>
  <c r="G22" i="11" s="1"/>
  <c r="G23" i="11" s="1"/>
  <c r="G19" i="12"/>
  <c r="G21" i="12" s="1"/>
  <c r="G19" i="13"/>
  <c r="G22" i="13" s="1"/>
  <c r="G23" i="13" s="1"/>
  <c r="G20" i="14"/>
  <c r="G19" i="14"/>
  <c r="G19" i="15"/>
  <c r="G22" i="15" s="1"/>
  <c r="G23" i="15" s="1"/>
  <c r="G22" i="16"/>
  <c r="G23" i="16" s="1"/>
  <c r="G19" i="16"/>
  <c r="G19" i="17"/>
  <c r="G21" i="17" s="1"/>
  <c r="G19" i="18"/>
  <c r="G21" i="18" s="1"/>
  <c r="G24" i="23"/>
  <c r="G25" i="23" s="1"/>
  <c r="D17" i="24" s="1"/>
  <c r="E17" i="24" s="1"/>
  <c r="G24" i="21"/>
  <c r="G25" i="21" s="1"/>
  <c r="D15" i="24" s="1"/>
  <c r="E15" i="24" s="1"/>
  <c r="G24" i="20"/>
  <c r="G25" i="20" s="1"/>
  <c r="D14" i="24" s="1"/>
  <c r="E14" i="24" s="1"/>
  <c r="G24" i="19"/>
  <c r="G25" i="19" s="1"/>
  <c r="D13" i="24" s="1"/>
  <c r="E13" i="24" s="1"/>
  <c r="G20" i="10"/>
  <c r="G21" i="10"/>
  <c r="G21" i="14"/>
  <c r="G22" i="14"/>
  <c r="G23" i="14" s="1"/>
  <c r="G21" i="15"/>
  <c r="G20" i="15"/>
  <c r="G22" i="17"/>
  <c r="G23" i="17" s="1"/>
  <c r="G20" i="16"/>
  <c r="G21" i="16"/>
  <c r="G21" i="13"/>
  <c r="G21" i="11"/>
  <c r="G22" i="9"/>
  <c r="G23" i="9" s="1"/>
  <c r="G21" i="9"/>
  <c r="G20" i="9"/>
  <c r="G20" i="8"/>
  <c r="G22" i="8"/>
  <c r="G23" i="8" s="1"/>
  <c r="G20" i="11" l="1"/>
  <c r="G22" i="12"/>
  <c r="G23" i="12" s="1"/>
  <c r="G20" i="12"/>
  <c r="G24" i="12" s="1"/>
  <c r="G25" i="12" s="1"/>
  <c r="D6" i="24" s="1"/>
  <c r="E6" i="24" s="1"/>
  <c r="G20" i="13"/>
  <c r="G20" i="17"/>
  <c r="G20" i="18"/>
  <c r="G22" i="18"/>
  <c r="G23" i="18" s="1"/>
  <c r="G24" i="14"/>
  <c r="G25" i="14" s="1"/>
  <c r="D8" i="24" s="1"/>
  <c r="E8" i="24" s="1"/>
  <c r="G24" i="15"/>
  <c r="G25" i="15" s="1"/>
  <c r="D9" i="24" s="1"/>
  <c r="E9" i="24" s="1"/>
  <c r="G24" i="10"/>
  <c r="G25" i="10" s="1"/>
  <c r="D4" i="24" s="1"/>
  <c r="E4" i="24" s="1"/>
  <c r="G24" i="18"/>
  <c r="G25" i="18" s="1"/>
  <c r="D12" i="24" s="1"/>
  <c r="E12" i="24" s="1"/>
  <c r="G24" i="17"/>
  <c r="G25" i="17" s="1"/>
  <c r="D11" i="24" s="1"/>
  <c r="E11" i="24" s="1"/>
  <c r="G24" i="16"/>
  <c r="G25" i="16" s="1"/>
  <c r="D10" i="24" s="1"/>
  <c r="E10" i="24" s="1"/>
  <c r="G24" i="13"/>
  <c r="G25" i="13" s="1"/>
  <c r="D7" i="24" s="1"/>
  <c r="E7" i="24" s="1"/>
  <c r="G24" i="11"/>
  <c r="G25" i="11" s="1"/>
  <c r="D5" i="24" s="1"/>
  <c r="E5" i="24" s="1"/>
  <c r="G24" i="9"/>
  <c r="G25" i="9" s="1"/>
  <c r="D3" i="24" s="1"/>
  <c r="E3" i="24" s="1"/>
  <c r="G24" i="8"/>
  <c r="G25" i="8" s="1"/>
  <c r="D2" i="24" s="1"/>
  <c r="E2" i="24" s="1"/>
  <c r="E18" i="24" l="1"/>
  <c r="E20" i="24" s="1"/>
</calcChain>
</file>

<file path=xl/sharedStrings.xml><?xml version="1.0" encoding="utf-8"?>
<sst xmlns="http://schemas.openxmlformats.org/spreadsheetml/2006/main" count="947" uniqueCount="85">
  <si>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</si>
  <si>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</si>
  <si>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</si>
  <si>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</si>
  <si>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</si>
  <si>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</si>
  <si>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</si>
  <si>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</si>
  <si>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</si>
  <si>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</si>
  <si>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</si>
  <si>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</si>
  <si>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</si>
  <si>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</si>
  <si>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</si>
  <si>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</si>
  <si>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</si>
  <si>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</si>
  <si>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</si>
  <si>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</si>
  <si>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</si>
  <si>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</si>
  <si>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</si>
  <si>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</si>
  <si>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</si>
  <si>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</si>
  <si>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</si>
  <si>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</si>
  <si>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</si>
  <si>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</si>
  <si>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</si>
  <si>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</si>
  <si>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</si>
  <si>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</si>
  <si>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</si>
  <si>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</si>
  <si>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</si>
  <si>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</si>
  <si>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</si>
  <si>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</si>
  <si>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</si>
  <si>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</si>
  <si>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</si>
  <si>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</si>
  <si>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</si>
  <si>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</si>
  <si>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</si>
  <si>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</si>
  <si>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</si>
  <si>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</si>
  <si>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</si>
  <si>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</si>
  <si>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</si>
  <si>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</si>
  <si>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</si>
  <si>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</si>
  <si>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</si>
  <si>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</si>
  <si>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</si>
  <si>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</si>
  <si>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</si>
  <si>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</si>
  <si>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</si>
  <si>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</si>
  <si>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</si>
  <si>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</si>
  <si>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</si>
  <si>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</si>
  <si>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</si>
  <si>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</si>
  <si>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</si>
  <si>
    <t>AREA CUBIERTA</t>
  </si>
  <si>
    <t>AREA FACHADA</t>
  </si>
  <si>
    <t>AREA CUBIERTA TOTAL</t>
  </si>
  <si>
    <t>AREA FACHADA TOTAL</t>
  </si>
  <si>
    <t>= 25% VENTANAS</t>
  </si>
  <si>
    <t>AREAS PLANOS</t>
  </si>
  <si>
    <t>MZ 1</t>
  </si>
  <si>
    <t>MZ 2</t>
  </si>
  <si>
    <t>MZ 3</t>
  </si>
  <si>
    <t>MZ 4</t>
  </si>
  <si>
    <t>MZ 5</t>
  </si>
  <si>
    <t>MZ 6</t>
  </si>
  <si>
    <t>MZ 7</t>
  </si>
  <si>
    <t>MZ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</si>
</sst>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164" fontId="0" fillId="6" borderId="6" xfId="0" applyNumberFormat="1" applyFill="1" applyBorder="1"/>
    <xf numFmtId="0" fontId="0" fillId="6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64" fontId="0" fillId="7" borderId="6" xfId="2" applyNumberFormat="1" applyFont="1" applyFill="1" applyBorder="1"/>
    <xf numFmtId="0" fontId="0" fillId="7" borderId="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622B4B-FFEB-4D93-9C64-851CA61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1228726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abSelected="1"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5122481.25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174.5</v>
      </c>
      <c r="F10" s="7">
        <v>4100</v>
      </c>
      <c r="G10" s="6">
        <f>F10*E10</f>
        <v>715450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165.77500000000001</v>
      </c>
      <c r="F13" s="7">
        <v>22750</v>
      </c>
      <c r="G13" s="6">
        <f t="shared" si="0"/>
        <v>3771381.25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8.7249999999999996</v>
      </c>
      <c r="F14" s="7">
        <v>16000</v>
      </c>
      <c r="G14" s="6">
        <f t="shared" si="0"/>
        <v>139600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1880130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127.9</v>
      </c>
      <c r="F16" s="5">
        <v>14700</v>
      </c>
      <c r="G16" s="6">
        <f>F16*E16</f>
        <v>1880130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7102611.25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568208.9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355130.5625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355130.5625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67474.806874999995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1345944.8318749999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8448556.0818750001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8" zoomScale="66" zoomScaleNormal="66" workbookViewId="0">
      <selection activeCell="F17" sqref="F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2939208.75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98.5</v>
      </c>
      <c r="F10" s="7">
        <v>4100</v>
      </c>
      <c r="G10" s="6">
        <f>F10*E10</f>
        <v>403850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4.87</v>
      </c>
      <c r="F11" s="7">
        <v>42000</v>
      </c>
      <c r="G11" s="6">
        <f t="shared" ref="G11:G14" si="0">F11*E11</f>
        <v>204540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92.625</v>
      </c>
      <c r="F13" s="7">
        <v>22750</v>
      </c>
      <c r="G13" s="6">
        <f t="shared" si="0"/>
        <v>2107218.75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5.875</v>
      </c>
      <c r="F14" s="7">
        <v>16000</v>
      </c>
      <c r="G14" s="6">
        <f t="shared" si="0"/>
        <v>94000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12804.22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98.494</v>
      </c>
      <c r="G16" s="6">
        <f>F16*E16</f>
        <v>12804.22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3052012.97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244161.03760000001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152600.64850000001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152600.64850000001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28994.123215000003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578356.45781500009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3630369.4278150005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1267892.5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45.5</v>
      </c>
      <c r="F10" s="7">
        <v>4100</v>
      </c>
      <c r="G10" s="6">
        <f>F10*E10</f>
        <v>186550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2.2000000000000002</v>
      </c>
      <c r="F11" s="7">
        <v>42000</v>
      </c>
      <c r="G11" s="6">
        <f t="shared" ref="G11:G14" si="0">F11*E11</f>
        <v>92400.000000000015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0</v>
      </c>
      <c r="F12" s="7">
        <v>7200</v>
      </c>
      <c r="G12" s="6">
        <f t="shared" si="0"/>
        <v>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38.67</v>
      </c>
      <c r="F13" s="7">
        <v>22750</v>
      </c>
      <c r="G13" s="6">
        <f t="shared" si="0"/>
        <v>879742.5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6.8250000000000002</v>
      </c>
      <c r="F14" s="7">
        <v>16000</v>
      </c>
      <c r="G14" s="6">
        <f t="shared" si="0"/>
        <v>109200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2419326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164.58</v>
      </c>
      <c r="F16" s="5">
        <v>14700</v>
      </c>
      <c r="G16" s="6">
        <f>F16*E16</f>
        <v>2419326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3787218.5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302977.48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189360.92500000002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189360.92500000002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35978.575750000004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717677.90575000003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4504896.4057499999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2313337.5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78.5</v>
      </c>
      <c r="F10" s="7">
        <v>4100</v>
      </c>
      <c r="G10" s="6">
        <f>F10*E10</f>
        <v>321850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4.0999999999999996</v>
      </c>
      <c r="F11" s="7">
        <v>42000</v>
      </c>
      <c r="G11" s="6">
        <f t="shared" ref="G11:G14" si="0">F11*E11</f>
        <v>172199.99999999997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12</v>
      </c>
      <c r="F12" s="7">
        <v>7200</v>
      </c>
      <c r="G12" s="6">
        <f t="shared" si="0"/>
        <v>86400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70.650000000000006</v>
      </c>
      <c r="F13" s="7">
        <v>22750</v>
      </c>
      <c r="G13" s="6">
        <f t="shared" si="0"/>
        <v>1607287.5000000002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7.85</v>
      </c>
      <c r="F14" s="7">
        <v>16000</v>
      </c>
      <c r="G14" s="6">
        <f t="shared" si="0"/>
        <v>125600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2971193.4000000004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202.12200000000001</v>
      </c>
      <c r="F16" s="5">
        <v>14700</v>
      </c>
      <c r="G16" s="6">
        <f>F16*E16</f>
        <v>2971193.4000000004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5384530.9000000004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430762.47200000007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269226.54500000004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269226.54500000004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51153.043550000009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1020368.6055500002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6404899.5055500008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06EC-B544-4912-AB4E-5D0184065CA6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4499100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152</v>
      </c>
      <c r="F10" s="7">
        <v>4100</v>
      </c>
      <c r="G10" s="6">
        <f>F10*E10</f>
        <v>623200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7.4</v>
      </c>
      <c r="F11" s="7">
        <v>42000</v>
      </c>
      <c r="G11" s="6">
        <f t="shared" ref="G11:G14" si="0">F11*E11</f>
        <v>310800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144.4</v>
      </c>
      <c r="F13" s="7">
        <v>22750</v>
      </c>
      <c r="G13" s="6">
        <f t="shared" si="0"/>
        <v>3285100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7.6</v>
      </c>
      <c r="F14" s="7">
        <v>16000</v>
      </c>
      <c r="G14" s="6">
        <f t="shared" si="0"/>
        <v>121600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2293200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156</v>
      </c>
      <c r="F16" s="5">
        <v>14700</v>
      </c>
      <c r="G16" s="6">
        <f>F16*E16</f>
        <v>2293200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6892300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551384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344615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344615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65476.85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1306090.8500000001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8198390.8499999996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1076040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14700</v>
      </c>
      <c r="G16" s="6">
        <f>F16*E16</f>
        <v>1076040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2485680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198854.39999999999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124284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124284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23613.96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471036.36000000004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2956716.36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71.819999999999993</v>
      </c>
      <c r="F13" s="7">
        <v>22750</v>
      </c>
      <c r="G13" s="6">
        <f t="shared" si="0"/>
        <v>1633904.9999999998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12.67</v>
      </c>
      <c r="F14" s="7">
        <v>16000</v>
      </c>
      <c r="G14" s="6">
        <f t="shared" si="0"/>
        <v>202720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1181880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80.400000000000006</v>
      </c>
      <c r="F16" s="5">
        <v>14700</v>
      </c>
      <c r="G16" s="6">
        <f>F16*E16</f>
        <v>1181880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3788535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303082.8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189426.75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189426.75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35991.082499999997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717927.38250000007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4506462.3825000003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29.12</v>
      </c>
      <c r="F13" s="7">
        <v>22750</v>
      </c>
      <c r="G13" s="6">
        <f t="shared" si="0"/>
        <v>662480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12.48</v>
      </c>
      <c r="F14" s="7">
        <v>16000</v>
      </c>
      <c r="G14" s="6">
        <f t="shared" si="0"/>
        <v>199680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1128960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76.8</v>
      </c>
      <c r="F16" s="5">
        <v>14700</v>
      </c>
      <c r="G16" s="6">
        <f>F16*E16</f>
        <v>1128960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2537380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202990.4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126869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126869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24105.11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480833.51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3018213.51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6357040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1204659.0799999998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7561699.0800000001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6357040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1204659.0799999998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7561699.0800000001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47.78</v>
      </c>
      <c r="F13" s="7">
        <v>22750</v>
      </c>
      <c r="G13" s="6">
        <f t="shared" si="0"/>
        <v>1086995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20.47</v>
      </c>
      <c r="F14" s="7">
        <v>16000</v>
      </c>
      <c r="G14" s="6">
        <f t="shared" si="0"/>
        <v>327520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1852200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126</v>
      </c>
      <c r="F16" s="5">
        <v>14700</v>
      </c>
      <c r="G16" s="6">
        <f>F16*E16</f>
        <v>1852200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3943540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315483.2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197177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197177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37463.629999999997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747300.83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4690840.83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C8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46.87</v>
      </c>
      <c r="F13" s="7">
        <v>22750</v>
      </c>
      <c r="G13" s="6">
        <f t="shared" si="0"/>
        <v>1066292.5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20.079999999999998</v>
      </c>
      <c r="F14" s="7">
        <v>16000</v>
      </c>
      <c r="G14" s="6">
        <f t="shared" si="0"/>
        <v>321280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1816920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123.6</v>
      </c>
      <c r="F16" s="5">
        <v>14700</v>
      </c>
      <c r="G16" s="6">
        <f>F16*E16</f>
        <v>1816920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3875987.5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310079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193799.375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193799.375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36821.881249999999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734499.63124999998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4610487.1312499996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7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99.06</v>
      </c>
      <c r="F13" s="7">
        <v>22750</v>
      </c>
      <c r="G13" s="6">
        <f t="shared" si="0"/>
        <v>2253615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66.040000000000006</v>
      </c>
      <c r="F14" s="7">
        <v>16000</v>
      </c>
      <c r="G14" s="6">
        <f t="shared" si="0"/>
        <v>1056640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2363760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160.80000000000001</v>
      </c>
      <c r="F16" s="5">
        <v>14700</v>
      </c>
      <c r="G16" s="6">
        <f>F16*E16</f>
        <v>2363760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7031125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562490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351556.25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351556.25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66795.6875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1332398.1875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8363523.1875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155.09</v>
      </c>
      <c r="F13" s="7">
        <v>22750</v>
      </c>
      <c r="G13" s="6">
        <f t="shared" si="0"/>
        <v>3528297.5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48.3</v>
      </c>
      <c r="F14" s="7">
        <v>16000</v>
      </c>
      <c r="G14" s="6">
        <f t="shared" si="0"/>
        <v>772800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2257920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153.6</v>
      </c>
      <c r="F16" s="5">
        <v>14700</v>
      </c>
      <c r="G16" s="6">
        <f>F16*E16</f>
        <v>2257920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8133116.5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650649.32000000007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406655.82500000001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406655.82500000001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77264.606750000006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1541225.57675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9674342.0767499991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8" zoomScale="70" zoomScaleNormal="70" workbookViewId="0">
      <selection activeCell="E10" sqref="E10:E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84" t="s">
        <v>33</v>
      </c>
      <c r="D9" s="85"/>
      <c r="E9" s="85"/>
      <c r="F9" s="86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ht="36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6235225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498818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311761.25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311761.25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59234.637499999997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1181575.1375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7416800.1375000002</v>
      </c>
    </row>
  </sheetData>
  <mergeCells count="16">
    <mergeCell ref="C9:F9"/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10" zoomScale="80" zoomScaleNormal="80" workbookViewId="0">
      <selection activeCell="H16" sqref="H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22.55468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9" t="s">
        <v>36</v>
      </c>
      <c r="B1" s="60"/>
      <c r="C1" s="60"/>
      <c r="D1" s="60"/>
      <c r="E1" s="60"/>
      <c r="F1" s="60"/>
      <c r="G1" s="61"/>
    </row>
    <row r="2" spans="1:8" ht="30" x14ac:dyDescent="0.3">
      <c r="A2" s="62" t="s">
        <v>13</v>
      </c>
      <c r="B2" s="63"/>
      <c r="C2" s="3" t="s">
        <v>14</v>
      </c>
      <c r="D2" s="3" t="s">
        <v>15</v>
      </c>
      <c r="E2" s="3" t="s">
        <v>16</v>
      </c>
      <c r="F2" s="64"/>
      <c r="G2" s="65"/>
    </row>
    <row r="3" spans="1:8" ht="30" x14ac:dyDescent="0.3">
      <c r="A3" s="62" t="s">
        <v>17</v>
      </c>
      <c r="B3" s="63"/>
      <c r="C3" s="3" t="s">
        <v>27</v>
      </c>
      <c r="D3" s="62" t="s">
        <v>34</v>
      </c>
      <c r="E3" s="63"/>
      <c r="F3" s="66"/>
      <c r="G3" s="67"/>
      <c r="H3"/>
    </row>
    <row r="4" spans="1:8" ht="40.5" customHeight="1" x14ac:dyDescent="0.3">
      <c r="A4" s="62" t="s">
        <v>18</v>
      </c>
      <c r="B4" s="63"/>
      <c r="C4" s="3" t="s">
        <v>19</v>
      </c>
      <c r="D4" s="62" t="s">
        <v>35</v>
      </c>
      <c r="E4" s="63"/>
      <c r="F4" s="68"/>
      <c r="G4" s="69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84" t="s">
        <v>33</v>
      </c>
      <c r="D9" s="85"/>
      <c r="E9" s="85"/>
      <c r="F9" s="86"/>
      <c r="G9" s="36">
        <f>SUM(G10:G14)</f>
        <v>226516901.32499999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7617.2139999999999</v>
      </c>
      <c r="F10" s="7">
        <v>4100</v>
      </c>
      <c r="G10" s="6">
        <f>F10*E10</f>
        <v>31230577.399999999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f>E10*0.05</f>
        <v>380.86070000000001</v>
      </c>
      <c r="F11" s="7">
        <v>42000</v>
      </c>
      <c r="G11" s="6">
        <f t="shared" ref="G11:G14" si="0">F11*E11</f>
        <v>15996149.4</v>
      </c>
      <c r="H11" s="58">
        <v>0.05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f>E10*0.3</f>
        <v>2285.1641999999997</v>
      </c>
      <c r="F12" s="7">
        <v>7200</v>
      </c>
      <c r="G12" s="6">
        <f t="shared" si="0"/>
        <v>16453182.239999998</v>
      </c>
      <c r="H12" s="58">
        <v>0.3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f>E10*0.85</f>
        <v>6474.6318999999994</v>
      </c>
      <c r="F13" s="7">
        <v>22750</v>
      </c>
      <c r="G13" s="6">
        <f t="shared" si="0"/>
        <v>147297875.72499999</v>
      </c>
      <c r="H13" s="58">
        <v>0.75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f>E13*0.15</f>
        <v>971.19478499999991</v>
      </c>
      <c r="F14" s="7">
        <v>16000</v>
      </c>
      <c r="G14" s="6">
        <f t="shared" si="0"/>
        <v>15539116.559999999</v>
      </c>
      <c r="H14" s="58">
        <v>0.15</v>
      </c>
    </row>
    <row r="15" spans="1:8" s="37" customFormat="1" ht="21" customHeight="1" x14ac:dyDescent="0.3">
      <c r="A15" s="19">
        <v>3</v>
      </c>
      <c r="B15" s="22"/>
      <c r="C15" s="76" t="s">
        <v>43</v>
      </c>
      <c r="D15" s="77"/>
      <c r="E15" s="77"/>
      <c r="F15" s="78"/>
      <c r="G15" s="36">
        <f>SUM(G16:G16)</f>
        <v>775161142.85714281</v>
      </c>
    </row>
    <row r="16" spans="1:8" ht="30.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10000</v>
      </c>
      <c r="F16" s="5">
        <v>77516.114285714284</v>
      </c>
      <c r="G16" s="6">
        <f>F16*E16</f>
        <v>775161142.85714281</v>
      </c>
    </row>
    <row r="17" spans="1:7" s="37" customFormat="1" ht="21" customHeight="1" x14ac:dyDescent="0.3">
      <c r="A17" s="19">
        <v>4</v>
      </c>
      <c r="B17" s="22"/>
      <c r="C17" s="87" t="s">
        <v>26</v>
      </c>
      <c r="D17" s="88"/>
      <c r="E17" s="88"/>
      <c r="F17" s="89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9" t="s">
        <v>7</v>
      </c>
      <c r="E19" s="80"/>
      <c r="F19" s="81"/>
      <c r="G19" s="38">
        <f>+G9+G17+G15</f>
        <v>1001778044.1821427</v>
      </c>
    </row>
    <row r="20" spans="1:7" ht="21.75" customHeight="1" x14ac:dyDescent="0.3">
      <c r="A20" s="8"/>
      <c r="B20" s="9"/>
      <c r="C20" s="9"/>
      <c r="D20" s="82" t="s">
        <v>8</v>
      </c>
      <c r="E20" s="83"/>
      <c r="F20" s="10">
        <v>0.08</v>
      </c>
      <c r="G20" s="11">
        <f>+$G$19*F20</f>
        <v>80142243.534571424</v>
      </c>
    </row>
    <row r="21" spans="1:7" ht="21.75" customHeight="1" x14ac:dyDescent="0.3">
      <c r="A21" s="8"/>
      <c r="B21" s="9"/>
      <c r="C21" s="9"/>
      <c r="D21" s="82" t="s">
        <v>9</v>
      </c>
      <c r="E21" s="83"/>
      <c r="F21" s="10">
        <v>0.05</v>
      </c>
      <c r="G21" s="11">
        <f>+$G$19*F21</f>
        <v>50088902.209107138</v>
      </c>
    </row>
    <row r="22" spans="1:7" ht="21.75" customHeight="1" x14ac:dyDescent="0.3">
      <c r="A22" s="8"/>
      <c r="B22" s="9"/>
      <c r="C22" s="9"/>
      <c r="D22" s="82" t="s">
        <v>10</v>
      </c>
      <c r="E22" s="83"/>
      <c r="F22" s="10">
        <v>0.05</v>
      </c>
      <c r="G22" s="11">
        <f>+$G$19*F22</f>
        <v>50088902.209107138</v>
      </c>
    </row>
    <row r="23" spans="1:7" ht="21.75" customHeight="1" x14ac:dyDescent="0.3">
      <c r="A23" s="8"/>
      <c r="B23" s="9"/>
      <c r="C23" s="9"/>
      <c r="D23" s="82" t="s">
        <v>3</v>
      </c>
      <c r="E23" s="83"/>
      <c r="F23" s="10">
        <v>0.19</v>
      </c>
      <c r="G23" s="11">
        <f>+G22*F23</f>
        <v>9516891.419730356</v>
      </c>
    </row>
    <row r="24" spans="1:7" ht="21.75" customHeight="1" x14ac:dyDescent="0.3">
      <c r="A24" s="8"/>
      <c r="B24" s="9"/>
      <c r="C24" s="9"/>
      <c r="D24" s="70" t="s">
        <v>11</v>
      </c>
      <c r="E24" s="71"/>
      <c r="F24" s="72"/>
      <c r="G24" s="39">
        <f>+G20+G21+G22+G23</f>
        <v>189836939.37251607</v>
      </c>
    </row>
    <row r="25" spans="1:7" ht="15" x14ac:dyDescent="0.3">
      <c r="A25" s="8"/>
      <c r="B25" s="9"/>
      <c r="C25" s="9"/>
      <c r="D25" s="73" t="s">
        <v>12</v>
      </c>
      <c r="E25" s="74"/>
      <c r="F25" s="75"/>
      <c r="G25" s="12">
        <f>+G19+G24</f>
        <v>1191614983.5546589</v>
      </c>
    </row>
  </sheetData>
  <mergeCells count="17"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  <mergeCell ref="A1:G1"/>
    <mergeCell ref="A2:B2"/>
    <mergeCell ref="F2:G4"/>
    <mergeCell ref="A3:B3"/>
    <mergeCell ref="D3:E3"/>
    <mergeCell ref="A4:B4"/>
    <mergeCell ref="D4:E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P20"/>
  <sheetViews>
    <sheetView topLeftCell="C1" workbookViewId="0">
      <selection activeCell="M10" sqref="M10"/>
    </sheetView>
  </sheetViews>
  <sheetFormatPr baseColWidth="10" defaultRowHeight="14.4" x14ac:dyDescent="0.3"/>
  <cols>
    <col min="2" max="2" width="25.21875" customWidth="1"/>
    <col min="3" max="3" width="13.88671875" customWidth="1"/>
    <col min="4" max="4" width="16.33203125" customWidth="1"/>
    <col min="5" max="5" width="15.33203125" bestFit="1" customWidth="1"/>
    <col min="7" max="7" width="15.109375" customWidth="1"/>
    <col min="8" max="8" width="16.109375" customWidth="1"/>
    <col min="10" max="10" width="21.33203125" customWidth="1"/>
    <col min="11" max="11" width="22.6640625" customWidth="1"/>
  </cols>
  <sheetData>
    <row r="1" spans="1:16" x14ac:dyDescent="0.3">
      <c r="B1" s="45" t="s">
        <v>67</v>
      </c>
      <c r="C1" s="45" t="s">
        <v>21</v>
      </c>
      <c r="D1" s="45" t="s">
        <v>68</v>
      </c>
      <c r="E1" s="45" t="s">
        <v>69</v>
      </c>
      <c r="G1" s="51" t="s">
        <v>71</v>
      </c>
      <c r="H1" s="51" t="s">
        <v>72</v>
      </c>
      <c r="J1" s="52" t="s">
        <v>73</v>
      </c>
      <c r="K1" s="52" t="s">
        <v>74</v>
      </c>
      <c r="O1" s="90" t="s">
        <v>76</v>
      </c>
      <c r="P1" s="90"/>
    </row>
    <row r="2" spans="1:16" ht="18" x14ac:dyDescent="0.3">
      <c r="A2" s="55">
        <v>1</v>
      </c>
      <c r="B2" s="50" t="s">
        <v>51</v>
      </c>
      <c r="C2" s="42">
        <v>2</v>
      </c>
      <c r="D2" s="43">
        <f>'1) HIMALAYA ESQ. TIPO 1'!G25</f>
        <v>1191614983.5546589</v>
      </c>
      <c r="E2" s="43">
        <f>D2*C2</f>
        <v>2383229967.1093178</v>
      </c>
      <c r="G2" s="53">
        <v>132</v>
      </c>
      <c r="H2" s="53">
        <v>149.5</v>
      </c>
      <c r="J2" s="53">
        <f>G2*C2</f>
        <v>264</v>
      </c>
      <c r="K2" s="53">
        <f>H2*C2</f>
        <v>299</v>
      </c>
      <c r="O2" s="57" t="s">
        <v>77</v>
      </c>
      <c r="P2" s="57">
        <v>1188.3430000000001</v>
      </c>
    </row>
    <row r="3" spans="1:16" ht="18" x14ac:dyDescent="0.3">
      <c r="A3" s="55">
        <v>2</v>
      </c>
      <c r="B3" s="50" t="s">
        <v>52</v>
      </c>
      <c r="C3" s="42">
        <v>7</v>
      </c>
      <c r="D3" s="49">
        <f>'2) HIMALAYA ESQ. TIPO 2'!G25</f>
        <v>7416800.1375000002</v>
      </c>
      <c r="E3" s="43">
        <f t="shared" ref="E3:E17" si="0">D3*C3</f>
        <v>51917600.962499999</v>
      </c>
      <c r="G3" s="53">
        <f>'2) HIMALAYA ESQ. TIPO 2'!E16</f>
        <v>132</v>
      </c>
      <c r="H3" s="53">
        <f>'2) HIMALAYA ESQ. TIPO 2'!E10</f>
        <v>149.5</v>
      </c>
      <c r="J3" s="53">
        <f t="shared" ref="J3:J17" si="1">G3*C3</f>
        <v>924</v>
      </c>
      <c r="K3" s="53">
        <f t="shared" ref="K3:K17" si="2">H3*C3</f>
        <v>1046.5</v>
      </c>
      <c r="O3" s="57" t="s">
        <v>78</v>
      </c>
      <c r="P3" s="57">
        <v>1214.6869999999999</v>
      </c>
    </row>
    <row r="4" spans="1:16" ht="18" x14ac:dyDescent="0.3">
      <c r="A4" s="55">
        <v>3</v>
      </c>
      <c r="B4" s="50" t="s">
        <v>53</v>
      </c>
      <c r="C4" s="42">
        <v>1</v>
      </c>
      <c r="D4" s="49">
        <f>'3) HIMALAYA ESQ. TIPO 3 (ESPE.)'!G25</f>
        <v>9674342.0767499991</v>
      </c>
      <c r="E4" s="43">
        <f t="shared" si="0"/>
        <v>9674342.0767499991</v>
      </c>
      <c r="G4" s="53">
        <f>'3) HIMALAYA ESQ. TIPO 3 (ESPE.)'!E16</f>
        <v>153.6</v>
      </c>
      <c r="H4" s="53">
        <f>'3) HIMALAYA ESQ. TIPO 3 (ESPE.)'!E10</f>
        <v>203.39</v>
      </c>
      <c r="J4" s="53">
        <f t="shared" si="1"/>
        <v>153.6</v>
      </c>
      <c r="K4" s="53">
        <f t="shared" si="2"/>
        <v>203.39</v>
      </c>
      <c r="O4" s="57" t="s">
        <v>79</v>
      </c>
      <c r="P4" s="57">
        <v>1062.0999999999999</v>
      </c>
    </row>
    <row r="5" spans="1:16" ht="18" x14ac:dyDescent="0.3">
      <c r="A5" s="55">
        <v>4</v>
      </c>
      <c r="B5" s="50" t="s">
        <v>54</v>
      </c>
      <c r="C5" s="42">
        <v>1</v>
      </c>
      <c r="D5" s="49">
        <f>'4) HIMALAYA ESQ. TIPO 4'!G25</f>
        <v>8363523.1875</v>
      </c>
      <c r="E5" s="43">
        <f t="shared" si="0"/>
        <v>8363523.1875</v>
      </c>
      <c r="G5" s="53">
        <f>'4) HIMALAYA ESQ. TIPO 4'!E16</f>
        <v>160.80000000000001</v>
      </c>
      <c r="H5" s="53">
        <f>'4) HIMALAYA ESQ. TIPO 4'!E10</f>
        <v>165.1</v>
      </c>
      <c r="J5" s="53">
        <f t="shared" si="1"/>
        <v>160.80000000000001</v>
      </c>
      <c r="K5" s="53">
        <f t="shared" si="2"/>
        <v>165.1</v>
      </c>
      <c r="O5" s="57" t="s">
        <v>80</v>
      </c>
      <c r="P5" s="57">
        <v>879.38499999999999</v>
      </c>
    </row>
    <row r="6" spans="1:16" ht="18" x14ac:dyDescent="0.3">
      <c r="A6" s="55">
        <v>5</v>
      </c>
      <c r="B6" s="50" t="s">
        <v>55</v>
      </c>
      <c r="C6" s="42">
        <v>6</v>
      </c>
      <c r="D6" s="49">
        <f>'5) HIMALAYA MED. TIPO 1'!G25</f>
        <v>4610487.1312499996</v>
      </c>
      <c r="E6" s="43">
        <f t="shared" si="0"/>
        <v>27662922.787499998</v>
      </c>
      <c r="G6" s="53">
        <f>'5) HIMALAYA MED. TIPO 1'!E16</f>
        <v>123.6</v>
      </c>
      <c r="H6" s="53">
        <f>'5) HIMALAYA MED. TIPO 1'!E10</f>
        <v>66.95</v>
      </c>
      <c r="J6" s="53">
        <f t="shared" si="1"/>
        <v>741.59999999999991</v>
      </c>
      <c r="K6" s="53">
        <f t="shared" si="2"/>
        <v>401.70000000000005</v>
      </c>
      <c r="O6" s="57" t="s">
        <v>81</v>
      </c>
      <c r="P6" s="57">
        <v>928.92100000000005</v>
      </c>
    </row>
    <row r="7" spans="1:16" ht="18" x14ac:dyDescent="0.3">
      <c r="A7" s="55">
        <v>6</v>
      </c>
      <c r="B7" s="50" t="s">
        <v>56</v>
      </c>
      <c r="C7" s="42">
        <v>4</v>
      </c>
      <c r="D7" s="49">
        <f>'6) HIMALAYA MED. TIPO 2'!G25</f>
        <v>4690840.83</v>
      </c>
      <c r="E7" s="43">
        <f t="shared" si="0"/>
        <v>18763363.32</v>
      </c>
      <c r="G7" s="53">
        <f>'6) HIMALAYA MED. TIPO 2'!E16</f>
        <v>126</v>
      </c>
      <c r="H7" s="53">
        <f>'6) HIMALAYA MED. TIPO 2'!E10</f>
        <v>68.25</v>
      </c>
      <c r="J7" s="53">
        <f t="shared" si="1"/>
        <v>504</v>
      </c>
      <c r="K7" s="53">
        <f t="shared" si="2"/>
        <v>273</v>
      </c>
      <c r="O7" s="57" t="s">
        <v>82</v>
      </c>
      <c r="P7" s="57">
        <v>310.76799999999997</v>
      </c>
    </row>
    <row r="8" spans="1:16" ht="18" x14ac:dyDescent="0.3">
      <c r="A8" s="55">
        <v>7</v>
      </c>
      <c r="B8" s="50" t="s">
        <v>57</v>
      </c>
      <c r="C8" s="42">
        <v>2</v>
      </c>
      <c r="D8" s="49">
        <f>'7) ATLAS ESQ. TIPO 1'!G25</f>
        <v>7561699.0800000001</v>
      </c>
      <c r="E8" s="43">
        <f t="shared" si="0"/>
        <v>15123398.16</v>
      </c>
      <c r="G8" s="53">
        <f>'7) ATLAS ESQ. TIPO 1'!E16</f>
        <v>132</v>
      </c>
      <c r="H8" s="53">
        <f>'7) ATLAS ESQ. TIPO 1'!E10</f>
        <v>149.5</v>
      </c>
      <c r="J8" s="53">
        <f t="shared" si="1"/>
        <v>264</v>
      </c>
      <c r="K8" s="53">
        <f t="shared" si="2"/>
        <v>299</v>
      </c>
      <c r="O8" s="57" t="s">
        <v>83</v>
      </c>
      <c r="P8" s="57">
        <v>1122.29</v>
      </c>
    </row>
    <row r="9" spans="1:16" ht="18" x14ac:dyDescent="0.3">
      <c r="A9" s="55">
        <v>8</v>
      </c>
      <c r="B9" s="50" t="s">
        <v>58</v>
      </c>
      <c r="C9" s="42">
        <v>1</v>
      </c>
      <c r="D9" s="49">
        <f>'8) ATLAS ESQ. TIPO 2'!G25</f>
        <v>7561699.0800000001</v>
      </c>
      <c r="E9" s="43">
        <f t="shared" si="0"/>
        <v>7561699.0800000001</v>
      </c>
      <c r="G9" s="53">
        <f>'8) ATLAS ESQ. TIPO 2'!E16</f>
        <v>132</v>
      </c>
      <c r="H9" s="53">
        <f>'8) ATLAS ESQ. TIPO 2'!E10</f>
        <v>149.5</v>
      </c>
      <c r="J9" s="53">
        <f t="shared" si="1"/>
        <v>132</v>
      </c>
      <c r="K9" s="53">
        <f t="shared" si="2"/>
        <v>149.5</v>
      </c>
      <c r="O9" s="57" t="s">
        <v>84</v>
      </c>
      <c r="P9" s="57">
        <v>910.72</v>
      </c>
    </row>
    <row r="10" spans="1:16" ht="18" x14ac:dyDescent="0.3">
      <c r="A10" s="55">
        <v>9</v>
      </c>
      <c r="B10" s="50" t="s">
        <v>59</v>
      </c>
      <c r="C10" s="42">
        <v>7</v>
      </c>
      <c r="D10" s="49">
        <f>'9) ATLAS MED. TIPO 1'!G25</f>
        <v>3018213.51</v>
      </c>
      <c r="E10" s="43">
        <f t="shared" si="0"/>
        <v>21127494.57</v>
      </c>
      <c r="G10" s="53">
        <f>'9) ATLAS MED. TIPO 1'!E16</f>
        <v>76.8</v>
      </c>
      <c r="H10" s="53">
        <f>'9) ATLAS MED. TIPO 1'!E10</f>
        <v>41.6</v>
      </c>
      <c r="J10" s="53">
        <f t="shared" si="1"/>
        <v>537.6</v>
      </c>
      <c r="K10" s="53">
        <f t="shared" si="2"/>
        <v>291.2</v>
      </c>
      <c r="P10" s="54">
        <f>SUM(P2:P9)</f>
        <v>7617.2139999999999</v>
      </c>
    </row>
    <row r="11" spans="1:16" ht="18" x14ac:dyDescent="0.3">
      <c r="A11" s="55">
        <v>10</v>
      </c>
      <c r="B11" s="50" t="s">
        <v>60</v>
      </c>
      <c r="C11" s="42">
        <v>4</v>
      </c>
      <c r="D11" s="49">
        <f>'10) CHIPRE ESQ. TIPO 1'!G25</f>
        <v>4506462.3825000003</v>
      </c>
      <c r="E11" s="43">
        <f t="shared" si="0"/>
        <v>18025849.530000001</v>
      </c>
      <c r="G11" s="53">
        <f>'10) CHIPRE ESQ. TIPO 1'!E16</f>
        <v>80.400000000000006</v>
      </c>
      <c r="H11" s="53">
        <f>'10) CHIPRE ESQ. TIPO 1'!E10</f>
        <v>84.5</v>
      </c>
      <c r="J11" s="53">
        <f t="shared" si="1"/>
        <v>321.60000000000002</v>
      </c>
      <c r="K11" s="53">
        <f t="shared" si="2"/>
        <v>338</v>
      </c>
    </row>
    <row r="12" spans="1:16" ht="18" x14ac:dyDescent="0.3">
      <c r="A12" s="55">
        <v>11</v>
      </c>
      <c r="B12" s="50" t="s">
        <v>61</v>
      </c>
      <c r="C12" s="42">
        <v>29</v>
      </c>
      <c r="D12" s="49">
        <f>'11) CHIPRE MED. TIPO 1'!G25</f>
        <v>2956716.36</v>
      </c>
      <c r="E12" s="43">
        <f t="shared" si="0"/>
        <v>85744774.439999998</v>
      </c>
      <c r="G12" s="53">
        <f>'11) CHIPRE MED. TIPO 1'!E16</f>
        <v>73.2</v>
      </c>
      <c r="H12" s="53">
        <f>'11) CHIPRE MED. TIPO 1'!E10</f>
        <v>39.65</v>
      </c>
      <c r="J12" s="53">
        <f t="shared" si="1"/>
        <v>2122.8000000000002</v>
      </c>
      <c r="K12" s="53">
        <f t="shared" si="2"/>
        <v>1149.8499999999999</v>
      </c>
    </row>
    <row r="13" spans="1:16" ht="18" x14ac:dyDescent="0.3">
      <c r="A13" s="55">
        <v>12</v>
      </c>
      <c r="B13" s="50" t="s">
        <v>62</v>
      </c>
      <c r="C13" s="42">
        <v>2</v>
      </c>
      <c r="D13" s="49">
        <f>'12) HIMALAYA CAMPESTRE'!G25</f>
        <v>8198390.8499999996</v>
      </c>
      <c r="E13" s="43">
        <f t="shared" si="0"/>
        <v>16396781.699999999</v>
      </c>
      <c r="G13" s="53">
        <f>'12) HIMALAYA CAMPESTRE'!E16</f>
        <v>156</v>
      </c>
      <c r="H13" s="53">
        <f>'12) HIMALAYA CAMPESTRE'!E10</f>
        <v>152</v>
      </c>
      <c r="J13" s="53">
        <f t="shared" si="1"/>
        <v>312</v>
      </c>
      <c r="K13" s="53">
        <f t="shared" si="2"/>
        <v>304</v>
      </c>
    </row>
    <row r="14" spans="1:16" ht="18" x14ac:dyDescent="0.3">
      <c r="A14" s="55">
        <v>13</v>
      </c>
      <c r="B14" s="50" t="s">
        <v>63</v>
      </c>
      <c r="C14" s="42">
        <v>2</v>
      </c>
      <c r="D14" s="49">
        <f>'13) LIBANO 1 PISO ESQ.'!G25</f>
        <v>6404899.5055500008</v>
      </c>
      <c r="E14" s="43">
        <f t="shared" si="0"/>
        <v>12809799.011100002</v>
      </c>
      <c r="G14" s="53">
        <f>'13) LIBANO 1 PISO ESQ.'!E16</f>
        <v>202.12200000000001</v>
      </c>
      <c r="H14" s="53">
        <f>'13) LIBANO 1 PISO ESQ.'!E10</f>
        <v>78.5</v>
      </c>
      <c r="J14" s="53">
        <f t="shared" si="1"/>
        <v>404.24400000000003</v>
      </c>
      <c r="K14" s="53">
        <f t="shared" si="2"/>
        <v>157</v>
      </c>
      <c r="P14" s="53">
        <f>K18/P10</f>
        <v>0.83078143793780768</v>
      </c>
    </row>
    <row r="15" spans="1:16" ht="18" x14ac:dyDescent="0.3">
      <c r="A15" s="55">
        <v>14</v>
      </c>
      <c r="B15" s="50" t="s">
        <v>64</v>
      </c>
      <c r="C15" s="42">
        <v>9</v>
      </c>
      <c r="D15" s="49">
        <f>'14) LIBANO 1 PISO MED.'!G25</f>
        <v>4504896.4057499999</v>
      </c>
      <c r="E15" s="43">
        <f t="shared" si="0"/>
        <v>40544067.651749998</v>
      </c>
      <c r="G15" s="53">
        <f>'14) LIBANO 1 PISO MED.'!E16</f>
        <v>164.58</v>
      </c>
      <c r="H15" s="53">
        <f>'14) LIBANO 1 PISO MED.'!E10</f>
        <v>45.5</v>
      </c>
      <c r="J15" s="53">
        <f t="shared" si="1"/>
        <v>1481.22</v>
      </c>
      <c r="K15" s="53">
        <f t="shared" si="2"/>
        <v>409.5</v>
      </c>
    </row>
    <row r="16" spans="1:16" ht="18" x14ac:dyDescent="0.3">
      <c r="A16" s="55">
        <v>15</v>
      </c>
      <c r="B16" s="50" t="s">
        <v>65</v>
      </c>
      <c r="C16" s="42">
        <v>5</v>
      </c>
      <c r="D16" s="49">
        <f>'15) LIBANO 2 PISOS MED.'!G25</f>
        <v>3630369.4278150005</v>
      </c>
      <c r="E16" s="43">
        <f t="shared" si="0"/>
        <v>18151847.139075004</v>
      </c>
      <c r="G16" s="53">
        <f>'15) LIBANO 2 PISOS MED.'!E16</f>
        <v>130</v>
      </c>
      <c r="H16" s="53">
        <f>'15) LIBANO 2 PISOS MED.'!E10</f>
        <v>98.5</v>
      </c>
      <c r="J16" s="53">
        <f t="shared" si="1"/>
        <v>650</v>
      </c>
      <c r="K16" s="53">
        <f t="shared" si="2"/>
        <v>492.5</v>
      </c>
    </row>
    <row r="17" spans="1:12" ht="18" x14ac:dyDescent="0.3">
      <c r="A17" s="55">
        <v>16</v>
      </c>
      <c r="B17" s="50" t="s">
        <v>66</v>
      </c>
      <c r="C17" s="42">
        <v>2</v>
      </c>
      <c r="D17" s="49">
        <f>'16) LIBANO ESQ.'!G25</f>
        <v>8448556.0818750001</v>
      </c>
      <c r="E17" s="43">
        <f t="shared" si="0"/>
        <v>16897112.16375</v>
      </c>
      <c r="G17" s="53">
        <f>'16) LIBANO ESQ.'!E16</f>
        <v>127.9</v>
      </c>
      <c r="H17" s="53">
        <f>'16) LIBANO ESQ.'!E10</f>
        <v>174.5</v>
      </c>
      <c r="J17" s="53">
        <f t="shared" si="1"/>
        <v>255.8</v>
      </c>
      <c r="K17" s="53">
        <f t="shared" si="2"/>
        <v>349</v>
      </c>
    </row>
    <row r="18" spans="1:12" x14ac:dyDescent="0.3">
      <c r="C18" s="45">
        <f>SUM(C2:C17)</f>
        <v>84</v>
      </c>
      <c r="E18" s="44">
        <f>SUM(E2:E17)</f>
        <v>2751994542.8892426</v>
      </c>
      <c r="J18" s="53">
        <f>SUM(J2:J17)</f>
        <v>9229.2639999999992</v>
      </c>
      <c r="K18" s="53">
        <f>SUM(K2:K17)</f>
        <v>6328.24</v>
      </c>
      <c r="L18" s="56" t="s">
        <v>75</v>
      </c>
    </row>
    <row r="20" spans="1:12" x14ac:dyDescent="0.3">
      <c r="B20" s="46" t="s">
        <v>70</v>
      </c>
      <c r="C20" s="47"/>
      <c r="D20" s="47"/>
      <c r="E20" s="48">
        <f>E18/C18</f>
        <v>32761839.796300508</v>
      </c>
    </row>
  </sheetData>
  <mergeCells count="1">
    <mergeCell ref="O1:P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16) LIBANO ESQ.</vt:lpstr>
      <vt:lpstr>15) LIBANO 2 PISOS MED.</vt:lpstr>
      <vt:lpstr>14) LIBANO 1 PISO MED.</vt:lpstr>
      <vt:lpstr>13) LIBANO 1 PISO ESQ.</vt:lpstr>
      <vt:lpstr>12) HIMALAYA CAMPESTRE</vt:lpstr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LISTADO DE CASAS</vt:lpstr>
      <vt:lpstr>'1) HIMALAYA ESQ. TIPO 1'!Área_de_impresión</vt:lpstr>
      <vt:lpstr>'10) CHIPRE ESQ. TIPO 1'!Área_de_impresión</vt:lpstr>
      <vt:lpstr>'11) CHIPRE MED. TIPO 1'!Área_de_impresión</vt:lpstr>
      <vt:lpstr>'12) HIMALAYA CAMPESTRE'!Área_de_impresión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2025-07-22T20:45:41Z</dcterms:modified>
  <cp:category/>
  <cp:contentStatus/>
</cp:coreProperties>
</file>