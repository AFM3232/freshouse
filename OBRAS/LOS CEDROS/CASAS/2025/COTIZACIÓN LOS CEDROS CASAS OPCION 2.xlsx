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E3E06802-6FA4-498D-8D42-77CD68C51A2F}" xr6:coauthVersionLast="47" xr6:coauthVersionMax="47" xr10:uidLastSave="{00000000-0000-0000-0000-000000000000}"/>
  <bookViews>
    <workbookView xWindow="-108" yWindow="-108" windowWidth="23256" windowHeight="12456" firstSheet="13" activeTab="16" xr2:uid="{00000000-000D-0000-FFFF-FFFF00000000}"/>
  </bookViews>
  <sheets>
    <sheet name="16) LIBANO ESQ." sheetId="23" r:id="rId1"/>
    <sheet name="15) LIBANO 2 PISOS MED." sheetId="22" r:id="rId2"/>
    <sheet name="14) LIBANO 1 PISO MED." sheetId="21" r:id="rId3"/>
    <sheet name="13) LIBANO 1 PISO ESQ." sheetId="20" r:id="rId4"/>
    <sheet name="12) HIMALAYA CAMPESTRE" sheetId="19" r:id="rId5"/>
    <sheet name="11) CHIPRE MED. TIPO 1" sheetId="18" r:id="rId6"/>
    <sheet name="10) CHIPRE ESQ. TIPO 1" sheetId="17" r:id="rId7"/>
    <sheet name="9) ATLAS MED. TIPO 1" sheetId="16" r:id="rId8"/>
    <sheet name="8) ATLAS ESQ. TIPO 2" sheetId="15" r:id="rId9"/>
    <sheet name="7) ATLAS ESQ. TIPO 1" sheetId="14" r:id="rId10"/>
    <sheet name="6) HIMALAYA MED. TIPO 2" sheetId="13" r:id="rId11"/>
    <sheet name="5) HIMALAYA MED. TIPO 1" sheetId="12" r:id="rId12"/>
    <sheet name="4) HIMALAYA ESQ. TIPO 4" sheetId="11" r:id="rId13"/>
    <sheet name="3) HIMALAYA ESQ. TIPO 3 (ESPE.)" sheetId="10" r:id="rId14"/>
    <sheet name="2) HIMALAYA ESQ. TIPO 2" sheetId="9" r:id="rId15"/>
    <sheet name="1) HIMALAYA ESQ. TIPO 1" sheetId="8" r:id="rId16"/>
    <sheet name="LISTADO DE CASAS" sheetId="24" r:id="rId17"/>
  </sheets>
  <definedNames>
    <definedName name="_xlnm.Print_Area" localSheetId="15">'1) HIMALAYA ESQ. TIPO 1'!$A$1:$G$25</definedName>
    <definedName name="_xlnm.Print_Area" localSheetId="6">'10) CHIPRE ESQ. TIPO 1'!$A$1:$G$25</definedName>
    <definedName name="_xlnm.Print_Area" localSheetId="5">'11) CHIPRE MED. TIPO 1'!$A$1:$G$25</definedName>
    <definedName name="_xlnm.Print_Area" localSheetId="4">'12) HIMALAYA CAMPESTRE'!$A$1:$G$25</definedName>
    <definedName name="_xlnm.Print_Area" localSheetId="3">'13) LIBANO 1 PISO ESQ.'!$A$1:$G$25</definedName>
    <definedName name="_xlnm.Print_Area" localSheetId="2">'14) LIBANO 1 PISO MED.'!$A$1:$G$25</definedName>
    <definedName name="_xlnm.Print_Area" localSheetId="1">'15) LIBANO 2 PISOS MED.'!$A$1:$G$25</definedName>
    <definedName name="_xlnm.Print_Area" localSheetId="0">'16) LIBANO ESQ.'!$A$1:$G$25</definedName>
    <definedName name="_xlnm.Print_Area" localSheetId="14">'2) HIMALAYA ESQ. TIPO 2'!$A$1:$G$25</definedName>
    <definedName name="_xlnm.Print_Area" localSheetId="13">'3) HIMALAYA ESQ. TIPO 3 (ESPE.)'!$A$1:$G$25</definedName>
    <definedName name="_xlnm.Print_Area" localSheetId="12">'4) HIMALAYA ESQ. TIPO 4'!$A$1:$G$25</definedName>
    <definedName name="_xlnm.Print_Area" localSheetId="11">'5) HIMALAYA MED. TIPO 1'!$A$1:$G$25</definedName>
    <definedName name="_xlnm.Print_Area" localSheetId="10">'6) HIMALAYA MED. TIPO 2'!$A$1:$G$25</definedName>
    <definedName name="_xlnm.Print_Area" localSheetId="9">'7) ATLAS ESQ. TIPO 1'!$A$1:$G$25</definedName>
    <definedName name="_xlnm.Print_Area" localSheetId="8">'8) ATLAS ESQ. TIPO 2'!$A$1:$G$25</definedName>
    <definedName name="_xlnm.Print_Area" localSheetId="7">'9) ATLAS MED. TIPO 1'!$A$1:$G$25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4" l="1"/>
  <c r="G18" i="23" l="1"/>
  <c r="G17" i="23"/>
  <c r="G16" i="23"/>
  <c r="G15" i="23" s="1"/>
  <c r="G14" i="23"/>
  <c r="G13" i="23"/>
  <c r="G12" i="23"/>
  <c r="G11" i="23"/>
  <c r="G10" i="23"/>
  <c r="G6" i="23"/>
  <c r="G18" i="22"/>
  <c r="G17" i="22"/>
  <c r="G16" i="22"/>
  <c r="G15" i="22" s="1"/>
  <c r="G14" i="22"/>
  <c r="G13" i="22"/>
  <c r="G12" i="22"/>
  <c r="G11" i="22"/>
  <c r="G10" i="22"/>
  <c r="G6" i="22"/>
  <c r="G18" i="21"/>
  <c r="G17" i="21"/>
  <c r="G16" i="21"/>
  <c r="G15" i="21" s="1"/>
  <c r="G14" i="21"/>
  <c r="G13" i="21"/>
  <c r="G12" i="21"/>
  <c r="G11" i="21"/>
  <c r="G10" i="21"/>
  <c r="G6" i="21"/>
  <c r="G18" i="20"/>
  <c r="G17" i="20"/>
  <c r="G16" i="20"/>
  <c r="G15" i="20" s="1"/>
  <c r="G14" i="20"/>
  <c r="G13" i="20"/>
  <c r="G12" i="20"/>
  <c r="G11" i="20"/>
  <c r="G10" i="20"/>
  <c r="G6" i="20"/>
  <c r="G18" i="19"/>
  <c r="G17" i="19" s="1"/>
  <c r="G16" i="19"/>
  <c r="G15" i="19" s="1"/>
  <c r="G14" i="19"/>
  <c r="G13" i="19"/>
  <c r="G12" i="19"/>
  <c r="G11" i="19"/>
  <c r="G10" i="19"/>
  <c r="G9" i="19" s="1"/>
  <c r="G6" i="19"/>
  <c r="G16" i="18"/>
  <c r="G15" i="18" s="1"/>
  <c r="G16" i="17"/>
  <c r="G15" i="17" s="1"/>
  <c r="G16" i="16"/>
  <c r="G15" i="16" s="1"/>
  <c r="G16" i="15"/>
  <c r="G15" i="15" s="1"/>
  <c r="G16" i="14"/>
  <c r="G15" i="14" s="1"/>
  <c r="G16" i="13"/>
  <c r="G15" i="13" s="1"/>
  <c r="G16" i="12"/>
  <c r="G15" i="12" s="1"/>
  <c r="G16" i="11"/>
  <c r="G15" i="11" s="1"/>
  <c r="G16" i="10"/>
  <c r="G15" i="10" s="1"/>
  <c r="G16" i="9"/>
  <c r="G15" i="9" s="1"/>
  <c r="G9" i="23" l="1"/>
  <c r="G19" i="23" s="1"/>
  <c r="G22" i="23" s="1"/>
  <c r="G23" i="23" s="1"/>
  <c r="G9" i="22"/>
  <c r="G19" i="22" s="1"/>
  <c r="G22" i="22" s="1"/>
  <c r="G23" i="22" s="1"/>
  <c r="G9" i="21"/>
  <c r="G19" i="21" s="1"/>
  <c r="G20" i="21" s="1"/>
  <c r="G9" i="20"/>
  <c r="G19" i="20" s="1"/>
  <c r="G21" i="20" s="1"/>
  <c r="G19" i="19"/>
  <c r="G16" i="8"/>
  <c r="G15" i="8" s="1"/>
  <c r="G18" i="18"/>
  <c r="G17" i="18" s="1"/>
  <c r="G14" i="18"/>
  <c r="G13" i="18"/>
  <c r="G12" i="18"/>
  <c r="G11" i="18"/>
  <c r="G10" i="18"/>
  <c r="G6" i="18"/>
  <c r="G18" i="17"/>
  <c r="G17" i="17" s="1"/>
  <c r="G14" i="17"/>
  <c r="G13" i="17"/>
  <c r="G12" i="17"/>
  <c r="G11" i="17"/>
  <c r="G10" i="17"/>
  <c r="G6" i="17"/>
  <c r="G18" i="16"/>
  <c r="G17" i="16" s="1"/>
  <c r="G14" i="16"/>
  <c r="G13" i="16"/>
  <c r="G12" i="16"/>
  <c r="G11" i="16"/>
  <c r="G10" i="16"/>
  <c r="G6" i="16"/>
  <c r="G18" i="15"/>
  <c r="G17" i="15" s="1"/>
  <c r="G14" i="15"/>
  <c r="G13" i="15"/>
  <c r="G12" i="15"/>
  <c r="G11" i="15"/>
  <c r="G10" i="15"/>
  <c r="G6" i="15"/>
  <c r="G18" i="14"/>
  <c r="G17" i="14" s="1"/>
  <c r="G14" i="14"/>
  <c r="G13" i="14"/>
  <c r="G12" i="14"/>
  <c r="G11" i="14"/>
  <c r="G10" i="14"/>
  <c r="G6" i="14"/>
  <c r="G18" i="13"/>
  <c r="G17" i="13" s="1"/>
  <c r="G14" i="13"/>
  <c r="G13" i="13"/>
  <c r="G12" i="13"/>
  <c r="G11" i="13"/>
  <c r="G10" i="13"/>
  <c r="G6" i="13"/>
  <c r="G18" i="12"/>
  <c r="G17" i="12" s="1"/>
  <c r="G14" i="12"/>
  <c r="G13" i="12"/>
  <c r="G12" i="12"/>
  <c r="G11" i="12"/>
  <c r="G10" i="12"/>
  <c r="G6" i="12"/>
  <c r="G18" i="11"/>
  <c r="G17" i="11" s="1"/>
  <c r="G14" i="11"/>
  <c r="G13" i="11"/>
  <c r="G12" i="11"/>
  <c r="G11" i="11"/>
  <c r="G10" i="11"/>
  <c r="G6" i="11"/>
  <c r="G18" i="10"/>
  <c r="G17" i="10"/>
  <c r="G14" i="10"/>
  <c r="G13" i="10"/>
  <c r="G12" i="10"/>
  <c r="G11" i="10"/>
  <c r="G10" i="10"/>
  <c r="G6" i="10"/>
  <c r="G18" i="9"/>
  <c r="G17" i="9" s="1"/>
  <c r="G14" i="9"/>
  <c r="G13" i="9"/>
  <c r="G12" i="9"/>
  <c r="G11" i="9"/>
  <c r="G10" i="9"/>
  <c r="G6" i="9"/>
  <c r="G18" i="8"/>
  <c r="G17" i="8" s="1"/>
  <c r="G14" i="8"/>
  <c r="G13" i="8"/>
  <c r="G12" i="8"/>
  <c r="G11" i="8"/>
  <c r="G10" i="8"/>
  <c r="G9" i="8" s="1"/>
  <c r="G6" i="8"/>
  <c r="G19" i="8" l="1"/>
  <c r="G21" i="8" s="1"/>
  <c r="G21" i="23"/>
  <c r="G20" i="23"/>
  <c r="G21" i="22"/>
  <c r="G20" i="22"/>
  <c r="G24" i="22" s="1"/>
  <c r="G25" i="22" s="1"/>
  <c r="D16" i="24" s="1"/>
  <c r="E16" i="24" s="1"/>
  <c r="G21" i="21"/>
  <c r="G22" i="21"/>
  <c r="G23" i="21" s="1"/>
  <c r="G20" i="20"/>
  <c r="G22" i="20"/>
  <c r="G23" i="20" s="1"/>
  <c r="G22" i="19"/>
  <c r="G23" i="19" s="1"/>
  <c r="G21" i="19"/>
  <c r="G20" i="19"/>
  <c r="G9" i="14"/>
  <c r="G9" i="9"/>
  <c r="G19" i="9" s="1"/>
  <c r="G9" i="10"/>
  <c r="G9" i="12"/>
  <c r="G9" i="15"/>
  <c r="G9" i="18"/>
  <c r="G9" i="17"/>
  <c r="G9" i="16"/>
  <c r="G9" i="13"/>
  <c r="G9" i="11"/>
  <c r="G19" i="18" l="1"/>
  <c r="G21" i="18" s="1"/>
  <c r="G19" i="17"/>
  <c r="G21" i="17" s="1"/>
  <c r="G19" i="16"/>
  <c r="G22" i="16" s="1"/>
  <c r="G23" i="16" s="1"/>
  <c r="G19" i="15"/>
  <c r="G22" i="15" s="1"/>
  <c r="G23" i="15" s="1"/>
  <c r="G19" i="14"/>
  <c r="G20" i="14" s="1"/>
  <c r="G19" i="13"/>
  <c r="G22" i="13" s="1"/>
  <c r="G23" i="13" s="1"/>
  <c r="G19" i="12"/>
  <c r="G21" i="12" s="1"/>
  <c r="G19" i="11"/>
  <c r="G22" i="11" s="1"/>
  <c r="G23" i="11" s="1"/>
  <c r="G22" i="10"/>
  <c r="G23" i="10" s="1"/>
  <c r="G19" i="10"/>
  <c r="G24" i="23"/>
  <c r="G25" i="23" s="1"/>
  <c r="D17" i="24" s="1"/>
  <c r="E17" i="24" s="1"/>
  <c r="G24" i="21"/>
  <c r="G25" i="21" s="1"/>
  <c r="D15" i="24" s="1"/>
  <c r="E15" i="24" s="1"/>
  <c r="G24" i="20"/>
  <c r="G25" i="20" s="1"/>
  <c r="D14" i="24" s="1"/>
  <c r="E14" i="24" s="1"/>
  <c r="G24" i="19"/>
  <c r="G25" i="19" s="1"/>
  <c r="D13" i="24" s="1"/>
  <c r="E13" i="24" s="1"/>
  <c r="G20" i="10"/>
  <c r="G21" i="10"/>
  <c r="G20" i="12"/>
  <c r="G21" i="15"/>
  <c r="G20" i="15"/>
  <c r="G22" i="18"/>
  <c r="G23" i="18" s="1"/>
  <c r="G20" i="18"/>
  <c r="G20" i="17"/>
  <c r="G22" i="17"/>
  <c r="G23" i="17" s="1"/>
  <c r="G20" i="16"/>
  <c r="G21" i="16"/>
  <c r="G20" i="13"/>
  <c r="G22" i="9"/>
  <c r="G23" i="9" s="1"/>
  <c r="G21" i="9"/>
  <c r="G20" i="9"/>
  <c r="G20" i="8"/>
  <c r="G22" i="8"/>
  <c r="G23" i="8" s="1"/>
  <c r="G21" i="14" l="1"/>
  <c r="G22" i="14"/>
  <c r="G23" i="14" s="1"/>
  <c r="G21" i="13"/>
  <c r="G22" i="12"/>
  <c r="G23" i="12" s="1"/>
  <c r="G21" i="11"/>
  <c r="G20" i="11"/>
  <c r="G24" i="14"/>
  <c r="G25" i="14" s="1"/>
  <c r="D8" i="24" s="1"/>
  <c r="E8" i="24" s="1"/>
  <c r="G24" i="12"/>
  <c r="G25" i="12" s="1"/>
  <c r="D6" i="24" s="1"/>
  <c r="E6" i="24" s="1"/>
  <c r="G24" i="15"/>
  <c r="G25" i="15" s="1"/>
  <c r="D9" i="24" s="1"/>
  <c r="E9" i="24" s="1"/>
  <c r="G24" i="10"/>
  <c r="G25" i="10" s="1"/>
  <c r="D4" i="24" s="1"/>
  <c r="E4" i="24" s="1"/>
  <c r="G24" i="18"/>
  <c r="G25" i="18" s="1"/>
  <c r="D12" i="24" s="1"/>
  <c r="E12" i="24" s="1"/>
  <c r="G24" i="17"/>
  <c r="G25" i="17" s="1"/>
  <c r="D11" i="24" s="1"/>
  <c r="E11" i="24" s="1"/>
  <c r="G24" i="16"/>
  <c r="G25" i="16" s="1"/>
  <c r="D10" i="24" s="1"/>
  <c r="E10" i="24" s="1"/>
  <c r="G24" i="13"/>
  <c r="G25" i="13" s="1"/>
  <c r="D7" i="24" s="1"/>
  <c r="E7" i="24" s="1"/>
  <c r="G24" i="11"/>
  <c r="G25" i="11" s="1"/>
  <c r="D5" i="24" s="1"/>
  <c r="E5" i="24" s="1"/>
  <c r="G24" i="9"/>
  <c r="G25" i="9" s="1"/>
  <c r="D3" i="24" s="1"/>
  <c r="E3" i="24" s="1"/>
  <c r="G24" i="8"/>
  <c r="G25" i="8" s="1"/>
  <c r="D2" i="24" s="1"/>
  <c r="E2" i="24" s="1"/>
  <c r="E18" i="24" l="1"/>
  <c r="E20" i="24" s="1"/>
</calcChain>
</file>

<file path=xl/sharedStrings.xml><?xml version="1.0" encoding="utf-8"?>
<sst xmlns="http://schemas.openxmlformats.org/spreadsheetml/2006/main" count="933" uniqueCount="71">
  <si>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</si>
  <si>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</si>
  <si>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</si>
  <si>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</si>
  <si>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</si>
  <si>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</si>
  <si>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</si>
  <si>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</si>
  <si>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</si>
  <si>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</si>
  <si>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</si>
  <si>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</si>
  <si>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</si>
  <si>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</si>
  <si>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</si>
  <si>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</si>
  <si>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</si>
  <si>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</si>
  <si>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</si>
  <si>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</si>
  <si>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</si>
  <si>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</si>
  <si>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</si>
  <si>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</si>
  <si>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</si>
  <si>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</si>
  <si>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</si>
  <si>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</si>
  <si>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</si>
  <si>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</si>
  <si>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</si>
  <si>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Limpieza de fachada en piedra. Incluye la aplicación de hidrofugo Siliconite de Pintuco o similar</t>
  </si>
  <si>
    <t>INCLUIDO</t>
  </si>
  <si>
    <t>FACHADAS Y COMPLEMENTARIOS</t>
  </si>
  <si>
    <t xml:space="preserve">  FECHA: 01/07/2025</t>
  </si>
  <si>
    <t xml:space="preserve">  VALIDO HASTA: 01/10/2025</t>
  </si>
  <si>
    <t>COTIZACIÓN OBRA - LOS CEDROS (CASAS)</t>
  </si>
  <si>
    <t>2.1</t>
  </si>
  <si>
    <t>2.2</t>
  </si>
  <si>
    <t>2.3</t>
  </si>
  <si>
    <t>2.4</t>
  </si>
  <si>
    <t>2.5</t>
  </si>
  <si>
    <t>3.1</t>
  </si>
  <si>
    <t>CUBIERTA</t>
  </si>
  <si>
    <t>4.1</t>
  </si>
  <si>
    <t>Mantenimiento general de cubierta, revisión de anclajes, sellos, flanches, etc</t>
  </si>
  <si>
    <t>M2</t>
  </si>
  <si>
    <t>Pintura en fachadas exteriores (Koraza o similar). A dos manos respetando ficha tecnica de fabricante</t>
  </si>
  <si>
    <t>Limpieza y sello con sellante tipo hibrido Multibond de la marca Soudal, alrededor de ventanas de fachada</t>
  </si>
  <si>
    <t>Limpieza de fachadas y desprendimiento de material desprendido</t>
  </si>
  <si>
    <t>Restauración y revoque de fachadas con graniplast antihongos o similar</t>
  </si>
  <si>
    <t>HIMALAYA ESQ. TIPO 1</t>
  </si>
  <si>
    <t>HIMALAYA ESQ. TIPO 2</t>
  </si>
  <si>
    <t>HIMALAYA ESQ. TIPO 3 ESP</t>
  </si>
  <si>
    <t>HIMALAYA ESQ. TIPO 4</t>
  </si>
  <si>
    <t>HIMALAYA MED. TIPO 1</t>
  </si>
  <si>
    <t>HIMALAYA MED. TIPO 2</t>
  </si>
  <si>
    <t>ATLAS ESQ. TIPO 1</t>
  </si>
  <si>
    <t>ATLAS ESQ. TIPO 2</t>
  </si>
  <si>
    <t>ATLAS MED. TIPO 1</t>
  </si>
  <si>
    <t>CHIPRE ESQ. TIPO 1</t>
  </si>
  <si>
    <t>CHIPRE MED. TIPO 1</t>
  </si>
  <si>
    <t>HIMALAYA CAMPESTRE</t>
  </si>
  <si>
    <t>LIBANO 1 PISO ESQ.</t>
  </si>
  <si>
    <t>LIBANO 1 PISO MED.</t>
  </si>
  <si>
    <t>LIBANO 2 PISOS MED.</t>
  </si>
  <si>
    <t>LIBANO ESQ.</t>
  </si>
  <si>
    <t>TIPO DE CASA</t>
  </si>
  <si>
    <t>VALOR UNITARIO</t>
  </si>
  <si>
    <t>TOTAL</t>
  </si>
  <si>
    <t>PROMEDIO POR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</si>
</sst>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50505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vertical="center" wrapText="1"/>
    </xf>
    <xf numFmtId="0" fontId="2" fillId="2" borderId="27" xfId="0" applyFont="1" applyFill="1" applyBorder="1" applyAlignment="1">
      <alignment vertical="center" wrapText="1"/>
    </xf>
    <xf numFmtId="0" fontId="0" fillId="0" borderId="6" xfId="0" applyBorder="1" applyAlignment="1">
      <alignment horizontal="center"/>
    </xf>
    <xf numFmtId="164" fontId="0" fillId="0" borderId="6" xfId="2" applyNumberFormat="1" applyFont="1" applyBorder="1"/>
    <xf numFmtId="0" fontId="0" fillId="6" borderId="6" xfId="0" applyFill="1" applyBorder="1" applyAlignment="1">
      <alignment horizontal="center"/>
    </xf>
    <xf numFmtId="164" fontId="0" fillId="6" borderId="6" xfId="0" applyNumberFormat="1" applyFill="1" applyBorder="1"/>
    <xf numFmtId="0" fontId="0" fillId="0" borderId="7" xfId="0" applyBorder="1" applyAlignment="1">
      <alignment horizontal="center"/>
    </xf>
    <xf numFmtId="0" fontId="0" fillId="0" borderId="9" xfId="0" applyBorder="1"/>
    <xf numFmtId="164" fontId="0" fillId="0" borderId="8" xfId="0" applyNumberFormat="1" applyBorder="1"/>
    <xf numFmtId="0" fontId="0" fillId="7" borderId="6" xfId="0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164" fontId="0" fillId="7" borderId="6" xfId="2" applyNumberFormat="1" applyFont="1" applyFill="1" applyBorder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CABC0-C88A-44D7-81F8-78BC2710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7FAD2-1E41-4667-9BAC-F526E0D4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512BD-8A3C-4F6F-8A38-E7814D5D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6B3BC8-993E-439D-9AE0-C14237D5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622B4B-FFEB-4D93-9C64-851CA612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E360B-79E8-429F-A7A1-4C60916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C12325-7ABD-4AC9-A6D0-168033EF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4D0428-5504-4E2E-A7ED-A06323BE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523A87-AD9A-42D6-8086-CEC86E2D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65AFFC-EF8D-462B-9F4D-2C14575D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D52660-7981-42F2-9DAE-C1D1698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E46DB5-47E2-4E7F-B507-DD20932C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87C7BA-C8FB-42AE-9CF9-DD976DE2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63698-5275-4CD9-BC3A-2C6E4A76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2B19-7F20-46A2-9C7E-0632ED87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976" y="361950"/>
          <a:ext cx="1927225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3999-6ACC-4FE4-AEF3-7BF209DA3EAB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5122481.25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174.5</v>
      </c>
      <c r="F10" s="7">
        <v>4100</v>
      </c>
      <c r="G10" s="6">
        <f>F10*E10</f>
        <v>715450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8.7249999999999996</v>
      </c>
      <c r="F11" s="7">
        <v>42000</v>
      </c>
      <c r="G11" s="6">
        <f t="shared" ref="G11:G14" si="0">F11*E11</f>
        <v>366450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165.77500000000001</v>
      </c>
      <c r="F13" s="7">
        <v>22750</v>
      </c>
      <c r="G13" s="6">
        <f t="shared" si="0"/>
        <v>3771381.25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8.7249999999999996</v>
      </c>
      <c r="F14" s="7">
        <v>16000</v>
      </c>
      <c r="G14" s="6">
        <f t="shared" si="0"/>
        <v>139600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5472000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144</v>
      </c>
      <c r="F16" s="5">
        <v>38000</v>
      </c>
      <c r="G16" s="6">
        <f>F16*E16</f>
        <v>5472000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10694481.25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855558.5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534724.0625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534724.0625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101597.57187499999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2026604.1968749999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12721085.446875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6537-D888-44C8-B2E5-652A7A257B81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2939208.75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98.5</v>
      </c>
      <c r="F10" s="7">
        <v>4100</v>
      </c>
      <c r="G10" s="6">
        <f>F10*E10</f>
        <v>403850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4.87</v>
      </c>
      <c r="F11" s="7">
        <v>42000</v>
      </c>
      <c r="G11" s="6">
        <f t="shared" ref="G11:G14" si="0">F11*E11</f>
        <v>204540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92.625</v>
      </c>
      <c r="F13" s="7">
        <v>22750</v>
      </c>
      <c r="G13" s="6">
        <f t="shared" si="0"/>
        <v>2107218.75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5.875</v>
      </c>
      <c r="F14" s="7">
        <v>16000</v>
      </c>
      <c r="G14" s="6">
        <f t="shared" si="0"/>
        <v>94000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4940000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38000</v>
      </c>
      <c r="G16" s="6">
        <f>F16*E16</f>
        <v>4940000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7979208.75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638336.70000000007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398960.4375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398960.4375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75802.483124999999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1512060.0581250002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9491268.8081250004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C876-4E00-4846-9232-A7E94BF33914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1267892.5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45.5</v>
      </c>
      <c r="F10" s="7">
        <v>4100</v>
      </c>
      <c r="G10" s="6">
        <f>F10*E10</f>
        <v>186550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2.2000000000000002</v>
      </c>
      <c r="F11" s="7">
        <v>42000</v>
      </c>
      <c r="G11" s="6">
        <f t="shared" ref="G11:G14" si="0">F11*E11</f>
        <v>92400.000000000015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0</v>
      </c>
      <c r="F12" s="7">
        <v>7200</v>
      </c>
      <c r="G12" s="6">
        <f t="shared" si="0"/>
        <v>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38.67</v>
      </c>
      <c r="F13" s="7">
        <v>22750</v>
      </c>
      <c r="G13" s="6">
        <f t="shared" si="0"/>
        <v>879742.5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6.8250000000000002</v>
      </c>
      <c r="F14" s="7">
        <v>16000</v>
      </c>
      <c r="G14" s="6">
        <f t="shared" si="0"/>
        <v>109200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4940000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38000</v>
      </c>
      <c r="G16" s="6">
        <f>F16*E16</f>
        <v>4940000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6307892.5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504631.4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315394.625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315394.625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59924.978750000002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1195345.6287499999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7503238.1287500001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1D9A-35F6-4F97-ADAA-BC5724DA6DE5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2313337.5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78.5</v>
      </c>
      <c r="F10" s="7">
        <v>4100</v>
      </c>
      <c r="G10" s="6">
        <f>F10*E10</f>
        <v>321850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4.0999999999999996</v>
      </c>
      <c r="F11" s="7">
        <v>42000</v>
      </c>
      <c r="G11" s="6">
        <f t="shared" ref="G11:G14" si="0">F11*E11</f>
        <v>172199.99999999997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12</v>
      </c>
      <c r="F12" s="7">
        <v>7200</v>
      </c>
      <c r="G12" s="6">
        <f t="shared" si="0"/>
        <v>86400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70.650000000000006</v>
      </c>
      <c r="F13" s="7">
        <v>22750</v>
      </c>
      <c r="G13" s="6">
        <f t="shared" si="0"/>
        <v>1607287.5000000002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7.85</v>
      </c>
      <c r="F14" s="7">
        <v>16000</v>
      </c>
      <c r="G14" s="6">
        <f t="shared" si="0"/>
        <v>125600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4940000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38000</v>
      </c>
      <c r="G16" s="6">
        <f>F16*E16</f>
        <v>4940000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7353337.5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588267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367666.875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367666.875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69856.706250000003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1393457.45625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8746794.9562500007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06EC-B544-4912-AB4E-5D0184065CA6}">
  <dimension ref="A1:H25"/>
  <sheetViews>
    <sheetView topLeftCell="A7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4499100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152</v>
      </c>
      <c r="F10" s="7">
        <v>4100</v>
      </c>
      <c r="G10" s="6">
        <f>F10*E10</f>
        <v>623200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7.4</v>
      </c>
      <c r="F11" s="7">
        <v>42000</v>
      </c>
      <c r="G11" s="6">
        <f t="shared" ref="G11:G14" si="0">F11*E11</f>
        <v>310800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144.4</v>
      </c>
      <c r="F13" s="7">
        <v>22750</v>
      </c>
      <c r="G13" s="6">
        <f t="shared" si="0"/>
        <v>3285100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7.6</v>
      </c>
      <c r="F14" s="7">
        <v>16000</v>
      </c>
      <c r="G14" s="6">
        <f t="shared" si="0"/>
        <v>121600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5928000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156</v>
      </c>
      <c r="F16" s="5">
        <v>38000</v>
      </c>
      <c r="G16" s="6">
        <f>F16*E16</f>
        <v>5928000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10527100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842168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526355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526355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100007.45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1994885.45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12521985.449999999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E8C-EA18-4CF2-A6AF-ECAD6EEF682C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1309640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4100</v>
      </c>
      <c r="G10" s="6">
        <f>F10*E10</f>
        <v>162565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42000</v>
      </c>
      <c r="G11" s="6">
        <f t="shared" ref="G11:G14" si="0">F11*E11</f>
        <v>112560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22750</v>
      </c>
      <c r="G13" s="6">
        <f t="shared" si="0"/>
        <v>766675.00000000012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2781600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38000</v>
      </c>
      <c r="G16" s="6">
        <f>F16*E16</f>
        <v>2781600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4191240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335299.20000000001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209562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209562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39816.78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794239.98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4985479.9800000004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904-05F8-446C-89E8-DDE65131F66A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2506655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84.5</v>
      </c>
      <c r="F10" s="7">
        <v>4100</v>
      </c>
      <c r="G10" s="6">
        <f>F10*E10</f>
        <v>346450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3.59</v>
      </c>
      <c r="F11" s="7">
        <v>42000</v>
      </c>
      <c r="G11" s="6">
        <f t="shared" ref="G11:G14" si="0">F11*E11</f>
        <v>150780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71.819999999999993</v>
      </c>
      <c r="F13" s="7">
        <v>22750</v>
      </c>
      <c r="G13" s="6">
        <f t="shared" si="0"/>
        <v>1633904.9999999998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12.67</v>
      </c>
      <c r="F14" s="7">
        <v>16000</v>
      </c>
      <c r="G14" s="6">
        <f t="shared" si="0"/>
        <v>202720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3055200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80.400000000000006</v>
      </c>
      <c r="F16" s="5">
        <v>38000</v>
      </c>
      <c r="G16" s="6">
        <f>F16*E16</f>
        <v>3055200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5661855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452948.4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283092.75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283092.75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53787.622499999998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1072921.5225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6734776.5225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28C0-411F-459E-A693-9F89E3CB4570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1308420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41.6</v>
      </c>
      <c r="F10" s="7">
        <v>4100</v>
      </c>
      <c r="G10" s="6">
        <f>F10*E10</f>
        <v>170560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2.4500000000000002</v>
      </c>
      <c r="F11" s="7">
        <v>42000</v>
      </c>
      <c r="G11" s="6">
        <f t="shared" ref="G11:G14" si="0">F11*E11</f>
        <v>102900.00000000001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29.12</v>
      </c>
      <c r="F13" s="7">
        <v>22750</v>
      </c>
      <c r="G13" s="6">
        <f t="shared" si="0"/>
        <v>662480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12.48</v>
      </c>
      <c r="F14" s="7">
        <v>16000</v>
      </c>
      <c r="G14" s="6">
        <f t="shared" si="0"/>
        <v>199680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2918400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76.8</v>
      </c>
      <c r="F16" s="5">
        <v>38000</v>
      </c>
      <c r="G16" s="6">
        <f>F16*E16</f>
        <v>2918400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4326820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346145.60000000003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216341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216341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41104.79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819932.39000000013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5146752.3900000006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E908-BC23-4E86-A6BB-942FE5928AFF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5016000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38000</v>
      </c>
      <c r="G16" s="6">
        <f>F16*E16</f>
        <v>5016000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9432640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754611.20000000007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471632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471632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89610.08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1787485.2800000003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11220125.280000001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5E20-8EBE-41A0-8C80-BC37762FECFD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5016000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38000</v>
      </c>
      <c r="G16" s="6">
        <f>F16*E16</f>
        <v>5016000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9432640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754611.20000000007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471632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471632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89610.08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1787485.2800000003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11220125.280000001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415-3A98-452F-A720-CE163BE1431A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1991340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68.25</v>
      </c>
      <c r="F10" s="7">
        <v>4100</v>
      </c>
      <c r="G10" s="6">
        <f>F10*E10</f>
        <v>279825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47.78</v>
      </c>
      <c r="F13" s="7">
        <v>22750</v>
      </c>
      <c r="G13" s="6">
        <f t="shared" si="0"/>
        <v>1086995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20.47</v>
      </c>
      <c r="F14" s="7">
        <v>16000</v>
      </c>
      <c r="G14" s="6">
        <f t="shared" si="0"/>
        <v>327520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4788000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126</v>
      </c>
      <c r="F16" s="5">
        <v>38000</v>
      </c>
      <c r="G16" s="6">
        <f>F16*E16</f>
        <v>4788000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6879340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550347.19999999995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343967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343967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65353.73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1303634.93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8182974.9299999997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D078-406F-4D98-B537-3E5D1D2C255F}">
  <dimension ref="A1:H25"/>
  <sheetViews>
    <sheetView topLeftCell="A10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1959067.5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66.95</v>
      </c>
      <c r="F10" s="7">
        <v>4100</v>
      </c>
      <c r="G10" s="6">
        <f>F10*E10</f>
        <v>274495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46.87</v>
      </c>
      <c r="F13" s="7">
        <v>22750</v>
      </c>
      <c r="G13" s="6">
        <f t="shared" si="0"/>
        <v>1066292.5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20.079999999999998</v>
      </c>
      <c r="F14" s="7">
        <v>16000</v>
      </c>
      <c r="G14" s="6">
        <f t="shared" si="0"/>
        <v>321280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4696800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123.6</v>
      </c>
      <c r="F16" s="5">
        <v>38000</v>
      </c>
      <c r="G16" s="6">
        <f>F16*E16</f>
        <v>4696800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6755867.5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540469.4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337793.375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337793.375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64180.741249999999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1280236.8912499999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8036104.3912499994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29E4-5AD4-492A-9321-EBC7D51C51D5}">
  <dimension ref="A1:H25"/>
  <sheetViews>
    <sheetView topLeftCell="A10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4567365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165.1</v>
      </c>
      <c r="F10" s="7">
        <v>4100</v>
      </c>
      <c r="G10" s="6">
        <f>F10*E10</f>
        <v>676910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4.9000000000000004</v>
      </c>
      <c r="F11" s="7">
        <v>42000</v>
      </c>
      <c r="G11" s="6">
        <f t="shared" ref="G11:G14" si="0">F11*E11</f>
        <v>205800.00000000003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99.06</v>
      </c>
      <c r="F13" s="7">
        <v>22750</v>
      </c>
      <c r="G13" s="6">
        <f t="shared" si="0"/>
        <v>2253615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66.040000000000006</v>
      </c>
      <c r="F14" s="7">
        <v>16000</v>
      </c>
      <c r="G14" s="6">
        <f t="shared" si="0"/>
        <v>1056640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6110400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160.80000000000001</v>
      </c>
      <c r="F16" s="5">
        <v>38000</v>
      </c>
      <c r="G16" s="6">
        <f>F16*E16</f>
        <v>6110400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10777765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862221.20000000007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538888.25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538888.25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102388.7675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2042386.4675000003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12820151.467500001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D612-E247-4FCD-945A-8D7A28205BDB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5775196.5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203.39</v>
      </c>
      <c r="F10" s="7">
        <v>4100</v>
      </c>
      <c r="G10" s="6">
        <f>F10*E10</f>
        <v>833899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7.7</v>
      </c>
      <c r="F11" s="7">
        <v>42000</v>
      </c>
      <c r="G11" s="6">
        <f t="shared" ref="G11:G14" si="0">F11*E11</f>
        <v>323400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44</v>
      </c>
      <c r="F12" s="7">
        <v>7200</v>
      </c>
      <c r="G12" s="6">
        <f t="shared" si="0"/>
        <v>316800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155.09</v>
      </c>
      <c r="F13" s="7">
        <v>22750</v>
      </c>
      <c r="G13" s="6">
        <f t="shared" si="0"/>
        <v>3528297.5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48.3</v>
      </c>
      <c r="F14" s="7">
        <v>16000</v>
      </c>
      <c r="G14" s="6">
        <f t="shared" si="0"/>
        <v>772800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5836800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153.6</v>
      </c>
      <c r="F16" s="5">
        <v>38000</v>
      </c>
      <c r="G16" s="6">
        <f>F16*E16</f>
        <v>5836800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11711996.5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936959.72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585599.82500000007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585599.82500000007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111263.96675000002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2219423.3367500002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13931419.836750001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2000-D63D-423D-B030-B1E99AB74612}">
  <dimension ref="A1:H25"/>
  <sheetViews>
    <sheetView topLeftCell="A8" zoomScale="70" zoomScaleNormal="70" workbookViewId="0">
      <selection activeCell="E14" sqref="E10:E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75" t="s">
        <v>33</v>
      </c>
      <c r="D9" s="76"/>
      <c r="E9" s="76"/>
      <c r="F9" s="77"/>
      <c r="G9" s="36">
        <f>SUM(G10:G14)</f>
        <v>4194825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5</v>
      </c>
      <c r="F11" s="7">
        <v>42000</v>
      </c>
      <c r="G11" s="6">
        <f t="shared" ref="G11:G14" si="0">F11*E11</f>
        <v>210000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89.7</v>
      </c>
      <c r="F13" s="7">
        <v>22750</v>
      </c>
      <c r="G13" s="6">
        <f t="shared" si="0"/>
        <v>2040675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59.8</v>
      </c>
      <c r="F14" s="7">
        <v>16000</v>
      </c>
      <c r="G14" s="6">
        <f t="shared" si="0"/>
        <v>956800</v>
      </c>
    </row>
    <row r="15" spans="1:8" ht="36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5016000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38000</v>
      </c>
      <c r="G16" s="6">
        <f>F16*E16</f>
        <v>5016000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40"/>
      <c r="F17" s="41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9310825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744866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465541.25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465541.25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88452.837499999994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1764401.3374999999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11075226.3375</v>
      </c>
    </row>
  </sheetData>
  <mergeCells count="16">
    <mergeCell ref="C9:F9"/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7" zoomScale="80" zoomScaleNormal="80" workbookViewId="0">
      <selection activeCell="E16" sqref="E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0" t="s">
        <v>36</v>
      </c>
      <c r="B1" s="51"/>
      <c r="C1" s="51"/>
      <c r="D1" s="51"/>
      <c r="E1" s="51"/>
      <c r="F1" s="51"/>
      <c r="G1" s="52"/>
    </row>
    <row r="2" spans="1:8" ht="30" x14ac:dyDescent="0.3">
      <c r="A2" s="53" t="s">
        <v>13</v>
      </c>
      <c r="B2" s="54"/>
      <c r="C2" s="3" t="s">
        <v>14</v>
      </c>
      <c r="D2" s="3" t="s">
        <v>15</v>
      </c>
      <c r="E2" s="3" t="s">
        <v>16</v>
      </c>
      <c r="F2" s="55"/>
      <c r="G2" s="56"/>
    </row>
    <row r="3" spans="1:8" ht="30" x14ac:dyDescent="0.3">
      <c r="A3" s="53" t="s">
        <v>17</v>
      </c>
      <c r="B3" s="54"/>
      <c r="C3" s="3" t="s">
        <v>27</v>
      </c>
      <c r="D3" s="53" t="s">
        <v>34</v>
      </c>
      <c r="E3" s="54"/>
      <c r="F3" s="57"/>
      <c r="G3" s="58"/>
      <c r="H3"/>
    </row>
    <row r="4" spans="1:8" ht="40.5" customHeight="1" x14ac:dyDescent="0.3">
      <c r="A4" s="53" t="s">
        <v>18</v>
      </c>
      <c r="B4" s="54"/>
      <c r="C4" s="3" t="s">
        <v>19</v>
      </c>
      <c r="D4" s="53" t="s">
        <v>35</v>
      </c>
      <c r="E4" s="54"/>
      <c r="F4" s="59"/>
      <c r="G4" s="6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75" t="s">
        <v>33</v>
      </c>
      <c r="D9" s="76"/>
      <c r="E9" s="76"/>
      <c r="F9" s="77"/>
      <c r="G9" s="36">
        <f>SUM(G10:G14)</f>
        <v>4194825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5</v>
      </c>
      <c r="F11" s="7">
        <v>42000</v>
      </c>
      <c r="G11" s="6">
        <f t="shared" ref="G11:G14" si="0">F11*E11</f>
        <v>210000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89.7</v>
      </c>
      <c r="F13" s="7">
        <v>22750</v>
      </c>
      <c r="G13" s="6">
        <f t="shared" si="0"/>
        <v>2040675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59.8</v>
      </c>
      <c r="F14" s="7">
        <v>16000</v>
      </c>
      <c r="G14" s="6">
        <f t="shared" si="0"/>
        <v>956800</v>
      </c>
    </row>
    <row r="15" spans="1:8" s="37" customFormat="1" ht="21" customHeight="1" x14ac:dyDescent="0.3">
      <c r="A15" s="19">
        <v>3</v>
      </c>
      <c r="B15" s="22"/>
      <c r="C15" s="67" t="s">
        <v>43</v>
      </c>
      <c r="D15" s="68"/>
      <c r="E15" s="68"/>
      <c r="F15" s="69"/>
      <c r="G15" s="36">
        <f>SUM(G16:G16)</f>
        <v>5016000</v>
      </c>
    </row>
    <row r="16" spans="1:8" ht="30.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38000</v>
      </c>
      <c r="G16" s="6">
        <f>F16*E16</f>
        <v>5016000</v>
      </c>
    </row>
    <row r="17" spans="1:7" s="37" customFormat="1" ht="21" customHeight="1" x14ac:dyDescent="0.3">
      <c r="A17" s="19">
        <v>4</v>
      </c>
      <c r="B17" s="22"/>
      <c r="C17" s="78" t="s">
        <v>26</v>
      </c>
      <c r="D17" s="79"/>
      <c r="E17" s="79"/>
      <c r="F17" s="80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0" t="s">
        <v>7</v>
      </c>
      <c r="E19" s="71"/>
      <c r="F19" s="72"/>
      <c r="G19" s="38">
        <f>+G9+G17+G15</f>
        <v>9310825</v>
      </c>
    </row>
    <row r="20" spans="1:7" ht="21.75" customHeight="1" x14ac:dyDescent="0.3">
      <c r="A20" s="8"/>
      <c r="B20" s="9"/>
      <c r="C20" s="9"/>
      <c r="D20" s="73" t="s">
        <v>8</v>
      </c>
      <c r="E20" s="74"/>
      <c r="F20" s="10">
        <v>0.08</v>
      </c>
      <c r="G20" s="11">
        <f>+$G$19*F20</f>
        <v>744866</v>
      </c>
    </row>
    <row r="21" spans="1:7" ht="21.75" customHeight="1" x14ac:dyDescent="0.3">
      <c r="A21" s="8"/>
      <c r="B21" s="9"/>
      <c r="C21" s="9"/>
      <c r="D21" s="73" t="s">
        <v>9</v>
      </c>
      <c r="E21" s="74"/>
      <c r="F21" s="10">
        <v>0.05</v>
      </c>
      <c r="G21" s="11">
        <f>+$G$19*F21</f>
        <v>465541.25</v>
      </c>
    </row>
    <row r="22" spans="1:7" ht="21.75" customHeight="1" x14ac:dyDescent="0.3">
      <c r="A22" s="8"/>
      <c r="B22" s="9"/>
      <c r="C22" s="9"/>
      <c r="D22" s="73" t="s">
        <v>10</v>
      </c>
      <c r="E22" s="74"/>
      <c r="F22" s="10">
        <v>0.05</v>
      </c>
      <c r="G22" s="11">
        <f>+$G$19*F22</f>
        <v>465541.25</v>
      </c>
    </row>
    <row r="23" spans="1:7" ht="21.75" customHeight="1" x14ac:dyDescent="0.3">
      <c r="A23" s="8"/>
      <c r="B23" s="9"/>
      <c r="C23" s="9"/>
      <c r="D23" s="73" t="s">
        <v>3</v>
      </c>
      <c r="E23" s="74"/>
      <c r="F23" s="10">
        <v>0.19</v>
      </c>
      <c r="G23" s="11">
        <f>+G22*F23</f>
        <v>88452.837499999994</v>
      </c>
    </row>
    <row r="24" spans="1:7" ht="21.75" customHeight="1" x14ac:dyDescent="0.3">
      <c r="A24" s="8"/>
      <c r="B24" s="9"/>
      <c r="C24" s="9"/>
      <c r="D24" s="61" t="s">
        <v>11</v>
      </c>
      <c r="E24" s="62"/>
      <c r="F24" s="63"/>
      <c r="G24" s="39">
        <f>+G20+G21+G22+G23</f>
        <v>1764401.3374999999</v>
      </c>
    </row>
    <row r="25" spans="1:7" ht="15" x14ac:dyDescent="0.3">
      <c r="A25" s="8"/>
      <c r="B25" s="9"/>
      <c r="C25" s="9"/>
      <c r="D25" s="64" t="s">
        <v>12</v>
      </c>
      <c r="E25" s="65"/>
      <c r="F25" s="66"/>
      <c r="G25" s="12">
        <f>+G19+G24</f>
        <v>11075226.3375</v>
      </c>
    </row>
  </sheetData>
  <mergeCells count="17">
    <mergeCell ref="C9:F9"/>
    <mergeCell ref="C15:F15"/>
    <mergeCell ref="C17:F17"/>
    <mergeCell ref="D25:F25"/>
    <mergeCell ref="D19:F19"/>
    <mergeCell ref="D20:E20"/>
    <mergeCell ref="D21:E21"/>
    <mergeCell ref="D22:E22"/>
    <mergeCell ref="D23:E23"/>
    <mergeCell ref="D24:F24"/>
    <mergeCell ref="A1:G1"/>
    <mergeCell ref="A2:B2"/>
    <mergeCell ref="F2:G4"/>
    <mergeCell ref="A3:B3"/>
    <mergeCell ref="D3:E3"/>
    <mergeCell ref="A4:B4"/>
    <mergeCell ref="D4:E4"/>
  </mergeCells>
  <phoneticPr fontId="11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66E7-AA04-4BC8-88C0-58AA08B3D2E6}">
  <dimension ref="A1:E20"/>
  <sheetViews>
    <sheetView tabSelected="1" workbookViewId="0">
      <selection activeCell="B3" sqref="B3:B17"/>
    </sheetView>
  </sheetViews>
  <sheetFormatPr baseColWidth="10" defaultRowHeight="14.4" x14ac:dyDescent="0.3"/>
  <cols>
    <col min="2" max="2" width="25.21875" customWidth="1"/>
    <col min="3" max="3" width="13.88671875" customWidth="1"/>
    <col min="4" max="4" width="16.33203125" customWidth="1"/>
    <col min="5" max="5" width="15.33203125" bestFit="1" customWidth="1"/>
  </cols>
  <sheetData>
    <row r="1" spans="1:5" x14ac:dyDescent="0.3">
      <c r="B1" s="44" t="s">
        <v>67</v>
      </c>
      <c r="C1" s="44" t="s">
        <v>21</v>
      </c>
      <c r="D1" s="44" t="s">
        <v>68</v>
      </c>
      <c r="E1" s="44" t="s">
        <v>69</v>
      </c>
    </row>
    <row r="2" spans="1:5" x14ac:dyDescent="0.3">
      <c r="A2">
        <v>1</v>
      </c>
      <c r="B2" s="49" t="s">
        <v>51</v>
      </c>
      <c r="C2" s="42">
        <v>2</v>
      </c>
      <c r="D2" s="43">
        <f>'1) HIMALAYA ESQ. TIPO 1'!G25</f>
        <v>11075226.3375</v>
      </c>
      <c r="E2" s="43">
        <f>D2*C2</f>
        <v>22150452.675000001</v>
      </c>
    </row>
    <row r="3" spans="1:5" x14ac:dyDescent="0.3">
      <c r="A3">
        <v>2</v>
      </c>
      <c r="B3" s="49" t="s">
        <v>52</v>
      </c>
      <c r="C3" s="42">
        <v>7</v>
      </c>
      <c r="D3" s="81">
        <f>'2) HIMALAYA ESQ. TIPO 2'!G25</f>
        <v>11075226.3375</v>
      </c>
      <c r="E3" s="43">
        <f t="shared" ref="E3:E17" si="0">D3*C3</f>
        <v>77526584.362499997</v>
      </c>
    </row>
    <row r="4" spans="1:5" x14ac:dyDescent="0.3">
      <c r="A4">
        <v>3</v>
      </c>
      <c r="B4" s="49" t="s">
        <v>53</v>
      </c>
      <c r="C4" s="42">
        <v>1</v>
      </c>
      <c r="D4" s="81">
        <f>'3) HIMALAYA ESQ. TIPO 3 (ESPE.)'!G25</f>
        <v>13931419.836750001</v>
      </c>
      <c r="E4" s="43">
        <f t="shared" si="0"/>
        <v>13931419.836750001</v>
      </c>
    </row>
    <row r="5" spans="1:5" x14ac:dyDescent="0.3">
      <c r="A5">
        <v>4</v>
      </c>
      <c r="B5" s="49" t="s">
        <v>54</v>
      </c>
      <c r="C5" s="42">
        <v>1</v>
      </c>
      <c r="D5" s="81">
        <f>'4) HIMALAYA ESQ. TIPO 4'!G25</f>
        <v>12820151.467500001</v>
      </c>
      <c r="E5" s="43">
        <f t="shared" si="0"/>
        <v>12820151.467500001</v>
      </c>
    </row>
    <row r="6" spans="1:5" x14ac:dyDescent="0.3">
      <c r="A6">
        <v>5</v>
      </c>
      <c r="B6" s="49" t="s">
        <v>55</v>
      </c>
      <c r="C6" s="42">
        <v>6</v>
      </c>
      <c r="D6" s="81">
        <f>'5) HIMALAYA MED. TIPO 1'!G25</f>
        <v>8036104.3912499994</v>
      </c>
      <c r="E6" s="43">
        <f t="shared" si="0"/>
        <v>48216626.347499996</v>
      </c>
    </row>
    <row r="7" spans="1:5" x14ac:dyDescent="0.3">
      <c r="A7">
        <v>6</v>
      </c>
      <c r="B7" s="49" t="s">
        <v>56</v>
      </c>
      <c r="C7" s="42">
        <v>4</v>
      </c>
      <c r="D7" s="81">
        <f>'6) HIMALAYA MED. TIPO 2'!G25</f>
        <v>8182974.9299999997</v>
      </c>
      <c r="E7" s="43">
        <f t="shared" si="0"/>
        <v>32731899.719999999</v>
      </c>
    </row>
    <row r="8" spans="1:5" x14ac:dyDescent="0.3">
      <c r="A8">
        <v>7</v>
      </c>
      <c r="B8" s="49" t="s">
        <v>57</v>
      </c>
      <c r="C8" s="42">
        <v>2</v>
      </c>
      <c r="D8" s="81">
        <f>'7) ATLAS ESQ. TIPO 1'!G25</f>
        <v>11220125.280000001</v>
      </c>
      <c r="E8" s="43">
        <f t="shared" si="0"/>
        <v>22440250.560000002</v>
      </c>
    </row>
    <row r="9" spans="1:5" x14ac:dyDescent="0.3">
      <c r="A9">
        <v>8</v>
      </c>
      <c r="B9" s="49" t="s">
        <v>58</v>
      </c>
      <c r="C9" s="42">
        <v>1</v>
      </c>
      <c r="D9" s="81">
        <f>'8) ATLAS ESQ. TIPO 2'!G25</f>
        <v>11220125.280000001</v>
      </c>
      <c r="E9" s="43">
        <f t="shared" si="0"/>
        <v>11220125.280000001</v>
      </c>
    </row>
    <row r="10" spans="1:5" x14ac:dyDescent="0.3">
      <c r="A10">
        <v>9</v>
      </c>
      <c r="B10" s="49" t="s">
        <v>59</v>
      </c>
      <c r="C10" s="42">
        <v>7</v>
      </c>
      <c r="D10" s="81">
        <f>'9) ATLAS MED. TIPO 1'!G25</f>
        <v>5146752.3900000006</v>
      </c>
      <c r="E10" s="43">
        <f t="shared" si="0"/>
        <v>36027266.730000004</v>
      </c>
    </row>
    <row r="11" spans="1:5" x14ac:dyDescent="0.3">
      <c r="A11">
        <v>10</v>
      </c>
      <c r="B11" s="49" t="s">
        <v>60</v>
      </c>
      <c r="C11" s="42">
        <v>4</v>
      </c>
      <c r="D11" s="81">
        <f>'10) CHIPRE ESQ. TIPO 1'!G25</f>
        <v>6734776.5225</v>
      </c>
      <c r="E11" s="43">
        <f t="shared" si="0"/>
        <v>26939106.09</v>
      </c>
    </row>
    <row r="12" spans="1:5" x14ac:dyDescent="0.3">
      <c r="A12">
        <v>11</v>
      </c>
      <c r="B12" s="49" t="s">
        <v>61</v>
      </c>
      <c r="C12" s="42">
        <v>29</v>
      </c>
      <c r="D12" s="81">
        <f>'11) CHIPRE MED. TIPO 1'!G25</f>
        <v>4985479.9800000004</v>
      </c>
      <c r="E12" s="43">
        <f t="shared" si="0"/>
        <v>144578919.42000002</v>
      </c>
    </row>
    <row r="13" spans="1:5" x14ac:dyDescent="0.3">
      <c r="A13">
        <v>12</v>
      </c>
      <c r="B13" s="49" t="s">
        <v>62</v>
      </c>
      <c r="C13" s="42">
        <v>2</v>
      </c>
      <c r="D13" s="81">
        <f>'12) HIMALAYA CAMPESTRE'!G25</f>
        <v>12521985.449999999</v>
      </c>
      <c r="E13" s="43">
        <f t="shared" si="0"/>
        <v>25043970.899999999</v>
      </c>
    </row>
    <row r="14" spans="1:5" x14ac:dyDescent="0.3">
      <c r="A14">
        <v>13</v>
      </c>
      <c r="B14" s="49" t="s">
        <v>63</v>
      </c>
      <c r="C14" s="42">
        <v>2</v>
      </c>
      <c r="D14" s="81">
        <f>'13) LIBANO 1 PISO ESQ.'!G25</f>
        <v>8746794.9562500007</v>
      </c>
      <c r="E14" s="43">
        <f t="shared" si="0"/>
        <v>17493589.912500001</v>
      </c>
    </row>
    <row r="15" spans="1:5" x14ac:dyDescent="0.3">
      <c r="A15">
        <v>14</v>
      </c>
      <c r="B15" s="49" t="s">
        <v>64</v>
      </c>
      <c r="C15" s="42">
        <v>9</v>
      </c>
      <c r="D15" s="81">
        <f>'14) LIBANO 1 PISO MED.'!G25</f>
        <v>7503238.1287500001</v>
      </c>
      <c r="E15" s="43">
        <f t="shared" si="0"/>
        <v>67529143.158749998</v>
      </c>
    </row>
    <row r="16" spans="1:5" x14ac:dyDescent="0.3">
      <c r="A16">
        <v>15</v>
      </c>
      <c r="B16" s="49" t="s">
        <v>65</v>
      </c>
      <c r="C16" s="42">
        <v>5</v>
      </c>
      <c r="D16" s="81">
        <f>'15) LIBANO 2 PISOS MED.'!G25</f>
        <v>9491268.8081250004</v>
      </c>
      <c r="E16" s="43">
        <f t="shared" si="0"/>
        <v>47456344.040625006</v>
      </c>
    </row>
    <row r="17" spans="1:5" x14ac:dyDescent="0.3">
      <c r="A17">
        <v>16</v>
      </c>
      <c r="B17" s="49" t="s">
        <v>66</v>
      </c>
      <c r="C17" s="42">
        <v>2</v>
      </c>
      <c r="D17" s="81">
        <f>'16) LIBANO ESQ.'!G25</f>
        <v>12721085.446875</v>
      </c>
      <c r="E17" s="43">
        <f t="shared" si="0"/>
        <v>25442170.893750001</v>
      </c>
    </row>
    <row r="18" spans="1:5" x14ac:dyDescent="0.3">
      <c r="C18" s="44">
        <f>SUM(C2:C17)</f>
        <v>84</v>
      </c>
      <c r="E18" s="45">
        <f>SUM(E2:E17)</f>
        <v>631548021.39487493</v>
      </c>
    </row>
    <row r="20" spans="1:5" x14ac:dyDescent="0.3">
      <c r="B20" s="46" t="s">
        <v>70</v>
      </c>
      <c r="C20" s="47"/>
      <c r="D20" s="47"/>
      <c r="E20" s="48">
        <f>E18/C18</f>
        <v>7518428.8261294635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16</vt:i4>
      </vt:variant>
    </vt:vector>
  </HeadingPairs>
  <TitlesOfParts>
    <vt:vector size="33" baseType="lpstr">
      <vt:lpstr>16) LIBANO ESQ.</vt:lpstr>
      <vt:lpstr>15) LIBANO 2 PISOS MED.</vt:lpstr>
      <vt:lpstr>14) LIBANO 1 PISO MED.</vt:lpstr>
      <vt:lpstr>13) LIBANO 1 PISO ESQ.</vt:lpstr>
      <vt:lpstr>12) HIMALAYA CAMPESTRE</vt:lpstr>
      <vt:lpstr>11) CHIPRE MED. TIPO 1</vt:lpstr>
      <vt:lpstr>10) CHIPRE ESQ. TIPO 1</vt:lpstr>
      <vt:lpstr>9) ATLAS MED. TIPO 1</vt:lpstr>
      <vt:lpstr>8) ATLAS ESQ. TIPO 2</vt:lpstr>
      <vt:lpstr>7) ATLAS ESQ. TIPO 1</vt:lpstr>
      <vt:lpstr>6) HIMALAYA MED. TIPO 2</vt:lpstr>
      <vt:lpstr>5) HIMALAYA MED. TIPO 1</vt:lpstr>
      <vt:lpstr>4) HIMALAYA ESQ. TIPO 4</vt:lpstr>
      <vt:lpstr>3) HIMALAYA ESQ. TIPO 3 (ESPE.)</vt:lpstr>
      <vt:lpstr>2) HIMALAYA ESQ. TIPO 2</vt:lpstr>
      <vt:lpstr>1) HIMALAYA ESQ. TIPO 1</vt:lpstr>
      <vt:lpstr>LISTADO DE CASAS</vt:lpstr>
      <vt:lpstr>'1) HIMALAYA ESQ. TIPO 1'!Área_de_impresión</vt:lpstr>
      <vt:lpstr>'10) CHIPRE ESQ. TIPO 1'!Área_de_impresión</vt:lpstr>
      <vt:lpstr>'11) CHIPRE MED. TIPO 1'!Área_de_impresión</vt:lpstr>
      <vt:lpstr>'12) HIMALAYA CAMPESTRE'!Área_de_impresión</vt:lpstr>
      <vt:lpstr>'13) LIBANO 1 PISO ESQ.'!Área_de_impresión</vt:lpstr>
      <vt:lpstr>'14) LIBANO 1 PISO MED.'!Área_de_impresión</vt:lpstr>
      <vt:lpstr>'15) LIBANO 2 PISOS MED.'!Área_de_impresión</vt:lpstr>
      <vt:lpstr>'16) LIBANO ESQ.'!Área_de_impresión</vt:lpstr>
      <vt:lpstr>'2) HIMALAYA ESQ. TIPO 2'!Área_de_impresión</vt:lpstr>
      <vt:lpstr>'3) HIMALAYA ESQ. TIPO 3 (ESPE.)'!Área_de_impresión</vt:lpstr>
      <vt:lpstr>'4) HIMALAYA ESQ. TIPO 4'!Área_de_impresión</vt:lpstr>
      <vt:lpstr>'5) HIMALAYA MED. TIPO 1'!Área_de_impresión</vt:lpstr>
      <vt:lpstr>'6) HIMALAYA MED. TIPO 2'!Área_de_impresión</vt:lpstr>
      <vt:lpstr>'7) ATLAS ESQ. TIPO 1'!Área_de_impresión</vt:lpstr>
      <vt:lpstr>'8) ATLAS ESQ. TIPO 2'!Área_de_impresión</vt:lpstr>
      <vt:lpstr>'9) ATLAS MED. TIPO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2025-03-03T21:27:54Z</cp:lastPrinted>
  <dcterms:created xsi:type="dcterms:W3CDTF">2024-02-08T21:06:52Z</dcterms:created>
  <dcterms:modified xsi:type="dcterms:W3CDTF">2025-07-09T21:35:06Z</dcterms:modified>
  <cp:category/>
  <cp:contentStatus/>
</cp:coreProperties>
</file>