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B128F10F-D827-424F-92CF-F0519C844A2C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COTIZACIÓN RESERVA DE LOS CEDRO" sheetId="2" r:id="rId1"/>
  </sheets>
  <definedNames>
    <definedName name="_xlnm.Print_Area" localSheetId="0">'COTIZACIÓN RESERVA DE LOS CEDRO'!$A$1:$G$15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" l="1"/>
  <c r="G15" i="2" s="1"/>
  <c r="G22" i="2"/>
  <c r="G21" i="2" s="1"/>
  <c r="G14" i="2"/>
  <c r="G13" i="2" l="1"/>
  <c r="G24" i="2"/>
  <c r="G23" i="2" s="1"/>
  <c r="G20" i="2" l="1"/>
  <c r="G19" i="2" s="1"/>
  <c r="G17" i="2"/>
  <c r="G16" i="2" l="1"/>
  <c r="H13" i="2" l="1"/>
  <c r="G12" i="2"/>
  <c r="G11" i="2"/>
  <c r="G10" i="2"/>
  <c r="G9" i="2" l="1"/>
  <c r="G25" i="2" s="1"/>
  <c r="G26" i="2" s="1"/>
  <c r="G27" i="2" l="1"/>
  <c r="G28" i="2"/>
  <c r="G29" i="2" s="1"/>
  <c r="G30" i="2" l="1"/>
  <c r="G31" i="2" s="1"/>
</calcChain>
</file>

<file path=xl/sharedStrings.xml><?xml version="1.0" encoding="utf-8"?>
<sst xmlns="http://schemas.openxmlformats.org/spreadsheetml/2006/main" count="63" uniqueCount="56">
  <si>
    <t>CAPT</t>
  </si>
  <si>
    <t>ITEMS</t>
  </si>
  <si>
    <t>ACTIVIDAD</t>
  </si>
  <si>
    <t>UNIDAD</t>
  </si>
  <si>
    <t>CANTIDAD</t>
  </si>
  <si>
    <t>VR UNITARIO</t>
  </si>
  <si>
    <t>VALOR DIRECTO ACTIVIDAD</t>
  </si>
  <si>
    <t>M2</t>
  </si>
  <si>
    <t>ML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</si>
  <si>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</si>
  <si>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</si>
  <si>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</si>
  <si>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</si>
  <si>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</si>
  <si>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</si>
  <si>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</si>
  <si>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</si>
  <si>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</si>
  <si>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</si>
  <si>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</si>
  <si>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</si>
  <si>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</si>
  <si>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</si>
  <si>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PRELIMINARES DE OBRA</t>
  </si>
  <si>
    <t xml:space="preserve"> VERSIÓN: 01</t>
  </si>
  <si>
    <t>1.1</t>
  </si>
  <si>
    <t>GB</t>
  </si>
  <si>
    <t>1.2</t>
  </si>
  <si>
    <t>CONSTRUCCION CAMPAMENTO PROVISIONAL</t>
  </si>
  <si>
    <t>2.1</t>
  </si>
  <si>
    <t>2.2</t>
  </si>
  <si>
    <t>3.1</t>
  </si>
  <si>
    <t>LIMPIEZA Y ALISTAMIENTO DE SUPERFICIES</t>
  </si>
  <si>
    <t>3.2</t>
  </si>
  <si>
    <t>4.1</t>
  </si>
  <si>
    <t>5.1</t>
  </si>
  <si>
    <t>LIMPIEZA Y ASEO GENERAL</t>
  </si>
  <si>
    <t>CERRAMIENTO PROVISIONAL Y SENALIZACION DE LAS OBRAS A INTERVENIR. EN CERRAMIENTO CON SENALIZACION RESPECTIVA VISIBLE DEL AREA A INTERVENIR QUE IMPIDA PASO DE PEATONES O VEHICULOS PARA EVITAR RIESGOS DE ACCIDENTES</t>
  </si>
  <si>
    <t xml:space="preserve">SUMINSTRO Y APLICACIÓN DE PINTURA A DOS MANOS DE KORAZA PRO 550 SOBRE TODA LA SUPERFICIE EN GENERAL CON COLORES APROBADOS </t>
  </si>
  <si>
    <t>SELLAMIENTO DE CARPINTERIA DE ALUMINIO</t>
  </si>
  <si>
    <t>PRESUPUESTO PARA RESTAURACIÓN DE FACHADAS</t>
  </si>
  <si>
    <t>CANTIDADES DE OBRA Y ESPECIFICACIONES TECNICAS PARA ACTIVIDADES DE RESTAURACIÓN INTEGRAL EN FACHADAS</t>
  </si>
  <si>
    <t>LAVADO COMPLETO Y GENERAL DE LAS SUPERFICIES EXTERNAS CON HIPOCLORITO DE SODIO AL 10%. (CON AGUA EN PROPORCION 1 A 3 ) UNA PARTE DE HIPOCLORITO POR 3 PARTES DE AGUA</t>
  </si>
  <si>
    <t>EN EL TRANSCURSO DE LA EJECUCION Y AL FINAL DE LA OBRA, LIMPIEZA GENERAL Y DESALOJO DE TODO EL MATERIAL SOBRANTE Y DESPERDICIOS</t>
  </si>
  <si>
    <t xml:space="preserve">  FECHA:                        15/06/2024</t>
  </si>
  <si>
    <t xml:space="preserve">  VALIDO HASTA:           15/09/2024</t>
  </si>
  <si>
    <t>EDIFICIO RESERVA DE LOS CEDROS</t>
  </si>
  <si>
    <t>OBRAS DE PINTURA EN MUROS DE FACHADA E IMPERMEABILIZACIÓN</t>
  </si>
  <si>
    <t>SUMINISTRO Y APLICACIÓN DE PINTUCOFILL 7 DE PINTUCO EN UN AREA APROXIMADA DE 5CM A CADA LADO EN DILATACIONES</t>
  </si>
  <si>
    <t>SUMINISTRO Y APLICACIÓN DE IMPRIMACIÓN Y GRANIPLAST EN DONDE SE DESPRENDIO O RETIRO TEXTURA GARANTIZANDO UNIFORMIDAD DE LA TEXTURA ANTES DE PINTAR.</t>
  </si>
  <si>
    <t>RETIRO DE SELLOS DE VENTANERIA EXISTENTES Y SUMINISTRO Y APLICACIÓN DE SOUDAL MULTIBOND PARA SELLO DE LAS MISMAS</t>
  </si>
  <si>
    <t>CUBIERTA</t>
  </si>
  <si>
    <t>RECORRIDO GENERAL DE CUBIERTA - INCLUYE SELLO DE ANCLAJES, REPOSICIÓN DE LOS MISMOS, MANTENIMIENTO EN FLANCHES Y ALFAJIAS</t>
  </si>
  <si>
    <t>GLB</t>
  </si>
  <si>
    <t>3.3</t>
  </si>
  <si>
    <t>RECONSTRUCCIÓN DE PENDIENTE EN AREA DE VOLUMENES | RECONSTRUCCIÓN MEDIANTE MORTERO DE REPARACIÓN Y ACABADO LISO, SUMINISTRO Y APLICACIÓN DE PINTURA KORAZA PRO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</si>
</sst>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left" vertical="center" wrapText="1"/>
    </xf>
    <xf numFmtId="164" fontId="10" fillId="9" borderId="3" xfId="0" applyNumberFormat="1" applyFont="1" applyFill="1" applyBorder="1" applyAlignment="1">
      <alignment horizontal="left" vertical="center" wrapText="1"/>
    </xf>
    <xf numFmtId="164" fontId="10" fillId="8" borderId="3" xfId="0" applyNumberFormat="1" applyFont="1" applyFill="1" applyBorder="1" applyAlignment="1">
      <alignment horizontal="left" vertical="center" wrapText="1"/>
    </xf>
    <xf numFmtId="164" fontId="10" fillId="10" borderId="4" xfId="0" applyNumberFormat="1" applyFont="1" applyFill="1" applyBorder="1" applyAlignment="1">
      <alignment horizontal="left" vertical="center" wrapText="1"/>
    </xf>
    <xf numFmtId="165" fontId="10" fillId="9" borderId="3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 wrapText="1"/>
    </xf>
    <xf numFmtId="164" fontId="3" fillId="10" borderId="3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left" vertical="center" wrapText="1"/>
    </xf>
    <xf numFmtId="164" fontId="10" fillId="10" borderId="6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43" fontId="3" fillId="0" borderId="1" xfId="1" applyFont="1" applyFill="1" applyBorder="1" applyAlignment="1">
      <alignment vertical="center"/>
    </xf>
    <xf numFmtId="43" fontId="3" fillId="0" borderId="3" xfId="1" applyFont="1" applyFill="1" applyBorder="1" applyAlignment="1">
      <alignment vertical="center"/>
    </xf>
    <xf numFmtId="43" fontId="3" fillId="0" borderId="6" xfId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11" fillId="2" borderId="20" xfId="1" applyFont="1" applyFill="1" applyBorder="1" applyAlignment="1">
      <alignment horizontal="center" vertical="center"/>
    </xf>
    <xf numFmtId="43" fontId="11" fillId="2" borderId="4" xfId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D84D8C-64A2-4BE1-AEF7-AEB60F3D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29" y="999121"/>
          <a:ext cx="3058885" cy="110407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6AAF-44A3-490E-AA4C-1D5EA92813D8}">
  <sheetPr>
    <pageSetUpPr fitToPage="1"/>
  </sheetPr>
  <dimension ref="A1:J39"/>
  <sheetViews>
    <sheetView tabSelected="1" topLeftCell="A14" zoomScale="50" zoomScaleNormal="50" workbookViewId="0">
      <selection activeCell="G31" sqref="G31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13" style="1" bestFit="1" customWidth="1"/>
    <col min="9" max="16384" width="12.33203125" style="1"/>
  </cols>
  <sheetData>
    <row r="1" spans="1:10" ht="27.6" x14ac:dyDescent="0.3">
      <c r="A1" s="73" t="s">
        <v>46</v>
      </c>
      <c r="B1" s="74"/>
      <c r="C1" s="74"/>
      <c r="D1" s="74"/>
      <c r="E1" s="74"/>
      <c r="F1" s="74"/>
      <c r="G1" s="75"/>
    </row>
    <row r="2" spans="1:10" ht="33.6" customHeight="1" x14ac:dyDescent="0.3">
      <c r="A2" s="76" t="s">
        <v>41</v>
      </c>
      <c r="B2" s="77"/>
      <c r="C2" s="77"/>
      <c r="D2" s="77"/>
      <c r="E2" s="77"/>
      <c r="F2" s="77"/>
      <c r="G2" s="78"/>
    </row>
    <row r="3" spans="1:10" ht="39.6" customHeight="1" x14ac:dyDescent="0.3">
      <c r="A3" s="79" t="s">
        <v>17</v>
      </c>
      <c r="B3" s="80"/>
      <c r="C3" s="29" t="s">
        <v>16</v>
      </c>
      <c r="D3" s="33" t="s">
        <v>22</v>
      </c>
      <c r="E3" s="33" t="s">
        <v>24</v>
      </c>
      <c r="F3" s="81"/>
      <c r="G3" s="82"/>
    </row>
    <row r="4" spans="1:10" ht="52.2" customHeight="1" x14ac:dyDescent="0.3">
      <c r="A4" s="79" t="s">
        <v>18</v>
      </c>
      <c r="B4" s="80"/>
      <c r="C4" s="30" t="s">
        <v>20</v>
      </c>
      <c r="D4" s="87" t="s">
        <v>44</v>
      </c>
      <c r="E4" s="88"/>
      <c r="F4" s="83"/>
      <c r="G4" s="84"/>
    </row>
    <row r="5" spans="1:10" ht="36.6" customHeight="1" x14ac:dyDescent="0.3">
      <c r="A5" s="89" t="s">
        <v>19</v>
      </c>
      <c r="B5" s="90"/>
      <c r="C5" s="29" t="s">
        <v>21</v>
      </c>
      <c r="D5" s="91" t="s">
        <v>45</v>
      </c>
      <c r="E5" s="92"/>
      <c r="F5" s="85"/>
      <c r="G5" s="86"/>
    </row>
    <row r="6" spans="1:10" x14ac:dyDescent="0.3">
      <c r="A6" s="61"/>
      <c r="B6" s="62"/>
      <c r="C6" s="62"/>
      <c r="D6" s="62"/>
      <c r="E6" s="62"/>
      <c r="F6" s="62"/>
      <c r="G6" s="63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64" t="s">
        <v>40</v>
      </c>
      <c r="B8" s="65"/>
      <c r="C8" s="65"/>
      <c r="D8" s="65"/>
      <c r="E8" s="65"/>
      <c r="F8" s="65"/>
      <c r="G8" s="66"/>
    </row>
    <row r="9" spans="1:10" ht="23.4" x14ac:dyDescent="0.3">
      <c r="A9" s="3">
        <v>1</v>
      </c>
      <c r="B9" s="4"/>
      <c r="C9" s="5" t="s">
        <v>23</v>
      </c>
      <c r="D9" s="6"/>
      <c r="E9" s="6"/>
      <c r="F9" s="20"/>
      <c r="G9" s="21">
        <f>SUM(G10:G11)</f>
        <v>430000</v>
      </c>
    </row>
    <row r="10" spans="1:10" ht="78.599999999999994" customHeight="1" x14ac:dyDescent="0.3">
      <c r="A10" s="7"/>
      <c r="B10" s="7" t="s">
        <v>25</v>
      </c>
      <c r="C10" s="9" t="s">
        <v>37</v>
      </c>
      <c r="D10" s="2" t="s">
        <v>26</v>
      </c>
      <c r="E10" s="58">
        <v>1</v>
      </c>
      <c r="F10" s="22">
        <v>130000</v>
      </c>
      <c r="G10" s="23">
        <f>+E10*F10</f>
        <v>130000</v>
      </c>
    </row>
    <row r="11" spans="1:10" ht="21" x14ac:dyDescent="0.3">
      <c r="A11" s="7"/>
      <c r="B11" s="7" t="s">
        <v>27</v>
      </c>
      <c r="C11" s="9" t="s">
        <v>28</v>
      </c>
      <c r="D11" s="2" t="s">
        <v>26</v>
      </c>
      <c r="E11" s="58">
        <v>1</v>
      </c>
      <c r="F11" s="22">
        <v>300000</v>
      </c>
      <c r="G11" s="23">
        <f>+E11*F11</f>
        <v>300000</v>
      </c>
    </row>
    <row r="12" spans="1:10" ht="23.4" x14ac:dyDescent="0.3">
      <c r="A12" s="15">
        <v>2</v>
      </c>
      <c r="B12" s="16"/>
      <c r="C12" s="17" t="s">
        <v>32</v>
      </c>
      <c r="D12" s="18"/>
      <c r="E12" s="27"/>
      <c r="F12" s="24"/>
      <c r="G12" s="25">
        <f>SUM(G13:G14)</f>
        <v>3728096</v>
      </c>
    </row>
    <row r="13" spans="1:10" ht="64.2" customHeight="1" x14ac:dyDescent="0.3">
      <c r="A13" s="8"/>
      <c r="B13" s="28" t="s">
        <v>29</v>
      </c>
      <c r="C13" s="39" t="s">
        <v>42</v>
      </c>
      <c r="D13" s="2" t="s">
        <v>7</v>
      </c>
      <c r="E13" s="58">
        <v>682.53</v>
      </c>
      <c r="F13" s="22">
        <v>3200</v>
      </c>
      <c r="G13" s="23">
        <f>+E13*F13</f>
        <v>2184096</v>
      </c>
      <c r="H13" s="38">
        <f>G13+G14+G16+G20</f>
        <v>16649130.999999998</v>
      </c>
      <c r="J13" s="38"/>
    </row>
    <row r="14" spans="1:10" ht="87" customHeight="1" x14ac:dyDescent="0.3">
      <c r="A14" s="10"/>
      <c r="B14" s="28" t="s">
        <v>30</v>
      </c>
      <c r="C14" s="40" t="s">
        <v>49</v>
      </c>
      <c r="D14" s="12" t="s">
        <v>7</v>
      </c>
      <c r="E14" s="58">
        <v>40</v>
      </c>
      <c r="F14" s="22">
        <v>38600</v>
      </c>
      <c r="G14" s="23">
        <f>+E14*F14</f>
        <v>1544000</v>
      </c>
    </row>
    <row r="15" spans="1:10" ht="43.8" customHeight="1" x14ac:dyDescent="0.3">
      <c r="A15" s="15">
        <v>3</v>
      </c>
      <c r="B15" s="16"/>
      <c r="C15" s="17" t="s">
        <v>47</v>
      </c>
      <c r="D15" s="18"/>
      <c r="E15" s="27"/>
      <c r="F15" s="24"/>
      <c r="G15" s="25">
        <f>SUM(G16:G18)</f>
        <v>14611604.999999998</v>
      </c>
    </row>
    <row r="16" spans="1:10" ht="76.2" customHeight="1" x14ac:dyDescent="0.3">
      <c r="A16" s="8"/>
      <c r="B16" s="28" t="s">
        <v>31</v>
      </c>
      <c r="C16" s="39" t="s">
        <v>38</v>
      </c>
      <c r="D16" s="2" t="s">
        <v>7</v>
      </c>
      <c r="E16" s="58">
        <v>620.30999999999995</v>
      </c>
      <c r="F16" s="22">
        <v>17500</v>
      </c>
      <c r="G16" s="23">
        <f>+E16*F16</f>
        <v>10855424.999999998</v>
      </c>
    </row>
    <row r="17" spans="1:7" ht="76.2" customHeight="1" x14ac:dyDescent="0.3">
      <c r="A17" s="8"/>
      <c r="B17" s="28" t="s">
        <v>33</v>
      </c>
      <c r="C17" s="57" t="s">
        <v>48</v>
      </c>
      <c r="D17" s="41" t="s">
        <v>7</v>
      </c>
      <c r="E17" s="59">
        <v>505.4</v>
      </c>
      <c r="F17" s="42">
        <v>6700</v>
      </c>
      <c r="G17" s="43">
        <f>+E17*F17</f>
        <v>3386180</v>
      </c>
    </row>
    <row r="18" spans="1:7" ht="76.2" customHeight="1" x14ac:dyDescent="0.3">
      <c r="A18" s="8"/>
      <c r="B18" s="28" t="s">
        <v>54</v>
      </c>
      <c r="C18" s="57" t="s">
        <v>55</v>
      </c>
      <c r="D18" s="41" t="s">
        <v>53</v>
      </c>
      <c r="E18" s="59">
        <v>1</v>
      </c>
      <c r="F18" s="42">
        <v>370000</v>
      </c>
      <c r="G18" s="43">
        <f>+E18*F18</f>
        <v>370000</v>
      </c>
    </row>
    <row r="19" spans="1:7" ht="23.4" x14ac:dyDescent="0.3">
      <c r="A19" s="15">
        <v>4</v>
      </c>
      <c r="B19" s="16"/>
      <c r="C19" s="17" t="s">
        <v>39</v>
      </c>
      <c r="D19" s="18"/>
      <c r="E19" s="27"/>
      <c r="F19" s="24"/>
      <c r="G19" s="25">
        <f>SUM(G20:G20)</f>
        <v>2065610.0000000005</v>
      </c>
    </row>
    <row r="20" spans="1:7" ht="64.8" customHeight="1" x14ac:dyDescent="0.3">
      <c r="A20" s="10"/>
      <c r="B20" s="28" t="s">
        <v>34</v>
      </c>
      <c r="C20" s="11" t="s">
        <v>50</v>
      </c>
      <c r="D20" s="12" t="s">
        <v>8</v>
      </c>
      <c r="E20" s="58">
        <v>308.30000000000007</v>
      </c>
      <c r="F20" s="22">
        <v>6700</v>
      </c>
      <c r="G20" s="26">
        <f>F20*E20</f>
        <v>2065610.0000000005</v>
      </c>
    </row>
    <row r="21" spans="1:7" ht="31.8" customHeight="1" x14ac:dyDescent="0.3">
      <c r="A21" s="15">
        <v>5</v>
      </c>
      <c r="B21" s="16"/>
      <c r="C21" s="17" t="s">
        <v>51</v>
      </c>
      <c r="D21" s="18"/>
      <c r="E21" s="27"/>
      <c r="F21" s="24"/>
      <c r="G21" s="25">
        <f>SUM(G22:G22)</f>
        <v>1230000</v>
      </c>
    </row>
    <row r="22" spans="1:7" ht="73.8" customHeight="1" x14ac:dyDescent="0.3">
      <c r="A22" s="10"/>
      <c r="B22" s="28" t="s">
        <v>35</v>
      </c>
      <c r="C22" s="11" t="s">
        <v>52</v>
      </c>
      <c r="D22" s="12" t="s">
        <v>53</v>
      </c>
      <c r="E22" s="58">
        <v>1</v>
      </c>
      <c r="F22" s="22">
        <v>1230000</v>
      </c>
      <c r="G22" s="26">
        <f>F22*E22</f>
        <v>1230000</v>
      </c>
    </row>
    <row r="23" spans="1:7" ht="39.6" customHeight="1" x14ac:dyDescent="0.3">
      <c r="A23" s="44">
        <v>5</v>
      </c>
      <c r="B23" s="45"/>
      <c r="C23" s="46" t="s">
        <v>36</v>
      </c>
      <c r="D23" s="47"/>
      <c r="E23" s="48"/>
      <c r="F23" s="49"/>
      <c r="G23" s="56">
        <f>G24</f>
        <v>200000</v>
      </c>
    </row>
    <row r="24" spans="1:7" ht="33.6" x14ac:dyDescent="0.3">
      <c r="A24" s="50"/>
      <c r="B24" s="51" t="s">
        <v>35</v>
      </c>
      <c r="C24" s="52" t="s">
        <v>43</v>
      </c>
      <c r="D24" s="53" t="s">
        <v>26</v>
      </c>
      <c r="E24" s="60">
        <v>1</v>
      </c>
      <c r="F24" s="54">
        <v>200000</v>
      </c>
      <c r="G24" s="55">
        <f>F24*E24</f>
        <v>200000</v>
      </c>
    </row>
    <row r="25" spans="1:7" ht="17.399999999999999" x14ac:dyDescent="0.3">
      <c r="A25" s="13"/>
      <c r="B25" s="13"/>
      <c r="C25" s="13"/>
      <c r="D25" s="13"/>
      <c r="E25" s="67" t="s">
        <v>9</v>
      </c>
      <c r="F25" s="68"/>
      <c r="G25" s="34">
        <f>G19+G15+G12+G9+G23+G21</f>
        <v>22265311</v>
      </c>
    </row>
    <row r="26" spans="1:7" ht="19.95" customHeight="1" x14ac:dyDescent="0.3">
      <c r="A26" s="13"/>
      <c r="B26" s="13"/>
      <c r="C26" s="13"/>
      <c r="D26" s="13"/>
      <c r="E26" s="14" t="s">
        <v>10</v>
      </c>
      <c r="F26" s="19">
        <v>0.08</v>
      </c>
      <c r="G26" s="35">
        <f>+$G$25*F26</f>
        <v>1781224.8800000001</v>
      </c>
    </row>
    <row r="27" spans="1:7" ht="19.95" customHeight="1" x14ac:dyDescent="0.3">
      <c r="A27" s="13"/>
      <c r="B27" s="13"/>
      <c r="C27" s="13"/>
      <c r="D27" s="13"/>
      <c r="E27" s="14" t="s">
        <v>11</v>
      </c>
      <c r="F27" s="19">
        <v>0.05</v>
      </c>
      <c r="G27" s="35">
        <f t="shared" ref="G27:G28" si="0">+$G$25*F27</f>
        <v>1113265.55</v>
      </c>
    </row>
    <row r="28" spans="1:7" ht="19.95" customHeight="1" x14ac:dyDescent="0.3">
      <c r="A28" s="13"/>
      <c r="B28" s="13"/>
      <c r="C28" s="13"/>
      <c r="D28" s="13"/>
      <c r="E28" s="14" t="s">
        <v>12</v>
      </c>
      <c r="F28" s="19">
        <v>0.05</v>
      </c>
      <c r="G28" s="35">
        <f t="shared" si="0"/>
        <v>1113265.55</v>
      </c>
    </row>
    <row r="29" spans="1:7" ht="19.95" customHeight="1" x14ac:dyDescent="0.3">
      <c r="A29" s="13"/>
      <c r="B29" s="13"/>
      <c r="C29" s="13"/>
      <c r="D29" s="13"/>
      <c r="E29" s="14" t="s">
        <v>13</v>
      </c>
      <c r="F29" s="19">
        <v>0.19</v>
      </c>
      <c r="G29" s="35">
        <f>+G28*F29</f>
        <v>211520.45450000002</v>
      </c>
    </row>
    <row r="30" spans="1:7" ht="19.95" customHeight="1" x14ac:dyDescent="0.3">
      <c r="A30" s="13"/>
      <c r="B30" s="13"/>
      <c r="C30" s="13"/>
      <c r="D30" s="13"/>
      <c r="E30" s="69" t="s">
        <v>14</v>
      </c>
      <c r="F30" s="70"/>
      <c r="G30" s="36">
        <f>+G26+G27+G28+G29</f>
        <v>4219276.4345000004</v>
      </c>
    </row>
    <row r="31" spans="1:7" ht="19.95" customHeight="1" x14ac:dyDescent="0.3">
      <c r="A31" s="13"/>
      <c r="B31" s="13"/>
      <c r="C31" s="13"/>
      <c r="D31" s="13"/>
      <c r="E31" s="71" t="s">
        <v>15</v>
      </c>
      <c r="F31" s="72"/>
      <c r="G31" s="37">
        <f>+G25+G30</f>
        <v>26484587.434500001</v>
      </c>
    </row>
    <row r="32" spans="1:7" ht="19.95" customHeight="1" x14ac:dyDescent="0.3"/>
    <row r="33" spans="7:7" ht="15" customHeight="1" x14ac:dyDescent="0.3"/>
    <row r="38" spans="7:7" x14ac:dyDescent="0.3">
      <c r="G38" s="38"/>
    </row>
    <row r="39" spans="7:7" x14ac:dyDescent="0.3">
      <c r="G39" s="38"/>
    </row>
  </sheetData>
  <mergeCells count="13"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25:F25"/>
    <mergeCell ref="E30:F30"/>
    <mergeCell ref="E31:F31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 RESERVA DE LOS CEDRO</vt:lpstr>
      <vt:lpstr>'COTIZACIÓN RESERVA DE LOS CEDRO'!Área_de_impresión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2024-07-04T22:53:17Z</cp:lastPrinted>
  <dcterms:created xsi:type="dcterms:W3CDTF">2024-02-08T21:06:52Z</dcterms:created>
  <dcterms:modified xsi:type="dcterms:W3CDTF">2025-07-23T23:38:11Z</dcterms:modified>
  <cp:category/>
  <cp:contentStatus/>
</cp:coreProperties>
</file>