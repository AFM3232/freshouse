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A51301B3-46CD-4A82-A9EC-7C659ACB0A24}" xr6:coauthVersionLast="47" xr6:coauthVersionMax="47" xr10:uidLastSave="{00000000-0000-0000-0000-000000000000}"/>
  <bookViews>
    <workbookView xWindow="-108" yWindow="-108" windowWidth="23256" windowHeight="12456" tabRatio="665" xr2:uid="{00000000-000D-0000-FFFF-FFFF00000000}"/>
  </bookViews>
  <sheets>
    <sheet name="CANTIDAD DE OBRA (T2)" sheetId="8" r:id="rId1"/>
    <sheet name="CANTIDAD DE OBRA (T1)" sheetId="42" r:id="rId2"/>
  </sheets>
  <definedNames>
    <definedName name="_xlnm._FilterDatabase" localSheetId="0" hidden="1">'CANTIDAD DE OBRA (T2)'!$D$4:$M$24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8" l="1"/>
  <c r="L23" i="8"/>
  <c r="K23" i="8"/>
  <c r="L22" i="8"/>
  <c r="K22" i="8"/>
  <c r="L24" i="8"/>
  <c r="K24" i="8"/>
  <c r="L21" i="8"/>
  <c r="K21" i="8"/>
  <c r="L20" i="8"/>
  <c r="K20" i="8"/>
  <c r="L19" i="8"/>
  <c r="K19" i="8"/>
  <c r="M18" i="8"/>
  <c r="L18" i="8"/>
  <c r="K18" i="8"/>
  <c r="G18" i="8"/>
  <c r="M15" i="8"/>
  <c r="L17" i="8"/>
  <c r="K17" i="8"/>
  <c r="L16" i="8"/>
  <c r="K16" i="8"/>
  <c r="L15" i="8"/>
  <c r="K15" i="8"/>
  <c r="G15" i="8"/>
  <c r="L6" i="8"/>
  <c r="L7" i="8"/>
  <c r="L8" i="8"/>
  <c r="L9" i="8"/>
  <c r="L12" i="8"/>
  <c r="L13" i="8"/>
  <c r="L14" i="8"/>
  <c r="L5" i="8"/>
  <c r="M12" i="8"/>
  <c r="M5" i="8"/>
  <c r="K13" i="8"/>
  <c r="K12" i="8"/>
  <c r="G11" i="8"/>
  <c r="G12" i="8"/>
  <c r="G10" i="8"/>
  <c r="K9" i="8"/>
  <c r="K8" i="8"/>
  <c r="K7" i="8"/>
  <c r="M26" i="8" l="1"/>
  <c r="L26" i="8"/>
  <c r="L5" i="42"/>
  <c r="K23" i="42" l="1"/>
  <c r="F50" i="42" l="1"/>
  <c r="K51" i="42"/>
  <c r="L61" i="42"/>
  <c r="M61" i="42"/>
  <c r="E60" i="42"/>
  <c r="G60" i="42" s="1"/>
  <c r="G61" i="42"/>
  <c r="M59" i="42"/>
  <c r="L59" i="42"/>
  <c r="K59" i="42"/>
  <c r="G59" i="42"/>
  <c r="M60" i="42"/>
  <c r="L60" i="42"/>
  <c r="E50" i="42"/>
  <c r="M50" i="42"/>
  <c r="L50" i="42"/>
  <c r="K50" i="42"/>
  <c r="E45" i="42"/>
  <c r="E44" i="42"/>
  <c r="L45" i="42"/>
  <c r="F45" i="42"/>
  <c r="M45" i="42" s="1"/>
  <c r="K27" i="42"/>
  <c r="G24" i="42"/>
  <c r="G25" i="42"/>
  <c r="G26" i="42"/>
  <c r="N25" i="42"/>
  <c r="M25" i="42"/>
  <c r="L25" i="42"/>
  <c r="G22" i="42"/>
  <c r="M22" i="42"/>
  <c r="N60" i="42" l="1"/>
  <c r="N22" i="42"/>
  <c r="G50" i="42"/>
  <c r="N59" i="42"/>
  <c r="G45" i="42"/>
  <c r="N45" i="42" s="1"/>
  <c r="L15" i="42"/>
  <c r="M15" i="42"/>
  <c r="L16" i="42"/>
  <c r="M16" i="42"/>
  <c r="L17" i="42"/>
  <c r="M17" i="42"/>
  <c r="L18" i="42"/>
  <c r="M18" i="42"/>
  <c r="L19" i="42"/>
  <c r="M19" i="42"/>
  <c r="L20" i="42"/>
  <c r="M20" i="42"/>
  <c r="L21" i="42"/>
  <c r="M21" i="42"/>
  <c r="L23" i="42"/>
  <c r="M23" i="42"/>
  <c r="L24" i="42"/>
  <c r="M24" i="42"/>
  <c r="N24" i="42"/>
  <c r="L26" i="42"/>
  <c r="M26" i="42"/>
  <c r="N26" i="42"/>
  <c r="L27" i="42"/>
  <c r="M27" i="42"/>
  <c r="L28" i="42"/>
  <c r="M28" i="42"/>
  <c r="L29" i="42"/>
  <c r="L30" i="42"/>
  <c r="M30" i="42"/>
  <c r="L31" i="42"/>
  <c r="M31" i="42"/>
  <c r="L32" i="42"/>
  <c r="M32" i="42"/>
  <c r="L33" i="42"/>
  <c r="M33" i="42"/>
  <c r="L34" i="42"/>
  <c r="M34" i="42"/>
  <c r="L35" i="42"/>
  <c r="M35" i="42"/>
  <c r="L36" i="42"/>
  <c r="M36" i="42"/>
  <c r="L37" i="42"/>
  <c r="M37" i="42"/>
  <c r="L38" i="42"/>
  <c r="M38" i="42"/>
  <c r="L39" i="42"/>
  <c r="M39" i="42"/>
  <c r="L40" i="42"/>
  <c r="M40" i="42"/>
  <c r="L41" i="42"/>
  <c r="M41" i="42"/>
  <c r="L42" i="42"/>
  <c r="M42" i="42"/>
  <c r="L43" i="42"/>
  <c r="M43" i="42"/>
  <c r="L44" i="42"/>
  <c r="L46" i="42"/>
  <c r="M46" i="42"/>
  <c r="L47" i="42"/>
  <c r="M47" i="42"/>
  <c r="L48" i="42"/>
  <c r="M48" i="42"/>
  <c r="L49" i="42"/>
  <c r="M49" i="42"/>
  <c r="L52" i="42"/>
  <c r="M52" i="42"/>
  <c r="L53" i="42"/>
  <c r="M53" i="42"/>
  <c r="L54" i="42"/>
  <c r="M54" i="42"/>
  <c r="L55" i="42"/>
  <c r="M55" i="42"/>
  <c r="L56" i="42"/>
  <c r="L57" i="42"/>
  <c r="M57" i="42"/>
  <c r="L58" i="42"/>
  <c r="M58" i="42"/>
  <c r="K57" i="42"/>
  <c r="K56" i="42"/>
  <c r="K54" i="42"/>
  <c r="K49" i="42"/>
  <c r="K44" i="42"/>
  <c r="F44" i="42"/>
  <c r="G44" i="42" s="1"/>
  <c r="K43" i="42"/>
  <c r="K42" i="42"/>
  <c r="K38" i="42"/>
  <c r="K34" i="42"/>
  <c r="K35" i="42"/>
  <c r="G32" i="42"/>
  <c r="K31" i="42"/>
  <c r="G23" i="42"/>
  <c r="K29" i="42"/>
  <c r="F29" i="42"/>
  <c r="G29" i="42" s="1"/>
  <c r="E20" i="42"/>
  <c r="G20" i="42" s="1"/>
  <c r="G58" i="42"/>
  <c r="G55" i="42"/>
  <c r="G54" i="42"/>
  <c r="G53" i="42"/>
  <c r="G52" i="42"/>
  <c r="G49" i="42"/>
  <c r="G48" i="42"/>
  <c r="G47" i="42"/>
  <c r="G46" i="42"/>
  <c r="G42" i="42"/>
  <c r="G41" i="42"/>
  <c r="G40" i="42"/>
  <c r="G39" i="42"/>
  <c r="G38" i="42"/>
  <c r="G37" i="42"/>
  <c r="G36" i="42"/>
  <c r="G35" i="42"/>
  <c r="G34" i="42"/>
  <c r="G33" i="42"/>
  <c r="G31" i="42"/>
  <c r="G30" i="42"/>
  <c r="G28" i="42"/>
  <c r="G27" i="42"/>
  <c r="G21" i="42"/>
  <c r="F56" i="42"/>
  <c r="G56" i="42" s="1"/>
  <c r="G19" i="42"/>
  <c r="E18" i="42"/>
  <c r="G18" i="42" s="1"/>
  <c r="N18" i="42" s="1"/>
  <c r="G17" i="42"/>
  <c r="E16" i="42"/>
  <c r="G16" i="42" s="1"/>
  <c r="N38" i="42" l="1"/>
  <c r="N27" i="42"/>
  <c r="N41" i="42"/>
  <c r="N49" i="42"/>
  <c r="N30" i="42"/>
  <c r="N46" i="42"/>
  <c r="N23" i="42"/>
  <c r="N40" i="42"/>
  <c r="N19" i="42"/>
  <c r="N44" i="42"/>
  <c r="N31" i="42"/>
  <c r="N47" i="42"/>
  <c r="N33" i="42"/>
  <c r="N48" i="42"/>
  <c r="N32" i="42"/>
  <c r="N39" i="42"/>
  <c r="N21" i="42"/>
  <c r="N16" i="42"/>
  <c r="N52" i="42"/>
  <c r="N53" i="42"/>
  <c r="N55" i="42"/>
  <c r="N56" i="42"/>
  <c r="N58" i="42"/>
  <c r="N20" i="42"/>
  <c r="N28" i="42"/>
  <c r="N17" i="42"/>
  <c r="N36" i="42"/>
  <c r="N37" i="42"/>
  <c r="N50" i="42"/>
  <c r="N35" i="42"/>
  <c r="N54" i="42"/>
  <c r="N29" i="42"/>
  <c r="M56" i="42"/>
  <c r="M44" i="42"/>
  <c r="M29" i="42"/>
  <c r="N34" i="42"/>
  <c r="N42" i="42"/>
  <c r="L9" i="42" l="1"/>
  <c r="M9" i="42"/>
  <c r="L10" i="42"/>
  <c r="L11" i="42"/>
  <c r="M11" i="42"/>
  <c r="L12" i="42"/>
  <c r="M12" i="42"/>
  <c r="L13" i="42"/>
  <c r="M13" i="42"/>
  <c r="L14" i="42"/>
  <c r="M14" i="42"/>
  <c r="K11" i="42"/>
  <c r="K12" i="42"/>
  <c r="K10" i="42"/>
  <c r="E13" i="42"/>
  <c r="G13" i="42" s="1"/>
  <c r="G15" i="42"/>
  <c r="E14" i="42"/>
  <c r="G14" i="42" s="1"/>
  <c r="N14" i="42" s="1"/>
  <c r="F10" i="42"/>
  <c r="M10" i="42" s="1"/>
  <c r="E10" i="42"/>
  <c r="E9" i="42"/>
  <c r="G9" i="42" s="1"/>
  <c r="L8" i="42"/>
  <c r="M8" i="42"/>
  <c r="E8" i="42"/>
  <c r="G8" i="42" s="1"/>
  <c r="E7" i="42"/>
  <c r="G7" i="42" s="1"/>
  <c r="L6" i="42"/>
  <c r="M6" i="42"/>
  <c r="L7" i="42"/>
  <c r="M7" i="42"/>
  <c r="K7" i="42"/>
  <c r="E5" i="42"/>
  <c r="G5" i="42" s="1"/>
  <c r="E6" i="42"/>
  <c r="G6" i="42" s="1"/>
  <c r="M5" i="42"/>
  <c r="N5" i="42"/>
  <c r="L73" i="42" l="1"/>
  <c r="N9" i="42"/>
  <c r="N8" i="42"/>
  <c r="N6" i="42"/>
  <c r="N13" i="42"/>
  <c r="N15" i="42"/>
  <c r="N7" i="42"/>
  <c r="O7" i="42" s="1"/>
  <c r="R14" i="42"/>
  <c r="G10" i="42"/>
  <c r="P6" i="42"/>
  <c r="O9" i="42"/>
  <c r="O8" i="42"/>
  <c r="O5" i="42"/>
  <c r="O13" i="42" l="1"/>
  <c r="N10" i="42"/>
  <c r="P15" i="42"/>
  <c r="O10" i="42" l="1"/>
  <c r="R67" i="42" l="1"/>
  <c r="R71" i="42" s="1"/>
  <c r="L71" i="42" s="1"/>
  <c r="S67" i="42" l="1"/>
  <c r="S71" i="42" s="1"/>
  <c r="Q67" i="42" l="1"/>
  <c r="Q71" i="42" s="1"/>
  <c r="G67" i="42" l="1"/>
  <c r="O67" i="42" l="1"/>
  <c r="P67" i="42"/>
  <c r="P71" i="42" l="1"/>
  <c r="P72" i="42" s="1"/>
  <c r="P70" i="42"/>
  <c r="O68" i="42"/>
  <c r="O71" i="42"/>
  <c r="M71" i="42" l="1"/>
  <c r="K71" i="42"/>
  <c r="H68" i="42"/>
  <c r="K14" i="8" l="1"/>
  <c r="K6" i="8"/>
  <c r="K5" i="8" l="1"/>
  <c r="K26" i="8" s="1"/>
  <c r="G5" i="8" l="1"/>
  <c r="G27" i="8" s="1"/>
</calcChain>
</file>

<file path=xl/sharedStrings.xml><?xml version="1.0" encoding="utf-8"?>
<sst xmlns="http://schemas.openxmlformats.org/spreadsheetml/2006/main" count="104" uniqueCount="75">
  <si>
    <t>FACHADA</t>
  </si>
  <si>
    <t>DIMENSIONES</t>
  </si>
  <si>
    <t>DESCUENTOS</t>
  </si>
  <si>
    <t>SECCIÓN</t>
  </si>
  <si>
    <t>DESCRIPCIÓN</t>
  </si>
  <si>
    <t>ALTO</t>
  </si>
  <si>
    <t>ANCHO</t>
  </si>
  <si>
    <t>TOTAL
(M2)</t>
  </si>
  <si>
    <t>CANTIDAD</t>
  </si>
  <si>
    <t>CARTERAS
(ML)</t>
  </si>
  <si>
    <t>POSTERIOR</t>
  </si>
  <si>
    <t>DILATACIÓN
(ML)</t>
  </si>
  <si>
    <t>TORRE</t>
  </si>
  <si>
    <t>FRONTAL</t>
  </si>
  <si>
    <t>EDIFICIO HEBRÓN</t>
  </si>
  <si>
    <t>ÁREA TOTAL
(PIEDRA)</t>
  </si>
  <si>
    <t>TOTAL M2 DE FACHADA CON DESCUENTOS</t>
  </si>
  <si>
    <t>TOTAL M2 DE FACHADA SIN DESCUENTOS</t>
  </si>
  <si>
    <t>ÁREA TOTAL
(BLANCA)</t>
  </si>
  <si>
    <t>ÁREA TOTAL
(COLORES)</t>
  </si>
  <si>
    <t>ÁREA TOTAL
(NEGRA)</t>
  </si>
  <si>
    <t>CÑ TOTALES</t>
  </si>
  <si>
    <t>HIDROFUGO</t>
  </si>
  <si>
    <t>CIELO RASO</t>
  </si>
  <si>
    <t>LAT DERECHA</t>
  </si>
  <si>
    <t>Muro con 3 ventanas blanco</t>
  </si>
  <si>
    <t>Piedra sin ventana</t>
  </si>
  <si>
    <t>Color sin ventana</t>
  </si>
  <si>
    <t>Muro sin ventana blanco volumen</t>
  </si>
  <si>
    <t>Blanco con ventana</t>
  </si>
  <si>
    <t>Muro colores  sin ventana</t>
  </si>
  <si>
    <t>Muro blanco  sin ventana</t>
  </si>
  <si>
    <t>Blanco sin ventana</t>
  </si>
  <si>
    <t>AREA TOTAL</t>
  </si>
  <si>
    <t>Muro color blanco</t>
  </si>
  <si>
    <t>Antepecho colores</t>
  </si>
  <si>
    <t>Muro en piedra</t>
  </si>
  <si>
    <t>Antepecho balcones</t>
  </si>
  <si>
    <t>6a</t>
  </si>
  <si>
    <t>Lateral balcones en color</t>
  </si>
  <si>
    <t>Franja colores</t>
  </si>
  <si>
    <t>Franja negra</t>
  </si>
  <si>
    <t>Negro volumnen interior</t>
  </si>
  <si>
    <t>Franja colores interior</t>
  </si>
  <si>
    <t>7a</t>
  </si>
  <si>
    <t>Franja puertas-ventanas</t>
  </si>
  <si>
    <t>7b</t>
  </si>
  <si>
    <t>7c</t>
  </si>
  <si>
    <t>7d</t>
  </si>
  <si>
    <t>Volumen negro con puerta ventana</t>
  </si>
  <si>
    <t>Muro negro</t>
  </si>
  <si>
    <t>Balcón blanco</t>
  </si>
  <si>
    <t>Muro balcón blanco</t>
  </si>
  <si>
    <t>FACHADA FRONTAL</t>
  </si>
  <si>
    <t>FACHADA LATERAL IZQUIERDA</t>
  </si>
  <si>
    <t>FACHADA POSTERIOR</t>
  </si>
  <si>
    <t>Muro balcones blanco</t>
  </si>
  <si>
    <t>Muro balcones piedra</t>
  </si>
  <si>
    <t>Muro columna negro</t>
  </si>
  <si>
    <t>Muro ventana blanco</t>
  </si>
  <si>
    <t>Muro volumen negro</t>
  </si>
  <si>
    <t>Muro lateral volumen negro</t>
  </si>
  <si>
    <t>Muro franja colores</t>
  </si>
  <si>
    <t>Muro color negro</t>
  </si>
  <si>
    <t>Muro PV y ventana negro</t>
  </si>
  <si>
    <t>36a</t>
  </si>
  <si>
    <t>Muro blanco balcón</t>
  </si>
  <si>
    <t>Muro colores balcón</t>
  </si>
  <si>
    <t xml:space="preserve">Muro ventana y PV blanco </t>
  </si>
  <si>
    <t>Fachada frontal</t>
  </si>
  <si>
    <t>Area volumenes</t>
  </si>
  <si>
    <t>LATERAL DERECHO</t>
  </si>
  <si>
    <t>LATERAL IZQUIERDO</t>
  </si>
  <si>
    <t>Culata derecha</t>
  </si>
  <si>
    <t>Culata izquierda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</si>
</sst>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6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wis721 BT"/>
      <family val="2"/>
    </font>
    <font>
      <b/>
      <sz val="11"/>
      <color theme="1"/>
      <name val="Swis721 BT"/>
      <family val="2"/>
    </font>
    <font>
      <b/>
      <sz val="11"/>
      <color theme="0"/>
      <name val="Swis721 BT"/>
      <family val="2"/>
    </font>
    <font>
      <b/>
      <sz val="20"/>
      <color theme="0"/>
      <name val="Swis721 BT"/>
      <family val="2"/>
    </font>
    <font>
      <sz val="8"/>
      <name val="Calibri"/>
      <family val="2"/>
      <scheme val="minor"/>
    </font>
    <font>
      <b/>
      <sz val="11"/>
      <color rgb="FFC00000"/>
      <name val="Swis721 BT"/>
      <family val="2"/>
    </font>
    <font>
      <sz val="11"/>
      <color rgb="FF0070C0"/>
      <name val="Swis721 BT"/>
      <family val="2"/>
    </font>
    <font>
      <b/>
      <sz val="11"/>
      <color rgb="FF0070C0"/>
      <name val="Swis721 BT"/>
      <family val="2"/>
    </font>
    <font>
      <sz val="11"/>
      <color rgb="FFC00000"/>
      <name val="Swis721 BT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A86D"/>
        <bgColor indexed="64"/>
      </patternFill>
    </fill>
    <fill>
      <patternFill patternType="solid">
        <fgColor rgb="FF44768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indent="1"/>
    </xf>
    <xf numFmtId="2" fontId="9" fillId="4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</cellXfs>
  <cellStyles count="5">
    <cellStyle name="Millares 2" xfId="3" xr:uid="{00000000-0005-0000-0000-000001000000}"/>
    <cellStyle name="Moneda 2" xfId="2" xr:uid="{00000000-0005-0000-0000-000003000000}"/>
    <cellStyle name="Normal" xfId="0" builtinId="0"/>
    <cellStyle name="Normal 2" xfId="4" xr:uid="{00000000-0005-0000-0000-000005000000}"/>
    <cellStyle name="Normal 2 2 2" xfId="1" xr:uid="{00000000-0005-0000-0000-000006000000}"/>
  </cellStyles>
  <dxfs count="0"/>
  <tableStyles count="0" defaultTableStyle="TableStyleMedium2" defaultPivotStyle="PivotStyleLight16"/>
  <colors>
    <mruColors>
      <color rgb="FFFA9706"/>
      <color rgb="FFFF6600"/>
      <color rgb="FF447684"/>
      <color rgb="FFA7C9D2"/>
      <color rgb="FFEEEBEE"/>
      <color rgb="FFFA9760"/>
      <color rgb="FF64A0B0"/>
      <color rgb="FFFF7B89"/>
      <color rgb="FFFFA86D"/>
      <color rgb="FFBCB0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7C9D2"/>
  </sheetPr>
  <dimension ref="A1:T92"/>
  <sheetViews>
    <sheetView tabSelected="1" topLeftCell="A10" zoomScale="80" zoomScaleNormal="80" workbookViewId="0">
      <selection activeCell="O9" sqref="O9"/>
    </sheetView>
  </sheetViews>
  <sheetFormatPr baseColWidth="10" defaultColWidth="11.5546875" defaultRowHeight="13.8" x14ac:dyDescent="0.3"/>
  <cols>
    <col min="1" max="1" width="11.5546875" style="5"/>
    <col min="2" max="2" width="23.77734375" style="5" customWidth="1"/>
    <col min="3" max="3" width="11.5546875" style="5"/>
    <col min="4" max="4" width="34" style="1" customWidth="1"/>
    <col min="5" max="11" width="12.6640625" style="5" customWidth="1"/>
    <col min="12" max="12" width="19" style="5" customWidth="1"/>
    <col min="13" max="18" width="15.6640625" style="5" customWidth="1"/>
    <col min="19" max="20" width="12.6640625" style="1" customWidth="1"/>
    <col min="21" max="16384" width="11.5546875" style="1"/>
  </cols>
  <sheetData>
    <row r="1" spans="1:18" x14ac:dyDescent="0.3">
      <c r="N1" s="1"/>
      <c r="O1" s="1"/>
      <c r="P1" s="1"/>
      <c r="Q1" s="1"/>
      <c r="R1" s="1"/>
    </row>
    <row r="2" spans="1:18" ht="25.2" customHeight="1" x14ac:dyDescent="0.3">
      <c r="A2" s="15" t="s">
        <v>14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"/>
      <c r="O2" s="1"/>
      <c r="P2" s="1"/>
      <c r="Q2" s="1"/>
      <c r="R2" s="1"/>
    </row>
    <row r="3" spans="1:18" ht="19.95" customHeight="1" x14ac:dyDescent="0.3">
      <c r="A3" s="12"/>
      <c r="B3" s="12"/>
      <c r="C3" s="12"/>
      <c r="D3" s="13"/>
      <c r="E3" s="28" t="s">
        <v>1</v>
      </c>
      <c r="F3" s="28"/>
      <c r="G3" s="28"/>
      <c r="H3" s="29" t="s">
        <v>2</v>
      </c>
      <c r="I3" s="29"/>
      <c r="J3" s="29"/>
      <c r="K3" s="29"/>
      <c r="L3" s="12"/>
      <c r="M3" s="12"/>
      <c r="N3" s="1"/>
      <c r="O3" s="1"/>
      <c r="P3" s="1"/>
      <c r="Q3" s="1"/>
      <c r="R3" s="1"/>
    </row>
    <row r="4" spans="1:18" ht="34.950000000000003" customHeight="1" x14ac:dyDescent="0.3">
      <c r="A4" s="12"/>
      <c r="B4" s="12" t="s">
        <v>0</v>
      </c>
      <c r="C4" s="12" t="s">
        <v>3</v>
      </c>
      <c r="D4" s="12" t="s">
        <v>4</v>
      </c>
      <c r="E4" s="12" t="s">
        <v>5</v>
      </c>
      <c r="F4" s="12" t="s">
        <v>6</v>
      </c>
      <c r="G4" s="14" t="s">
        <v>7</v>
      </c>
      <c r="H4" s="23" t="s">
        <v>5</v>
      </c>
      <c r="I4" s="23" t="s">
        <v>6</v>
      </c>
      <c r="J4" s="23" t="s">
        <v>8</v>
      </c>
      <c r="K4" s="2" t="s">
        <v>7</v>
      </c>
      <c r="L4" s="14" t="s">
        <v>9</v>
      </c>
      <c r="M4" s="14" t="s">
        <v>11</v>
      </c>
      <c r="N4" s="1"/>
      <c r="O4" s="1"/>
      <c r="P4" s="1"/>
      <c r="Q4" s="1"/>
      <c r="R4" s="1"/>
    </row>
    <row r="5" spans="1:18" ht="19.95" customHeight="1" x14ac:dyDescent="0.3">
      <c r="A5" s="3"/>
      <c r="B5" s="3" t="s">
        <v>13</v>
      </c>
      <c r="C5" s="5">
        <v>1</v>
      </c>
      <c r="D5" s="1" t="s">
        <v>69</v>
      </c>
      <c r="E5" s="5">
        <v>11</v>
      </c>
      <c r="F5" s="5">
        <v>11.6</v>
      </c>
      <c r="G5" s="6">
        <f>E5*F5</f>
        <v>127.6</v>
      </c>
      <c r="H5" s="22">
        <v>2.4</v>
      </c>
      <c r="I5" s="22">
        <v>3.2</v>
      </c>
      <c r="J5" s="22">
        <v>1</v>
      </c>
      <c r="K5" s="21">
        <f>(H5*I5)*J5</f>
        <v>7.68</v>
      </c>
      <c r="L5" s="18">
        <f>((H5+I5)*2)*J5</f>
        <v>11.2</v>
      </c>
      <c r="M5" s="18">
        <f>(F5*2)*2.5</f>
        <v>58</v>
      </c>
      <c r="N5" s="1"/>
      <c r="O5" s="1"/>
      <c r="P5" s="1"/>
      <c r="Q5" s="1"/>
      <c r="R5" s="1"/>
    </row>
    <row r="6" spans="1:18" ht="19.95" customHeight="1" x14ac:dyDescent="0.3">
      <c r="A6" s="3"/>
      <c r="B6" s="4"/>
      <c r="G6" s="6"/>
      <c r="H6" s="22">
        <v>2.4</v>
      </c>
      <c r="I6" s="22">
        <v>2.8</v>
      </c>
      <c r="J6" s="22">
        <v>1</v>
      </c>
      <c r="K6" s="21">
        <f>(H6*I6)*J6</f>
        <v>6.72</v>
      </c>
      <c r="L6" s="18">
        <f t="shared" ref="L6:L14" si="0">((H6+I6)*2)*J6</f>
        <v>10.399999999999999</v>
      </c>
      <c r="M6" s="18"/>
      <c r="N6" s="1"/>
      <c r="O6" s="1"/>
      <c r="P6" s="1"/>
      <c r="Q6" s="1"/>
      <c r="R6" s="1"/>
    </row>
    <row r="7" spans="1:18" ht="19.95" customHeight="1" x14ac:dyDescent="0.3">
      <c r="A7" s="3"/>
      <c r="B7" s="4"/>
      <c r="G7" s="6"/>
      <c r="H7" s="22">
        <v>2.4</v>
      </c>
      <c r="I7" s="22">
        <v>3.9</v>
      </c>
      <c r="J7" s="22">
        <v>1</v>
      </c>
      <c r="K7" s="21">
        <f>(H7*I7)*J7</f>
        <v>9.36</v>
      </c>
      <c r="L7" s="18">
        <f t="shared" si="0"/>
        <v>12.6</v>
      </c>
      <c r="M7" s="18"/>
      <c r="N7" s="1"/>
      <c r="O7" s="1"/>
      <c r="P7" s="1"/>
      <c r="Q7" s="1"/>
      <c r="R7" s="1"/>
    </row>
    <row r="8" spans="1:18" ht="19.95" customHeight="1" x14ac:dyDescent="0.3">
      <c r="A8" s="3"/>
      <c r="B8" s="4"/>
      <c r="G8" s="6"/>
      <c r="H8" s="22">
        <v>2.8</v>
      </c>
      <c r="I8" s="22">
        <v>2.8</v>
      </c>
      <c r="J8" s="22">
        <v>5</v>
      </c>
      <c r="K8" s="21">
        <f>(H8*I8)*J8</f>
        <v>39.199999999999996</v>
      </c>
      <c r="L8" s="18">
        <f t="shared" si="0"/>
        <v>56</v>
      </c>
      <c r="M8" s="18"/>
      <c r="N8" s="1"/>
      <c r="O8" s="1"/>
      <c r="P8" s="1"/>
      <c r="Q8" s="1"/>
      <c r="R8" s="1"/>
    </row>
    <row r="9" spans="1:18" ht="19.95" customHeight="1" x14ac:dyDescent="0.3">
      <c r="B9" s="4"/>
      <c r="G9" s="6"/>
      <c r="H9" s="22">
        <v>2.8</v>
      </c>
      <c r="I9" s="22">
        <v>0.8</v>
      </c>
      <c r="J9" s="22">
        <v>3</v>
      </c>
      <c r="K9" s="21">
        <f>(H9*I9)*J9</f>
        <v>6.7199999999999989</v>
      </c>
      <c r="L9" s="18">
        <f t="shared" si="0"/>
        <v>21.599999999999998</v>
      </c>
      <c r="M9" s="18"/>
      <c r="N9" s="1"/>
      <c r="O9" s="1"/>
      <c r="P9" s="1"/>
      <c r="Q9" s="1"/>
      <c r="R9" s="1"/>
    </row>
    <row r="10" spans="1:18" ht="19.95" customHeight="1" x14ac:dyDescent="0.3">
      <c r="B10" s="3"/>
      <c r="C10" s="5">
        <v>2</v>
      </c>
      <c r="D10" s="1" t="s">
        <v>70</v>
      </c>
      <c r="E10" s="5">
        <v>2.5</v>
      </c>
      <c r="F10" s="5">
        <v>11.6</v>
      </c>
      <c r="G10" s="6">
        <f>F10*E10</f>
        <v>29</v>
      </c>
      <c r="H10" s="22"/>
      <c r="I10" s="21"/>
      <c r="J10" s="22"/>
      <c r="K10" s="21"/>
      <c r="L10" s="18"/>
      <c r="M10" s="18"/>
      <c r="N10" s="1"/>
      <c r="O10" s="1"/>
      <c r="P10" s="1"/>
      <c r="Q10" s="1"/>
      <c r="R10" s="1"/>
    </row>
    <row r="11" spans="1:18" ht="19.95" customHeight="1" x14ac:dyDescent="0.3">
      <c r="B11" s="3"/>
      <c r="E11" s="5">
        <v>6</v>
      </c>
      <c r="F11" s="5">
        <v>0.5</v>
      </c>
      <c r="G11" s="6">
        <f>E11*F11</f>
        <v>3</v>
      </c>
      <c r="H11" s="22"/>
      <c r="I11" s="22"/>
      <c r="J11" s="22"/>
      <c r="K11" s="21"/>
      <c r="L11" s="18"/>
      <c r="M11" s="18"/>
      <c r="N11" s="1"/>
      <c r="O11" s="1"/>
      <c r="P11" s="1"/>
      <c r="Q11" s="1"/>
      <c r="R11" s="1"/>
    </row>
    <row r="12" spans="1:18" ht="19.95" customHeight="1" x14ac:dyDescent="0.3">
      <c r="B12" s="3" t="s">
        <v>71</v>
      </c>
      <c r="C12" s="5">
        <v>3</v>
      </c>
      <c r="D12" s="1" t="s">
        <v>73</v>
      </c>
      <c r="E12" s="5">
        <v>11</v>
      </c>
      <c r="F12" s="5">
        <v>17.7</v>
      </c>
      <c r="G12" s="6">
        <f>E12*F12</f>
        <v>194.7</v>
      </c>
      <c r="H12" s="22">
        <v>2.8</v>
      </c>
      <c r="I12" s="22">
        <v>1</v>
      </c>
      <c r="J12" s="22">
        <v>2</v>
      </c>
      <c r="K12" s="21">
        <f t="shared" ref="K12:K13" si="1">(H12*I12)*J12</f>
        <v>5.6</v>
      </c>
      <c r="L12" s="18">
        <f t="shared" si="0"/>
        <v>15.2</v>
      </c>
      <c r="M12" s="18">
        <f>(F12*2)*6</f>
        <v>212.39999999999998</v>
      </c>
      <c r="N12" s="1"/>
      <c r="O12" s="1"/>
      <c r="P12" s="1"/>
      <c r="Q12" s="1"/>
      <c r="R12" s="1"/>
    </row>
    <row r="13" spans="1:18" ht="19.95" customHeight="1" x14ac:dyDescent="0.3">
      <c r="B13" s="3"/>
      <c r="G13" s="6"/>
      <c r="H13" s="22">
        <v>0.45</v>
      </c>
      <c r="I13" s="21">
        <v>0.45</v>
      </c>
      <c r="J13" s="22">
        <v>6</v>
      </c>
      <c r="K13" s="21">
        <f t="shared" si="1"/>
        <v>1.2150000000000001</v>
      </c>
      <c r="L13" s="18">
        <f t="shared" si="0"/>
        <v>10.8</v>
      </c>
      <c r="M13" s="18"/>
      <c r="N13" s="1"/>
      <c r="O13" s="1"/>
      <c r="P13" s="1"/>
      <c r="Q13" s="1"/>
      <c r="R13" s="1"/>
    </row>
    <row r="14" spans="1:18" ht="19.95" customHeight="1" x14ac:dyDescent="0.3">
      <c r="B14" s="3"/>
      <c r="G14" s="6"/>
      <c r="H14" s="22">
        <v>0.45</v>
      </c>
      <c r="I14" s="22">
        <v>1.5</v>
      </c>
      <c r="J14" s="22">
        <v>6</v>
      </c>
      <c r="K14" s="21">
        <f>(H14*I14)*J14</f>
        <v>4.0500000000000007</v>
      </c>
      <c r="L14" s="18">
        <f t="shared" si="0"/>
        <v>23.4</v>
      </c>
      <c r="M14" s="18"/>
      <c r="N14" s="1"/>
      <c r="O14" s="1"/>
      <c r="P14" s="1"/>
      <c r="Q14" s="1"/>
      <c r="R14" s="1"/>
    </row>
    <row r="15" spans="1:18" ht="19.95" customHeight="1" x14ac:dyDescent="0.3">
      <c r="B15" s="3" t="s">
        <v>72</v>
      </c>
      <c r="C15" s="5">
        <v>4</v>
      </c>
      <c r="D15" s="1" t="s">
        <v>74</v>
      </c>
      <c r="E15" s="5">
        <v>9.5</v>
      </c>
      <c r="F15" s="5">
        <v>17.7</v>
      </c>
      <c r="G15" s="6">
        <f>E15*F15</f>
        <v>168.15</v>
      </c>
      <c r="H15" s="22">
        <v>2.8</v>
      </c>
      <c r="I15" s="22">
        <v>1</v>
      </c>
      <c r="J15" s="22">
        <v>2</v>
      </c>
      <c r="K15" s="21">
        <f t="shared" ref="K15:K16" si="2">(H15*I15)*J15</f>
        <v>5.6</v>
      </c>
      <c r="L15" s="18">
        <f t="shared" ref="L15:L17" si="3">((H15+I15)*2)*J15</f>
        <v>15.2</v>
      </c>
      <c r="M15" s="18">
        <f>(F15*2)*5</f>
        <v>177</v>
      </c>
      <c r="N15" s="1"/>
      <c r="O15" s="1"/>
      <c r="P15" s="1"/>
      <c r="Q15" s="1"/>
      <c r="R15" s="1"/>
    </row>
    <row r="16" spans="1:18" ht="19.95" customHeight="1" x14ac:dyDescent="0.3">
      <c r="B16" s="3"/>
      <c r="G16" s="6"/>
      <c r="H16" s="22">
        <v>0.45</v>
      </c>
      <c r="I16" s="21">
        <v>0.45</v>
      </c>
      <c r="J16" s="22">
        <v>4</v>
      </c>
      <c r="K16" s="21">
        <f t="shared" si="2"/>
        <v>0.81</v>
      </c>
      <c r="L16" s="18">
        <f t="shared" si="3"/>
        <v>7.2</v>
      </c>
      <c r="M16" s="18"/>
      <c r="N16" s="1"/>
      <c r="O16" s="1"/>
      <c r="P16" s="1"/>
      <c r="Q16" s="1"/>
      <c r="R16" s="1"/>
    </row>
    <row r="17" spans="2:19" ht="19.95" customHeight="1" x14ac:dyDescent="0.3">
      <c r="B17" s="3"/>
      <c r="G17" s="6"/>
      <c r="H17" s="22">
        <v>0.45</v>
      </c>
      <c r="I17" s="22">
        <v>1.5</v>
      </c>
      <c r="J17" s="22">
        <v>4</v>
      </c>
      <c r="K17" s="21">
        <f>(H17*I17)*J17</f>
        <v>2.7</v>
      </c>
      <c r="L17" s="18">
        <f t="shared" si="3"/>
        <v>15.6</v>
      </c>
      <c r="M17" s="18"/>
      <c r="N17" s="1"/>
      <c r="O17" s="1"/>
      <c r="P17" s="1"/>
      <c r="Q17" s="1"/>
      <c r="R17" s="1"/>
    </row>
    <row r="18" spans="2:19" ht="19.95" customHeight="1" x14ac:dyDescent="0.3">
      <c r="B18" s="3" t="s">
        <v>10</v>
      </c>
      <c r="C18" s="5">
        <v>5</v>
      </c>
      <c r="D18" s="1" t="s">
        <v>69</v>
      </c>
      <c r="E18" s="5">
        <v>13.8</v>
      </c>
      <c r="F18" s="5">
        <v>11.6</v>
      </c>
      <c r="G18" s="6">
        <f>E18*F18</f>
        <v>160.08000000000001</v>
      </c>
      <c r="H18" s="22">
        <v>2.2999999999999998</v>
      </c>
      <c r="I18" s="22">
        <v>2.7</v>
      </c>
      <c r="J18" s="22">
        <v>1</v>
      </c>
      <c r="K18" s="21">
        <f>(H18*I18)*J18</f>
        <v>6.21</v>
      </c>
      <c r="L18" s="18">
        <f>((H18+I18)*2)*J18</f>
        <v>10</v>
      </c>
      <c r="M18" s="18">
        <f>(F18*2)*2.5</f>
        <v>58</v>
      </c>
      <c r="N18" s="1"/>
      <c r="O18" s="1"/>
      <c r="P18" s="1"/>
      <c r="Q18" s="1"/>
      <c r="R18" s="1"/>
    </row>
    <row r="19" spans="2:19" ht="19.95" customHeight="1" x14ac:dyDescent="0.3">
      <c r="B19" s="4"/>
      <c r="G19" s="6"/>
      <c r="H19" s="22">
        <v>2.2999999999999998</v>
      </c>
      <c r="I19" s="30">
        <v>5.0999999999999996</v>
      </c>
      <c r="J19" s="22">
        <v>1</v>
      </c>
      <c r="K19" s="21">
        <f>(H19*I19)*J19</f>
        <v>11.729999999999999</v>
      </c>
      <c r="L19" s="18">
        <f t="shared" ref="L19:L24" si="4">((H19+I19)*2)*J19</f>
        <v>14.799999999999999</v>
      </c>
      <c r="M19" s="18"/>
      <c r="N19" s="1"/>
      <c r="O19" s="1"/>
      <c r="P19" s="1"/>
      <c r="Q19" s="1"/>
      <c r="R19" s="1"/>
    </row>
    <row r="20" spans="2:19" ht="19.95" customHeight="1" x14ac:dyDescent="0.3">
      <c r="B20" s="4"/>
      <c r="G20" s="6"/>
      <c r="H20" s="22">
        <v>2.2999999999999998</v>
      </c>
      <c r="I20" s="30">
        <v>3.2</v>
      </c>
      <c r="J20" s="30">
        <v>4</v>
      </c>
      <c r="K20" s="21">
        <f>(H20*I20)*J20</f>
        <v>29.439999999999998</v>
      </c>
      <c r="L20" s="18">
        <f t="shared" si="4"/>
        <v>44</v>
      </c>
      <c r="M20" s="18"/>
      <c r="N20" s="1"/>
      <c r="O20" s="1"/>
      <c r="P20" s="1"/>
      <c r="Q20" s="1"/>
      <c r="R20" s="1"/>
    </row>
    <row r="21" spans="2:19" ht="19.95" customHeight="1" x14ac:dyDescent="0.3">
      <c r="B21" s="4"/>
      <c r="G21" s="6"/>
      <c r="H21" s="22">
        <v>2.2999999999999998</v>
      </c>
      <c r="I21" s="30">
        <v>4.5</v>
      </c>
      <c r="J21" s="22">
        <v>1</v>
      </c>
      <c r="K21" s="21">
        <f>(H21*I21)*J21</f>
        <v>10.35</v>
      </c>
      <c r="L21" s="18">
        <f t="shared" si="4"/>
        <v>13.6</v>
      </c>
      <c r="M21" s="18"/>
      <c r="N21" s="1"/>
      <c r="O21" s="1"/>
      <c r="P21" s="1"/>
      <c r="Q21" s="1"/>
      <c r="R21" s="1"/>
    </row>
    <row r="22" spans="2:19" ht="19.95" customHeight="1" x14ac:dyDescent="0.3">
      <c r="B22" s="4"/>
      <c r="G22" s="6"/>
      <c r="H22" s="22">
        <v>2.2999999999999998</v>
      </c>
      <c r="I22" s="30">
        <v>4</v>
      </c>
      <c r="J22" s="22">
        <v>1</v>
      </c>
      <c r="K22" s="21">
        <f>(H22*I22)*J22</f>
        <v>9.1999999999999993</v>
      </c>
      <c r="L22" s="18">
        <f t="shared" ref="L22" si="5">((H22+I22)*2)*J22</f>
        <v>12.6</v>
      </c>
      <c r="M22" s="18"/>
      <c r="N22" s="1"/>
      <c r="O22" s="1"/>
      <c r="P22" s="1"/>
      <c r="Q22" s="1"/>
      <c r="R22" s="1"/>
    </row>
    <row r="23" spans="2:19" ht="19.95" customHeight="1" x14ac:dyDescent="0.3">
      <c r="B23" s="4"/>
      <c r="G23" s="6"/>
      <c r="H23" s="22">
        <v>2.2999999999999998</v>
      </c>
      <c r="I23" s="30">
        <v>0.75</v>
      </c>
      <c r="J23" s="22">
        <v>1</v>
      </c>
      <c r="K23" s="21">
        <f>(H23*I23)*J23</f>
        <v>1.7249999999999999</v>
      </c>
      <c r="L23" s="18">
        <f t="shared" ref="L23" si="6">((H23+I23)*2)*J23</f>
        <v>6.1</v>
      </c>
      <c r="M23" s="18"/>
      <c r="N23" s="1"/>
      <c r="O23" s="1"/>
      <c r="P23" s="1"/>
      <c r="Q23" s="1"/>
      <c r="R23" s="1"/>
    </row>
    <row r="24" spans="2:19" ht="19.95" customHeight="1" x14ac:dyDescent="0.3">
      <c r="B24" s="4"/>
      <c r="G24" s="6"/>
      <c r="H24" s="22">
        <v>2.2999999999999998</v>
      </c>
      <c r="I24" s="30">
        <v>1.7</v>
      </c>
      <c r="J24" s="22">
        <v>1</v>
      </c>
      <c r="K24" s="21">
        <f>(H24*I24)*J24</f>
        <v>3.9099999999999997</v>
      </c>
      <c r="L24" s="18">
        <f t="shared" si="4"/>
        <v>8</v>
      </c>
      <c r="M24" s="18"/>
      <c r="N24" s="1"/>
      <c r="O24" s="1"/>
      <c r="P24" s="1"/>
      <c r="Q24" s="1"/>
      <c r="R24" s="1"/>
    </row>
    <row r="25" spans="2:19" ht="19.95" customHeight="1" x14ac:dyDescent="0.3">
      <c r="G25" s="6"/>
      <c r="H25" s="22"/>
      <c r="I25" s="22"/>
      <c r="J25" s="22"/>
      <c r="K25" s="17"/>
      <c r="L25" s="19"/>
      <c r="M25" s="19"/>
      <c r="N25" s="1"/>
      <c r="O25" s="1"/>
      <c r="P25" s="1"/>
      <c r="Q25" s="1"/>
      <c r="R25" s="1"/>
    </row>
    <row r="26" spans="2:19" ht="19.95" customHeight="1" x14ac:dyDescent="0.3">
      <c r="G26" s="6"/>
      <c r="H26" s="22"/>
      <c r="I26" s="22"/>
      <c r="J26" s="22"/>
      <c r="K26" s="17">
        <f>SUM(K5:K24)</f>
        <v>162.21999999999994</v>
      </c>
      <c r="L26" s="19">
        <f>SUM(L5:L24)</f>
        <v>308.30000000000007</v>
      </c>
      <c r="M26" s="19">
        <f>SUM(M5:M24)</f>
        <v>505.4</v>
      </c>
      <c r="N26" s="1"/>
      <c r="O26" s="1"/>
      <c r="P26" s="1"/>
      <c r="Q26" s="1"/>
      <c r="R26" s="1"/>
    </row>
    <row r="27" spans="2:19" ht="19.95" customHeight="1" x14ac:dyDescent="0.3">
      <c r="D27" s="13" t="s">
        <v>17</v>
      </c>
      <c r="E27" s="12"/>
      <c r="F27" s="20"/>
      <c r="G27" s="20">
        <f>SUM(G5:G26)</f>
        <v>682.53</v>
      </c>
      <c r="I27" s="16"/>
      <c r="J27" s="25" t="s">
        <v>16</v>
      </c>
      <c r="K27" s="24"/>
      <c r="L27" s="12"/>
      <c r="M27" s="12"/>
      <c r="N27" s="12">
        <v>520.31000000000006</v>
      </c>
      <c r="O27" s="1"/>
      <c r="P27" s="1"/>
      <c r="Q27" s="1"/>
      <c r="R27" s="1"/>
    </row>
    <row r="28" spans="2:19" ht="19.95" customHeight="1" x14ac:dyDescent="0.3">
      <c r="H28" s="6">
        <f>G27-K26</f>
        <v>520.31000000000006</v>
      </c>
      <c r="N28" s="9"/>
      <c r="O28" s="1"/>
      <c r="P28" s="1"/>
      <c r="Q28" s="1"/>
      <c r="R28" s="1"/>
    </row>
    <row r="29" spans="2:19" ht="19.95" customHeight="1" x14ac:dyDescent="0.3">
      <c r="S29" s="9"/>
    </row>
    <row r="30" spans="2:19" ht="19.95" customHeight="1" x14ac:dyDescent="0.3">
      <c r="K30" s="9"/>
      <c r="L30" s="1"/>
      <c r="M30" s="1"/>
      <c r="N30" s="1"/>
      <c r="O30" s="1"/>
      <c r="P30" s="1"/>
      <c r="Q30" s="1"/>
      <c r="R30" s="1"/>
    </row>
    <row r="31" spans="2:19" ht="19.95" customHeight="1" x14ac:dyDescent="0.3">
      <c r="K31" s="1"/>
      <c r="L31" s="1"/>
      <c r="M31" s="1"/>
      <c r="N31" s="1"/>
      <c r="O31" s="1"/>
      <c r="P31" s="1"/>
      <c r="Q31" s="1"/>
      <c r="R31" s="1"/>
    </row>
    <row r="32" spans="2:19" ht="19.95" customHeight="1" x14ac:dyDescent="0.3">
      <c r="K32" s="10"/>
      <c r="L32" s="1"/>
      <c r="M32" s="1"/>
      <c r="N32" s="1"/>
      <c r="O32" s="1"/>
      <c r="P32" s="1"/>
      <c r="Q32" s="1"/>
      <c r="R32" s="1"/>
    </row>
    <row r="33" spans="19:20" ht="19.95" customHeight="1" x14ac:dyDescent="0.3">
      <c r="S33" s="10"/>
    </row>
    <row r="34" spans="19:20" ht="19.95" customHeight="1" x14ac:dyDescent="0.3">
      <c r="S34" s="10"/>
    </row>
    <row r="35" spans="19:20" ht="19.95" customHeight="1" x14ac:dyDescent="0.3"/>
    <row r="36" spans="19:20" ht="19.95" customHeight="1" x14ac:dyDescent="0.3">
      <c r="S36" s="7"/>
      <c r="T36" s="7"/>
    </row>
    <row r="37" spans="19:20" ht="19.95" customHeight="1" x14ac:dyDescent="0.3"/>
    <row r="38" spans="19:20" ht="19.95" customHeight="1" x14ac:dyDescent="0.3"/>
    <row r="39" spans="19:20" ht="19.95" customHeight="1" x14ac:dyDescent="0.3"/>
    <row r="40" spans="19:20" ht="19.95" customHeight="1" x14ac:dyDescent="0.3"/>
    <row r="41" spans="19:20" ht="19.95" customHeight="1" x14ac:dyDescent="0.3"/>
    <row r="42" spans="19:20" ht="19.95" customHeight="1" x14ac:dyDescent="0.3"/>
    <row r="43" spans="19:20" ht="19.95" customHeight="1" x14ac:dyDescent="0.3"/>
    <row r="44" spans="19:20" ht="19.95" customHeight="1" x14ac:dyDescent="0.3"/>
    <row r="45" spans="19:20" ht="19.95" customHeight="1" x14ac:dyDescent="0.3"/>
    <row r="46" spans="19:20" ht="19.95" customHeight="1" x14ac:dyDescent="0.3"/>
    <row r="47" spans="19:20" ht="19.95" customHeight="1" x14ac:dyDescent="0.3"/>
    <row r="48" spans="19:20" ht="19.95" customHeight="1" x14ac:dyDescent="0.3"/>
    <row r="49" ht="19.95" customHeight="1" x14ac:dyDescent="0.3"/>
    <row r="50" ht="19.95" customHeight="1" x14ac:dyDescent="0.3"/>
    <row r="51" ht="19.95" customHeight="1" x14ac:dyDescent="0.3"/>
    <row r="52" ht="19.95" customHeight="1" x14ac:dyDescent="0.3"/>
    <row r="53" ht="19.95" customHeight="1" x14ac:dyDescent="0.3"/>
    <row r="54" ht="19.95" customHeight="1" x14ac:dyDescent="0.3"/>
    <row r="55" ht="19.95" customHeight="1" x14ac:dyDescent="0.3"/>
    <row r="56" ht="19.95" customHeight="1" x14ac:dyDescent="0.3"/>
    <row r="57" ht="19.95" customHeight="1" x14ac:dyDescent="0.3"/>
    <row r="58" ht="19.95" customHeight="1" x14ac:dyDescent="0.3"/>
    <row r="59" ht="19.95" customHeight="1" x14ac:dyDescent="0.3"/>
    <row r="60" ht="19.95" customHeight="1" x14ac:dyDescent="0.3"/>
    <row r="61" ht="19.95" customHeight="1" x14ac:dyDescent="0.3"/>
    <row r="62" ht="19.95" customHeight="1" x14ac:dyDescent="0.3"/>
    <row r="63" ht="19.95" customHeight="1" x14ac:dyDescent="0.3"/>
    <row r="64" ht="19.95" customHeight="1" x14ac:dyDescent="0.3"/>
    <row r="65" spans="19:20" ht="19.95" customHeight="1" x14ac:dyDescent="0.3"/>
    <row r="66" spans="19:20" ht="19.95" customHeight="1" x14ac:dyDescent="0.3"/>
    <row r="67" spans="19:20" ht="19.95" customHeight="1" x14ac:dyDescent="0.3"/>
    <row r="68" spans="19:20" ht="19.95" customHeight="1" x14ac:dyDescent="0.3"/>
    <row r="69" spans="19:20" ht="19.95" customHeight="1" x14ac:dyDescent="0.3"/>
    <row r="70" spans="19:20" ht="19.95" customHeight="1" x14ac:dyDescent="0.3"/>
    <row r="71" spans="19:20" ht="19.95" customHeight="1" x14ac:dyDescent="0.3"/>
    <row r="72" spans="19:20" ht="19.95" customHeight="1" x14ac:dyDescent="0.3"/>
    <row r="73" spans="19:20" ht="19.95" customHeight="1" x14ac:dyDescent="0.3">
      <c r="S73" s="7"/>
      <c r="T73" s="7"/>
    </row>
    <row r="74" spans="19:20" ht="19.95" customHeight="1" x14ac:dyDescent="0.3"/>
    <row r="75" spans="19:20" ht="19.95" customHeight="1" x14ac:dyDescent="0.3"/>
    <row r="76" spans="19:20" ht="19.95" customHeight="1" x14ac:dyDescent="0.3"/>
    <row r="77" spans="19:20" ht="19.95" customHeight="1" x14ac:dyDescent="0.3"/>
    <row r="78" spans="19:20" ht="19.95" customHeight="1" x14ac:dyDescent="0.3"/>
    <row r="79" spans="19:20" ht="19.95" customHeight="1" x14ac:dyDescent="0.3"/>
    <row r="80" spans="19:20" ht="19.95" customHeight="1" x14ac:dyDescent="0.3"/>
    <row r="81" ht="19.95" customHeight="1" x14ac:dyDescent="0.3"/>
    <row r="82" ht="19.95" customHeight="1" x14ac:dyDescent="0.3"/>
    <row r="83" ht="19.95" customHeight="1" x14ac:dyDescent="0.3"/>
    <row r="84" ht="19.95" customHeight="1" x14ac:dyDescent="0.3"/>
    <row r="85" ht="19.95" customHeight="1" x14ac:dyDescent="0.3"/>
    <row r="86" ht="19.95" customHeight="1" x14ac:dyDescent="0.3"/>
    <row r="87" ht="19.95" customHeight="1" x14ac:dyDescent="0.3"/>
    <row r="88" ht="19.95" customHeight="1" x14ac:dyDescent="0.3"/>
    <row r="89" ht="19.95" customHeight="1" x14ac:dyDescent="0.3"/>
    <row r="90" ht="19.95" customHeight="1" x14ac:dyDescent="0.3"/>
    <row r="91" ht="19.95" customHeight="1" x14ac:dyDescent="0.3"/>
    <row r="92" ht="19.95" customHeight="1" x14ac:dyDescent="0.3"/>
  </sheetData>
  <autoFilter ref="D4:R24" xr:uid="{00000000-0009-0000-0000-000006000000}"/>
  <mergeCells count="2">
    <mergeCell ref="E3:G3"/>
    <mergeCell ref="H3:K3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</sheetPr>
  <dimension ref="A2:T75"/>
  <sheetViews>
    <sheetView zoomScale="80" zoomScaleNormal="80" workbookViewId="0">
      <selection activeCell="G6" sqref="G6"/>
    </sheetView>
  </sheetViews>
  <sheetFormatPr baseColWidth="10" defaultColWidth="11.5546875" defaultRowHeight="13.8" x14ac:dyDescent="0.3"/>
  <cols>
    <col min="1" max="1" width="6.44140625" style="5" customWidth="1"/>
    <col min="2" max="2" width="21.5546875" style="5" customWidth="1"/>
    <col min="3" max="3" width="11.5546875" style="5"/>
    <col min="4" max="4" width="37.6640625" style="1" customWidth="1"/>
    <col min="5" max="11" width="12.6640625" style="5" customWidth="1"/>
    <col min="12" max="19" width="15.6640625" style="5" customWidth="1"/>
    <col min="20" max="21" width="12.6640625" style="1" customWidth="1"/>
    <col min="22" max="16384" width="11.5546875" style="1"/>
  </cols>
  <sheetData>
    <row r="2" spans="1:20" ht="25.2" customHeight="1" x14ac:dyDescent="0.3">
      <c r="A2" s="27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11"/>
    </row>
    <row r="3" spans="1:20" ht="19.95" customHeight="1" x14ac:dyDescent="0.3">
      <c r="A3" s="12"/>
      <c r="B3" s="12"/>
      <c r="C3" s="12"/>
      <c r="D3" s="13"/>
      <c r="E3" s="28" t="s">
        <v>1</v>
      </c>
      <c r="F3" s="28"/>
      <c r="G3" s="28"/>
      <c r="H3" s="29" t="s">
        <v>2</v>
      </c>
      <c r="I3" s="29"/>
      <c r="J3" s="29"/>
      <c r="K3" s="29"/>
      <c r="L3" s="12"/>
      <c r="M3" s="12"/>
      <c r="N3" s="12"/>
      <c r="O3" s="12"/>
      <c r="P3" s="12"/>
      <c r="Q3" s="12"/>
      <c r="R3" s="12"/>
      <c r="S3" s="12"/>
    </row>
    <row r="4" spans="1:20" ht="34.950000000000003" customHeight="1" x14ac:dyDescent="0.3">
      <c r="A4" s="12" t="s">
        <v>12</v>
      </c>
      <c r="B4" s="12" t="s">
        <v>0</v>
      </c>
      <c r="C4" s="12" t="s">
        <v>3</v>
      </c>
      <c r="D4" s="12" t="s">
        <v>4</v>
      </c>
      <c r="E4" s="12" t="s">
        <v>5</v>
      </c>
      <c r="F4" s="12" t="s">
        <v>6</v>
      </c>
      <c r="G4" s="14" t="s">
        <v>7</v>
      </c>
      <c r="H4" s="23" t="s">
        <v>5</v>
      </c>
      <c r="I4" s="23" t="s">
        <v>6</v>
      </c>
      <c r="J4" s="23" t="s">
        <v>8</v>
      </c>
      <c r="K4" s="2" t="s">
        <v>7</v>
      </c>
      <c r="L4" s="14" t="s">
        <v>9</v>
      </c>
      <c r="M4" s="14" t="s">
        <v>11</v>
      </c>
      <c r="N4" s="14" t="s">
        <v>33</v>
      </c>
      <c r="O4" s="14" t="s">
        <v>18</v>
      </c>
      <c r="P4" s="14" t="s">
        <v>19</v>
      </c>
      <c r="Q4" s="14" t="s">
        <v>20</v>
      </c>
      <c r="R4" s="14" t="s">
        <v>15</v>
      </c>
      <c r="S4" s="14" t="s">
        <v>23</v>
      </c>
      <c r="T4" s="7"/>
    </row>
    <row r="5" spans="1:20" ht="19.95" customHeight="1" x14ac:dyDescent="0.3">
      <c r="A5" s="3">
        <v>1</v>
      </c>
      <c r="B5" s="4" t="s">
        <v>24</v>
      </c>
      <c r="C5" s="5">
        <v>1</v>
      </c>
      <c r="D5" s="1" t="s">
        <v>31</v>
      </c>
      <c r="E5" s="5">
        <f>+(3*3)+1.5</f>
        <v>10.5</v>
      </c>
      <c r="F5" s="5">
        <v>4.63</v>
      </c>
      <c r="G5" s="6">
        <f>E5*F5</f>
        <v>48.615000000000002</v>
      </c>
      <c r="I5" s="18"/>
      <c r="J5" s="18"/>
      <c r="K5" s="21"/>
      <c r="L5" s="18">
        <f>((H5+I5)*2)*J5</f>
        <v>0</v>
      </c>
      <c r="M5" s="18">
        <f>(F5*2)*7</f>
        <v>64.819999999999993</v>
      </c>
      <c r="N5" s="18">
        <f t="shared" ref="N5:N14" si="0">G5-K5</f>
        <v>48.615000000000002</v>
      </c>
      <c r="O5" s="6">
        <f>+N5</f>
        <v>48.615000000000002</v>
      </c>
      <c r="P5" s="6"/>
      <c r="Q5" s="6"/>
      <c r="R5" s="6"/>
      <c r="S5" s="6"/>
      <c r="T5" s="7"/>
    </row>
    <row r="6" spans="1:20" ht="19.95" customHeight="1" x14ac:dyDescent="0.3">
      <c r="A6" s="3"/>
      <c r="B6" s="4"/>
      <c r="D6" s="1" t="s">
        <v>30</v>
      </c>
      <c r="E6" s="5">
        <f>3*7</f>
        <v>21</v>
      </c>
      <c r="F6" s="5">
        <v>4.63</v>
      </c>
      <c r="G6" s="6">
        <f t="shared" ref="G6:G10" si="1">E6*F6</f>
        <v>97.23</v>
      </c>
      <c r="H6" s="22"/>
      <c r="I6" s="22"/>
      <c r="J6" s="22"/>
      <c r="K6" s="21"/>
      <c r="L6" s="18">
        <f t="shared" ref="L6:L7" si="2">((H6+I6)*2)*J6</f>
        <v>0</v>
      </c>
      <c r="M6" s="18">
        <f t="shared" ref="M6:M7" si="3">(F6*2)*7</f>
        <v>64.819999999999993</v>
      </c>
      <c r="N6" s="18">
        <f t="shared" si="0"/>
        <v>97.23</v>
      </c>
      <c r="O6" s="6"/>
      <c r="P6" s="6">
        <f>+N6</f>
        <v>97.23</v>
      </c>
      <c r="Q6" s="6"/>
      <c r="R6" s="6"/>
      <c r="S6" s="6"/>
      <c r="T6" s="7"/>
    </row>
    <row r="7" spans="1:20" ht="19.95" customHeight="1" x14ac:dyDescent="0.3">
      <c r="A7" s="3"/>
      <c r="B7" s="4"/>
      <c r="C7" s="5">
        <v>2</v>
      </c>
      <c r="D7" s="1" t="s">
        <v>29</v>
      </c>
      <c r="E7" s="5">
        <f>3*10+1.5</f>
        <v>31.5</v>
      </c>
      <c r="F7" s="5">
        <v>0.66</v>
      </c>
      <c r="G7" s="6">
        <f t="shared" si="1"/>
        <v>20.790000000000003</v>
      </c>
      <c r="H7" s="22">
        <v>1.27</v>
      </c>
      <c r="I7" s="22">
        <v>0.46500000000000002</v>
      </c>
      <c r="J7" s="22">
        <v>10</v>
      </c>
      <c r="K7" s="21">
        <f>(H7*I7)*J7</f>
        <v>5.9055</v>
      </c>
      <c r="L7" s="18">
        <f t="shared" si="2"/>
        <v>34.700000000000003</v>
      </c>
      <c r="M7" s="18">
        <f t="shared" si="3"/>
        <v>9.24</v>
      </c>
      <c r="N7" s="18">
        <f>G7-K7</f>
        <v>14.884500000000003</v>
      </c>
      <c r="O7" s="6">
        <f>+N7</f>
        <v>14.884500000000003</v>
      </c>
      <c r="P7" s="6"/>
      <c r="Q7" s="6"/>
      <c r="R7" s="6"/>
      <c r="S7" s="6"/>
      <c r="T7" s="7"/>
    </row>
    <row r="8" spans="1:20" ht="19.95" customHeight="1" x14ac:dyDescent="0.3">
      <c r="B8" s="4"/>
      <c r="C8" s="5">
        <v>3</v>
      </c>
      <c r="D8" s="1" t="s">
        <v>32</v>
      </c>
      <c r="E8" s="5">
        <f>30+1.5</f>
        <v>31.5</v>
      </c>
      <c r="F8" s="5">
        <v>1.66</v>
      </c>
      <c r="G8" s="6">
        <f t="shared" si="1"/>
        <v>52.29</v>
      </c>
      <c r="H8" s="22"/>
      <c r="I8" s="22"/>
      <c r="J8" s="22"/>
      <c r="K8" s="21"/>
      <c r="L8" s="18">
        <f t="shared" ref="L8" si="4">((H8+I8)*2)*J8</f>
        <v>0</v>
      </c>
      <c r="M8" s="18">
        <f t="shared" ref="M8" si="5">(F8*2)*7</f>
        <v>23.24</v>
      </c>
      <c r="N8" s="18">
        <f t="shared" si="0"/>
        <v>52.29</v>
      </c>
      <c r="O8" s="6">
        <f>+N8</f>
        <v>52.29</v>
      </c>
      <c r="P8" s="6"/>
      <c r="Q8" s="6"/>
      <c r="R8" s="6"/>
      <c r="S8" s="6"/>
      <c r="T8" s="7"/>
    </row>
    <row r="9" spans="1:20" ht="19.95" customHeight="1" x14ac:dyDescent="0.3">
      <c r="B9" s="3"/>
      <c r="C9" s="5">
        <v>4</v>
      </c>
      <c r="D9" s="1" t="s">
        <v>32</v>
      </c>
      <c r="E9" s="5">
        <f>30+1.5</f>
        <v>31.5</v>
      </c>
      <c r="F9" s="5">
        <v>0.69</v>
      </c>
      <c r="G9" s="6">
        <f t="shared" si="1"/>
        <v>21.734999999999999</v>
      </c>
      <c r="H9" s="22"/>
      <c r="I9" s="21"/>
      <c r="J9" s="22"/>
      <c r="K9" s="21"/>
      <c r="L9" s="18">
        <f t="shared" ref="L9:L14" si="6">((H9+I9)*2)*J9</f>
        <v>0</v>
      </c>
      <c r="M9" s="18">
        <f t="shared" ref="M9:M14" si="7">(F9*2)*7</f>
        <v>9.66</v>
      </c>
      <c r="N9" s="18">
        <f t="shared" si="0"/>
        <v>21.734999999999999</v>
      </c>
      <c r="O9" s="6">
        <f>+N9</f>
        <v>21.734999999999999</v>
      </c>
      <c r="P9" s="6"/>
      <c r="Q9" s="6"/>
      <c r="R9" s="6"/>
    </row>
    <row r="10" spans="1:20" ht="19.95" customHeight="1" x14ac:dyDescent="0.3">
      <c r="B10" s="3"/>
      <c r="C10" s="5">
        <v>5</v>
      </c>
      <c r="D10" s="1" t="s">
        <v>25</v>
      </c>
      <c r="E10" s="5">
        <f>30+1.5</f>
        <v>31.5</v>
      </c>
      <c r="F10" s="5">
        <f>14.14-4.63</f>
        <v>9.5100000000000016</v>
      </c>
      <c r="G10" s="6">
        <f t="shared" si="1"/>
        <v>299.56500000000005</v>
      </c>
      <c r="H10" s="22">
        <v>1.55</v>
      </c>
      <c r="I10" s="22">
        <v>2.58</v>
      </c>
      <c r="J10" s="22">
        <v>10</v>
      </c>
      <c r="K10" s="21">
        <f>(H10*I10)*J10</f>
        <v>39.99</v>
      </c>
      <c r="L10" s="18">
        <f t="shared" si="6"/>
        <v>82.6</v>
      </c>
      <c r="M10" s="18">
        <f t="shared" si="7"/>
        <v>133.14000000000001</v>
      </c>
      <c r="N10" s="18">
        <f>G10-K10-K11-K12</f>
        <v>232.59500000000003</v>
      </c>
      <c r="O10" s="6">
        <f>+N10</f>
        <v>232.59500000000003</v>
      </c>
      <c r="P10" s="6"/>
      <c r="Q10" s="6"/>
      <c r="R10" s="6"/>
      <c r="S10" s="6"/>
      <c r="T10" s="7"/>
    </row>
    <row r="11" spans="1:20" ht="19.95" customHeight="1" x14ac:dyDescent="0.3">
      <c r="B11" s="3"/>
      <c r="G11" s="6"/>
      <c r="H11" s="22">
        <v>1.55</v>
      </c>
      <c r="I11" s="22">
        <v>1.33</v>
      </c>
      <c r="J11" s="22">
        <v>10</v>
      </c>
      <c r="K11" s="21">
        <f t="shared" ref="K11:K12" si="8">(H11*I11)*J11</f>
        <v>20.615000000000002</v>
      </c>
      <c r="L11" s="18">
        <f t="shared" si="6"/>
        <v>57.599999999999994</v>
      </c>
      <c r="M11" s="18">
        <f t="shared" si="7"/>
        <v>0</v>
      </c>
      <c r="N11" s="18"/>
      <c r="P11" s="6"/>
      <c r="Q11" s="6"/>
      <c r="R11" s="6"/>
      <c r="S11" s="6"/>
      <c r="T11" s="7"/>
    </row>
    <row r="12" spans="1:20" ht="19.95" customHeight="1" x14ac:dyDescent="0.3">
      <c r="B12" s="3"/>
      <c r="G12" s="6"/>
      <c r="H12" s="22">
        <v>0.67</v>
      </c>
      <c r="I12" s="22">
        <v>0.95</v>
      </c>
      <c r="J12" s="22">
        <v>10</v>
      </c>
      <c r="K12" s="21">
        <f t="shared" si="8"/>
        <v>6.3649999999999993</v>
      </c>
      <c r="L12" s="18">
        <f t="shared" si="6"/>
        <v>32.400000000000006</v>
      </c>
      <c r="M12" s="18">
        <f t="shared" si="7"/>
        <v>0</v>
      </c>
      <c r="N12" s="18"/>
      <c r="P12" s="6"/>
      <c r="Q12" s="6"/>
      <c r="R12" s="6"/>
      <c r="S12" s="6"/>
      <c r="T12" s="7"/>
    </row>
    <row r="13" spans="1:20" ht="19.95" customHeight="1" x14ac:dyDescent="0.3">
      <c r="B13" s="3"/>
      <c r="D13" s="1" t="s">
        <v>28</v>
      </c>
      <c r="E13" s="5">
        <f>3*7</f>
        <v>21</v>
      </c>
      <c r="F13" s="5">
        <v>4.63</v>
      </c>
      <c r="G13" s="6">
        <f t="shared" ref="G13:G19" si="9">E13*F13</f>
        <v>97.23</v>
      </c>
      <c r="H13" s="22"/>
      <c r="I13" s="22"/>
      <c r="J13" s="22"/>
      <c r="K13" s="21"/>
      <c r="L13" s="18">
        <f t="shared" si="6"/>
        <v>0</v>
      </c>
      <c r="M13" s="18">
        <f t="shared" si="7"/>
        <v>64.819999999999993</v>
      </c>
      <c r="N13" s="18">
        <f t="shared" si="0"/>
        <v>97.23</v>
      </c>
      <c r="O13" s="6">
        <f>+N13</f>
        <v>97.23</v>
      </c>
      <c r="P13" s="6"/>
      <c r="Q13" s="6"/>
      <c r="R13" s="6"/>
      <c r="S13" s="6"/>
      <c r="T13" s="7"/>
    </row>
    <row r="14" spans="1:20" ht="19.95" customHeight="1" x14ac:dyDescent="0.3">
      <c r="B14" s="3"/>
      <c r="D14" s="1" t="s">
        <v>26</v>
      </c>
      <c r="E14" s="5">
        <f>3*3</f>
        <v>9</v>
      </c>
      <c r="F14" s="5">
        <v>4.63</v>
      </c>
      <c r="G14" s="6">
        <f t="shared" si="9"/>
        <v>41.67</v>
      </c>
      <c r="H14" s="22"/>
      <c r="I14" s="22"/>
      <c r="J14" s="22"/>
      <c r="K14" s="21"/>
      <c r="L14" s="18">
        <f t="shared" si="6"/>
        <v>0</v>
      </c>
      <c r="M14" s="18">
        <f t="shared" si="7"/>
        <v>64.819999999999993</v>
      </c>
      <c r="N14" s="18">
        <f t="shared" si="0"/>
        <v>41.67</v>
      </c>
      <c r="O14" s="6"/>
      <c r="P14" s="6"/>
      <c r="Q14" s="6"/>
      <c r="R14" s="6">
        <f>+N14</f>
        <v>41.67</v>
      </c>
      <c r="S14" s="6"/>
      <c r="T14" s="7"/>
    </row>
    <row r="15" spans="1:20" ht="19.95" customHeight="1" x14ac:dyDescent="0.3">
      <c r="B15" s="3"/>
      <c r="D15" s="1" t="s">
        <v>27</v>
      </c>
      <c r="E15" s="5">
        <v>1.5</v>
      </c>
      <c r="F15" s="5">
        <v>4.63</v>
      </c>
      <c r="G15" s="6">
        <f t="shared" si="9"/>
        <v>6.9450000000000003</v>
      </c>
      <c r="H15" s="22"/>
      <c r="I15" s="22"/>
      <c r="J15" s="22"/>
      <c r="K15" s="17"/>
      <c r="L15" s="18">
        <f t="shared" ref="L15:L58" si="10">((H15+I15)*2)*J15</f>
        <v>0</v>
      </c>
      <c r="M15" s="18">
        <f t="shared" ref="M15:M58" si="11">(F15*2)*7</f>
        <v>64.819999999999993</v>
      </c>
      <c r="N15" s="18">
        <f t="shared" ref="N15:N58" si="12">G15-K15</f>
        <v>6.9450000000000003</v>
      </c>
      <c r="O15" s="6"/>
      <c r="P15" s="6">
        <f>+N15</f>
        <v>6.9450000000000003</v>
      </c>
      <c r="Q15" s="6"/>
      <c r="R15" s="6"/>
      <c r="S15" s="6"/>
      <c r="T15" s="7"/>
    </row>
    <row r="16" spans="1:20" ht="19.95" customHeight="1" x14ac:dyDescent="0.3">
      <c r="A16" s="5">
        <v>1</v>
      </c>
      <c r="B16" s="4" t="s">
        <v>53</v>
      </c>
      <c r="C16" s="5">
        <v>6</v>
      </c>
      <c r="D16" s="1" t="s">
        <v>34</v>
      </c>
      <c r="E16" s="5">
        <f>3*7</f>
        <v>21</v>
      </c>
      <c r="F16" s="5">
        <v>2.3199999999999998</v>
      </c>
      <c r="G16" s="6">
        <f t="shared" si="9"/>
        <v>48.72</v>
      </c>
      <c r="H16" s="22"/>
      <c r="I16" s="22"/>
      <c r="J16" s="22"/>
      <c r="K16" s="21"/>
      <c r="L16" s="18">
        <f t="shared" si="10"/>
        <v>0</v>
      </c>
      <c r="M16" s="18">
        <f t="shared" si="11"/>
        <v>32.479999999999997</v>
      </c>
      <c r="N16" s="18">
        <f t="shared" si="12"/>
        <v>48.72</v>
      </c>
      <c r="P16" s="6"/>
      <c r="Q16" s="6"/>
      <c r="R16" s="6"/>
      <c r="S16" s="6"/>
      <c r="T16" s="7"/>
    </row>
    <row r="17" spans="2:20" ht="19.95" customHeight="1" x14ac:dyDescent="0.3">
      <c r="B17" s="3"/>
      <c r="D17" s="1" t="s">
        <v>35</v>
      </c>
      <c r="E17" s="5">
        <v>1.5</v>
      </c>
      <c r="F17" s="5">
        <v>2.3199999999999998</v>
      </c>
      <c r="G17" s="6">
        <f t="shared" si="9"/>
        <v>3.4799999999999995</v>
      </c>
      <c r="H17" s="22"/>
      <c r="I17" s="22"/>
      <c r="J17" s="22"/>
      <c r="K17" s="21"/>
      <c r="L17" s="18">
        <f t="shared" si="10"/>
        <v>0</v>
      </c>
      <c r="M17" s="18">
        <f t="shared" si="11"/>
        <v>32.479999999999997</v>
      </c>
      <c r="N17" s="18">
        <f t="shared" si="12"/>
        <v>3.4799999999999995</v>
      </c>
      <c r="P17" s="6"/>
      <c r="Q17" s="6"/>
      <c r="R17" s="6"/>
      <c r="S17" s="6"/>
      <c r="T17" s="7"/>
    </row>
    <row r="18" spans="2:20" ht="19.95" customHeight="1" x14ac:dyDescent="0.3">
      <c r="B18" s="3"/>
      <c r="D18" s="1" t="s">
        <v>36</v>
      </c>
      <c r="E18" s="5">
        <f>3*3</f>
        <v>9</v>
      </c>
      <c r="F18" s="5">
        <v>2.3199999999999998</v>
      </c>
      <c r="G18" s="6">
        <f t="shared" si="9"/>
        <v>20.88</v>
      </c>
      <c r="H18" s="22"/>
      <c r="I18" s="22"/>
      <c r="J18" s="22"/>
      <c r="K18" s="21"/>
      <c r="L18" s="18">
        <f t="shared" si="10"/>
        <v>0</v>
      </c>
      <c r="M18" s="18">
        <f t="shared" si="11"/>
        <v>32.479999999999997</v>
      </c>
      <c r="N18" s="18">
        <f t="shared" si="12"/>
        <v>20.88</v>
      </c>
      <c r="P18" s="6"/>
      <c r="Q18" s="6"/>
      <c r="R18" s="6"/>
      <c r="S18" s="6"/>
      <c r="T18" s="7"/>
    </row>
    <row r="19" spans="2:20" ht="19.95" customHeight="1" x14ac:dyDescent="0.3">
      <c r="B19" s="3"/>
      <c r="D19" s="1" t="s">
        <v>37</v>
      </c>
      <c r="E19" s="5">
        <v>0.8</v>
      </c>
      <c r="F19" s="5">
        <v>5</v>
      </c>
      <c r="G19" s="6">
        <f t="shared" si="9"/>
        <v>4</v>
      </c>
      <c r="H19" s="22"/>
      <c r="I19" s="22"/>
      <c r="J19" s="22"/>
      <c r="K19" s="21"/>
      <c r="L19" s="18">
        <f t="shared" si="10"/>
        <v>0</v>
      </c>
      <c r="M19" s="18">
        <f t="shared" si="11"/>
        <v>70</v>
      </c>
      <c r="N19" s="18">
        <f t="shared" si="12"/>
        <v>4</v>
      </c>
      <c r="P19" s="6"/>
      <c r="Q19" s="6"/>
      <c r="R19" s="6"/>
      <c r="S19" s="6"/>
      <c r="T19" s="7"/>
    </row>
    <row r="20" spans="2:20" ht="19.95" customHeight="1" x14ac:dyDescent="0.3">
      <c r="B20" s="3"/>
      <c r="C20" s="5" t="s">
        <v>38</v>
      </c>
      <c r="D20" s="1" t="s">
        <v>39</v>
      </c>
      <c r="E20" s="5">
        <f>3*10+1.5</f>
        <v>31.5</v>
      </c>
      <c r="F20" s="5">
        <v>1.1000000000000001</v>
      </c>
      <c r="G20" s="6">
        <f t="shared" ref="G20:G58" si="13">E20*F20</f>
        <v>34.650000000000006</v>
      </c>
      <c r="H20" s="22"/>
      <c r="I20" s="22"/>
      <c r="J20" s="22"/>
      <c r="K20" s="21"/>
      <c r="L20" s="18">
        <f t="shared" si="10"/>
        <v>0</v>
      </c>
      <c r="M20" s="18">
        <f t="shared" si="11"/>
        <v>15.400000000000002</v>
      </c>
      <c r="N20" s="18">
        <f t="shared" si="12"/>
        <v>34.650000000000006</v>
      </c>
      <c r="P20" s="6"/>
      <c r="Q20" s="6"/>
      <c r="R20" s="6"/>
      <c r="S20" s="6"/>
      <c r="T20" s="7"/>
    </row>
    <row r="21" spans="2:20" ht="19.95" customHeight="1" x14ac:dyDescent="0.3">
      <c r="B21" s="3"/>
      <c r="C21" s="5">
        <v>7</v>
      </c>
      <c r="D21" s="1" t="s">
        <v>40</v>
      </c>
      <c r="E21" s="5">
        <v>31.5</v>
      </c>
      <c r="F21" s="5">
        <v>1.54</v>
      </c>
      <c r="G21" s="6">
        <f t="shared" si="13"/>
        <v>48.51</v>
      </c>
      <c r="H21" s="22"/>
      <c r="I21" s="22"/>
      <c r="J21" s="22"/>
      <c r="K21" s="21"/>
      <c r="L21" s="18">
        <f t="shared" si="10"/>
        <v>0</v>
      </c>
      <c r="M21" s="18">
        <f t="shared" si="11"/>
        <v>21.560000000000002</v>
      </c>
      <c r="N21" s="18">
        <f t="shared" si="12"/>
        <v>48.51</v>
      </c>
      <c r="O21" s="6"/>
      <c r="P21" s="6"/>
      <c r="Q21" s="6"/>
      <c r="R21" s="6"/>
      <c r="S21" s="6"/>
      <c r="T21" s="9"/>
    </row>
    <row r="22" spans="2:20" ht="19.95" customHeight="1" x14ac:dyDescent="0.3">
      <c r="B22" s="3"/>
      <c r="C22" s="5" t="s">
        <v>44</v>
      </c>
      <c r="D22" s="1" t="s">
        <v>40</v>
      </c>
      <c r="E22" s="5">
        <v>31.5</v>
      </c>
      <c r="F22" s="5">
        <v>0.7</v>
      </c>
      <c r="G22" s="6">
        <f t="shared" si="13"/>
        <v>22.049999999999997</v>
      </c>
      <c r="H22" s="22"/>
      <c r="I22" s="22"/>
      <c r="J22" s="22"/>
      <c r="K22" s="21"/>
      <c r="L22" s="18"/>
      <c r="M22" s="18">
        <f t="shared" si="11"/>
        <v>9.7999999999999989</v>
      </c>
      <c r="N22" s="18">
        <f t="shared" si="12"/>
        <v>22.049999999999997</v>
      </c>
      <c r="O22" s="6"/>
      <c r="P22" s="6"/>
      <c r="Q22" s="6"/>
      <c r="R22" s="6"/>
      <c r="S22" s="6"/>
      <c r="T22" s="9"/>
    </row>
    <row r="23" spans="2:20" ht="19.95" customHeight="1" x14ac:dyDescent="0.3">
      <c r="B23" s="3"/>
      <c r="C23" s="5" t="s">
        <v>46</v>
      </c>
      <c r="D23" s="1" t="s">
        <v>45</v>
      </c>
      <c r="E23" s="5">
        <v>31.5</v>
      </c>
      <c r="F23" s="5">
        <v>2.81</v>
      </c>
      <c r="G23" s="6">
        <f t="shared" si="13"/>
        <v>88.515000000000001</v>
      </c>
      <c r="H23" s="22">
        <v>2.2999999999999998</v>
      </c>
      <c r="I23" s="22">
        <v>2.81</v>
      </c>
      <c r="J23" s="22">
        <v>10</v>
      </c>
      <c r="K23" s="21">
        <f t="shared" ref="K23" si="14">(H23*I23)*J23</f>
        <v>64.63</v>
      </c>
      <c r="L23" s="18">
        <f t="shared" si="10"/>
        <v>102.19999999999999</v>
      </c>
      <c r="M23" s="18">
        <f t="shared" si="11"/>
        <v>39.340000000000003</v>
      </c>
      <c r="N23" s="18">
        <f t="shared" si="12"/>
        <v>23.885000000000005</v>
      </c>
      <c r="O23" s="6"/>
      <c r="P23" s="6"/>
      <c r="Q23" s="6"/>
      <c r="R23" s="6"/>
      <c r="S23" s="6"/>
      <c r="T23" s="9"/>
    </row>
    <row r="24" spans="2:20" ht="19.95" customHeight="1" x14ac:dyDescent="0.3">
      <c r="B24" s="3"/>
      <c r="C24" s="5" t="s">
        <v>47</v>
      </c>
      <c r="D24" s="1" t="s">
        <v>41</v>
      </c>
      <c r="E24" s="5">
        <v>31.5</v>
      </c>
      <c r="F24" s="5">
        <v>1.56</v>
      </c>
      <c r="G24" s="6">
        <f t="shared" si="13"/>
        <v>49.14</v>
      </c>
      <c r="H24" s="22"/>
      <c r="I24" s="22"/>
      <c r="J24" s="22"/>
      <c r="K24" s="21"/>
      <c r="L24" s="18">
        <f t="shared" si="10"/>
        <v>0</v>
      </c>
      <c r="M24" s="18">
        <f t="shared" si="11"/>
        <v>21.84</v>
      </c>
      <c r="N24" s="18">
        <f t="shared" si="12"/>
        <v>49.14</v>
      </c>
      <c r="O24" s="6"/>
      <c r="P24" s="6"/>
      <c r="Q24" s="6"/>
      <c r="R24" s="6"/>
      <c r="S24" s="6"/>
      <c r="T24" s="9"/>
    </row>
    <row r="25" spans="2:20" ht="19.95" customHeight="1" x14ac:dyDescent="0.3">
      <c r="B25" s="3"/>
      <c r="C25" s="5" t="s">
        <v>48</v>
      </c>
      <c r="D25" s="1" t="s">
        <v>41</v>
      </c>
      <c r="E25" s="5">
        <v>31.7</v>
      </c>
      <c r="F25" s="5">
        <v>1.56</v>
      </c>
      <c r="G25" s="6">
        <f t="shared" si="13"/>
        <v>49.451999999999998</v>
      </c>
      <c r="H25" s="22"/>
      <c r="I25" s="22"/>
      <c r="J25" s="22"/>
      <c r="K25" s="21"/>
      <c r="L25" s="18">
        <f t="shared" ref="L25" si="15">((H25+I25)*2)*J25</f>
        <v>0</v>
      </c>
      <c r="M25" s="18">
        <f t="shared" ref="M25" si="16">(F25*2)*7</f>
        <v>21.84</v>
      </c>
      <c r="N25" s="18">
        <f t="shared" ref="N25" si="17">G25-K25</f>
        <v>49.451999999999998</v>
      </c>
      <c r="O25" s="6"/>
      <c r="P25" s="6"/>
      <c r="Q25" s="6"/>
      <c r="R25" s="6"/>
      <c r="S25" s="6"/>
      <c r="T25" s="9"/>
    </row>
    <row r="26" spans="2:20" ht="19.95" customHeight="1" x14ac:dyDescent="0.3">
      <c r="B26" s="3"/>
      <c r="C26" s="5">
        <v>8</v>
      </c>
      <c r="D26" s="1" t="s">
        <v>42</v>
      </c>
      <c r="E26" s="5">
        <v>30</v>
      </c>
      <c r="F26" s="6">
        <v>2.7</v>
      </c>
      <c r="G26" s="6">
        <f t="shared" si="13"/>
        <v>81</v>
      </c>
      <c r="H26" s="22"/>
      <c r="I26" s="22"/>
      <c r="J26" s="22"/>
      <c r="K26" s="21"/>
      <c r="L26" s="18">
        <f t="shared" si="10"/>
        <v>0</v>
      </c>
      <c r="M26" s="18">
        <f t="shared" si="11"/>
        <v>37.800000000000004</v>
      </c>
      <c r="N26" s="18">
        <f t="shared" si="12"/>
        <v>81</v>
      </c>
      <c r="P26" s="6"/>
      <c r="Q26" s="6"/>
      <c r="R26" s="8"/>
      <c r="S26" s="8"/>
      <c r="T26" s="9"/>
    </row>
    <row r="27" spans="2:20" ht="19.95" customHeight="1" x14ac:dyDescent="0.3">
      <c r="B27" s="3"/>
      <c r="C27" s="5">
        <v>9</v>
      </c>
      <c r="D27" s="1" t="s">
        <v>43</v>
      </c>
      <c r="E27" s="5">
        <v>30</v>
      </c>
      <c r="F27" s="5">
        <v>2.63</v>
      </c>
      <c r="G27" s="6">
        <f t="shared" si="13"/>
        <v>78.899999999999991</v>
      </c>
      <c r="H27" s="22">
        <v>1.5</v>
      </c>
      <c r="I27" s="22">
        <v>1.2</v>
      </c>
      <c r="J27" s="22">
        <v>10</v>
      </c>
      <c r="K27" s="21">
        <f t="shared" ref="K27:K31" si="18">(H27*I27)*J27</f>
        <v>18</v>
      </c>
      <c r="L27" s="18">
        <f t="shared" si="10"/>
        <v>54</v>
      </c>
      <c r="M27" s="18">
        <f t="shared" si="11"/>
        <v>36.82</v>
      </c>
      <c r="N27" s="18">
        <f t="shared" si="12"/>
        <v>60.899999999999991</v>
      </c>
      <c r="O27" s="6"/>
      <c r="P27" s="6"/>
      <c r="Q27" s="6"/>
      <c r="R27" s="6"/>
      <c r="S27" s="6"/>
      <c r="T27" s="7"/>
    </row>
    <row r="28" spans="2:20" ht="19.95" customHeight="1" x14ac:dyDescent="0.3">
      <c r="B28" s="3"/>
      <c r="C28" s="5">
        <v>10</v>
      </c>
      <c r="D28" s="1" t="s">
        <v>42</v>
      </c>
      <c r="E28" s="5">
        <v>30</v>
      </c>
      <c r="F28" s="6">
        <v>2.7</v>
      </c>
      <c r="G28" s="6">
        <f t="shared" si="13"/>
        <v>81</v>
      </c>
      <c r="H28" s="22"/>
      <c r="I28" s="22"/>
      <c r="J28" s="22"/>
      <c r="K28" s="21"/>
      <c r="L28" s="18">
        <f t="shared" si="10"/>
        <v>0</v>
      </c>
      <c r="M28" s="18">
        <f t="shared" si="11"/>
        <v>37.800000000000004</v>
      </c>
      <c r="N28" s="18">
        <f t="shared" si="12"/>
        <v>81</v>
      </c>
      <c r="P28" s="6"/>
      <c r="Q28" s="6"/>
      <c r="R28" s="8"/>
      <c r="S28" s="8"/>
    </row>
    <row r="29" spans="2:20" ht="19.95" customHeight="1" x14ac:dyDescent="0.3">
      <c r="B29" s="3"/>
      <c r="C29" s="5">
        <v>11</v>
      </c>
      <c r="D29" s="1" t="s">
        <v>49</v>
      </c>
      <c r="E29" s="5">
        <v>31.5</v>
      </c>
      <c r="F29" s="5">
        <f>1.47+4.77+1.62</f>
        <v>7.8599999999999994</v>
      </c>
      <c r="G29" s="6">
        <f t="shared" si="13"/>
        <v>247.58999999999997</v>
      </c>
      <c r="H29" s="22">
        <v>2.2999999999999998</v>
      </c>
      <c r="I29" s="22">
        <v>4.7699999999999996</v>
      </c>
      <c r="J29" s="22">
        <v>10</v>
      </c>
      <c r="K29" s="21">
        <f t="shared" si="18"/>
        <v>109.70999999999998</v>
      </c>
      <c r="L29" s="18">
        <f t="shared" si="10"/>
        <v>141.39999999999998</v>
      </c>
      <c r="M29" s="18">
        <f t="shared" si="11"/>
        <v>110.03999999999999</v>
      </c>
      <c r="N29" s="18">
        <f t="shared" si="12"/>
        <v>137.88</v>
      </c>
      <c r="O29" s="6"/>
      <c r="P29" s="6"/>
      <c r="Q29" s="6"/>
      <c r="R29" s="6"/>
      <c r="S29" s="6"/>
      <c r="T29" s="9"/>
    </row>
    <row r="30" spans="2:20" ht="19.95" customHeight="1" x14ac:dyDescent="0.3">
      <c r="B30" s="3"/>
      <c r="C30" s="5">
        <v>12</v>
      </c>
      <c r="D30" s="1" t="s">
        <v>50</v>
      </c>
      <c r="E30" s="5">
        <v>31.5</v>
      </c>
      <c r="F30" s="5">
        <v>1.1000000000000001</v>
      </c>
      <c r="G30" s="6">
        <f t="shared" si="13"/>
        <v>34.650000000000006</v>
      </c>
      <c r="H30" s="22"/>
      <c r="I30" s="22"/>
      <c r="J30" s="22"/>
      <c r="K30" s="21"/>
      <c r="L30" s="18">
        <f t="shared" si="10"/>
        <v>0</v>
      </c>
      <c r="M30" s="18">
        <f t="shared" si="11"/>
        <v>15.400000000000002</v>
      </c>
      <c r="N30" s="18">
        <f t="shared" si="12"/>
        <v>34.650000000000006</v>
      </c>
      <c r="O30" s="6"/>
      <c r="P30" s="6"/>
      <c r="Q30" s="6"/>
      <c r="R30" s="6"/>
      <c r="S30" s="6"/>
    </row>
    <row r="31" spans="2:20" ht="19.95" customHeight="1" x14ac:dyDescent="0.3">
      <c r="B31" s="3"/>
      <c r="C31" s="5">
        <v>13</v>
      </c>
      <c r="D31" s="1" t="s">
        <v>51</v>
      </c>
      <c r="E31" s="5">
        <v>31.5</v>
      </c>
      <c r="F31" s="5">
        <v>4</v>
      </c>
      <c r="G31" s="6">
        <f t="shared" si="13"/>
        <v>126</v>
      </c>
      <c r="H31" s="22">
        <v>2.2999999999999998</v>
      </c>
      <c r="I31" s="22">
        <v>4</v>
      </c>
      <c r="J31" s="22">
        <v>10</v>
      </c>
      <c r="K31" s="21">
        <f t="shared" si="18"/>
        <v>92</v>
      </c>
      <c r="L31" s="18">
        <f t="shared" si="10"/>
        <v>126</v>
      </c>
      <c r="M31" s="18">
        <f t="shared" si="11"/>
        <v>56</v>
      </c>
      <c r="N31" s="18">
        <f t="shared" si="12"/>
        <v>34</v>
      </c>
      <c r="O31" s="6"/>
      <c r="P31" s="6"/>
      <c r="Q31" s="6"/>
      <c r="R31" s="6"/>
      <c r="S31" s="6"/>
      <c r="T31" s="10"/>
    </row>
    <row r="32" spans="2:20" ht="19.95" customHeight="1" x14ac:dyDescent="0.3">
      <c r="B32" s="3"/>
      <c r="C32" s="5">
        <v>14</v>
      </c>
      <c r="D32" s="1" t="s">
        <v>52</v>
      </c>
      <c r="E32" s="5">
        <v>3</v>
      </c>
      <c r="F32" s="5">
        <v>0.6</v>
      </c>
      <c r="G32" s="6">
        <f t="shared" si="13"/>
        <v>1.7999999999999998</v>
      </c>
      <c r="H32" s="22"/>
      <c r="I32" s="22"/>
      <c r="J32" s="22"/>
      <c r="K32" s="21"/>
      <c r="L32" s="18">
        <f t="shared" si="10"/>
        <v>0</v>
      </c>
      <c r="M32" s="18">
        <f t="shared" si="11"/>
        <v>8.4</v>
      </c>
      <c r="N32" s="18">
        <f t="shared" si="12"/>
        <v>1.7999999999999998</v>
      </c>
      <c r="O32" s="6"/>
      <c r="P32" s="6"/>
      <c r="Q32" s="6"/>
      <c r="R32" s="6"/>
      <c r="S32" s="6"/>
    </row>
    <row r="33" spans="1:19" ht="19.95" customHeight="1" x14ac:dyDescent="0.3">
      <c r="B33" s="3"/>
      <c r="C33" s="5">
        <v>15</v>
      </c>
      <c r="D33" s="1" t="s">
        <v>40</v>
      </c>
      <c r="E33" s="5">
        <v>31.5</v>
      </c>
      <c r="F33" s="5">
        <v>2.34</v>
      </c>
      <c r="G33" s="6">
        <f t="shared" si="13"/>
        <v>73.709999999999994</v>
      </c>
      <c r="H33" s="22"/>
      <c r="I33" s="22"/>
      <c r="J33" s="22"/>
      <c r="K33" s="21"/>
      <c r="L33" s="18">
        <f t="shared" si="10"/>
        <v>0</v>
      </c>
      <c r="M33" s="18">
        <f t="shared" si="11"/>
        <v>32.76</v>
      </c>
      <c r="N33" s="18">
        <f t="shared" si="12"/>
        <v>73.709999999999994</v>
      </c>
      <c r="O33" s="6"/>
      <c r="P33" s="6"/>
      <c r="Q33" s="6"/>
      <c r="R33" s="6"/>
      <c r="S33" s="6"/>
    </row>
    <row r="34" spans="1:19" ht="19.95" customHeight="1" x14ac:dyDescent="0.3">
      <c r="A34" s="5">
        <v>1</v>
      </c>
      <c r="B34" s="4" t="s">
        <v>54</v>
      </c>
      <c r="C34" s="5">
        <v>16</v>
      </c>
      <c r="E34" s="5">
        <v>31.5</v>
      </c>
      <c r="F34" s="5">
        <v>4.83</v>
      </c>
      <c r="G34" s="6">
        <f t="shared" si="13"/>
        <v>152.14500000000001</v>
      </c>
      <c r="H34" s="22">
        <v>0.69</v>
      </c>
      <c r="I34" s="22">
        <v>0.81</v>
      </c>
      <c r="J34" s="22">
        <v>10</v>
      </c>
      <c r="K34" s="21">
        <f t="shared" ref="K34" si="19">(H34*I34)*J34</f>
        <v>5.5889999999999995</v>
      </c>
      <c r="L34" s="18">
        <f t="shared" si="10"/>
        <v>30</v>
      </c>
      <c r="M34" s="18">
        <f t="shared" si="11"/>
        <v>67.62</v>
      </c>
      <c r="N34" s="18">
        <f t="shared" si="12"/>
        <v>146.55600000000001</v>
      </c>
      <c r="P34" s="6"/>
      <c r="Q34" s="6"/>
      <c r="R34" s="6"/>
      <c r="S34" s="6"/>
    </row>
    <row r="35" spans="1:19" ht="19.95" customHeight="1" x14ac:dyDescent="0.3">
      <c r="B35" s="3"/>
      <c r="C35" s="5">
        <v>17</v>
      </c>
      <c r="E35" s="5">
        <v>31.5</v>
      </c>
      <c r="F35" s="5">
        <v>1.04</v>
      </c>
      <c r="G35" s="6">
        <f t="shared" si="13"/>
        <v>32.76</v>
      </c>
      <c r="H35" s="22">
        <v>1.98</v>
      </c>
      <c r="I35" s="22">
        <v>0.86</v>
      </c>
      <c r="J35" s="22">
        <v>10</v>
      </c>
      <c r="K35" s="21">
        <f t="shared" ref="K35" si="20">(H35*I35)*J35</f>
        <v>17.027999999999999</v>
      </c>
      <c r="L35" s="18">
        <f t="shared" si="10"/>
        <v>56.8</v>
      </c>
      <c r="M35" s="18">
        <f t="shared" si="11"/>
        <v>14.56</v>
      </c>
      <c r="N35" s="18">
        <f t="shared" si="12"/>
        <v>15.731999999999999</v>
      </c>
      <c r="O35" s="6"/>
      <c r="P35" s="6"/>
      <c r="Q35" s="6"/>
      <c r="R35" s="6"/>
      <c r="S35" s="6"/>
    </row>
    <row r="36" spans="1:19" ht="19.95" customHeight="1" x14ac:dyDescent="0.3">
      <c r="B36" s="3"/>
      <c r="C36" s="5">
        <v>18</v>
      </c>
      <c r="E36" s="5">
        <v>31.5</v>
      </c>
      <c r="F36" s="5">
        <v>3.9</v>
      </c>
      <c r="G36" s="6">
        <f t="shared" si="13"/>
        <v>122.85</v>
      </c>
      <c r="H36" s="22"/>
      <c r="I36" s="22"/>
      <c r="J36" s="22"/>
      <c r="K36" s="21"/>
      <c r="L36" s="18">
        <f t="shared" si="10"/>
        <v>0</v>
      </c>
      <c r="M36" s="18">
        <f t="shared" si="11"/>
        <v>54.6</v>
      </c>
      <c r="N36" s="18">
        <f t="shared" si="12"/>
        <v>122.85</v>
      </c>
      <c r="O36" s="6"/>
      <c r="P36" s="6"/>
      <c r="Q36" s="6"/>
      <c r="R36" s="6"/>
      <c r="S36" s="6"/>
    </row>
    <row r="37" spans="1:19" ht="19.95" customHeight="1" x14ac:dyDescent="0.3">
      <c r="B37" s="3"/>
      <c r="C37" s="5">
        <v>19</v>
      </c>
      <c r="E37" s="5">
        <v>31.5</v>
      </c>
      <c r="F37" s="5">
        <v>1.02</v>
      </c>
      <c r="G37" s="6">
        <f t="shared" si="13"/>
        <v>32.130000000000003</v>
      </c>
      <c r="H37" s="22"/>
      <c r="I37" s="22"/>
      <c r="J37" s="22"/>
      <c r="K37" s="21"/>
      <c r="L37" s="18">
        <f t="shared" si="10"/>
        <v>0</v>
      </c>
      <c r="M37" s="18">
        <f t="shared" si="11"/>
        <v>14.280000000000001</v>
      </c>
      <c r="N37" s="18">
        <f t="shared" si="12"/>
        <v>32.130000000000003</v>
      </c>
      <c r="O37" s="6"/>
      <c r="P37" s="6"/>
      <c r="Q37" s="6"/>
      <c r="R37" s="6"/>
      <c r="S37" s="6"/>
    </row>
    <row r="38" spans="1:19" ht="19.95" customHeight="1" x14ac:dyDescent="0.3">
      <c r="B38" s="3"/>
      <c r="C38" s="5">
        <v>20</v>
      </c>
      <c r="E38" s="5">
        <v>31.5</v>
      </c>
      <c r="F38" s="5">
        <v>2.21</v>
      </c>
      <c r="G38" s="6">
        <f t="shared" si="13"/>
        <v>69.614999999999995</v>
      </c>
      <c r="H38" s="22">
        <v>1.56</v>
      </c>
      <c r="I38" s="22">
        <v>2.21</v>
      </c>
      <c r="J38" s="22">
        <v>10</v>
      </c>
      <c r="K38" s="21">
        <f t="shared" ref="K38" si="21">(H38*I38)*J38</f>
        <v>34.475999999999999</v>
      </c>
      <c r="L38" s="18">
        <f t="shared" si="10"/>
        <v>75.400000000000006</v>
      </c>
      <c r="M38" s="18">
        <f t="shared" si="11"/>
        <v>30.939999999999998</v>
      </c>
      <c r="N38" s="18">
        <f t="shared" si="12"/>
        <v>35.138999999999996</v>
      </c>
      <c r="O38" s="6"/>
      <c r="P38" s="6"/>
      <c r="Q38" s="6"/>
      <c r="R38" s="6"/>
      <c r="S38" s="6"/>
    </row>
    <row r="39" spans="1:19" ht="19.95" customHeight="1" x14ac:dyDescent="0.3">
      <c r="B39" s="3"/>
      <c r="C39" s="5">
        <v>21</v>
      </c>
      <c r="E39" s="5">
        <v>31.5</v>
      </c>
      <c r="F39" s="5">
        <v>0.6</v>
      </c>
      <c r="G39" s="6">
        <f t="shared" si="13"/>
        <v>18.899999999999999</v>
      </c>
      <c r="H39" s="22"/>
      <c r="I39" s="22"/>
      <c r="J39" s="22"/>
      <c r="K39" s="21"/>
      <c r="L39" s="18">
        <f t="shared" si="10"/>
        <v>0</v>
      </c>
      <c r="M39" s="18">
        <f t="shared" si="11"/>
        <v>8.4</v>
      </c>
      <c r="N39" s="18">
        <f t="shared" si="12"/>
        <v>18.899999999999999</v>
      </c>
      <c r="O39" s="6"/>
      <c r="P39" s="6"/>
      <c r="Q39" s="6"/>
      <c r="R39" s="6"/>
      <c r="S39" s="6"/>
    </row>
    <row r="40" spans="1:19" ht="19.95" customHeight="1" x14ac:dyDescent="0.3">
      <c r="C40" s="5">
        <v>22</v>
      </c>
      <c r="E40" s="5">
        <v>31.5</v>
      </c>
      <c r="F40" s="5">
        <v>1.87</v>
      </c>
      <c r="G40" s="6">
        <f t="shared" si="13"/>
        <v>58.905000000000001</v>
      </c>
      <c r="H40" s="22"/>
      <c r="I40" s="21"/>
      <c r="J40" s="22"/>
      <c r="K40" s="21"/>
      <c r="L40" s="18">
        <f t="shared" si="10"/>
        <v>0</v>
      </c>
      <c r="M40" s="18">
        <f t="shared" si="11"/>
        <v>26.18</v>
      </c>
      <c r="N40" s="18">
        <f t="shared" si="12"/>
        <v>58.905000000000001</v>
      </c>
      <c r="P40" s="6"/>
      <c r="Q40" s="6"/>
      <c r="R40" s="6"/>
      <c r="S40" s="6"/>
    </row>
    <row r="41" spans="1:19" ht="19.95" customHeight="1" x14ac:dyDescent="0.3">
      <c r="C41" s="5">
        <v>23</v>
      </c>
      <c r="E41" s="5">
        <v>31.5</v>
      </c>
      <c r="F41" s="5">
        <v>0.6</v>
      </c>
      <c r="G41" s="6">
        <f t="shared" si="13"/>
        <v>18.899999999999999</v>
      </c>
      <c r="H41" s="22"/>
      <c r="I41" s="22"/>
      <c r="J41" s="22"/>
      <c r="K41" s="21"/>
      <c r="L41" s="18">
        <f t="shared" si="10"/>
        <v>0</v>
      </c>
      <c r="M41" s="18">
        <f t="shared" si="11"/>
        <v>8.4</v>
      </c>
      <c r="N41" s="18">
        <f t="shared" si="12"/>
        <v>18.899999999999999</v>
      </c>
      <c r="O41" s="6"/>
      <c r="P41" s="6"/>
      <c r="Q41" s="6"/>
      <c r="R41" s="6"/>
      <c r="S41" s="6"/>
    </row>
    <row r="42" spans="1:19" ht="19.95" customHeight="1" x14ac:dyDescent="0.3">
      <c r="C42" s="5">
        <v>24</v>
      </c>
      <c r="E42" s="5">
        <v>31.5</v>
      </c>
      <c r="F42" s="5">
        <v>8.7100000000000009</v>
      </c>
      <c r="G42" s="6">
        <f t="shared" si="13"/>
        <v>274.36500000000001</v>
      </c>
      <c r="H42" s="22">
        <v>1.56</v>
      </c>
      <c r="I42" s="22">
        <v>1.17</v>
      </c>
      <c r="J42" s="22">
        <v>10</v>
      </c>
      <c r="K42" s="21">
        <f t="shared" ref="K42:K44" si="22">(H42*I42)*J42</f>
        <v>18.251999999999999</v>
      </c>
      <c r="L42" s="18">
        <f t="shared" si="10"/>
        <v>54.6</v>
      </c>
      <c r="M42" s="18">
        <f t="shared" si="11"/>
        <v>121.94000000000001</v>
      </c>
      <c r="N42" s="18">
        <f>G42-K42-K43</f>
        <v>248.976</v>
      </c>
      <c r="O42" s="1"/>
      <c r="P42" s="6"/>
      <c r="Q42" s="6"/>
      <c r="R42" s="6"/>
      <c r="S42" s="6"/>
    </row>
    <row r="43" spans="1:19" ht="19.95" customHeight="1" x14ac:dyDescent="0.3">
      <c r="G43" s="6"/>
      <c r="H43" s="22">
        <v>0.61</v>
      </c>
      <c r="I43" s="22">
        <v>1.17</v>
      </c>
      <c r="J43" s="22">
        <v>10</v>
      </c>
      <c r="K43" s="21">
        <f t="shared" si="22"/>
        <v>7.1369999999999987</v>
      </c>
      <c r="L43" s="18">
        <f t="shared" si="10"/>
        <v>35.599999999999994</v>
      </c>
      <c r="M43" s="18">
        <f t="shared" si="11"/>
        <v>0</v>
      </c>
      <c r="N43" s="18"/>
      <c r="O43" s="1"/>
      <c r="P43" s="6"/>
      <c r="Q43" s="6"/>
      <c r="R43" s="6"/>
      <c r="S43" s="6"/>
    </row>
    <row r="44" spans="1:19" ht="19.95" customHeight="1" x14ac:dyDescent="0.3">
      <c r="A44" s="5">
        <v>1</v>
      </c>
      <c r="B44" s="16" t="s">
        <v>55</v>
      </c>
      <c r="C44" s="5">
        <v>25</v>
      </c>
      <c r="D44" s="1" t="s">
        <v>56</v>
      </c>
      <c r="E44" s="5">
        <f>3*7+1.5</f>
        <v>22.5</v>
      </c>
      <c r="F44" s="5">
        <f>2.34+4</f>
        <v>6.34</v>
      </c>
      <c r="G44" s="6">
        <f t="shared" si="13"/>
        <v>142.65</v>
      </c>
      <c r="H44" s="22">
        <v>2.2999999999999998</v>
      </c>
      <c r="I44" s="22">
        <v>4</v>
      </c>
      <c r="J44" s="22">
        <v>10</v>
      </c>
      <c r="K44" s="21">
        <f t="shared" si="22"/>
        <v>92</v>
      </c>
      <c r="L44" s="18">
        <f t="shared" si="10"/>
        <v>126</v>
      </c>
      <c r="M44" s="18">
        <f t="shared" si="11"/>
        <v>88.759999999999991</v>
      </c>
      <c r="N44" s="18">
        <f>G44-K44-K45</f>
        <v>50.650000000000006</v>
      </c>
      <c r="O44" s="8"/>
      <c r="P44" s="8"/>
      <c r="Q44" s="6"/>
      <c r="R44" s="6"/>
      <c r="S44" s="6"/>
    </row>
    <row r="45" spans="1:19" ht="19.95" customHeight="1" x14ac:dyDescent="0.3">
      <c r="B45" s="16"/>
      <c r="D45" s="1" t="s">
        <v>57</v>
      </c>
      <c r="E45" s="5">
        <f>3*3</f>
        <v>9</v>
      </c>
      <c r="F45" s="5">
        <f>2.34+4</f>
        <v>6.34</v>
      </c>
      <c r="G45" s="6">
        <f t="shared" ref="G45" si="23">E45*F45</f>
        <v>57.06</v>
      </c>
      <c r="H45" s="22"/>
      <c r="I45" s="22"/>
      <c r="J45" s="22"/>
      <c r="K45" s="21"/>
      <c r="L45" s="18">
        <f t="shared" ref="L45" si="24">((H45+I45)*2)*J45</f>
        <v>0</v>
      </c>
      <c r="M45" s="18">
        <f t="shared" ref="M45" si="25">(F45*2)*7</f>
        <v>88.759999999999991</v>
      </c>
      <c r="N45" s="18">
        <f>G45-K45-K46</f>
        <v>57.06</v>
      </c>
      <c r="O45" s="8"/>
      <c r="P45" s="8"/>
      <c r="Q45" s="6"/>
      <c r="R45" s="6"/>
      <c r="S45" s="6"/>
    </row>
    <row r="46" spans="1:19" ht="19.95" customHeight="1" x14ac:dyDescent="0.3">
      <c r="C46" s="5">
        <v>26</v>
      </c>
      <c r="D46" s="1" t="s">
        <v>58</v>
      </c>
      <c r="E46" s="5">
        <v>31.5</v>
      </c>
      <c r="F46" s="5">
        <v>1.1000000000000001</v>
      </c>
      <c r="G46" s="6">
        <f t="shared" si="13"/>
        <v>34.650000000000006</v>
      </c>
      <c r="H46" s="22"/>
      <c r="I46" s="22"/>
      <c r="J46" s="22"/>
      <c r="K46" s="21"/>
      <c r="L46" s="18">
        <f t="shared" si="10"/>
        <v>0</v>
      </c>
      <c r="M46" s="18">
        <f t="shared" si="11"/>
        <v>15.400000000000002</v>
      </c>
      <c r="N46" s="18">
        <f t="shared" si="12"/>
        <v>34.650000000000006</v>
      </c>
      <c r="O46" s="6"/>
      <c r="P46" s="8"/>
      <c r="Q46" s="8"/>
      <c r="R46" s="6"/>
      <c r="S46" s="6"/>
    </row>
    <row r="47" spans="1:19" ht="19.95" customHeight="1" x14ac:dyDescent="0.3">
      <c r="C47" s="5">
        <v>27</v>
      </c>
      <c r="D47" s="1" t="s">
        <v>58</v>
      </c>
      <c r="E47" s="5">
        <v>31.5</v>
      </c>
      <c r="F47" s="5">
        <v>0.5</v>
      </c>
      <c r="G47" s="6">
        <f t="shared" si="13"/>
        <v>15.75</v>
      </c>
      <c r="H47" s="22"/>
      <c r="I47" s="22"/>
      <c r="J47" s="22"/>
      <c r="K47" s="21"/>
      <c r="L47" s="18">
        <f t="shared" si="10"/>
        <v>0</v>
      </c>
      <c r="M47" s="18">
        <f t="shared" si="11"/>
        <v>7</v>
      </c>
      <c r="N47" s="18">
        <f t="shared" si="12"/>
        <v>15.75</v>
      </c>
      <c r="O47" s="1"/>
      <c r="P47" s="6"/>
      <c r="Q47" s="6"/>
      <c r="R47" s="6"/>
      <c r="S47" s="6"/>
    </row>
    <row r="48" spans="1:19" ht="19.95" customHeight="1" x14ac:dyDescent="0.3">
      <c r="C48" s="5">
        <v>28</v>
      </c>
      <c r="D48" s="1" t="s">
        <v>58</v>
      </c>
      <c r="E48" s="5">
        <v>31.5</v>
      </c>
      <c r="F48" s="5">
        <v>0.5</v>
      </c>
      <c r="G48" s="6">
        <f t="shared" si="13"/>
        <v>15.75</v>
      </c>
      <c r="H48" s="22"/>
      <c r="I48" s="22"/>
      <c r="J48" s="22"/>
      <c r="K48" s="17"/>
      <c r="L48" s="18">
        <f t="shared" si="10"/>
        <v>0</v>
      </c>
      <c r="M48" s="18">
        <f t="shared" si="11"/>
        <v>7</v>
      </c>
      <c r="N48" s="18">
        <f t="shared" si="12"/>
        <v>15.75</v>
      </c>
      <c r="O48" s="8"/>
      <c r="P48" s="8"/>
      <c r="Q48" s="6"/>
      <c r="R48" s="6"/>
      <c r="S48" s="6"/>
    </row>
    <row r="49" spans="2:19" ht="19.95" customHeight="1" x14ac:dyDescent="0.3">
      <c r="C49" s="5">
        <v>29</v>
      </c>
      <c r="D49" s="1" t="s">
        <v>59</v>
      </c>
      <c r="E49" s="5">
        <v>3</v>
      </c>
      <c r="F49" s="5">
        <v>1.77</v>
      </c>
      <c r="G49" s="6">
        <f t="shared" si="13"/>
        <v>5.3100000000000005</v>
      </c>
      <c r="H49" s="22">
        <v>1.26</v>
      </c>
      <c r="I49" s="21">
        <v>1.49</v>
      </c>
      <c r="J49" s="22">
        <v>1</v>
      </c>
      <c r="K49" s="21">
        <f t="shared" ref="K49" si="26">(H49*I49)*J49</f>
        <v>1.8774</v>
      </c>
      <c r="L49" s="18">
        <f t="shared" si="10"/>
        <v>5.5</v>
      </c>
      <c r="M49" s="18">
        <f t="shared" si="11"/>
        <v>24.78</v>
      </c>
      <c r="N49" s="18">
        <f>G49-K49</f>
        <v>3.4326000000000008</v>
      </c>
      <c r="P49" s="1"/>
      <c r="Q49" s="6"/>
      <c r="R49" s="6"/>
      <c r="S49" s="6"/>
    </row>
    <row r="50" spans="2:19" ht="19.95" customHeight="1" x14ac:dyDescent="0.3">
      <c r="D50" s="1" t="s">
        <v>68</v>
      </c>
      <c r="E50" s="5">
        <f>3*9+1.5</f>
        <v>28.5</v>
      </c>
      <c r="F50" s="5">
        <f>2.55+1.77</f>
        <v>4.32</v>
      </c>
      <c r="G50" s="6">
        <f t="shared" ref="G50" si="27">E50*F50</f>
        <v>123.12</v>
      </c>
      <c r="H50" s="22">
        <v>1.26</v>
      </c>
      <c r="I50" s="21">
        <v>1.49</v>
      </c>
      <c r="J50" s="22">
        <v>9</v>
      </c>
      <c r="K50" s="21">
        <f t="shared" ref="K50:K51" si="28">(H50*I50)*J50</f>
        <v>16.896599999999999</v>
      </c>
      <c r="L50" s="18">
        <f t="shared" ref="L50" si="29">((H50+I50)*2)*J50</f>
        <v>49.5</v>
      </c>
      <c r="M50" s="18">
        <f t="shared" ref="M50" si="30">(F50*2)*7</f>
        <v>60.480000000000004</v>
      </c>
      <c r="N50" s="26">
        <f>G50-K50-K51</f>
        <v>48.056400000000004</v>
      </c>
      <c r="P50" s="1"/>
      <c r="Q50" s="6"/>
      <c r="R50" s="6"/>
      <c r="S50" s="6"/>
    </row>
    <row r="51" spans="2:19" ht="19.95" customHeight="1" x14ac:dyDescent="0.3">
      <c r="G51" s="6"/>
      <c r="H51" s="22">
        <v>2.2999999999999998</v>
      </c>
      <c r="I51" s="21">
        <v>2.81</v>
      </c>
      <c r="J51" s="22">
        <v>9</v>
      </c>
      <c r="K51" s="21">
        <f t="shared" si="28"/>
        <v>58.166999999999994</v>
      </c>
      <c r="L51" s="18"/>
      <c r="M51" s="18"/>
      <c r="N51" s="26"/>
      <c r="P51" s="1"/>
      <c r="Q51" s="6"/>
      <c r="R51" s="6"/>
      <c r="S51" s="6"/>
    </row>
    <row r="52" spans="2:19" ht="19.95" customHeight="1" x14ac:dyDescent="0.3">
      <c r="C52" s="5">
        <v>30</v>
      </c>
      <c r="D52" s="1" t="s">
        <v>60</v>
      </c>
      <c r="E52" s="5">
        <v>31.5</v>
      </c>
      <c r="F52" s="5">
        <v>2.0299999999999998</v>
      </c>
      <c r="G52" s="6">
        <f t="shared" si="13"/>
        <v>63.944999999999993</v>
      </c>
      <c r="H52" s="22"/>
      <c r="I52" s="22"/>
      <c r="J52" s="22"/>
      <c r="K52" s="21"/>
      <c r="L52" s="18">
        <f t="shared" si="10"/>
        <v>0</v>
      </c>
      <c r="M52" s="18">
        <f t="shared" si="11"/>
        <v>28.419999999999998</v>
      </c>
      <c r="N52" s="18">
        <f t="shared" si="12"/>
        <v>63.944999999999993</v>
      </c>
      <c r="O52" s="6"/>
      <c r="P52" s="6"/>
      <c r="Q52" s="6"/>
      <c r="R52" s="6"/>
      <c r="S52" s="6"/>
    </row>
    <row r="53" spans="2:19" ht="19.95" customHeight="1" x14ac:dyDescent="0.3">
      <c r="C53" s="5">
        <v>31</v>
      </c>
      <c r="D53" s="1" t="s">
        <v>61</v>
      </c>
      <c r="E53" s="5">
        <v>31.5</v>
      </c>
      <c r="F53" s="5">
        <v>0.6</v>
      </c>
      <c r="G53" s="6">
        <f t="shared" si="13"/>
        <v>18.899999999999999</v>
      </c>
      <c r="H53" s="22"/>
      <c r="I53" s="21"/>
      <c r="J53" s="22"/>
      <c r="K53" s="21"/>
      <c r="L53" s="18">
        <f t="shared" si="10"/>
        <v>0</v>
      </c>
      <c r="M53" s="18">
        <f t="shared" si="11"/>
        <v>8.4</v>
      </c>
      <c r="N53" s="18">
        <f t="shared" si="12"/>
        <v>18.899999999999999</v>
      </c>
      <c r="Q53" s="6"/>
      <c r="R53" s="6"/>
      <c r="S53" s="6"/>
    </row>
    <row r="54" spans="2:19" ht="19.95" customHeight="1" x14ac:dyDescent="0.3">
      <c r="C54" s="5">
        <v>32</v>
      </c>
      <c r="D54" s="1" t="s">
        <v>62</v>
      </c>
      <c r="E54" s="5">
        <v>31.5</v>
      </c>
      <c r="F54" s="5">
        <v>2.6</v>
      </c>
      <c r="G54" s="6">
        <f t="shared" si="13"/>
        <v>81.900000000000006</v>
      </c>
      <c r="H54" s="22">
        <v>2</v>
      </c>
      <c r="I54" s="22">
        <v>0.61</v>
      </c>
      <c r="J54" s="22">
        <v>10</v>
      </c>
      <c r="K54" s="21">
        <f t="shared" ref="K54" si="31">(H54*I54)*J54</f>
        <v>12.2</v>
      </c>
      <c r="L54" s="18">
        <f t="shared" si="10"/>
        <v>52.199999999999996</v>
      </c>
      <c r="M54" s="18">
        <f t="shared" si="11"/>
        <v>36.4</v>
      </c>
      <c r="N54" s="18">
        <f t="shared" si="12"/>
        <v>69.7</v>
      </c>
      <c r="O54" s="6"/>
      <c r="P54" s="6"/>
      <c r="Q54" s="6"/>
      <c r="R54" s="6"/>
      <c r="S54" s="6"/>
    </row>
    <row r="55" spans="2:19" ht="19.95" customHeight="1" x14ac:dyDescent="0.3">
      <c r="C55" s="5">
        <v>33</v>
      </c>
      <c r="D55" s="1" t="s">
        <v>63</v>
      </c>
      <c r="E55" s="5">
        <v>31.5</v>
      </c>
      <c r="F55" s="5">
        <v>0.6</v>
      </c>
      <c r="G55" s="6">
        <f t="shared" si="13"/>
        <v>18.899999999999999</v>
      </c>
      <c r="H55" s="22"/>
      <c r="I55" s="22"/>
      <c r="J55" s="22"/>
      <c r="K55" s="21"/>
      <c r="L55" s="18">
        <f t="shared" si="10"/>
        <v>0</v>
      </c>
      <c r="M55" s="18">
        <f t="shared" si="11"/>
        <v>8.4</v>
      </c>
      <c r="N55" s="18">
        <f t="shared" si="12"/>
        <v>18.899999999999999</v>
      </c>
      <c r="O55" s="6"/>
      <c r="P55" s="6"/>
      <c r="Q55" s="6"/>
      <c r="R55" s="6"/>
      <c r="S55" s="6"/>
    </row>
    <row r="56" spans="2:19" ht="19.95" customHeight="1" x14ac:dyDescent="0.3">
      <c r="C56" s="5">
        <v>34</v>
      </c>
      <c r="D56" s="1" t="s">
        <v>64</v>
      </c>
      <c r="E56" s="5">
        <v>31.5</v>
      </c>
      <c r="F56" s="5">
        <f>1.54+2.81+2.4</f>
        <v>6.75</v>
      </c>
      <c r="G56" s="6">
        <f t="shared" si="13"/>
        <v>212.625</v>
      </c>
      <c r="H56" s="22">
        <v>2.2999999999999998</v>
      </c>
      <c r="I56" s="22">
        <v>2.81</v>
      </c>
      <c r="J56" s="22">
        <v>10</v>
      </c>
      <c r="K56" s="21">
        <f t="shared" ref="K56" si="32">(H56*I56)*J56</f>
        <v>64.63</v>
      </c>
      <c r="L56" s="18">
        <f t="shared" si="10"/>
        <v>102.19999999999999</v>
      </c>
      <c r="M56" s="18">
        <f t="shared" si="11"/>
        <v>94.5</v>
      </c>
      <c r="N56" s="18">
        <f>G56-K56-K57</f>
        <v>136.935</v>
      </c>
      <c r="O56" s="6"/>
      <c r="P56" s="6"/>
      <c r="Q56" s="6"/>
      <c r="R56" s="6"/>
      <c r="S56" s="6"/>
    </row>
    <row r="57" spans="2:19" ht="19.95" customHeight="1" x14ac:dyDescent="0.3">
      <c r="G57" s="6"/>
      <c r="H57" s="22">
        <v>1.4</v>
      </c>
      <c r="I57" s="22">
        <v>0.79</v>
      </c>
      <c r="J57" s="22">
        <v>10</v>
      </c>
      <c r="K57" s="21">
        <f t="shared" ref="K57" si="33">(H57*I57)*J57</f>
        <v>11.059999999999999</v>
      </c>
      <c r="L57" s="18">
        <f t="shared" si="10"/>
        <v>43.8</v>
      </c>
      <c r="M57" s="18">
        <f t="shared" si="11"/>
        <v>0</v>
      </c>
      <c r="N57" s="18"/>
      <c r="O57" s="6"/>
      <c r="P57" s="6"/>
      <c r="Q57" s="6"/>
      <c r="R57" s="6"/>
      <c r="S57" s="6"/>
    </row>
    <row r="58" spans="2:19" ht="19.95" customHeight="1" x14ac:dyDescent="0.3">
      <c r="B58" s="3"/>
      <c r="C58" s="5">
        <v>35</v>
      </c>
      <c r="D58" s="1" t="s">
        <v>50</v>
      </c>
      <c r="E58" s="5">
        <v>31.5</v>
      </c>
      <c r="F58" s="5">
        <v>0.55000000000000004</v>
      </c>
      <c r="G58" s="6">
        <f t="shared" si="13"/>
        <v>17.325000000000003</v>
      </c>
      <c r="H58" s="22"/>
      <c r="I58" s="22"/>
      <c r="J58" s="22"/>
      <c r="K58" s="21"/>
      <c r="L58" s="18">
        <f t="shared" si="10"/>
        <v>0</v>
      </c>
      <c r="M58" s="18">
        <f t="shared" si="11"/>
        <v>7.7000000000000011</v>
      </c>
      <c r="N58" s="18">
        <f t="shared" si="12"/>
        <v>17.325000000000003</v>
      </c>
      <c r="O58" s="6"/>
      <c r="P58" s="6"/>
      <c r="Q58" s="6"/>
      <c r="R58" s="6"/>
      <c r="S58" s="6"/>
    </row>
    <row r="59" spans="2:19" ht="19.95" customHeight="1" x14ac:dyDescent="0.3">
      <c r="B59" s="3"/>
      <c r="C59" s="5">
        <v>36</v>
      </c>
      <c r="D59" s="1" t="s">
        <v>66</v>
      </c>
      <c r="E59" s="5">
        <v>31.5</v>
      </c>
      <c r="F59" s="5">
        <v>4</v>
      </c>
      <c r="G59" s="6">
        <f t="shared" ref="G59" si="34">E59*F59</f>
        <v>126</v>
      </c>
      <c r="H59" s="22">
        <v>2.2999999999999998</v>
      </c>
      <c r="I59" s="22">
        <v>4</v>
      </c>
      <c r="J59" s="22">
        <v>10</v>
      </c>
      <c r="K59" s="21">
        <f t="shared" ref="K59" si="35">(H59*I59)*J59</f>
        <v>92</v>
      </c>
      <c r="L59" s="18">
        <f t="shared" ref="L59" si="36">((H59+I59)*2)*J59</f>
        <v>126</v>
      </c>
      <c r="M59" s="18">
        <f t="shared" ref="M59" si="37">(F59*2)*7</f>
        <v>56</v>
      </c>
      <c r="N59" s="18">
        <f t="shared" ref="N59" si="38">G59-K59</f>
        <v>34</v>
      </c>
      <c r="O59" s="6"/>
      <c r="P59" s="6"/>
      <c r="Q59" s="6"/>
      <c r="R59" s="6"/>
      <c r="S59" s="6"/>
    </row>
    <row r="60" spans="2:19" ht="19.95" customHeight="1" x14ac:dyDescent="0.3">
      <c r="B60" s="3"/>
      <c r="C60" s="5" t="s">
        <v>65</v>
      </c>
      <c r="D60" s="1" t="s">
        <v>67</v>
      </c>
      <c r="E60" s="5">
        <f>31.5-9</f>
        <v>22.5</v>
      </c>
      <c r="F60" s="5">
        <v>2.3199999999999998</v>
      </c>
      <c r="G60" s="6">
        <f t="shared" ref="G60" si="39">E60*F60</f>
        <v>52.199999999999996</v>
      </c>
      <c r="H60" s="22"/>
      <c r="I60" s="22"/>
      <c r="J60" s="22"/>
      <c r="K60" s="21"/>
      <c r="L60" s="18">
        <f t="shared" ref="L60" si="40">((H60+I60)*2)*J60</f>
        <v>0</v>
      </c>
      <c r="M60" s="18">
        <f t="shared" ref="M60" si="41">(F60*2)*7</f>
        <v>32.479999999999997</v>
      </c>
      <c r="N60" s="18">
        <f>G60-K60-K61</f>
        <v>52.199999999999996</v>
      </c>
      <c r="O60" s="6"/>
      <c r="Q60" s="6"/>
      <c r="R60" s="6"/>
      <c r="S60" s="6"/>
    </row>
    <row r="61" spans="2:19" ht="19.95" customHeight="1" x14ac:dyDescent="0.3">
      <c r="B61" s="3"/>
      <c r="E61" s="5">
        <v>9</v>
      </c>
      <c r="F61" s="5">
        <v>2.3199999999999998</v>
      </c>
      <c r="G61" s="6">
        <f t="shared" ref="G61" si="42">E61*F61</f>
        <v>20.88</v>
      </c>
      <c r="H61" s="22"/>
      <c r="I61" s="22"/>
      <c r="J61" s="22"/>
      <c r="K61" s="21"/>
      <c r="L61" s="18">
        <f t="shared" ref="L61" si="43">((H61+I61)*2)*J61</f>
        <v>0</v>
      </c>
      <c r="M61" s="18">
        <f t="shared" ref="M61" si="44">(F61*2)*7</f>
        <v>32.479999999999997</v>
      </c>
      <c r="N61" s="18"/>
      <c r="O61" s="6"/>
      <c r="P61" s="6"/>
      <c r="Q61" s="6"/>
      <c r="R61" s="6"/>
      <c r="S61" s="6"/>
    </row>
    <row r="62" spans="2:19" ht="19.95" customHeight="1" x14ac:dyDescent="0.3">
      <c r="B62" s="3"/>
      <c r="G62" s="6"/>
      <c r="H62" s="22"/>
      <c r="I62" s="22"/>
      <c r="J62" s="22"/>
      <c r="K62" s="21"/>
      <c r="L62" s="18"/>
      <c r="M62" s="18"/>
      <c r="N62" s="18"/>
      <c r="O62" s="6"/>
      <c r="P62" s="6"/>
      <c r="Q62" s="6"/>
      <c r="R62" s="6"/>
      <c r="S62" s="6"/>
    </row>
    <row r="63" spans="2:19" ht="19.95" customHeight="1" x14ac:dyDescent="0.3">
      <c r="G63" s="6"/>
      <c r="H63" s="22"/>
      <c r="I63" s="22"/>
      <c r="J63" s="22"/>
      <c r="K63" s="21"/>
      <c r="L63" s="19"/>
      <c r="M63" s="19"/>
      <c r="N63" s="19"/>
      <c r="O63" s="8"/>
      <c r="P63" s="8"/>
      <c r="Q63" s="8"/>
      <c r="R63" s="6"/>
      <c r="S63" s="6"/>
    </row>
    <row r="64" spans="2:19" ht="19.95" customHeight="1" x14ac:dyDescent="0.3">
      <c r="B64" s="3"/>
      <c r="G64" s="6"/>
      <c r="H64" s="22"/>
      <c r="I64" s="22"/>
      <c r="J64" s="22"/>
      <c r="K64" s="21"/>
      <c r="L64" s="18"/>
      <c r="M64" s="18"/>
      <c r="N64" s="18"/>
      <c r="O64" s="1"/>
      <c r="P64" s="6"/>
      <c r="Q64" s="6"/>
      <c r="R64" s="6"/>
      <c r="S64" s="6"/>
    </row>
    <row r="65" spans="4:19" ht="19.95" customHeight="1" x14ac:dyDescent="0.3">
      <c r="G65" s="6"/>
      <c r="H65" s="22"/>
      <c r="I65" s="22"/>
      <c r="J65" s="22"/>
      <c r="K65" s="17"/>
      <c r="L65" s="19"/>
      <c r="M65" s="19"/>
      <c r="N65" s="19"/>
      <c r="O65" s="8"/>
      <c r="P65" s="8"/>
      <c r="Q65" s="8"/>
      <c r="R65" s="6"/>
      <c r="S65" s="6"/>
    </row>
    <row r="66" spans="4:19" ht="19.95" customHeight="1" x14ac:dyDescent="0.3">
      <c r="G66" s="6"/>
      <c r="H66" s="22"/>
      <c r="I66" s="22"/>
      <c r="J66" s="22"/>
      <c r="K66" s="17"/>
      <c r="L66" s="19"/>
      <c r="M66" s="19"/>
      <c r="N66" s="19"/>
      <c r="O66" s="8"/>
      <c r="P66" s="8"/>
      <c r="Q66" s="8"/>
      <c r="R66" s="6"/>
      <c r="S66" s="6"/>
    </row>
    <row r="67" spans="4:19" ht="19.95" customHeight="1" x14ac:dyDescent="0.3">
      <c r="D67" s="13" t="s">
        <v>17</v>
      </c>
      <c r="E67" s="12"/>
      <c r="F67" s="12"/>
      <c r="G67" s="20">
        <f>SUM(G5:G66)</f>
        <v>3567.652000000001</v>
      </c>
      <c r="I67" s="16"/>
      <c r="J67" s="25" t="s">
        <v>16</v>
      </c>
      <c r="K67" s="24"/>
      <c r="L67" s="12"/>
      <c r="M67" s="12"/>
      <c r="N67" s="12"/>
      <c r="O67" s="20">
        <f>SUM(O5:O66)</f>
        <v>467.34950000000003</v>
      </c>
      <c r="P67" s="20">
        <f>SUM(P5:P66)</f>
        <v>104.17500000000001</v>
      </c>
      <c r="Q67" s="20">
        <f>SUM(Q5:Q66)</f>
        <v>0</v>
      </c>
      <c r="R67" s="20">
        <f>SUM(R5:R66)</f>
        <v>41.67</v>
      </c>
      <c r="S67" s="20">
        <f>SUM(S5:S66)</f>
        <v>0</v>
      </c>
    </row>
    <row r="68" spans="4:19" ht="19.95" customHeight="1" x14ac:dyDescent="0.3">
      <c r="H68" s="6">
        <f>G67-O68</f>
        <v>2954.4575000000009</v>
      </c>
      <c r="O68" s="8">
        <f>SUM(O67:S67)</f>
        <v>613.19449999999995</v>
      </c>
      <c r="P68" s="6"/>
      <c r="Q68" s="6"/>
    </row>
    <row r="69" spans="4:19" ht="19.95" customHeight="1" x14ac:dyDescent="0.3"/>
    <row r="70" spans="4:19" ht="19.95" customHeight="1" x14ac:dyDescent="0.3">
      <c r="L70" s="5" t="s">
        <v>22</v>
      </c>
      <c r="M70" s="5" t="s">
        <v>21</v>
      </c>
      <c r="P70" s="6">
        <f>P67/3</f>
        <v>34.725000000000001</v>
      </c>
    </row>
    <row r="71" spans="4:19" ht="19.95" customHeight="1" x14ac:dyDescent="0.3">
      <c r="K71" s="8">
        <f>O68/65</f>
        <v>9.4337615384615372</v>
      </c>
      <c r="L71" s="8">
        <f>R71</f>
        <v>0.55559999999999998</v>
      </c>
      <c r="M71" s="8">
        <f>SUM(O71:Q71)+S71</f>
        <v>8.7926846153846157</v>
      </c>
      <c r="N71" s="8"/>
      <c r="O71" s="6">
        <f>O67/65</f>
        <v>7.1899923076923082</v>
      </c>
      <c r="P71" s="6">
        <f>P67/65</f>
        <v>1.6026923076923079</v>
      </c>
      <c r="Q71" s="6">
        <f>Q67/65</f>
        <v>0</v>
      </c>
      <c r="R71" s="6">
        <f>R67/75</f>
        <v>0.55559999999999998</v>
      </c>
      <c r="S71" s="6">
        <f>S67/75</f>
        <v>0</v>
      </c>
    </row>
    <row r="72" spans="4:19" ht="19.95" customHeight="1" x14ac:dyDescent="0.3">
      <c r="P72" s="6">
        <f>P71/3</f>
        <v>0.53423076923076929</v>
      </c>
    </row>
    <row r="73" spans="4:19" ht="19.95" customHeight="1" x14ac:dyDescent="0.3">
      <c r="L73" s="6">
        <f>SUM(L5:L66)</f>
        <v>1388.5</v>
      </c>
    </row>
    <row r="74" spans="4:19" ht="19.95" customHeight="1" x14ac:dyDescent="0.3"/>
    <row r="75" spans="4:19" ht="19.95" customHeight="1" x14ac:dyDescent="0.3"/>
  </sheetData>
  <mergeCells count="3">
    <mergeCell ref="A2:R2"/>
    <mergeCell ref="E3:G3"/>
    <mergeCell ref="H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CANTIDAD DE OBRA (T2)</vt:lpstr>
      <vt:lpstr>CANTIDAD DE OBRA (T1)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Yhony Esli Palacios García</dc:creator>
  <cp:lastModifiedBy>Andrés Felipe Montoya Osorio</cp:lastModifiedBy>
  <cp:lastPrinted>2025-04-22T20:08:27Z</cp:lastPrinted>
  <dcterms:created xsi:type="dcterms:W3CDTF">2024-02-15T00:30:45Z</dcterms:created>
  <dcterms:modified xsi:type="dcterms:W3CDTF">2025-06-17T16:27:41Z</dcterms:modified>
</cp:coreProperties>
</file>