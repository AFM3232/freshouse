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13_ncr:1_{FEC9D370-DA8E-7C44-A8A8-A4EF9148F0E7}" xr6:coauthVersionLast="47" xr6:coauthVersionMax="47" xr10:uidLastSave="{00000000-0000-0000-0000-000000000000}"/>
  <bookViews>
    <workbookView xWindow="0" yWindow="660" windowWidth="29400" windowHeight="16980" tabRatio="839" xr2:uid="{32E6358C-74EC-4324-BBF7-D167822776E0}"/>
  </bookViews>
  <sheets>
    <sheet name="acta #1" sheetId="3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2" i="36" l="1"/>
  <c r="N10" i="36" l="1"/>
  <c r="K22" i="36" l="1"/>
  <c r="M22" i="36" s="1"/>
  <c r="M21" i="36" s="1"/>
  <c r="M56" i="36"/>
  <c r="M47" i="36"/>
  <c r="M39" i="36"/>
  <c r="M37" i="36"/>
  <c r="M29" i="36"/>
  <c r="L42" i="36"/>
  <c r="K41" i="36"/>
  <c r="M41" i="36" s="1"/>
  <c r="K8" i="36"/>
  <c r="M8" i="36" s="1"/>
  <c r="K10" i="36"/>
  <c r="M10" i="36" s="1"/>
  <c r="K11" i="36"/>
  <c r="M11" i="36" s="1"/>
  <c r="K12" i="36"/>
  <c r="L12" i="36" s="1"/>
  <c r="K13" i="36"/>
  <c r="L13" i="36" s="1"/>
  <c r="K14" i="36"/>
  <c r="M14" i="36" s="1"/>
  <c r="K17" i="36"/>
  <c r="L17" i="36" s="1"/>
  <c r="K18" i="36"/>
  <c r="L18" i="36" s="1"/>
  <c r="K19" i="36"/>
  <c r="L19" i="36" s="1"/>
  <c r="K20" i="36"/>
  <c r="L20" i="36" s="1"/>
  <c r="K21" i="36"/>
  <c r="K24" i="36"/>
  <c r="L24" i="36" s="1"/>
  <c r="K25" i="36"/>
  <c r="L25" i="36" s="1"/>
  <c r="K26" i="36"/>
  <c r="M26" i="36" s="1"/>
  <c r="K28" i="36"/>
  <c r="L28" i="36" s="1"/>
  <c r="K31" i="36"/>
  <c r="L31" i="36" s="1"/>
  <c r="K32" i="36"/>
  <c r="L32" i="36" s="1"/>
  <c r="K34" i="36"/>
  <c r="L34" i="36" s="1"/>
  <c r="K35" i="36"/>
  <c r="L35" i="36" s="1"/>
  <c r="K36" i="36"/>
  <c r="M36" i="36" s="1"/>
  <c r="K38" i="36"/>
  <c r="L38" i="36" s="1"/>
  <c r="K42" i="36"/>
  <c r="M42" i="36" s="1"/>
  <c r="K44" i="36"/>
  <c r="L44" i="36" s="1"/>
  <c r="K46" i="36"/>
  <c r="L46" i="36" s="1"/>
  <c r="K49" i="36"/>
  <c r="L49" i="36" s="1"/>
  <c r="K50" i="36"/>
  <c r="M50" i="36" s="1"/>
  <c r="K52" i="36"/>
  <c r="K53" i="36"/>
  <c r="M53" i="36" s="1"/>
  <c r="M51" i="36" s="1"/>
  <c r="K55" i="36"/>
  <c r="L55" i="36" s="1"/>
  <c r="K58" i="36"/>
  <c r="L58" i="36" s="1"/>
  <c r="K59" i="36"/>
  <c r="M59" i="36" s="1"/>
  <c r="K61" i="36"/>
  <c r="M61" i="36" s="1"/>
  <c r="K62" i="36"/>
  <c r="L62" i="36" s="1"/>
  <c r="K64" i="36"/>
  <c r="M64" i="36" s="1"/>
  <c r="M63" i="36" s="1"/>
  <c r="K67" i="36"/>
  <c r="L67" i="36" s="1"/>
  <c r="K68" i="36"/>
  <c r="M68" i="36" s="1"/>
  <c r="K70" i="36"/>
  <c r="M70" i="36" s="1"/>
  <c r="K71" i="36"/>
  <c r="L71" i="36" s="1"/>
  <c r="K72" i="36"/>
  <c r="L72" i="36" s="1"/>
  <c r="K73" i="36"/>
  <c r="L73" i="36" s="1"/>
  <c r="K76" i="36"/>
  <c r="L76" i="36" s="1"/>
  <c r="K78" i="36"/>
  <c r="M78" i="36" s="1"/>
  <c r="K80" i="36"/>
  <c r="M80" i="36" s="1"/>
  <c r="K81" i="36"/>
  <c r="M81" i="36" s="1"/>
  <c r="K83" i="36"/>
  <c r="L83" i="36" s="1"/>
  <c r="K84" i="36"/>
  <c r="M84" i="36" s="1"/>
  <c r="K85" i="36"/>
  <c r="M85" i="36" s="1"/>
  <c r="K87" i="36"/>
  <c r="L87" i="36" s="1"/>
  <c r="K7" i="36"/>
  <c r="M7" i="36" s="1"/>
  <c r="J87" i="36"/>
  <c r="J86" i="36" s="1"/>
  <c r="J85" i="36"/>
  <c r="J84" i="36"/>
  <c r="J83" i="36"/>
  <c r="J81" i="36"/>
  <c r="J80" i="36"/>
  <c r="J78" i="36"/>
  <c r="J76" i="36"/>
  <c r="J74" i="36" s="1"/>
  <c r="J73" i="36"/>
  <c r="J72" i="36"/>
  <c r="J71" i="36"/>
  <c r="J70" i="36"/>
  <c r="J68" i="36"/>
  <c r="J67" i="36"/>
  <c r="J64" i="36"/>
  <c r="J63" i="36" s="1"/>
  <c r="J62" i="36"/>
  <c r="J61" i="36"/>
  <c r="J60" i="36" s="1"/>
  <c r="J59" i="36"/>
  <c r="J58" i="36"/>
  <c r="J55" i="36"/>
  <c r="J54" i="36" s="1"/>
  <c r="J53" i="36"/>
  <c r="J51" i="36" s="1"/>
  <c r="J50" i="36"/>
  <c r="J49" i="36"/>
  <c r="J48" i="36" s="1"/>
  <c r="J44" i="36"/>
  <c r="J43" i="36" s="1"/>
  <c r="J46" i="36"/>
  <c r="J45" i="36" s="1"/>
  <c r="J42" i="36"/>
  <c r="J41" i="36"/>
  <c r="J38" i="36"/>
  <c r="J37" i="36" s="1"/>
  <c r="I38" i="36"/>
  <c r="J36" i="36"/>
  <c r="J35" i="36"/>
  <c r="J34" i="36"/>
  <c r="J32" i="36"/>
  <c r="J31" i="36"/>
  <c r="J28" i="36"/>
  <c r="J27" i="36" s="1"/>
  <c r="J26" i="36"/>
  <c r="J25" i="36"/>
  <c r="J24" i="36"/>
  <c r="J22" i="36"/>
  <c r="J21" i="36" s="1"/>
  <c r="J20" i="36"/>
  <c r="J14" i="36"/>
  <c r="J13" i="36"/>
  <c r="J12" i="36"/>
  <c r="J11" i="36"/>
  <c r="J10" i="36"/>
  <c r="I8" i="36"/>
  <c r="I10" i="36"/>
  <c r="I11" i="36"/>
  <c r="I12" i="36"/>
  <c r="I13" i="36"/>
  <c r="I14" i="36"/>
  <c r="I20" i="36"/>
  <c r="I22" i="36"/>
  <c r="I24" i="36"/>
  <c r="I25" i="36"/>
  <c r="I26" i="36"/>
  <c r="I28" i="36"/>
  <c r="I31" i="36"/>
  <c r="I32" i="36"/>
  <c r="I34" i="36"/>
  <c r="I35" i="36"/>
  <c r="I36" i="36"/>
  <c r="I41" i="36"/>
  <c r="I42" i="36"/>
  <c r="I44" i="36"/>
  <c r="I46" i="36"/>
  <c r="I49" i="36"/>
  <c r="I50" i="36"/>
  <c r="I53" i="36"/>
  <c r="I55" i="36"/>
  <c r="I58" i="36"/>
  <c r="I59" i="36"/>
  <c r="I61" i="36"/>
  <c r="I62" i="36"/>
  <c r="I64" i="36"/>
  <c r="I67" i="36"/>
  <c r="I68" i="36"/>
  <c r="I70" i="36"/>
  <c r="I71" i="36"/>
  <c r="I72" i="36"/>
  <c r="I73" i="36"/>
  <c r="I76" i="36"/>
  <c r="I78" i="36"/>
  <c r="I80" i="36"/>
  <c r="I81" i="36"/>
  <c r="I83" i="36"/>
  <c r="I84" i="36"/>
  <c r="I85" i="36"/>
  <c r="I87" i="36"/>
  <c r="G64" i="36"/>
  <c r="G63" i="36" s="1"/>
  <c r="G62" i="36"/>
  <c r="G61" i="36"/>
  <c r="G59" i="36"/>
  <c r="G58" i="36"/>
  <c r="G55" i="36"/>
  <c r="G53" i="36"/>
  <c r="G50" i="36"/>
  <c r="G49" i="36"/>
  <c r="G46" i="36"/>
  <c r="G45" i="36" s="1"/>
  <c r="G44" i="36"/>
  <c r="G43" i="36" s="1"/>
  <c r="G42" i="36"/>
  <c r="G41" i="36"/>
  <c r="G38" i="36"/>
  <c r="G37" i="36" s="1"/>
  <c r="G36" i="36"/>
  <c r="G35" i="36"/>
  <c r="G34" i="36"/>
  <c r="G32" i="36"/>
  <c r="G31" i="36"/>
  <c r="G28" i="36"/>
  <c r="G27" i="36" s="1"/>
  <c r="G26" i="36"/>
  <c r="G25" i="36"/>
  <c r="G24" i="36"/>
  <c r="G22" i="36"/>
  <c r="G21" i="36" s="1"/>
  <c r="G20" i="36"/>
  <c r="G19" i="36"/>
  <c r="G18" i="36"/>
  <c r="G17" i="36"/>
  <c r="G14" i="36"/>
  <c r="G13" i="36"/>
  <c r="G12" i="36"/>
  <c r="G11" i="36"/>
  <c r="G10" i="36"/>
  <c r="G8" i="36"/>
  <c r="G7" i="36"/>
  <c r="J30" i="36" l="1"/>
  <c r="J66" i="36"/>
  <c r="J82" i="36"/>
  <c r="M19" i="36"/>
  <c r="M18" i="36"/>
  <c r="G16" i="36"/>
  <c r="L11" i="36"/>
  <c r="M44" i="36"/>
  <c r="M43" i="36" s="1"/>
  <c r="M40" i="36"/>
  <c r="G30" i="36"/>
  <c r="J57" i="36"/>
  <c r="M20" i="36"/>
  <c r="M58" i="36"/>
  <c r="M57" i="36" s="1"/>
  <c r="M34" i="36"/>
  <c r="M33" i="36" s="1"/>
  <c r="M72" i="36"/>
  <c r="M71" i="36"/>
  <c r="M69" i="36" s="1"/>
  <c r="G23" i="36"/>
  <c r="J69" i="36"/>
  <c r="L10" i="36"/>
  <c r="M35" i="36"/>
  <c r="M73" i="36"/>
  <c r="M31" i="36"/>
  <c r="M32" i="36"/>
  <c r="L8" i="36"/>
  <c r="M87" i="36"/>
  <c r="M86" i="36" s="1"/>
  <c r="M55" i="36"/>
  <c r="M54" i="36" s="1"/>
  <c r="L41" i="36"/>
  <c r="M17" i="36"/>
  <c r="L64" i="36"/>
  <c r="L81" i="36"/>
  <c r="L80" i="36"/>
  <c r="M46" i="36"/>
  <c r="M45" i="36" s="1"/>
  <c r="L61" i="36"/>
  <c r="L22" i="36"/>
  <c r="M76" i="36"/>
  <c r="M74" i="36" s="1"/>
  <c r="L36" i="36"/>
  <c r="M24" i="36"/>
  <c r="M62" i="36"/>
  <c r="M60" i="36" s="1"/>
  <c r="L78" i="36"/>
  <c r="L59" i="36"/>
  <c r="J33" i="36"/>
  <c r="L53" i="36"/>
  <c r="M25" i="36"/>
  <c r="M38" i="36"/>
  <c r="L26" i="36"/>
  <c r="G33" i="36"/>
  <c r="L85" i="36"/>
  <c r="L70" i="36"/>
  <c r="L50" i="36"/>
  <c r="M12" i="36"/>
  <c r="M49" i="36"/>
  <c r="M48" i="36" s="1"/>
  <c r="M67" i="36"/>
  <c r="M66" i="36" s="1"/>
  <c r="M83" i="36"/>
  <c r="M82" i="36" s="1"/>
  <c r="J9" i="36"/>
  <c r="L84" i="36"/>
  <c r="L68" i="36"/>
  <c r="L14" i="36"/>
  <c r="M13" i="36"/>
  <c r="M28" i="36"/>
  <c r="M27" i="36" s="1"/>
  <c r="I19" i="36"/>
  <c r="G40" i="36"/>
  <c r="G60" i="36"/>
  <c r="G57" i="36"/>
  <c r="G9" i="36"/>
  <c r="G48" i="36"/>
  <c r="G6" i="36"/>
  <c r="G15" i="36"/>
  <c r="M15" i="36" l="1"/>
  <c r="M30" i="36"/>
  <c r="M9" i="36"/>
  <c r="M23" i="36"/>
  <c r="G88" i="36"/>
  <c r="J29" i="36" l="1"/>
  <c r="J23" i="36"/>
  <c r="J8" i="36"/>
  <c r="J7" i="36"/>
  <c r="I7" i="36"/>
  <c r="M6" i="36" l="1"/>
  <c r="M88" i="36" s="1"/>
  <c r="L7" i="36"/>
  <c r="J40" i="36"/>
  <c r="J6" i="36"/>
  <c r="G90" i="36" l="1"/>
  <c r="E96" i="36" s="1"/>
  <c r="E97" i="36" s="1"/>
  <c r="J17" i="36" l="1"/>
  <c r="I17" i="36"/>
  <c r="I18" i="36"/>
  <c r="J18" i="36"/>
  <c r="M89" i="36" l="1"/>
  <c r="M92" i="36" l="1"/>
  <c r="M91" i="36"/>
  <c r="M94" i="36" s="1"/>
  <c r="M93" i="36" l="1"/>
  <c r="M95" i="36" s="1"/>
  <c r="J19" i="36"/>
  <c r="J15" i="36" l="1"/>
  <c r="J88" i="36" s="1"/>
  <c r="J89" i="36" s="1"/>
  <c r="J91" i="36" l="1"/>
  <c r="J94" i="36" s="1"/>
  <c r="E100" i="36" l="1"/>
  <c r="E101" i="36" s="1"/>
  <c r="J93" i="36"/>
  <c r="E98" i="36" s="1"/>
  <c r="D98" i="36" s="1"/>
  <c r="E99" i="36" l="1"/>
  <c r="J95" i="36"/>
</calcChain>
</file>

<file path=xl/sharedStrings.xml><?xml version="1.0" encoding="utf-8"?>
<sst xmlns="http://schemas.openxmlformats.org/spreadsheetml/2006/main" count="229" uniqueCount="108">
  <si>
    <t>M2</t>
  </si>
  <si>
    <t>FACHADA</t>
  </si>
  <si>
    <t>ML</t>
  </si>
  <si>
    <t>2.2</t>
  </si>
  <si>
    <t>2.1</t>
  </si>
  <si>
    <t>3.2</t>
  </si>
  <si>
    <t>3.1</t>
  </si>
  <si>
    <t>Cantidad</t>
  </si>
  <si>
    <t>% ejecucion</t>
  </si>
  <si>
    <t>1.1</t>
  </si>
  <si>
    <t>1.2</t>
  </si>
  <si>
    <t>3.3</t>
  </si>
  <si>
    <t>4.2</t>
  </si>
  <si>
    <t>4.3</t>
  </si>
  <si>
    <t>5.1</t>
  </si>
  <si>
    <t>IVA/U</t>
  </si>
  <si>
    <t>Vr Esta Acta</t>
  </si>
  <si>
    <t>Saldo por Amortizar</t>
  </si>
  <si>
    <t>Vr Amortizacion Anticipo esta acta</t>
  </si>
  <si>
    <t>Valor Anticipo</t>
  </si>
  <si>
    <t>Valor Contrato</t>
  </si>
  <si>
    <t>Total Desembolso</t>
  </si>
  <si>
    <t>retegarantia</t>
  </si>
  <si>
    <t>amortizac anticipo</t>
  </si>
  <si>
    <t>retefuente</t>
  </si>
  <si>
    <t>Total Vr. Acta</t>
  </si>
  <si>
    <t>TOTAL PROPUESTA</t>
  </si>
  <si>
    <t>TOTAL SIN IVA</t>
  </si>
  <si>
    <t>T. directos</t>
  </si>
  <si>
    <t>Aprobado: Ing. Luis Fernando Márquez Jaramillo-Interventoria</t>
  </si>
  <si>
    <t>UN</t>
  </si>
  <si>
    <t>PREPARACION DE SUPERFICIES</t>
  </si>
  <si>
    <t>PRELIMINARES</t>
  </si>
  <si>
    <t>Valor Total</t>
  </si>
  <si>
    <t>% avance</t>
  </si>
  <si>
    <t>Acta 01- Periodo del</t>
  </si>
  <si>
    <t>PNK-001-2025</t>
  </si>
  <si>
    <t>Contratista: Freshouse SAS</t>
  </si>
  <si>
    <t>INTERVENTOR: Ing. Luis Fernando Márquez Jaramillo</t>
  </si>
  <si>
    <t>Contratante: Edificio Panoramika PH</t>
  </si>
  <si>
    <t>ACTA 01 DE AVANCE DE OBRA-EDIF PANORAMIKA</t>
  </si>
  <si>
    <t>Acumulado de actas</t>
  </si>
  <si>
    <t xml:space="preserve">  FECHA: 21/02/2026</t>
  </si>
  <si>
    <t>Campamento de Obra</t>
  </si>
  <si>
    <t>Gbl</t>
  </si>
  <si>
    <t>Señalizacion y Seguridad de la Obra</t>
  </si>
  <si>
    <t>Lavado General de Superficies a Intervenir</t>
  </si>
  <si>
    <t>Retiro y Reemplazo de Graniplast Deteriorado   en fachadas de las tres torres   (26% DEL TOTAL APROX)</t>
  </si>
  <si>
    <t>2.3</t>
  </si>
  <si>
    <t>Reposicion de Mortero en mal estado en fachadas de las tres torres</t>
  </si>
  <si>
    <t>2.4</t>
  </si>
  <si>
    <t xml:space="preserve">Retiro y Reemplazo de Superboard en mal estado en fachadas de las tres torres                                           </t>
  </si>
  <si>
    <t>2.5</t>
  </si>
  <si>
    <t xml:space="preserve">Retiro y Reemplazo de Drywall en mal estado en cielos rasos de fachadas                                         </t>
  </si>
  <si>
    <t xml:space="preserve">ACABADO Y PINTURA </t>
  </si>
  <si>
    <t>PINTURA PARA EXTERIORES-TIPO KORAZA</t>
  </si>
  <si>
    <t xml:space="preserve">Suministro y Aplicación de Pintura para exteriores, tipo Koraza, sobre superficies de Fachadas y Muros Externos de los bloques de apartamentos </t>
  </si>
  <si>
    <t xml:space="preserve"> Suministro y Aplicación de Pintura para exteriores tipo Koraza, en antepechos de terrazas en los primeros pisos de los bloques y en jardineras</t>
  </si>
  <si>
    <t>Suministro y Aplicación de Pintura para exteriores, tipo Koraza, en elementos volumetricos de superboard en las fachadas</t>
  </si>
  <si>
    <t>3.4</t>
  </si>
  <si>
    <t>Suministro y Aplicación de Pintura para exteriores, tipo koraza, color gris basalto, sobre alfajias de escaleras de acceso a los bloques y de areas comunes externas.</t>
  </si>
  <si>
    <t>PINTURA ESMALTE TIPO 3 EN 1</t>
  </si>
  <si>
    <t>3.10</t>
  </si>
  <si>
    <t>Suministro y Aplicacion de Pintura tipo 3 en 1 sobre rejas metalicas en las terrazas del primer piso</t>
  </si>
  <si>
    <t xml:space="preserve">TRATAMIENTOS  ESPECIALES CONTRA HUMEDADES </t>
  </si>
  <si>
    <t>Retiro y Reposicion de sello perimetral en elementos vidriados de los bloque de apartamentos (30% DEL TOTAL)</t>
  </si>
  <si>
    <t>4.4</t>
  </si>
  <si>
    <t>Suministro e Instalacion de Cortagoteras en Balcones y Accesos a los bloques de aptos</t>
  </si>
  <si>
    <t>Impermeabilizacion de tres terrazas sobre los puntos fijos de las escaleras de los bloques</t>
  </si>
  <si>
    <t>ASEO GENERAL DE OBRA Y RETIRO DE ESCOMBROS</t>
  </si>
  <si>
    <t>Aseo General y Retiro de Escombros y Sobrantes</t>
  </si>
  <si>
    <t>GBL</t>
  </si>
  <si>
    <t>Capitulo</t>
  </si>
  <si>
    <t>Items</t>
  </si>
  <si>
    <t>Descripcion de Actividad</t>
  </si>
  <si>
    <t>Unidad</t>
  </si>
  <si>
    <t>Vr Unitario</t>
  </si>
  <si>
    <t>Vr Total</t>
  </si>
  <si>
    <t xml:space="preserve"> PRELIMINARES</t>
  </si>
  <si>
    <t>CUBIERTA NUEVA</t>
  </si>
  <si>
    <t>MANTENIMIENTO DE CUBIERTAS</t>
  </si>
  <si>
    <t>Cambio Total de Cubiertas</t>
  </si>
  <si>
    <t>Reparacion de morteros en cuchillas de cubierta-(30% DEL TOTAL)</t>
  </si>
  <si>
    <t>Suministro e Instalacion de Alfajias en lamina sobre muros perimetrales y medianeros en las cubiertas</t>
  </si>
  <si>
    <t>INTERIORES TORRES</t>
  </si>
  <si>
    <t>Suministro y Aplicación de Pintura tipo Vinilo en areas comunes internas de los bloques de aptos: paredes y cielos rasos</t>
  </si>
  <si>
    <t>PUERTAS TORRES</t>
  </si>
  <si>
    <t>Suministro y Aplicación de Pintura tipo 3 en 1, en puertas de los apartamentos (estan incluidas las de los exteriores, porteria-motobombas)</t>
  </si>
  <si>
    <t>PARQUEADEROS</t>
  </si>
  <si>
    <t>Suministro y Aplicación de Pintura tipo 3 en 1 en la totalidad de las estructuras metalicas de los parqueaderos externos</t>
  </si>
  <si>
    <t>Suministro y Aplicación de Pintuco Fill sobre las cubiertas de los parqueaderos</t>
  </si>
  <si>
    <t>ZONAS COMUNES</t>
  </si>
  <si>
    <r>
      <t xml:space="preserve">Retiro y Reemplazo de Graniplast Deteriorado   en fachadas de las areas comunes                                   </t>
    </r>
    <r>
      <rPr>
        <sz val="10"/>
        <color rgb="FFFF0000"/>
        <rFont val="Calibri Light"/>
        <family val="2"/>
      </rPr>
      <t xml:space="preserve">  (26% DEL TOTAL APROX)</t>
    </r>
  </si>
  <si>
    <t>Reposicion de Mortero en mal estado en fachadas de las AREAS COMUNES</t>
  </si>
  <si>
    <t xml:space="preserve">Retiro y Reemplazo de Superboard en mal estado en fachadas de las AREAS COMUNES                           </t>
  </si>
  <si>
    <t>Suministro y Aplicación de Pintura para exteriores, tipo Koraza, sobre superficies de Fachadas y Muros Externos de Las areas comunes</t>
  </si>
  <si>
    <t>PINTURA PARA INTERIORES TIPO VINILO</t>
  </si>
  <si>
    <t>3.5</t>
  </si>
  <si>
    <t>Suministro y Aplicación de Pintura tipo Vinilo en areas comunes internas : paredes y cielos rasos</t>
  </si>
  <si>
    <t>3.6</t>
  </si>
  <si>
    <t>Suministro y Aplicación de Pintura tipo 3 en 1, en puertas de porteria-motobombas</t>
  </si>
  <si>
    <t>3.7</t>
  </si>
  <si>
    <t>Suministro y Aplicación de Pintura para Barandas Metalicas en areas exteriores: gimnasio, pasillos, cuarto de acueducto, piscina</t>
  </si>
  <si>
    <t xml:space="preserve">TRATAMIENTOS  ESPECIALES CONTRA HUMEDADES y </t>
  </si>
  <si>
    <t>Sellado Perimetral de enchape en terraza del gimnasio</t>
  </si>
  <si>
    <r>
      <t xml:space="preserve">Retiro y Reposicion de sello perimetral en elementos vidriados  </t>
    </r>
    <r>
      <rPr>
        <sz val="10"/>
        <color rgb="FFFF0000"/>
        <rFont val="Calibri Light"/>
        <family val="2"/>
      </rPr>
      <t>(30% DEL TOTAL)</t>
    </r>
  </si>
  <si>
    <t>Recorrido al enchape de la terraza sobre el gimnasio: revision y reemplazo general del emboquillado de todo el piso y sellado de juntas perimetrales.</t>
  </si>
  <si>
    <t>ene 13 a febrero 27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</si>
</sst>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36"/>
      <color theme="1"/>
      <name val="Arial Narrow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sz val="10"/>
      <name val="Calibri Light"/>
      <family val="2"/>
    </font>
    <font>
      <sz val="10"/>
      <color rgb="FF000000"/>
      <name val="Calibri Light"/>
      <family val="2"/>
    </font>
    <font>
      <sz val="10"/>
      <color rgb="FFFF0000"/>
      <name val="Calibri Light"/>
      <family val="2"/>
    </font>
  </fonts>
  <fills count="20">
    <fill>
      <patternFill patternType="none"/>
    </fill>
    <fill>
      <patternFill patternType="gray125"/>
    </fill>
    <fill>
      <patternFill patternType="solid">
        <fgColor rgb="FFEEEB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BCCD5"/>
        <bgColor indexed="64"/>
      </patternFill>
    </fill>
    <fill>
      <patternFill patternType="solid">
        <fgColor rgb="FF31576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ABCCD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 applyAlignment="1">
      <alignment vertical="center"/>
    </xf>
    <xf numFmtId="44" fontId="3" fillId="0" borderId="0" xfId="2" applyFont="1" applyAlignment="1">
      <alignment vertical="center"/>
    </xf>
    <xf numFmtId="44" fontId="3" fillId="0" borderId="1" xfId="2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44" fontId="3" fillId="0" borderId="1" xfId="2" applyFont="1" applyBorder="1" applyAlignment="1">
      <alignment vertical="center"/>
    </xf>
    <xf numFmtId="44" fontId="5" fillId="4" borderId="1" xfId="0" applyNumberFormat="1" applyFont="1" applyFill="1" applyBorder="1" applyAlignment="1">
      <alignment horizontal="center" vertical="center"/>
    </xf>
    <xf numFmtId="9" fontId="3" fillId="0" borderId="1" xfId="1" applyFont="1" applyBorder="1" applyAlignment="1">
      <alignment vertical="center"/>
    </xf>
    <xf numFmtId="44" fontId="5" fillId="0" borderId="1" xfId="0" applyNumberFormat="1" applyFont="1" applyBorder="1" applyAlignment="1">
      <alignment horizontal="center" vertical="center"/>
    </xf>
    <xf numFmtId="44" fontId="5" fillId="5" borderId="1" xfId="0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vertical="center"/>
    </xf>
    <xf numFmtId="9" fontId="5" fillId="6" borderId="1" xfId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3" fontId="3" fillId="0" borderId="1" xfId="3" applyFont="1" applyBorder="1" applyAlignment="1">
      <alignment vertical="center"/>
    </xf>
    <xf numFmtId="44" fontId="3" fillId="6" borderId="1" xfId="2" applyFont="1" applyFill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5" fillId="7" borderId="1" xfId="0" applyNumberFormat="1" applyFont="1" applyFill="1" applyBorder="1" applyAlignment="1">
      <alignment vertical="center"/>
    </xf>
    <xf numFmtId="44" fontId="5" fillId="4" borderId="1" xfId="2" applyFont="1" applyFill="1" applyBorder="1" applyAlignment="1">
      <alignment vertical="center"/>
    </xf>
    <xf numFmtId="44" fontId="5" fillId="0" borderId="1" xfId="2" applyFont="1" applyFill="1" applyBorder="1" applyAlignment="1">
      <alignment vertical="center"/>
    </xf>
    <xf numFmtId="9" fontId="5" fillId="0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3" fontId="8" fillId="0" borderId="1" xfId="3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8" fillId="0" borderId="3" xfId="2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0" borderId="1" xfId="3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165" fontId="10" fillId="8" borderId="1" xfId="3" applyNumberFormat="1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164" fontId="9" fillId="8" borderId="3" xfId="2" applyNumberFormat="1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44" fontId="11" fillId="0" borderId="3" xfId="0" applyNumberFormat="1" applyFont="1" applyBorder="1" applyAlignment="1">
      <alignment vertical="center"/>
    </xf>
    <xf numFmtId="44" fontId="9" fillId="8" borderId="3" xfId="0" applyNumberFormat="1" applyFont="1" applyFill="1" applyBorder="1" applyAlignment="1">
      <alignment vertical="center"/>
    </xf>
    <xf numFmtId="164" fontId="8" fillId="0" borderId="1" xfId="2" applyNumberFormat="1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3" fontId="10" fillId="8" borderId="1" xfId="3" applyFont="1" applyFill="1" applyBorder="1" applyAlignment="1">
      <alignment vertical="center"/>
    </xf>
    <xf numFmtId="164" fontId="9" fillId="8" borderId="3" xfId="0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165" fontId="8" fillId="0" borderId="1" xfId="3" applyNumberFormat="1" applyFont="1" applyFill="1" applyBorder="1" applyAlignment="1">
      <alignment vertical="center"/>
    </xf>
    <xf numFmtId="164" fontId="10" fillId="8" borderId="1" xfId="0" applyNumberFormat="1" applyFont="1" applyFill="1" applyBorder="1" applyAlignment="1">
      <alignment vertical="center"/>
    </xf>
    <xf numFmtId="44" fontId="9" fillId="8" borderId="3" xfId="2" applyFont="1" applyFill="1" applyBorder="1" applyAlignment="1">
      <alignment vertical="center"/>
    </xf>
    <xf numFmtId="165" fontId="9" fillId="8" borderId="1" xfId="3" applyNumberFormat="1" applyFont="1" applyFill="1" applyBorder="1" applyAlignment="1">
      <alignment vertical="center"/>
    </xf>
    <xf numFmtId="44" fontId="8" fillId="0" borderId="1" xfId="0" applyNumberFormat="1" applyFont="1" applyBorder="1" applyAlignment="1">
      <alignment vertical="center"/>
    </xf>
    <xf numFmtId="44" fontId="8" fillId="0" borderId="1" xfId="2" applyFont="1" applyBorder="1" applyAlignment="1">
      <alignment vertical="center"/>
    </xf>
    <xf numFmtId="164" fontId="8" fillId="0" borderId="1" xfId="2" applyNumberFormat="1" applyFont="1" applyFill="1" applyBorder="1" applyAlignment="1">
      <alignment vertical="center"/>
    </xf>
    <xf numFmtId="166" fontId="8" fillId="0" borderId="1" xfId="3" applyNumberFormat="1" applyFont="1" applyBorder="1" applyAlignment="1">
      <alignment vertical="center"/>
    </xf>
    <xf numFmtId="0" fontId="13" fillId="13" borderId="11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vertical="center"/>
    </xf>
    <xf numFmtId="164" fontId="13" fillId="13" borderId="13" xfId="0" applyNumberFormat="1" applyFont="1" applyFill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164" fontId="15" fillId="0" borderId="12" xfId="0" applyNumberFormat="1" applyFont="1" applyBorder="1" applyAlignment="1">
      <alignment vertical="center"/>
    </xf>
    <xf numFmtId="164" fontId="15" fillId="0" borderId="13" xfId="0" applyNumberFormat="1" applyFont="1" applyBorder="1" applyAlignment="1">
      <alignment vertical="center"/>
    </xf>
    <xf numFmtId="2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164" fontId="14" fillId="0" borderId="13" xfId="0" applyNumberFormat="1" applyFont="1" applyBorder="1" applyAlignment="1">
      <alignment vertical="center"/>
    </xf>
    <xf numFmtId="44" fontId="14" fillId="0" borderId="12" xfId="0" applyNumberFormat="1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/>
    </xf>
    <xf numFmtId="164" fontId="13" fillId="13" borderId="13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44" fontId="3" fillId="14" borderId="1" xfId="2" applyFont="1" applyFill="1" applyBorder="1" applyAlignment="1">
      <alignment vertical="center"/>
    </xf>
    <xf numFmtId="44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44" fontId="5" fillId="14" borderId="1" xfId="2" applyFont="1" applyFill="1" applyBorder="1" applyAlignment="1">
      <alignment vertical="center"/>
    </xf>
    <xf numFmtId="0" fontId="5" fillId="15" borderId="1" xfId="0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vertical="center"/>
    </xf>
    <xf numFmtId="44" fontId="5" fillId="17" borderId="1" xfId="0" applyNumberFormat="1" applyFont="1" applyFill="1" applyBorder="1" applyAlignment="1">
      <alignment vertical="center"/>
    </xf>
    <xf numFmtId="9" fontId="5" fillId="14" borderId="1" xfId="1" applyFont="1" applyFill="1" applyBorder="1" applyAlignment="1">
      <alignment horizontal="center" vertical="center"/>
    </xf>
    <xf numFmtId="44" fontId="5" fillId="17" borderId="1" xfId="0" applyNumberFormat="1" applyFont="1" applyFill="1" applyBorder="1" applyAlignment="1">
      <alignment horizontal="center" vertical="center"/>
    </xf>
    <xf numFmtId="43" fontId="3" fillId="18" borderId="1" xfId="3" applyFont="1" applyFill="1" applyBorder="1" applyAlignment="1">
      <alignment vertical="center"/>
    </xf>
    <xf numFmtId="43" fontId="3" fillId="19" borderId="1" xfId="3" applyFont="1" applyFill="1" applyBorder="1" applyAlignment="1">
      <alignment vertical="center"/>
    </xf>
    <xf numFmtId="0" fontId="3" fillId="19" borderId="1" xfId="0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44" fontId="3" fillId="0" borderId="0" xfId="0" applyNumberFormat="1" applyFont="1" applyAlignment="1">
      <alignment vertical="center"/>
    </xf>
    <xf numFmtId="0" fontId="5" fillId="15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left" vertical="center" wrapText="1"/>
    </xf>
    <xf numFmtId="0" fontId="13" fillId="13" borderId="8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">
    <cellStyle name="Millares" xfId="3" builtinId="3"/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7C9D2"/>
      <color rgb="FFEEEBEE"/>
      <color rgb="FFFF7B89"/>
      <color rgb="FF447684"/>
      <color rgb="FF5C9BAC"/>
      <color rgb="FFD6E6EA"/>
      <color rgb="FFC5DBE1"/>
      <color rgb="FFFFB9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352035</xdr:colOff>
      <xdr:row>87</xdr:row>
      <xdr:rowOff>67734</xdr:rowOff>
    </xdr:from>
    <xdr:to>
      <xdr:col>2</xdr:col>
      <xdr:colOff>2049824</xdr:colOff>
      <xdr:row>92</xdr:row>
      <xdr:rowOff>139170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49ED90-8A7F-4054-881C-FCFA276B3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070" y="23618436"/>
          <a:ext cx="2265947" cy="962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45B8-3082-480E-B487-A38F9923FC9D}">
  <sheetPr>
    <pageSetUpPr fitToPage="1"/>
  </sheetPr>
  <dimension ref="A1:P107"/>
  <sheetViews>
    <sheetView tabSelected="1" zoomScale="81" zoomScaleNormal="70" workbookViewId="0">
      <selection activeCell="D11" sqref="D11"/>
    </sheetView>
  </sheetViews>
  <sheetFormatPr baseColWidth="10" defaultColWidth="11.5" defaultRowHeight="14" x14ac:dyDescent="0.2"/>
  <cols>
    <col min="1" max="1" width="6.33203125" style="1" bestFit="1" customWidth="1"/>
    <col min="2" max="2" width="7.5" style="1" bestFit="1" customWidth="1"/>
    <col min="3" max="3" width="41.33203125" style="1" bestFit="1" customWidth="1"/>
    <col min="4" max="4" width="10.5" style="1" bestFit="1" customWidth="1"/>
    <col min="5" max="5" width="16.6640625" style="1" bestFit="1" customWidth="1"/>
    <col min="6" max="6" width="20" style="1" customWidth="1"/>
    <col min="7" max="7" width="18" style="1" bestFit="1" customWidth="1"/>
    <col min="8" max="8" width="17.33203125" style="1" bestFit="1" customWidth="1"/>
    <col min="9" max="9" width="9.1640625" style="1" bestFit="1" customWidth="1"/>
    <col min="10" max="10" width="16.6640625" style="1" bestFit="1" customWidth="1"/>
    <col min="11" max="11" width="17.33203125" style="1" bestFit="1" customWidth="1"/>
    <col min="12" max="12" width="9.1640625" style="1" bestFit="1" customWidth="1"/>
    <col min="13" max="13" width="16.6640625" style="1" bestFit="1" customWidth="1"/>
    <col min="14" max="14" width="17.33203125" style="1" bestFit="1" customWidth="1"/>
    <col min="15" max="15" width="9.1640625" style="1" bestFit="1" customWidth="1"/>
    <col min="16" max="16" width="16.6640625" style="1" bestFit="1" customWidth="1"/>
    <col min="17" max="17" width="17.33203125" style="1" bestFit="1" customWidth="1"/>
    <col min="18" max="18" width="9.1640625" style="1" bestFit="1" customWidth="1"/>
    <col min="19" max="19" width="16.6640625" style="1" bestFit="1" customWidth="1"/>
    <col min="20" max="16384" width="11.5" style="1"/>
  </cols>
  <sheetData>
    <row r="1" spans="1:14" ht="25" x14ac:dyDescent="0.2">
      <c r="A1" s="127" t="s">
        <v>40</v>
      </c>
      <c r="B1" s="127"/>
      <c r="C1" s="127"/>
      <c r="D1" s="127"/>
      <c r="E1" s="127"/>
      <c r="F1" s="127"/>
      <c r="G1" s="127"/>
      <c r="H1" s="113"/>
      <c r="I1" s="113"/>
      <c r="J1" s="113"/>
      <c r="K1" s="113"/>
      <c r="L1" s="113"/>
      <c r="M1" s="113"/>
    </row>
    <row r="2" spans="1:14" ht="16" x14ac:dyDescent="0.2">
      <c r="A2" s="128" t="s">
        <v>39</v>
      </c>
      <c r="B2" s="128"/>
      <c r="C2" s="128"/>
      <c r="D2" s="128" t="s">
        <v>38</v>
      </c>
      <c r="E2" s="128"/>
      <c r="F2" s="128"/>
      <c r="G2" s="128"/>
      <c r="H2" s="113"/>
      <c r="I2" s="113"/>
      <c r="J2" s="113"/>
      <c r="K2" s="113"/>
      <c r="L2" s="113"/>
      <c r="M2" s="113"/>
    </row>
    <row r="3" spans="1:14" ht="15.75" customHeight="1" x14ac:dyDescent="0.2">
      <c r="A3" s="128" t="s">
        <v>37</v>
      </c>
      <c r="B3" s="128"/>
      <c r="C3" s="128"/>
      <c r="D3" s="128" t="s">
        <v>42</v>
      </c>
      <c r="E3" s="128"/>
      <c r="F3" s="128"/>
      <c r="G3" s="26" t="s">
        <v>36</v>
      </c>
      <c r="H3" s="98" t="s">
        <v>35</v>
      </c>
      <c r="I3" s="98"/>
      <c r="J3" s="98"/>
      <c r="K3" s="114" t="s">
        <v>41</v>
      </c>
      <c r="L3" s="114"/>
      <c r="M3" s="114"/>
    </row>
    <row r="4" spans="1:14" ht="16" customHeight="1" x14ac:dyDescent="0.2">
      <c r="A4" s="92" t="s">
        <v>1</v>
      </c>
      <c r="B4" s="93"/>
      <c r="C4" s="93"/>
      <c r="D4" s="93"/>
      <c r="E4" s="93"/>
      <c r="F4" s="93"/>
      <c r="G4" s="94"/>
      <c r="H4" s="119" t="s">
        <v>107</v>
      </c>
      <c r="I4" s="119"/>
      <c r="J4" s="119"/>
      <c r="K4" s="115" t="s">
        <v>107</v>
      </c>
      <c r="L4" s="116"/>
      <c r="M4" s="117"/>
    </row>
    <row r="5" spans="1:14" x14ac:dyDescent="0.2">
      <c r="A5" s="48" t="s">
        <v>72</v>
      </c>
      <c r="B5" s="49" t="s">
        <v>73</v>
      </c>
      <c r="C5" s="49" t="s">
        <v>74</v>
      </c>
      <c r="D5" s="49" t="s">
        <v>75</v>
      </c>
      <c r="E5" s="49" t="s">
        <v>7</v>
      </c>
      <c r="F5" s="49" t="s">
        <v>76</v>
      </c>
      <c r="G5" s="50" t="s">
        <v>77</v>
      </c>
      <c r="H5" s="25" t="s">
        <v>7</v>
      </c>
      <c r="I5" s="25" t="s">
        <v>34</v>
      </c>
      <c r="J5" s="25" t="s">
        <v>33</v>
      </c>
      <c r="K5" s="79" t="s">
        <v>7</v>
      </c>
      <c r="L5" s="79" t="s">
        <v>34</v>
      </c>
      <c r="M5" s="79" t="s">
        <v>33</v>
      </c>
    </row>
    <row r="6" spans="1:14" x14ac:dyDescent="0.2">
      <c r="A6" s="35">
        <v>1</v>
      </c>
      <c r="B6" s="36"/>
      <c r="C6" s="37" t="s">
        <v>78</v>
      </c>
      <c r="D6" s="40"/>
      <c r="E6" s="40"/>
      <c r="F6" s="40"/>
      <c r="G6" s="41">
        <f>+G7+G8</f>
        <v>1800000</v>
      </c>
      <c r="H6" s="4"/>
      <c r="I6" s="4"/>
      <c r="J6" s="7">
        <f>+J7+J8</f>
        <v>1575000</v>
      </c>
      <c r="K6" s="4"/>
      <c r="L6" s="4"/>
      <c r="M6" s="78">
        <f>+M7+M8</f>
        <v>1575000</v>
      </c>
    </row>
    <row r="7" spans="1:14" x14ac:dyDescent="0.2">
      <c r="A7" s="44"/>
      <c r="B7" s="27" t="s">
        <v>9</v>
      </c>
      <c r="C7" s="28" t="s">
        <v>43</v>
      </c>
      <c r="D7" s="27" t="s">
        <v>44</v>
      </c>
      <c r="E7" s="29">
        <v>1</v>
      </c>
      <c r="F7" s="30">
        <v>1500000</v>
      </c>
      <c r="G7" s="31">
        <f>+E7*F7</f>
        <v>1500000</v>
      </c>
      <c r="H7" s="88">
        <v>1</v>
      </c>
      <c r="I7" s="8">
        <f>+H7/E7</f>
        <v>1</v>
      </c>
      <c r="J7" s="6">
        <f>+H7*F7</f>
        <v>1500000</v>
      </c>
      <c r="K7" s="4">
        <f>H7</f>
        <v>1</v>
      </c>
      <c r="L7" s="8">
        <f>K7/E7</f>
        <v>1</v>
      </c>
      <c r="M7" s="6">
        <f>+K7*F7</f>
        <v>1500000</v>
      </c>
    </row>
    <row r="8" spans="1:14" x14ac:dyDescent="0.2">
      <c r="A8" s="44"/>
      <c r="B8" s="27" t="s">
        <v>10</v>
      </c>
      <c r="C8" s="28" t="s">
        <v>45</v>
      </c>
      <c r="D8" s="27" t="s">
        <v>44</v>
      </c>
      <c r="E8" s="29">
        <v>1</v>
      </c>
      <c r="F8" s="30">
        <v>300000</v>
      </c>
      <c r="G8" s="31">
        <f>+E8*F8</f>
        <v>300000</v>
      </c>
      <c r="H8" s="88">
        <v>0.25</v>
      </c>
      <c r="I8" s="8">
        <f t="shared" ref="I8:I71" si="0">+H8/E8</f>
        <v>0.25</v>
      </c>
      <c r="J8" s="6">
        <f>+H8*F8</f>
        <v>75000</v>
      </c>
      <c r="K8" s="4">
        <f t="shared" ref="K8:K71" si="1">H8</f>
        <v>0.25</v>
      </c>
      <c r="L8" s="8">
        <f t="shared" ref="L8:L71" si="2">K8/E8</f>
        <v>0.25</v>
      </c>
      <c r="M8" s="6">
        <f>+K8*F8</f>
        <v>75000</v>
      </c>
    </row>
    <row r="9" spans="1:14" x14ac:dyDescent="0.2">
      <c r="A9" s="35">
        <v>2</v>
      </c>
      <c r="B9" s="36"/>
      <c r="C9" s="37" t="s">
        <v>31</v>
      </c>
      <c r="D9" s="38"/>
      <c r="E9" s="51"/>
      <c r="F9" s="40"/>
      <c r="G9" s="41">
        <f>+G10+G11+G12+G13+G14</f>
        <v>84321140.051673353</v>
      </c>
      <c r="H9" s="4"/>
      <c r="I9" s="8"/>
      <c r="J9" s="7">
        <f>SUMA(J10:J14)</f>
        <v>15738671.2075</v>
      </c>
      <c r="K9" s="4"/>
      <c r="L9" s="8"/>
      <c r="M9" s="78">
        <f>SUMA(M10:M14)</f>
        <v>15738671.2075</v>
      </c>
    </row>
    <row r="10" spans="1:14" ht="15" x14ac:dyDescent="0.2">
      <c r="A10" s="44"/>
      <c r="B10" s="27" t="s">
        <v>4</v>
      </c>
      <c r="C10" s="32" t="s">
        <v>46</v>
      </c>
      <c r="D10" s="27" t="s">
        <v>0</v>
      </c>
      <c r="E10" s="33">
        <v>7304.6724999999997</v>
      </c>
      <c r="F10" s="30">
        <v>3145.8333333333335</v>
      </c>
      <c r="G10" s="31">
        <f>+E10*F10</f>
        <v>22979282.239583332</v>
      </c>
      <c r="H10" s="4">
        <v>2334.89</v>
      </c>
      <c r="I10" s="8">
        <f t="shared" si="0"/>
        <v>0.31964335156709628</v>
      </c>
      <c r="J10" s="6">
        <f>+H10*F10</f>
        <v>7345174.791666667</v>
      </c>
      <c r="K10" s="4">
        <f t="shared" si="1"/>
        <v>2334.89</v>
      </c>
      <c r="L10" s="8">
        <f t="shared" si="2"/>
        <v>0.31964335156709628</v>
      </c>
      <c r="M10" s="6">
        <f>+K10*F10</f>
        <v>7345174.791666667</v>
      </c>
      <c r="N10" s="89">
        <f>E10/3</f>
        <v>2434.8908333333334</v>
      </c>
    </row>
    <row r="11" spans="1:14" ht="30" x14ac:dyDescent="0.2">
      <c r="A11" s="44"/>
      <c r="B11" s="27" t="s">
        <v>3</v>
      </c>
      <c r="C11" s="34" t="s">
        <v>47</v>
      </c>
      <c r="D11" s="27" t="s">
        <v>0</v>
      </c>
      <c r="E11" s="33">
        <v>1205.1153900000004</v>
      </c>
      <c r="F11" s="30">
        <v>36531</v>
      </c>
      <c r="G11" s="31">
        <f>+E11*F11</f>
        <v>44024070.312090017</v>
      </c>
      <c r="H11" s="17">
        <v>80.17</v>
      </c>
      <c r="I11" s="8">
        <f t="shared" si="0"/>
        <v>6.6524749966059241E-2</v>
      </c>
      <c r="J11" s="6">
        <f>+H11*F11</f>
        <v>2928690.27</v>
      </c>
      <c r="K11" s="4">
        <f t="shared" si="1"/>
        <v>80.17</v>
      </c>
      <c r="L11" s="8">
        <f t="shared" si="2"/>
        <v>6.6524749966059241E-2</v>
      </c>
      <c r="M11" s="6">
        <f>+K11*F11</f>
        <v>2928690.27</v>
      </c>
    </row>
    <row r="12" spans="1:14" ht="30" x14ac:dyDescent="0.2">
      <c r="A12" s="44"/>
      <c r="B12" s="27" t="s">
        <v>48</v>
      </c>
      <c r="C12" s="32" t="s">
        <v>49</v>
      </c>
      <c r="D12" s="27" t="s">
        <v>0</v>
      </c>
      <c r="E12" s="33">
        <v>90</v>
      </c>
      <c r="F12" s="30">
        <v>42975.416666666664</v>
      </c>
      <c r="G12" s="31">
        <f>+E12*F12</f>
        <v>3867787.5</v>
      </c>
      <c r="H12" s="17">
        <v>119.75</v>
      </c>
      <c r="I12" s="8">
        <f t="shared" si="0"/>
        <v>1.3305555555555555</v>
      </c>
      <c r="J12" s="6">
        <f>+H12*F12</f>
        <v>5146306.145833333</v>
      </c>
      <c r="K12" s="4">
        <f t="shared" si="1"/>
        <v>119.75</v>
      </c>
      <c r="L12" s="8">
        <f t="shared" si="2"/>
        <v>1.3305555555555555</v>
      </c>
      <c r="M12" s="6">
        <f>+K12*F12</f>
        <v>5146306.145833333</v>
      </c>
    </row>
    <row r="13" spans="1:14" ht="30" x14ac:dyDescent="0.2">
      <c r="A13" s="44"/>
      <c r="B13" s="27" t="s">
        <v>50</v>
      </c>
      <c r="C13" s="32" t="s">
        <v>51</v>
      </c>
      <c r="D13" s="27" t="s">
        <v>0</v>
      </c>
      <c r="E13" s="33">
        <v>125</v>
      </c>
      <c r="F13" s="30">
        <v>74000</v>
      </c>
      <c r="G13" s="31">
        <f>+E13*F13</f>
        <v>9250000</v>
      </c>
      <c r="H13" s="17">
        <v>1.75</v>
      </c>
      <c r="I13" s="8">
        <f t="shared" si="0"/>
        <v>1.4E-2</v>
      </c>
      <c r="J13" s="6">
        <f>+H13*F13</f>
        <v>129500</v>
      </c>
      <c r="K13" s="4">
        <f t="shared" si="1"/>
        <v>1.75</v>
      </c>
      <c r="L13" s="8">
        <f t="shared" si="2"/>
        <v>1.4E-2</v>
      </c>
      <c r="M13" s="6">
        <f>+K13*F13</f>
        <v>129500</v>
      </c>
    </row>
    <row r="14" spans="1:14" ht="30" x14ac:dyDescent="0.2">
      <c r="A14" s="44"/>
      <c r="B14" s="27" t="s">
        <v>52</v>
      </c>
      <c r="C14" s="32" t="s">
        <v>53</v>
      </c>
      <c r="D14" s="27" t="s">
        <v>0</v>
      </c>
      <c r="E14" s="33">
        <v>100</v>
      </c>
      <c r="F14" s="30">
        <v>42000</v>
      </c>
      <c r="G14" s="31">
        <f>+E14*F14</f>
        <v>4200000</v>
      </c>
      <c r="H14" s="17">
        <v>4.5</v>
      </c>
      <c r="I14" s="8">
        <f t="shared" si="0"/>
        <v>4.4999999999999998E-2</v>
      </c>
      <c r="J14" s="6">
        <f>+H14*F14</f>
        <v>189000</v>
      </c>
      <c r="K14" s="4">
        <f t="shared" si="1"/>
        <v>4.5</v>
      </c>
      <c r="L14" s="8">
        <f t="shared" si="2"/>
        <v>4.4999999999999998E-2</v>
      </c>
      <c r="M14" s="6">
        <f>+K14*F14</f>
        <v>189000</v>
      </c>
    </row>
    <row r="15" spans="1:14" x14ac:dyDescent="0.2">
      <c r="A15" s="35">
        <v>3</v>
      </c>
      <c r="B15" s="36"/>
      <c r="C15" s="37" t="s">
        <v>54</v>
      </c>
      <c r="D15" s="38"/>
      <c r="E15" s="39"/>
      <c r="F15" s="40"/>
      <c r="G15" s="41">
        <f>G16+G21+G23+G27</f>
        <v>136602878.79181558</v>
      </c>
      <c r="H15" s="17"/>
      <c r="I15" s="8"/>
      <c r="J15" s="7">
        <f>SUMA(J17:J22)</f>
        <v>26520013.586955555</v>
      </c>
      <c r="K15" s="4"/>
      <c r="L15" s="8"/>
      <c r="M15" s="78">
        <f>SUMA(M17:M20)</f>
        <v>26520013.586955555</v>
      </c>
    </row>
    <row r="16" spans="1:14" ht="15" x14ac:dyDescent="0.2">
      <c r="A16" s="42"/>
      <c r="B16" s="100" t="s">
        <v>55</v>
      </c>
      <c r="C16" s="101"/>
      <c r="D16" s="27"/>
      <c r="E16" s="33"/>
      <c r="F16" s="28"/>
      <c r="G16" s="43">
        <f>SUMA(G17:G20)</f>
        <v>96155596.618482232</v>
      </c>
      <c r="H16" s="17"/>
      <c r="I16" s="8"/>
      <c r="J16"/>
      <c r="K16" s="4"/>
      <c r="L16" s="8"/>
      <c r="M16" s="8"/>
    </row>
    <row r="17" spans="1:13" ht="45" x14ac:dyDescent="0.2">
      <c r="A17" s="44"/>
      <c r="B17" s="27" t="s">
        <v>6</v>
      </c>
      <c r="C17" s="32" t="s">
        <v>56</v>
      </c>
      <c r="D17" s="27" t="s">
        <v>0</v>
      </c>
      <c r="E17" s="33">
        <v>4629.4765000000007</v>
      </c>
      <c r="F17" s="30">
        <v>16961.506666666668</v>
      </c>
      <c r="G17" s="31">
        <f>+E17*F17</f>
        <v>78522896.517926678</v>
      </c>
      <c r="H17" s="17">
        <v>1354.21</v>
      </c>
      <c r="I17" s="8">
        <f t="shared" si="0"/>
        <v>0.29251903535961354</v>
      </c>
      <c r="J17" s="6">
        <f>+H17*F17</f>
        <v>22969441.943066668</v>
      </c>
      <c r="K17" s="4">
        <f t="shared" si="1"/>
        <v>1354.21</v>
      </c>
      <c r="L17" s="8">
        <f t="shared" si="2"/>
        <v>0.29251903535961354</v>
      </c>
      <c r="M17" s="6">
        <f>+K17*F17</f>
        <v>22969441.943066668</v>
      </c>
    </row>
    <row r="18" spans="1:13" ht="45" x14ac:dyDescent="0.2">
      <c r="A18" s="44"/>
      <c r="B18" s="27" t="s">
        <v>5</v>
      </c>
      <c r="C18" s="32" t="s">
        <v>57</v>
      </c>
      <c r="D18" s="27" t="s">
        <v>0</v>
      </c>
      <c r="E18" s="33">
        <v>107.97500000000001</v>
      </c>
      <c r="F18" s="30">
        <v>28312.6</v>
      </c>
      <c r="G18" s="31">
        <f>+E18*F18</f>
        <v>3057052.9849999999</v>
      </c>
      <c r="H18" s="17">
        <v>0</v>
      </c>
      <c r="I18" s="8">
        <f t="shared" si="0"/>
        <v>0</v>
      </c>
      <c r="J18" s="6">
        <f>+H18*F18</f>
        <v>0</v>
      </c>
      <c r="K18" s="4">
        <f t="shared" si="1"/>
        <v>0</v>
      </c>
      <c r="L18" s="8">
        <f t="shared" si="2"/>
        <v>0</v>
      </c>
      <c r="M18" s="6">
        <f>+K18*F18</f>
        <v>0</v>
      </c>
    </row>
    <row r="19" spans="1:13" ht="45" x14ac:dyDescent="0.2">
      <c r="A19" s="44"/>
      <c r="B19" s="27" t="s">
        <v>11</v>
      </c>
      <c r="C19" s="32" t="s">
        <v>58</v>
      </c>
      <c r="D19" s="27" t="s">
        <v>0</v>
      </c>
      <c r="E19" s="33">
        <v>455.29999999999995</v>
      </c>
      <c r="F19" s="30">
        <v>26279.899999999998</v>
      </c>
      <c r="G19" s="31">
        <f>+E19*F19</f>
        <v>11965238.469999997</v>
      </c>
      <c r="H19" s="17">
        <v>132.44999999999999</v>
      </c>
      <c r="I19" s="8">
        <f t="shared" si="0"/>
        <v>0.29090709422358885</v>
      </c>
      <c r="J19" s="6">
        <f>+H19*F19</f>
        <v>3480772.7549999994</v>
      </c>
      <c r="K19" s="4">
        <f t="shared" si="1"/>
        <v>132.44999999999999</v>
      </c>
      <c r="L19" s="8">
        <f t="shared" si="2"/>
        <v>0.29090709422358885</v>
      </c>
      <c r="M19" s="6">
        <f>+K19*F19</f>
        <v>3480772.7549999994</v>
      </c>
    </row>
    <row r="20" spans="1:13" ht="45" x14ac:dyDescent="0.2">
      <c r="A20" s="44"/>
      <c r="B20" s="27" t="s">
        <v>59</v>
      </c>
      <c r="C20" s="32" t="s">
        <v>60</v>
      </c>
      <c r="D20" s="27" t="s">
        <v>2</v>
      </c>
      <c r="E20" s="33">
        <v>373.99</v>
      </c>
      <c r="F20" s="30">
        <v>6979.8888888888887</v>
      </c>
      <c r="G20" s="31">
        <f>+E20*F20</f>
        <v>2610408.6455555554</v>
      </c>
      <c r="H20" s="17">
        <v>10</v>
      </c>
      <c r="I20" s="8">
        <f t="shared" si="0"/>
        <v>2.6738682852482685E-2</v>
      </c>
      <c r="J20" s="6">
        <f>+H20*F20</f>
        <v>69798.888888888891</v>
      </c>
      <c r="K20" s="4">
        <f t="shared" si="1"/>
        <v>10</v>
      </c>
      <c r="L20" s="8">
        <f t="shared" si="2"/>
        <v>2.6738682852482685E-2</v>
      </c>
      <c r="M20" s="6">
        <f>+K20*F20</f>
        <v>69798.888888888891</v>
      </c>
    </row>
    <row r="21" spans="1:13" x14ac:dyDescent="0.2">
      <c r="A21" s="42"/>
      <c r="B21" s="100" t="s">
        <v>61</v>
      </c>
      <c r="C21" s="101"/>
      <c r="D21" s="27"/>
      <c r="E21" s="33"/>
      <c r="F21" s="30"/>
      <c r="G21" s="45">
        <f>SUMA(G22:G22)</f>
        <v>940800</v>
      </c>
      <c r="H21" s="17">
        <v>0</v>
      </c>
      <c r="I21" s="8"/>
      <c r="J21" s="7">
        <f>J22</f>
        <v>0</v>
      </c>
      <c r="K21" s="4">
        <f t="shared" si="1"/>
        <v>0</v>
      </c>
      <c r="L21" s="8"/>
      <c r="M21" s="77">
        <f>M22</f>
        <v>0</v>
      </c>
    </row>
    <row r="22" spans="1:13" ht="30" x14ac:dyDescent="0.2">
      <c r="A22" s="44"/>
      <c r="B22" s="27" t="s">
        <v>62</v>
      </c>
      <c r="C22" s="32" t="s">
        <v>63</v>
      </c>
      <c r="D22" s="27" t="s">
        <v>0</v>
      </c>
      <c r="E22" s="33">
        <v>42</v>
      </c>
      <c r="F22" s="30">
        <v>22400</v>
      </c>
      <c r="G22" s="31">
        <f>+E22*F22</f>
        <v>940800</v>
      </c>
      <c r="H22" s="17">
        <v>0</v>
      </c>
      <c r="I22" s="8">
        <f t="shared" si="0"/>
        <v>0</v>
      </c>
      <c r="J22" s="6">
        <f>+H22*F22</f>
        <v>0</v>
      </c>
      <c r="K22" s="4">
        <f t="shared" si="1"/>
        <v>0</v>
      </c>
      <c r="L22" s="8">
        <f t="shared" si="2"/>
        <v>0</v>
      </c>
      <c r="M22" s="6">
        <f>+K22*F22</f>
        <v>0</v>
      </c>
    </row>
    <row r="23" spans="1:13" x14ac:dyDescent="0.2">
      <c r="A23" s="35">
        <v>4</v>
      </c>
      <c r="B23" s="36"/>
      <c r="C23" s="37" t="s">
        <v>64</v>
      </c>
      <c r="D23" s="38"/>
      <c r="E23" s="39"/>
      <c r="F23" s="40"/>
      <c r="G23" s="46">
        <f>SUMA(G24:G26)</f>
        <v>37956482.173333332</v>
      </c>
      <c r="H23" s="17"/>
      <c r="I23" s="8"/>
      <c r="J23" s="7">
        <f>+SUMA(J24:J29)</f>
        <v>2230072</v>
      </c>
      <c r="K23" s="4"/>
      <c r="L23" s="8"/>
      <c r="M23" s="78">
        <f>+SUMA(M24:M26)</f>
        <v>1455072</v>
      </c>
    </row>
    <row r="24" spans="1:13" ht="45" customHeight="1" x14ac:dyDescent="0.2">
      <c r="A24" s="44"/>
      <c r="B24" s="27" t="s">
        <v>13</v>
      </c>
      <c r="C24" s="32" t="s">
        <v>65</v>
      </c>
      <c r="D24" s="27" t="s">
        <v>2</v>
      </c>
      <c r="E24" s="29">
        <v>817.99400000000014</v>
      </c>
      <c r="F24" s="30">
        <v>7360</v>
      </c>
      <c r="G24" s="31">
        <f>+E24*F24</f>
        <v>6020435.8400000008</v>
      </c>
      <c r="H24" s="17">
        <v>197.7</v>
      </c>
      <c r="I24" s="8">
        <f t="shared" si="0"/>
        <v>0.24168881434338144</v>
      </c>
      <c r="J24" s="6">
        <f>+H24*F24</f>
        <v>1455072</v>
      </c>
      <c r="K24" s="4">
        <f t="shared" si="1"/>
        <v>197.7</v>
      </c>
      <c r="L24" s="8">
        <f t="shared" si="2"/>
        <v>0.24168881434338144</v>
      </c>
      <c r="M24" s="6">
        <f>+K24*F24</f>
        <v>1455072</v>
      </c>
    </row>
    <row r="25" spans="1:13" ht="30" x14ac:dyDescent="0.2">
      <c r="A25" s="44"/>
      <c r="B25" s="27" t="s">
        <v>66</v>
      </c>
      <c r="C25" s="32" t="s">
        <v>67</v>
      </c>
      <c r="D25" s="27" t="s">
        <v>2</v>
      </c>
      <c r="E25" s="29">
        <v>1055.3</v>
      </c>
      <c r="F25" s="30">
        <v>28876.666666666664</v>
      </c>
      <c r="G25" s="31">
        <f>+E25*F25</f>
        <v>30473546.333333328</v>
      </c>
      <c r="H25" s="17">
        <v>0</v>
      </c>
      <c r="I25" s="8">
        <f t="shared" si="0"/>
        <v>0</v>
      </c>
      <c r="J25" s="6">
        <f>+H25*F25</f>
        <v>0</v>
      </c>
      <c r="K25" s="4">
        <f t="shared" si="1"/>
        <v>0</v>
      </c>
      <c r="L25" s="8">
        <f t="shared" si="2"/>
        <v>0</v>
      </c>
      <c r="M25" s="6">
        <f>+K25*F25</f>
        <v>0</v>
      </c>
    </row>
    <row r="26" spans="1:13" ht="30" x14ac:dyDescent="0.2">
      <c r="A26" s="44"/>
      <c r="B26" s="27">
        <v>4.7</v>
      </c>
      <c r="C26" s="32" t="s">
        <v>68</v>
      </c>
      <c r="D26" s="27" t="s">
        <v>0</v>
      </c>
      <c r="E26" s="29">
        <v>65</v>
      </c>
      <c r="F26" s="30">
        <v>22500</v>
      </c>
      <c r="G26" s="31">
        <f>+E26*F26</f>
        <v>1462500</v>
      </c>
      <c r="H26" s="17">
        <v>0</v>
      </c>
      <c r="I26" s="8">
        <f t="shared" si="0"/>
        <v>0</v>
      </c>
      <c r="J26" s="6">
        <f>+H26*F26</f>
        <v>0</v>
      </c>
      <c r="K26" s="4">
        <f t="shared" si="1"/>
        <v>0</v>
      </c>
      <c r="L26" s="8">
        <f t="shared" si="2"/>
        <v>0</v>
      </c>
      <c r="M26" s="6">
        <f>+K26*F26</f>
        <v>0</v>
      </c>
    </row>
    <row r="27" spans="1:13" x14ac:dyDescent="0.2">
      <c r="A27" s="35">
        <v>5</v>
      </c>
      <c r="B27" s="36"/>
      <c r="C27" s="37" t="s">
        <v>69</v>
      </c>
      <c r="D27" s="38"/>
      <c r="E27" s="39"/>
      <c r="F27" s="40"/>
      <c r="G27" s="46">
        <f>+G28</f>
        <v>1550000</v>
      </c>
      <c r="H27" s="17"/>
      <c r="I27" s="8"/>
      <c r="J27" s="7">
        <f>J28</f>
        <v>387500</v>
      </c>
      <c r="K27" s="4"/>
      <c r="L27" s="8"/>
      <c r="M27" s="78">
        <f>+SUMA(M28:M28)</f>
        <v>387500</v>
      </c>
    </row>
    <row r="28" spans="1:13" ht="15" x14ac:dyDescent="0.2">
      <c r="A28" s="44"/>
      <c r="B28" s="27" t="s">
        <v>14</v>
      </c>
      <c r="C28" s="32" t="s">
        <v>70</v>
      </c>
      <c r="D28" s="27" t="s">
        <v>71</v>
      </c>
      <c r="E28" s="33">
        <v>1</v>
      </c>
      <c r="F28" s="47">
        <v>1550000</v>
      </c>
      <c r="G28" s="31">
        <f>+E28*F28</f>
        <v>1550000</v>
      </c>
      <c r="H28" s="87">
        <v>0.25</v>
      </c>
      <c r="I28" s="8">
        <f t="shared" si="0"/>
        <v>0.25</v>
      </c>
      <c r="J28" s="6">
        <f>+H28*F28</f>
        <v>387500</v>
      </c>
      <c r="K28" s="4">
        <f t="shared" si="1"/>
        <v>0.25</v>
      </c>
      <c r="L28" s="8">
        <f t="shared" si="2"/>
        <v>0.25</v>
      </c>
      <c r="M28" s="6">
        <f>+K28*F28</f>
        <v>387500</v>
      </c>
    </row>
    <row r="29" spans="1:13" x14ac:dyDescent="0.2">
      <c r="A29" s="92" t="s">
        <v>79</v>
      </c>
      <c r="B29" s="93"/>
      <c r="C29" s="93"/>
      <c r="D29" s="93"/>
      <c r="E29" s="93"/>
      <c r="F29" s="93"/>
      <c r="G29" s="94"/>
      <c r="H29" s="17"/>
      <c r="I29" s="8"/>
      <c r="J29" s="9">
        <f>+F28*H29</f>
        <v>0</v>
      </c>
      <c r="K29" s="4"/>
      <c r="L29" s="8"/>
      <c r="M29" s="6">
        <f>+K29*F29</f>
        <v>0</v>
      </c>
    </row>
    <row r="30" spans="1:13" x14ac:dyDescent="0.2">
      <c r="A30" s="35">
        <v>1</v>
      </c>
      <c r="B30" s="36"/>
      <c r="C30" s="37" t="s">
        <v>32</v>
      </c>
      <c r="D30" s="40"/>
      <c r="E30" s="40"/>
      <c r="F30" s="40"/>
      <c r="G30" s="41">
        <f>SUMA(G31:G32)</f>
        <v>1800000</v>
      </c>
      <c r="H30" s="17"/>
      <c r="I30" s="8"/>
      <c r="J30" s="7">
        <f>+SUMA(J31:J32)</f>
        <v>1500000</v>
      </c>
      <c r="K30" s="4"/>
      <c r="L30" s="8"/>
      <c r="M30" s="78">
        <f>+SUMA(M31:M32)</f>
        <v>1500000</v>
      </c>
    </row>
    <row r="31" spans="1:13" x14ac:dyDescent="0.2">
      <c r="A31" s="44"/>
      <c r="B31" s="27" t="s">
        <v>9</v>
      </c>
      <c r="C31" s="28" t="s">
        <v>43</v>
      </c>
      <c r="D31" s="27" t="s">
        <v>44</v>
      </c>
      <c r="E31" s="29">
        <v>1</v>
      </c>
      <c r="F31" s="47">
        <v>1500000</v>
      </c>
      <c r="G31" s="31">
        <f t="shared" ref="G31:G32" si="3">+E31*F31</f>
        <v>1500000</v>
      </c>
      <c r="H31" s="87">
        <v>1</v>
      </c>
      <c r="I31" s="8">
        <f t="shared" si="0"/>
        <v>1</v>
      </c>
      <c r="J31" s="6">
        <f>+H31*F31</f>
        <v>1500000</v>
      </c>
      <c r="K31" s="4">
        <f t="shared" si="1"/>
        <v>1</v>
      </c>
      <c r="L31" s="8">
        <f t="shared" si="2"/>
        <v>1</v>
      </c>
      <c r="M31" s="6">
        <f>+K31*F31</f>
        <v>1500000</v>
      </c>
    </row>
    <row r="32" spans="1:13" x14ac:dyDescent="0.2">
      <c r="A32" s="44"/>
      <c r="B32" s="27" t="s">
        <v>10</v>
      </c>
      <c r="C32" s="28" t="s">
        <v>45</v>
      </c>
      <c r="D32" s="27" t="s">
        <v>44</v>
      </c>
      <c r="E32" s="29">
        <v>1</v>
      </c>
      <c r="F32" s="47">
        <v>300000</v>
      </c>
      <c r="G32" s="31">
        <f t="shared" si="3"/>
        <v>300000</v>
      </c>
      <c r="H32" s="17">
        <v>0</v>
      </c>
      <c r="I32" s="8">
        <f t="shared" si="0"/>
        <v>0</v>
      </c>
      <c r="J32" s="6">
        <f>+H32*F32</f>
        <v>0</v>
      </c>
      <c r="K32" s="4">
        <f t="shared" si="1"/>
        <v>0</v>
      </c>
      <c r="L32" s="8">
        <f t="shared" si="2"/>
        <v>0</v>
      </c>
      <c r="M32" s="6">
        <f>+K32*F32</f>
        <v>0</v>
      </c>
    </row>
    <row r="33" spans="1:13" x14ac:dyDescent="0.2">
      <c r="A33" s="35">
        <v>2</v>
      </c>
      <c r="B33" s="36"/>
      <c r="C33" s="37" t="s">
        <v>80</v>
      </c>
      <c r="D33" s="38"/>
      <c r="E33" s="39"/>
      <c r="F33" s="40"/>
      <c r="G33" s="52">
        <f>SUMA(G34:G36)</f>
        <v>163101715.00033182</v>
      </c>
      <c r="H33" s="17"/>
      <c r="I33" s="8"/>
      <c r="J33" s="7">
        <f>+SUMA(J34:J36)</f>
        <v>2596460</v>
      </c>
      <c r="K33" s="4"/>
      <c r="L33" s="8"/>
      <c r="M33" s="78">
        <f>+SUMA(M34:M36)</f>
        <v>2596460</v>
      </c>
    </row>
    <row r="34" spans="1:13" ht="15" x14ac:dyDescent="0.2">
      <c r="A34" s="44"/>
      <c r="B34" s="27" t="s">
        <v>4</v>
      </c>
      <c r="C34" s="53" t="s">
        <v>81</v>
      </c>
      <c r="D34" s="27" t="s">
        <v>0</v>
      </c>
      <c r="E34" s="54">
        <v>1678.12</v>
      </c>
      <c r="F34" s="30">
        <v>69026.423809523811</v>
      </c>
      <c r="G34" s="31">
        <f t="shared" ref="G34:G36" si="4">+E34*F34</f>
        <v>115834622.32323809</v>
      </c>
      <c r="H34" s="17">
        <v>0</v>
      </c>
      <c r="I34" s="8">
        <f t="shared" si="0"/>
        <v>0</v>
      </c>
      <c r="J34" s="6">
        <f>+H34*F34</f>
        <v>0</v>
      </c>
      <c r="K34" s="4">
        <f t="shared" si="1"/>
        <v>0</v>
      </c>
      <c r="L34" s="8">
        <f t="shared" si="2"/>
        <v>0</v>
      </c>
      <c r="M34" s="6">
        <f t="shared" ref="M34:M39" si="5">+K34*F34</f>
        <v>0</v>
      </c>
    </row>
    <row r="35" spans="1:13" ht="30" x14ac:dyDescent="0.2">
      <c r="A35" s="44"/>
      <c r="B35" s="27" t="s">
        <v>48</v>
      </c>
      <c r="C35" s="32" t="s">
        <v>82</v>
      </c>
      <c r="D35" s="27" t="s">
        <v>0</v>
      </c>
      <c r="E35" s="33">
        <v>290.86649999999997</v>
      </c>
      <c r="F35" s="30">
        <v>36529.104166666664</v>
      </c>
      <c r="G35" s="31">
        <f t="shared" si="4"/>
        <v>10625092.677093748</v>
      </c>
      <c r="H35" s="17">
        <v>0</v>
      </c>
      <c r="I35" s="8">
        <f t="shared" si="0"/>
        <v>0</v>
      </c>
      <c r="J35" s="6">
        <f>+H35*F35</f>
        <v>0</v>
      </c>
      <c r="K35" s="4">
        <f t="shared" si="1"/>
        <v>0</v>
      </c>
      <c r="L35" s="8">
        <f t="shared" si="2"/>
        <v>0</v>
      </c>
      <c r="M35" s="6">
        <f t="shared" si="5"/>
        <v>0</v>
      </c>
    </row>
    <row r="36" spans="1:13" ht="30" x14ac:dyDescent="0.2">
      <c r="A36" s="44"/>
      <c r="B36" s="27" t="s">
        <v>50</v>
      </c>
      <c r="C36" s="32" t="s">
        <v>83</v>
      </c>
      <c r="D36" s="27" t="s">
        <v>2</v>
      </c>
      <c r="E36" s="33">
        <v>372</v>
      </c>
      <c r="F36" s="30">
        <v>98500</v>
      </c>
      <c r="G36" s="31">
        <f t="shared" si="4"/>
        <v>36642000</v>
      </c>
      <c r="H36" s="17">
        <v>26.36</v>
      </c>
      <c r="I36" s="8">
        <f t="shared" si="0"/>
        <v>7.0860215053763442E-2</v>
      </c>
      <c r="J36" s="6">
        <f>+H36*F36</f>
        <v>2596460</v>
      </c>
      <c r="K36" s="4">
        <f t="shared" si="1"/>
        <v>26.36</v>
      </c>
      <c r="L36" s="8">
        <f t="shared" si="2"/>
        <v>7.0860215053763442E-2</v>
      </c>
      <c r="M36" s="6">
        <f t="shared" si="5"/>
        <v>2596460</v>
      </c>
    </row>
    <row r="37" spans="1:13" x14ac:dyDescent="0.2">
      <c r="A37" s="35">
        <v>5</v>
      </c>
      <c r="B37" s="36"/>
      <c r="C37" s="37" t="s">
        <v>69</v>
      </c>
      <c r="D37" s="38"/>
      <c r="E37" s="39"/>
      <c r="F37" s="55"/>
      <c r="G37" s="52">
        <f>+G38</f>
        <v>1550000</v>
      </c>
      <c r="H37" s="17"/>
      <c r="I37" s="8"/>
      <c r="J37" s="7">
        <f>+SUMA(J38:J39)</f>
        <v>0</v>
      </c>
      <c r="K37" s="4"/>
      <c r="L37" s="8"/>
      <c r="M37" s="77">
        <f t="shared" si="5"/>
        <v>0</v>
      </c>
    </row>
    <row r="38" spans="1:13" ht="15" x14ac:dyDescent="0.2">
      <c r="A38" s="44"/>
      <c r="B38" s="27" t="s">
        <v>14</v>
      </c>
      <c r="C38" s="32" t="s">
        <v>70</v>
      </c>
      <c r="D38" s="27" t="s">
        <v>71</v>
      </c>
      <c r="E38" s="29">
        <v>1</v>
      </c>
      <c r="F38" s="47">
        <v>1550000</v>
      </c>
      <c r="G38" s="31">
        <f>+E38*F38</f>
        <v>1550000</v>
      </c>
      <c r="H38" s="17">
        <v>0</v>
      </c>
      <c r="I38" s="8">
        <f t="shared" si="0"/>
        <v>0</v>
      </c>
      <c r="J38" s="6">
        <f>+H38*F38</f>
        <v>0</v>
      </c>
      <c r="K38" s="4">
        <f t="shared" si="1"/>
        <v>0</v>
      </c>
      <c r="L38" s="8">
        <f t="shared" si="2"/>
        <v>0</v>
      </c>
      <c r="M38" s="6">
        <f t="shared" si="5"/>
        <v>0</v>
      </c>
    </row>
    <row r="39" spans="1:13" ht="15" x14ac:dyDescent="0.2">
      <c r="A39" s="95" t="s">
        <v>84</v>
      </c>
      <c r="B39" s="96"/>
      <c r="C39" s="96"/>
      <c r="D39" s="96"/>
      <c r="E39" s="96"/>
      <c r="F39" s="96"/>
      <c r="G39" s="97"/>
      <c r="H39"/>
      <c r="I39"/>
      <c r="J39"/>
      <c r="K39" s="4"/>
      <c r="L39" s="8"/>
      <c r="M39" s="6">
        <f t="shared" si="5"/>
        <v>0</v>
      </c>
    </row>
    <row r="40" spans="1:13" x14ac:dyDescent="0.2">
      <c r="A40" s="35">
        <v>1</v>
      </c>
      <c r="B40" s="36"/>
      <c r="C40" s="37" t="s">
        <v>32</v>
      </c>
      <c r="D40" s="37"/>
      <c r="E40" s="37"/>
      <c r="F40" s="37"/>
      <c r="G40" s="56">
        <f>+G41+G42</f>
        <v>1800000</v>
      </c>
      <c r="H40" s="17"/>
      <c r="I40" s="8"/>
      <c r="J40" s="7">
        <f>++J41+J42</f>
        <v>1575000</v>
      </c>
      <c r="K40" s="4"/>
      <c r="L40" s="8"/>
      <c r="M40" s="78">
        <f>++M41+M42</f>
        <v>1575000</v>
      </c>
    </row>
    <row r="41" spans="1:13" x14ac:dyDescent="0.2">
      <c r="A41" s="44"/>
      <c r="B41" s="27" t="s">
        <v>9</v>
      </c>
      <c r="C41" s="28" t="s">
        <v>43</v>
      </c>
      <c r="D41" s="27" t="s">
        <v>44</v>
      </c>
      <c r="E41" s="29">
        <v>1</v>
      </c>
      <c r="F41" s="47">
        <v>1500000</v>
      </c>
      <c r="G41" s="31">
        <f t="shared" ref="G41:G42" si="6">+E41*F41</f>
        <v>1500000</v>
      </c>
      <c r="H41" s="87">
        <v>1</v>
      </c>
      <c r="I41" s="8">
        <f t="shared" si="0"/>
        <v>1</v>
      </c>
      <c r="J41" s="6">
        <f>+H41*F41</f>
        <v>1500000</v>
      </c>
      <c r="K41" s="4">
        <f t="shared" si="1"/>
        <v>1</v>
      </c>
      <c r="L41" s="8">
        <f t="shared" si="2"/>
        <v>1</v>
      </c>
      <c r="M41" s="6">
        <f>+K41*F41</f>
        <v>1500000</v>
      </c>
    </row>
    <row r="42" spans="1:13" x14ac:dyDescent="0.2">
      <c r="A42" s="44"/>
      <c r="B42" s="27" t="s">
        <v>10</v>
      </c>
      <c r="C42" s="28" t="s">
        <v>45</v>
      </c>
      <c r="D42" s="27" t="s">
        <v>44</v>
      </c>
      <c r="E42" s="29">
        <v>1</v>
      </c>
      <c r="F42" s="47">
        <v>300000</v>
      </c>
      <c r="G42" s="31">
        <f t="shared" si="6"/>
        <v>300000</v>
      </c>
      <c r="H42" s="87">
        <v>0.25</v>
      </c>
      <c r="I42" s="8">
        <f t="shared" si="0"/>
        <v>0.25</v>
      </c>
      <c r="J42" s="6">
        <f>+H42*F42</f>
        <v>75000</v>
      </c>
      <c r="K42" s="4">
        <f t="shared" si="1"/>
        <v>0.25</v>
      </c>
      <c r="L42" s="8">
        <f t="shared" si="2"/>
        <v>0.25</v>
      </c>
      <c r="M42" s="6">
        <f>+K42*F42</f>
        <v>75000</v>
      </c>
    </row>
    <row r="43" spans="1:13" x14ac:dyDescent="0.2">
      <c r="A43" s="35">
        <v>2</v>
      </c>
      <c r="B43" s="36"/>
      <c r="C43" s="37" t="s">
        <v>54</v>
      </c>
      <c r="D43" s="36"/>
      <c r="E43" s="57"/>
      <c r="F43" s="37"/>
      <c r="G43" s="56">
        <f>SUMA(G44)</f>
        <v>22655220.000000004</v>
      </c>
      <c r="H43" s="17"/>
      <c r="I43" s="8"/>
      <c r="J43" s="7">
        <f>+SUMA(J44)</f>
        <v>6988800</v>
      </c>
      <c r="K43" s="4"/>
      <c r="L43" s="8"/>
      <c r="M43" s="78">
        <f>+SUMA(M44:M44)</f>
        <v>6988800</v>
      </c>
    </row>
    <row r="44" spans="1:13" ht="45" x14ac:dyDescent="0.2">
      <c r="A44" s="44"/>
      <c r="B44" s="27" t="s">
        <v>4</v>
      </c>
      <c r="C44" s="32" t="s">
        <v>85</v>
      </c>
      <c r="D44" s="27" t="s">
        <v>0</v>
      </c>
      <c r="E44" s="33">
        <v>2157.6400000000003</v>
      </c>
      <c r="F44" s="58">
        <v>10500</v>
      </c>
      <c r="G44" s="31">
        <f>+E44*F44</f>
        <v>22655220.000000004</v>
      </c>
      <c r="H44" s="17">
        <v>665.6</v>
      </c>
      <c r="I44" s="8">
        <f t="shared" si="0"/>
        <v>0.30848519678908431</v>
      </c>
      <c r="J44" s="6">
        <f>+H44*F44</f>
        <v>6988800</v>
      </c>
      <c r="K44" s="4">
        <f t="shared" si="1"/>
        <v>665.6</v>
      </c>
      <c r="L44" s="8">
        <f t="shared" si="2"/>
        <v>0.30848519678908431</v>
      </c>
      <c r="M44" s="6">
        <f>+K44*F44</f>
        <v>6988800</v>
      </c>
    </row>
    <row r="45" spans="1:13" x14ac:dyDescent="0.2">
      <c r="A45" s="35">
        <v>3</v>
      </c>
      <c r="B45" s="36"/>
      <c r="C45" s="37" t="s">
        <v>69</v>
      </c>
      <c r="D45" s="36"/>
      <c r="E45" s="57"/>
      <c r="F45" s="37"/>
      <c r="G45" s="46">
        <f>+G46</f>
        <v>1550000</v>
      </c>
      <c r="H45" s="17"/>
      <c r="I45" s="8"/>
      <c r="J45" s="7">
        <f>+SUMA(J46:J46)</f>
        <v>387500</v>
      </c>
      <c r="K45" s="4"/>
      <c r="L45" s="8"/>
      <c r="M45" s="78">
        <f>+SUMA(M46:M46)</f>
        <v>387500</v>
      </c>
    </row>
    <row r="46" spans="1:13" ht="15" x14ac:dyDescent="0.2">
      <c r="A46" s="44"/>
      <c r="B46" s="27" t="s">
        <v>6</v>
      </c>
      <c r="C46" s="32" t="s">
        <v>70</v>
      </c>
      <c r="D46" s="27" t="s">
        <v>71</v>
      </c>
      <c r="E46" s="29">
        <v>1</v>
      </c>
      <c r="F46" s="59">
        <v>1550000</v>
      </c>
      <c r="G46" s="31">
        <f>+E46*F46</f>
        <v>1550000</v>
      </c>
      <c r="H46" s="87">
        <v>0.25</v>
      </c>
      <c r="I46" s="8">
        <f t="shared" si="0"/>
        <v>0.25</v>
      </c>
      <c r="J46" s="6">
        <f>+H46*F46</f>
        <v>387500</v>
      </c>
      <c r="K46" s="4">
        <f t="shared" si="1"/>
        <v>0.25</v>
      </c>
      <c r="L46" s="8">
        <f t="shared" si="2"/>
        <v>0.25</v>
      </c>
      <c r="M46" s="6">
        <f>+K46*F46</f>
        <v>387500</v>
      </c>
    </row>
    <row r="47" spans="1:13" x14ac:dyDescent="0.2">
      <c r="A47" s="95" t="s">
        <v>86</v>
      </c>
      <c r="B47" s="96"/>
      <c r="C47" s="96"/>
      <c r="D47" s="96"/>
      <c r="E47" s="96"/>
      <c r="F47" s="96"/>
      <c r="G47" s="97"/>
      <c r="H47" s="17"/>
      <c r="I47" s="8"/>
      <c r="J47" s="9"/>
      <c r="K47" s="4"/>
      <c r="L47" s="8"/>
      <c r="M47" s="6">
        <f>+K47*F47</f>
        <v>0</v>
      </c>
    </row>
    <row r="48" spans="1:13" x14ac:dyDescent="0.2">
      <c r="A48" s="35">
        <v>1</v>
      </c>
      <c r="B48" s="36"/>
      <c r="C48" s="37" t="s">
        <v>78</v>
      </c>
      <c r="D48" s="40"/>
      <c r="E48" s="40"/>
      <c r="F48" s="40"/>
      <c r="G48" s="41">
        <f>+G49+G50</f>
        <v>1800000</v>
      </c>
      <c r="H48" s="17"/>
      <c r="I48" s="8"/>
      <c r="J48" s="7">
        <f>+SUMA(J49:J49)</f>
        <v>1500000</v>
      </c>
      <c r="K48" s="4"/>
      <c r="L48" s="8"/>
      <c r="M48" s="78">
        <f>+SUMA(M49:M49)</f>
        <v>1500000</v>
      </c>
    </row>
    <row r="49" spans="1:13" x14ac:dyDescent="0.2">
      <c r="A49" s="44"/>
      <c r="B49" s="27" t="s">
        <v>9</v>
      </c>
      <c r="C49" s="28" t="s">
        <v>43</v>
      </c>
      <c r="D49" s="27" t="s">
        <v>44</v>
      </c>
      <c r="E49" s="29">
        <v>1</v>
      </c>
      <c r="F49" s="30">
        <v>1500000</v>
      </c>
      <c r="G49" s="31">
        <f t="shared" ref="G49:G50" si="7">+E49*F49</f>
        <v>1500000</v>
      </c>
      <c r="H49" s="87">
        <v>1</v>
      </c>
      <c r="I49" s="8">
        <f t="shared" si="0"/>
        <v>1</v>
      </c>
      <c r="J49" s="6">
        <f>+H49*F49</f>
        <v>1500000</v>
      </c>
      <c r="K49" s="4">
        <f t="shared" si="1"/>
        <v>1</v>
      </c>
      <c r="L49" s="8">
        <f t="shared" si="2"/>
        <v>1</v>
      </c>
      <c r="M49" s="6">
        <f>+K49*F49</f>
        <v>1500000</v>
      </c>
    </row>
    <row r="50" spans="1:13" x14ac:dyDescent="0.2">
      <c r="A50" s="44"/>
      <c r="B50" s="27" t="s">
        <v>10</v>
      </c>
      <c r="C50" s="28" t="s">
        <v>45</v>
      </c>
      <c r="D50" s="27" t="s">
        <v>44</v>
      </c>
      <c r="E50" s="29">
        <v>1</v>
      </c>
      <c r="F50" s="30">
        <v>300000</v>
      </c>
      <c r="G50" s="31">
        <f t="shared" si="7"/>
        <v>300000</v>
      </c>
      <c r="H50" s="17">
        <v>0</v>
      </c>
      <c r="I50" s="8">
        <f t="shared" si="0"/>
        <v>0</v>
      </c>
      <c r="J50" s="6">
        <f>+H50*F50</f>
        <v>0</v>
      </c>
      <c r="K50" s="4">
        <f t="shared" si="1"/>
        <v>0</v>
      </c>
      <c r="L50" s="8">
        <f t="shared" si="2"/>
        <v>0</v>
      </c>
      <c r="M50" s="6">
        <f>+K50*F50</f>
        <v>0</v>
      </c>
    </row>
    <row r="51" spans="1:13" x14ac:dyDescent="0.2">
      <c r="A51" s="35">
        <v>2</v>
      </c>
      <c r="B51" s="36"/>
      <c r="C51" s="37" t="s">
        <v>54</v>
      </c>
      <c r="D51" s="38"/>
      <c r="E51" s="39"/>
      <c r="F51" s="55"/>
      <c r="G51" s="41">
        <v>6950485</v>
      </c>
      <c r="H51" s="17"/>
      <c r="I51" s="8"/>
      <c r="J51" s="7">
        <f>+SUMA(J52:J53)</f>
        <v>151097.5</v>
      </c>
      <c r="K51" s="4"/>
      <c r="L51" s="8"/>
      <c r="M51" s="78">
        <f>+SUMA(M52:M53)</f>
        <v>151097.5</v>
      </c>
    </row>
    <row r="52" spans="1:13" x14ac:dyDescent="0.2">
      <c r="A52" s="44"/>
      <c r="B52" s="100" t="s">
        <v>61</v>
      </c>
      <c r="C52" s="101"/>
      <c r="D52" s="27"/>
      <c r="E52" s="33"/>
      <c r="F52" s="30"/>
      <c r="G52" s="43">
        <v>6950485</v>
      </c>
      <c r="H52" s="17"/>
      <c r="I52" s="8"/>
      <c r="J52" s="9"/>
      <c r="K52" s="4">
        <f t="shared" si="1"/>
        <v>0</v>
      </c>
      <c r="L52" s="8"/>
      <c r="M52" s="6"/>
    </row>
    <row r="53" spans="1:13" ht="45" x14ac:dyDescent="0.2">
      <c r="A53" s="44"/>
      <c r="B53" s="27" t="s">
        <v>4</v>
      </c>
      <c r="C53" s="32" t="s">
        <v>87</v>
      </c>
      <c r="D53" s="27" t="s">
        <v>30</v>
      </c>
      <c r="E53" s="33">
        <v>92</v>
      </c>
      <c r="F53" s="30">
        <v>75548.75</v>
      </c>
      <c r="G53" s="31">
        <f>+E53*F53</f>
        <v>6950485</v>
      </c>
      <c r="H53" s="86">
        <v>2</v>
      </c>
      <c r="I53" s="8">
        <f t="shared" si="0"/>
        <v>2.1739130434782608E-2</v>
      </c>
      <c r="J53" s="6">
        <f>+H53*F53</f>
        <v>151097.5</v>
      </c>
      <c r="K53" s="4">
        <f t="shared" si="1"/>
        <v>2</v>
      </c>
      <c r="L53" s="8">
        <f t="shared" si="2"/>
        <v>2.1739130434782608E-2</v>
      </c>
      <c r="M53" s="6">
        <f>+K53*F53</f>
        <v>151097.5</v>
      </c>
    </row>
    <row r="54" spans="1:13" x14ac:dyDescent="0.2">
      <c r="A54" s="35">
        <v>5</v>
      </c>
      <c r="B54" s="36"/>
      <c r="C54" s="37" t="s">
        <v>69</v>
      </c>
      <c r="D54" s="38"/>
      <c r="E54" s="39"/>
      <c r="F54" s="55"/>
      <c r="G54" s="52">
        <v>77500</v>
      </c>
      <c r="H54" s="17"/>
      <c r="I54" s="8"/>
      <c r="J54" s="7">
        <f>+SUMA(J55:J56)</f>
        <v>0</v>
      </c>
      <c r="K54" s="4"/>
      <c r="L54" s="8"/>
      <c r="M54" s="78">
        <f>+SUMA(M55:M56)</f>
        <v>0</v>
      </c>
    </row>
    <row r="55" spans="1:13" ht="15" x14ac:dyDescent="0.2">
      <c r="A55" s="44"/>
      <c r="B55" s="27" t="s">
        <v>14</v>
      </c>
      <c r="C55" s="32" t="s">
        <v>70</v>
      </c>
      <c r="D55" s="27" t="s">
        <v>71</v>
      </c>
      <c r="E55" s="29">
        <v>1</v>
      </c>
      <c r="F55" s="60">
        <v>1550000</v>
      </c>
      <c r="G55" s="31">
        <f>+E55*F55</f>
        <v>1550000</v>
      </c>
      <c r="H55" s="17">
        <v>0</v>
      </c>
      <c r="I55" s="8">
        <f t="shared" si="0"/>
        <v>0</v>
      </c>
      <c r="J55" s="6">
        <f>+H55*F55</f>
        <v>0</v>
      </c>
      <c r="K55" s="4">
        <f t="shared" si="1"/>
        <v>0</v>
      </c>
      <c r="L55" s="8">
        <f t="shared" si="2"/>
        <v>0</v>
      </c>
      <c r="M55" s="6">
        <f>+K55*F55</f>
        <v>0</v>
      </c>
    </row>
    <row r="56" spans="1:13" x14ac:dyDescent="0.2">
      <c r="A56" s="95" t="s">
        <v>88</v>
      </c>
      <c r="B56" s="96"/>
      <c r="C56" s="96"/>
      <c r="D56" s="96"/>
      <c r="E56" s="96"/>
      <c r="F56" s="96"/>
      <c r="G56" s="97"/>
      <c r="H56" s="17"/>
      <c r="I56" s="8"/>
      <c r="J56" s="9"/>
      <c r="K56" s="4"/>
      <c r="L56" s="8"/>
      <c r="M56" s="6">
        <f>+K56*F56</f>
        <v>0</v>
      </c>
    </row>
    <row r="57" spans="1:13" x14ac:dyDescent="0.2">
      <c r="A57" s="35">
        <v>1</v>
      </c>
      <c r="B57" s="36"/>
      <c r="C57" s="37" t="s">
        <v>78</v>
      </c>
      <c r="D57" s="40"/>
      <c r="E57" s="40"/>
      <c r="F57" s="40"/>
      <c r="G57" s="41">
        <f>+G58+G59</f>
        <v>1800000</v>
      </c>
      <c r="H57" s="17"/>
      <c r="I57" s="8"/>
      <c r="J57" s="7">
        <f>+SUMA(J58:J59)</f>
        <v>1530000</v>
      </c>
      <c r="K57" s="4"/>
      <c r="L57" s="8"/>
      <c r="M57" s="78">
        <f>+SUMA(M58:M59)</f>
        <v>1530000</v>
      </c>
    </row>
    <row r="58" spans="1:13" x14ac:dyDescent="0.2">
      <c r="A58" s="44"/>
      <c r="B58" s="27" t="s">
        <v>9</v>
      </c>
      <c r="C58" s="28" t="s">
        <v>43</v>
      </c>
      <c r="D58" s="27" t="s">
        <v>44</v>
      </c>
      <c r="E58" s="29">
        <v>1</v>
      </c>
      <c r="F58" s="47">
        <v>1500000</v>
      </c>
      <c r="G58" s="31">
        <f t="shared" ref="G58:G59" si="8">+E58*F58</f>
        <v>1500000</v>
      </c>
      <c r="H58" s="87">
        <v>1</v>
      </c>
      <c r="I58" s="8">
        <f t="shared" si="0"/>
        <v>1</v>
      </c>
      <c r="J58" s="6">
        <f>+H58*F58</f>
        <v>1500000</v>
      </c>
      <c r="K58" s="4">
        <f t="shared" si="1"/>
        <v>1</v>
      </c>
      <c r="L58" s="8">
        <f t="shared" si="2"/>
        <v>1</v>
      </c>
      <c r="M58" s="6">
        <f>+K58*F58</f>
        <v>1500000</v>
      </c>
    </row>
    <row r="59" spans="1:13" x14ac:dyDescent="0.2">
      <c r="A59" s="44"/>
      <c r="B59" s="27" t="s">
        <v>10</v>
      </c>
      <c r="C59" s="28" t="s">
        <v>45</v>
      </c>
      <c r="D59" s="27" t="s">
        <v>44</v>
      </c>
      <c r="E59" s="29">
        <v>1</v>
      </c>
      <c r="F59" s="47">
        <v>300000</v>
      </c>
      <c r="G59" s="31">
        <f t="shared" si="8"/>
        <v>300000</v>
      </c>
      <c r="H59" s="87">
        <v>0.1</v>
      </c>
      <c r="I59" s="8">
        <f t="shared" si="0"/>
        <v>0.1</v>
      </c>
      <c r="J59" s="6">
        <f>+H59*F59</f>
        <v>30000</v>
      </c>
      <c r="K59" s="4">
        <f t="shared" si="1"/>
        <v>0.1</v>
      </c>
      <c r="L59" s="8">
        <f t="shared" si="2"/>
        <v>0.1</v>
      </c>
      <c r="M59" s="6">
        <f>+K59*F59</f>
        <v>30000</v>
      </c>
    </row>
    <row r="60" spans="1:13" x14ac:dyDescent="0.2">
      <c r="A60" s="35">
        <v>2</v>
      </c>
      <c r="B60" s="36"/>
      <c r="C60" s="37" t="s">
        <v>54</v>
      </c>
      <c r="D60" s="38"/>
      <c r="E60" s="39"/>
      <c r="F60" s="55"/>
      <c r="G60" s="41">
        <f>G61+G62</f>
        <v>41594461.5625</v>
      </c>
      <c r="H60" s="17"/>
      <c r="I60" s="8"/>
      <c r="J60" s="7">
        <f>+SUMA(J61:J62)</f>
        <v>19750485.276799999</v>
      </c>
      <c r="K60" s="4"/>
      <c r="L60" s="8"/>
      <c r="M60" s="78">
        <f>+SUMA(M61:M62)</f>
        <v>19750485.276799999</v>
      </c>
    </row>
    <row r="61" spans="1:13" ht="45" customHeight="1" x14ac:dyDescent="0.2">
      <c r="A61" s="44"/>
      <c r="B61" s="27" t="s">
        <v>4</v>
      </c>
      <c r="C61" s="32" t="s">
        <v>89</v>
      </c>
      <c r="D61" s="27" t="s">
        <v>0</v>
      </c>
      <c r="E61" s="33">
        <v>1306.25</v>
      </c>
      <c r="F61" s="30">
        <v>16717.25</v>
      </c>
      <c r="G61" s="31">
        <f t="shared" ref="G61:G62" si="9">+E61*F61</f>
        <v>21836907.8125</v>
      </c>
      <c r="H61" s="87">
        <v>742</v>
      </c>
      <c r="I61" s="8">
        <f t="shared" si="0"/>
        <v>0.56803827751196168</v>
      </c>
      <c r="J61" s="6">
        <f>+H61*F61</f>
        <v>12404199.5</v>
      </c>
      <c r="K61" s="4">
        <f t="shared" si="1"/>
        <v>742</v>
      </c>
      <c r="L61" s="8">
        <f t="shared" si="2"/>
        <v>0.56803827751196168</v>
      </c>
      <c r="M61" s="6">
        <f>+K61*F61</f>
        <v>12404199.5</v>
      </c>
    </row>
    <row r="62" spans="1:13" ht="30" x14ac:dyDescent="0.2">
      <c r="A62" s="44"/>
      <c r="B62" s="27" t="s">
        <v>3</v>
      </c>
      <c r="C62" s="32" t="s">
        <v>90</v>
      </c>
      <c r="D62" s="27" t="s">
        <v>0</v>
      </c>
      <c r="E62" s="33">
        <v>1306.25</v>
      </c>
      <c r="F62" s="30">
        <v>15125.4</v>
      </c>
      <c r="G62" s="31">
        <f t="shared" si="9"/>
        <v>19757553.75</v>
      </c>
      <c r="H62" s="87">
        <v>485.69200000000001</v>
      </c>
      <c r="I62" s="8">
        <f t="shared" si="0"/>
        <v>0.3718216267942584</v>
      </c>
      <c r="J62" s="6">
        <f>+H62*F62</f>
        <v>7346285.7768000001</v>
      </c>
      <c r="K62" s="4">
        <f t="shared" si="1"/>
        <v>485.69200000000001</v>
      </c>
      <c r="L62" s="8">
        <f t="shared" si="2"/>
        <v>0.3718216267942584</v>
      </c>
      <c r="M62" s="6">
        <f>+K62*F62</f>
        <v>7346285.7768000001</v>
      </c>
    </row>
    <row r="63" spans="1:13" x14ac:dyDescent="0.2">
      <c r="A63" s="35">
        <v>3</v>
      </c>
      <c r="B63" s="36"/>
      <c r="C63" s="37" t="s">
        <v>69</v>
      </c>
      <c r="D63" s="38"/>
      <c r="E63" s="39"/>
      <c r="F63" s="55"/>
      <c r="G63" s="52">
        <f>G64</f>
        <v>1550000</v>
      </c>
      <c r="H63" s="17"/>
      <c r="I63" s="8"/>
      <c r="J63" s="7">
        <f>+SUMA(J64:J65)</f>
        <v>155000</v>
      </c>
      <c r="K63" s="4"/>
      <c r="L63" s="8"/>
      <c r="M63" s="78">
        <f>+SUMA(M64:M65)</f>
        <v>155000</v>
      </c>
    </row>
    <row r="64" spans="1:13" ht="15" x14ac:dyDescent="0.2">
      <c r="A64" s="44"/>
      <c r="B64" s="27" t="s">
        <v>6</v>
      </c>
      <c r="C64" s="32" t="s">
        <v>70</v>
      </c>
      <c r="D64" s="27" t="s">
        <v>71</v>
      </c>
      <c r="E64" s="61">
        <v>1</v>
      </c>
      <c r="F64" s="60">
        <v>1550000</v>
      </c>
      <c r="G64" s="31">
        <f>+E64*F64</f>
        <v>1550000</v>
      </c>
      <c r="H64" s="87">
        <v>0.1</v>
      </c>
      <c r="I64" s="8">
        <f t="shared" si="0"/>
        <v>0.1</v>
      </c>
      <c r="J64" s="6">
        <f>+H64*F64</f>
        <v>155000</v>
      </c>
      <c r="K64" s="4">
        <f t="shared" si="1"/>
        <v>0.1</v>
      </c>
      <c r="L64" s="8">
        <f t="shared" si="2"/>
        <v>0.1</v>
      </c>
      <c r="M64" s="6">
        <f>+K64*F64</f>
        <v>155000</v>
      </c>
    </row>
    <row r="65" spans="1:13" x14ac:dyDescent="0.2">
      <c r="A65" s="102" t="s">
        <v>91</v>
      </c>
      <c r="B65" s="103"/>
      <c r="C65" s="103"/>
      <c r="D65" s="103"/>
      <c r="E65" s="103"/>
      <c r="F65" s="103"/>
      <c r="G65" s="104"/>
      <c r="H65" s="17"/>
      <c r="I65" s="8"/>
      <c r="J65" s="9"/>
      <c r="K65" s="4"/>
      <c r="L65" s="8"/>
      <c r="M65" s="6"/>
    </row>
    <row r="66" spans="1:13" ht="14" customHeight="1" x14ac:dyDescent="0.2">
      <c r="A66" s="62">
        <v>1</v>
      </c>
      <c r="B66" s="63"/>
      <c r="C66" s="105" t="s">
        <v>32</v>
      </c>
      <c r="D66" s="106"/>
      <c r="E66" s="106"/>
      <c r="F66" s="107"/>
      <c r="G66" s="64">
        <v>1800000</v>
      </c>
      <c r="H66" s="17"/>
      <c r="I66" s="8"/>
      <c r="J66" s="7">
        <f>+SUMA(J67:J68)</f>
        <v>1500000</v>
      </c>
      <c r="K66" s="4"/>
      <c r="L66" s="8"/>
      <c r="M66" s="78">
        <f>+SUMA(M67:M68)</f>
        <v>1500000</v>
      </c>
    </row>
    <row r="67" spans="1:13" ht="15" x14ac:dyDescent="0.2">
      <c r="A67" s="65"/>
      <c r="B67" s="66" t="s">
        <v>9</v>
      </c>
      <c r="C67" s="67" t="s">
        <v>43</v>
      </c>
      <c r="D67" s="66" t="s">
        <v>44</v>
      </c>
      <c r="E67" s="66">
        <v>1</v>
      </c>
      <c r="F67" s="68">
        <v>1500000</v>
      </c>
      <c r="G67" s="69">
        <v>1500000</v>
      </c>
      <c r="H67" s="87">
        <v>1</v>
      </c>
      <c r="I67" s="8">
        <f t="shared" si="0"/>
        <v>1</v>
      </c>
      <c r="J67" s="6">
        <f>+H67*F67</f>
        <v>1500000</v>
      </c>
      <c r="K67" s="4">
        <f t="shared" si="1"/>
        <v>1</v>
      </c>
      <c r="L67" s="8">
        <f t="shared" si="2"/>
        <v>1</v>
      </c>
      <c r="M67" s="6">
        <f>+K67*F67</f>
        <v>1500000</v>
      </c>
    </row>
    <row r="68" spans="1:13" ht="15" x14ac:dyDescent="0.2">
      <c r="A68" s="65"/>
      <c r="B68" s="66" t="s">
        <v>10</v>
      </c>
      <c r="C68" s="67" t="s">
        <v>45</v>
      </c>
      <c r="D68" s="66" t="s">
        <v>44</v>
      </c>
      <c r="E68" s="66">
        <v>1</v>
      </c>
      <c r="F68" s="68">
        <v>300000</v>
      </c>
      <c r="G68" s="69">
        <v>300000</v>
      </c>
      <c r="H68" s="17">
        <v>0</v>
      </c>
      <c r="I68" s="8">
        <f t="shared" si="0"/>
        <v>0</v>
      </c>
      <c r="J68" s="6">
        <f>+H68*F68</f>
        <v>0</v>
      </c>
      <c r="K68" s="4">
        <f t="shared" si="1"/>
        <v>0</v>
      </c>
      <c r="L68" s="8">
        <f t="shared" si="2"/>
        <v>0</v>
      </c>
      <c r="M68" s="6">
        <f>+K68*F68</f>
        <v>0</v>
      </c>
    </row>
    <row r="69" spans="1:13" ht="14" customHeight="1" x14ac:dyDescent="0.2">
      <c r="A69" s="62">
        <v>2</v>
      </c>
      <c r="B69" s="63"/>
      <c r="C69" s="105" t="s">
        <v>31</v>
      </c>
      <c r="D69" s="106"/>
      <c r="E69" s="106"/>
      <c r="F69" s="107"/>
      <c r="G69" s="64">
        <v>9401333</v>
      </c>
      <c r="H69" s="17"/>
      <c r="I69" s="8"/>
      <c r="J69" s="7">
        <f>+SUMA(J70:J71)</f>
        <v>0</v>
      </c>
      <c r="K69" s="4"/>
      <c r="L69" s="8"/>
      <c r="M69" s="78">
        <f>+SUMA(M70:M71)</f>
        <v>0</v>
      </c>
    </row>
    <row r="70" spans="1:13" ht="15" x14ac:dyDescent="0.2">
      <c r="A70" s="108"/>
      <c r="B70" s="66" t="s">
        <v>4</v>
      </c>
      <c r="C70" s="67" t="s">
        <v>46</v>
      </c>
      <c r="D70" s="66" t="s">
        <v>0</v>
      </c>
      <c r="E70" s="70">
        <v>580</v>
      </c>
      <c r="F70" s="68">
        <v>3146</v>
      </c>
      <c r="G70" s="69">
        <v>1824583</v>
      </c>
      <c r="H70" s="17">
        <v>0</v>
      </c>
      <c r="I70" s="8">
        <f t="shared" si="0"/>
        <v>0</v>
      </c>
      <c r="J70" s="6">
        <f>+H70*F70</f>
        <v>0</v>
      </c>
      <c r="K70" s="4">
        <f t="shared" si="1"/>
        <v>0</v>
      </c>
      <c r="L70" s="8">
        <f t="shared" si="2"/>
        <v>0</v>
      </c>
      <c r="M70" s="6">
        <f>+K70*F70</f>
        <v>0</v>
      </c>
    </row>
    <row r="71" spans="1:13" ht="45" x14ac:dyDescent="0.2">
      <c r="A71" s="109"/>
      <c r="B71" s="66" t="s">
        <v>3</v>
      </c>
      <c r="C71" s="67" t="s">
        <v>92</v>
      </c>
      <c r="D71" s="66" t="s">
        <v>0</v>
      </c>
      <c r="E71" s="70">
        <v>145</v>
      </c>
      <c r="F71" s="68">
        <v>36531</v>
      </c>
      <c r="G71" s="69">
        <v>5296995</v>
      </c>
      <c r="H71" s="17">
        <v>0</v>
      </c>
      <c r="I71" s="8">
        <f t="shared" si="0"/>
        <v>0</v>
      </c>
      <c r="J71" s="6">
        <f>+H71*F71</f>
        <v>0</v>
      </c>
      <c r="K71" s="4">
        <f t="shared" si="1"/>
        <v>0</v>
      </c>
      <c r="L71" s="8">
        <f t="shared" si="2"/>
        <v>0</v>
      </c>
      <c r="M71" s="6">
        <f>+K71*F71</f>
        <v>0</v>
      </c>
    </row>
    <row r="72" spans="1:13" ht="30" x14ac:dyDescent="0.2">
      <c r="A72" s="109"/>
      <c r="B72" s="66" t="s">
        <v>48</v>
      </c>
      <c r="C72" s="67" t="s">
        <v>93</v>
      </c>
      <c r="D72" s="66" t="s">
        <v>0</v>
      </c>
      <c r="E72" s="70">
        <v>10</v>
      </c>
      <c r="F72" s="68">
        <v>42975</v>
      </c>
      <c r="G72" s="69">
        <v>429754</v>
      </c>
      <c r="H72" s="17">
        <v>0</v>
      </c>
      <c r="I72" s="8">
        <f t="shared" ref="I72:I87" si="10">+H72/E72</f>
        <v>0</v>
      </c>
      <c r="J72" s="6">
        <f>+H72*F72</f>
        <v>0</v>
      </c>
      <c r="K72" s="4">
        <f t="shared" ref="K72:K87" si="11">H72</f>
        <v>0</v>
      </c>
      <c r="L72" s="8">
        <f t="shared" ref="L72:L87" si="12">K72/E72</f>
        <v>0</v>
      </c>
      <c r="M72" s="6">
        <f>+K72*F72</f>
        <v>0</v>
      </c>
    </row>
    <row r="73" spans="1:13" ht="30" x14ac:dyDescent="0.2">
      <c r="A73" s="110"/>
      <c r="B73" s="66" t="s">
        <v>50</v>
      </c>
      <c r="C73" s="67" t="s">
        <v>94</v>
      </c>
      <c r="D73" s="66" t="s">
        <v>0</v>
      </c>
      <c r="E73" s="70">
        <v>25</v>
      </c>
      <c r="F73" s="68">
        <v>74000</v>
      </c>
      <c r="G73" s="69">
        <v>1850000</v>
      </c>
      <c r="H73" s="17">
        <v>0</v>
      </c>
      <c r="I73" s="8">
        <f t="shared" si="10"/>
        <v>0</v>
      </c>
      <c r="J73" s="6">
        <f>+H73*F73</f>
        <v>0</v>
      </c>
      <c r="K73" s="4">
        <f t="shared" si="11"/>
        <v>0</v>
      </c>
      <c r="L73" s="8">
        <f t="shared" si="12"/>
        <v>0</v>
      </c>
      <c r="M73" s="6">
        <f>+K73*F73</f>
        <v>0</v>
      </c>
    </row>
    <row r="74" spans="1:13" ht="14" customHeight="1" x14ac:dyDescent="0.2">
      <c r="A74" s="62">
        <v>3</v>
      </c>
      <c r="B74" s="63"/>
      <c r="C74" s="105" t="s">
        <v>54</v>
      </c>
      <c r="D74" s="106"/>
      <c r="E74" s="106"/>
      <c r="F74" s="107"/>
      <c r="G74" s="64">
        <v>16020684</v>
      </c>
      <c r="H74" s="17"/>
      <c r="I74" s="8"/>
      <c r="J74" s="7">
        <f>+SUMA(J75:J76)</f>
        <v>0</v>
      </c>
      <c r="K74" s="4"/>
      <c r="L74" s="8"/>
      <c r="M74" s="78">
        <f>+SUMA(M75:M76)</f>
        <v>0</v>
      </c>
    </row>
    <row r="75" spans="1:13" ht="14" customHeight="1" x14ac:dyDescent="0.2">
      <c r="A75" s="65"/>
      <c r="B75" s="111" t="s">
        <v>55</v>
      </c>
      <c r="C75" s="112"/>
      <c r="D75" s="71"/>
      <c r="E75" s="71"/>
      <c r="F75" s="71"/>
      <c r="G75" s="72"/>
      <c r="H75" s="17"/>
      <c r="I75" s="8"/>
      <c r="J75" s="9"/>
      <c r="K75" s="4"/>
      <c r="L75" s="8"/>
      <c r="M75" s="6"/>
    </row>
    <row r="76" spans="1:13" ht="45" x14ac:dyDescent="0.2">
      <c r="A76" s="65"/>
      <c r="B76" s="66" t="s">
        <v>6</v>
      </c>
      <c r="C76" s="67" t="s">
        <v>95</v>
      </c>
      <c r="D76" s="66" t="s">
        <v>0</v>
      </c>
      <c r="E76" s="70">
        <v>580</v>
      </c>
      <c r="F76" s="68">
        <v>16962</v>
      </c>
      <c r="G76" s="69">
        <v>9837674</v>
      </c>
      <c r="H76" s="17">
        <v>0</v>
      </c>
      <c r="I76" s="8">
        <f t="shared" si="10"/>
        <v>0</v>
      </c>
      <c r="J76" s="6">
        <f>+H76*F76</f>
        <v>0</v>
      </c>
      <c r="K76" s="4">
        <f t="shared" si="11"/>
        <v>0</v>
      </c>
      <c r="L76" s="8">
        <f t="shared" si="12"/>
        <v>0</v>
      </c>
      <c r="M76" s="6">
        <f>+K76*F76</f>
        <v>0</v>
      </c>
    </row>
    <row r="77" spans="1:13" ht="14" customHeight="1" x14ac:dyDescent="0.2">
      <c r="A77" s="65"/>
      <c r="B77" s="111" t="s">
        <v>96</v>
      </c>
      <c r="C77" s="112"/>
      <c r="D77" s="66"/>
      <c r="E77" s="70"/>
      <c r="F77" s="73"/>
      <c r="G77" s="74"/>
      <c r="H77" s="17"/>
      <c r="I77" s="8"/>
      <c r="J77" s="9"/>
      <c r="K77" s="4"/>
      <c r="L77" s="8"/>
      <c r="M77" s="6"/>
    </row>
    <row r="78" spans="1:13" ht="30" x14ac:dyDescent="0.2">
      <c r="A78" s="65"/>
      <c r="B78" s="66" t="s">
        <v>97</v>
      </c>
      <c r="C78" s="67" t="s">
        <v>98</v>
      </c>
      <c r="D78" s="66" t="s">
        <v>0</v>
      </c>
      <c r="E78" s="70">
        <v>200</v>
      </c>
      <c r="F78" s="68">
        <v>10500</v>
      </c>
      <c r="G78" s="69">
        <v>2100000</v>
      </c>
      <c r="H78" s="17">
        <v>0</v>
      </c>
      <c r="I78" s="8">
        <f t="shared" si="10"/>
        <v>0</v>
      </c>
      <c r="J78" s="6">
        <f>+H78*F78</f>
        <v>0</v>
      </c>
      <c r="K78" s="4">
        <f t="shared" si="11"/>
        <v>0</v>
      </c>
      <c r="L78" s="8">
        <f t="shared" si="12"/>
        <v>0</v>
      </c>
      <c r="M78" s="6">
        <f>+K78*F78</f>
        <v>0</v>
      </c>
    </row>
    <row r="79" spans="1:13" ht="14" customHeight="1" x14ac:dyDescent="0.2">
      <c r="A79" s="65"/>
      <c r="B79" s="111" t="s">
        <v>61</v>
      </c>
      <c r="C79" s="112"/>
      <c r="D79" s="66"/>
      <c r="E79" s="70"/>
      <c r="F79" s="73"/>
      <c r="G79" s="74"/>
      <c r="H79" s="17"/>
      <c r="I79" s="8"/>
      <c r="J79" s="9"/>
      <c r="K79" s="4"/>
      <c r="L79" s="8"/>
      <c r="M79" s="6"/>
    </row>
    <row r="80" spans="1:13" ht="30" x14ac:dyDescent="0.2">
      <c r="A80" s="65"/>
      <c r="B80" s="66" t="s">
        <v>99</v>
      </c>
      <c r="C80" s="67" t="s">
        <v>100</v>
      </c>
      <c r="D80" s="66" t="s">
        <v>30</v>
      </c>
      <c r="E80" s="70">
        <v>7</v>
      </c>
      <c r="F80" s="68">
        <v>75549</v>
      </c>
      <c r="G80" s="69">
        <v>528841</v>
      </c>
      <c r="H80" s="17">
        <v>0</v>
      </c>
      <c r="I80" s="8">
        <f t="shared" si="10"/>
        <v>0</v>
      </c>
      <c r="J80" s="6">
        <f>+H80*F80</f>
        <v>0</v>
      </c>
      <c r="K80" s="4">
        <f t="shared" si="11"/>
        <v>0</v>
      </c>
      <c r="L80" s="8">
        <f t="shared" si="12"/>
        <v>0</v>
      </c>
      <c r="M80" s="6">
        <f>+K80*F80</f>
        <v>0</v>
      </c>
    </row>
    <row r="81" spans="1:13" ht="45" x14ac:dyDescent="0.2">
      <c r="A81" s="65"/>
      <c r="B81" s="66" t="s">
        <v>101</v>
      </c>
      <c r="C81" s="67" t="s">
        <v>102</v>
      </c>
      <c r="D81" s="70" t="s">
        <v>2</v>
      </c>
      <c r="E81" s="70">
        <v>187</v>
      </c>
      <c r="F81" s="68">
        <v>19006</v>
      </c>
      <c r="G81" s="69">
        <v>3554169</v>
      </c>
      <c r="H81" s="17">
        <v>0</v>
      </c>
      <c r="I81" s="8">
        <f t="shared" si="10"/>
        <v>0</v>
      </c>
      <c r="J81" s="6">
        <f>+H81*F81</f>
        <v>0</v>
      </c>
      <c r="K81" s="4">
        <f t="shared" si="11"/>
        <v>0</v>
      </c>
      <c r="L81" s="8">
        <f t="shared" si="12"/>
        <v>0</v>
      </c>
      <c r="M81" s="6">
        <f>+K81*F81</f>
        <v>0</v>
      </c>
    </row>
    <row r="82" spans="1:13" ht="14" customHeight="1" x14ac:dyDescent="0.2">
      <c r="A82" s="62">
        <v>4</v>
      </c>
      <c r="B82" s="63"/>
      <c r="C82" s="105" t="s">
        <v>103</v>
      </c>
      <c r="D82" s="106"/>
      <c r="E82" s="106"/>
      <c r="F82" s="107"/>
      <c r="G82" s="75">
        <v>2359702</v>
      </c>
      <c r="H82" s="17"/>
      <c r="I82" s="8"/>
      <c r="J82" s="7">
        <f>+SUMA(J83:J84)</f>
        <v>0</v>
      </c>
      <c r="K82" s="4"/>
      <c r="L82" s="8"/>
      <c r="M82" s="78">
        <f>+SUMA(M83:M84)</f>
        <v>0</v>
      </c>
    </row>
    <row r="83" spans="1:13" ht="15" x14ac:dyDescent="0.2">
      <c r="A83" s="65"/>
      <c r="B83" s="66" t="s">
        <v>12</v>
      </c>
      <c r="C83" s="67" t="s">
        <v>104</v>
      </c>
      <c r="D83" s="66" t="s">
        <v>2</v>
      </c>
      <c r="E83" s="70">
        <v>49</v>
      </c>
      <c r="F83" s="68">
        <v>6462</v>
      </c>
      <c r="G83" s="69">
        <v>316631</v>
      </c>
      <c r="H83" s="17">
        <v>0</v>
      </c>
      <c r="I83" s="8">
        <f t="shared" si="10"/>
        <v>0</v>
      </c>
      <c r="J83" s="6">
        <f>+H83*F83</f>
        <v>0</v>
      </c>
      <c r="K83" s="4">
        <f t="shared" si="11"/>
        <v>0</v>
      </c>
      <c r="L83" s="8">
        <f t="shared" si="12"/>
        <v>0</v>
      </c>
      <c r="M83" s="6">
        <f>+K83*F83</f>
        <v>0</v>
      </c>
    </row>
    <row r="84" spans="1:13" ht="30" x14ac:dyDescent="0.2">
      <c r="A84" s="65"/>
      <c r="B84" s="66" t="s">
        <v>13</v>
      </c>
      <c r="C84" s="67" t="s">
        <v>105</v>
      </c>
      <c r="D84" s="66" t="s">
        <v>2</v>
      </c>
      <c r="E84" s="70">
        <v>100</v>
      </c>
      <c r="F84" s="68">
        <v>7360</v>
      </c>
      <c r="G84" s="69">
        <v>736000</v>
      </c>
      <c r="H84" s="17">
        <v>0</v>
      </c>
      <c r="I84" s="8">
        <f t="shared" si="10"/>
        <v>0</v>
      </c>
      <c r="J84" s="6">
        <f>+H84*F84</f>
        <v>0</v>
      </c>
      <c r="K84" s="4">
        <f t="shared" si="11"/>
        <v>0</v>
      </c>
      <c r="L84" s="8">
        <f t="shared" si="12"/>
        <v>0</v>
      </c>
      <c r="M84" s="6">
        <f>+K84*F84</f>
        <v>0</v>
      </c>
    </row>
    <row r="85" spans="1:13" ht="45" x14ac:dyDescent="0.2">
      <c r="A85" s="65"/>
      <c r="B85" s="66" t="s">
        <v>66</v>
      </c>
      <c r="C85" s="67" t="s">
        <v>106</v>
      </c>
      <c r="D85" s="66" t="s">
        <v>0</v>
      </c>
      <c r="E85" s="70">
        <v>113</v>
      </c>
      <c r="F85" s="68">
        <v>11567</v>
      </c>
      <c r="G85" s="69">
        <v>1307071</v>
      </c>
      <c r="H85" s="17">
        <v>0</v>
      </c>
      <c r="I85" s="8">
        <f t="shared" si="10"/>
        <v>0</v>
      </c>
      <c r="J85" s="6">
        <f>+H85*F85</f>
        <v>0</v>
      </c>
      <c r="K85" s="4">
        <f t="shared" si="11"/>
        <v>0</v>
      </c>
      <c r="L85" s="8">
        <f t="shared" si="12"/>
        <v>0</v>
      </c>
      <c r="M85" s="6">
        <f>+K85*F85</f>
        <v>0</v>
      </c>
    </row>
    <row r="86" spans="1:13" ht="14" customHeight="1" x14ac:dyDescent="0.2">
      <c r="A86" s="62">
        <v>5</v>
      </c>
      <c r="B86" s="63"/>
      <c r="C86" s="105" t="s">
        <v>69</v>
      </c>
      <c r="D86" s="106"/>
      <c r="E86" s="106"/>
      <c r="F86" s="107"/>
      <c r="G86" s="75">
        <v>310000</v>
      </c>
      <c r="H86" s="17"/>
      <c r="I86" s="8"/>
      <c r="J86" s="7">
        <f>+SUMA(J87)</f>
        <v>0</v>
      </c>
      <c r="K86" s="4"/>
      <c r="L86" s="8"/>
      <c r="M86" s="78">
        <f>+SUMA(M87)</f>
        <v>0</v>
      </c>
    </row>
    <row r="87" spans="1:13" ht="15" x14ac:dyDescent="0.2">
      <c r="A87" s="76"/>
      <c r="B87" s="66" t="s">
        <v>14</v>
      </c>
      <c r="C87" s="67" t="s">
        <v>70</v>
      </c>
      <c r="D87" s="66" t="s">
        <v>71</v>
      </c>
      <c r="E87" s="66">
        <v>1</v>
      </c>
      <c r="F87" s="73">
        <v>1550000</v>
      </c>
      <c r="G87" s="74">
        <v>310000</v>
      </c>
      <c r="H87" s="17">
        <v>0</v>
      </c>
      <c r="I87" s="8">
        <f t="shared" si="10"/>
        <v>0</v>
      </c>
      <c r="J87" s="6">
        <f>+H87*F87</f>
        <v>0</v>
      </c>
      <c r="K87" s="4">
        <f t="shared" si="11"/>
        <v>0</v>
      </c>
      <c r="L87" s="8">
        <f t="shared" si="12"/>
        <v>0</v>
      </c>
      <c r="M87" s="6">
        <f>+K87*F87</f>
        <v>0</v>
      </c>
    </row>
    <row r="88" spans="1:13" x14ac:dyDescent="0.2">
      <c r="A88" s="120" t="s">
        <v>29</v>
      </c>
      <c r="B88" s="120"/>
      <c r="C88" s="120"/>
      <c r="D88" s="122" t="s">
        <v>27</v>
      </c>
      <c r="E88" s="123"/>
      <c r="F88" s="124"/>
      <c r="G88" s="19">
        <f>+G6+G9+G15+G23+G27+G30+G33+G37+G40+G43+G45+G48+G51+G54+G57+G60+G63+G66+G69+G74+G82+G86</f>
        <v>538351601.5796541</v>
      </c>
      <c r="H88" s="121" t="s">
        <v>28</v>
      </c>
      <c r="I88" s="121"/>
      <c r="J88" s="10">
        <f>+J6+J9+J15+J23+J30+J33+J37+J40+J43+J45+J48+J51+J54+J57+J60+J63+J66+J69+J74+J82+J86</f>
        <v>83698099.571255565</v>
      </c>
      <c r="K88" s="114" t="s">
        <v>28</v>
      </c>
      <c r="L88" s="114"/>
      <c r="M88" s="85">
        <f>+M6+M9+M15+M23+M30+M33+M37+M40+M43+M45+M48+M51+M54+M57+M60+M63+M66+M69+M74+M82+M86</f>
        <v>82923099.571255565</v>
      </c>
    </row>
    <row r="89" spans="1:13" x14ac:dyDescent="0.2">
      <c r="A89" s="120"/>
      <c r="B89" s="120"/>
      <c r="C89" s="120"/>
      <c r="D89" s="126" t="s">
        <v>15</v>
      </c>
      <c r="E89" s="126"/>
      <c r="F89" s="11">
        <v>0.19</v>
      </c>
      <c r="G89" s="12">
        <v>94780572.687200949</v>
      </c>
      <c r="H89" s="125" t="s">
        <v>27</v>
      </c>
      <c r="I89" s="125"/>
      <c r="J89" s="20">
        <f>+SUMA(J88:J88)</f>
        <v>83698099.571255565</v>
      </c>
      <c r="K89" s="118" t="s">
        <v>27</v>
      </c>
      <c r="L89" s="118"/>
      <c r="M89" s="83">
        <f>+SUMA(M88:M88)</f>
        <v>82923099.571255565</v>
      </c>
    </row>
    <row r="90" spans="1:13" x14ac:dyDescent="0.2">
      <c r="A90" s="120"/>
      <c r="B90" s="120"/>
      <c r="C90" s="120"/>
      <c r="D90" s="126" t="s">
        <v>26</v>
      </c>
      <c r="E90" s="126"/>
      <c r="F90" s="126"/>
      <c r="G90" s="14">
        <f>+G88+G89</f>
        <v>633132174.266855</v>
      </c>
      <c r="H90" s="24" t="s">
        <v>15</v>
      </c>
      <c r="I90" s="13">
        <v>0.19</v>
      </c>
      <c r="J90" s="18">
        <v>11120046.658444332</v>
      </c>
      <c r="K90" s="81" t="s">
        <v>15</v>
      </c>
      <c r="L90" s="84">
        <v>0.19</v>
      </c>
      <c r="M90" s="77">
        <v>11120046.658444332</v>
      </c>
    </row>
    <row r="91" spans="1:13" x14ac:dyDescent="0.2">
      <c r="A91" s="120"/>
      <c r="B91" s="120"/>
      <c r="C91" s="120"/>
      <c r="H91" s="121" t="s">
        <v>25</v>
      </c>
      <c r="I91" s="121"/>
      <c r="J91" s="15">
        <f>+J89+J90</f>
        <v>94818146.229699895</v>
      </c>
      <c r="K91" s="91" t="s">
        <v>25</v>
      </c>
      <c r="L91" s="91"/>
      <c r="M91" s="82">
        <f>+M89+M90</f>
        <v>94043146.229699895</v>
      </c>
    </row>
    <row r="92" spans="1:13" x14ac:dyDescent="0.2">
      <c r="A92" s="120"/>
      <c r="B92" s="120"/>
      <c r="C92" s="120"/>
      <c r="H92" s="25" t="s">
        <v>24</v>
      </c>
      <c r="I92" s="5">
        <v>0.02</v>
      </c>
      <c r="J92" s="3">
        <f>+J89*I92</f>
        <v>1673961.9914251114</v>
      </c>
      <c r="K92" s="79" t="s">
        <v>24</v>
      </c>
      <c r="L92" s="5">
        <v>0.02</v>
      </c>
      <c r="M92" s="3">
        <f>+M89*L92</f>
        <v>1658461.9914251114</v>
      </c>
    </row>
    <row r="93" spans="1:13" x14ac:dyDescent="0.2">
      <c r="A93" s="120"/>
      <c r="B93" s="120"/>
      <c r="C93" s="120"/>
      <c r="H93" s="25" t="s">
        <v>23</v>
      </c>
      <c r="I93" s="5">
        <v>0.2</v>
      </c>
      <c r="J93" s="3">
        <f>+J91*I93</f>
        <v>18963629.245939981</v>
      </c>
      <c r="K93" s="79" t="s">
        <v>23</v>
      </c>
      <c r="L93" s="5">
        <v>0.2</v>
      </c>
      <c r="M93" s="3">
        <f>+M91*L93</f>
        <v>18808629.245939981</v>
      </c>
    </row>
    <row r="94" spans="1:13" x14ac:dyDescent="0.2">
      <c r="A94" s="120"/>
      <c r="B94" s="120"/>
      <c r="C94" s="120"/>
      <c r="H94" s="25" t="s">
        <v>22</v>
      </c>
      <c r="I94" s="5">
        <v>0.1</v>
      </c>
      <c r="J94" s="3">
        <f>+J91*I94</f>
        <v>9481814.6229699906</v>
      </c>
      <c r="K94" s="79" t="s">
        <v>22</v>
      </c>
      <c r="L94" s="5">
        <v>0.1</v>
      </c>
      <c r="M94" s="3">
        <f>+M91*L94</f>
        <v>9404314.6229699906</v>
      </c>
    </row>
    <row r="95" spans="1:13" x14ac:dyDescent="0.2">
      <c r="G95" s="90"/>
      <c r="H95" s="98" t="s">
        <v>21</v>
      </c>
      <c r="I95" s="98"/>
      <c r="J95" s="21">
        <f>+J91-J92-J93-J94</f>
        <v>64698740.369364806</v>
      </c>
      <c r="K95" s="99" t="s">
        <v>21</v>
      </c>
      <c r="L95" s="99"/>
      <c r="M95" s="80">
        <f>+M91-M92-M93-M94</f>
        <v>64171740.369364806</v>
      </c>
    </row>
    <row r="96" spans="1:13" x14ac:dyDescent="0.2">
      <c r="C96" s="26" t="s">
        <v>20</v>
      </c>
      <c r="D96" s="4"/>
      <c r="E96" s="16">
        <f>+G90</f>
        <v>633132174.266855</v>
      </c>
    </row>
    <row r="97" spans="3:16" x14ac:dyDescent="0.2">
      <c r="C97" s="26" t="s">
        <v>19</v>
      </c>
      <c r="D97" s="4"/>
      <c r="E97" s="22">
        <f>+E96*20%</f>
        <v>126626434.85337101</v>
      </c>
    </row>
    <row r="98" spans="3:16" x14ac:dyDescent="0.2">
      <c r="C98" s="26" t="s">
        <v>18</v>
      </c>
      <c r="D98" s="23">
        <f>+E98/E97</f>
        <v>0.14976042931240385</v>
      </c>
      <c r="E98" s="16">
        <f>+J93</f>
        <v>18963629.245939981</v>
      </c>
    </row>
    <row r="99" spans="3:16" x14ac:dyDescent="0.2">
      <c r="C99" s="26" t="s">
        <v>17</v>
      </c>
      <c r="D99" s="4"/>
      <c r="E99" s="9">
        <f>+E97-E98</f>
        <v>107662805.60743102</v>
      </c>
    </row>
    <row r="100" spans="3:16" x14ac:dyDescent="0.2">
      <c r="C100" s="26" t="s">
        <v>16</v>
      </c>
      <c r="D100" s="4"/>
      <c r="E100" s="16">
        <f>+J91</f>
        <v>94818146.229699895</v>
      </c>
    </row>
    <row r="101" spans="3:16" x14ac:dyDescent="0.2">
      <c r="C101" s="26" t="s">
        <v>8</v>
      </c>
      <c r="D101" s="4"/>
      <c r="E101" s="23">
        <f>+E100/E96</f>
        <v>0.14976042931240385</v>
      </c>
    </row>
    <row r="106" spans="3:16" x14ac:dyDescent="0.2">
      <c r="M106" s="2"/>
    </row>
    <row r="107" spans="3:16" x14ac:dyDescent="0.2">
      <c r="P107" s="2"/>
    </row>
  </sheetData>
  <mergeCells count="41">
    <mergeCell ref="A1:G1"/>
    <mergeCell ref="H1:J2"/>
    <mergeCell ref="A2:C2"/>
    <mergeCell ref="D2:G2"/>
    <mergeCell ref="A3:C3"/>
    <mergeCell ref="D3:F3"/>
    <mergeCell ref="H3:J3"/>
    <mergeCell ref="H4:J4"/>
    <mergeCell ref="A88:C94"/>
    <mergeCell ref="H88:I88"/>
    <mergeCell ref="D88:F88"/>
    <mergeCell ref="H89:I89"/>
    <mergeCell ref="D89:E89"/>
    <mergeCell ref="D90:F90"/>
    <mergeCell ref="H91:I91"/>
    <mergeCell ref="B16:C16"/>
    <mergeCell ref="B21:C21"/>
    <mergeCell ref="A4:G4"/>
    <mergeCell ref="B77:C77"/>
    <mergeCell ref="B79:C79"/>
    <mergeCell ref="K1:M2"/>
    <mergeCell ref="K3:M3"/>
    <mergeCell ref="K4:M4"/>
    <mergeCell ref="K88:L88"/>
    <mergeCell ref="K89:L89"/>
    <mergeCell ref="K91:L91"/>
    <mergeCell ref="A29:G29"/>
    <mergeCell ref="A39:G39"/>
    <mergeCell ref="A47:G47"/>
    <mergeCell ref="H95:I95"/>
    <mergeCell ref="K95:L95"/>
    <mergeCell ref="B52:C52"/>
    <mergeCell ref="A56:G56"/>
    <mergeCell ref="A65:G65"/>
    <mergeCell ref="C66:F66"/>
    <mergeCell ref="C69:F69"/>
    <mergeCell ref="C82:F82"/>
    <mergeCell ref="C86:F86"/>
    <mergeCell ref="A70:A73"/>
    <mergeCell ref="C74:F74"/>
    <mergeCell ref="B75:C75"/>
  </mergeCells>
  <pageMargins left="0.7" right="0.7" top="0.75" bottom="0.75" header="0.3" footer="0.3"/>
  <pageSetup paperSize="9" scale="3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 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Renso Montoya Upegui</cp:lastModifiedBy>
  <cp:lastPrinted>2026-02-28T19:14:16Z</cp:lastPrinted>
  <dcterms:created xsi:type="dcterms:W3CDTF">2025-05-03T16:00:03Z</dcterms:created>
  <dcterms:modified xsi:type="dcterms:W3CDTF">2026-03-06T19:54:57Z</dcterms:modified>
</cp:coreProperties>
</file>