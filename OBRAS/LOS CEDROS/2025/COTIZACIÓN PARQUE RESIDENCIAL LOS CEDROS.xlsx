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D69A1162-FDEF-47C3-88AD-FC277D63886A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30" i="1"/>
  <c r="G19" i="1"/>
  <c r="G18" i="1"/>
  <c r="G17" i="1"/>
  <c r="G14" i="1"/>
  <c r="G7" i="1"/>
  <c r="G8" i="1"/>
  <c r="G29" i="1"/>
  <c r="G28" i="1"/>
  <c r="G27" i="1"/>
  <c r="G26" i="1"/>
  <c r="G16" i="1"/>
  <c r="G25" i="1" l="1"/>
  <c r="G6" i="1"/>
  <c r="G33" i="1"/>
  <c r="G20" i="1"/>
  <c r="G21" i="1"/>
  <c r="G22" i="1"/>
  <c r="G23" i="1"/>
  <c r="G24" i="1"/>
  <c r="G12" i="1"/>
  <c r="G13" i="1"/>
  <c r="G11" i="1"/>
  <c r="G9" i="1" s="1"/>
  <c r="G10" i="1"/>
  <c r="G15" i="1" l="1"/>
  <c r="G34" i="1"/>
  <c r="G36" i="1" s="1"/>
  <c r="G32" i="1"/>
  <c r="G35" i="1" l="1"/>
  <c r="G37" i="1"/>
  <c r="G38" i="1" s="1"/>
  <c r="G39" i="1" l="1"/>
  <c r="G40" i="1" s="1"/>
</calcChain>
</file>

<file path=xl/sharedStrings.xml><?xml version="1.0" encoding="utf-8"?>
<sst xmlns="http://schemas.openxmlformats.org/spreadsheetml/2006/main" count="101" uniqueCount="76">
  <si>
    <t>CAPT</t>
  </si>
  <si>
    <t>ITEMS</t>
  </si>
  <si>
    <t>GL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</si>
  <si>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</si>
  <si>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</si>
  <si>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</si>
  <si>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</si>
  <si>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</si>
  <si>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</si>
  <si>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</si>
  <si>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</si>
  <si>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</si>
  <si>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</si>
  <si>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</si>
  <si>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</si>
  <si>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</si>
  <si>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</si>
  <si>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</si>
  <si>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</si>
  <si>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</si>
  <si>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</si>
  <si>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TELEFONO:</t>
  </si>
  <si>
    <t>+57 310 461 7353</t>
  </si>
  <si>
    <t>UNIDAD</t>
  </si>
  <si>
    <t>CANTIDAD</t>
  </si>
  <si>
    <t>VR UNITARIO</t>
  </si>
  <si>
    <t>VALOR DIRECTO ACTIVIDAD</t>
  </si>
  <si>
    <t>PREPARACION DE LA SUPERFICIE</t>
  </si>
  <si>
    <t>ACABADO Y PINTURA</t>
  </si>
  <si>
    <t>UND</t>
  </si>
  <si>
    <t>TERMINADO Y LIMPIEZA</t>
  </si>
  <si>
    <t>COTIZACION TORRES Y PARQUEADEROS - CONJUNTO PARQUE RESIDENCIAL LOS CEDROS</t>
  </si>
  <si>
    <t>DESCRIPCIÓN TECNICA</t>
  </si>
  <si>
    <t>Lavado con hidrolavadora industrial y una disolucion de hipoclorito al 10%, esto incluye la totalidad del perimetro externo de las torres</t>
  </si>
  <si>
    <t>señalización de seguridad en sitio: cintas de precaución, avisos de alerta, etc.</t>
  </si>
  <si>
    <t>Se removeran revoques quemados o en mal estado, se realizara analisis con el fin de conservar la armonia del color y buena estetica del paño</t>
  </si>
  <si>
    <t>Se removera graniplast en mal estado, se realizara analisis con el fin de conservar la armonia del color y buena estetica del paño</t>
  </si>
  <si>
    <t>Suministro y aplicación de koraza pro 550 a 2 manos respetando ficha tecnica del fabricante, en el perimetro externo de las torres. En colores a eleccion del contratante</t>
  </si>
  <si>
    <t>Remoción de texturas desprendidas y suministro y aplicación de Viniltex Pintuco o similar en ficha tecnica en el area perimetral interna, incluyendo cielos.</t>
  </si>
  <si>
    <t>Remoción de texturas desprendidas y suministro y aplicación de Viniltex Pintuco o similar en ficha tecnica en el area perimetral interna, en zona de escaleras y columnas de las torres.</t>
  </si>
  <si>
    <t>Suministro y aplicación de Pintulux 3 en 1 en puertas de ingreso a apartamentos, previa preparación de superficie y eliminación de oxido con Corrotec Pintoxido de Pintuco.</t>
  </si>
  <si>
    <t>Suministro y aplicación de koraza pro 550 a 2 manos respetando ficha tecnica del fabricante, en alfajias perimetrales. Se realizara donde se requiera suministro y cambio de superboard y tratamiento de dilataciones.</t>
  </si>
  <si>
    <t>Suministro y aplicación de Viniltex de Pintuco o similar en ficha tecnica en alfajias de escaleras de los 3 bloques, en color gris basalto.</t>
  </si>
  <si>
    <t>Suministro y aplicación de Pintulux 3 en 1 sobre estructura metalica de parqueaderos, se asegurara la previa preparación de superficie y la eliminación de oxido con Corrotec de Pintuco.</t>
  </si>
  <si>
    <t>Limpieza general con productos no dañinos para los elementos a limpiar, la obra quedara libre de escombros y basura resultante de las actividades propias del contrato, se dispondran en un sitio dispuesto legalmente para la disposición de estos elementos.</t>
  </si>
  <si>
    <t>Construcción de campamento para almacenamiento de materiales y como punto general de trabajo</t>
  </si>
  <si>
    <t>Se realizara recorrido general en cubiertas, sello de amarras o anclajes con sellante Sikaflex 1A o similar en ficha tecnica, se reemplazaran tejas en mal estado en los 3 bloques, se sellara el perimetro con malla de pollo y se impermeabilizaran canales de aguas lluvias con Sikafill Power 12 años o similar en ficha tecnica.</t>
  </si>
  <si>
    <t>Se realizara el retiro y reposición de sellos de ventaneria en el perimetro externo de las mismas, incluyendo puertas de balcones, Sello de polimero hibrido tipo Sikaflex 1A o similar en ficha tecnica.</t>
  </si>
  <si>
    <t>Se realizara el retiro y reposición de sellos de ventaneria en el perimetro interno de las mismas, incluyendo puertas de balcones, Sello de polimero hibrido tipo Sikaflex 1A o similar en ficha tecnica.</t>
  </si>
  <si>
    <t>Se suministrara y aplicara graniplast tipo premium de pintuco aplicando imprimación con Acronal con alto volumen de solidos, suministro y aplicación de sello tipo Sikaflex 1A o similar en ficha tecnica.</t>
  </si>
  <si>
    <t xml:space="preserve">  FECHA: 1/11/2024</t>
  </si>
  <si>
    <t xml:space="preserve">  VALIDO HASTA: 1/01/2025</t>
  </si>
  <si>
    <t>Campamento de Obra</t>
  </si>
  <si>
    <t>Señalizacion y Seguridad de la Obra</t>
  </si>
  <si>
    <t>Lavado General de Superficies a Intervenir</t>
  </si>
  <si>
    <t>Retiro y Reemplazo de Graniplast Deteriorado en fachadas de las tres torres (26% DEL TOTAL APROX)</t>
  </si>
  <si>
    <t>Reposicion de Mortero en mal estado en fachadas de las tres torres</t>
  </si>
  <si>
    <t>Retiro y Reemplazo de Superboard en mal estado en fachadas de las tres torres</t>
  </si>
  <si>
    <t>Retiro y Reemplazo de Drywall en mal estado en cielos rasos de fachadas</t>
  </si>
  <si>
    <t>Suministro y Aplicación de Pintura para exteriores, tipo Koraza, sobre superficies de Fachadas y Muros Externos de los bloques de apartamentos</t>
  </si>
  <si>
    <t>Suministro y Aplicación de Pintura para exteriores tipo Koraza, en antepechos de terrazas en los primeros pisos de los bloques y en jardineras</t>
  </si>
  <si>
    <t>Suministro y Aplicación de Pintura para exteriores, tipo Koraza, en elementos volumetricos de superboard en las fachadas</t>
  </si>
  <si>
    <t>Suministro y Aplicación de Pintura para exteriores, tipo koraza, color gris basalto, sobre alfajias de escaleras de acceso a los bloques y de areas comunes externas.</t>
  </si>
  <si>
    <t>Suministro y Aplicación de Pintura tipo Vinilo en areas comunes internas de los bloques de aptos: paredes y cielos rasos</t>
  </si>
  <si>
    <t>Suministro y Aplicación de Pintura tipo 3 en 1, en puertas de los apartamentos (estan incluidas las de los exteriores, porteria-motobombas)</t>
  </si>
  <si>
    <t>Suministro y Aplicación de Pintura para Barandas Metalicas en areas exteriores: gimnasio, pasillos, cuarto de acueducto, piscina, circulacion entre bloques, etc.</t>
  </si>
  <si>
    <t>Suministro y Aplicación de Pintura tipo 3 en 1 en la totalidad de las estructuras metalicas de los parqueaderos externos</t>
  </si>
  <si>
    <t>Suministro y Aplicación de Pintuco Fill sobre las cubiertas de los parqueaderos</t>
  </si>
  <si>
    <t>TRATAMIENTOS ESPECIALES CONTRA HUMEDADES</t>
  </si>
  <si>
    <t>Cambio Total de Cubiertas</t>
  </si>
  <si>
    <t>Sellado Perimetral de enchape en terraza del gimnasio</t>
  </si>
  <si>
    <t>Retiro y Reposicion de sello perimetral en elementos vidriados de los bloque de apartamentos (30% DEL TOTAL)</t>
  </si>
  <si>
    <t>Suministro e Instalacion de Cortagoteras en Balcones y Accesos a los bloques de aptos</t>
  </si>
  <si>
    <t>Reparacion de morteros en cuchillas de cubierta-(30% DEL TOTAL)</t>
  </si>
  <si>
    <t>Suministro e Instalacion de Alfajias en lamina sobre muros perimetrales y medianeros en las cubiertas</t>
  </si>
  <si>
    <t>Aseo General y Retiro de Escombros y Sobrantes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</si>
</sst>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Fill="1" applyBorder="1" applyAlignment="1">
      <alignment vertical="center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43" fontId="3" fillId="2" borderId="15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43" fontId="5" fillId="0" borderId="3" xfId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topLeftCell="A25" zoomScale="52" zoomScaleNormal="52" workbookViewId="0">
      <selection activeCell="G40" sqref="C25:G40"/>
    </sheetView>
  </sheetViews>
  <sheetFormatPr baseColWidth="10" defaultColWidth="12.33203125" defaultRowHeight="13.8" x14ac:dyDescent="0.3"/>
  <cols>
    <col min="1" max="1" width="9.88671875" style="2" customWidth="1"/>
    <col min="2" max="2" width="10.77734375" style="1" customWidth="1"/>
    <col min="3" max="3" width="71.33203125" style="1" customWidth="1"/>
    <col min="4" max="4" width="25.6640625" style="1" customWidth="1"/>
    <col min="5" max="5" width="21" style="1" customWidth="1"/>
    <col min="6" max="6" width="19.88671875" style="1" customWidth="1"/>
    <col min="7" max="7" width="24.21875" style="1" customWidth="1"/>
    <col min="8" max="8" width="58.5546875" style="1" customWidth="1"/>
    <col min="9" max="9" width="56.33203125" style="1" bestFit="1" customWidth="1"/>
    <col min="10" max="16384" width="12.33203125" style="1"/>
  </cols>
  <sheetData>
    <row r="1" spans="1:8" ht="33" customHeight="1" x14ac:dyDescent="0.3">
      <c r="A1" s="45" t="s">
        <v>31</v>
      </c>
      <c r="B1" s="46"/>
      <c r="C1" s="46"/>
      <c r="D1" s="46"/>
      <c r="E1" s="46"/>
      <c r="F1" s="46"/>
      <c r="G1" s="47"/>
    </row>
    <row r="2" spans="1:8" ht="34.799999999999997" customHeight="1" x14ac:dyDescent="0.3">
      <c r="A2" s="48" t="s">
        <v>15</v>
      </c>
      <c r="B2" s="48"/>
      <c r="C2" s="4" t="s">
        <v>16</v>
      </c>
      <c r="D2" s="4" t="s">
        <v>17</v>
      </c>
      <c r="E2" s="4" t="s">
        <v>18</v>
      </c>
      <c r="F2" s="49"/>
      <c r="G2" s="50"/>
    </row>
    <row r="3" spans="1:8" ht="45.6" customHeight="1" x14ac:dyDescent="0.3">
      <c r="A3" s="48" t="s">
        <v>19</v>
      </c>
      <c r="B3" s="48"/>
      <c r="C3" s="3" t="s">
        <v>20</v>
      </c>
      <c r="D3" s="48" t="s">
        <v>50</v>
      </c>
      <c r="E3" s="48"/>
      <c r="F3" s="51"/>
      <c r="G3" s="52"/>
      <c r="H3"/>
    </row>
    <row r="4" spans="1:8" ht="32.4" customHeight="1" x14ac:dyDescent="0.3">
      <c r="A4" s="44" t="s">
        <v>21</v>
      </c>
      <c r="B4" s="44"/>
      <c r="C4" s="4" t="s">
        <v>22</v>
      </c>
      <c r="D4" s="44" t="s">
        <v>51</v>
      </c>
      <c r="E4" s="44"/>
      <c r="F4" s="53"/>
      <c r="G4" s="54"/>
      <c r="H4"/>
    </row>
    <row r="5" spans="1:8" ht="30" x14ac:dyDescent="0.3">
      <c r="A5" s="35" t="s">
        <v>0</v>
      </c>
      <c r="B5" s="36" t="s">
        <v>1</v>
      </c>
      <c r="C5" s="36" t="s">
        <v>6</v>
      </c>
      <c r="D5" s="36" t="s">
        <v>23</v>
      </c>
      <c r="E5" s="35" t="s">
        <v>24</v>
      </c>
      <c r="F5" s="36" t="s">
        <v>25</v>
      </c>
      <c r="G5" s="35" t="s">
        <v>26</v>
      </c>
      <c r="H5" s="37" t="s">
        <v>32</v>
      </c>
    </row>
    <row r="6" spans="1:8" ht="23.25" customHeight="1" x14ac:dyDescent="0.3">
      <c r="A6" s="5" t="s">
        <v>7</v>
      </c>
      <c r="B6" s="6"/>
      <c r="C6" s="6" t="s">
        <v>8</v>
      </c>
      <c r="D6" s="6"/>
      <c r="E6" s="6"/>
      <c r="F6" s="6"/>
      <c r="G6" s="7">
        <f>SUM(G7:G8)</f>
        <v>1800000</v>
      </c>
      <c r="H6"/>
    </row>
    <row r="7" spans="1:8" ht="47.4" customHeight="1" x14ac:dyDescent="0.3">
      <c r="A7" s="8"/>
      <c r="B7" s="8">
        <v>1.1000000000000001</v>
      </c>
      <c r="C7" s="12" t="s">
        <v>52</v>
      </c>
      <c r="D7" s="8" t="s">
        <v>2</v>
      </c>
      <c r="E7" s="9">
        <v>1</v>
      </c>
      <c r="F7" s="10">
        <v>1500000</v>
      </c>
      <c r="G7" s="40">
        <f>+E7*F7</f>
        <v>1500000</v>
      </c>
      <c r="H7" s="41" t="s">
        <v>45</v>
      </c>
    </row>
    <row r="8" spans="1:8" ht="64.8" customHeight="1" x14ac:dyDescent="0.3">
      <c r="A8" s="8"/>
      <c r="B8" s="8">
        <v>1.2</v>
      </c>
      <c r="C8" s="12" t="s">
        <v>53</v>
      </c>
      <c r="D8" s="8" t="s">
        <v>2</v>
      </c>
      <c r="E8" s="9">
        <v>1</v>
      </c>
      <c r="F8" s="10">
        <v>300000</v>
      </c>
      <c r="G8" s="11">
        <f t="shared" ref="G8" si="0">+E8*F8</f>
        <v>300000</v>
      </c>
      <c r="H8" s="39" t="s">
        <v>34</v>
      </c>
    </row>
    <row r="9" spans="1:8" ht="15" x14ac:dyDescent="0.3">
      <c r="A9" s="5">
        <v>2</v>
      </c>
      <c r="B9" s="13"/>
      <c r="C9" s="6" t="s">
        <v>27</v>
      </c>
      <c r="D9" s="6"/>
      <c r="E9" s="14"/>
      <c r="F9" s="6"/>
      <c r="G9" s="7">
        <f>SUM(G10:G14)</f>
        <v>84031000</v>
      </c>
      <c r="H9" s="38"/>
    </row>
    <row r="10" spans="1:8" ht="96.6" customHeight="1" x14ac:dyDescent="0.3">
      <c r="A10" s="15"/>
      <c r="B10" s="16">
        <v>2.1</v>
      </c>
      <c r="C10" s="17" t="s">
        <v>54</v>
      </c>
      <c r="D10" s="16" t="s">
        <v>3</v>
      </c>
      <c r="E10" s="18">
        <v>7305</v>
      </c>
      <c r="F10" s="19">
        <v>3200</v>
      </c>
      <c r="G10" s="11">
        <f>+E10*F10</f>
        <v>23376000</v>
      </c>
      <c r="H10" s="39" t="s">
        <v>33</v>
      </c>
    </row>
    <row r="11" spans="1:8" ht="61.2" customHeight="1" x14ac:dyDescent="0.3">
      <c r="A11" s="20"/>
      <c r="B11" s="21">
        <v>2.2000000000000002</v>
      </c>
      <c r="C11" s="22" t="s">
        <v>55</v>
      </c>
      <c r="D11" s="21" t="s">
        <v>3</v>
      </c>
      <c r="E11" s="23">
        <v>1205</v>
      </c>
      <c r="F11" s="19">
        <v>37000</v>
      </c>
      <c r="G11" s="11">
        <f>+E11*F11</f>
        <v>44585000</v>
      </c>
      <c r="H11" s="39" t="s">
        <v>35</v>
      </c>
    </row>
    <row r="12" spans="1:8" ht="69" customHeight="1" x14ac:dyDescent="0.3">
      <c r="A12" s="24"/>
      <c r="B12" s="16">
        <v>2.2999999999999998</v>
      </c>
      <c r="C12" s="25" t="s">
        <v>56</v>
      </c>
      <c r="D12" s="21" t="s">
        <v>3</v>
      </c>
      <c r="E12" s="23">
        <v>90</v>
      </c>
      <c r="F12" s="11">
        <v>43000</v>
      </c>
      <c r="G12" s="11">
        <f t="shared" ref="G12:G13" si="1">+E12*F12</f>
        <v>3870000</v>
      </c>
      <c r="H12" s="39" t="s">
        <v>36</v>
      </c>
    </row>
    <row r="13" spans="1:8" ht="84" customHeight="1" x14ac:dyDescent="0.3">
      <c r="A13" s="24"/>
      <c r="B13" s="21">
        <v>2.4</v>
      </c>
      <c r="C13" s="25" t="s">
        <v>57</v>
      </c>
      <c r="D13" s="21" t="s">
        <v>3</v>
      </c>
      <c r="E13" s="23">
        <v>125</v>
      </c>
      <c r="F13" s="11">
        <v>60000</v>
      </c>
      <c r="G13" s="40">
        <f t="shared" si="1"/>
        <v>7500000</v>
      </c>
      <c r="H13" s="39" t="s">
        <v>49</v>
      </c>
    </row>
    <row r="14" spans="1:8" ht="84" customHeight="1" x14ac:dyDescent="0.3">
      <c r="A14" s="24"/>
      <c r="B14" s="16">
        <v>2.5</v>
      </c>
      <c r="C14" s="25" t="s">
        <v>58</v>
      </c>
      <c r="D14" s="21" t="s">
        <v>3</v>
      </c>
      <c r="E14" s="23">
        <v>100</v>
      </c>
      <c r="F14" s="11">
        <v>47000</v>
      </c>
      <c r="G14" s="40">
        <f t="shared" ref="G14" si="2">+E14*F14</f>
        <v>4700000</v>
      </c>
      <c r="H14" s="39" t="s">
        <v>49</v>
      </c>
    </row>
    <row r="15" spans="1:8" ht="27" customHeight="1" x14ac:dyDescent="0.3">
      <c r="A15" s="5">
        <v>3</v>
      </c>
      <c r="B15" s="13"/>
      <c r="C15" s="6" t="s">
        <v>28</v>
      </c>
      <c r="D15" s="26"/>
      <c r="E15" s="14"/>
      <c r="F15" s="6"/>
      <c r="G15" s="7">
        <f>SUM(G16:G24)</f>
        <v>184864200</v>
      </c>
    </row>
    <row r="16" spans="1:8" ht="100.2" customHeight="1" x14ac:dyDescent="0.3">
      <c r="A16" s="20"/>
      <c r="B16" s="21">
        <v>3.1</v>
      </c>
      <c r="C16" s="27" t="s">
        <v>59</v>
      </c>
      <c r="D16" s="21" t="s">
        <v>3</v>
      </c>
      <c r="E16" s="9">
        <v>4629</v>
      </c>
      <c r="F16" s="10">
        <v>17500</v>
      </c>
      <c r="G16" s="11">
        <f>F16*E16</f>
        <v>81007500</v>
      </c>
      <c r="H16" s="39" t="s">
        <v>37</v>
      </c>
    </row>
    <row r="17" spans="1:8" ht="100.2" customHeight="1" x14ac:dyDescent="0.3">
      <c r="A17" s="20"/>
      <c r="B17" s="21">
        <v>3.2</v>
      </c>
      <c r="C17" s="27" t="s">
        <v>60</v>
      </c>
      <c r="D17" s="21" t="s">
        <v>3</v>
      </c>
      <c r="E17" s="9">
        <v>108</v>
      </c>
      <c r="F17" s="10">
        <v>17500</v>
      </c>
      <c r="G17" s="11">
        <f>F17*E17</f>
        <v>1890000</v>
      </c>
      <c r="H17" s="39" t="s">
        <v>37</v>
      </c>
    </row>
    <row r="18" spans="1:8" ht="100.2" customHeight="1" x14ac:dyDescent="0.3">
      <c r="A18" s="20"/>
      <c r="B18" s="21">
        <v>3.3</v>
      </c>
      <c r="C18" s="27" t="s">
        <v>61</v>
      </c>
      <c r="D18" s="21" t="s">
        <v>3</v>
      </c>
      <c r="E18" s="9">
        <v>455</v>
      </c>
      <c r="F18" s="10">
        <v>17500</v>
      </c>
      <c r="G18" s="11">
        <f>F18*E18</f>
        <v>7962500</v>
      </c>
      <c r="H18" s="39" t="s">
        <v>37</v>
      </c>
    </row>
    <row r="19" spans="1:8" ht="100.2" customHeight="1" x14ac:dyDescent="0.3">
      <c r="A19" s="20"/>
      <c r="B19" s="21">
        <v>3.4</v>
      </c>
      <c r="C19" s="27" t="s">
        <v>62</v>
      </c>
      <c r="D19" s="21" t="s">
        <v>3</v>
      </c>
      <c r="E19" s="9">
        <v>374</v>
      </c>
      <c r="F19" s="10">
        <v>17500</v>
      </c>
      <c r="G19" s="11">
        <f>F19*E19</f>
        <v>6545000</v>
      </c>
      <c r="H19" s="39" t="s">
        <v>37</v>
      </c>
    </row>
    <row r="20" spans="1:8" ht="83.4" customHeight="1" x14ac:dyDescent="0.3">
      <c r="A20" s="20"/>
      <c r="B20" s="21">
        <v>3.5</v>
      </c>
      <c r="C20" s="27" t="s">
        <v>63</v>
      </c>
      <c r="D20" s="21" t="s">
        <v>3</v>
      </c>
      <c r="E20" s="9">
        <v>2158</v>
      </c>
      <c r="F20" s="10">
        <v>12000</v>
      </c>
      <c r="G20" s="11">
        <f t="shared" ref="G20:G24" si="3">F20*E20</f>
        <v>25896000</v>
      </c>
      <c r="H20" s="39" t="s">
        <v>38</v>
      </c>
    </row>
    <row r="21" spans="1:8" ht="69.599999999999994" customHeight="1" x14ac:dyDescent="0.3">
      <c r="A21" s="20"/>
      <c r="B21" s="21">
        <v>3.6</v>
      </c>
      <c r="C21" s="27" t="s">
        <v>64</v>
      </c>
      <c r="D21" s="21" t="s">
        <v>3</v>
      </c>
      <c r="E21" s="9">
        <v>92</v>
      </c>
      <c r="F21" s="10">
        <v>22400</v>
      </c>
      <c r="G21" s="11">
        <f t="shared" si="3"/>
        <v>2060800</v>
      </c>
      <c r="H21" s="39" t="s">
        <v>39</v>
      </c>
    </row>
    <row r="22" spans="1:8" ht="75.599999999999994" customHeight="1" x14ac:dyDescent="0.3">
      <c r="A22" s="20"/>
      <c r="B22" s="21">
        <v>3.7</v>
      </c>
      <c r="C22" s="27" t="s">
        <v>65</v>
      </c>
      <c r="D22" s="21" t="s">
        <v>4</v>
      </c>
      <c r="E22" s="9">
        <v>344</v>
      </c>
      <c r="F22" s="10">
        <v>12000</v>
      </c>
      <c r="G22" s="11">
        <f t="shared" si="3"/>
        <v>4128000</v>
      </c>
      <c r="H22" s="39" t="s">
        <v>47</v>
      </c>
    </row>
    <row r="23" spans="1:8" ht="72.599999999999994" customHeight="1" x14ac:dyDescent="0.3">
      <c r="A23" s="20"/>
      <c r="B23" s="21">
        <v>3.8</v>
      </c>
      <c r="C23" s="27" t="s">
        <v>66</v>
      </c>
      <c r="D23" s="21" t="s">
        <v>3</v>
      </c>
      <c r="E23" s="9">
        <v>1306</v>
      </c>
      <c r="F23" s="10">
        <v>22400</v>
      </c>
      <c r="G23" s="11">
        <f t="shared" si="3"/>
        <v>29254400</v>
      </c>
      <c r="H23" s="39" t="s">
        <v>48</v>
      </c>
    </row>
    <row r="24" spans="1:8" ht="73.2" customHeight="1" x14ac:dyDescent="0.3">
      <c r="A24" s="20"/>
      <c r="B24" s="21">
        <v>3.9</v>
      </c>
      <c r="C24" s="27" t="s">
        <v>67</v>
      </c>
      <c r="D24" s="21" t="s">
        <v>29</v>
      </c>
      <c r="E24" s="9">
        <v>1306</v>
      </c>
      <c r="F24" s="10">
        <v>20000</v>
      </c>
      <c r="G24" s="11">
        <f t="shared" si="3"/>
        <v>26120000</v>
      </c>
      <c r="H24" s="39" t="s">
        <v>40</v>
      </c>
    </row>
    <row r="25" spans="1:8" ht="27" customHeight="1" x14ac:dyDescent="0.3">
      <c r="A25" s="5">
        <v>4</v>
      </c>
      <c r="B25" s="13"/>
      <c r="C25" s="6" t="s">
        <v>68</v>
      </c>
      <c r="D25" s="26"/>
      <c r="E25" s="14"/>
      <c r="F25" s="6"/>
      <c r="G25" s="7">
        <f>SUM(G26:G31)</f>
        <v>226581000</v>
      </c>
    </row>
    <row r="26" spans="1:8" ht="88.8" customHeight="1" x14ac:dyDescent="0.3">
      <c r="A26" s="20"/>
      <c r="B26" s="21">
        <v>4.0999999999999996</v>
      </c>
      <c r="C26" s="27" t="s">
        <v>69</v>
      </c>
      <c r="D26" s="21" t="s">
        <v>3</v>
      </c>
      <c r="E26" s="9">
        <v>1678</v>
      </c>
      <c r="F26" s="10">
        <v>80000</v>
      </c>
      <c r="G26" s="11">
        <f t="shared" ref="G26:G29" si="4">F26*E26</f>
        <v>134240000</v>
      </c>
      <c r="H26" s="39" t="s">
        <v>41</v>
      </c>
    </row>
    <row r="27" spans="1:8" ht="63" customHeight="1" x14ac:dyDescent="0.3">
      <c r="A27" s="20"/>
      <c r="B27" s="21">
        <v>4.2</v>
      </c>
      <c r="C27" s="27" t="s">
        <v>70</v>
      </c>
      <c r="D27" s="21" t="s">
        <v>4</v>
      </c>
      <c r="E27" s="9">
        <v>0</v>
      </c>
      <c r="F27" s="10">
        <v>7000</v>
      </c>
      <c r="G27" s="40">
        <f t="shared" si="4"/>
        <v>0</v>
      </c>
      <c r="H27" s="39" t="s">
        <v>42</v>
      </c>
    </row>
    <row r="28" spans="1:8" ht="131.4" customHeight="1" x14ac:dyDescent="0.3">
      <c r="A28" s="20"/>
      <c r="B28" s="21">
        <v>4.3</v>
      </c>
      <c r="C28" s="27" t="s">
        <v>71</v>
      </c>
      <c r="D28" s="21" t="s">
        <v>3</v>
      </c>
      <c r="E28" s="9">
        <v>818</v>
      </c>
      <c r="F28" s="10">
        <v>7000</v>
      </c>
      <c r="G28" s="40">
        <f t="shared" si="4"/>
        <v>5726000</v>
      </c>
      <c r="H28" s="39" t="s">
        <v>46</v>
      </c>
    </row>
    <row r="29" spans="1:8" ht="55.2" x14ac:dyDescent="0.3">
      <c r="A29" s="20"/>
      <c r="B29" s="21">
        <v>4.4000000000000004</v>
      </c>
      <c r="C29" s="27" t="s">
        <v>72</v>
      </c>
      <c r="D29" s="21" t="s">
        <v>3</v>
      </c>
      <c r="E29" s="9">
        <v>1055</v>
      </c>
      <c r="F29" s="10">
        <v>55000</v>
      </c>
      <c r="G29" s="11">
        <f t="shared" si="4"/>
        <v>58025000</v>
      </c>
      <c r="H29" s="39" t="s">
        <v>43</v>
      </c>
    </row>
    <row r="30" spans="1:8" ht="55.2" x14ac:dyDescent="0.3">
      <c r="A30" s="20"/>
      <c r="B30" s="21">
        <v>4.5</v>
      </c>
      <c r="C30" s="27" t="s">
        <v>73</v>
      </c>
      <c r="D30" s="21" t="s">
        <v>3</v>
      </c>
      <c r="E30" s="9">
        <v>291</v>
      </c>
      <c r="F30" s="10">
        <v>42000</v>
      </c>
      <c r="G30" s="11">
        <f t="shared" ref="G30:G31" si="5">F30*E30</f>
        <v>12222000</v>
      </c>
      <c r="H30" s="39" t="s">
        <v>43</v>
      </c>
    </row>
    <row r="31" spans="1:8" ht="55.2" x14ac:dyDescent="0.3">
      <c r="A31" s="20"/>
      <c r="B31" s="21">
        <v>4.5999999999999996</v>
      </c>
      <c r="C31" s="27" t="s">
        <v>74</v>
      </c>
      <c r="D31" s="21" t="s">
        <v>3</v>
      </c>
      <c r="E31" s="9">
        <v>372</v>
      </c>
      <c r="F31" s="10">
        <v>44000</v>
      </c>
      <c r="G31" s="11">
        <f t="shared" si="5"/>
        <v>16368000</v>
      </c>
      <c r="H31" s="39" t="s">
        <v>43</v>
      </c>
    </row>
    <row r="32" spans="1:8" ht="23.25" customHeight="1" x14ac:dyDescent="0.3">
      <c r="A32" s="5">
        <v>5</v>
      </c>
      <c r="B32" s="13"/>
      <c r="C32" s="6" t="s">
        <v>30</v>
      </c>
      <c r="D32" s="26"/>
      <c r="E32" s="14"/>
      <c r="F32" s="6"/>
      <c r="G32" s="7">
        <f>SUM(G33:G33)</f>
        <v>1200000</v>
      </c>
    </row>
    <row r="33" spans="1:8" ht="39" customHeight="1" x14ac:dyDescent="0.3">
      <c r="A33" s="20"/>
      <c r="B33" s="21">
        <v>5.0999999999999996</v>
      </c>
      <c r="C33" s="27" t="s">
        <v>75</v>
      </c>
      <c r="D33" s="21" t="s">
        <v>2</v>
      </c>
      <c r="E33" s="9">
        <v>1</v>
      </c>
      <c r="F33" s="10">
        <v>1200000</v>
      </c>
      <c r="G33" s="11">
        <f>F33*E33</f>
        <v>1200000</v>
      </c>
      <c r="H33" s="39" t="s">
        <v>44</v>
      </c>
    </row>
    <row r="34" spans="1:8" ht="23.25" customHeight="1" x14ac:dyDescent="0.3">
      <c r="A34" s="28"/>
      <c r="B34" s="29"/>
      <c r="C34" s="29"/>
      <c r="D34" s="55" t="s">
        <v>9</v>
      </c>
      <c r="E34" s="56"/>
      <c r="F34" s="57"/>
      <c r="G34" s="30">
        <f>+G32+G15+G25+G9+G6</f>
        <v>498476200</v>
      </c>
    </row>
    <row r="35" spans="1:8" ht="23.25" customHeight="1" x14ac:dyDescent="0.3">
      <c r="A35" s="28"/>
      <c r="B35" s="29"/>
      <c r="C35" s="29"/>
      <c r="D35" s="44" t="s">
        <v>10</v>
      </c>
      <c r="E35" s="44"/>
      <c r="F35" s="31">
        <v>0.08</v>
      </c>
      <c r="G35" s="32">
        <f>+$G$34*F35</f>
        <v>39878096</v>
      </c>
    </row>
    <row r="36" spans="1:8" ht="23.25" customHeight="1" x14ac:dyDescent="0.3">
      <c r="A36" s="28"/>
      <c r="B36" s="29"/>
      <c r="C36" s="29"/>
      <c r="D36" s="44" t="s">
        <v>11</v>
      </c>
      <c r="E36" s="44"/>
      <c r="F36" s="31">
        <v>0.03</v>
      </c>
      <c r="G36" s="32">
        <f>+$G$34*F36</f>
        <v>14954286</v>
      </c>
    </row>
    <row r="37" spans="1:8" ht="23.25" customHeight="1" x14ac:dyDescent="0.3">
      <c r="A37" s="28"/>
      <c r="B37" s="29"/>
      <c r="C37" s="29"/>
      <c r="D37" s="44" t="s">
        <v>12</v>
      </c>
      <c r="E37" s="44"/>
      <c r="F37" s="31">
        <v>0.05</v>
      </c>
      <c r="G37" s="32">
        <f>+$G$34*F37</f>
        <v>24923810</v>
      </c>
    </row>
    <row r="38" spans="1:8" ht="27" customHeight="1" x14ac:dyDescent="0.3">
      <c r="A38" s="28"/>
      <c r="B38" s="29"/>
      <c r="C38" s="29"/>
      <c r="D38" s="44" t="s">
        <v>5</v>
      </c>
      <c r="E38" s="44"/>
      <c r="F38" s="31">
        <v>0.19</v>
      </c>
      <c r="G38" s="32">
        <f>+G37*F38</f>
        <v>4735523.9000000004</v>
      </c>
    </row>
    <row r="39" spans="1:8" ht="21.75" customHeight="1" x14ac:dyDescent="0.3">
      <c r="A39" s="28"/>
      <c r="B39" s="29"/>
      <c r="C39" s="29"/>
      <c r="D39" s="43" t="s">
        <v>13</v>
      </c>
      <c r="E39" s="43"/>
      <c r="F39" s="43"/>
      <c r="G39" s="33">
        <f>+G35+G36+G37+G38</f>
        <v>84491715.900000006</v>
      </c>
    </row>
    <row r="40" spans="1:8" ht="21.75" customHeight="1" x14ac:dyDescent="0.3">
      <c r="A40" s="28"/>
      <c r="B40" s="29"/>
      <c r="C40" s="29"/>
      <c r="D40" s="42" t="s">
        <v>14</v>
      </c>
      <c r="E40" s="42"/>
      <c r="F40" s="42"/>
      <c r="G40" s="34">
        <f>+G34+G39</f>
        <v>582967915.89999998</v>
      </c>
    </row>
    <row r="41" spans="1:8" ht="27" customHeight="1" x14ac:dyDescent="0.3"/>
    <row r="42" spans="1:8" ht="21" customHeight="1" x14ac:dyDescent="0.3"/>
    <row r="43" spans="1:8" ht="21" customHeight="1" x14ac:dyDescent="0.3"/>
    <row r="44" spans="1:8" ht="21.75" customHeight="1" x14ac:dyDescent="0.3"/>
    <row r="45" spans="1:8" ht="21.75" customHeight="1" x14ac:dyDescent="0.3"/>
    <row r="46" spans="1:8" ht="21.75" customHeight="1" x14ac:dyDescent="0.3"/>
    <row r="47" spans="1:8" ht="21.75" customHeight="1" x14ac:dyDescent="0.3"/>
    <row r="48" spans="1:8" ht="21.75" customHeight="1" x14ac:dyDescent="0.3"/>
    <row r="49" ht="21.75" customHeight="1" x14ac:dyDescent="0.3"/>
    <row r="50" ht="21.75" customHeight="1" x14ac:dyDescent="0.3"/>
  </sheetData>
  <mergeCells count="14">
    <mergeCell ref="D40:F40"/>
    <mergeCell ref="D39:F39"/>
    <mergeCell ref="D38:E38"/>
    <mergeCell ref="A1:G1"/>
    <mergeCell ref="D37:E37"/>
    <mergeCell ref="D36:E36"/>
    <mergeCell ref="D35:E35"/>
    <mergeCell ref="A2:B2"/>
    <mergeCell ref="A3:B3"/>
    <mergeCell ref="D3:E3"/>
    <mergeCell ref="A4:B4"/>
    <mergeCell ref="D4:E4"/>
    <mergeCell ref="F2:G4"/>
    <mergeCell ref="D34:F34"/>
  </mergeCells>
  <phoneticPr fontId="2" type="noConversion"/>
  <pageMargins left="0.23622047244094491" right="3.937007874015748E-2" top="0.35433070866141736" bottom="0.35433070866141736" header="0.11811023622047245" footer="0.11811023622047245"/>
  <pageSetup scale="30" orientation="landscape" r:id="rId1"/>
  <rowBreaks count="1" manualBreakCount="1">
    <brk id="40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2025-04-04T21:55:32Z</cp:lastPrinted>
  <dcterms:created xsi:type="dcterms:W3CDTF">2024-02-08T21:06:52Z</dcterms:created>
  <dcterms:modified xsi:type="dcterms:W3CDTF">2025-04-10T21:37:18Z</dcterms:modified>
  <cp:category/>
  <cp:contentStatus/>
</cp:coreProperties>
</file>