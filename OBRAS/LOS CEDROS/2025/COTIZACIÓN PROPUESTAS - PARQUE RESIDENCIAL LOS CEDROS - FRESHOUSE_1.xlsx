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13_ncr:1_{0A481F69-8585-814C-A997-2DB5C32CDCAC}" xr6:coauthVersionLast="47" xr6:coauthVersionMax="47" xr10:uidLastSave="{00000000-0000-0000-0000-000000000000}"/>
  <bookViews>
    <workbookView xWindow="0" yWindow="680" windowWidth="29400" windowHeight="16960" tabRatio="930" activeTab="7" xr2:uid="{5F60C6A7-DD99-4571-97D6-6261A9978D54}"/>
  </bookViews>
  <sheets>
    <sheet name="BASE DATOS" sheetId="13" r:id="rId1"/>
    <sheet name="APU II" sheetId="15" r:id="rId2"/>
    <sheet name="APU III" sheetId="17" r:id="rId3"/>
    <sheet name="APU IV" sheetId="19" r:id="rId4"/>
    <sheet name="2.4 INST. ALFAJÍA" sheetId="22" r:id="rId5"/>
    <sheet name="RESUMEN APU" sheetId="16" r:id="rId6"/>
    <sheet name="FAC COMPLETA" sheetId="4" r:id="rId7"/>
    <sheet name="PROCEDIMIENTO" sheetId="23" r:id="rId8"/>
    <sheet name="CUBIERTA" sheetId="10" r:id="rId9"/>
    <sheet name="CUBIERTA 2" sheetId="14" r:id="rId10"/>
    <sheet name="INTERIORES" sheetId="11" r:id="rId11"/>
    <sheet name="PARQUEADEROS" sheetId="21" r:id="rId12"/>
    <sheet name="envio zona social" sheetId="1" r:id="rId13"/>
    <sheet name="opc 2 cambio total cubierta (2)" sheetId="3" r:id="rId14"/>
  </sheets>
  <externalReferences>
    <externalReference r:id="rId15"/>
    <externalReference r:id="rId16"/>
    <externalReference r:id="rId17"/>
  </externalReferences>
  <definedNames>
    <definedName name="_xlnm.Print_Area" localSheetId="0">'BASE DATOS'!$A$1:$G$45</definedName>
    <definedName name="_xlnm.Print_Area" localSheetId="8">CUBIERTA!$A$1:$G$24</definedName>
    <definedName name="_xlnm.Print_Area" localSheetId="9">'CUBIERTA 2'!$A$1:$G$24</definedName>
    <definedName name="_xlnm.Print_Area" localSheetId="6">'FAC COMPLETA'!$A$1:$G$41</definedName>
    <definedName name="_xlnm.Print_Area" localSheetId="10">INTERIORES!$A$1:$G$22</definedName>
    <definedName name="_xlnm.Print_Area" localSheetId="13">'opc 2 cambio total cubierta (2)'!$A$1:$G$47</definedName>
    <definedName name="_xlnm.Print_Area" localSheetId="11">PARQUEADEROS!$A$1:$G$23</definedName>
    <definedName name="_xlnm.Print_Titles" localSheetId="13">'opc 2 cambio total cubierta (2)'!$8:$8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4" l="1"/>
  <c r="E16" i="4"/>
  <c r="N34" i="4" l="1"/>
  <c r="N35" i="4" s="1"/>
  <c r="N36" i="4" s="1"/>
  <c r="J22" i="4"/>
  <c r="I14" i="4"/>
  <c r="H14" i="4"/>
  <c r="I32" i="4"/>
  <c r="I31" i="4"/>
  <c r="H31" i="4"/>
  <c r="H15" i="10"/>
  <c r="I15" i="10" s="1"/>
  <c r="G28" i="21"/>
  <c r="G29" i="21" s="1"/>
  <c r="E10" i="22"/>
  <c r="E30" i="22"/>
  <c r="E32" i="22" s="1"/>
  <c r="D9" i="22" s="1"/>
  <c r="E9" i="22" s="1"/>
  <c r="E25" i="22"/>
  <c r="E27" i="22" s="1"/>
  <c r="E18" i="22"/>
  <c r="E17" i="22"/>
  <c r="E16" i="22"/>
  <c r="E11" i="22"/>
  <c r="G18" i="21"/>
  <c r="G16" i="21"/>
  <c r="G15" i="21" s="1"/>
  <c r="F14" i="21"/>
  <c r="G14" i="21" s="1"/>
  <c r="G13" i="21"/>
  <c r="G12" i="21" s="1"/>
  <c r="F11" i="21"/>
  <c r="G11" i="21" s="1"/>
  <c r="F10" i="21"/>
  <c r="G10" i="21" s="1"/>
  <c r="F32" i="4"/>
  <c r="G32" i="4" s="1"/>
  <c r="F16" i="4"/>
  <c r="F17" i="4"/>
  <c r="F36" i="13"/>
  <c r="F31" i="4" s="1"/>
  <c r="F33" i="13"/>
  <c r="E267" i="19"/>
  <c r="E269" i="19" s="1"/>
  <c r="D246" i="19" s="1"/>
  <c r="E246" i="19" s="1"/>
  <c r="E249" i="19" s="1"/>
  <c r="E262" i="19"/>
  <c r="E264" i="19" s="1"/>
  <c r="E255" i="19"/>
  <c r="E254" i="19"/>
  <c r="E253" i="19"/>
  <c r="E252" i="19"/>
  <c r="E259" i="19" s="1"/>
  <c r="E247" i="19"/>
  <c r="E237" i="19"/>
  <c r="D218" i="19" s="1"/>
  <c r="E218" i="19" s="1"/>
  <c r="E221" i="19" s="1"/>
  <c r="E235" i="19"/>
  <c r="E230" i="19"/>
  <c r="E232" i="19" s="1"/>
  <c r="E227" i="19"/>
  <c r="E219" i="19"/>
  <c r="E205" i="19"/>
  <c r="E207" i="19" s="1"/>
  <c r="D186" i="19" s="1"/>
  <c r="E186" i="19" s="1"/>
  <c r="E189" i="19" s="1"/>
  <c r="E200" i="19"/>
  <c r="E202" i="19" s="1"/>
  <c r="E193" i="19"/>
  <c r="E192" i="19"/>
  <c r="E187" i="19"/>
  <c r="E175" i="19"/>
  <c r="E177" i="19" s="1"/>
  <c r="D158" i="19" s="1"/>
  <c r="E158" i="19" s="1"/>
  <c r="E160" i="19" s="1"/>
  <c r="E170" i="19"/>
  <c r="E172" i="19" s="1"/>
  <c r="E163" i="19"/>
  <c r="E147" i="19"/>
  <c r="E149" i="19" s="1"/>
  <c r="D129" i="19" s="1"/>
  <c r="E129" i="19" s="1"/>
  <c r="E131" i="19" s="1"/>
  <c r="E142" i="19"/>
  <c r="E144" i="19" s="1"/>
  <c r="E135" i="19"/>
  <c r="E134" i="19"/>
  <c r="E86" i="19"/>
  <c r="E88" i="19" s="1"/>
  <c r="D66" i="19" s="1"/>
  <c r="E66" i="19" s="1"/>
  <c r="E69" i="19" s="1"/>
  <c r="E90" i="19" s="1"/>
  <c r="E81" i="19"/>
  <c r="E83" i="19" s="1"/>
  <c r="E74" i="19"/>
  <c r="E73" i="19"/>
  <c r="E72" i="19"/>
  <c r="E76" i="19" s="1"/>
  <c r="E78" i="19" s="1"/>
  <c r="E67" i="19"/>
  <c r="E55" i="19"/>
  <c r="E57" i="19" s="1"/>
  <c r="D39" i="19" s="1"/>
  <c r="E39" i="19" s="1"/>
  <c r="E41" i="19" s="1"/>
  <c r="E50" i="19"/>
  <c r="E52" i="19" s="1"/>
  <c r="E47" i="19"/>
  <c r="E28" i="19"/>
  <c r="E30" i="19" s="1"/>
  <c r="D9" i="19" s="1"/>
  <c r="E9" i="19" s="1"/>
  <c r="E11" i="19" s="1"/>
  <c r="E23" i="19"/>
  <c r="E25" i="19" s="1"/>
  <c r="E16" i="19"/>
  <c r="E15" i="19"/>
  <c r="E14" i="19"/>
  <c r="E18" i="19" s="1"/>
  <c r="C53" i="16"/>
  <c r="F30" i="13"/>
  <c r="F27" i="13"/>
  <c r="C44" i="16"/>
  <c r="C41" i="16"/>
  <c r="F22" i="13"/>
  <c r="F22" i="4" s="1"/>
  <c r="F21" i="13"/>
  <c r="F20" i="13"/>
  <c r="F20" i="4" s="1"/>
  <c r="C29" i="16"/>
  <c r="E280" i="17"/>
  <c r="E282" i="17" s="1"/>
  <c r="D259" i="17" s="1"/>
  <c r="E259" i="17" s="1"/>
  <c r="E262" i="17" s="1"/>
  <c r="E275" i="17"/>
  <c r="E277" i="17" s="1"/>
  <c r="E267" i="17"/>
  <c r="E266" i="17"/>
  <c r="E265" i="17"/>
  <c r="E260" i="17"/>
  <c r="E152" i="17"/>
  <c r="E154" i="17" s="1"/>
  <c r="D132" i="17" s="1"/>
  <c r="E132" i="17" s="1"/>
  <c r="E135" i="17" s="1"/>
  <c r="E147" i="17"/>
  <c r="E149" i="17" s="1"/>
  <c r="E140" i="17"/>
  <c r="E139" i="17"/>
  <c r="E138" i="17"/>
  <c r="E133" i="17"/>
  <c r="H49" i="17"/>
  <c r="F14" i="13"/>
  <c r="F14" i="4" s="1"/>
  <c r="C80" i="16"/>
  <c r="C71" i="16"/>
  <c r="C70" i="16"/>
  <c r="C68" i="16"/>
  <c r="C67" i="16"/>
  <c r="E176" i="15"/>
  <c r="E178" i="15" s="1"/>
  <c r="E171" i="15"/>
  <c r="E173" i="15" s="1"/>
  <c r="E113" i="15"/>
  <c r="E115" i="15" s="1"/>
  <c r="E53" i="15"/>
  <c r="E55" i="15" s="1"/>
  <c r="E50" i="15"/>
  <c r="E25" i="15"/>
  <c r="E13" i="22" l="1"/>
  <c r="E22" i="22"/>
  <c r="G9" i="21"/>
  <c r="E239" i="19"/>
  <c r="E59" i="19"/>
  <c r="E271" i="19"/>
  <c r="E20" i="19"/>
  <c r="E32" i="19" s="1"/>
  <c r="E195" i="19"/>
  <c r="E197" i="19" s="1"/>
  <c r="E209" i="19" s="1"/>
  <c r="E165" i="19"/>
  <c r="E167" i="19" s="1"/>
  <c r="E179" i="19" s="1"/>
  <c r="E137" i="19"/>
  <c r="E139" i="19" s="1"/>
  <c r="E151" i="19" s="1"/>
  <c r="E108" i="19"/>
  <c r="E122" i="19" s="1"/>
  <c r="E252" i="17"/>
  <c r="C50" i="16" s="1"/>
  <c r="E144" i="17"/>
  <c r="E156" i="17" s="1"/>
  <c r="E65" i="17"/>
  <c r="E125" i="17"/>
  <c r="E142" i="17"/>
  <c r="E220" i="17"/>
  <c r="C47" i="16" s="1"/>
  <c r="E270" i="17"/>
  <c r="E272" i="17" s="1"/>
  <c r="E284" i="17" s="1"/>
  <c r="E95" i="17"/>
  <c r="E185" i="15"/>
  <c r="C28" i="16"/>
  <c r="C66" i="16"/>
  <c r="E62" i="15"/>
  <c r="E249" i="15"/>
  <c r="E32" i="15"/>
  <c r="C9" i="16" s="1"/>
  <c r="F13" i="13" s="1"/>
  <c r="E122" i="15"/>
  <c r="E92" i="15"/>
  <c r="E218" i="15"/>
  <c r="F13" i="4" l="1"/>
  <c r="E34" i="22"/>
  <c r="F23" i="13"/>
  <c r="C39" i="16"/>
  <c r="E34" i="17"/>
  <c r="E188" i="17"/>
  <c r="E154" i="15"/>
  <c r="C16" i="16" s="1"/>
  <c r="G19" i="21" l="1"/>
  <c r="G21" i="21"/>
  <c r="G22" i="21" s="1"/>
  <c r="G20" i="21"/>
  <c r="F15" i="13"/>
  <c r="C78" i="16"/>
  <c r="C77" i="16" s="1"/>
  <c r="F37" i="13" l="1"/>
  <c r="F15" i="4"/>
  <c r="G23" i="21"/>
  <c r="G17" i="14" l="1"/>
  <c r="G16" i="14"/>
  <c r="F15" i="14"/>
  <c r="G15" i="14" s="1"/>
  <c r="F14" i="14"/>
  <c r="G14" i="14" s="1"/>
  <c r="G13" i="14"/>
  <c r="G11" i="14"/>
  <c r="G10" i="14"/>
  <c r="G9" i="14" s="1"/>
  <c r="F38" i="13"/>
  <c r="F35" i="13"/>
  <c r="F34" i="13"/>
  <c r="G31" i="4"/>
  <c r="G28" i="4"/>
  <c r="G20" i="4"/>
  <c r="G25" i="4"/>
  <c r="G24" i="4" s="1"/>
  <c r="G27" i="4"/>
  <c r="G26" i="4" s="1"/>
  <c r="G15" i="11"/>
  <c r="G14" i="11" s="1"/>
  <c r="F13" i="11"/>
  <c r="G13" i="11" s="1"/>
  <c r="G12" i="11" s="1"/>
  <c r="G11" i="11"/>
  <c r="G10" i="11"/>
  <c r="G17" i="10"/>
  <c r="G16" i="10"/>
  <c r="F15" i="10"/>
  <c r="G15" i="10" s="1"/>
  <c r="F14" i="10"/>
  <c r="G14" i="10" s="1"/>
  <c r="G13" i="10"/>
  <c r="G11" i="10"/>
  <c r="G10" i="10"/>
  <c r="G9" i="10" s="1"/>
  <c r="G34" i="4"/>
  <c r="G33" i="4" s="1"/>
  <c r="G23" i="4"/>
  <c r="G22" i="4"/>
  <c r="G21" i="4"/>
  <c r="G17" i="4"/>
  <c r="G16" i="4"/>
  <c r="G15" i="4"/>
  <c r="G14" i="4"/>
  <c r="G13" i="4"/>
  <c r="G11" i="4"/>
  <c r="G10" i="4"/>
  <c r="G41" i="3"/>
  <c r="G40" i="3"/>
  <c r="G39" i="3"/>
  <c r="G38" i="3"/>
  <c r="G37" i="3"/>
  <c r="G36" i="3"/>
  <c r="G35" i="3"/>
  <c r="G34" i="3"/>
  <c r="H33" i="3"/>
  <c r="G33" i="3"/>
  <c r="G32" i="3"/>
  <c r="G31" i="3"/>
  <c r="G30" i="3"/>
  <c r="G26" i="3" s="1"/>
  <c r="G18" i="3" s="1"/>
  <c r="G29" i="3"/>
  <c r="G28" i="3"/>
  <c r="G27" i="3"/>
  <c r="G25" i="3"/>
  <c r="G24" i="3"/>
  <c r="G23" i="3"/>
  <c r="G22" i="3"/>
  <c r="G21" i="3"/>
  <c r="I20" i="3"/>
  <c r="G20" i="3"/>
  <c r="J20" i="3" s="1"/>
  <c r="G19" i="3"/>
  <c r="G17" i="3"/>
  <c r="G16" i="3"/>
  <c r="G12" i="3" s="1"/>
  <c r="G15" i="3"/>
  <c r="G14" i="3"/>
  <c r="G13" i="3"/>
  <c r="G11" i="3"/>
  <c r="G10" i="3"/>
  <c r="G9" i="3"/>
  <c r="G42" i="3" s="1"/>
  <c r="G24" i="13" l="1"/>
  <c r="G40" i="13"/>
  <c r="F30" i="4"/>
  <c r="G30" i="4" s="1"/>
  <c r="G29" i="4" s="1"/>
  <c r="G32" i="13"/>
  <c r="G19" i="4"/>
  <c r="G9" i="11"/>
  <c r="G17" i="11" s="1"/>
  <c r="G26" i="13"/>
  <c r="G9" i="13"/>
  <c r="G12" i="10"/>
  <c r="G19" i="10" s="1"/>
  <c r="G19" i="13"/>
  <c r="G18" i="13" s="1"/>
  <c r="G12" i="13"/>
  <c r="G12" i="14"/>
  <c r="G19" i="14" s="1"/>
  <c r="G9" i="4"/>
  <c r="G12" i="4"/>
  <c r="G45" i="3"/>
  <c r="G46" i="3" s="1"/>
  <c r="G44" i="3"/>
  <c r="G43" i="3"/>
  <c r="G20" i="11" l="1"/>
  <c r="G21" i="11" s="1"/>
  <c r="G47" i="3"/>
  <c r="G43" i="13"/>
  <c r="G21" i="14"/>
  <c r="G22" i="14"/>
  <c r="G23" i="14" s="1"/>
  <c r="G20" i="14"/>
  <c r="G18" i="4"/>
  <c r="G36" i="4" s="1"/>
  <c r="G39" i="4" s="1"/>
  <c r="G40" i="4" s="1"/>
  <c r="G22" i="10"/>
  <c r="G23" i="10" s="1"/>
  <c r="G20" i="10"/>
  <c r="G44" i="13" l="1"/>
  <c r="G45" i="13" s="1"/>
  <c r="G18" i="11"/>
  <c r="G19" i="11"/>
  <c r="G24" i="14"/>
  <c r="G21" i="10"/>
  <c r="G24" i="10" s="1"/>
  <c r="G38" i="4"/>
  <c r="G37" i="4"/>
  <c r="G22" i="11" l="1"/>
  <c r="G41" i="4"/>
  <c r="G43" i="4" l="1"/>
  <c r="G44" i="4"/>
  <c r="G45" i="4" s="1"/>
  <c r="G28" i="1"/>
  <c r="G30" i="1" l="1"/>
  <c r="G29" i="1" s="1"/>
  <c r="G27" i="1"/>
  <c r="G26" i="1"/>
  <c r="G25" i="1" s="1"/>
  <c r="G24" i="1"/>
  <c r="G23" i="1"/>
  <c r="G21" i="1"/>
  <c r="G19" i="1"/>
  <c r="G17" i="1" s="1"/>
  <c r="G16" i="1"/>
  <c r="G15" i="1"/>
  <c r="G14" i="1"/>
  <c r="G13" i="1"/>
  <c r="G11" i="1"/>
  <c r="G10" i="1"/>
  <c r="G9" i="1" s="1"/>
  <c r="G12" i="1" l="1"/>
  <c r="G31" i="1"/>
  <c r="G32" i="1" s="1"/>
  <c r="G34" i="1" l="1"/>
  <c r="G35" i="1" s="1"/>
  <c r="G33" i="1"/>
  <c r="G36" i="1" l="1"/>
</calcChain>
</file>

<file path=xl/sharedStrings.xml><?xml version="1.0" encoding="utf-8"?>
<sst xmlns="http://schemas.openxmlformats.org/spreadsheetml/2006/main" count="2027" uniqueCount="336">
  <si>
    <t>CONDOMINIO PARQUE RESIDENCIAL LOS CEDROS-ARMENIA-Quindío</t>
  </si>
  <si>
    <t>Cuadro General de Actividades, Unidades de Medida, Cantidades y Precios Unitarios</t>
  </si>
  <si>
    <t>Levanto  Informacion:</t>
  </si>
  <si>
    <t>Ing. Carlos Alberto Agudelo Restrepo</t>
  </si>
  <si>
    <t>Interventor: Ing. Luis Fernando Márquez Jaramillo</t>
  </si>
  <si>
    <t>Arq. Maria Fernanda Morales Palacio</t>
  </si>
  <si>
    <t>Ubicación Proyecto: Calle 50 Norte # 15-01</t>
  </si>
  <si>
    <t>Sra Maria del Pilar Rubio L. Administradora</t>
  </si>
  <si>
    <t>Capitulo</t>
  </si>
  <si>
    <t>Items</t>
  </si>
  <si>
    <t>Descripcion de Actividad</t>
  </si>
  <si>
    <t>Unidad</t>
  </si>
  <si>
    <t>Cantidad</t>
  </si>
  <si>
    <t>Vr Unitario</t>
  </si>
  <si>
    <t>Vr Total</t>
  </si>
  <si>
    <t>PRELIMINARES</t>
  </si>
  <si>
    <t>1.1</t>
  </si>
  <si>
    <t>Campamento de Obra</t>
  </si>
  <si>
    <t>Gbl</t>
  </si>
  <si>
    <t>1.2</t>
  </si>
  <si>
    <t>Señalizacion y Seguridad de la Obra</t>
  </si>
  <si>
    <t>PREPARACION DE SUPERFICIES</t>
  </si>
  <si>
    <t>2.1</t>
  </si>
  <si>
    <t>Lavado General de Superficies a Intervenir</t>
  </si>
  <si>
    <t>M2</t>
  </si>
  <si>
    <t>2.2</t>
  </si>
  <si>
    <t>2.3</t>
  </si>
  <si>
    <t>2.4</t>
  </si>
  <si>
    <t xml:space="preserve">ACABADO Y PINTURA </t>
  </si>
  <si>
    <t>PINTURA PARA EXTERIORES-TIPO KORAZA</t>
  </si>
  <si>
    <t>3.1</t>
  </si>
  <si>
    <t>ML</t>
  </si>
  <si>
    <t>PINTURA PARA INTERIORES TIPO VINILO</t>
  </si>
  <si>
    <t>3.5</t>
  </si>
  <si>
    <t>PINTURA ESMALTE TIPO 3 EN 1</t>
  </si>
  <si>
    <t>3.6</t>
  </si>
  <si>
    <t>UN</t>
  </si>
  <si>
    <t>3.7</t>
  </si>
  <si>
    <t xml:space="preserve">TRATAMIENTOS  ESPECIALES CONTRA HUMEDADES y </t>
  </si>
  <si>
    <t>4.2</t>
  </si>
  <si>
    <t>Sellado Perimetral de enchape en terraza del gimnasio</t>
  </si>
  <si>
    <t>4.3</t>
  </si>
  <si>
    <t>ASEO GENERAL DE OBRA Y RETIRO DE ESCOMBROS</t>
  </si>
  <si>
    <t>5.1</t>
  </si>
  <si>
    <t>Aseo General y Retiro de Escombros y Sobrantes</t>
  </si>
  <si>
    <t>GBL</t>
  </si>
  <si>
    <t xml:space="preserve">TOTAL COSTO DIRECTO </t>
  </si>
  <si>
    <t>ADMINISTRACION</t>
  </si>
  <si>
    <t xml:space="preserve">IMPREVISTOS </t>
  </si>
  <si>
    <t xml:space="preserve">UTILIDAD </t>
  </si>
  <si>
    <t>IVA/U</t>
  </si>
  <si>
    <t>COSTO TOTAL</t>
  </si>
  <si>
    <t>ANEXO 01-OPCION 3</t>
  </si>
  <si>
    <t xml:space="preserve">ACTIVIDADES EN AREAS COMUNES </t>
  </si>
  <si>
    <r>
      <t xml:space="preserve">Retiro y Reposicion de sello perimetral en elementos vidriados  </t>
    </r>
    <r>
      <rPr>
        <sz val="11"/>
        <color rgb="FFFF0000"/>
        <rFont val="Aptos Narrow"/>
        <family val="2"/>
        <scheme val="minor"/>
      </rPr>
      <t>(30% DEL TOTAL)</t>
    </r>
  </si>
  <si>
    <t>Suministro y Aplicación de Pintura para exteriores, tipo Koraza, sobre superficies de Fachadas y Muros Externos de Las areas comunes</t>
  </si>
  <si>
    <t>Suministro y Aplicación de Pintura tipo Vinilo en areas comunes internas : paredes y cielos rasos</t>
  </si>
  <si>
    <t>Suministro y Aplicación de Pintura tipo 3 en 1, en puertas de porteria-motobombas</t>
  </si>
  <si>
    <t>Suministro y Aplicación de Pintura para Barandas Metalicas en areas exteriores: gimnasio, pasillos, cuarto de acueducto, piscina</t>
  </si>
  <si>
    <t>Reposicion de Mortero en mal estado en fachadas de las AREAS COMUNES</t>
  </si>
  <si>
    <t xml:space="preserve">Retiro y Reemplazo de Superboard en mal estado en fachadas de las AREAS COMUNES                           </t>
  </si>
  <si>
    <r>
      <t xml:space="preserve">Retiro y Reemplazo de Graniplast Deteriorado   en fachadas de las areas comunes                                   </t>
    </r>
    <r>
      <rPr>
        <sz val="11"/>
        <color rgb="FFFF0000"/>
        <rFont val="Aptos Narrow"/>
        <family val="2"/>
        <scheme val="minor"/>
      </rPr>
      <t xml:space="preserve">  (26% DEL TOTAL APROX)</t>
    </r>
  </si>
  <si>
    <t>4.4</t>
  </si>
  <si>
    <t>Recorrido al enchape de la terraza sobre el gimnasio: revision y reemplazo general del emboquillado de todo el piso y sellado de juntas perimetrales.</t>
  </si>
  <si>
    <t>Proponente: Fresh House S.A.S</t>
  </si>
  <si>
    <t>Fecha: Abril 11</t>
  </si>
  <si>
    <t>CONDOMINIO PARQUE RESIDENCIAL LOS CEDROS</t>
  </si>
  <si>
    <t>ANEXO 01-OPCION 2</t>
  </si>
  <si>
    <t xml:space="preserve">Proponente: </t>
  </si>
  <si>
    <t>Fecha: Febrero de 2025</t>
  </si>
  <si>
    <t>ACTIVIDADES EN LOS BLOQUES DE APARTAMENTOS y AREAS COMUNES DE LOS MISMOS</t>
  </si>
  <si>
    <t>Retiro y Reemplazo de Graniplast Deteriorado   en fachadas de las tres torres                                         (26% DEL TOTAL APROX)</t>
  </si>
  <si>
    <t>Reposicion de Mortero en mal estado en fachadas de las tres torres</t>
  </si>
  <si>
    <t xml:space="preserve">Retiro y Reemplazo de Superboard en mal estado en fachadas de las tres torres                                           </t>
  </si>
  <si>
    <t>2.5</t>
  </si>
  <si>
    <t xml:space="preserve">Retiro y Reemplazo de Drywall en mal estado en cielos rasos de fachadas                                         </t>
  </si>
  <si>
    <t xml:space="preserve">Suministro y Aplicación de Pintura para exteriores, tipo Koraza, sobre superficies de Fachadas y Muros Externos de los bloques de apartamentos </t>
  </si>
  <si>
    <t>3.2</t>
  </si>
  <si>
    <t xml:space="preserve"> Suministro y Aplicación de Pintura para exteriores tipo Koraza, en antepechos de terrazas en los primeros pisos de los bloques y en jardineras</t>
  </si>
  <si>
    <t>3.3</t>
  </si>
  <si>
    <t>Suministro y Aplicación de Pintura para exteriores, tipo Koraza, en elementos volumetricos de superboard en las fachadas</t>
  </si>
  <si>
    <t>3.4</t>
  </si>
  <si>
    <t>Suministro y Aplicación de Pintura para exteriores, tipo koraza, color gris basalto, sobre alfajias de escaleras de acceso a los bloques y de areas comunes externas.</t>
  </si>
  <si>
    <t>Suministro y Aplicación de Pintura tipo Vinilo en areas comunes internas de los bloques de aptos: paredes y cielos rasos</t>
  </si>
  <si>
    <t>Suministro y Aplicación de Pintura tipo 3 en 1, en puertas de los apartamentos (estan incluidas las de los exteriores, porteria-motobombas)</t>
  </si>
  <si>
    <t>Suministro y Aplicación de Pintura para Barandas Metalicas en areas exteriores: gimnasio, pasillos, cuarto de acueducto, piscina, circulacion entre bloques, etc.</t>
  </si>
  <si>
    <t>3.8</t>
  </si>
  <si>
    <t>Suministro y Aplicación de Pintura tipo 3 en 1 en la totalidad de las estructuras metalicas de los parqueaderos externos</t>
  </si>
  <si>
    <t>3.9</t>
  </si>
  <si>
    <t>Suministro y Aplicación de Pintuco Fill sobre las cubiertas de los parqueaderos</t>
  </si>
  <si>
    <t xml:space="preserve">TRATAMIENTOS  ESPECIALES CONTRA HUMEDADES </t>
  </si>
  <si>
    <t>4.1</t>
  </si>
  <si>
    <t>Cambio Total de Cubiertas</t>
  </si>
  <si>
    <t>Retiro y Reposicion de sello perimetral en elementos vidriados de los bloque de apartamentos (30% DEL TOTAL)</t>
  </si>
  <si>
    <t>Suministro e Instalacion de Cortagoteras en Balcones y Accesos a los bloques de aptos</t>
  </si>
  <si>
    <t>Reparacion de morteros en cuchillas de cubierta-(30% DEL TOTAL)</t>
  </si>
  <si>
    <t>Suministro e Instalacion de Alfajias en lamina sobre muros perimetrales y medianeros en las cubiertas</t>
  </si>
  <si>
    <t>3.10</t>
  </si>
  <si>
    <t>Suministro y Aplicacion de Pintura tipo 3 en 1 sobre rejas metalicas en las terrazas del primer piso</t>
  </si>
  <si>
    <t>Impermeabilizacion de tres terrazas sobre los puntos fijos de las escaleras de los bloques</t>
  </si>
  <si>
    <t xml:space="preserve"> PRELIMINARES</t>
  </si>
  <si>
    <t>COTIZACIÓN FACHADAS COMPLETAS</t>
  </si>
  <si>
    <t>Proponente: FRESHOUSE S.A.S</t>
  </si>
  <si>
    <t>Proponente: FRESHOUSE S.A.S.</t>
  </si>
  <si>
    <t>2.1.1</t>
  </si>
  <si>
    <t>2.1.2</t>
  </si>
  <si>
    <t>2.1.3</t>
  </si>
  <si>
    <t>2.3.1</t>
  </si>
  <si>
    <t>2.3.2</t>
  </si>
  <si>
    <t>MANTENIMIENTO DE CUBIERTAS</t>
  </si>
  <si>
    <t>COTIZACIÓN DE REEMPLAZO DE CUBIERTA</t>
  </si>
  <si>
    <t>COTIZACIÓN DE RECORRIDO DE CUBIERTA</t>
  </si>
  <si>
    <t>Recorrido de Cubiertas (Reemplazo de tejas en mal estado)</t>
  </si>
  <si>
    <t>PREPARACIÓN DE SUPERFICIES</t>
  </si>
  <si>
    <t xml:space="preserve">ACTIVIDAD: Lavado General de Superficies </t>
  </si>
  <si>
    <t>ITEM</t>
  </si>
  <si>
    <t>1.0</t>
  </si>
  <si>
    <t>UNIDAD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</si>
  <si>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</si>
  <si>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</si>
  <si>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</si>
  <si>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</si>
  <si>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</si>
  <si>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</si>
  <si>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</si>
  <si>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Equipos Freshouse</t>
  </si>
  <si>
    <t>Día</t>
  </si>
  <si>
    <t>Equipo Hidrolavadora</t>
  </si>
  <si>
    <t>SUB - TOTAL</t>
  </si>
  <si>
    <t>II. MATERIALES</t>
  </si>
  <si>
    <t>CANTIDAD</t>
  </si>
  <si>
    <t>PRECIO - UNIT</t>
  </si>
  <si>
    <t>Hipoclorito</t>
  </si>
  <si>
    <t>GL</t>
  </si>
  <si>
    <t>Und</t>
  </si>
  <si>
    <t>Desperdicio 2%</t>
  </si>
  <si>
    <t>III. TRANSPORTE</t>
  </si>
  <si>
    <t>Acarreo LUV</t>
  </si>
  <si>
    <t>IV. MANO DE OBRA</t>
  </si>
  <si>
    <t>JORNAL</t>
  </si>
  <si>
    <t>TOTAL UNITARIO</t>
  </si>
  <si>
    <t>Retiro y Reemplazo de Graniplast Deteriorado</t>
  </si>
  <si>
    <t>ACTIVIDAD: Inspección de superficie incluye rasqueteado</t>
  </si>
  <si>
    <t>ACTIVIDAD: Nivelación de superficie con Mortero Listo</t>
  </si>
  <si>
    <t>Mortero Listo Impadoc x 40kg</t>
  </si>
  <si>
    <t xml:space="preserve">Saco </t>
  </si>
  <si>
    <t>Acronal</t>
  </si>
  <si>
    <t>Desperdicio 3%</t>
  </si>
  <si>
    <t xml:space="preserve">Acarreo </t>
  </si>
  <si>
    <t>CUADRILLA 1: 1 Oficial y 1 ayudante</t>
  </si>
  <si>
    <t>ACTIVIDAD: Aplicación de Graniplast</t>
  </si>
  <si>
    <t>Graniplast Premium Escagrafiado</t>
  </si>
  <si>
    <t xml:space="preserve">Acronal </t>
  </si>
  <si>
    <t>ACTIVIDAD: Reposicion de Mortero en mal estado</t>
  </si>
  <si>
    <t>Mortero 1:3</t>
  </si>
  <si>
    <t>Sikasit</t>
  </si>
  <si>
    <t>Kg</t>
  </si>
  <si>
    <t>Desperdicio 5%</t>
  </si>
  <si>
    <t>Retiro y Reemplazo de Superboard</t>
  </si>
  <si>
    <t>ACTIVIDAD: Remoción de lámina superboard</t>
  </si>
  <si>
    <t>ACTIVIDAD: Restructuración e Instalación de lámina de fibrocemento</t>
  </si>
  <si>
    <t>Lamina fibrocemento de 6mm</t>
  </si>
  <si>
    <t>Paral Estructural</t>
  </si>
  <si>
    <t>Canal Estructural</t>
  </si>
  <si>
    <t>Tornillos</t>
  </si>
  <si>
    <t>Dilatación plástica</t>
  </si>
  <si>
    <t>ACTIVIDAD: Restructuración e Instalación de lámina de panel yeso</t>
  </si>
  <si>
    <t>Lamina fibrocemento de 1/2</t>
  </si>
  <si>
    <t>Oficial</t>
  </si>
  <si>
    <t>Señalización de Obra</t>
  </si>
  <si>
    <t>VALOR</t>
  </si>
  <si>
    <t>Lavado de superficie</t>
  </si>
  <si>
    <t>Inspección de superficie incluye rasqueteado</t>
  </si>
  <si>
    <t>Nivelación de superficie con Mortero Listo</t>
  </si>
  <si>
    <t>Aplicación de Graniplast</t>
  </si>
  <si>
    <t>Reposicion de Mortero en mal estado</t>
  </si>
  <si>
    <t>Aplicación de revoque impermeabilizado</t>
  </si>
  <si>
    <t>Remoción de lámina superboard</t>
  </si>
  <si>
    <t>Restructuración e Instalación de lámina de fibrocemento</t>
  </si>
  <si>
    <t>Retiro y Reemplazo de lamina Drywall</t>
  </si>
  <si>
    <t>Remoción de lámina de panel yeso</t>
  </si>
  <si>
    <t>Suministro y Aplicación de Pintura para exteriores</t>
  </si>
  <si>
    <t>Suministro y Aplicación de Pintura incluye tratamiento con Aqua Block</t>
  </si>
  <si>
    <t>Reparación de antepechos y aplicación de Aqua Block</t>
  </si>
  <si>
    <t>Suministro y Aplicación de Pintura incluye reconstrucción de pendiente</t>
  </si>
  <si>
    <t>Reconstrucción de pendiente en volumenes</t>
  </si>
  <si>
    <t>Suministro y Aplicación de Pintura para exteriores alfajías</t>
  </si>
  <si>
    <t>Suministro y Aplicación de Pintura para interiores</t>
  </si>
  <si>
    <t>Suministro y Aplicación de Pintura para puertas</t>
  </si>
  <si>
    <t>Suministro y Aplicación de Pintura en barandas</t>
  </si>
  <si>
    <t>Suministro y Aplicación de Pintura estructuras de parqueadero</t>
  </si>
  <si>
    <t xml:space="preserve">Recorrido General de Cubiertas </t>
  </si>
  <si>
    <t>4.1.1</t>
  </si>
  <si>
    <t>Retiro de tejas en mal estado</t>
  </si>
  <si>
    <t>4.1.2</t>
  </si>
  <si>
    <t>Suministro e instalación de tejas de fibrocemento</t>
  </si>
  <si>
    <t>4.1.3</t>
  </si>
  <si>
    <t>Sellamiento de amarras</t>
  </si>
  <si>
    <t>4.1.4</t>
  </si>
  <si>
    <t>Reposición de Flanches en lamina</t>
  </si>
  <si>
    <t>4.1.5</t>
  </si>
  <si>
    <t>Lavado e impermeabilización de Viga Canal</t>
  </si>
  <si>
    <t>4.1.6</t>
  </si>
  <si>
    <t>Aplicación de Pintuco Fill en teja de fibrocemento</t>
  </si>
  <si>
    <t>Dispoción final tejas desmontadas</t>
  </si>
  <si>
    <t>4.2.1</t>
  </si>
  <si>
    <t>Aplicación de boquilla en piso exterior</t>
  </si>
  <si>
    <t>4.2.2</t>
  </si>
  <si>
    <t>Aplicación de sello perimetral</t>
  </si>
  <si>
    <t>Sellado Perimetral de ventaneria</t>
  </si>
  <si>
    <t>4.4.1</t>
  </si>
  <si>
    <t>Remoción de perfil existente</t>
  </si>
  <si>
    <t>4.4.2</t>
  </si>
  <si>
    <t>Instalación de cortagotera</t>
  </si>
  <si>
    <t>4.5</t>
  </si>
  <si>
    <t>4.6</t>
  </si>
  <si>
    <t>Suministro e Instalacion de Alfajias en lamina</t>
  </si>
  <si>
    <t>ACABADO DE PINTURA</t>
  </si>
  <si>
    <t>ACTIVIDAD: Suministro y Aplicación de Pintura para exteriores</t>
  </si>
  <si>
    <t>Koraza Pro 550</t>
  </si>
  <si>
    <t>CÑ</t>
  </si>
  <si>
    <t xml:space="preserve">Rodillo 9" </t>
  </si>
  <si>
    <t>Brocha</t>
  </si>
  <si>
    <t>Reparación de antepechos y jardineras</t>
  </si>
  <si>
    <t>ACTIVIDAD: Aplicación de Aqua Block</t>
  </si>
  <si>
    <t>AquaBlock</t>
  </si>
  <si>
    <t>ACTIVIDAD: Pintura de alfajías</t>
  </si>
  <si>
    <t>ACTIVIDAD: Suministro y Aplicación de Pintura para interiores</t>
  </si>
  <si>
    <t>Viniltex Advance</t>
  </si>
  <si>
    <t>ACTIVIDAD: Suministro y Aplicación de Pintura de esmalte para puertas 3 en 1</t>
  </si>
  <si>
    <t>UND</t>
  </si>
  <si>
    <t>Pintulux 3 en 1</t>
  </si>
  <si>
    <t>Thinner</t>
  </si>
  <si>
    <t>ACTIVIDAD: Suministro y Aplicación de Pintura de Esmalte para barandas 3 en 1</t>
  </si>
  <si>
    <t>Lija de agua</t>
  </si>
  <si>
    <t>ACTIVIDAD: Suministro y Aplicación de Pintura de Esmalte para ESTRUCTURA PARQUEADERO</t>
  </si>
  <si>
    <t xml:space="preserve">Rodillo 5" </t>
  </si>
  <si>
    <t>ACTIVIDAD: Suministro y Aplicación de Pintuco Fill</t>
  </si>
  <si>
    <t>Pintuco Fill</t>
  </si>
  <si>
    <t>Protecciones de piso</t>
  </si>
  <si>
    <t xml:space="preserve"> Recorrido General de Cubiertas existentes sobre los tres bloques de apartamentos. Se estima una reposicion total de al menos el 25% de la cubierta existente.</t>
  </si>
  <si>
    <t>ACTIVIDAD: Suministro e instalación de teja de fibrocemento</t>
  </si>
  <si>
    <t>Teja de fibrocemento</t>
  </si>
  <si>
    <t>Amarras</t>
  </si>
  <si>
    <t>Ganchos</t>
  </si>
  <si>
    <t>ACTIVIDAD: Desmonte de teja de fibrocemento</t>
  </si>
  <si>
    <t>ACTIVIDAD: Impermeabilización de viga canal</t>
  </si>
  <si>
    <t>Emulsión asfáltica x 18kg</t>
  </si>
  <si>
    <t>KG</t>
  </si>
  <si>
    <t>Manto de refuerzo - Sika Felp</t>
  </si>
  <si>
    <t>ACTIVIDAD: Aplicación de boquilla en piso exterior</t>
  </si>
  <si>
    <t xml:space="preserve">Boquilla </t>
  </si>
  <si>
    <t>Separadores</t>
  </si>
  <si>
    <t>GLB</t>
  </si>
  <si>
    <t>ACTIVIDAD: Aplicación de sello de poliuretano</t>
  </si>
  <si>
    <t>Soudaflex</t>
  </si>
  <si>
    <t xml:space="preserve">Oficial </t>
  </si>
  <si>
    <t>ACTIVIDAD: Sellado Perimetral de ventaneria</t>
  </si>
  <si>
    <t>Cuchillas</t>
  </si>
  <si>
    <t>ACTIVIDAD: Retiro de ángulo existente</t>
  </si>
  <si>
    <t>ACTIVIDAD: Instalación de cortagoteras</t>
  </si>
  <si>
    <t>Ángulo de aluminio</t>
  </si>
  <si>
    <t>Tornilleria</t>
  </si>
  <si>
    <t>COTIZACIÓN PINTURA EN INTERIORES DE TORRES</t>
  </si>
  <si>
    <t>COTIZACIÓN MATENIMIENTO DE PARQUEADEROS</t>
  </si>
  <si>
    <t>Suministro e Instalacion de Alfajias en lamina sobre muros perimetrales y medianeros en 
las cubiertas</t>
  </si>
  <si>
    <t>ACTIVIDAD: Suministro e Instalacion de Alfajias en lamina sobre muros perimetrales y medianeros en las cubiertas</t>
  </si>
  <si>
    <t xml:space="preserve">Alfajía metálica en lámina </t>
  </si>
  <si>
    <t>Taladro percutor</t>
  </si>
  <si>
    <t>Chazos y Tornilleria</t>
  </si>
  <si>
    <t>Sikaflex Metalforce</t>
  </si>
  <si>
    <t>Mortero acrílico</t>
  </si>
  <si>
    <t>Lámina galvanizada y alfajías metálicas</t>
  </si>
  <si>
    <t>Material cortagoteras de balcones</t>
  </si>
  <si>
    <t>Material textura Graniplast</t>
  </si>
  <si>
    <t>Mano de obra y seguridad social</t>
  </si>
  <si>
    <t>Transporte de materiales y campamento</t>
  </si>
  <si>
    <t>Señalización de obra</t>
  </si>
  <si>
    <t>Pago de Polizas</t>
  </si>
  <si>
    <t xml:space="preserve">     </t>
  </si>
  <si>
    <t>ACTIVIDAD</t>
  </si>
  <si>
    <t>DESCRIPCION</t>
  </si>
  <si>
    <t>MATERIALES</t>
  </si>
  <si>
    <t>LAVADO</t>
  </si>
  <si>
    <t>SELLO</t>
  </si>
  <si>
    <t>MORTERO</t>
  </si>
  <si>
    <t>GRANIPLAST</t>
  </si>
  <si>
    <t>SUPERBOARD</t>
  </si>
  <si>
    <t>DRYWALL</t>
  </si>
  <si>
    <t>PINTURA FACHADAS</t>
  </si>
  <si>
    <t>RECONTRUCCIÓN DE PENDIENTES VOLUMENES + PINTURA</t>
  </si>
  <si>
    <t>PINTURA ALFAJIAS CONCRETO</t>
  </si>
  <si>
    <t>PINTURA INTERIORES</t>
  </si>
  <si>
    <t>PINTURA PUERTAS</t>
  </si>
  <si>
    <t>PINTURA BARANDAS</t>
  </si>
  <si>
    <t>PINTURA ESTRUCTURA PARQUEADEROS</t>
  </si>
  <si>
    <t>PINTURA CUBIERTA PARQUEADEROS</t>
  </si>
  <si>
    <t>CAMBIO DE CUBIERTA</t>
  </si>
  <si>
    <t>CORTAGOTERAS BALCONES</t>
  </si>
  <si>
    <t>REPARACIÓN CUCHILLAS DE CUBIERTA</t>
  </si>
  <si>
    <t>ALFAJIAS METALICAS</t>
  </si>
  <si>
    <t>PINTURA TERRAZAS Y JARDINERAS</t>
  </si>
  <si>
    <t>- Sello perimetral</t>
  </si>
  <si>
    <t>- Soudaflex</t>
  </si>
  <si>
    <t>- Lavado con cepillo e hidrolavadora
- Aplicación de hipoclorito al 10%
- Retiro de material suelto</t>
  </si>
  <si>
    <t>- hipoclorito
- Hidrolavadora (empaques, mangera, pistola, extensión)
- Espatula</t>
  </si>
  <si>
    <t>- Aplicación de mortero o Morterolisto Impadoc</t>
  </si>
  <si>
    <t>- Morterolisto Impadoc o mortero 3:1</t>
  </si>
  <si>
    <t>- Aplicación de Graniplast (Paños que sean lo mas completos posibles sin ser innecesarios)</t>
  </si>
  <si>
    <t>- Graniplast premium pintuco o Pannelton</t>
  </si>
  <si>
    <t>- Retiro de superboard en mal estado
- Cambio o ajuste de estructura de ser necesario
- Reemplazo de superboard 8mm
- Tratamiento de juntas
- SE DEBE DE REEMPLAZAR LAS LAMINAS DE DRYWALL QUE HAY EXPUESTAS A HUMEDAD EXCESIVA POR SUPERBOARD ( CONCRETAR CON INTERVENTOR)</t>
  </si>
  <si>
    <t>- Superboard 8mm
- Soudaflex
- Es posible que se necesiten Omegas y Viguetas</t>
  </si>
  <si>
    <t>- Retiro de drywall en mal estado
- Cambio o ajuste de estructura de ser necesario
- Reemplazo de drywall 8mm
- Tratamiento de juntas</t>
  </si>
  <si>
    <t>- Drywall 8mm
- Soudaflex
- Es posible que se necesiten Omegas y Viguetas</t>
  </si>
  <si>
    <t>- Aplicación de Pintura Koraza pro 550</t>
  </si>
  <si>
    <t>- Koraza pro 550
- Rodillo y brocha</t>
  </si>
  <si>
    <t>- Reconstruccion de pendientes en volumenes donde sea necesario con Morterolisto Impadoc y acabado liso
- Aplicación de Pintucofill 7
- Aplicación de Pintura Koraza pro 550</t>
  </si>
  <si>
    <t>- Mortero Listo
- Pintucofill 7
- Koraza pro 550
- Rodillo y brocha</t>
  </si>
  <si>
    <t>- Tratamiento de alfajias
- Aplicación de Pintura koraza pro 550 gris basalto</t>
  </si>
  <si>
    <t>- Koraza pro 550 gris basalto
- Rodillo y brocha</t>
  </si>
  <si>
    <t>- Resane
- Aplicación de viniltex pro 450</t>
  </si>
  <si>
    <t>- estuco y mastic
- Viniltex pro 450
- Rodillo y brocha</t>
  </si>
  <si>
    <t>- Aplicación de esmalte domestico en marcos y naves de las puertas
- Aplicación de Pintulux 3 en 1 en Puertas de porteria y cuarto motobombas</t>
  </si>
  <si>
    <t>- Esmalte Domestico
- Pintulux 3 en 1</t>
  </si>
  <si>
    <t>- Lijado y aplicación de corrotec donde sea necesario
- Aplicación de Pintulux 3 en 1</t>
  </si>
  <si>
    <t>- Pintulux 3 en 1
- Es posible que se necesite Correct y lijas</t>
  </si>
  <si>
    <t>- Limpieza
- Revisión y sello de anclajes
- Aplicación de Pintucofill 7</t>
  </si>
  <si>
    <t>- Soudaflex o tornillos con sello
- Pintucofill 7</t>
  </si>
  <si>
    <t>- Instalación de angulo aluminio calibre 16 1,5"*1,5"
- Sello entre pared y angulo con Soudaflex
- Aplicación Pintura koraza Pro 550</t>
  </si>
  <si>
    <t>- Angulo y tornillos
- taladro percutor
- Soudaflex
- Pintura Koraza pro 550</t>
  </si>
  <si>
    <t>- Retiro de material
- Aplicación de morterolisto impadoc o mortero 1:3
- Imprimación 
- Aplicación Pintura Koraza pro 550</t>
  </si>
  <si>
    <t>- Retiro de alfajias existentes en superboard
- Instalacion de alfajia en lamina galvanizada cal 24 con chazos de 3/8"
- Sello de traslapo entre alfajias con SIKAFLEX METALFORCE
- sello entre muro y alfajia con SIKAFLEX METAL FORCE</t>
  </si>
  <si>
    <t>- Resane
- Aplicación de Pintura Aquablock Ultra de Pintuco
- Aplicación de koraza pro 550 gris basalto</t>
  </si>
  <si>
    <t>- Morterolisto Impadoc o mortero 3:1
- Acronal
-Koraza pro 550</t>
  </si>
  <si>
    <t>- Alfajias en lamina galvanizada
- SIKAFLEX METALFORCE (Revisar contratipos)</t>
  </si>
  <si>
    <t>- Graniplast premium pintuco o Pannelton
- Aquablock ultra
- Koraza pro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</si>
</sst>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&quot;$&quot;\ #,##0"/>
    <numFmt numFmtId="167" formatCode="0.000"/>
    <numFmt numFmtId="168" formatCode="0.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8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name val="Swis721 BT"/>
      <family val="2"/>
    </font>
    <font>
      <b/>
      <sz val="18"/>
      <color theme="0"/>
      <name val="Swis721 BT"/>
      <family val="2"/>
    </font>
    <font>
      <sz val="16"/>
      <color theme="1"/>
      <name val="Aptos Narrow"/>
      <family val="2"/>
      <scheme val="minor"/>
    </font>
    <font>
      <b/>
      <sz val="11"/>
      <color rgb="FFC00000"/>
      <name val="Aptos Narrow"/>
      <scheme val="minor"/>
    </font>
    <font>
      <b/>
      <sz val="14"/>
      <color theme="0"/>
      <name val="Swis721 BT"/>
      <family val="2"/>
    </font>
    <font>
      <b/>
      <sz val="11"/>
      <name val="Swis721 BT"/>
      <family val="2"/>
    </font>
    <font>
      <sz val="11"/>
      <color theme="1"/>
      <name val="Arial"/>
      <family val="2"/>
    </font>
    <font>
      <b/>
      <sz val="10"/>
      <color theme="1"/>
      <name val="Swis721 BT"/>
      <family val="2"/>
    </font>
    <font>
      <sz val="14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b/>
      <sz val="12"/>
      <color theme="0"/>
      <name val="Swis721 BT"/>
      <family val="2"/>
    </font>
    <font>
      <i/>
      <sz val="10"/>
      <color theme="1"/>
      <name val="Swis721 BT"/>
      <family val="2"/>
    </font>
    <font>
      <b/>
      <sz val="10"/>
      <color theme="0" tint="-4.9989318521683403E-2"/>
      <name val="Swis721 BT"/>
      <family val="2"/>
    </font>
    <font>
      <b/>
      <sz val="10"/>
      <color rgb="FF000000"/>
      <name val="Swis721 BT"/>
      <family val="2"/>
    </font>
    <font>
      <sz val="12"/>
      <color theme="1"/>
      <name val="Aptos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</fonts>
  <fills count="27">
    <fill>
      <patternFill patternType="none"/>
    </fill>
    <fill>
      <patternFill patternType="gray125"/>
    </fill>
    <fill>
      <patternFill patternType="solid">
        <fgColor rgb="FF64A0B0"/>
        <bgColor indexed="64"/>
      </patternFill>
    </fill>
    <fill>
      <patternFill patternType="solid">
        <fgColor rgb="FFFFBDC3"/>
        <bgColor indexed="64"/>
      </patternFill>
    </fill>
    <fill>
      <patternFill patternType="solid">
        <fgColor rgb="FF31576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BCCD5"/>
        <bgColor indexed="64"/>
      </patternFill>
    </fill>
    <fill>
      <patternFill patternType="solid">
        <fgColor theme="6" tint="0.79998168889431442"/>
        <bgColor rgb="FFD6DCE4"/>
      </patternFill>
    </fill>
    <fill>
      <patternFill patternType="solid">
        <fgColor rgb="FFEDEDED"/>
        <bgColor indexed="64"/>
      </patternFill>
    </fill>
    <fill>
      <patternFill patternType="solid">
        <fgColor rgb="FF315761"/>
        <bgColor rgb="FF333F4F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B89"/>
        <bgColor rgb="FF333F4F"/>
      </patternFill>
    </fill>
    <fill>
      <patternFill patternType="solid">
        <fgColor rgb="FFFF7B89"/>
        <bgColor indexed="64"/>
      </patternFill>
    </fill>
    <fill>
      <patternFill patternType="solid">
        <fgColor rgb="FFEDEDED"/>
        <bgColor rgb="FF8496B0"/>
      </patternFill>
    </fill>
    <fill>
      <patternFill patternType="solid">
        <fgColor rgb="FFEDEDED"/>
        <bgColor rgb="FFD6DCE4"/>
      </patternFill>
    </fill>
    <fill>
      <patternFill patternType="solid">
        <fgColor rgb="FFFF7B89"/>
        <bgColor rgb="FF8496B0"/>
      </patternFill>
    </fill>
    <fill>
      <patternFill patternType="solid">
        <fgColor rgb="FF64A0B0"/>
        <bgColor rgb="FF8496B0"/>
      </patternFill>
    </fill>
    <fill>
      <patternFill patternType="solid">
        <fgColor rgb="FFC0D8D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42" fontId="1" fillId="0" borderId="0" applyFont="0" applyFill="0" applyBorder="0" applyAlignment="0" applyProtection="0"/>
  </cellStyleXfs>
  <cellXfs count="228">
    <xf numFmtId="0" fontId="0" fillId="0" borderId="0" xfId="0"/>
    <xf numFmtId="0" fontId="3" fillId="0" borderId="0" xfId="0" applyFont="1" applyAlignment="1">
      <alignment vertical="center"/>
    </xf>
    <xf numFmtId="44" fontId="3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horizontal="center" vertical="center"/>
    </xf>
    <xf numFmtId="9" fontId="3" fillId="0" borderId="1" xfId="2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3" fontId="8" fillId="0" borderId="1" xfId="3" applyFont="1" applyBorder="1" applyAlignment="1">
      <alignment vertical="center"/>
    </xf>
    <xf numFmtId="44" fontId="8" fillId="0" borderId="1" xfId="0" applyNumberFormat="1" applyFont="1" applyBorder="1" applyAlignment="1">
      <alignment vertical="center"/>
    </xf>
    <xf numFmtId="44" fontId="8" fillId="0" borderId="1" xfId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0" borderId="1" xfId="3" applyNumberFormat="1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165" fontId="8" fillId="0" borderId="1" xfId="3" applyNumberFormat="1" applyFont="1" applyFill="1" applyBorder="1" applyAlignment="1">
      <alignment vertical="center"/>
    </xf>
    <xf numFmtId="44" fontId="8" fillId="0" borderId="1" xfId="1" applyFont="1" applyFill="1" applyBorder="1" applyAlignment="1">
      <alignment vertical="center"/>
    </xf>
    <xf numFmtId="44" fontId="9" fillId="4" borderId="1" xfId="0" applyNumberFormat="1" applyFont="1" applyFill="1" applyBorder="1" applyAlignment="1">
      <alignment vertical="center"/>
    </xf>
    <xf numFmtId="44" fontId="8" fillId="0" borderId="0" xfId="1" applyFont="1" applyAlignment="1">
      <alignment vertical="center"/>
    </xf>
    <xf numFmtId="9" fontId="8" fillId="0" borderId="1" xfId="2" applyFont="1" applyBorder="1" applyAlignment="1">
      <alignment horizontal="center" vertical="center"/>
    </xf>
    <xf numFmtId="44" fontId="10" fillId="5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4" fontId="0" fillId="7" borderId="1" xfId="1" applyFont="1" applyFill="1" applyBorder="1" applyAlignment="1">
      <alignment vertical="center"/>
    </xf>
    <xf numFmtId="43" fontId="0" fillId="0" borderId="1" xfId="3" applyFont="1" applyBorder="1" applyAlignment="1">
      <alignment vertical="center"/>
    </xf>
    <xf numFmtId="44" fontId="0" fillId="0" borderId="1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1" xfId="3" applyNumberFormat="1" applyFont="1" applyBorder="1" applyAlignment="1">
      <alignment vertical="center"/>
    </xf>
    <xf numFmtId="164" fontId="14" fillId="0" borderId="1" xfId="1" applyNumberFormat="1" applyFont="1" applyBorder="1" applyAlignment="1">
      <alignment vertical="center"/>
    </xf>
    <xf numFmtId="44" fontId="0" fillId="8" borderId="1" xfId="0" applyNumberForma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65" fontId="0" fillId="3" borderId="1" xfId="3" applyNumberFormat="1" applyFont="1" applyFill="1" applyBorder="1" applyAlignment="1">
      <alignment vertical="center"/>
    </xf>
    <xf numFmtId="164" fontId="0" fillId="3" borderId="1" xfId="1" applyNumberFormat="1" applyFont="1" applyFill="1" applyBorder="1" applyAlignment="1">
      <alignment vertical="center"/>
    </xf>
    <xf numFmtId="44" fontId="0" fillId="3" borderId="1" xfId="1" applyFont="1" applyFill="1" applyBorder="1" applyAlignment="1">
      <alignment vertical="center"/>
    </xf>
    <xf numFmtId="44" fontId="0" fillId="7" borderId="1" xfId="0" applyNumberForma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9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65" fontId="0" fillId="0" borderId="1" xfId="3" applyNumberFormat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44" fontId="0" fillId="0" borderId="1" xfId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3" xfId="3" applyNumberFormat="1" applyFont="1" applyBorder="1" applyAlignment="1">
      <alignment vertical="center"/>
    </xf>
    <xf numFmtId="44" fontId="8" fillId="0" borderId="4" xfId="1" applyFont="1" applyBorder="1" applyAlignment="1">
      <alignment vertical="center"/>
    </xf>
    <xf numFmtId="44" fontId="10" fillId="0" borderId="1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44" fontId="16" fillId="9" borderId="1" xfId="1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43" fontId="11" fillId="9" borderId="1" xfId="3" applyFont="1" applyFill="1" applyBorder="1" applyAlignment="1">
      <alignment vertical="center"/>
    </xf>
    <xf numFmtId="165" fontId="11" fillId="9" borderId="1" xfId="3" applyNumberFormat="1" applyFont="1" applyFill="1" applyBorder="1" applyAlignment="1">
      <alignment vertical="center"/>
    </xf>
    <xf numFmtId="44" fontId="16" fillId="9" borderId="1" xfId="0" applyNumberFormat="1" applyFont="1" applyFill="1" applyBorder="1" applyAlignment="1">
      <alignment vertical="center"/>
    </xf>
    <xf numFmtId="44" fontId="8" fillId="0" borderId="0" xfId="0" applyNumberFormat="1" applyFont="1" applyAlignment="1">
      <alignment vertical="center"/>
    </xf>
    <xf numFmtId="166" fontId="18" fillId="10" borderId="0" xfId="4" applyNumberFormat="1" applyFont="1" applyFill="1" applyAlignment="1">
      <alignment horizontal="right" vertical="center"/>
    </xf>
    <xf numFmtId="0" fontId="8" fillId="0" borderId="0" xfId="4" applyFont="1" applyAlignment="1">
      <alignment vertical="center"/>
    </xf>
    <xf numFmtId="0" fontId="9" fillId="0" borderId="0" xfId="4" applyFont="1" applyAlignment="1">
      <alignment horizontal="left" vertical="center"/>
    </xf>
    <xf numFmtId="0" fontId="11" fillId="0" borderId="0" xfId="4" applyFont="1" applyAlignment="1">
      <alignment vertical="center"/>
    </xf>
    <xf numFmtId="0" fontId="9" fillId="12" borderId="0" xfId="4" applyFont="1" applyFill="1" applyAlignment="1">
      <alignment horizontal="left" vertical="center"/>
    </xf>
    <xf numFmtId="0" fontId="11" fillId="4" borderId="0" xfId="4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20" fillId="4" borderId="0" xfId="4" applyFont="1" applyFill="1" applyAlignment="1">
      <alignment horizontal="center" vertical="center"/>
    </xf>
    <xf numFmtId="0" fontId="18" fillId="13" borderId="0" xfId="4" applyFont="1" applyFill="1" applyAlignment="1">
      <alignment horizontal="center" vertical="center"/>
    </xf>
    <xf numFmtId="0" fontId="18" fillId="15" borderId="0" xfId="4" applyFont="1" applyFill="1" applyAlignment="1">
      <alignment horizontal="center" vertical="center"/>
    </xf>
    <xf numFmtId="0" fontId="22" fillId="0" borderId="0" xfId="4" applyFont="1" applyAlignment="1">
      <alignment horizontal="left" vertical="center"/>
    </xf>
    <xf numFmtId="0" fontId="22" fillId="0" borderId="0" xfId="4" applyFont="1" applyAlignment="1">
      <alignment horizontal="center" vertical="center"/>
    </xf>
    <xf numFmtId="0" fontId="23" fillId="0" borderId="0" xfId="4" applyFont="1" applyAlignment="1">
      <alignment horizontal="center" vertical="center"/>
    </xf>
    <xf numFmtId="166" fontId="22" fillId="0" borderId="0" xfId="4" applyNumberFormat="1" applyFont="1" applyAlignment="1">
      <alignment horizontal="right" vertical="center"/>
    </xf>
    <xf numFmtId="166" fontId="8" fillId="0" borderId="0" xfId="4" applyNumberFormat="1" applyFont="1" applyAlignment="1">
      <alignment vertical="center"/>
    </xf>
    <xf numFmtId="2" fontId="23" fillId="0" borderId="0" xfId="4" applyNumberFormat="1" applyFont="1" applyAlignment="1">
      <alignment horizontal="center" vertical="center"/>
    </xf>
    <xf numFmtId="1" fontId="23" fillId="0" borderId="0" xfId="4" applyNumberFormat="1" applyFont="1" applyAlignment="1">
      <alignment horizontal="center" vertical="center"/>
    </xf>
    <xf numFmtId="0" fontId="23" fillId="0" borderId="0" xfId="4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21" fillId="0" borderId="0" xfId="4" applyFont="1" applyAlignment="1">
      <alignment vertical="center"/>
    </xf>
    <xf numFmtId="0" fontId="9" fillId="17" borderId="0" xfId="4" applyFont="1" applyFill="1" applyAlignment="1">
      <alignment horizontal="left" vertical="center"/>
    </xf>
    <xf numFmtId="0" fontId="11" fillId="18" borderId="0" xfId="4" applyFont="1" applyFill="1" applyAlignment="1">
      <alignment vertical="center"/>
    </xf>
    <xf numFmtId="0" fontId="9" fillId="18" borderId="0" xfId="4" applyFont="1" applyFill="1" applyAlignment="1">
      <alignment horizontal="center" vertical="center"/>
    </xf>
    <xf numFmtId="0" fontId="22" fillId="0" borderId="0" xfId="4" applyFont="1" applyAlignment="1">
      <alignment vertical="center"/>
    </xf>
    <xf numFmtId="167" fontId="23" fillId="0" borderId="0" xfId="4" applyNumberFormat="1" applyFont="1" applyAlignment="1">
      <alignment horizontal="center" vertical="center"/>
    </xf>
    <xf numFmtId="168" fontId="22" fillId="0" borderId="0" xfId="4" applyNumberFormat="1" applyFont="1" applyAlignment="1">
      <alignment vertical="center"/>
    </xf>
    <xf numFmtId="0" fontId="20" fillId="12" borderId="0" xfId="4" applyFont="1" applyFill="1" applyAlignment="1">
      <alignment horizontal="center" vertical="center"/>
    </xf>
    <xf numFmtId="166" fontId="22" fillId="0" borderId="0" xfId="4" applyNumberFormat="1" applyFont="1" applyAlignment="1">
      <alignment vertical="center"/>
    </xf>
    <xf numFmtId="0" fontId="20" fillId="17" borderId="0" xfId="4" applyFont="1" applyFill="1" applyAlignment="1">
      <alignment horizontal="center" vertical="center"/>
    </xf>
    <xf numFmtId="2" fontId="22" fillId="0" borderId="0" xfId="4" applyNumberFormat="1" applyFont="1" applyAlignment="1">
      <alignment vertical="center"/>
    </xf>
    <xf numFmtId="0" fontId="18" fillId="19" borderId="0" xfId="4" applyFont="1" applyFill="1" applyAlignment="1">
      <alignment horizontal="center" vertical="center"/>
    </xf>
    <xf numFmtId="166" fontId="18" fillId="20" borderId="0" xfId="4" applyNumberFormat="1" applyFont="1" applyFill="1" applyAlignment="1">
      <alignment horizontal="right" vertical="center"/>
    </xf>
    <xf numFmtId="0" fontId="24" fillId="17" borderId="0" xfId="4" applyFont="1" applyFill="1" applyAlignment="1">
      <alignment horizontal="left" vertical="center"/>
    </xf>
    <xf numFmtId="0" fontId="24" fillId="12" borderId="0" xfId="4" applyFont="1" applyFill="1" applyAlignment="1">
      <alignment horizontal="left" vertical="center"/>
    </xf>
    <xf numFmtId="0" fontId="25" fillId="0" borderId="0" xfId="4" applyFont="1" applyAlignment="1">
      <alignment vertical="center"/>
    </xf>
    <xf numFmtId="0" fontId="20" fillId="0" borderId="0" xfId="4" applyFont="1" applyAlignment="1">
      <alignment horizontal="left" vertical="center"/>
    </xf>
    <xf numFmtId="0" fontId="26" fillId="21" borderId="0" xfId="4" applyFont="1" applyFill="1" applyAlignment="1">
      <alignment horizontal="center" vertical="center"/>
    </xf>
    <xf numFmtId="0" fontId="22" fillId="18" borderId="0" xfId="4" applyFont="1" applyFill="1" applyAlignment="1">
      <alignment vertical="center"/>
    </xf>
    <xf numFmtId="0" fontId="18" fillId="5" borderId="0" xfId="4" applyFont="1" applyFill="1" applyAlignment="1">
      <alignment horizontal="center" vertical="center"/>
    </xf>
    <xf numFmtId="0" fontId="18" fillId="5" borderId="0" xfId="4" applyFont="1" applyFill="1" applyAlignment="1">
      <alignment horizontal="left" vertical="center" wrapText="1"/>
    </xf>
    <xf numFmtId="44" fontId="27" fillId="5" borderId="0" xfId="4" applyNumberFormat="1" applyFont="1" applyFill="1" applyAlignment="1">
      <alignment horizontal="center" vertical="center"/>
    </xf>
    <xf numFmtId="0" fontId="26" fillId="22" borderId="0" xfId="4" applyFont="1" applyFill="1" applyAlignment="1">
      <alignment horizontal="center" vertical="center"/>
    </xf>
    <xf numFmtId="0" fontId="26" fillId="0" borderId="0" xfId="4" applyFont="1" applyAlignment="1">
      <alignment horizontal="center" vertical="center"/>
    </xf>
    <xf numFmtId="44" fontId="22" fillId="0" borderId="0" xfId="4" applyNumberFormat="1" applyFont="1" applyAlignment="1">
      <alignment vertical="center"/>
    </xf>
    <xf numFmtId="44" fontId="22" fillId="0" borderId="0" xfId="1" applyFont="1" applyAlignment="1">
      <alignment horizontal="center" vertical="center"/>
    </xf>
    <xf numFmtId="44" fontId="21" fillId="0" borderId="0" xfId="1" applyFont="1" applyAlignment="1">
      <alignment vertical="center"/>
    </xf>
    <xf numFmtId="0" fontId="18" fillId="23" borderId="0" xfId="4" applyFont="1" applyFill="1" applyAlignment="1">
      <alignment horizontal="center" vertical="center"/>
    </xf>
    <xf numFmtId="0" fontId="18" fillId="23" borderId="0" xfId="4" applyFont="1" applyFill="1" applyAlignment="1">
      <alignment horizontal="left" vertical="center" wrapText="1"/>
    </xf>
    <xf numFmtId="44" fontId="27" fillId="23" borderId="0" xfId="4" applyNumberFormat="1" applyFont="1" applyFill="1" applyAlignment="1">
      <alignment horizontal="center" vertical="center"/>
    </xf>
    <xf numFmtId="0" fontId="18" fillId="3" borderId="0" xfId="4" applyFont="1" applyFill="1" applyAlignment="1">
      <alignment horizontal="center" vertical="center"/>
    </xf>
    <xf numFmtId="0" fontId="18" fillId="3" borderId="0" xfId="4" applyFont="1" applyFill="1" applyAlignment="1">
      <alignment horizontal="left" vertical="center" wrapText="1"/>
    </xf>
    <xf numFmtId="44" fontId="27" fillId="3" borderId="0" xfId="4" applyNumberFormat="1" applyFont="1" applyFill="1" applyAlignment="1">
      <alignment horizontal="center" vertical="center"/>
    </xf>
    <xf numFmtId="0" fontId="9" fillId="12" borderId="0" xfId="4" applyFont="1" applyFill="1" applyAlignment="1">
      <alignment horizontal="center" vertical="center"/>
    </xf>
    <xf numFmtId="0" fontId="20" fillId="18" borderId="0" xfId="4" applyFont="1" applyFill="1" applyAlignment="1">
      <alignment horizontal="center" vertical="center"/>
    </xf>
    <xf numFmtId="2" fontId="8" fillId="0" borderId="0" xfId="4" applyNumberFormat="1" applyFont="1" applyAlignment="1">
      <alignment horizontal="center" vertical="center"/>
    </xf>
    <xf numFmtId="166" fontId="18" fillId="0" borderId="0" xfId="4" applyNumberFormat="1" applyFont="1" applyAlignment="1">
      <alignment vertical="center"/>
    </xf>
    <xf numFmtId="0" fontId="22" fillId="11" borderId="0" xfId="4" applyFont="1" applyFill="1" applyAlignment="1">
      <alignment horizontal="left" vertical="center"/>
    </xf>
    <xf numFmtId="44" fontId="22" fillId="11" borderId="0" xfId="1" applyFont="1" applyFill="1" applyAlignment="1">
      <alignment horizontal="center" vertical="center"/>
    </xf>
    <xf numFmtId="0" fontId="23" fillId="24" borderId="0" xfId="4" applyFont="1" applyFill="1" applyAlignment="1">
      <alignment horizontal="left" vertical="center"/>
    </xf>
    <xf numFmtId="166" fontId="22" fillId="24" borderId="0" xfId="4" applyNumberFormat="1" applyFont="1" applyFill="1" applyAlignment="1">
      <alignment horizontal="right" vertical="center"/>
    </xf>
    <xf numFmtId="0" fontId="18" fillId="24" borderId="0" xfId="4" applyFont="1" applyFill="1" applyAlignment="1">
      <alignment horizontal="right" vertical="center"/>
    </xf>
    <xf numFmtId="168" fontId="23" fillId="0" borderId="0" xfId="4" applyNumberFormat="1" applyFont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165" fontId="16" fillId="9" borderId="1" xfId="3" applyNumberFormat="1" applyFont="1" applyFill="1" applyBorder="1" applyAlignment="1">
      <alignment vertical="center"/>
    </xf>
    <xf numFmtId="164" fontId="11" fillId="9" borderId="1" xfId="0" applyNumberFormat="1" applyFont="1" applyFill="1" applyBorder="1" applyAlignment="1">
      <alignment vertical="center"/>
    </xf>
    <xf numFmtId="164" fontId="8" fillId="0" borderId="1" xfId="1" applyNumberFormat="1" applyFont="1" applyFill="1" applyBorder="1" applyAlignment="1">
      <alignment vertical="center"/>
    </xf>
    <xf numFmtId="44" fontId="22" fillId="0" borderId="0" xfId="1" applyFont="1" applyAlignment="1">
      <alignment vertical="center"/>
    </xf>
    <xf numFmtId="42" fontId="8" fillId="0" borderId="0" xfId="5" applyFont="1" applyAlignment="1">
      <alignment vertical="center"/>
    </xf>
    <xf numFmtId="9" fontId="8" fillId="0" borderId="0" xfId="2" applyFont="1" applyAlignment="1">
      <alignment vertical="center"/>
    </xf>
    <xf numFmtId="4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8" fillId="20" borderId="0" xfId="4" applyFont="1" applyFill="1" applyAlignment="1">
      <alignment horizontal="right" vertical="center"/>
    </xf>
    <xf numFmtId="0" fontId="21" fillId="11" borderId="0" xfId="4" applyFont="1" applyFill="1" applyAlignment="1">
      <alignment vertical="center"/>
    </xf>
    <xf numFmtId="0" fontId="18" fillId="0" borderId="0" xfId="4" applyFont="1" applyAlignment="1">
      <alignment horizontal="right" vertical="center"/>
    </xf>
    <xf numFmtId="0" fontId="21" fillId="0" borderId="0" xfId="4" applyFont="1" applyAlignment="1">
      <alignment vertical="center"/>
    </xf>
    <xf numFmtId="0" fontId="20" fillId="14" borderId="0" xfId="4" applyFont="1" applyFill="1" applyAlignment="1">
      <alignment horizontal="left" vertical="center"/>
    </xf>
    <xf numFmtId="0" fontId="21" fillId="2" borderId="0" xfId="4" applyFont="1" applyFill="1" applyAlignment="1">
      <alignment vertical="center"/>
    </xf>
    <xf numFmtId="0" fontId="20" fillId="4" borderId="0" xfId="4" applyFont="1" applyFill="1" applyAlignment="1">
      <alignment horizontal="left" vertical="center"/>
    </xf>
    <xf numFmtId="0" fontId="21" fillId="4" borderId="0" xfId="4" applyFont="1" applyFill="1" applyAlignment="1">
      <alignment vertical="center"/>
    </xf>
    <xf numFmtId="0" fontId="18" fillId="0" borderId="0" xfId="4" applyFont="1" applyAlignment="1">
      <alignment horizontal="center" vertical="center"/>
    </xf>
    <xf numFmtId="0" fontId="9" fillId="17" borderId="0" xfId="4" applyFont="1" applyFill="1" applyAlignment="1">
      <alignment horizontal="left" vertical="center"/>
    </xf>
    <xf numFmtId="0" fontId="9" fillId="12" borderId="0" xfId="4" applyFont="1" applyFill="1" applyAlignment="1">
      <alignment horizontal="left" vertical="center"/>
    </xf>
    <xf numFmtId="0" fontId="9" fillId="4" borderId="0" xfId="4" applyFont="1" applyFill="1" applyAlignment="1">
      <alignment horizontal="left" vertical="center"/>
    </xf>
    <xf numFmtId="0" fontId="11" fillId="4" borderId="0" xfId="4" applyFont="1" applyFill="1" applyAlignment="1">
      <alignment vertical="center"/>
    </xf>
    <xf numFmtId="0" fontId="15" fillId="12" borderId="0" xfId="4" applyFont="1" applyFill="1" applyAlignment="1">
      <alignment horizontal="left" vertical="center"/>
    </xf>
    <xf numFmtId="0" fontId="19" fillId="4" borderId="0" xfId="4" applyFont="1" applyFill="1" applyAlignment="1">
      <alignment vertical="center"/>
    </xf>
    <xf numFmtId="0" fontId="9" fillId="18" borderId="0" xfId="4" applyFont="1" applyFill="1" applyAlignment="1">
      <alignment horizontal="left" vertical="center" wrapText="1"/>
    </xf>
    <xf numFmtId="0" fontId="11" fillId="18" borderId="0" xfId="4" applyFont="1" applyFill="1" applyAlignment="1">
      <alignment vertical="center" wrapText="1"/>
    </xf>
    <xf numFmtId="0" fontId="9" fillId="17" borderId="0" xfId="4" applyFont="1" applyFill="1" applyAlignment="1">
      <alignment horizontal="left" vertical="center" wrapText="1"/>
    </xf>
    <xf numFmtId="0" fontId="20" fillId="2" borderId="0" xfId="4" applyFont="1" applyFill="1" applyAlignment="1">
      <alignment horizontal="left" vertical="center"/>
    </xf>
    <xf numFmtId="0" fontId="18" fillId="10" borderId="0" xfId="4" applyFont="1" applyFill="1" applyAlignment="1">
      <alignment horizontal="right" vertical="center"/>
    </xf>
    <xf numFmtId="0" fontId="21" fillId="16" borderId="0" xfId="4" applyFont="1" applyFill="1" applyAlignment="1">
      <alignment vertical="center"/>
    </xf>
    <xf numFmtId="0" fontId="9" fillId="2" borderId="0" xfId="4" applyFont="1" applyFill="1" applyAlignment="1">
      <alignment horizontal="left" vertical="center"/>
    </xf>
    <xf numFmtId="0" fontId="11" fillId="2" borderId="0" xfId="4" applyFont="1" applyFill="1" applyAlignment="1">
      <alignment vertical="center"/>
    </xf>
    <xf numFmtId="0" fontId="20" fillId="18" borderId="0" xfId="4" applyFont="1" applyFill="1" applyAlignment="1">
      <alignment horizontal="left" vertical="center"/>
    </xf>
    <xf numFmtId="0" fontId="21" fillId="18" borderId="0" xfId="4" applyFont="1" applyFill="1" applyAlignment="1">
      <alignment vertical="center"/>
    </xf>
    <xf numFmtId="0" fontId="18" fillId="24" borderId="0" xfId="4" applyFont="1" applyFill="1" applyAlignment="1">
      <alignment horizontal="right" vertical="center"/>
    </xf>
    <xf numFmtId="0" fontId="9" fillId="12" borderId="0" xfId="4" applyFont="1" applyFill="1" applyAlignment="1">
      <alignment horizontal="left" vertical="center" wrapText="1"/>
    </xf>
    <xf numFmtId="0" fontId="20" fillId="4" borderId="0" xfId="4" applyFont="1" applyFill="1" applyAlignment="1">
      <alignment horizontal="left" vertical="center" wrapText="1"/>
    </xf>
    <xf numFmtId="0" fontId="21" fillId="4" borderId="0" xfId="4" applyFont="1" applyFill="1" applyAlignment="1">
      <alignment vertical="center" wrapText="1"/>
    </xf>
    <xf numFmtId="0" fontId="20" fillId="2" borderId="0" xfId="4" applyFont="1" applyFill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6" fontId="29" fillId="0" borderId="0" xfId="0" applyNumberFormat="1" applyFont="1" applyAlignment="1">
      <alignment vertical="center" wrapText="1"/>
    </xf>
    <xf numFmtId="6" fontId="8" fillId="0" borderId="0" xfId="0" applyNumberFormat="1" applyFont="1" applyAlignment="1">
      <alignment vertical="center"/>
    </xf>
    <xf numFmtId="0" fontId="30" fillId="25" borderId="10" xfId="0" applyFont="1" applyFill="1" applyBorder="1" applyAlignment="1">
      <alignment horizontal="center" vertical="center" wrapText="1"/>
    </xf>
    <xf numFmtId="0" fontId="30" fillId="25" borderId="11" xfId="0" applyFont="1" applyFill="1" applyBorder="1" applyAlignment="1">
      <alignment horizontal="center" vertical="center" wrapText="1"/>
    </xf>
    <xf numFmtId="0" fontId="29" fillId="26" borderId="12" xfId="0" applyFont="1" applyFill="1" applyBorder="1" applyAlignment="1">
      <alignment horizontal="center" vertical="center" wrapText="1"/>
    </xf>
    <xf numFmtId="49" fontId="29" fillId="0" borderId="13" xfId="0" applyNumberFormat="1" applyFont="1" applyBorder="1" applyAlignment="1">
      <alignment vertical="center" wrapText="1"/>
    </xf>
    <xf numFmtId="49" fontId="29" fillId="0" borderId="13" xfId="0" applyNumberFormat="1" applyFont="1" applyBorder="1" applyAlignment="1">
      <alignment horizontal="left" vertical="center" wrapText="1"/>
    </xf>
    <xf numFmtId="49" fontId="29" fillId="0" borderId="13" xfId="0" applyNumberFormat="1" applyFont="1" applyBorder="1" applyAlignment="1">
      <alignment horizontal="center" vertical="center" wrapText="1"/>
    </xf>
    <xf numFmtId="168" fontId="29" fillId="0" borderId="13" xfId="0" applyNumberFormat="1" applyFont="1" applyBorder="1" applyAlignment="1">
      <alignment horizontal="center" vertical="center" wrapText="1"/>
    </xf>
  </cellXfs>
  <cellStyles count="6">
    <cellStyle name="Millares" xfId="3" builtinId="3"/>
    <cellStyle name="Moneda" xfId="1" builtinId="4"/>
    <cellStyle name="Moneda [0]" xfId="5" builtinId="7"/>
    <cellStyle name="Normal" xfId="0" builtinId="0"/>
    <cellStyle name="Normal 2" xfId="4" xr:uid="{C6095C5C-04C0-4AFB-8BA1-E08456605A2F}"/>
    <cellStyle name="Porcentaje" xfId="2" builtinId="5"/>
  </cellStyles>
  <dxfs count="0"/>
  <tableStyles count="0" defaultTableStyle="TableStyleMedium2" defaultPivotStyle="PivotStyleLight16"/>
  <colors>
    <mruColors>
      <color rgb="FFFF7B89"/>
      <color rgb="FF64A0B0"/>
      <color rgb="FF315761"/>
      <color rgb="FFABCCD5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I%20PC/Desktop/FRESH%20HOUSE/LOS%20CEDROS/APU%20COTIZACI&#211;N%20-%20LOS%20CEDR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resmontoyaosorio/Library/Containers/net.whatsapp.WhatsApp/Data/tmp/documents/CC8CA48D-7BA1-4E73-A6EE-78F6D925D6C3/COMPARATIVO%20ajuste%20final%2014%2005%202025.xlsx" TargetMode="External"/><Relationship Id="rId1" Type="http://schemas.openxmlformats.org/officeDocument/2006/relationships/externalLinkPath" Target="/Users/andresmontoyaosorio/Library/Containers/net.whatsapp.WhatsApp/Data/tmp/documents/CC8CA48D-7BA1-4E73-A6EE-78F6D925D6C3/COMPARATIVO%20ajuste%20final%2014%2005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I%20PC/Downloads/ENVIO%20CUADRO%20A%20CONTRATISTAS%20(DOS%20OPCIONES)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I"/>
      <sheetName val="APU III"/>
      <sheetName val="APU IV"/>
      <sheetName val="APU V"/>
      <sheetName val="RESUMEN APU"/>
      <sheetName val="COTIZACIÓN"/>
      <sheetName val="LIST ACT"/>
      <sheetName val="PROJECT"/>
    </sheetNames>
    <sheetDataSet>
      <sheetData sheetId="0" refreshError="1"/>
      <sheetData sheetId="1" refreshError="1"/>
      <sheetData sheetId="2" refreshError="1"/>
      <sheetData sheetId="3" refreshError="1">
        <row r="151">
          <cell r="E151">
            <v>11567</v>
          </cell>
        </row>
        <row r="179">
          <cell r="E179">
            <v>6461.8571428571431</v>
          </cell>
        </row>
        <row r="209">
          <cell r="E209">
            <v>7360</v>
          </cell>
        </row>
      </sheetData>
      <sheetData sheetId="4" refreshError="1">
        <row r="41">
          <cell r="C41">
            <v>13887.9</v>
          </cell>
        </row>
        <row r="77">
          <cell r="C77">
            <v>36529.104166666664</v>
          </cell>
        </row>
        <row r="80">
          <cell r="C80">
            <v>98500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RES Y AREAS DE LAS MISMAS"/>
      <sheetName val="CON IGUALES CANTIDADES"/>
      <sheetName val="COMPARATIVO COT. MARIA-FRESHOUS"/>
      <sheetName val="COSTOS CEDROS"/>
    </sheetNames>
    <sheetDataSet>
      <sheetData sheetId="0"/>
      <sheetData sheetId="1">
        <row r="156">
          <cell r="G156">
            <v>583399366.40500879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 1 recorr cubierta"/>
      <sheetName val="opc 2 cambio total cubierta"/>
      <sheetName val="opc 2 cambio total cubierta (2)"/>
    </sheetNames>
    <sheetDataSet>
      <sheetData sheetId="0"/>
      <sheetData sheetId="1">
        <row r="33">
          <cell r="G33">
            <v>199696280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545F-2710-4567-B5D2-0210EE853F24}">
  <dimension ref="A1:G45"/>
  <sheetViews>
    <sheetView topLeftCell="A25" zoomScale="85" zoomScaleNormal="85" zoomScaleSheetLayoutView="85" workbookViewId="0">
      <selection activeCell="G45" sqref="A1:G4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1.33203125" style="12"/>
    <col min="9" max="9" width="16.83203125" style="12" bestFit="1" customWidth="1"/>
    <col min="10" max="10" width="11.33203125" style="12"/>
    <col min="11" max="11" width="16.83203125" style="12" bestFit="1" customWidth="1"/>
    <col min="12" max="16384" width="11.33203125" style="12"/>
  </cols>
  <sheetData>
    <row r="1" spans="1:7" ht="23">
      <c r="A1" s="146" t="s">
        <v>66</v>
      </c>
      <c r="B1" s="146"/>
      <c r="C1" s="146"/>
      <c r="D1" s="146"/>
      <c r="E1" s="146"/>
      <c r="F1" s="146"/>
      <c r="G1" s="146"/>
    </row>
    <row r="2" spans="1:7">
      <c r="A2" s="147" t="s">
        <v>1</v>
      </c>
      <c r="B2" s="147"/>
      <c r="C2" s="147"/>
      <c r="D2" s="147"/>
      <c r="E2" s="147"/>
      <c r="F2" s="147"/>
      <c r="G2" s="147"/>
    </row>
    <row r="3" spans="1:7" ht="20" customHeight="1">
      <c r="A3" s="148" t="s">
        <v>67</v>
      </c>
      <c r="B3" s="148"/>
      <c r="C3" s="148"/>
      <c r="D3" s="148"/>
      <c r="E3" s="148"/>
      <c r="F3" s="148"/>
      <c r="G3" s="148"/>
    </row>
    <row r="4" spans="1:7" ht="20" customHeight="1">
      <c r="A4" s="140" t="s">
        <v>68</v>
      </c>
      <c r="B4" s="141"/>
      <c r="C4" s="142"/>
      <c r="D4" s="149" t="s">
        <v>2</v>
      </c>
      <c r="E4" s="150"/>
      <c r="F4" s="140" t="s">
        <v>3</v>
      </c>
      <c r="G4" s="142"/>
    </row>
    <row r="5" spans="1:7" ht="20" customHeight="1">
      <c r="A5" s="140" t="s">
        <v>4</v>
      </c>
      <c r="B5" s="141"/>
      <c r="C5" s="142"/>
      <c r="D5" s="151"/>
      <c r="E5" s="152"/>
      <c r="F5" s="140" t="s">
        <v>5</v>
      </c>
      <c r="G5" s="142"/>
    </row>
    <row r="6" spans="1:7" ht="20" customHeight="1">
      <c r="A6" s="140" t="s">
        <v>6</v>
      </c>
      <c r="B6" s="141"/>
      <c r="C6" s="142"/>
      <c r="D6" s="140" t="s">
        <v>69</v>
      </c>
      <c r="E6" s="142"/>
      <c r="F6" s="140" t="s">
        <v>7</v>
      </c>
      <c r="G6" s="142"/>
    </row>
    <row r="7" spans="1:7" ht="20" customHeight="1">
      <c r="A7" s="143" t="s">
        <v>70</v>
      </c>
      <c r="B7" s="144"/>
      <c r="C7" s="144"/>
      <c r="D7" s="144"/>
      <c r="E7" s="144"/>
      <c r="F7" s="144"/>
      <c r="G7" s="145"/>
    </row>
    <row r="8" spans="1:7" ht="20" customHeight="1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</row>
    <row r="9" spans="1:7" ht="20" customHeight="1">
      <c r="A9" s="61">
        <v>1</v>
      </c>
      <c r="B9" s="61"/>
      <c r="C9" s="62" t="s">
        <v>100</v>
      </c>
      <c r="D9" s="63"/>
      <c r="E9" s="63"/>
      <c r="F9" s="63"/>
      <c r="G9" s="64">
        <f>+G10+G11</f>
        <v>3132000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53">
        <v>2300000</v>
      </c>
      <c r="G10" s="17">
        <v>2668000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53">
        <v>400000</v>
      </c>
      <c r="G11" s="17">
        <v>463999.99999999994</v>
      </c>
    </row>
    <row r="12" spans="1:7" ht="20" customHeight="1">
      <c r="A12" s="61">
        <v>2</v>
      </c>
      <c r="B12" s="61"/>
      <c r="C12" s="62" t="s">
        <v>21</v>
      </c>
      <c r="D12" s="65"/>
      <c r="E12" s="66"/>
      <c r="F12" s="63"/>
      <c r="G12" s="64">
        <f>+G13+G14+G15+G16+G17</f>
        <v>97812522.459941074</v>
      </c>
    </row>
    <row r="13" spans="1:7" ht="20" customHeight="1">
      <c r="A13" s="13"/>
      <c r="B13" s="13" t="s">
        <v>22</v>
      </c>
      <c r="C13" s="18" t="s">
        <v>23</v>
      </c>
      <c r="D13" s="13" t="s">
        <v>24</v>
      </c>
      <c r="E13" s="19">
        <v>7304.6724999999997</v>
      </c>
      <c r="F13" s="51">
        <f>'RESUMEN APU'!C9</f>
        <v>3145.8333333333335</v>
      </c>
      <c r="G13" s="17">
        <v>26655967.397916663</v>
      </c>
    </row>
    <row r="14" spans="1:7" ht="30" customHeight="1">
      <c r="A14" s="13"/>
      <c r="B14" s="13" t="s">
        <v>25</v>
      </c>
      <c r="C14" s="18" t="s">
        <v>71</v>
      </c>
      <c r="D14" s="13" t="s">
        <v>24</v>
      </c>
      <c r="E14" s="19">
        <v>1205.1153900000004</v>
      </c>
      <c r="F14" s="51">
        <f>'RESUMEN APU'!C11</f>
        <v>36531</v>
      </c>
      <c r="G14" s="17">
        <v>51067921.562024415</v>
      </c>
    </row>
    <row r="15" spans="1:7" ht="20" customHeight="1">
      <c r="A15" s="13"/>
      <c r="B15" s="13" t="s">
        <v>26</v>
      </c>
      <c r="C15" s="18" t="s">
        <v>72</v>
      </c>
      <c r="D15" s="13" t="s">
        <v>24</v>
      </c>
      <c r="E15" s="19">
        <v>90</v>
      </c>
      <c r="F15" s="51">
        <f>'RESUMEN APU'!C16</f>
        <v>42975.416666666664</v>
      </c>
      <c r="G15" s="17">
        <v>4486633.5</v>
      </c>
    </row>
    <row r="16" spans="1:7" ht="20" customHeight="1">
      <c r="A16" s="13"/>
      <c r="B16" s="13" t="s">
        <v>27</v>
      </c>
      <c r="C16" s="18" t="s">
        <v>73</v>
      </c>
      <c r="D16" s="13" t="s">
        <v>24</v>
      </c>
      <c r="E16" s="19">
        <v>125</v>
      </c>
      <c r="F16" s="51">
        <v>74000</v>
      </c>
      <c r="G16" s="17">
        <v>10730000</v>
      </c>
    </row>
    <row r="17" spans="1:7" ht="20" customHeight="1">
      <c r="A17" s="13"/>
      <c r="B17" s="13" t="s">
        <v>74</v>
      </c>
      <c r="C17" s="18" t="s">
        <v>75</v>
      </c>
      <c r="D17" s="13" t="s">
        <v>24</v>
      </c>
      <c r="E17" s="19">
        <v>100</v>
      </c>
      <c r="F17" s="51">
        <v>42000</v>
      </c>
      <c r="G17" s="17">
        <v>4872000</v>
      </c>
    </row>
    <row r="18" spans="1:7" ht="20" customHeight="1">
      <c r="A18" s="61">
        <v>3</v>
      </c>
      <c r="B18" s="61"/>
      <c r="C18" s="62" t="s">
        <v>28</v>
      </c>
      <c r="D18" s="65"/>
      <c r="E18" s="67"/>
      <c r="F18" s="63"/>
      <c r="G18" s="64">
        <f>+G19+G24+G26</f>
        <v>222802627.80505621</v>
      </c>
    </row>
    <row r="19" spans="1:7" ht="20" customHeight="1">
      <c r="A19" s="13"/>
      <c r="B19" s="153" t="s">
        <v>29</v>
      </c>
      <c r="C19" s="154"/>
      <c r="D19" s="13"/>
      <c r="E19" s="19"/>
      <c r="F19" s="14"/>
      <c r="G19" s="58">
        <f>+G20+G21+G22+G23</f>
        <v>111554418.77727842</v>
      </c>
    </row>
    <row r="20" spans="1:7" ht="30" customHeight="1">
      <c r="A20" s="13"/>
      <c r="B20" s="13" t="s">
        <v>30</v>
      </c>
      <c r="C20" s="18" t="s">
        <v>76</v>
      </c>
      <c r="D20" s="13" t="s">
        <v>24</v>
      </c>
      <c r="E20" s="19">
        <v>4629.4765000000007</v>
      </c>
      <c r="F20" s="51">
        <f>'RESUMEN APU'!C28</f>
        <v>16964.099999999999</v>
      </c>
      <c r="G20" s="17">
        <v>91100486.660633996</v>
      </c>
    </row>
    <row r="21" spans="1:7" ht="30" customHeight="1">
      <c r="A21" s="13"/>
      <c r="B21" s="13" t="s">
        <v>77</v>
      </c>
      <c r="C21" s="18" t="s">
        <v>78</v>
      </c>
      <c r="D21" s="13" t="s">
        <v>24</v>
      </c>
      <c r="E21" s="19">
        <v>107.97500000000001</v>
      </c>
      <c r="F21" s="51">
        <f>'RESUMEN APU'!C31</f>
        <v>28312.6</v>
      </c>
      <c r="G21" s="17">
        <v>3546181.4625999997</v>
      </c>
    </row>
    <row r="22" spans="1:7" ht="30" customHeight="1">
      <c r="A22" s="13"/>
      <c r="B22" s="13" t="s">
        <v>79</v>
      </c>
      <c r="C22" s="18" t="s">
        <v>80</v>
      </c>
      <c r="D22" s="13" t="s">
        <v>24</v>
      </c>
      <c r="E22" s="19">
        <v>455.29999999999995</v>
      </c>
      <c r="F22" s="51">
        <f>'RESUMEN APU'!C35</f>
        <v>26279.899999999998</v>
      </c>
      <c r="G22" s="17">
        <v>13879676.625199996</v>
      </c>
    </row>
    <row r="23" spans="1:7" ht="30" customHeight="1">
      <c r="A23" s="13"/>
      <c r="B23" s="13" t="s">
        <v>81</v>
      </c>
      <c r="C23" s="18" t="s">
        <v>82</v>
      </c>
      <c r="D23" s="13" t="s">
        <v>31</v>
      </c>
      <c r="E23" s="19">
        <v>373.99</v>
      </c>
      <c r="F23" s="51">
        <f>'APU III'!E125</f>
        <v>6979.8888888888887</v>
      </c>
      <c r="G23" s="17">
        <v>3028074.0288444441</v>
      </c>
    </row>
    <row r="24" spans="1:7" ht="20" customHeight="1">
      <c r="A24" s="13"/>
      <c r="B24" s="153" t="s">
        <v>32</v>
      </c>
      <c r="C24" s="154"/>
      <c r="D24" s="13"/>
      <c r="E24" s="19"/>
      <c r="F24" s="51"/>
      <c r="G24" s="58">
        <f>+G25</f>
        <v>30034348.800000001</v>
      </c>
    </row>
    <row r="25" spans="1:7" ht="30" customHeight="1">
      <c r="A25" s="13"/>
      <c r="B25" s="13" t="s">
        <v>33</v>
      </c>
      <c r="C25" s="18" t="s">
        <v>83</v>
      </c>
      <c r="D25" s="13" t="s">
        <v>24</v>
      </c>
      <c r="E25" s="19">
        <v>2157.6400000000003</v>
      </c>
      <c r="F25" s="51">
        <v>12000</v>
      </c>
      <c r="G25" s="17">
        <v>30034348.800000001</v>
      </c>
    </row>
    <row r="26" spans="1:7" ht="20" customHeight="1">
      <c r="A26" s="13"/>
      <c r="B26" s="153" t="s">
        <v>34</v>
      </c>
      <c r="C26" s="154"/>
      <c r="D26" s="13"/>
      <c r="E26" s="19"/>
      <c r="F26" s="51"/>
      <c r="G26" s="58">
        <f>+G27+G28+G29+G30+G31</f>
        <v>81213860.227777764</v>
      </c>
    </row>
    <row r="27" spans="1:7" ht="30" customHeight="1">
      <c r="A27" s="13"/>
      <c r="B27" s="13" t="s">
        <v>35</v>
      </c>
      <c r="C27" s="18" t="s">
        <v>84</v>
      </c>
      <c r="D27" s="13" t="s">
        <v>36</v>
      </c>
      <c r="E27" s="19">
        <v>92</v>
      </c>
      <c r="F27" s="51">
        <f>'APU III'!E188</f>
        <v>75548.75</v>
      </c>
      <c r="G27" s="17">
        <v>8062562.5999999996</v>
      </c>
    </row>
    <row r="28" spans="1:7" ht="30" customHeight="1">
      <c r="A28" s="13"/>
      <c r="B28" s="13" t="s">
        <v>37</v>
      </c>
      <c r="C28" s="18" t="s">
        <v>85</v>
      </c>
      <c r="D28" s="13" t="s">
        <v>31</v>
      </c>
      <c r="E28" s="19">
        <v>344.24999999999989</v>
      </c>
      <c r="F28" s="51">
        <v>22400</v>
      </c>
      <c r="G28" s="17">
        <v>8944991.9999999963</v>
      </c>
    </row>
    <row r="29" spans="1:7" ht="30" customHeight="1">
      <c r="A29" s="13"/>
      <c r="B29" s="13" t="s">
        <v>86</v>
      </c>
      <c r="C29" s="18" t="s">
        <v>87</v>
      </c>
      <c r="D29" s="13" t="s">
        <v>24</v>
      </c>
      <c r="E29" s="19">
        <v>1306.25</v>
      </c>
      <c r="F29" s="51">
        <v>24300</v>
      </c>
      <c r="G29" s="17">
        <v>36820575</v>
      </c>
    </row>
    <row r="30" spans="1:7" ht="30" customHeight="1">
      <c r="A30" s="13"/>
      <c r="B30" s="13" t="s">
        <v>88</v>
      </c>
      <c r="C30" s="18" t="s">
        <v>89</v>
      </c>
      <c r="D30" s="13" t="s">
        <v>24</v>
      </c>
      <c r="E30" s="19">
        <v>1306.25</v>
      </c>
      <c r="F30" s="51">
        <f>'RESUMEN APU'!C53</f>
        <v>17353.177777777775</v>
      </c>
      <c r="G30" s="17">
        <v>26294402.627777774</v>
      </c>
    </row>
    <row r="31" spans="1:7" ht="30" customHeight="1">
      <c r="A31" s="13"/>
      <c r="B31" s="29" t="s">
        <v>97</v>
      </c>
      <c r="C31" s="37" t="s">
        <v>98</v>
      </c>
      <c r="D31" s="29" t="s">
        <v>24</v>
      </c>
      <c r="E31" s="52">
        <v>42</v>
      </c>
      <c r="F31" s="53">
        <v>22400</v>
      </c>
      <c r="G31" s="54">
        <v>1091328</v>
      </c>
    </row>
    <row r="32" spans="1:7" ht="20" customHeight="1">
      <c r="A32" s="61">
        <v>4</v>
      </c>
      <c r="B32" s="61"/>
      <c r="C32" s="62" t="s">
        <v>90</v>
      </c>
      <c r="D32" s="65"/>
      <c r="E32" s="67"/>
      <c r="F32" s="63"/>
      <c r="G32" s="68">
        <f>SUM(G33:G39)</f>
        <v>234560196.40960732</v>
      </c>
    </row>
    <row r="33" spans="1:7" ht="20" customHeight="1">
      <c r="A33" s="13"/>
      <c r="B33" s="13" t="s">
        <v>91</v>
      </c>
      <c r="C33" s="20" t="s">
        <v>92</v>
      </c>
      <c r="D33" s="13" t="s">
        <v>24</v>
      </c>
      <c r="E33" s="21">
        <v>1678.12</v>
      </c>
      <c r="F33" s="16">
        <f>'RESUMEN APU'!C57</f>
        <v>77516.114285714284</v>
      </c>
      <c r="G33" s="22">
        <v>150894356.37796569</v>
      </c>
    </row>
    <row r="34" spans="1:7" ht="20" customHeight="1">
      <c r="A34" s="13"/>
      <c r="B34" s="13" t="s">
        <v>39</v>
      </c>
      <c r="C34" s="18" t="s">
        <v>40</v>
      </c>
      <c r="D34" s="13" t="s">
        <v>31</v>
      </c>
      <c r="E34" s="19">
        <v>0</v>
      </c>
      <c r="F34" s="16">
        <f>'opc 2 cambio total cubierta (2)'!F34</f>
        <v>11300</v>
      </c>
      <c r="G34" s="17">
        <v>0</v>
      </c>
    </row>
    <row r="35" spans="1:7" ht="30" customHeight="1">
      <c r="A35" s="13"/>
      <c r="B35" s="13" t="s">
        <v>41</v>
      </c>
      <c r="C35" s="18" t="s">
        <v>93</v>
      </c>
      <c r="D35" s="13" t="s">
        <v>31</v>
      </c>
      <c r="E35" s="19">
        <v>817.99400000000014</v>
      </c>
      <c r="F35" s="16">
        <f>'opc 2 cambio total cubierta (2)'!F35</f>
        <v>5200</v>
      </c>
      <c r="G35" s="17">
        <v>4934139.8080000002</v>
      </c>
    </row>
    <row r="36" spans="1:7" ht="30" customHeight="1">
      <c r="A36" s="13"/>
      <c r="B36" s="13" t="s">
        <v>62</v>
      </c>
      <c r="C36" s="18" t="s">
        <v>94</v>
      </c>
      <c r="D36" s="13" t="s">
        <v>31</v>
      </c>
      <c r="E36" s="19">
        <v>1055.3</v>
      </c>
      <c r="F36" s="16">
        <f>'RESUMEN APU'!C73</f>
        <v>28876.666666666664</v>
      </c>
      <c r="G36" s="17">
        <v>35349313.746666655</v>
      </c>
    </row>
    <row r="37" spans="1:7" ht="20" customHeight="1">
      <c r="A37" s="13"/>
      <c r="B37" s="13">
        <v>4.5</v>
      </c>
      <c r="C37" s="18" t="s">
        <v>95</v>
      </c>
      <c r="D37" s="13" t="s">
        <v>24</v>
      </c>
      <c r="E37" s="19">
        <v>290.86649999999997</v>
      </c>
      <c r="F37" s="16">
        <f>F15</f>
        <v>42975.416666666664</v>
      </c>
      <c r="G37" s="17">
        <v>14500126.476974996</v>
      </c>
    </row>
    <row r="38" spans="1:7" ht="30" customHeight="1">
      <c r="A38" s="13"/>
      <c r="B38" s="13">
        <v>4.5999999999999996</v>
      </c>
      <c r="C38" s="18" t="s">
        <v>96</v>
      </c>
      <c r="D38" s="13" t="s">
        <v>31</v>
      </c>
      <c r="E38" s="19">
        <v>372</v>
      </c>
      <c r="F38" s="16">
        <f>'opc 2 cambio total cubierta (2)'!F38</f>
        <v>63000</v>
      </c>
      <c r="G38" s="17">
        <v>27185759.999999996</v>
      </c>
    </row>
    <row r="39" spans="1:7" ht="30" customHeight="1">
      <c r="A39" s="13"/>
      <c r="B39" s="13">
        <v>4.7</v>
      </c>
      <c r="C39" s="18" t="s">
        <v>99</v>
      </c>
      <c r="D39" s="13" t="s">
        <v>24</v>
      </c>
      <c r="E39" s="19">
        <v>65</v>
      </c>
      <c r="F39" s="16">
        <v>22500</v>
      </c>
      <c r="G39" s="17">
        <v>1696499.9999999998</v>
      </c>
    </row>
    <row r="40" spans="1:7" ht="20" customHeight="1">
      <c r="A40" s="61">
        <v>5</v>
      </c>
      <c r="B40" s="61"/>
      <c r="C40" s="62" t="s">
        <v>42</v>
      </c>
      <c r="D40" s="65"/>
      <c r="E40" s="67"/>
      <c r="F40" s="63"/>
      <c r="G40" s="68">
        <f>+G41</f>
        <v>5095984.9761861889</v>
      </c>
    </row>
    <row r="41" spans="1:7" ht="20" customHeight="1">
      <c r="A41" s="13"/>
      <c r="B41" s="13" t="s">
        <v>43</v>
      </c>
      <c r="C41" s="18" t="s">
        <v>44</v>
      </c>
      <c r="D41" s="13" t="s">
        <v>45</v>
      </c>
      <c r="E41" s="19">
        <v>1</v>
      </c>
      <c r="F41" s="22">
        <v>4393090.496712232</v>
      </c>
      <c r="G41" s="17">
        <v>5095984.9761861889</v>
      </c>
    </row>
    <row r="42" spans="1:7" ht="20" customHeight="1">
      <c r="A42" s="13"/>
      <c r="B42" s="13"/>
      <c r="C42" s="18"/>
      <c r="D42" s="55"/>
      <c r="E42" s="56"/>
      <c r="F42" s="57"/>
      <c r="G42" s="17"/>
    </row>
    <row r="43" spans="1:7" ht="20" customHeight="1">
      <c r="A43" s="13"/>
      <c r="B43" s="13"/>
      <c r="C43" s="14"/>
      <c r="D43" s="158" t="s">
        <v>46</v>
      </c>
      <c r="E43" s="159"/>
      <c r="F43" s="160"/>
      <c r="G43" s="23">
        <f>+G9+G12+G18+G32+G40</f>
        <v>563403331.65079081</v>
      </c>
    </row>
    <row r="44" spans="1:7" ht="20" customHeight="1">
      <c r="A44" s="13"/>
      <c r="B44" s="13"/>
      <c r="C44" s="14"/>
      <c r="D44" s="143" t="s">
        <v>50</v>
      </c>
      <c r="E44" s="145"/>
      <c r="F44" s="25">
        <v>0.19</v>
      </c>
      <c r="G44" s="17">
        <f>G43*F44</f>
        <v>107046633.01365025</v>
      </c>
    </row>
    <row r="45" spans="1:7" ht="20" customHeight="1">
      <c r="A45" s="13"/>
      <c r="B45" s="13"/>
      <c r="C45" s="14"/>
      <c r="D45" s="155" t="s">
        <v>51</v>
      </c>
      <c r="E45" s="156"/>
      <c r="F45" s="157"/>
      <c r="G45" s="26">
        <f>G44+G43</f>
        <v>670449964.66444111</v>
      </c>
    </row>
  </sheetData>
  <mergeCells count="18">
    <mergeCell ref="B19:C19"/>
    <mergeCell ref="D44:E44"/>
    <mergeCell ref="D45:F45"/>
    <mergeCell ref="B24:C24"/>
    <mergeCell ref="B26:C26"/>
    <mergeCell ref="D43:F43"/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</mergeCells>
  <pageMargins left="0.7" right="0.7" top="0.75" bottom="0.75" header="0.3" footer="0.3"/>
  <pageSetup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DD1E-639E-4033-839D-60130BDAD279}">
  <sheetPr>
    <tabColor rgb="FF64A0B0"/>
  </sheetPr>
  <dimension ref="A1:G251"/>
  <sheetViews>
    <sheetView zoomScale="90" zoomScaleNormal="90" workbookViewId="0">
      <selection activeCell="E44" sqref="E44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0.33203125" style="93" customWidth="1"/>
    <col min="8" max="8" width="12.6640625" style="93" customWidth="1"/>
    <col min="9" max="25" width="9.6640625" style="93" customWidth="1"/>
    <col min="26" max="16384" width="13" style="93"/>
  </cols>
  <sheetData>
    <row r="1" spans="1:5" s="71" customFormat="1" ht="25" customHeight="1">
      <c r="A1" s="174" t="s">
        <v>66</v>
      </c>
      <c r="B1" s="175"/>
      <c r="C1" s="175"/>
      <c r="D1" s="175"/>
      <c r="E1" s="175"/>
    </row>
    <row r="2" spans="1:5" s="71" customFormat="1" ht="20" customHeight="1">
      <c r="A2" s="72"/>
      <c r="B2" s="73"/>
      <c r="C2" s="73"/>
      <c r="D2" s="73"/>
      <c r="E2" s="73"/>
    </row>
    <row r="3" spans="1:5" s="71" customFormat="1" ht="20" customHeight="1">
      <c r="A3" s="103" t="s">
        <v>113</v>
      </c>
      <c r="B3" s="75"/>
      <c r="C3" s="75"/>
      <c r="D3" s="75"/>
      <c r="E3" s="75"/>
    </row>
    <row r="4" spans="1:5" s="71" customFormat="1" ht="20" customHeight="1">
      <c r="A4" s="72"/>
      <c r="B4" s="73"/>
      <c r="C4" s="73"/>
      <c r="D4" s="73"/>
      <c r="E4" s="73"/>
    </row>
    <row r="5" spans="1:5" s="71" customFormat="1" ht="20" customHeight="1">
      <c r="A5" s="172" t="s">
        <v>114</v>
      </c>
      <c r="B5" s="173"/>
      <c r="C5" s="173"/>
      <c r="D5" s="77" t="s">
        <v>115</v>
      </c>
      <c r="E5" s="77" t="s">
        <v>116</v>
      </c>
    </row>
    <row r="6" spans="1:5" s="71" customFormat="1" ht="20" customHeight="1">
      <c r="A6" s="169"/>
      <c r="B6" s="164"/>
      <c r="C6" s="164"/>
      <c r="D6" s="100" t="s">
        <v>117</v>
      </c>
      <c r="E6" s="100" t="s">
        <v>24</v>
      </c>
    </row>
    <row r="7" spans="1:5" s="71" customFormat="1" ht="20" customHeight="1">
      <c r="A7" s="165" t="s">
        <v>118</v>
      </c>
      <c r="B7" s="166"/>
      <c r="C7" s="166"/>
      <c r="D7" s="166"/>
      <c r="E7" s="166"/>
    </row>
    <row r="8" spans="1:5" s="71" customFormat="1" ht="20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5" s="71" customFormat="1" ht="20" customHeight="1">
      <c r="A9" s="80" t="s">
        <v>123</v>
      </c>
      <c r="B9" s="81" t="s">
        <v>124</v>
      </c>
      <c r="C9" s="82"/>
      <c r="D9" s="83"/>
      <c r="E9" s="83"/>
    </row>
    <row r="10" spans="1:5" s="71" customFormat="1" ht="20" customHeight="1">
      <c r="A10" s="80" t="s">
        <v>125</v>
      </c>
      <c r="B10" s="81" t="s">
        <v>126</v>
      </c>
      <c r="C10" s="82"/>
      <c r="D10" s="83"/>
      <c r="E10" s="83"/>
    </row>
    <row r="11" spans="1:5" s="71" customFormat="1" ht="20" customHeight="1">
      <c r="A11" s="80" t="s">
        <v>127</v>
      </c>
      <c r="B11" s="81" t="s">
        <v>126</v>
      </c>
      <c r="C11" s="82"/>
      <c r="D11" s="83"/>
      <c r="E11" s="83"/>
    </row>
    <row r="12" spans="1:5" s="71" customFormat="1" ht="20" customHeight="1">
      <c r="A12" s="81"/>
      <c r="B12" s="81"/>
      <c r="C12" s="81"/>
      <c r="D12" s="83"/>
      <c r="E12" s="83"/>
    </row>
    <row r="13" spans="1:5" s="71" customFormat="1" ht="20" customHeight="1">
      <c r="A13" s="161" t="s">
        <v>128</v>
      </c>
      <c r="B13" s="162"/>
      <c r="C13" s="162"/>
      <c r="D13" s="162"/>
      <c r="E13" s="101">
        <v>854.16666666666674</v>
      </c>
    </row>
    <row r="14" spans="1:5" s="71" customFormat="1" ht="20" customHeight="1">
      <c r="A14" s="165" t="s">
        <v>129</v>
      </c>
      <c r="B14" s="166"/>
      <c r="C14" s="166"/>
      <c r="D14" s="166"/>
      <c r="E14" s="166"/>
    </row>
    <row r="15" spans="1:5" s="71" customFormat="1" ht="20" customHeight="1">
      <c r="A15" s="100" t="s">
        <v>119</v>
      </c>
      <c r="B15" s="100" t="s">
        <v>117</v>
      </c>
      <c r="C15" s="100" t="s">
        <v>130</v>
      </c>
      <c r="D15" s="100" t="s">
        <v>131</v>
      </c>
      <c r="E15" s="100" t="s">
        <v>122</v>
      </c>
    </row>
    <row r="16" spans="1:5" s="71" customFormat="1" ht="20" customHeight="1">
      <c r="A16" s="80" t="s">
        <v>132</v>
      </c>
      <c r="B16" s="81" t="s">
        <v>133</v>
      </c>
      <c r="C16" s="85"/>
      <c r="D16" s="83"/>
      <c r="E16" s="83"/>
    </row>
    <row r="17" spans="1:6" s="71" customFormat="1" ht="20" customHeight="1">
      <c r="A17" s="80"/>
      <c r="B17" s="81"/>
      <c r="C17" s="86"/>
      <c r="D17" s="83"/>
      <c r="E17" s="83"/>
    </row>
    <row r="18" spans="1:6" s="71" customFormat="1" ht="20" customHeight="1">
      <c r="A18" s="87" t="s">
        <v>135</v>
      </c>
      <c r="B18" s="163"/>
      <c r="C18" s="164"/>
      <c r="D18" s="164"/>
      <c r="E18" s="83">
        <v>0</v>
      </c>
    </row>
    <row r="19" spans="1:6" s="71" customFormat="1" ht="20" customHeight="1">
      <c r="A19" s="87"/>
      <c r="B19" s="88"/>
      <c r="C19" s="89"/>
      <c r="D19" s="89"/>
      <c r="E19" s="83"/>
    </row>
    <row r="20" spans="1:6" s="71" customFormat="1" ht="20" customHeight="1">
      <c r="A20" s="161" t="s">
        <v>128</v>
      </c>
      <c r="B20" s="162"/>
      <c r="C20" s="162"/>
      <c r="D20" s="162"/>
      <c r="E20" s="101">
        <v>500</v>
      </c>
    </row>
    <row r="21" spans="1:6" s="71" customFormat="1" ht="20" customHeight="1">
      <c r="A21" s="165" t="s">
        <v>136</v>
      </c>
      <c r="B21" s="166"/>
      <c r="C21" s="166"/>
      <c r="D21" s="166"/>
      <c r="E21" s="166"/>
    </row>
    <row r="22" spans="1:6" s="71" customFormat="1" ht="20" customHeight="1">
      <c r="A22" s="100" t="s">
        <v>119</v>
      </c>
      <c r="B22" s="100" t="s">
        <v>117</v>
      </c>
      <c r="C22" s="100" t="s">
        <v>120</v>
      </c>
      <c r="D22" s="100" t="s">
        <v>121</v>
      </c>
      <c r="E22" s="100" t="s">
        <v>122</v>
      </c>
    </row>
    <row r="23" spans="1:6" s="71" customFormat="1" ht="20" customHeight="1">
      <c r="A23" s="80" t="s">
        <v>137</v>
      </c>
      <c r="B23" s="81" t="s">
        <v>126</v>
      </c>
      <c r="C23" s="82">
        <v>0</v>
      </c>
      <c r="D23" s="83">
        <v>0</v>
      </c>
      <c r="E23" s="83">
        <v>0</v>
      </c>
    </row>
    <row r="24" spans="1:6" s="71" customFormat="1" ht="20" customHeight="1">
      <c r="A24" s="80"/>
      <c r="B24" s="81"/>
      <c r="C24" s="82"/>
      <c r="D24" s="83"/>
      <c r="E24" s="83"/>
    </row>
    <row r="25" spans="1:6" s="71" customFormat="1" ht="20" customHeight="1">
      <c r="A25" s="161" t="s">
        <v>128</v>
      </c>
      <c r="B25" s="162"/>
      <c r="C25" s="162"/>
      <c r="D25" s="162"/>
      <c r="E25" s="101">
        <f>SUM(E23)</f>
        <v>0</v>
      </c>
    </row>
    <row r="26" spans="1:6" s="71" customFormat="1" ht="20" customHeight="1">
      <c r="A26" s="165" t="s">
        <v>138</v>
      </c>
      <c r="B26" s="166"/>
      <c r="C26" s="166"/>
      <c r="D26" s="166"/>
      <c r="E26" s="166"/>
    </row>
    <row r="27" spans="1:6" s="71" customFormat="1" ht="20" customHeight="1">
      <c r="A27" s="100" t="s">
        <v>119</v>
      </c>
      <c r="B27" s="100" t="s">
        <v>117</v>
      </c>
      <c r="C27" s="100" t="s">
        <v>120</v>
      </c>
      <c r="D27" s="100" t="s">
        <v>139</v>
      </c>
      <c r="E27" s="100" t="s">
        <v>122</v>
      </c>
    </row>
    <row r="28" spans="1:6" s="71" customFormat="1" ht="20" customHeight="1">
      <c r="A28" s="80" t="s">
        <v>149</v>
      </c>
      <c r="B28" s="81" t="s">
        <v>126</v>
      </c>
      <c r="C28" s="82"/>
      <c r="D28" s="83"/>
      <c r="E28" s="83"/>
    </row>
    <row r="29" spans="1:6" s="71" customFormat="1" ht="20" customHeight="1">
      <c r="A29" s="80"/>
      <c r="B29" s="81"/>
      <c r="C29" s="82"/>
      <c r="D29" s="83"/>
      <c r="E29" s="83"/>
    </row>
    <row r="30" spans="1:6" s="71" customFormat="1" ht="20" customHeight="1">
      <c r="A30" s="161" t="s">
        <v>128</v>
      </c>
      <c r="B30" s="162"/>
      <c r="C30" s="162"/>
      <c r="D30" s="162"/>
      <c r="E30" s="101">
        <v>1791.6666666666667</v>
      </c>
    </row>
    <row r="31" spans="1:6" s="71" customFormat="1" ht="20" customHeight="1">
      <c r="A31" s="81"/>
      <c r="B31" s="89"/>
      <c r="C31" s="89"/>
      <c r="D31" s="89"/>
      <c r="E31" s="89"/>
    </row>
    <row r="32" spans="1:6" s="71" customFormat="1" ht="20" customHeight="1">
      <c r="A32" s="161" t="s">
        <v>140</v>
      </c>
      <c r="B32" s="162"/>
      <c r="C32" s="162"/>
      <c r="D32" s="162"/>
      <c r="E32" s="101">
        <f>SUM(E13,E20,E25,E30)</f>
        <v>3145.8333333333335</v>
      </c>
      <c r="F32" s="84"/>
    </row>
    <row r="33" spans="1:5" s="71" customFormat="1" ht="20" customHeight="1">
      <c r="A33" s="72"/>
      <c r="B33" s="73"/>
      <c r="C33" s="73"/>
      <c r="D33" s="73"/>
      <c r="E33" s="73"/>
    </row>
    <row r="34" spans="1:5" s="71" customFormat="1" ht="20" customHeight="1">
      <c r="A34" s="72"/>
      <c r="B34" s="73"/>
      <c r="C34" s="73"/>
      <c r="D34" s="73"/>
      <c r="E34" s="73"/>
    </row>
    <row r="35" spans="1:5" s="71" customFormat="1" ht="20" customHeight="1">
      <c r="A35" s="102" t="s">
        <v>141</v>
      </c>
      <c r="B35" s="91"/>
      <c r="C35" s="91"/>
      <c r="D35" s="91"/>
      <c r="E35" s="92" t="s">
        <v>25</v>
      </c>
    </row>
    <row r="36" spans="1:5" s="71" customFormat="1" ht="20" customHeight="1">
      <c r="A36" s="72"/>
      <c r="B36" s="73"/>
      <c r="C36" s="73"/>
      <c r="D36" s="73"/>
      <c r="E36" s="73"/>
    </row>
    <row r="37" spans="1:5" ht="18" customHeight="1">
      <c r="A37" s="172" t="s">
        <v>142</v>
      </c>
      <c r="B37" s="173"/>
      <c r="C37" s="173"/>
      <c r="D37" s="77" t="s">
        <v>115</v>
      </c>
      <c r="E37" s="77"/>
    </row>
    <row r="38" spans="1:5" ht="18" customHeight="1">
      <c r="A38" s="169"/>
      <c r="B38" s="164"/>
      <c r="C38" s="164"/>
      <c r="D38" s="78" t="s">
        <v>117</v>
      </c>
      <c r="E38" s="78" t="s">
        <v>24</v>
      </c>
    </row>
    <row r="39" spans="1:5" ht="18" customHeight="1">
      <c r="A39" s="165" t="s">
        <v>118</v>
      </c>
      <c r="B39" s="166"/>
      <c r="C39" s="166"/>
      <c r="D39" s="166"/>
      <c r="E39" s="166"/>
    </row>
    <row r="40" spans="1:5" ht="18" customHeight="1">
      <c r="A40" s="100" t="s">
        <v>119</v>
      </c>
      <c r="B40" s="100" t="s">
        <v>117</v>
      </c>
      <c r="C40" s="100" t="s">
        <v>120</v>
      </c>
      <c r="D40" s="100" t="s">
        <v>121</v>
      </c>
      <c r="E40" s="100" t="s">
        <v>122</v>
      </c>
    </row>
    <row r="41" spans="1:5" ht="18" customHeight="1">
      <c r="A41" s="80" t="s">
        <v>123</v>
      </c>
      <c r="B41" s="81" t="s">
        <v>124</v>
      </c>
      <c r="C41" s="82"/>
      <c r="D41" s="83"/>
      <c r="E41" s="83"/>
    </row>
    <row r="42" spans="1:5" ht="18" customHeight="1">
      <c r="A42" s="80" t="s">
        <v>125</v>
      </c>
      <c r="B42" s="81" t="s">
        <v>126</v>
      </c>
      <c r="C42" s="82"/>
      <c r="D42" s="83"/>
      <c r="E42" s="83"/>
    </row>
    <row r="43" spans="1:5" ht="18" customHeight="1">
      <c r="A43" s="81"/>
      <c r="B43" s="81"/>
      <c r="C43" s="81"/>
      <c r="D43" s="83"/>
      <c r="E43" s="83"/>
    </row>
    <row r="44" spans="1:5" ht="18" customHeight="1">
      <c r="A44" s="161" t="s">
        <v>128</v>
      </c>
      <c r="B44" s="162"/>
      <c r="C44" s="162"/>
      <c r="D44" s="162"/>
      <c r="E44" s="101">
        <v>411.11111111111109</v>
      </c>
    </row>
    <row r="45" spans="1:5" ht="18" customHeight="1">
      <c r="A45" s="165" t="s">
        <v>129</v>
      </c>
      <c r="B45" s="166"/>
      <c r="C45" s="166"/>
      <c r="D45" s="166"/>
      <c r="E45" s="166"/>
    </row>
    <row r="46" spans="1:5" ht="18" customHeight="1">
      <c r="A46" s="100" t="s">
        <v>119</v>
      </c>
      <c r="B46" s="100" t="s">
        <v>117</v>
      </c>
      <c r="C46" s="100" t="s">
        <v>130</v>
      </c>
      <c r="D46" s="100" t="s">
        <v>131</v>
      </c>
      <c r="E46" s="100" t="s">
        <v>122</v>
      </c>
    </row>
    <row r="47" spans="1:5" ht="18" customHeight="1">
      <c r="A47" s="80"/>
      <c r="B47" s="81"/>
      <c r="C47" s="94"/>
      <c r="D47" s="83"/>
      <c r="E47" s="83"/>
    </row>
    <row r="48" spans="1:5" ht="18" customHeight="1">
      <c r="A48" s="87" t="s">
        <v>135</v>
      </c>
      <c r="B48" s="163"/>
      <c r="C48" s="164"/>
      <c r="D48" s="164"/>
      <c r="E48" s="83">
        <v>0</v>
      </c>
    </row>
    <row r="49" spans="1:5" ht="18" customHeight="1">
      <c r="A49" s="87"/>
      <c r="B49" s="88"/>
      <c r="C49" s="89"/>
      <c r="D49" s="89"/>
      <c r="E49" s="83"/>
    </row>
    <row r="50" spans="1:5" ht="18" customHeight="1">
      <c r="A50" s="161" t="s">
        <v>128</v>
      </c>
      <c r="B50" s="162"/>
      <c r="C50" s="162"/>
      <c r="D50" s="162"/>
      <c r="E50" s="101">
        <f>SUM(E47:E48)</f>
        <v>0</v>
      </c>
    </row>
    <row r="51" spans="1:5" ht="18" customHeight="1">
      <c r="A51" s="165" t="s">
        <v>136</v>
      </c>
      <c r="B51" s="166"/>
      <c r="C51" s="166"/>
      <c r="D51" s="166"/>
      <c r="E51" s="166"/>
    </row>
    <row r="52" spans="1:5" ht="18" customHeight="1">
      <c r="A52" s="100" t="s">
        <v>119</v>
      </c>
      <c r="B52" s="100" t="s">
        <v>117</v>
      </c>
      <c r="C52" s="100" t="s">
        <v>120</v>
      </c>
      <c r="D52" s="100" t="s">
        <v>121</v>
      </c>
      <c r="E52" s="100" t="s">
        <v>122</v>
      </c>
    </row>
    <row r="53" spans="1:5" ht="18" customHeight="1">
      <c r="A53" s="80" t="s">
        <v>137</v>
      </c>
      <c r="B53" s="81" t="s">
        <v>126</v>
      </c>
      <c r="C53" s="82">
        <v>0</v>
      </c>
      <c r="D53" s="83">
        <v>0</v>
      </c>
      <c r="E53" s="83">
        <f>D53*C53</f>
        <v>0</v>
      </c>
    </row>
    <row r="54" spans="1:5" ht="18" customHeight="1">
      <c r="A54" s="80"/>
      <c r="B54" s="81"/>
      <c r="C54" s="82"/>
      <c r="D54" s="83"/>
      <c r="E54" s="83"/>
    </row>
    <row r="55" spans="1:5" ht="18" customHeight="1">
      <c r="A55" s="161" t="s">
        <v>128</v>
      </c>
      <c r="B55" s="162"/>
      <c r="C55" s="162"/>
      <c r="D55" s="162"/>
      <c r="E55" s="101">
        <f>SUM(E53)</f>
        <v>0</v>
      </c>
    </row>
    <row r="56" spans="1:5" ht="18" customHeight="1">
      <c r="A56" s="165" t="s">
        <v>138</v>
      </c>
      <c r="B56" s="166"/>
      <c r="C56" s="166"/>
      <c r="D56" s="166"/>
      <c r="E56" s="166"/>
    </row>
    <row r="57" spans="1:5" ht="18" customHeight="1">
      <c r="A57" s="100" t="s">
        <v>119</v>
      </c>
      <c r="B57" s="100" t="s">
        <v>117</v>
      </c>
      <c r="C57" s="100" t="s">
        <v>120</v>
      </c>
      <c r="D57" s="100" t="s">
        <v>139</v>
      </c>
      <c r="E57" s="100" t="s">
        <v>122</v>
      </c>
    </row>
    <row r="58" spans="1:5" ht="18" customHeight="1">
      <c r="A58" s="80" t="s">
        <v>168</v>
      </c>
      <c r="B58" s="81" t="s">
        <v>126</v>
      </c>
      <c r="C58" s="82"/>
      <c r="D58" s="83"/>
      <c r="E58" s="83"/>
    </row>
    <row r="59" spans="1:5" ht="18" customHeight="1">
      <c r="A59" s="80"/>
      <c r="B59" s="81"/>
      <c r="C59" s="82"/>
      <c r="D59" s="83"/>
      <c r="E59" s="83"/>
    </row>
    <row r="60" spans="1:5" ht="18" customHeight="1">
      <c r="A60" s="161" t="s">
        <v>128</v>
      </c>
      <c r="B60" s="162"/>
      <c r="C60" s="162"/>
      <c r="D60" s="162"/>
      <c r="E60" s="101">
        <v>722.22222222222217</v>
      </c>
    </row>
    <row r="61" spans="1:5" ht="18" customHeight="1">
      <c r="A61" s="81"/>
      <c r="B61" s="89"/>
      <c r="C61" s="89"/>
      <c r="D61" s="89"/>
      <c r="E61" s="89"/>
    </row>
    <row r="62" spans="1:5" ht="18" customHeight="1">
      <c r="A62" s="161" t="s">
        <v>140</v>
      </c>
      <c r="B62" s="162"/>
      <c r="C62" s="162"/>
      <c r="D62" s="162"/>
      <c r="E62" s="101">
        <f>SUM(E44,E50,E55,E60)</f>
        <v>1133.3333333333333</v>
      </c>
    </row>
    <row r="65" spans="1:6" ht="18" customHeight="1">
      <c r="A65" s="171" t="s">
        <v>143</v>
      </c>
      <c r="B65" s="171"/>
      <c r="C65" s="171"/>
      <c r="D65" s="122" t="s">
        <v>115</v>
      </c>
      <c r="E65" s="122"/>
    </row>
    <row r="66" spans="1:6" ht="18" customHeight="1">
      <c r="A66" s="169"/>
      <c r="B66" s="169"/>
      <c r="C66" s="169"/>
      <c r="D66" s="78" t="s">
        <v>117</v>
      </c>
      <c r="E66" s="78" t="s">
        <v>24</v>
      </c>
    </row>
    <row r="67" spans="1:6" ht="18" customHeight="1">
      <c r="A67" s="165" t="s">
        <v>118</v>
      </c>
      <c r="B67" s="165"/>
      <c r="C67" s="165"/>
      <c r="D67" s="165"/>
      <c r="E67" s="165"/>
    </row>
    <row r="68" spans="1:6" ht="18" customHeight="1">
      <c r="A68" s="100" t="s">
        <v>119</v>
      </c>
      <c r="B68" s="100" t="s">
        <v>117</v>
      </c>
      <c r="C68" s="100" t="s">
        <v>120</v>
      </c>
      <c r="D68" s="100" t="s">
        <v>121</v>
      </c>
      <c r="E68" s="100" t="s">
        <v>122</v>
      </c>
    </row>
    <row r="69" spans="1:6" ht="18" customHeight="1">
      <c r="A69" s="80" t="s">
        <v>123</v>
      </c>
      <c r="B69" s="81" t="s">
        <v>124</v>
      </c>
      <c r="C69" s="82"/>
      <c r="D69" s="83"/>
      <c r="E69" s="83"/>
    </row>
    <row r="70" spans="1:6" ht="18" customHeight="1">
      <c r="A70" s="80" t="s">
        <v>125</v>
      </c>
      <c r="B70" s="81" t="s">
        <v>126</v>
      </c>
      <c r="C70" s="82"/>
      <c r="D70" s="83"/>
      <c r="E70" s="83"/>
    </row>
    <row r="71" spans="1:6" ht="18" customHeight="1">
      <c r="A71" s="81"/>
      <c r="B71" s="81"/>
      <c r="C71" s="81"/>
      <c r="D71" s="83"/>
      <c r="E71" s="83"/>
    </row>
    <row r="72" spans="1:6" ht="18" customHeight="1">
      <c r="A72" s="161" t="s">
        <v>128</v>
      </c>
      <c r="B72" s="161"/>
      <c r="C72" s="161"/>
      <c r="D72" s="161"/>
      <c r="E72" s="101">
        <v>1037.5</v>
      </c>
    </row>
    <row r="73" spans="1:6" ht="18" customHeight="1">
      <c r="A73" s="165" t="s">
        <v>129</v>
      </c>
      <c r="B73" s="165"/>
      <c r="C73" s="165"/>
      <c r="D73" s="165"/>
      <c r="E73" s="165"/>
    </row>
    <row r="74" spans="1:6" ht="18" customHeight="1">
      <c r="A74" s="100" t="s">
        <v>119</v>
      </c>
      <c r="B74" s="100" t="s">
        <v>117</v>
      </c>
      <c r="C74" s="100" t="s">
        <v>130</v>
      </c>
      <c r="D74" s="100" t="s">
        <v>131</v>
      </c>
      <c r="E74" s="100" t="s">
        <v>122</v>
      </c>
      <c r="F74" s="97"/>
    </row>
    <row r="75" spans="1:6" ht="18" customHeight="1">
      <c r="A75" s="80" t="s">
        <v>144</v>
      </c>
      <c r="B75" s="81" t="s">
        <v>145</v>
      </c>
      <c r="C75" s="94"/>
      <c r="D75" s="83"/>
      <c r="E75" s="83"/>
      <c r="F75" s="97"/>
    </row>
    <row r="76" spans="1:6" ht="18" customHeight="1">
      <c r="A76" s="80" t="s">
        <v>146</v>
      </c>
      <c r="B76" s="81" t="s">
        <v>133</v>
      </c>
      <c r="C76" s="94"/>
      <c r="D76" s="83"/>
      <c r="E76" s="83"/>
    </row>
    <row r="77" spans="1:6" ht="18" customHeight="1">
      <c r="A77" s="80"/>
      <c r="B77" s="81"/>
      <c r="C77" s="94"/>
      <c r="D77" s="83"/>
      <c r="E77" s="83"/>
    </row>
    <row r="78" spans="1:6" ht="18" customHeight="1">
      <c r="A78" s="87" t="s">
        <v>147</v>
      </c>
      <c r="B78" s="163"/>
      <c r="C78" s="163"/>
      <c r="D78" s="163"/>
      <c r="E78" s="83"/>
    </row>
    <row r="79" spans="1:6" ht="18" customHeight="1">
      <c r="A79" s="87"/>
      <c r="B79" s="88"/>
      <c r="C79" s="89"/>
      <c r="D79" s="89"/>
      <c r="E79" s="83"/>
    </row>
    <row r="80" spans="1:6" ht="18" customHeight="1">
      <c r="A80" s="161" t="s">
        <v>128</v>
      </c>
      <c r="B80" s="161"/>
      <c r="C80" s="161"/>
      <c r="D80" s="161"/>
      <c r="E80" s="101">
        <v>4651</v>
      </c>
    </row>
    <row r="81" spans="1:7" ht="18" customHeight="1">
      <c r="A81" s="165" t="s">
        <v>136</v>
      </c>
      <c r="B81" s="165"/>
      <c r="C81" s="165"/>
      <c r="D81" s="165"/>
      <c r="E81" s="165"/>
    </row>
    <row r="82" spans="1:7" ht="18" customHeight="1">
      <c r="A82" s="100" t="s">
        <v>119</v>
      </c>
      <c r="B82" s="100" t="s">
        <v>117</v>
      </c>
      <c r="C82" s="100" t="s">
        <v>120</v>
      </c>
      <c r="D82" s="100" t="s">
        <v>121</v>
      </c>
      <c r="E82" s="100" t="s">
        <v>122</v>
      </c>
    </row>
    <row r="83" spans="1:7" ht="18" customHeight="1">
      <c r="A83" s="80" t="s">
        <v>148</v>
      </c>
      <c r="B83" s="81" t="s">
        <v>126</v>
      </c>
      <c r="C83" s="82"/>
      <c r="D83" s="83"/>
      <c r="E83" s="83"/>
      <c r="F83" s="97"/>
    </row>
    <row r="84" spans="1:7" ht="18" customHeight="1">
      <c r="A84" s="80"/>
      <c r="B84" s="81"/>
      <c r="C84" s="82"/>
      <c r="D84" s="83"/>
      <c r="E84" s="83"/>
    </row>
    <row r="85" spans="1:7" ht="18" customHeight="1">
      <c r="A85" s="161" t="s">
        <v>128</v>
      </c>
      <c r="B85" s="161"/>
      <c r="C85" s="161"/>
      <c r="D85" s="161"/>
      <c r="E85" s="101">
        <v>300</v>
      </c>
    </row>
    <row r="86" spans="1:7" ht="18" customHeight="1">
      <c r="A86" s="165" t="s">
        <v>138</v>
      </c>
      <c r="B86" s="165"/>
      <c r="C86" s="165"/>
      <c r="D86" s="165"/>
      <c r="E86" s="165"/>
    </row>
    <row r="87" spans="1:7" ht="18" customHeight="1">
      <c r="A87" s="100" t="s">
        <v>119</v>
      </c>
      <c r="B87" s="100" t="s">
        <v>117</v>
      </c>
      <c r="C87" s="100" t="s">
        <v>120</v>
      </c>
      <c r="D87" s="100" t="s">
        <v>139</v>
      </c>
      <c r="E87" s="100" t="s">
        <v>122</v>
      </c>
    </row>
    <row r="88" spans="1:7" ht="18" customHeight="1">
      <c r="A88" s="80" t="s">
        <v>149</v>
      </c>
      <c r="B88" s="81" t="s">
        <v>126</v>
      </c>
      <c r="C88" s="82"/>
      <c r="D88" s="83"/>
      <c r="E88" s="83"/>
      <c r="G88" s="104"/>
    </row>
    <row r="89" spans="1:7" ht="18" customHeight="1">
      <c r="A89" s="80"/>
      <c r="B89" s="81"/>
      <c r="C89" s="82"/>
      <c r="D89" s="83"/>
      <c r="E89" s="83"/>
    </row>
    <row r="90" spans="1:7" ht="18" customHeight="1">
      <c r="A90" s="161" t="s">
        <v>128</v>
      </c>
      <c r="B90" s="161"/>
      <c r="C90" s="161"/>
      <c r="D90" s="161"/>
      <c r="E90" s="101">
        <v>5375</v>
      </c>
    </row>
    <row r="91" spans="1:7" ht="18" customHeight="1">
      <c r="A91" s="81"/>
      <c r="B91" s="89"/>
      <c r="C91" s="89"/>
      <c r="D91" s="89"/>
      <c r="E91" s="89"/>
    </row>
    <row r="92" spans="1:7" ht="18" customHeight="1">
      <c r="A92" s="161" t="s">
        <v>140</v>
      </c>
      <c r="B92" s="161"/>
      <c r="C92" s="161"/>
      <c r="D92" s="161"/>
      <c r="E92" s="101">
        <f>SUM(E72,E80,E85,E90)</f>
        <v>11363.5</v>
      </c>
    </row>
    <row r="94" spans="1:7" ht="18" customHeight="1">
      <c r="B94" s="89"/>
      <c r="C94" s="89"/>
      <c r="D94" s="89"/>
      <c r="E94" s="89"/>
    </row>
    <row r="95" spans="1:7" ht="18" customHeight="1">
      <c r="A95" s="171" t="s">
        <v>150</v>
      </c>
      <c r="B95" s="171"/>
      <c r="C95" s="171"/>
      <c r="D95" s="96" t="s">
        <v>115</v>
      </c>
      <c r="E95" s="96"/>
    </row>
    <row r="96" spans="1:7" ht="18" customHeight="1">
      <c r="A96" s="169"/>
      <c r="B96" s="169"/>
      <c r="C96" s="169"/>
      <c r="D96" s="100" t="s">
        <v>117</v>
      </c>
      <c r="E96" s="100" t="s">
        <v>24</v>
      </c>
    </row>
    <row r="97" spans="1:7" ht="18" customHeight="1">
      <c r="A97" s="165" t="s">
        <v>118</v>
      </c>
      <c r="B97" s="165"/>
      <c r="C97" s="165"/>
      <c r="D97" s="165"/>
      <c r="E97" s="165"/>
    </row>
    <row r="98" spans="1:7" ht="18" customHeight="1">
      <c r="A98" s="100" t="s">
        <v>119</v>
      </c>
      <c r="B98" s="100" t="s">
        <v>117</v>
      </c>
      <c r="C98" s="100" t="s">
        <v>120</v>
      </c>
      <c r="D98" s="100" t="s">
        <v>121</v>
      </c>
      <c r="E98" s="100" t="s">
        <v>122</v>
      </c>
    </row>
    <row r="99" spans="1:7" ht="18" customHeight="1">
      <c r="A99" s="80" t="s">
        <v>123</v>
      </c>
      <c r="B99" s="81" t="s">
        <v>124</v>
      </c>
      <c r="C99" s="82"/>
      <c r="D99" s="83"/>
      <c r="E99" s="83"/>
    </row>
    <row r="100" spans="1:7" ht="18" customHeight="1">
      <c r="A100" s="80" t="s">
        <v>125</v>
      </c>
      <c r="B100" s="81" t="s">
        <v>126</v>
      </c>
      <c r="C100" s="82"/>
      <c r="D100" s="83"/>
      <c r="E100" s="83"/>
    </row>
    <row r="101" spans="1:7" ht="18" customHeight="1">
      <c r="A101" s="81"/>
      <c r="B101" s="81"/>
      <c r="C101" s="81"/>
      <c r="D101" s="83"/>
      <c r="E101" s="83"/>
    </row>
    <row r="102" spans="1:7" ht="18" customHeight="1">
      <c r="A102" s="161" t="s">
        <v>128</v>
      </c>
      <c r="B102" s="161"/>
      <c r="C102" s="161"/>
      <c r="D102" s="161"/>
      <c r="E102" s="101">
        <v>1285.7142857142858</v>
      </c>
    </row>
    <row r="103" spans="1:7" ht="18" customHeight="1">
      <c r="A103" s="165" t="s">
        <v>129</v>
      </c>
      <c r="B103" s="165"/>
      <c r="C103" s="165"/>
      <c r="D103" s="165"/>
      <c r="E103" s="165"/>
    </row>
    <row r="104" spans="1:7" ht="18" customHeight="1">
      <c r="A104" s="100" t="s">
        <v>119</v>
      </c>
      <c r="B104" s="100" t="s">
        <v>117</v>
      </c>
      <c r="C104" s="100" t="s">
        <v>130</v>
      </c>
      <c r="D104" s="100" t="s">
        <v>131</v>
      </c>
      <c r="E104" s="100" t="s">
        <v>122</v>
      </c>
    </row>
    <row r="105" spans="1:7" ht="18" customHeight="1">
      <c r="A105" s="80" t="s">
        <v>151</v>
      </c>
      <c r="B105" s="81" t="s">
        <v>24</v>
      </c>
      <c r="C105" s="85"/>
      <c r="D105" s="83"/>
      <c r="E105" s="83"/>
      <c r="G105" s="97"/>
    </row>
    <row r="106" spans="1:7" ht="18" customHeight="1">
      <c r="A106" s="80" t="s">
        <v>152</v>
      </c>
      <c r="B106" s="81" t="s">
        <v>133</v>
      </c>
      <c r="C106" s="94"/>
      <c r="D106" s="83"/>
      <c r="E106" s="83"/>
    </row>
    <row r="107" spans="1:7" ht="18" customHeight="1">
      <c r="A107" s="80"/>
      <c r="B107" s="81"/>
      <c r="C107" s="94"/>
      <c r="D107" s="83"/>
      <c r="E107" s="83"/>
    </row>
    <row r="108" spans="1:7" ht="18" customHeight="1">
      <c r="A108" s="87" t="s">
        <v>147</v>
      </c>
      <c r="B108" s="163"/>
      <c r="C108" s="163"/>
      <c r="D108" s="163"/>
      <c r="E108" s="83"/>
    </row>
    <row r="109" spans="1:7" ht="18" customHeight="1">
      <c r="A109" s="87"/>
      <c r="B109" s="88"/>
      <c r="C109" s="89"/>
      <c r="D109" s="89"/>
      <c r="E109" s="83"/>
    </row>
    <row r="110" spans="1:7" ht="18" customHeight="1">
      <c r="A110" s="161" t="s">
        <v>128</v>
      </c>
      <c r="B110" s="161"/>
      <c r="C110" s="161"/>
      <c r="D110" s="161"/>
      <c r="E110" s="101">
        <v>13766.5</v>
      </c>
    </row>
    <row r="111" spans="1:7" ht="18" customHeight="1">
      <c r="A111" s="165" t="s">
        <v>136</v>
      </c>
      <c r="B111" s="165"/>
      <c r="C111" s="165"/>
      <c r="D111" s="165"/>
      <c r="E111" s="165"/>
    </row>
    <row r="112" spans="1:7" ht="18" customHeight="1">
      <c r="A112" s="100" t="s">
        <v>119</v>
      </c>
      <c r="B112" s="100" t="s">
        <v>117</v>
      </c>
      <c r="C112" s="100" t="s">
        <v>120</v>
      </c>
      <c r="D112" s="100" t="s">
        <v>121</v>
      </c>
      <c r="E112" s="100" t="s">
        <v>122</v>
      </c>
    </row>
    <row r="113" spans="1:7" ht="18" customHeight="1">
      <c r="A113" s="80" t="s">
        <v>148</v>
      </c>
      <c r="B113" s="81" t="s">
        <v>126</v>
      </c>
      <c r="C113" s="82">
        <v>2.5000000000000001E-2</v>
      </c>
      <c r="D113" s="83">
        <v>45000</v>
      </c>
      <c r="E113" s="83">
        <f>D113*C113</f>
        <v>1125</v>
      </c>
    </row>
    <row r="114" spans="1:7" ht="18" customHeight="1">
      <c r="A114" s="80"/>
      <c r="B114" s="81"/>
      <c r="C114" s="82"/>
      <c r="D114" s="83"/>
      <c r="E114" s="83"/>
    </row>
    <row r="115" spans="1:7" ht="18" customHeight="1">
      <c r="A115" s="161" t="s">
        <v>128</v>
      </c>
      <c r="B115" s="161"/>
      <c r="C115" s="161"/>
      <c r="D115" s="161"/>
      <c r="E115" s="101">
        <f>SUM(E113)</f>
        <v>1125</v>
      </c>
    </row>
    <row r="116" spans="1:7" ht="18" customHeight="1">
      <c r="A116" s="165" t="s">
        <v>138</v>
      </c>
      <c r="B116" s="165"/>
      <c r="C116" s="165"/>
      <c r="D116" s="165"/>
      <c r="E116" s="165"/>
    </row>
    <row r="117" spans="1:7" ht="18" customHeight="1">
      <c r="A117" s="100" t="s">
        <v>119</v>
      </c>
      <c r="B117" s="100" t="s">
        <v>117</v>
      </c>
      <c r="C117" s="100" t="s">
        <v>120</v>
      </c>
      <c r="D117" s="100" t="s">
        <v>139</v>
      </c>
      <c r="E117" s="100" t="s">
        <v>122</v>
      </c>
    </row>
    <row r="118" spans="1:7" ht="18" customHeight="1">
      <c r="A118" s="80" t="s">
        <v>149</v>
      </c>
      <c r="B118" s="81" t="s">
        <v>126</v>
      </c>
      <c r="C118" s="82"/>
      <c r="D118" s="83"/>
      <c r="E118" s="83"/>
    </row>
    <row r="119" spans="1:7" ht="18" customHeight="1">
      <c r="A119" s="80"/>
      <c r="B119" s="81"/>
      <c r="C119" s="82"/>
      <c r="D119" s="83"/>
      <c r="E119" s="83"/>
    </row>
    <row r="120" spans="1:7" ht="18" customHeight="1">
      <c r="A120" s="161" t="s">
        <v>128</v>
      </c>
      <c r="B120" s="161"/>
      <c r="C120" s="161"/>
      <c r="D120" s="161"/>
      <c r="E120" s="101">
        <v>7857.1428571428569</v>
      </c>
    </row>
    <row r="121" spans="1:7" ht="18" customHeight="1">
      <c r="A121" s="81"/>
      <c r="B121" s="89"/>
      <c r="C121" s="89"/>
      <c r="D121" s="89"/>
      <c r="E121" s="89"/>
    </row>
    <row r="122" spans="1:7" ht="18" customHeight="1">
      <c r="A122" s="161" t="s">
        <v>140</v>
      </c>
      <c r="B122" s="161"/>
      <c r="C122" s="161"/>
      <c r="D122" s="161"/>
      <c r="E122" s="101">
        <f>SUM(E102,E110,E115,E120)</f>
        <v>24034.357142857145</v>
      </c>
      <c r="F122" s="97"/>
      <c r="G122" s="97"/>
    </row>
    <row r="125" spans="1:7" ht="18" customHeight="1">
      <c r="A125" s="72"/>
      <c r="B125" s="73"/>
      <c r="C125" s="73"/>
      <c r="D125" s="73"/>
      <c r="E125" s="73"/>
    </row>
    <row r="126" spans="1:7" ht="18" customHeight="1">
      <c r="A126" s="170" t="s">
        <v>153</v>
      </c>
      <c r="B126" s="170"/>
      <c r="C126" s="170"/>
      <c r="D126" s="98" t="s">
        <v>115</v>
      </c>
      <c r="E126" s="98" t="s">
        <v>26</v>
      </c>
    </row>
    <row r="127" spans="1:7" ht="18" customHeight="1">
      <c r="A127" s="169"/>
      <c r="B127" s="164"/>
      <c r="C127" s="164"/>
      <c r="D127" s="100" t="s">
        <v>117</v>
      </c>
      <c r="E127" s="100" t="s">
        <v>24</v>
      </c>
    </row>
    <row r="128" spans="1:7" ht="18" customHeight="1">
      <c r="A128" s="165" t="s">
        <v>118</v>
      </c>
      <c r="B128" s="166"/>
      <c r="C128" s="166"/>
      <c r="D128" s="166"/>
      <c r="E128" s="166"/>
    </row>
    <row r="129" spans="1:5" ht="18" customHeight="1">
      <c r="A129" s="100" t="s">
        <v>119</v>
      </c>
      <c r="B129" s="100" t="s">
        <v>117</v>
      </c>
      <c r="C129" s="100" t="s">
        <v>120</v>
      </c>
      <c r="D129" s="100" t="s">
        <v>121</v>
      </c>
      <c r="E129" s="100" t="s">
        <v>122</v>
      </c>
    </row>
    <row r="130" spans="1:5" ht="18" customHeight="1">
      <c r="A130" s="80" t="s">
        <v>123</v>
      </c>
      <c r="B130" s="81" t="s">
        <v>124</v>
      </c>
      <c r="C130" s="82"/>
      <c r="D130" s="83"/>
      <c r="E130" s="83"/>
    </row>
    <row r="131" spans="1:5" ht="18" customHeight="1">
      <c r="A131" s="80" t="s">
        <v>125</v>
      </c>
      <c r="B131" s="81" t="s">
        <v>126</v>
      </c>
      <c r="C131" s="82"/>
      <c r="D131" s="83"/>
      <c r="E131" s="83"/>
    </row>
    <row r="132" spans="1:5" ht="18" customHeight="1">
      <c r="A132" s="81"/>
      <c r="B132" s="81"/>
      <c r="C132" s="81"/>
      <c r="D132" s="83"/>
      <c r="E132" s="83"/>
    </row>
    <row r="133" spans="1:5" ht="18" customHeight="1">
      <c r="A133" s="161" t="s">
        <v>128</v>
      </c>
      <c r="B133" s="162"/>
      <c r="C133" s="162"/>
      <c r="D133" s="162"/>
      <c r="E133" s="101">
        <v>2333.333333333333</v>
      </c>
    </row>
    <row r="134" spans="1:5" ht="18" customHeight="1">
      <c r="A134" s="165" t="s">
        <v>129</v>
      </c>
      <c r="B134" s="166"/>
      <c r="C134" s="166"/>
      <c r="D134" s="166"/>
      <c r="E134" s="166"/>
    </row>
    <row r="135" spans="1:5" ht="18" customHeight="1">
      <c r="A135" s="100" t="s">
        <v>119</v>
      </c>
      <c r="B135" s="100" t="s">
        <v>117</v>
      </c>
      <c r="C135" s="100" t="s">
        <v>130</v>
      </c>
      <c r="D135" s="100" t="s">
        <v>131</v>
      </c>
      <c r="E135" s="100" t="s">
        <v>122</v>
      </c>
    </row>
    <row r="136" spans="1:5" ht="18" customHeight="1">
      <c r="A136" s="80" t="s">
        <v>154</v>
      </c>
      <c r="B136" s="81" t="s">
        <v>24</v>
      </c>
      <c r="C136" s="94"/>
      <c r="D136" s="83"/>
      <c r="E136" s="83"/>
    </row>
    <row r="137" spans="1:5" ht="18" customHeight="1">
      <c r="A137" s="80" t="s">
        <v>152</v>
      </c>
      <c r="B137" s="81" t="s">
        <v>133</v>
      </c>
      <c r="C137" s="94"/>
      <c r="D137" s="83"/>
      <c r="E137" s="83"/>
    </row>
    <row r="138" spans="1:5" ht="18" customHeight="1">
      <c r="A138" s="80" t="s">
        <v>155</v>
      </c>
      <c r="B138" s="81" t="s">
        <v>156</v>
      </c>
      <c r="C138" s="94"/>
      <c r="D138" s="83"/>
      <c r="E138" s="83"/>
    </row>
    <row r="139" spans="1:5" ht="18" customHeight="1">
      <c r="A139" s="80"/>
      <c r="B139" s="81"/>
      <c r="C139" s="94"/>
      <c r="D139" s="83"/>
      <c r="E139" s="83"/>
    </row>
    <row r="140" spans="1:5" ht="18" customHeight="1">
      <c r="A140" s="87" t="s">
        <v>157</v>
      </c>
      <c r="B140" s="163"/>
      <c r="C140" s="164"/>
      <c r="D140" s="164"/>
      <c r="E140" s="83"/>
    </row>
    <row r="141" spans="1:5" ht="18" customHeight="1">
      <c r="A141" s="87"/>
      <c r="B141" s="88"/>
      <c r="C141" s="89"/>
      <c r="D141" s="89"/>
      <c r="E141" s="83"/>
    </row>
    <row r="142" spans="1:5" ht="18" customHeight="1">
      <c r="A142" s="161" t="s">
        <v>128</v>
      </c>
      <c r="B142" s="162"/>
      <c r="C142" s="162"/>
      <c r="D142" s="162"/>
      <c r="E142" s="101">
        <v>21183.75</v>
      </c>
    </row>
    <row r="143" spans="1:5" ht="18" customHeight="1">
      <c r="A143" s="165" t="s">
        <v>136</v>
      </c>
      <c r="B143" s="166"/>
      <c r="C143" s="166"/>
      <c r="D143" s="166"/>
      <c r="E143" s="166"/>
    </row>
    <row r="144" spans="1:5" ht="18" customHeight="1">
      <c r="A144" s="100" t="s">
        <v>119</v>
      </c>
      <c r="B144" s="100" t="s">
        <v>117</v>
      </c>
      <c r="C144" s="100" t="s">
        <v>120</v>
      </c>
      <c r="D144" s="100" t="s">
        <v>121</v>
      </c>
      <c r="E144" s="100" t="s">
        <v>122</v>
      </c>
    </row>
    <row r="145" spans="1:5" ht="18" customHeight="1">
      <c r="A145" s="80" t="s">
        <v>148</v>
      </c>
      <c r="B145" s="81" t="s">
        <v>126</v>
      </c>
      <c r="C145" s="82"/>
      <c r="D145" s="83"/>
      <c r="E145" s="83"/>
    </row>
    <row r="146" spans="1:5" ht="18" customHeight="1">
      <c r="A146" s="80"/>
      <c r="B146" s="81"/>
      <c r="C146" s="82"/>
      <c r="D146" s="83"/>
      <c r="E146" s="83"/>
    </row>
    <row r="147" spans="1:5" ht="18" customHeight="1">
      <c r="A147" s="161" t="s">
        <v>128</v>
      </c>
      <c r="B147" s="162"/>
      <c r="C147" s="162"/>
      <c r="D147" s="162"/>
      <c r="E147" s="101">
        <v>1125</v>
      </c>
    </row>
    <row r="148" spans="1:5" ht="18" customHeight="1">
      <c r="A148" s="165" t="s">
        <v>138</v>
      </c>
      <c r="B148" s="166"/>
      <c r="C148" s="166"/>
      <c r="D148" s="166"/>
      <c r="E148" s="166"/>
    </row>
    <row r="149" spans="1:5" ht="18" customHeight="1">
      <c r="A149" s="100" t="s">
        <v>119</v>
      </c>
      <c r="B149" s="100" t="s">
        <v>117</v>
      </c>
      <c r="C149" s="100" t="s">
        <v>120</v>
      </c>
      <c r="D149" s="100" t="s">
        <v>139</v>
      </c>
      <c r="E149" s="100" t="s">
        <v>122</v>
      </c>
    </row>
    <row r="150" spans="1:5" ht="18" customHeight="1">
      <c r="A150" s="80" t="s">
        <v>149</v>
      </c>
      <c r="B150" s="81" t="s">
        <v>126</v>
      </c>
      <c r="C150" s="82"/>
      <c r="D150" s="83"/>
      <c r="E150" s="83"/>
    </row>
    <row r="151" spans="1:5" ht="18" customHeight="1">
      <c r="A151" s="80"/>
      <c r="B151" s="81"/>
      <c r="C151" s="82"/>
      <c r="D151" s="83"/>
      <c r="E151" s="83"/>
    </row>
    <row r="152" spans="1:5" ht="18" customHeight="1">
      <c r="A152" s="161" t="s">
        <v>128</v>
      </c>
      <c r="B152" s="162"/>
      <c r="C152" s="162"/>
      <c r="D152" s="162"/>
      <c r="E152" s="101">
        <v>18333.333333333332</v>
      </c>
    </row>
    <row r="153" spans="1:5" ht="18" customHeight="1">
      <c r="A153" s="81"/>
      <c r="B153" s="89"/>
      <c r="C153" s="89"/>
      <c r="D153" s="89"/>
      <c r="E153" s="89"/>
    </row>
    <row r="154" spans="1:5" ht="18" customHeight="1">
      <c r="A154" s="161" t="s">
        <v>140</v>
      </c>
      <c r="B154" s="162"/>
      <c r="C154" s="162"/>
      <c r="D154" s="162"/>
      <c r="E154" s="101">
        <f>SUM(E133,E142,E147,E152)</f>
        <v>42975.416666666664</v>
      </c>
    </row>
    <row r="158" spans="1:5" ht="18" customHeight="1">
      <c r="A158" s="90" t="s">
        <v>158</v>
      </c>
      <c r="B158" s="91"/>
      <c r="C158" s="91"/>
      <c r="D158" s="91"/>
      <c r="E158" s="91"/>
    </row>
    <row r="159" spans="1:5" ht="18" customHeight="1">
      <c r="A159" s="72"/>
      <c r="B159" s="73"/>
      <c r="C159" s="73"/>
      <c r="D159" s="73"/>
      <c r="E159" s="73"/>
    </row>
    <row r="160" spans="1:5" ht="18" customHeight="1">
      <c r="A160" s="167" t="s">
        <v>159</v>
      </c>
      <c r="B160" s="168"/>
      <c r="C160" s="168"/>
      <c r="D160" s="77" t="s">
        <v>115</v>
      </c>
      <c r="E160" s="77" t="s">
        <v>116</v>
      </c>
    </row>
    <row r="161" spans="1:5" ht="18" customHeight="1">
      <c r="A161" s="169"/>
      <c r="B161" s="164"/>
      <c r="C161" s="164"/>
      <c r="D161" s="78" t="s">
        <v>117</v>
      </c>
      <c r="E161" s="78" t="s">
        <v>24</v>
      </c>
    </row>
    <row r="162" spans="1:5" ht="18" customHeight="1">
      <c r="A162" s="165" t="s">
        <v>118</v>
      </c>
      <c r="B162" s="166"/>
      <c r="C162" s="166"/>
      <c r="D162" s="166"/>
      <c r="E162" s="166"/>
    </row>
    <row r="163" spans="1:5" ht="18" customHeight="1">
      <c r="A163" s="100" t="s">
        <v>119</v>
      </c>
      <c r="B163" s="100" t="s">
        <v>117</v>
      </c>
      <c r="C163" s="100" t="s">
        <v>120</v>
      </c>
      <c r="D163" s="100" t="s">
        <v>121</v>
      </c>
      <c r="E163" s="100" t="s">
        <v>122</v>
      </c>
    </row>
    <row r="164" spans="1:5" ht="18" customHeight="1">
      <c r="A164" s="80" t="s">
        <v>123</v>
      </c>
      <c r="B164" s="81" t="s">
        <v>124</v>
      </c>
      <c r="C164" s="82"/>
      <c r="D164" s="83"/>
      <c r="E164" s="83"/>
    </row>
    <row r="165" spans="1:5" ht="18" customHeight="1">
      <c r="A165" s="80" t="s">
        <v>125</v>
      </c>
      <c r="B165" s="81" t="s">
        <v>126</v>
      </c>
      <c r="C165" s="82"/>
      <c r="D165" s="83"/>
      <c r="E165" s="83"/>
    </row>
    <row r="166" spans="1:5" ht="18" customHeight="1">
      <c r="A166" s="81"/>
      <c r="B166" s="81"/>
      <c r="C166" s="81"/>
      <c r="D166" s="83"/>
      <c r="E166" s="83"/>
    </row>
    <row r="167" spans="1:5" ht="18" customHeight="1">
      <c r="A167" s="161" t="s">
        <v>128</v>
      </c>
      <c r="B167" s="162"/>
      <c r="C167" s="162"/>
      <c r="D167" s="162"/>
      <c r="E167" s="101">
        <v>1416.6666666666665</v>
      </c>
    </row>
    <row r="168" spans="1:5" ht="18" customHeight="1">
      <c r="A168" s="165" t="s">
        <v>129</v>
      </c>
      <c r="B168" s="166"/>
      <c r="C168" s="166"/>
      <c r="D168" s="166"/>
      <c r="E168" s="166"/>
    </row>
    <row r="169" spans="1:5" ht="18" customHeight="1">
      <c r="A169" s="100" t="s">
        <v>119</v>
      </c>
      <c r="B169" s="100" t="s">
        <v>117</v>
      </c>
      <c r="C169" s="100" t="s">
        <v>130</v>
      </c>
      <c r="D169" s="100" t="s">
        <v>131</v>
      </c>
      <c r="E169" s="100" t="s">
        <v>122</v>
      </c>
    </row>
    <row r="170" spans="1:5" ht="18" customHeight="1">
      <c r="A170" s="80"/>
      <c r="B170" s="81"/>
      <c r="C170" s="94"/>
      <c r="D170" s="83"/>
      <c r="E170" s="83"/>
    </row>
    <row r="171" spans="1:5" ht="18" customHeight="1">
      <c r="A171" s="87" t="s">
        <v>135</v>
      </c>
      <c r="B171" s="163"/>
      <c r="C171" s="164"/>
      <c r="D171" s="164"/>
      <c r="E171" s="83">
        <f>SUM(E170:E170)*0.02</f>
        <v>0</v>
      </c>
    </row>
    <row r="172" spans="1:5" ht="18" customHeight="1">
      <c r="A172" s="87"/>
      <c r="B172" s="88"/>
      <c r="C172" s="89"/>
      <c r="D172" s="89"/>
      <c r="E172" s="83"/>
    </row>
    <row r="173" spans="1:5" ht="18" customHeight="1">
      <c r="A173" s="161" t="s">
        <v>128</v>
      </c>
      <c r="B173" s="162"/>
      <c r="C173" s="162"/>
      <c r="D173" s="162"/>
      <c r="E173" s="101">
        <f>SUM(E170:E171)</f>
        <v>0</v>
      </c>
    </row>
    <row r="174" spans="1:5" ht="18" customHeight="1">
      <c r="A174" s="165" t="s">
        <v>136</v>
      </c>
      <c r="B174" s="166"/>
      <c r="C174" s="166"/>
      <c r="D174" s="166"/>
      <c r="E174" s="166"/>
    </row>
    <row r="175" spans="1:5" ht="18" customHeight="1">
      <c r="A175" s="100" t="s">
        <v>119</v>
      </c>
      <c r="B175" s="100" t="s">
        <v>117</v>
      </c>
      <c r="C175" s="100" t="s">
        <v>120</v>
      </c>
      <c r="D175" s="100" t="s">
        <v>121</v>
      </c>
      <c r="E175" s="100" t="s">
        <v>122</v>
      </c>
    </row>
    <row r="176" spans="1:5" ht="18" customHeight="1">
      <c r="A176" s="80" t="s">
        <v>137</v>
      </c>
      <c r="B176" s="81" t="s">
        <v>126</v>
      </c>
      <c r="C176" s="82">
        <v>0</v>
      </c>
      <c r="D176" s="83">
        <v>0</v>
      </c>
      <c r="E176" s="83">
        <f>D176*C176</f>
        <v>0</v>
      </c>
    </row>
    <row r="177" spans="1:5" ht="18" customHeight="1">
      <c r="A177" s="80"/>
      <c r="B177" s="81"/>
      <c r="C177" s="82"/>
      <c r="D177" s="83"/>
      <c r="E177" s="83"/>
    </row>
    <row r="178" spans="1:5" ht="18" customHeight="1">
      <c r="A178" s="161" t="s">
        <v>128</v>
      </c>
      <c r="B178" s="162"/>
      <c r="C178" s="162"/>
      <c r="D178" s="162"/>
      <c r="E178" s="101">
        <f>SUM(E176)</f>
        <v>0</v>
      </c>
    </row>
    <row r="179" spans="1:5" ht="18" customHeight="1">
      <c r="A179" s="165" t="s">
        <v>138</v>
      </c>
      <c r="B179" s="166"/>
      <c r="C179" s="166"/>
      <c r="D179" s="166"/>
      <c r="E179" s="166"/>
    </row>
    <row r="180" spans="1:5" ht="18" customHeight="1">
      <c r="A180" s="100" t="s">
        <v>119</v>
      </c>
      <c r="B180" s="100" t="s">
        <v>117</v>
      </c>
      <c r="C180" s="100" t="s">
        <v>120</v>
      </c>
      <c r="D180" s="100" t="s">
        <v>139</v>
      </c>
      <c r="E180" s="100" t="s">
        <v>122</v>
      </c>
    </row>
    <row r="181" spans="1:5" ht="18" customHeight="1">
      <c r="A181" s="80" t="s">
        <v>149</v>
      </c>
      <c r="B181" s="81" t="s">
        <v>126</v>
      </c>
      <c r="C181" s="82"/>
      <c r="D181" s="83"/>
      <c r="E181" s="83"/>
    </row>
    <row r="182" spans="1:5" ht="18" customHeight="1">
      <c r="A182" s="80"/>
      <c r="B182" s="81"/>
      <c r="C182" s="82"/>
      <c r="D182" s="83"/>
      <c r="E182" s="83"/>
    </row>
    <row r="183" spans="1:5" ht="18" customHeight="1">
      <c r="A183" s="161" t="s">
        <v>128</v>
      </c>
      <c r="B183" s="162"/>
      <c r="C183" s="162"/>
      <c r="D183" s="162"/>
      <c r="E183" s="101">
        <v>9166.6666666666661</v>
      </c>
    </row>
    <row r="184" spans="1:5" ht="18" customHeight="1">
      <c r="A184" s="81"/>
      <c r="B184" s="89"/>
      <c r="C184" s="89"/>
      <c r="D184" s="89"/>
      <c r="E184" s="89"/>
    </row>
    <row r="185" spans="1:5" ht="18" customHeight="1">
      <c r="A185" s="161" t="s">
        <v>140</v>
      </c>
      <c r="B185" s="162"/>
      <c r="C185" s="162"/>
      <c r="D185" s="162"/>
      <c r="E185" s="101">
        <f>SUM(E167,E173,E178,E183)</f>
        <v>10583.333333333332</v>
      </c>
    </row>
    <row r="188" spans="1:5" ht="18" customHeight="1">
      <c r="A188" s="167" t="s">
        <v>160</v>
      </c>
      <c r="B188" s="168"/>
      <c r="C188" s="168"/>
      <c r="D188" s="77" t="s">
        <v>115</v>
      </c>
      <c r="E188" s="77"/>
    </row>
    <row r="189" spans="1:5" ht="18" customHeight="1">
      <c r="A189" s="169"/>
      <c r="B189" s="164"/>
      <c r="C189" s="164"/>
      <c r="D189" s="78" t="s">
        <v>117</v>
      </c>
      <c r="E189" s="78" t="s">
        <v>24</v>
      </c>
    </row>
    <row r="190" spans="1:5" ht="18" customHeight="1">
      <c r="A190" s="165" t="s">
        <v>118</v>
      </c>
      <c r="B190" s="166"/>
      <c r="C190" s="166"/>
      <c r="D190" s="166"/>
      <c r="E190" s="166"/>
    </row>
    <row r="191" spans="1:5" ht="18" customHeight="1">
      <c r="A191" s="100" t="s">
        <v>119</v>
      </c>
      <c r="B191" s="100" t="s">
        <v>117</v>
      </c>
      <c r="C191" s="100" t="s">
        <v>120</v>
      </c>
      <c r="D191" s="100" t="s">
        <v>121</v>
      </c>
      <c r="E191" s="100" t="s">
        <v>122</v>
      </c>
    </row>
    <row r="192" spans="1:5" ht="18" customHeight="1">
      <c r="A192" s="80" t="s">
        <v>123</v>
      </c>
      <c r="B192" s="81" t="s">
        <v>124</v>
      </c>
      <c r="C192" s="82"/>
      <c r="D192" s="83"/>
      <c r="E192" s="83"/>
    </row>
    <row r="193" spans="1:5" ht="18" customHeight="1">
      <c r="A193" s="80" t="s">
        <v>125</v>
      </c>
      <c r="B193" s="81" t="s">
        <v>126</v>
      </c>
      <c r="C193" s="82"/>
      <c r="D193" s="83"/>
      <c r="E193" s="83"/>
    </row>
    <row r="194" spans="1:5" ht="18" customHeight="1">
      <c r="A194" s="81"/>
      <c r="B194" s="81"/>
      <c r="C194" s="81"/>
      <c r="D194" s="83"/>
      <c r="E194" s="83"/>
    </row>
    <row r="195" spans="1:5" ht="18" customHeight="1">
      <c r="A195" s="161" t="s">
        <v>128</v>
      </c>
      <c r="B195" s="162"/>
      <c r="C195" s="162"/>
      <c r="D195" s="162"/>
      <c r="E195" s="101">
        <v>1111.1111111111113</v>
      </c>
    </row>
    <row r="196" spans="1:5" ht="18" customHeight="1">
      <c r="A196" s="165" t="s">
        <v>129</v>
      </c>
      <c r="B196" s="166"/>
      <c r="C196" s="166"/>
      <c r="D196" s="166"/>
      <c r="E196" s="166"/>
    </row>
    <row r="197" spans="1:5" ht="18" customHeight="1">
      <c r="A197" s="100" t="s">
        <v>119</v>
      </c>
      <c r="B197" s="100" t="s">
        <v>117</v>
      </c>
      <c r="C197" s="100" t="s">
        <v>130</v>
      </c>
      <c r="D197" s="100" t="s">
        <v>131</v>
      </c>
      <c r="E197" s="100" t="s">
        <v>122</v>
      </c>
    </row>
    <row r="198" spans="1:5" ht="18" customHeight="1">
      <c r="A198" s="80" t="s">
        <v>161</v>
      </c>
      <c r="B198" s="81" t="s">
        <v>134</v>
      </c>
      <c r="C198" s="85"/>
      <c r="D198" s="83"/>
      <c r="E198" s="83"/>
    </row>
    <row r="199" spans="1:5" ht="18" customHeight="1">
      <c r="A199" s="80" t="s">
        <v>162</v>
      </c>
      <c r="B199" s="81" t="s">
        <v>134</v>
      </c>
      <c r="C199" s="85"/>
      <c r="D199" s="83"/>
      <c r="E199" s="83"/>
    </row>
    <row r="200" spans="1:5" ht="18" customHeight="1">
      <c r="A200" s="80" t="s">
        <v>163</v>
      </c>
      <c r="B200" s="81" t="s">
        <v>134</v>
      </c>
      <c r="C200" s="85"/>
      <c r="D200" s="83"/>
      <c r="E200" s="83"/>
    </row>
    <row r="201" spans="1:5" ht="18" customHeight="1">
      <c r="A201" s="80" t="s">
        <v>164</v>
      </c>
      <c r="B201" s="81" t="s">
        <v>134</v>
      </c>
      <c r="C201" s="86"/>
      <c r="D201" s="83"/>
      <c r="E201" s="83"/>
    </row>
    <row r="202" spans="1:5" ht="18" customHeight="1">
      <c r="A202" s="80" t="s">
        <v>165</v>
      </c>
      <c r="B202" s="81" t="s">
        <v>134</v>
      </c>
      <c r="C202" s="85"/>
      <c r="D202" s="83"/>
      <c r="E202" s="83"/>
    </row>
    <row r="203" spans="1:5" ht="18" customHeight="1">
      <c r="A203" s="80"/>
      <c r="B203" s="81"/>
      <c r="C203" s="94"/>
      <c r="D203" s="83"/>
      <c r="E203" s="83"/>
    </row>
    <row r="204" spans="1:5" ht="18" customHeight="1">
      <c r="A204" s="87" t="s">
        <v>135</v>
      </c>
      <c r="B204" s="163"/>
      <c r="C204" s="164"/>
      <c r="D204" s="164"/>
      <c r="E204" s="83"/>
    </row>
    <row r="205" spans="1:5" ht="18" customHeight="1">
      <c r="A205" s="87"/>
      <c r="B205" s="88"/>
      <c r="C205" s="89"/>
      <c r="D205" s="89"/>
      <c r="E205" s="83"/>
    </row>
    <row r="206" spans="1:5" ht="18" customHeight="1">
      <c r="A206" s="161" t="s">
        <v>128</v>
      </c>
      <c r="B206" s="162"/>
      <c r="C206" s="162"/>
      <c r="D206" s="162"/>
      <c r="E206" s="101">
        <v>56962.5</v>
      </c>
    </row>
    <row r="207" spans="1:5" ht="18" customHeight="1">
      <c r="A207" s="165" t="s">
        <v>136</v>
      </c>
      <c r="B207" s="166"/>
      <c r="C207" s="166"/>
      <c r="D207" s="166"/>
      <c r="E207" s="166"/>
    </row>
    <row r="208" spans="1:5" ht="18" customHeight="1">
      <c r="A208" s="100" t="s">
        <v>119</v>
      </c>
      <c r="B208" s="100" t="s">
        <v>117</v>
      </c>
      <c r="C208" s="100" t="s">
        <v>120</v>
      </c>
      <c r="D208" s="100" t="s">
        <v>121</v>
      </c>
      <c r="E208" s="100" t="s">
        <v>122</v>
      </c>
    </row>
    <row r="209" spans="1:5" ht="18" customHeight="1">
      <c r="A209" s="80" t="s">
        <v>137</v>
      </c>
      <c r="B209" s="81" t="s">
        <v>126</v>
      </c>
      <c r="C209" s="82"/>
      <c r="D209" s="83"/>
      <c r="E209" s="83"/>
    </row>
    <row r="210" spans="1:5" ht="18" customHeight="1">
      <c r="A210" s="80"/>
      <c r="B210" s="81"/>
      <c r="C210" s="82"/>
      <c r="D210" s="83"/>
      <c r="E210" s="83"/>
    </row>
    <row r="211" spans="1:5" ht="18" customHeight="1">
      <c r="A211" s="161" t="s">
        <v>128</v>
      </c>
      <c r="B211" s="162"/>
      <c r="C211" s="162"/>
      <c r="D211" s="162"/>
      <c r="E211" s="101">
        <v>1500</v>
      </c>
    </row>
    <row r="212" spans="1:5" ht="18" customHeight="1">
      <c r="A212" s="165" t="s">
        <v>138</v>
      </c>
      <c r="B212" s="166"/>
      <c r="C212" s="166"/>
      <c r="D212" s="166"/>
      <c r="E212" s="166"/>
    </row>
    <row r="213" spans="1:5" ht="18" customHeight="1">
      <c r="A213" s="100" t="s">
        <v>119</v>
      </c>
      <c r="B213" s="100" t="s">
        <v>117</v>
      </c>
      <c r="C213" s="100" t="s">
        <v>120</v>
      </c>
      <c r="D213" s="100" t="s">
        <v>139</v>
      </c>
      <c r="E213" s="100" t="s">
        <v>122</v>
      </c>
    </row>
    <row r="214" spans="1:5" ht="18" customHeight="1">
      <c r="A214" s="80" t="s">
        <v>149</v>
      </c>
      <c r="B214" s="81" t="s">
        <v>126</v>
      </c>
      <c r="C214" s="82"/>
      <c r="D214" s="83"/>
      <c r="E214" s="83"/>
    </row>
    <row r="215" spans="1:5" ht="18" customHeight="1">
      <c r="A215" s="80"/>
      <c r="B215" s="81"/>
      <c r="C215" s="82"/>
      <c r="D215" s="83"/>
      <c r="E215" s="83"/>
    </row>
    <row r="216" spans="1:5" ht="18" customHeight="1">
      <c r="A216" s="161" t="s">
        <v>128</v>
      </c>
      <c r="B216" s="162"/>
      <c r="C216" s="162"/>
      <c r="D216" s="162"/>
      <c r="E216" s="101">
        <v>12222.222222222223</v>
      </c>
    </row>
    <row r="217" spans="1:5" ht="18" customHeight="1">
      <c r="A217" s="81"/>
      <c r="B217" s="89"/>
      <c r="C217" s="89"/>
      <c r="D217" s="89"/>
      <c r="E217" s="89"/>
    </row>
    <row r="218" spans="1:5" ht="18" customHeight="1">
      <c r="A218" s="161" t="s">
        <v>140</v>
      </c>
      <c r="B218" s="162"/>
      <c r="C218" s="162"/>
      <c r="D218" s="162"/>
      <c r="E218" s="101">
        <f>SUM(E195,E206,E211,E216)</f>
        <v>71795.833333333328</v>
      </c>
    </row>
    <row r="221" spans="1:5" ht="18" customHeight="1">
      <c r="A221" s="167" t="s">
        <v>166</v>
      </c>
      <c r="B221" s="168"/>
      <c r="C221" s="168"/>
      <c r="D221" s="77" t="s">
        <v>115</v>
      </c>
      <c r="E221" s="77"/>
    </row>
    <row r="222" spans="1:5" ht="18" customHeight="1">
      <c r="A222" s="169"/>
      <c r="B222" s="164"/>
      <c r="C222" s="164"/>
      <c r="D222" s="78" t="s">
        <v>117</v>
      </c>
      <c r="E222" s="78" t="s">
        <v>24</v>
      </c>
    </row>
    <row r="223" spans="1:5" ht="18" customHeight="1">
      <c r="A223" s="165" t="s">
        <v>118</v>
      </c>
      <c r="B223" s="166"/>
      <c r="C223" s="166"/>
      <c r="D223" s="166"/>
      <c r="E223" s="166"/>
    </row>
    <row r="224" spans="1:5" ht="18" customHeight="1">
      <c r="A224" s="100" t="s">
        <v>119</v>
      </c>
      <c r="B224" s="100" t="s">
        <v>117</v>
      </c>
      <c r="C224" s="100" t="s">
        <v>120</v>
      </c>
      <c r="D224" s="100" t="s">
        <v>121</v>
      </c>
      <c r="E224" s="100" t="s">
        <v>122</v>
      </c>
    </row>
    <row r="225" spans="1:5" ht="18" customHeight="1">
      <c r="A225" s="80" t="s">
        <v>123</v>
      </c>
      <c r="B225" s="81" t="s">
        <v>124</v>
      </c>
      <c r="C225" s="82"/>
      <c r="D225" s="83"/>
      <c r="E225" s="83"/>
    </row>
    <row r="226" spans="1:5" ht="18" customHeight="1">
      <c r="A226" s="81"/>
      <c r="B226" s="81"/>
      <c r="C226" s="81"/>
      <c r="D226" s="83"/>
      <c r="E226" s="83"/>
    </row>
    <row r="227" spans="1:5" ht="18" customHeight="1">
      <c r="A227" s="161" t="s">
        <v>128</v>
      </c>
      <c r="B227" s="162"/>
      <c r="C227" s="162"/>
      <c r="D227" s="162"/>
      <c r="E227" s="101">
        <v>366.66666666666669</v>
      </c>
    </row>
    <row r="228" spans="1:5" ht="18" customHeight="1">
      <c r="A228" s="165" t="s">
        <v>129</v>
      </c>
      <c r="B228" s="166"/>
      <c r="C228" s="166"/>
      <c r="D228" s="166"/>
      <c r="E228" s="166"/>
    </row>
    <row r="229" spans="1:5" ht="18" customHeight="1">
      <c r="A229" s="100" t="s">
        <v>119</v>
      </c>
      <c r="B229" s="100" t="s">
        <v>117</v>
      </c>
      <c r="C229" s="100" t="s">
        <v>130</v>
      </c>
      <c r="D229" s="100" t="s">
        <v>131</v>
      </c>
      <c r="E229" s="100" t="s">
        <v>122</v>
      </c>
    </row>
    <row r="230" spans="1:5" ht="18" customHeight="1">
      <c r="A230" s="80" t="s">
        <v>167</v>
      </c>
      <c r="B230" s="81" t="s">
        <v>134</v>
      </c>
      <c r="C230" s="85"/>
      <c r="D230" s="83"/>
      <c r="E230" s="83"/>
    </row>
    <row r="231" spans="1:5" ht="18" customHeight="1">
      <c r="A231" s="80" t="s">
        <v>162</v>
      </c>
      <c r="B231" s="81" t="s">
        <v>134</v>
      </c>
      <c r="C231" s="85"/>
      <c r="D231" s="83"/>
      <c r="E231" s="83"/>
    </row>
    <row r="232" spans="1:5" ht="18" customHeight="1">
      <c r="A232" s="80" t="s">
        <v>163</v>
      </c>
      <c r="B232" s="81" t="s">
        <v>134</v>
      </c>
      <c r="C232" s="85"/>
      <c r="D232" s="83"/>
      <c r="E232" s="83"/>
    </row>
    <row r="233" spans="1:5" ht="18" customHeight="1">
      <c r="A233" s="80" t="s">
        <v>164</v>
      </c>
      <c r="B233" s="81" t="s">
        <v>134</v>
      </c>
      <c r="C233" s="86"/>
      <c r="D233" s="83"/>
      <c r="E233" s="83"/>
    </row>
    <row r="234" spans="1:5" ht="18" customHeight="1">
      <c r="A234" s="80"/>
      <c r="B234" s="81"/>
      <c r="C234" s="94"/>
      <c r="D234" s="83"/>
      <c r="E234" s="83"/>
    </row>
    <row r="235" spans="1:5" ht="18" customHeight="1">
      <c r="A235" s="87" t="s">
        <v>135</v>
      </c>
      <c r="B235" s="163"/>
      <c r="C235" s="164"/>
      <c r="D235" s="164"/>
      <c r="E235" s="83"/>
    </row>
    <row r="236" spans="1:5" ht="18" customHeight="1">
      <c r="A236" s="87"/>
      <c r="B236" s="88"/>
      <c r="C236" s="89"/>
      <c r="D236" s="89"/>
      <c r="E236" s="83"/>
    </row>
    <row r="237" spans="1:5" ht="18" customHeight="1">
      <c r="A237" s="161" t="s">
        <v>128</v>
      </c>
      <c r="B237" s="162"/>
      <c r="C237" s="162"/>
      <c r="D237" s="162"/>
      <c r="E237" s="101">
        <v>38000</v>
      </c>
    </row>
    <row r="238" spans="1:5" ht="18" customHeight="1">
      <c r="A238" s="165" t="s">
        <v>136</v>
      </c>
      <c r="B238" s="166"/>
      <c r="C238" s="166"/>
      <c r="D238" s="166"/>
      <c r="E238" s="166"/>
    </row>
    <row r="239" spans="1:5" ht="18" customHeight="1">
      <c r="A239" s="100" t="s">
        <v>119</v>
      </c>
      <c r="B239" s="100" t="s">
        <v>117</v>
      </c>
      <c r="C239" s="100" t="s">
        <v>120</v>
      </c>
      <c r="D239" s="100" t="s">
        <v>121</v>
      </c>
      <c r="E239" s="100" t="s">
        <v>122</v>
      </c>
    </row>
    <row r="240" spans="1:5" ht="18" customHeight="1">
      <c r="A240" s="80" t="s">
        <v>137</v>
      </c>
      <c r="B240" s="81" t="s">
        <v>126</v>
      </c>
      <c r="C240" s="82"/>
      <c r="D240" s="83"/>
      <c r="E240" s="83"/>
    </row>
    <row r="241" spans="1:5" ht="18" customHeight="1">
      <c r="A241" s="80"/>
      <c r="B241" s="81"/>
      <c r="C241" s="82"/>
      <c r="D241" s="83"/>
      <c r="E241" s="83"/>
    </row>
    <row r="242" spans="1:5" ht="18" customHeight="1">
      <c r="A242" s="161" t="s">
        <v>128</v>
      </c>
      <c r="B242" s="162"/>
      <c r="C242" s="162"/>
      <c r="D242" s="162"/>
      <c r="E242" s="101">
        <v>1500</v>
      </c>
    </row>
    <row r="243" spans="1:5" ht="18" customHeight="1">
      <c r="A243" s="165" t="s">
        <v>138</v>
      </c>
      <c r="B243" s="166"/>
      <c r="C243" s="166"/>
      <c r="D243" s="166"/>
      <c r="E243" s="166"/>
    </row>
    <row r="244" spans="1:5" ht="18" customHeight="1">
      <c r="A244" s="100" t="s">
        <v>119</v>
      </c>
      <c r="B244" s="100" t="s">
        <v>117</v>
      </c>
      <c r="C244" s="100" t="s">
        <v>120</v>
      </c>
      <c r="D244" s="100" t="s">
        <v>139</v>
      </c>
      <c r="E244" s="100" t="s">
        <v>122</v>
      </c>
    </row>
    <row r="245" spans="1:5" ht="18" customHeight="1">
      <c r="A245" s="80" t="s">
        <v>149</v>
      </c>
      <c r="B245" s="81" t="s">
        <v>126</v>
      </c>
      <c r="C245" s="82"/>
      <c r="D245" s="83"/>
      <c r="E245" s="83"/>
    </row>
    <row r="246" spans="1:5" ht="18" customHeight="1">
      <c r="A246" s="80"/>
      <c r="B246" s="81"/>
      <c r="C246" s="82"/>
      <c r="D246" s="83"/>
      <c r="E246" s="83"/>
    </row>
    <row r="247" spans="1:5" ht="18" customHeight="1">
      <c r="A247" s="161" t="s">
        <v>128</v>
      </c>
      <c r="B247" s="162"/>
      <c r="C247" s="162"/>
      <c r="D247" s="162"/>
      <c r="E247" s="101">
        <v>7333.333333333333</v>
      </c>
    </row>
    <row r="248" spans="1:5" ht="18" customHeight="1">
      <c r="A248" s="81"/>
      <c r="B248" s="89"/>
      <c r="C248" s="89"/>
      <c r="D248" s="89"/>
      <c r="E248" s="89"/>
    </row>
    <row r="249" spans="1:5" ht="18" customHeight="1">
      <c r="A249" s="161" t="s">
        <v>140</v>
      </c>
      <c r="B249" s="162"/>
      <c r="C249" s="162"/>
      <c r="D249" s="162"/>
      <c r="E249" s="101">
        <f>SUM(E227,E237,E242,E247)</f>
        <v>47200</v>
      </c>
    </row>
    <row r="250" spans="1:5" ht="18" customHeight="1">
      <c r="A250" s="72"/>
      <c r="B250" s="73"/>
      <c r="C250" s="73"/>
      <c r="D250" s="73"/>
      <c r="E250" s="73"/>
    </row>
    <row r="251" spans="1:5" ht="18" customHeight="1">
      <c r="A251" s="72"/>
      <c r="B251" s="73"/>
      <c r="C251" s="73"/>
      <c r="D251" s="73"/>
      <c r="E251" s="73"/>
    </row>
  </sheetData>
  <mergeCells count="97">
    <mergeCell ref="A14:E14"/>
    <mergeCell ref="A1:E1"/>
    <mergeCell ref="A5:C5"/>
    <mergeCell ref="A6:C6"/>
    <mergeCell ref="A7:E7"/>
    <mergeCell ref="A13:D13"/>
    <mergeCell ref="A45:E45"/>
    <mergeCell ref="B18:D18"/>
    <mergeCell ref="A20:D20"/>
    <mergeCell ref="A21:E21"/>
    <mergeCell ref="A25:D25"/>
    <mergeCell ref="A26:E26"/>
    <mergeCell ref="A30:D30"/>
    <mergeCell ref="A32:D32"/>
    <mergeCell ref="A37:C37"/>
    <mergeCell ref="A38:C38"/>
    <mergeCell ref="A39:E39"/>
    <mergeCell ref="A44:D44"/>
    <mergeCell ref="A73:E73"/>
    <mergeCell ref="B48:D48"/>
    <mergeCell ref="A50:D50"/>
    <mergeCell ref="A51:E51"/>
    <mergeCell ref="A55:D55"/>
    <mergeCell ref="A56:E56"/>
    <mergeCell ref="A60:D60"/>
    <mergeCell ref="A62:D62"/>
    <mergeCell ref="A65:C65"/>
    <mergeCell ref="A66:C66"/>
    <mergeCell ref="A67:E67"/>
    <mergeCell ref="A72:D72"/>
    <mergeCell ref="A103:E103"/>
    <mergeCell ref="B78:D78"/>
    <mergeCell ref="A80:D80"/>
    <mergeCell ref="A81:E81"/>
    <mergeCell ref="A85:D85"/>
    <mergeCell ref="A86:E86"/>
    <mergeCell ref="A90:D90"/>
    <mergeCell ref="A92:D92"/>
    <mergeCell ref="A95:C95"/>
    <mergeCell ref="A96:C96"/>
    <mergeCell ref="A97:E97"/>
    <mergeCell ref="A102:D102"/>
    <mergeCell ref="A134:E134"/>
    <mergeCell ref="B108:D108"/>
    <mergeCell ref="A110:D110"/>
    <mergeCell ref="A111:E111"/>
    <mergeCell ref="A115:D115"/>
    <mergeCell ref="A116:E116"/>
    <mergeCell ref="A120:D120"/>
    <mergeCell ref="A122:D122"/>
    <mergeCell ref="A126:C126"/>
    <mergeCell ref="A127:C127"/>
    <mergeCell ref="A128:E128"/>
    <mergeCell ref="A133:D133"/>
    <mergeCell ref="A168:E168"/>
    <mergeCell ref="B140:D140"/>
    <mergeCell ref="A142:D142"/>
    <mergeCell ref="A143:E143"/>
    <mergeCell ref="A147:D147"/>
    <mergeCell ref="A148:E148"/>
    <mergeCell ref="A152:D152"/>
    <mergeCell ref="A154:D154"/>
    <mergeCell ref="A160:C160"/>
    <mergeCell ref="A161:C161"/>
    <mergeCell ref="A162:E162"/>
    <mergeCell ref="A167:D167"/>
    <mergeCell ref="A196:E196"/>
    <mergeCell ref="B171:D171"/>
    <mergeCell ref="A173:D173"/>
    <mergeCell ref="A174:E174"/>
    <mergeCell ref="A178:D178"/>
    <mergeCell ref="A179:E179"/>
    <mergeCell ref="A183:D183"/>
    <mergeCell ref="A185:D185"/>
    <mergeCell ref="A188:C188"/>
    <mergeCell ref="A189:C189"/>
    <mergeCell ref="A190:E190"/>
    <mergeCell ref="A195:D195"/>
    <mergeCell ref="A228:E228"/>
    <mergeCell ref="B204:D204"/>
    <mergeCell ref="A206:D206"/>
    <mergeCell ref="A207:E207"/>
    <mergeCell ref="A211:D211"/>
    <mergeCell ref="A212:E212"/>
    <mergeCell ref="A216:D216"/>
    <mergeCell ref="A218:D218"/>
    <mergeCell ref="A221:C221"/>
    <mergeCell ref="A222:C222"/>
    <mergeCell ref="A223:E223"/>
    <mergeCell ref="A227:D227"/>
    <mergeCell ref="A249:D249"/>
    <mergeCell ref="B235:D235"/>
    <mergeCell ref="A237:D237"/>
    <mergeCell ref="A238:E238"/>
    <mergeCell ref="A242:D242"/>
    <mergeCell ref="A243:E243"/>
    <mergeCell ref="A247:D247"/>
  </mergeCells>
  <pageMargins left="0.7" right="0.7" top="0.75" bottom="0.7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6D3E-6A24-41A3-890D-70160C54E126}">
  <sheetPr>
    <tabColor rgb="FF64A0B0"/>
  </sheetPr>
  <dimension ref="A1:I284"/>
  <sheetViews>
    <sheetView topLeftCell="A265" zoomScale="90" zoomScaleNormal="90" workbookViewId="0">
      <selection activeCell="H144" sqref="H144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8.6640625" style="93" customWidth="1"/>
    <col min="8" max="8" width="13.6640625" style="93" customWidth="1"/>
    <col min="9" max="9" width="12.6640625" style="93" customWidth="1"/>
    <col min="10" max="26" width="9.6640625" style="93" customWidth="1"/>
    <col min="27" max="16384" width="13" style="93"/>
  </cols>
  <sheetData>
    <row r="1" spans="1:7" s="71" customFormat="1" ht="25" customHeight="1">
      <c r="A1" s="174" t="s">
        <v>66</v>
      </c>
      <c r="B1" s="175"/>
      <c r="C1" s="175"/>
      <c r="D1" s="175"/>
      <c r="E1" s="175"/>
    </row>
    <row r="2" spans="1:7" s="71" customFormat="1" ht="20" customHeight="1">
      <c r="A2" s="72"/>
      <c r="B2" s="73"/>
      <c r="C2" s="73"/>
      <c r="D2" s="73"/>
      <c r="E2" s="73"/>
    </row>
    <row r="3" spans="1:7" s="71" customFormat="1" ht="20" customHeight="1">
      <c r="A3" s="74" t="s">
        <v>217</v>
      </c>
      <c r="B3" s="75"/>
      <c r="C3" s="75"/>
      <c r="D3" s="75"/>
      <c r="E3" s="75"/>
      <c r="G3" s="76"/>
    </row>
    <row r="4" spans="1:7" s="71" customFormat="1" ht="20" customHeight="1">
      <c r="A4" s="72"/>
      <c r="B4" s="73"/>
      <c r="C4" s="73"/>
      <c r="D4" s="73"/>
      <c r="E4" s="73"/>
    </row>
    <row r="5" spans="1:7" s="71" customFormat="1" ht="20" customHeight="1">
      <c r="A5" s="176" t="s">
        <v>218</v>
      </c>
      <c r="B5" s="177"/>
      <c r="C5" s="177"/>
      <c r="D5" s="123" t="s">
        <v>115</v>
      </c>
      <c r="E5" s="123" t="s">
        <v>116</v>
      </c>
    </row>
    <row r="6" spans="1:7" s="71" customFormat="1" ht="20" customHeight="1">
      <c r="A6" s="169"/>
      <c r="B6" s="164"/>
      <c r="C6" s="164"/>
      <c r="D6" s="78" t="s">
        <v>117</v>
      </c>
      <c r="E6" s="78" t="s">
        <v>24</v>
      </c>
    </row>
    <row r="7" spans="1:7" s="71" customFormat="1" ht="20" customHeight="1">
      <c r="A7" s="165" t="s">
        <v>118</v>
      </c>
      <c r="B7" s="166"/>
      <c r="C7" s="166"/>
      <c r="D7" s="166"/>
      <c r="E7" s="166"/>
    </row>
    <row r="8" spans="1:7" s="71" customFormat="1" ht="20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7" s="71" customFormat="1" ht="20" customHeight="1">
      <c r="A9" s="80" t="s">
        <v>123</v>
      </c>
      <c r="B9" s="81" t="s">
        <v>124</v>
      </c>
      <c r="C9" s="82"/>
      <c r="D9" s="83"/>
      <c r="E9" s="83"/>
    </row>
    <row r="10" spans="1:7" s="71" customFormat="1" ht="20" customHeight="1">
      <c r="A10" s="80" t="s">
        <v>125</v>
      </c>
      <c r="B10" s="81" t="s">
        <v>126</v>
      </c>
      <c r="C10" s="82"/>
      <c r="D10" s="83"/>
      <c r="E10" s="83"/>
      <c r="G10" s="84"/>
    </row>
    <row r="11" spans="1:7" s="71" customFormat="1" ht="20" customHeight="1">
      <c r="A11" s="81"/>
      <c r="B11" s="81"/>
      <c r="C11" s="81"/>
      <c r="D11" s="83"/>
      <c r="E11" s="83"/>
    </row>
    <row r="12" spans="1:7" s="71" customFormat="1" ht="20" customHeight="1">
      <c r="A12" s="161" t="s">
        <v>128</v>
      </c>
      <c r="B12" s="162"/>
      <c r="C12" s="162"/>
      <c r="D12" s="162"/>
      <c r="E12" s="101">
        <v>1062.5</v>
      </c>
    </row>
    <row r="13" spans="1:7" s="71" customFormat="1" ht="20" customHeight="1">
      <c r="A13" s="165" t="s">
        <v>129</v>
      </c>
      <c r="B13" s="166"/>
      <c r="C13" s="166"/>
      <c r="D13" s="166"/>
      <c r="E13" s="166"/>
    </row>
    <row r="14" spans="1:7" s="71" customFormat="1" ht="20" customHeight="1">
      <c r="A14" s="100" t="s">
        <v>119</v>
      </c>
      <c r="B14" s="100" t="s">
        <v>117</v>
      </c>
      <c r="C14" s="100" t="s">
        <v>130</v>
      </c>
      <c r="D14" s="100" t="s">
        <v>131</v>
      </c>
      <c r="E14" s="100" t="s">
        <v>122</v>
      </c>
    </row>
    <row r="15" spans="1:7" s="71" customFormat="1" ht="20" customHeight="1">
      <c r="A15" s="80" t="s">
        <v>219</v>
      </c>
      <c r="B15" s="81" t="s">
        <v>220</v>
      </c>
      <c r="C15" s="94"/>
      <c r="D15" s="83"/>
      <c r="E15" s="83"/>
      <c r="G15" s="84"/>
    </row>
    <row r="16" spans="1:7" s="71" customFormat="1" ht="20" customHeight="1">
      <c r="A16" s="80" t="s">
        <v>221</v>
      </c>
      <c r="B16" s="81" t="s">
        <v>134</v>
      </c>
      <c r="C16" s="94"/>
      <c r="D16" s="83"/>
      <c r="E16" s="83"/>
      <c r="G16" s="84"/>
    </row>
    <row r="17" spans="1:7" s="71" customFormat="1" ht="20" customHeight="1">
      <c r="A17" s="80" t="s">
        <v>222</v>
      </c>
      <c r="B17" s="81" t="s">
        <v>134</v>
      </c>
      <c r="C17" s="94"/>
      <c r="D17" s="83"/>
      <c r="E17" s="83"/>
      <c r="G17" s="84"/>
    </row>
    <row r="18" spans="1:7" s="71" customFormat="1" ht="20" customHeight="1">
      <c r="A18" s="80" t="s">
        <v>239</v>
      </c>
      <c r="B18" s="81" t="s">
        <v>24</v>
      </c>
      <c r="C18" s="94"/>
      <c r="D18" s="83"/>
      <c r="E18" s="83"/>
      <c r="G18" s="84"/>
    </row>
    <row r="19" spans="1:7" s="71" customFormat="1" ht="20" customHeight="1">
      <c r="A19" s="80"/>
      <c r="B19" s="81"/>
      <c r="C19" s="86"/>
      <c r="D19" s="83"/>
      <c r="E19" s="83"/>
    </row>
    <row r="20" spans="1:7" s="71" customFormat="1" ht="20" customHeight="1">
      <c r="A20" s="87" t="s">
        <v>135</v>
      </c>
      <c r="B20" s="163"/>
      <c r="C20" s="164"/>
      <c r="D20" s="164"/>
      <c r="E20" s="83"/>
    </row>
    <row r="21" spans="1:7" s="71" customFormat="1" ht="20" customHeight="1">
      <c r="A21" s="87"/>
      <c r="B21" s="88"/>
      <c r="C21" s="89"/>
      <c r="D21" s="89"/>
      <c r="E21" s="83"/>
    </row>
    <row r="22" spans="1:7" s="71" customFormat="1" ht="20" customHeight="1">
      <c r="A22" s="161" t="s">
        <v>128</v>
      </c>
      <c r="B22" s="162"/>
      <c r="C22" s="162"/>
      <c r="D22" s="162"/>
      <c r="E22" s="101">
        <v>9651.6</v>
      </c>
    </row>
    <row r="23" spans="1:7" s="71" customFormat="1" ht="20" customHeight="1">
      <c r="A23" s="165" t="s">
        <v>136</v>
      </c>
      <c r="B23" s="166"/>
      <c r="C23" s="166"/>
      <c r="D23" s="166"/>
      <c r="E23" s="166"/>
    </row>
    <row r="24" spans="1:7" s="71" customFormat="1" ht="20" customHeight="1">
      <c r="A24" s="100" t="s">
        <v>119</v>
      </c>
      <c r="B24" s="100" t="s">
        <v>117</v>
      </c>
      <c r="C24" s="100" t="s">
        <v>120</v>
      </c>
      <c r="D24" s="100" t="s">
        <v>121</v>
      </c>
      <c r="E24" s="100" t="s">
        <v>122</v>
      </c>
    </row>
    <row r="25" spans="1:7" s="71" customFormat="1" ht="20" customHeight="1">
      <c r="A25" s="80" t="s">
        <v>148</v>
      </c>
      <c r="B25" s="81" t="s">
        <v>126</v>
      </c>
      <c r="C25" s="82"/>
      <c r="D25" s="83"/>
      <c r="E25" s="83"/>
    </row>
    <row r="26" spans="1:7" s="71" customFormat="1" ht="20" customHeight="1">
      <c r="A26" s="80"/>
      <c r="B26" s="81"/>
      <c r="C26" s="82"/>
      <c r="D26" s="83"/>
      <c r="E26" s="83"/>
    </row>
    <row r="27" spans="1:7" s="71" customFormat="1" ht="20" customHeight="1">
      <c r="A27" s="161" t="s">
        <v>128</v>
      </c>
      <c r="B27" s="162"/>
      <c r="C27" s="162"/>
      <c r="D27" s="162"/>
      <c r="E27" s="101">
        <v>625</v>
      </c>
    </row>
    <row r="28" spans="1:7" s="71" customFormat="1" ht="20" customHeight="1">
      <c r="A28" s="165" t="s">
        <v>138</v>
      </c>
      <c r="B28" s="166"/>
      <c r="C28" s="166"/>
      <c r="D28" s="166"/>
      <c r="E28" s="166"/>
    </row>
    <row r="29" spans="1:7" s="71" customFormat="1" ht="20" customHeight="1">
      <c r="A29" s="100" t="s">
        <v>119</v>
      </c>
      <c r="B29" s="100" t="s">
        <v>117</v>
      </c>
      <c r="C29" s="100" t="s">
        <v>120</v>
      </c>
      <c r="D29" s="100" t="s">
        <v>139</v>
      </c>
      <c r="E29" s="100" t="s">
        <v>122</v>
      </c>
    </row>
    <row r="30" spans="1:7" s="71" customFormat="1" ht="20" customHeight="1">
      <c r="A30" s="80" t="s">
        <v>149</v>
      </c>
      <c r="B30" s="81" t="s">
        <v>126</v>
      </c>
      <c r="C30" s="82"/>
      <c r="D30" s="83"/>
      <c r="E30" s="83"/>
      <c r="G30" s="124"/>
    </row>
    <row r="31" spans="1:7" s="71" customFormat="1" ht="20" customHeight="1">
      <c r="A31" s="80"/>
      <c r="B31" s="81"/>
      <c r="C31" s="82"/>
      <c r="D31" s="83"/>
      <c r="E31" s="83"/>
    </row>
    <row r="32" spans="1:7" s="71" customFormat="1" ht="20" customHeight="1">
      <c r="A32" s="161" t="s">
        <v>128</v>
      </c>
      <c r="B32" s="162"/>
      <c r="C32" s="162"/>
      <c r="D32" s="162"/>
      <c r="E32" s="101">
        <v>5625</v>
      </c>
    </row>
    <row r="33" spans="1:6" s="71" customFormat="1" ht="20" customHeight="1">
      <c r="A33" s="81"/>
      <c r="B33" s="89"/>
      <c r="C33" s="89"/>
      <c r="D33" s="89"/>
      <c r="E33" s="89"/>
    </row>
    <row r="34" spans="1:6" s="71" customFormat="1" ht="20" customHeight="1">
      <c r="A34" s="161" t="s">
        <v>140</v>
      </c>
      <c r="B34" s="162"/>
      <c r="C34" s="162"/>
      <c r="D34" s="162"/>
      <c r="E34" s="101">
        <f>SUM(E12,E22,E27,E32)</f>
        <v>16964.099999999999</v>
      </c>
      <c r="F34" s="84"/>
    </row>
    <row r="35" spans="1:6" s="71" customFormat="1" ht="20" customHeight="1">
      <c r="A35" s="72"/>
      <c r="B35" s="73"/>
      <c r="C35" s="73"/>
      <c r="D35" s="73"/>
      <c r="E35" s="73"/>
    </row>
    <row r="36" spans="1:6" s="71" customFormat="1" ht="20" customHeight="1">
      <c r="A36" s="72"/>
      <c r="B36" s="73"/>
      <c r="C36" s="73"/>
      <c r="D36" s="73"/>
      <c r="E36" s="73"/>
    </row>
    <row r="37" spans="1:6" s="71" customFormat="1" ht="20" customHeight="1">
      <c r="A37" s="102" t="s">
        <v>223</v>
      </c>
      <c r="B37" s="91"/>
      <c r="C37" s="91"/>
      <c r="D37" s="91"/>
      <c r="E37" s="92" t="s">
        <v>25</v>
      </c>
    </row>
    <row r="38" spans="1:6" s="71" customFormat="1" ht="20" customHeight="1">
      <c r="A38" s="72"/>
      <c r="B38" s="73"/>
      <c r="C38" s="73"/>
      <c r="D38" s="73"/>
      <c r="E38" s="73"/>
    </row>
    <row r="39" spans="1:6" ht="18" customHeight="1">
      <c r="A39" s="172" t="s">
        <v>224</v>
      </c>
      <c r="B39" s="172"/>
      <c r="C39" s="172"/>
      <c r="D39" s="77" t="s">
        <v>115</v>
      </c>
      <c r="E39" s="77"/>
    </row>
    <row r="40" spans="1:6" ht="18" customHeight="1">
      <c r="A40" s="169"/>
      <c r="B40" s="169"/>
      <c r="C40" s="169"/>
      <c r="D40" s="78" t="s">
        <v>117</v>
      </c>
      <c r="E40" s="78" t="s">
        <v>24</v>
      </c>
    </row>
    <row r="41" spans="1:6" ht="18" customHeight="1">
      <c r="A41" s="165" t="s">
        <v>118</v>
      </c>
      <c r="B41" s="165"/>
      <c r="C41" s="165"/>
      <c r="D41" s="165"/>
      <c r="E41" s="165"/>
    </row>
    <row r="42" spans="1:6" ht="18" customHeight="1">
      <c r="A42" s="100" t="s">
        <v>119</v>
      </c>
      <c r="B42" s="100" t="s">
        <v>117</v>
      </c>
      <c r="C42" s="100" t="s">
        <v>120</v>
      </c>
      <c r="D42" s="100" t="s">
        <v>121</v>
      </c>
      <c r="E42" s="100" t="s">
        <v>122</v>
      </c>
    </row>
    <row r="43" spans="1:6" ht="18" customHeight="1">
      <c r="A43" s="80" t="s">
        <v>123</v>
      </c>
      <c r="B43" s="81" t="s">
        <v>124</v>
      </c>
      <c r="C43" s="82"/>
      <c r="D43" s="83"/>
      <c r="E43" s="83"/>
    </row>
    <row r="44" spans="1:6" ht="18" customHeight="1">
      <c r="A44" s="80" t="s">
        <v>125</v>
      </c>
      <c r="B44" s="81" t="s">
        <v>126</v>
      </c>
      <c r="C44" s="82"/>
      <c r="D44" s="83"/>
      <c r="E44" s="83"/>
    </row>
    <row r="45" spans="1:6" ht="18" customHeight="1">
      <c r="A45" s="81"/>
      <c r="B45" s="81"/>
      <c r="C45" s="81"/>
      <c r="D45" s="83"/>
      <c r="E45" s="83"/>
    </row>
    <row r="46" spans="1:6" ht="18" customHeight="1">
      <c r="A46" s="161" t="s">
        <v>128</v>
      </c>
      <c r="B46" s="161"/>
      <c r="C46" s="161"/>
      <c r="D46" s="161"/>
      <c r="E46" s="101">
        <v>600</v>
      </c>
    </row>
    <row r="47" spans="1:6" ht="18" customHeight="1">
      <c r="A47" s="165" t="s">
        <v>129</v>
      </c>
      <c r="B47" s="165"/>
      <c r="C47" s="165"/>
      <c r="D47" s="165"/>
      <c r="E47" s="165"/>
    </row>
    <row r="48" spans="1:6" ht="18" customHeight="1">
      <c r="A48" s="100" t="s">
        <v>119</v>
      </c>
      <c r="B48" s="100" t="s">
        <v>117</v>
      </c>
      <c r="C48" s="100" t="s">
        <v>130</v>
      </c>
      <c r="D48" s="100" t="s">
        <v>131</v>
      </c>
      <c r="E48" s="100" t="s">
        <v>122</v>
      </c>
    </row>
    <row r="49" spans="1:8" ht="18" customHeight="1">
      <c r="A49" s="80" t="s">
        <v>225</v>
      </c>
      <c r="B49" s="81" t="s">
        <v>220</v>
      </c>
      <c r="C49" s="94"/>
      <c r="D49" s="83"/>
      <c r="E49" s="83"/>
      <c r="G49" s="97"/>
      <c r="H49" s="93">
        <f>19/32</f>
        <v>0.59375</v>
      </c>
    </row>
    <row r="50" spans="1:8" ht="18" customHeight="1">
      <c r="A50" s="80"/>
      <c r="B50" s="81"/>
      <c r="C50" s="94"/>
      <c r="D50" s="83"/>
      <c r="E50" s="83"/>
    </row>
    <row r="51" spans="1:8" ht="18" customHeight="1">
      <c r="A51" s="87" t="s">
        <v>135</v>
      </c>
      <c r="B51" s="163"/>
      <c r="C51" s="163"/>
      <c r="D51" s="163"/>
      <c r="E51" s="83">
        <v>0</v>
      </c>
    </row>
    <row r="52" spans="1:8" ht="18" customHeight="1">
      <c r="A52" s="87"/>
      <c r="B52" s="88"/>
      <c r="C52" s="89"/>
      <c r="D52" s="89"/>
      <c r="E52" s="83"/>
    </row>
    <row r="53" spans="1:8" ht="18" customHeight="1">
      <c r="A53" s="161" t="s">
        <v>128</v>
      </c>
      <c r="B53" s="161"/>
      <c r="C53" s="161"/>
      <c r="D53" s="161"/>
      <c r="E53" s="101">
        <v>8623.5</v>
      </c>
    </row>
    <row r="54" spans="1:8" ht="18" customHeight="1">
      <c r="A54" s="165" t="s">
        <v>136</v>
      </c>
      <c r="B54" s="165"/>
      <c r="C54" s="165"/>
      <c r="D54" s="165"/>
      <c r="E54" s="165"/>
    </row>
    <row r="55" spans="1:8" ht="18" customHeight="1">
      <c r="A55" s="100" t="s">
        <v>119</v>
      </c>
      <c r="B55" s="100" t="s">
        <v>117</v>
      </c>
      <c r="C55" s="100" t="s">
        <v>120</v>
      </c>
      <c r="D55" s="100" t="s">
        <v>121</v>
      </c>
      <c r="E55" s="100" t="s">
        <v>122</v>
      </c>
    </row>
    <row r="56" spans="1:8" ht="18" customHeight="1">
      <c r="A56" s="80" t="s">
        <v>137</v>
      </c>
      <c r="B56" s="81" t="s">
        <v>126</v>
      </c>
      <c r="C56" s="82"/>
      <c r="D56" s="83"/>
      <c r="E56" s="83"/>
      <c r="G56" s="95"/>
    </row>
    <row r="57" spans="1:8" ht="18" customHeight="1">
      <c r="A57" s="80"/>
      <c r="B57" s="81"/>
      <c r="C57" s="82"/>
      <c r="D57" s="83"/>
      <c r="E57" s="83"/>
    </row>
    <row r="58" spans="1:8" ht="18" customHeight="1">
      <c r="A58" s="161" t="s">
        <v>128</v>
      </c>
      <c r="B58" s="161"/>
      <c r="C58" s="161"/>
      <c r="D58" s="161"/>
      <c r="E58" s="101">
        <v>125</v>
      </c>
    </row>
    <row r="59" spans="1:8" ht="18" customHeight="1">
      <c r="A59" s="165" t="s">
        <v>138</v>
      </c>
      <c r="B59" s="165"/>
      <c r="C59" s="165"/>
      <c r="D59" s="165"/>
      <c r="E59" s="165"/>
    </row>
    <row r="60" spans="1:8" ht="18" customHeight="1">
      <c r="A60" s="100" t="s">
        <v>119</v>
      </c>
      <c r="B60" s="100" t="s">
        <v>117</v>
      </c>
      <c r="C60" s="100" t="s">
        <v>120</v>
      </c>
      <c r="D60" s="100" t="s">
        <v>139</v>
      </c>
      <c r="E60" s="100" t="s">
        <v>122</v>
      </c>
    </row>
    <row r="61" spans="1:8" ht="18" customHeight="1">
      <c r="A61" s="80" t="s">
        <v>168</v>
      </c>
      <c r="B61" s="81" t="s">
        <v>126</v>
      </c>
      <c r="C61" s="82"/>
      <c r="D61" s="83"/>
      <c r="E61" s="83"/>
    </row>
    <row r="62" spans="1:8" ht="18" customHeight="1">
      <c r="A62" s="80"/>
      <c r="B62" s="81"/>
      <c r="C62" s="82"/>
      <c r="D62" s="83"/>
      <c r="E62" s="83"/>
    </row>
    <row r="63" spans="1:8" ht="18" customHeight="1">
      <c r="A63" s="161" t="s">
        <v>128</v>
      </c>
      <c r="B63" s="161"/>
      <c r="C63" s="161"/>
      <c r="D63" s="161"/>
      <c r="E63" s="101">
        <v>2000</v>
      </c>
    </row>
    <row r="64" spans="1:8" ht="18" customHeight="1">
      <c r="A64" s="81"/>
      <c r="B64" s="89"/>
      <c r="C64" s="89"/>
      <c r="D64" s="89"/>
      <c r="E64" s="89"/>
    </row>
    <row r="65" spans="1:7" ht="18" customHeight="1">
      <c r="A65" s="161" t="s">
        <v>140</v>
      </c>
      <c r="B65" s="161"/>
      <c r="C65" s="161"/>
      <c r="D65" s="161"/>
      <c r="E65" s="101">
        <f>SUM(E46,E53,E58,E63)</f>
        <v>11348.5</v>
      </c>
    </row>
    <row r="68" spans="1:7" ht="18" customHeight="1">
      <c r="A68" s="171" t="s">
        <v>143</v>
      </c>
      <c r="B68" s="171"/>
      <c r="C68" s="171"/>
      <c r="D68" s="96" t="s">
        <v>115</v>
      </c>
      <c r="E68" s="96"/>
    </row>
    <row r="69" spans="1:7" ht="18" customHeight="1">
      <c r="A69" s="169"/>
      <c r="B69" s="169"/>
      <c r="C69" s="169"/>
      <c r="D69" s="78" t="s">
        <v>117</v>
      </c>
      <c r="E69" s="78" t="s">
        <v>24</v>
      </c>
    </row>
    <row r="70" spans="1:7" ht="18" customHeight="1">
      <c r="A70" s="165" t="s">
        <v>118</v>
      </c>
      <c r="B70" s="165"/>
      <c r="C70" s="165"/>
      <c r="D70" s="165"/>
      <c r="E70" s="165"/>
    </row>
    <row r="71" spans="1:7" ht="18" customHeight="1">
      <c r="A71" s="100" t="s">
        <v>119</v>
      </c>
      <c r="B71" s="100" t="s">
        <v>117</v>
      </c>
      <c r="C71" s="100" t="s">
        <v>120</v>
      </c>
      <c r="D71" s="100" t="s">
        <v>121</v>
      </c>
      <c r="E71" s="100" t="s">
        <v>122</v>
      </c>
    </row>
    <row r="72" spans="1:7" ht="18" customHeight="1">
      <c r="A72" s="80" t="s">
        <v>123</v>
      </c>
      <c r="B72" s="81" t="s">
        <v>124</v>
      </c>
      <c r="C72" s="82"/>
      <c r="D72" s="83"/>
      <c r="E72" s="83"/>
    </row>
    <row r="73" spans="1:7" ht="18" customHeight="1">
      <c r="A73" s="80" t="s">
        <v>125</v>
      </c>
      <c r="B73" s="81" t="s">
        <v>126</v>
      </c>
      <c r="C73" s="82"/>
      <c r="D73" s="83"/>
      <c r="E73" s="83"/>
    </row>
    <row r="74" spans="1:7" ht="18" customHeight="1">
      <c r="A74" s="81"/>
      <c r="B74" s="81"/>
      <c r="C74" s="81"/>
      <c r="D74" s="83"/>
      <c r="E74" s="83"/>
    </row>
    <row r="75" spans="1:7" ht="18" customHeight="1">
      <c r="A75" s="161" t="s">
        <v>128</v>
      </c>
      <c r="B75" s="161"/>
      <c r="C75" s="161"/>
      <c r="D75" s="161"/>
      <c r="E75" s="101">
        <v>930</v>
      </c>
    </row>
    <row r="76" spans="1:7" ht="18" customHeight="1">
      <c r="A76" s="165" t="s">
        <v>129</v>
      </c>
      <c r="B76" s="165"/>
      <c r="C76" s="165"/>
      <c r="D76" s="165"/>
      <c r="E76" s="165"/>
    </row>
    <row r="77" spans="1:7" ht="18" customHeight="1">
      <c r="A77" s="100" t="s">
        <v>119</v>
      </c>
      <c r="B77" s="100" t="s">
        <v>117</v>
      </c>
      <c r="C77" s="100" t="s">
        <v>130</v>
      </c>
      <c r="D77" s="100" t="s">
        <v>131</v>
      </c>
      <c r="E77" s="100" t="s">
        <v>122</v>
      </c>
      <c r="F77" s="97"/>
    </row>
    <row r="78" spans="1:7" ht="18" customHeight="1">
      <c r="A78" s="80" t="s">
        <v>144</v>
      </c>
      <c r="B78" s="81" t="s">
        <v>145</v>
      </c>
      <c r="C78" s="94"/>
      <c r="D78" s="83"/>
      <c r="E78" s="83"/>
      <c r="F78" s="97"/>
    </row>
    <row r="79" spans="1:7" ht="18" customHeight="1">
      <c r="A79" s="80" t="s">
        <v>146</v>
      </c>
      <c r="B79" s="81" t="s">
        <v>133</v>
      </c>
      <c r="C79" s="94"/>
      <c r="D79" s="83"/>
      <c r="E79" s="83"/>
      <c r="G79" s="97"/>
    </row>
    <row r="80" spans="1:7" ht="18" customHeight="1">
      <c r="A80" s="80"/>
      <c r="B80" s="81"/>
      <c r="C80" s="94"/>
      <c r="D80" s="83"/>
      <c r="E80" s="83"/>
    </row>
    <row r="81" spans="1:7" ht="18" customHeight="1">
      <c r="A81" s="87" t="s">
        <v>147</v>
      </c>
      <c r="B81" s="163"/>
      <c r="C81" s="163"/>
      <c r="D81" s="163"/>
      <c r="E81" s="83"/>
    </row>
    <row r="82" spans="1:7" ht="18" customHeight="1">
      <c r="A82" s="87"/>
      <c r="B82" s="88"/>
      <c r="C82" s="89"/>
      <c r="D82" s="89"/>
      <c r="E82" s="83"/>
    </row>
    <row r="83" spans="1:7" ht="18" customHeight="1">
      <c r="A83" s="161" t="s">
        <v>128</v>
      </c>
      <c r="B83" s="161"/>
      <c r="C83" s="161"/>
      <c r="D83" s="161"/>
      <c r="E83" s="101">
        <v>3785.8</v>
      </c>
    </row>
    <row r="84" spans="1:7" ht="18" customHeight="1">
      <c r="A84" s="165" t="s">
        <v>136</v>
      </c>
      <c r="B84" s="165"/>
      <c r="C84" s="165"/>
      <c r="D84" s="165"/>
      <c r="E84" s="165"/>
    </row>
    <row r="85" spans="1:7" ht="18" customHeight="1">
      <c r="A85" s="100" t="s">
        <v>119</v>
      </c>
      <c r="B85" s="100" t="s">
        <v>117</v>
      </c>
      <c r="C85" s="100" t="s">
        <v>120</v>
      </c>
      <c r="D85" s="100" t="s">
        <v>121</v>
      </c>
      <c r="E85" s="100" t="s">
        <v>122</v>
      </c>
    </row>
    <row r="86" spans="1:7" ht="18" customHeight="1">
      <c r="A86" s="80" t="s">
        <v>148</v>
      </c>
      <c r="B86" s="81" t="s">
        <v>126</v>
      </c>
      <c r="C86" s="82"/>
      <c r="D86" s="83"/>
      <c r="E86" s="83"/>
      <c r="F86" s="97"/>
      <c r="G86" s="97"/>
    </row>
    <row r="87" spans="1:7" ht="18" customHeight="1">
      <c r="A87" s="80"/>
      <c r="B87" s="81"/>
      <c r="C87" s="82"/>
      <c r="D87" s="83"/>
      <c r="E87" s="83"/>
    </row>
    <row r="88" spans="1:7" ht="18" customHeight="1">
      <c r="A88" s="161" t="s">
        <v>128</v>
      </c>
      <c r="B88" s="161"/>
      <c r="C88" s="161"/>
      <c r="D88" s="161"/>
      <c r="E88" s="101">
        <v>300</v>
      </c>
    </row>
    <row r="89" spans="1:7" ht="18" customHeight="1">
      <c r="A89" s="165" t="s">
        <v>138</v>
      </c>
      <c r="B89" s="165"/>
      <c r="C89" s="165"/>
      <c r="D89" s="165"/>
      <c r="E89" s="165"/>
    </row>
    <row r="90" spans="1:7" ht="18" customHeight="1">
      <c r="A90" s="100" t="s">
        <v>119</v>
      </c>
      <c r="B90" s="100" t="s">
        <v>117</v>
      </c>
      <c r="C90" s="100" t="s">
        <v>120</v>
      </c>
      <c r="D90" s="100" t="s">
        <v>139</v>
      </c>
      <c r="E90" s="100" t="s">
        <v>122</v>
      </c>
    </row>
    <row r="91" spans="1:7" ht="18" customHeight="1">
      <c r="A91" s="80" t="s">
        <v>149</v>
      </c>
      <c r="B91" s="81" t="s">
        <v>126</v>
      </c>
      <c r="C91" s="82"/>
      <c r="D91" s="83"/>
      <c r="E91" s="83"/>
    </row>
    <row r="92" spans="1:7" ht="18" customHeight="1">
      <c r="A92" s="80"/>
      <c r="B92" s="81"/>
      <c r="C92" s="82"/>
      <c r="D92" s="83"/>
      <c r="E92" s="83"/>
    </row>
    <row r="93" spans="1:7" ht="18" customHeight="1">
      <c r="A93" s="161" t="s">
        <v>128</v>
      </c>
      <c r="B93" s="161"/>
      <c r="C93" s="161"/>
      <c r="D93" s="161"/>
      <c r="E93" s="101">
        <v>4300</v>
      </c>
    </row>
    <row r="94" spans="1:7" ht="18" customHeight="1">
      <c r="A94" s="81"/>
      <c r="B94" s="89"/>
      <c r="C94" s="89"/>
      <c r="D94" s="89"/>
      <c r="E94" s="89"/>
    </row>
    <row r="95" spans="1:7" ht="18" customHeight="1">
      <c r="A95" s="161" t="s">
        <v>140</v>
      </c>
      <c r="B95" s="161"/>
      <c r="C95" s="161"/>
      <c r="D95" s="161"/>
      <c r="E95" s="101">
        <f>SUM(E75,E83,E88,E93)</f>
        <v>9315.7999999999993</v>
      </c>
    </row>
    <row r="97" spans="1:5" ht="18" customHeight="1">
      <c r="B97" s="89"/>
      <c r="C97" s="89"/>
      <c r="D97" s="89"/>
      <c r="E97" s="89"/>
    </row>
    <row r="98" spans="1:5" ht="18" customHeight="1">
      <c r="A98" s="170" t="s">
        <v>226</v>
      </c>
      <c r="B98" s="170"/>
      <c r="C98" s="170"/>
      <c r="D98" s="98" t="s">
        <v>115</v>
      </c>
      <c r="E98" s="98"/>
    </row>
    <row r="99" spans="1:5" ht="18" customHeight="1">
      <c r="A99" s="169"/>
      <c r="B99" s="169"/>
      <c r="C99" s="169"/>
      <c r="D99" s="100" t="s">
        <v>117</v>
      </c>
      <c r="E99" s="100" t="s">
        <v>31</v>
      </c>
    </row>
    <row r="100" spans="1:5" ht="18" customHeight="1">
      <c r="A100" s="165" t="s">
        <v>118</v>
      </c>
      <c r="B100" s="165"/>
      <c r="C100" s="165"/>
      <c r="D100" s="165"/>
      <c r="E100" s="165"/>
    </row>
    <row r="101" spans="1:5" ht="18" customHeight="1">
      <c r="A101" s="100" t="s">
        <v>119</v>
      </c>
      <c r="B101" s="100" t="s">
        <v>117</v>
      </c>
      <c r="C101" s="100" t="s">
        <v>120</v>
      </c>
      <c r="D101" s="100" t="s">
        <v>121</v>
      </c>
      <c r="E101" s="100" t="s">
        <v>122</v>
      </c>
    </row>
    <row r="102" spans="1:5" ht="18" customHeight="1">
      <c r="A102" s="80" t="s">
        <v>123</v>
      </c>
      <c r="B102" s="81" t="s">
        <v>124</v>
      </c>
      <c r="C102" s="82"/>
      <c r="D102" s="83"/>
      <c r="E102" s="83"/>
    </row>
    <row r="103" spans="1:5" ht="18" customHeight="1">
      <c r="A103" s="80" t="s">
        <v>125</v>
      </c>
      <c r="B103" s="81" t="s">
        <v>126</v>
      </c>
      <c r="C103" s="82"/>
      <c r="D103" s="83"/>
      <c r="E103" s="83"/>
    </row>
    <row r="104" spans="1:5" ht="18" customHeight="1">
      <c r="A104" s="81"/>
      <c r="B104" s="81"/>
      <c r="C104" s="81"/>
      <c r="D104" s="83"/>
      <c r="E104" s="83"/>
    </row>
    <row r="105" spans="1:5" ht="18" customHeight="1">
      <c r="A105" s="161" t="s">
        <v>128</v>
      </c>
      <c r="B105" s="161"/>
      <c r="C105" s="161"/>
      <c r="D105" s="161"/>
      <c r="E105" s="101">
        <v>744.44444444444446</v>
      </c>
    </row>
    <row r="106" spans="1:5" ht="18" customHeight="1">
      <c r="A106" s="165" t="s">
        <v>129</v>
      </c>
      <c r="B106" s="165"/>
      <c r="C106" s="165"/>
      <c r="D106" s="165"/>
      <c r="E106" s="165"/>
    </row>
    <row r="107" spans="1:5" ht="18" customHeight="1">
      <c r="A107" s="100" t="s">
        <v>119</v>
      </c>
      <c r="B107" s="100" t="s">
        <v>117</v>
      </c>
      <c r="C107" s="100" t="s">
        <v>130</v>
      </c>
      <c r="D107" s="100" t="s">
        <v>131</v>
      </c>
      <c r="E107" s="100" t="s">
        <v>122</v>
      </c>
    </row>
    <row r="108" spans="1:5" ht="18" customHeight="1">
      <c r="A108" s="80" t="s">
        <v>219</v>
      </c>
      <c r="B108" s="81" t="s">
        <v>220</v>
      </c>
      <c r="C108" s="94"/>
      <c r="D108" s="83"/>
      <c r="E108" s="83"/>
    </row>
    <row r="109" spans="1:5" ht="18" customHeight="1">
      <c r="A109" s="80" t="s">
        <v>221</v>
      </c>
      <c r="B109" s="81" t="s">
        <v>134</v>
      </c>
      <c r="C109" s="94"/>
      <c r="D109" s="83"/>
      <c r="E109" s="83"/>
    </row>
    <row r="110" spans="1:5" ht="18" customHeight="1">
      <c r="A110" s="80"/>
      <c r="B110" s="81"/>
      <c r="C110" s="94"/>
      <c r="D110" s="83"/>
      <c r="E110" s="83"/>
    </row>
    <row r="111" spans="1:5" ht="18" customHeight="1">
      <c r="A111" s="87" t="s">
        <v>147</v>
      </c>
      <c r="B111" s="163"/>
      <c r="C111" s="163"/>
      <c r="D111" s="163"/>
      <c r="E111" s="83"/>
    </row>
    <row r="112" spans="1:5" ht="18" customHeight="1">
      <c r="A112" s="87"/>
      <c r="B112" s="88"/>
      <c r="C112" s="89"/>
      <c r="D112" s="89"/>
      <c r="E112" s="83"/>
    </row>
    <row r="113" spans="1:7" ht="18" customHeight="1">
      <c r="A113" s="161" t="s">
        <v>128</v>
      </c>
      <c r="B113" s="161"/>
      <c r="C113" s="161"/>
      <c r="D113" s="161"/>
      <c r="E113" s="101">
        <v>3746</v>
      </c>
    </row>
    <row r="114" spans="1:7" ht="18" customHeight="1">
      <c r="A114" s="165" t="s">
        <v>136</v>
      </c>
      <c r="B114" s="165"/>
      <c r="C114" s="165"/>
      <c r="D114" s="165"/>
      <c r="E114" s="165"/>
    </row>
    <row r="115" spans="1:7" ht="18" customHeight="1">
      <c r="A115" s="100" t="s">
        <v>119</v>
      </c>
      <c r="B115" s="100" t="s">
        <v>117</v>
      </c>
      <c r="C115" s="100" t="s">
        <v>120</v>
      </c>
      <c r="D115" s="100" t="s">
        <v>121</v>
      </c>
      <c r="E115" s="100" t="s">
        <v>122</v>
      </c>
    </row>
    <row r="116" spans="1:7" ht="18" customHeight="1">
      <c r="A116" s="80" t="s">
        <v>148</v>
      </c>
      <c r="B116" s="81" t="s">
        <v>126</v>
      </c>
      <c r="C116" s="82"/>
      <c r="D116" s="83"/>
      <c r="E116" s="83"/>
      <c r="G116" s="97"/>
    </row>
    <row r="117" spans="1:7" ht="18" customHeight="1">
      <c r="A117" s="80"/>
      <c r="B117" s="81"/>
      <c r="C117" s="82"/>
      <c r="D117" s="83"/>
      <c r="E117" s="83"/>
    </row>
    <row r="118" spans="1:7" ht="18" customHeight="1">
      <c r="A118" s="161" t="s">
        <v>128</v>
      </c>
      <c r="B118" s="161"/>
      <c r="C118" s="161"/>
      <c r="D118" s="161"/>
      <c r="E118" s="101">
        <v>45</v>
      </c>
    </row>
    <row r="119" spans="1:7" ht="18" customHeight="1">
      <c r="A119" s="165" t="s">
        <v>138</v>
      </c>
      <c r="B119" s="165"/>
      <c r="C119" s="165"/>
      <c r="D119" s="165"/>
      <c r="E119" s="165"/>
    </row>
    <row r="120" spans="1:7" ht="18" customHeight="1">
      <c r="A120" s="100" t="s">
        <v>119</v>
      </c>
      <c r="B120" s="100" t="s">
        <v>117</v>
      </c>
      <c r="C120" s="100" t="s">
        <v>120</v>
      </c>
      <c r="D120" s="100" t="s">
        <v>139</v>
      </c>
      <c r="E120" s="100" t="s">
        <v>122</v>
      </c>
    </row>
    <row r="121" spans="1:7" ht="18" customHeight="1">
      <c r="A121" s="80" t="s">
        <v>149</v>
      </c>
      <c r="B121" s="81" t="s">
        <v>126</v>
      </c>
      <c r="C121" s="82"/>
      <c r="D121" s="83"/>
      <c r="E121" s="83"/>
    </row>
    <row r="122" spans="1:7" ht="18" customHeight="1">
      <c r="A122" s="80"/>
      <c r="B122" s="81"/>
      <c r="C122" s="82"/>
      <c r="D122" s="83"/>
      <c r="E122" s="83"/>
    </row>
    <row r="123" spans="1:7" ht="18" customHeight="1">
      <c r="A123" s="161" t="s">
        <v>128</v>
      </c>
      <c r="B123" s="161"/>
      <c r="C123" s="161"/>
      <c r="D123" s="161"/>
      <c r="E123" s="101">
        <v>2444.4444444444443</v>
      </c>
    </row>
    <row r="124" spans="1:7" ht="18" customHeight="1">
      <c r="A124" s="81"/>
      <c r="B124" s="89"/>
      <c r="C124" s="89"/>
      <c r="D124" s="89"/>
      <c r="E124" s="89"/>
    </row>
    <row r="125" spans="1:7" ht="18" customHeight="1">
      <c r="A125" s="161" t="s">
        <v>140</v>
      </c>
      <c r="B125" s="161"/>
      <c r="C125" s="161"/>
      <c r="D125" s="161"/>
      <c r="E125" s="101">
        <f>SUM(E105,E113,E118,E123)</f>
        <v>6979.8888888888887</v>
      </c>
    </row>
    <row r="127" spans="1:7" ht="18" customHeight="1">
      <c r="A127" s="72"/>
      <c r="B127" s="73"/>
      <c r="C127" s="73"/>
      <c r="D127" s="73"/>
      <c r="E127" s="73"/>
    </row>
    <row r="128" spans="1:7" ht="18" customHeight="1">
      <c r="A128" s="170" t="s">
        <v>227</v>
      </c>
      <c r="B128" s="170"/>
      <c r="C128" s="170"/>
      <c r="D128" s="98" t="s">
        <v>115</v>
      </c>
      <c r="E128" s="98" t="s">
        <v>33</v>
      </c>
    </row>
    <row r="129" spans="1:5" ht="18" customHeight="1">
      <c r="A129" s="169"/>
      <c r="B129" s="164"/>
      <c r="C129" s="164"/>
      <c r="D129" s="100" t="s">
        <v>117</v>
      </c>
      <c r="E129" s="100" t="s">
        <v>24</v>
      </c>
    </row>
    <row r="130" spans="1:5" ht="18" customHeight="1">
      <c r="A130" s="165" t="s">
        <v>118</v>
      </c>
      <c r="B130" s="166"/>
      <c r="C130" s="166"/>
      <c r="D130" s="166"/>
      <c r="E130" s="166"/>
    </row>
    <row r="131" spans="1:5" ht="18" customHeight="1">
      <c r="A131" s="100" t="s">
        <v>119</v>
      </c>
      <c r="B131" s="100" t="s">
        <v>117</v>
      </c>
      <c r="C131" s="100" t="s">
        <v>120</v>
      </c>
      <c r="D131" s="100" t="s">
        <v>121</v>
      </c>
      <c r="E131" s="100" t="s">
        <v>122</v>
      </c>
    </row>
    <row r="132" spans="1:5" ht="18" customHeight="1">
      <c r="A132" s="80" t="s">
        <v>123</v>
      </c>
      <c r="B132" s="81" t="s">
        <v>124</v>
      </c>
      <c r="C132" s="82">
        <v>0.1</v>
      </c>
      <c r="D132" s="83">
        <f>E154</f>
        <v>3333.3333333333335</v>
      </c>
      <c r="E132" s="83">
        <f>C132*D132</f>
        <v>333.33333333333337</v>
      </c>
    </row>
    <row r="133" spans="1:5" ht="18" customHeight="1">
      <c r="A133" s="80" t="s">
        <v>125</v>
      </c>
      <c r="B133" s="81" t="s">
        <v>126</v>
      </c>
      <c r="C133" s="82">
        <v>0.02</v>
      </c>
      <c r="D133" s="83">
        <v>25000</v>
      </c>
      <c r="E133" s="83">
        <f>C133*D133</f>
        <v>500</v>
      </c>
    </row>
    <row r="134" spans="1:5" ht="18" customHeight="1">
      <c r="A134" s="81"/>
      <c r="B134" s="81"/>
      <c r="C134" s="81"/>
      <c r="D134" s="83"/>
      <c r="E134" s="83"/>
    </row>
    <row r="135" spans="1:5" ht="18" customHeight="1">
      <c r="A135" s="161" t="s">
        <v>128</v>
      </c>
      <c r="B135" s="162"/>
      <c r="C135" s="162"/>
      <c r="D135" s="162"/>
      <c r="E135" s="101">
        <f>SUM(E132:E133)</f>
        <v>833.33333333333337</v>
      </c>
    </row>
    <row r="136" spans="1:5" ht="18" customHeight="1">
      <c r="A136" s="165" t="s">
        <v>129</v>
      </c>
      <c r="B136" s="166"/>
      <c r="C136" s="166"/>
      <c r="D136" s="166"/>
      <c r="E136" s="166"/>
    </row>
    <row r="137" spans="1:5" ht="18" customHeight="1">
      <c r="A137" s="100" t="s">
        <v>119</v>
      </c>
      <c r="B137" s="100" t="s">
        <v>117</v>
      </c>
      <c r="C137" s="100" t="s">
        <v>130</v>
      </c>
      <c r="D137" s="100" t="s">
        <v>131</v>
      </c>
      <c r="E137" s="100" t="s">
        <v>122</v>
      </c>
    </row>
    <row r="138" spans="1:5" ht="18" customHeight="1">
      <c r="A138" s="80" t="s">
        <v>228</v>
      </c>
      <c r="B138" s="81" t="s">
        <v>24</v>
      </c>
      <c r="C138" s="94">
        <v>1.7999999999999999E-2</v>
      </c>
      <c r="D138" s="83">
        <v>350000</v>
      </c>
      <c r="E138" s="83">
        <f>C138*D138</f>
        <v>6299.9999999999991</v>
      </c>
    </row>
    <row r="139" spans="1:5" ht="18" customHeight="1">
      <c r="A139" s="80" t="s">
        <v>221</v>
      </c>
      <c r="B139" s="81" t="s">
        <v>134</v>
      </c>
      <c r="C139" s="94">
        <v>1E-3</v>
      </c>
      <c r="D139" s="83">
        <v>38000</v>
      </c>
      <c r="E139" s="83">
        <f>C139*D139</f>
        <v>38</v>
      </c>
    </row>
    <row r="140" spans="1:5" ht="18" customHeight="1">
      <c r="A140" s="80" t="s">
        <v>222</v>
      </c>
      <c r="B140" s="81" t="s">
        <v>134</v>
      </c>
      <c r="C140" s="94">
        <v>1E-3</v>
      </c>
      <c r="D140" s="83">
        <v>10000</v>
      </c>
      <c r="E140" s="83">
        <f>C140*D140</f>
        <v>10</v>
      </c>
    </row>
    <row r="141" spans="1:5" ht="18" customHeight="1">
      <c r="A141" s="80"/>
      <c r="B141" s="81"/>
      <c r="C141" s="94"/>
      <c r="D141" s="83"/>
      <c r="E141" s="83"/>
    </row>
    <row r="142" spans="1:5" ht="18" customHeight="1">
      <c r="A142" s="87" t="s">
        <v>157</v>
      </c>
      <c r="B142" s="163"/>
      <c r="C142" s="164"/>
      <c r="D142" s="164"/>
      <c r="E142" s="83">
        <f>SUM(E138:E141)*0.05</f>
        <v>317.39999999999998</v>
      </c>
    </row>
    <row r="143" spans="1:5" ht="18" customHeight="1">
      <c r="A143" s="87"/>
      <c r="B143" s="88"/>
      <c r="C143" s="89"/>
      <c r="D143" s="89"/>
      <c r="E143" s="83"/>
    </row>
    <row r="144" spans="1:5" ht="18" customHeight="1">
      <c r="A144" s="161" t="s">
        <v>128</v>
      </c>
      <c r="B144" s="162"/>
      <c r="C144" s="162"/>
      <c r="D144" s="162"/>
      <c r="E144" s="101">
        <f>SUM(E138:E142)</f>
        <v>6665.3999999999987</v>
      </c>
    </row>
    <row r="145" spans="1:5" ht="18" customHeight="1">
      <c r="A145" s="165" t="s">
        <v>136</v>
      </c>
      <c r="B145" s="166"/>
      <c r="C145" s="166"/>
      <c r="D145" s="166"/>
      <c r="E145" s="166"/>
    </row>
    <row r="146" spans="1:5" ht="18" customHeight="1">
      <c r="A146" s="100" t="s">
        <v>119</v>
      </c>
      <c r="B146" s="100" t="s">
        <v>117</v>
      </c>
      <c r="C146" s="100" t="s">
        <v>120</v>
      </c>
      <c r="D146" s="100" t="s">
        <v>121</v>
      </c>
      <c r="E146" s="100" t="s">
        <v>122</v>
      </c>
    </row>
    <row r="147" spans="1:5" ht="18" customHeight="1">
      <c r="A147" s="80" t="s">
        <v>148</v>
      </c>
      <c r="B147" s="81" t="s">
        <v>126</v>
      </c>
      <c r="C147" s="82">
        <v>2.5000000000000001E-2</v>
      </c>
      <c r="D147" s="83">
        <v>45000</v>
      </c>
      <c r="E147" s="83">
        <f>D147*C147</f>
        <v>1125</v>
      </c>
    </row>
    <row r="148" spans="1:5" ht="18" customHeight="1">
      <c r="A148" s="80"/>
      <c r="B148" s="81"/>
      <c r="C148" s="82"/>
      <c r="D148" s="83"/>
      <c r="E148" s="83"/>
    </row>
    <row r="149" spans="1:5" ht="18" customHeight="1">
      <c r="A149" s="161" t="s">
        <v>128</v>
      </c>
      <c r="B149" s="162"/>
      <c r="C149" s="162"/>
      <c r="D149" s="162"/>
      <c r="E149" s="101">
        <f>SUM(E147)</f>
        <v>1125</v>
      </c>
    </row>
    <row r="150" spans="1:5" ht="18" customHeight="1">
      <c r="A150" s="165" t="s">
        <v>138</v>
      </c>
      <c r="B150" s="166"/>
      <c r="C150" s="166"/>
      <c r="D150" s="166"/>
      <c r="E150" s="166"/>
    </row>
    <row r="151" spans="1:5" ht="18" customHeight="1">
      <c r="A151" s="100" t="s">
        <v>119</v>
      </c>
      <c r="B151" s="100" t="s">
        <v>117</v>
      </c>
      <c r="C151" s="100" t="s">
        <v>120</v>
      </c>
      <c r="D151" s="100" t="s">
        <v>139</v>
      </c>
      <c r="E151" s="100" t="s">
        <v>122</v>
      </c>
    </row>
    <row r="152" spans="1:5" ht="18" customHeight="1">
      <c r="A152" s="80" t="s">
        <v>149</v>
      </c>
      <c r="B152" s="81" t="s">
        <v>126</v>
      </c>
      <c r="C152" s="82">
        <v>66</v>
      </c>
      <c r="D152" s="83">
        <v>220000</v>
      </c>
      <c r="E152" s="83">
        <f>D152/C152</f>
        <v>3333.3333333333335</v>
      </c>
    </row>
    <row r="153" spans="1:5" ht="18" customHeight="1">
      <c r="A153" s="80"/>
      <c r="B153" s="81"/>
      <c r="C153" s="82"/>
      <c r="D153" s="83"/>
      <c r="E153" s="83"/>
    </row>
    <row r="154" spans="1:5" ht="18" customHeight="1">
      <c r="A154" s="161" t="s">
        <v>128</v>
      </c>
      <c r="B154" s="162"/>
      <c r="C154" s="162"/>
      <c r="D154" s="162"/>
      <c r="E154" s="101">
        <f>SUM(E152)</f>
        <v>3333.3333333333335</v>
      </c>
    </row>
    <row r="155" spans="1:5" ht="18" customHeight="1">
      <c r="A155" s="81"/>
      <c r="B155" s="89"/>
      <c r="C155" s="89"/>
      <c r="D155" s="89"/>
      <c r="E155" s="89"/>
    </row>
    <row r="156" spans="1:5" ht="18" customHeight="1">
      <c r="A156" s="161" t="s">
        <v>140</v>
      </c>
      <c r="B156" s="162"/>
      <c r="C156" s="162"/>
      <c r="D156" s="162"/>
      <c r="E156" s="101">
        <f>SUM(E135,E144,E149,E154)</f>
        <v>11957.066666666666</v>
      </c>
    </row>
    <row r="160" spans="1:5" ht="37.25" customHeight="1">
      <c r="A160" s="178" t="s">
        <v>229</v>
      </c>
      <c r="B160" s="178"/>
      <c r="C160" s="178"/>
      <c r="D160" s="98" t="s">
        <v>115</v>
      </c>
      <c r="E160" s="98" t="s">
        <v>35</v>
      </c>
    </row>
    <row r="161" spans="1:7" ht="18" customHeight="1">
      <c r="A161" s="169"/>
      <c r="B161" s="164"/>
      <c r="C161" s="164"/>
      <c r="D161" s="78" t="s">
        <v>117</v>
      </c>
      <c r="E161" s="78" t="s">
        <v>230</v>
      </c>
    </row>
    <row r="162" spans="1:7" ht="18" customHeight="1">
      <c r="A162" s="165" t="s">
        <v>118</v>
      </c>
      <c r="B162" s="166"/>
      <c r="C162" s="166"/>
      <c r="D162" s="166"/>
      <c r="E162" s="166"/>
    </row>
    <row r="163" spans="1:7" ht="18" customHeight="1">
      <c r="A163" s="100" t="s">
        <v>119</v>
      </c>
      <c r="B163" s="100" t="s">
        <v>117</v>
      </c>
      <c r="C163" s="100" t="s">
        <v>120</v>
      </c>
      <c r="D163" s="100" t="s">
        <v>121</v>
      </c>
      <c r="E163" s="100" t="s">
        <v>122</v>
      </c>
    </row>
    <row r="164" spans="1:7" ht="18" customHeight="1">
      <c r="A164" s="80" t="s">
        <v>123</v>
      </c>
      <c r="B164" s="81" t="s">
        <v>124</v>
      </c>
      <c r="C164" s="82"/>
      <c r="D164" s="83"/>
      <c r="E164" s="83"/>
    </row>
    <row r="165" spans="1:7" ht="18" customHeight="1">
      <c r="A165" s="81"/>
      <c r="B165" s="81"/>
      <c r="C165" s="81"/>
      <c r="D165" s="83"/>
      <c r="E165" s="83"/>
    </row>
    <row r="166" spans="1:7" ht="18" customHeight="1">
      <c r="A166" s="161" t="s">
        <v>128</v>
      </c>
      <c r="B166" s="162"/>
      <c r="C166" s="162"/>
      <c r="D166" s="162"/>
      <c r="E166" s="101">
        <v>4000</v>
      </c>
    </row>
    <row r="167" spans="1:7" ht="18" customHeight="1">
      <c r="A167" s="165" t="s">
        <v>129</v>
      </c>
      <c r="B167" s="166"/>
      <c r="C167" s="166"/>
      <c r="D167" s="166"/>
      <c r="E167" s="166"/>
    </row>
    <row r="168" spans="1:7" ht="18" customHeight="1">
      <c r="A168" s="100" t="s">
        <v>119</v>
      </c>
      <c r="B168" s="100" t="s">
        <v>117</v>
      </c>
      <c r="C168" s="100" t="s">
        <v>130</v>
      </c>
      <c r="D168" s="100" t="s">
        <v>131</v>
      </c>
      <c r="E168" s="100" t="s">
        <v>122</v>
      </c>
    </row>
    <row r="169" spans="1:7" ht="18" customHeight="1">
      <c r="A169" s="80" t="s">
        <v>231</v>
      </c>
      <c r="B169" s="81" t="s">
        <v>133</v>
      </c>
      <c r="C169" s="94"/>
      <c r="D169" s="83"/>
      <c r="E169" s="83"/>
    </row>
    <row r="170" spans="1:7" ht="18" customHeight="1">
      <c r="A170" s="80" t="s">
        <v>232</v>
      </c>
      <c r="B170" s="81" t="s">
        <v>133</v>
      </c>
      <c r="C170" s="94"/>
      <c r="D170" s="83"/>
      <c r="E170" s="83"/>
    </row>
    <row r="171" spans="1:7" ht="18" customHeight="1">
      <c r="A171" s="80" t="s">
        <v>221</v>
      </c>
      <c r="B171" s="81" t="s">
        <v>134</v>
      </c>
      <c r="C171" s="94"/>
      <c r="D171" s="83"/>
      <c r="E171" s="83"/>
    </row>
    <row r="172" spans="1:7" ht="18" customHeight="1">
      <c r="A172" s="80" t="s">
        <v>222</v>
      </c>
      <c r="B172" s="81" t="s">
        <v>134</v>
      </c>
      <c r="C172" s="94"/>
      <c r="D172" s="83"/>
      <c r="E172" s="83"/>
    </row>
    <row r="173" spans="1:7" ht="18" customHeight="1">
      <c r="A173" s="80"/>
      <c r="B173" s="81"/>
      <c r="C173" s="94"/>
      <c r="D173" s="83"/>
      <c r="E173" s="83"/>
    </row>
    <row r="174" spans="1:7" ht="18" customHeight="1">
      <c r="A174" s="87" t="s">
        <v>157</v>
      </c>
      <c r="B174" s="163"/>
      <c r="C174" s="164"/>
      <c r="D174" s="164"/>
      <c r="E174" s="83"/>
    </row>
    <row r="175" spans="1:7" ht="18" customHeight="1">
      <c r="A175" s="87"/>
      <c r="B175" s="88"/>
      <c r="C175" s="89"/>
      <c r="D175" s="89"/>
      <c r="E175" s="83"/>
    </row>
    <row r="176" spans="1:7" ht="18" customHeight="1">
      <c r="A176" s="161" t="s">
        <v>128</v>
      </c>
      <c r="B176" s="162"/>
      <c r="C176" s="162"/>
      <c r="D176" s="162"/>
      <c r="E176" s="101">
        <v>30423.75</v>
      </c>
      <c r="G176" s="97"/>
    </row>
    <row r="177" spans="1:9" ht="18" customHeight="1">
      <c r="A177" s="165" t="s">
        <v>136</v>
      </c>
      <c r="B177" s="166"/>
      <c r="C177" s="166"/>
      <c r="D177" s="166"/>
      <c r="E177" s="166"/>
    </row>
    <row r="178" spans="1:9" ht="18" customHeight="1">
      <c r="A178" s="100" t="s">
        <v>119</v>
      </c>
      <c r="B178" s="100" t="s">
        <v>117</v>
      </c>
      <c r="C178" s="100" t="s">
        <v>120</v>
      </c>
      <c r="D178" s="100" t="s">
        <v>121</v>
      </c>
      <c r="E178" s="100" t="s">
        <v>122</v>
      </c>
    </row>
    <row r="179" spans="1:9" ht="18" customHeight="1">
      <c r="A179" s="80" t="s">
        <v>148</v>
      </c>
      <c r="B179" s="81" t="s">
        <v>126</v>
      </c>
      <c r="C179" s="82"/>
      <c r="D179" s="83"/>
      <c r="E179" s="83"/>
    </row>
    <row r="180" spans="1:9" ht="18" customHeight="1">
      <c r="A180" s="80"/>
      <c r="B180" s="81"/>
      <c r="C180" s="82"/>
      <c r="D180" s="83"/>
      <c r="E180" s="83"/>
    </row>
    <row r="181" spans="1:9" ht="18" customHeight="1">
      <c r="A181" s="161" t="s">
        <v>128</v>
      </c>
      <c r="B181" s="162"/>
      <c r="C181" s="162"/>
      <c r="D181" s="162"/>
      <c r="E181" s="101">
        <v>1125</v>
      </c>
    </row>
    <row r="182" spans="1:9" ht="18" customHeight="1">
      <c r="A182" s="165" t="s">
        <v>138</v>
      </c>
      <c r="B182" s="166"/>
      <c r="C182" s="166"/>
      <c r="D182" s="166"/>
      <c r="E182" s="166"/>
    </row>
    <row r="183" spans="1:9" ht="18" customHeight="1">
      <c r="A183" s="100" t="s">
        <v>119</v>
      </c>
      <c r="B183" s="100" t="s">
        <v>117</v>
      </c>
      <c r="C183" s="100" t="s">
        <v>120</v>
      </c>
      <c r="D183" s="100" t="s">
        <v>139</v>
      </c>
      <c r="E183" s="100" t="s">
        <v>122</v>
      </c>
      <c r="G183" s="99"/>
    </row>
    <row r="184" spans="1:9" ht="18" customHeight="1">
      <c r="A184" s="80" t="s">
        <v>168</v>
      </c>
      <c r="B184" s="81" t="s">
        <v>126</v>
      </c>
      <c r="C184" s="82"/>
      <c r="D184" s="83"/>
      <c r="E184" s="83"/>
      <c r="G184" s="97"/>
    </row>
    <row r="185" spans="1:9" ht="18" customHeight="1">
      <c r="A185" s="80"/>
      <c r="B185" s="81"/>
      <c r="C185" s="82"/>
      <c r="D185" s="83"/>
      <c r="E185" s="83"/>
    </row>
    <row r="186" spans="1:9" ht="18" customHeight="1">
      <c r="A186" s="161" t="s">
        <v>128</v>
      </c>
      <c r="B186" s="162"/>
      <c r="C186" s="162"/>
      <c r="D186" s="162"/>
      <c r="E186" s="101">
        <v>40000</v>
      </c>
    </row>
    <row r="187" spans="1:9" ht="18" customHeight="1">
      <c r="A187" s="81"/>
      <c r="B187" s="89"/>
      <c r="C187" s="89"/>
      <c r="D187" s="89"/>
      <c r="E187" s="89"/>
    </row>
    <row r="188" spans="1:9" ht="18" customHeight="1">
      <c r="A188" s="161" t="s">
        <v>140</v>
      </c>
      <c r="B188" s="162"/>
      <c r="C188" s="162"/>
      <c r="D188" s="162"/>
      <c r="E188" s="101">
        <f>SUM(E166,E176,E181,E186)</f>
        <v>75548.75</v>
      </c>
      <c r="G188" s="125"/>
      <c r="H188" s="97"/>
      <c r="I188" s="97"/>
    </row>
    <row r="191" spans="1:9" ht="30.5" customHeight="1">
      <c r="A191" s="178" t="s">
        <v>233</v>
      </c>
      <c r="B191" s="178"/>
      <c r="C191" s="178"/>
      <c r="D191" s="98" t="s">
        <v>115</v>
      </c>
      <c r="E191" s="98" t="s">
        <v>37</v>
      </c>
    </row>
    <row r="192" spans="1:9" ht="18" customHeight="1">
      <c r="A192" s="169"/>
      <c r="B192" s="164"/>
      <c r="C192" s="164"/>
      <c r="D192" s="100" t="s">
        <v>117</v>
      </c>
      <c r="E192" s="100" t="s">
        <v>31</v>
      </c>
    </row>
    <row r="193" spans="1:5" ht="18" customHeight="1">
      <c r="A193" s="165" t="s">
        <v>118</v>
      </c>
      <c r="B193" s="166"/>
      <c r="C193" s="166"/>
      <c r="D193" s="166"/>
      <c r="E193" s="166"/>
    </row>
    <row r="194" spans="1:5" ht="18" customHeight="1">
      <c r="A194" s="100" t="s">
        <v>119</v>
      </c>
      <c r="B194" s="100" t="s">
        <v>117</v>
      </c>
      <c r="C194" s="100" t="s">
        <v>120</v>
      </c>
      <c r="D194" s="100" t="s">
        <v>121</v>
      </c>
      <c r="E194" s="100" t="s">
        <v>122</v>
      </c>
    </row>
    <row r="195" spans="1:5" ht="18" customHeight="1">
      <c r="A195" s="80" t="s">
        <v>123</v>
      </c>
      <c r="B195" s="81" t="s">
        <v>124</v>
      </c>
      <c r="C195" s="82"/>
      <c r="D195" s="83"/>
      <c r="E195" s="83"/>
    </row>
    <row r="196" spans="1:5" ht="18" customHeight="1">
      <c r="A196" s="81"/>
      <c r="B196" s="81"/>
      <c r="C196" s="81"/>
      <c r="D196" s="83"/>
      <c r="E196" s="83"/>
    </row>
    <row r="197" spans="1:5" ht="18" customHeight="1">
      <c r="A197" s="161" t="s">
        <v>128</v>
      </c>
      <c r="B197" s="162"/>
      <c r="C197" s="162"/>
      <c r="D197" s="162"/>
      <c r="E197" s="101">
        <v>448.27586206896552</v>
      </c>
    </row>
    <row r="198" spans="1:5" ht="18" customHeight="1">
      <c r="A198" s="165" t="s">
        <v>129</v>
      </c>
      <c r="B198" s="166"/>
      <c r="C198" s="166"/>
      <c r="D198" s="166"/>
      <c r="E198" s="166"/>
    </row>
    <row r="199" spans="1:5" ht="18" customHeight="1">
      <c r="A199" s="100" t="s">
        <v>119</v>
      </c>
      <c r="B199" s="100" t="s">
        <v>117</v>
      </c>
      <c r="C199" s="100" t="s">
        <v>130</v>
      </c>
      <c r="D199" s="100" t="s">
        <v>131</v>
      </c>
      <c r="E199" s="100" t="s">
        <v>122</v>
      </c>
    </row>
    <row r="200" spans="1:5" ht="18" customHeight="1">
      <c r="A200" s="80" t="s">
        <v>231</v>
      </c>
      <c r="B200" s="81" t="s">
        <v>24</v>
      </c>
      <c r="C200" s="94"/>
      <c r="D200" s="83"/>
      <c r="E200" s="83"/>
    </row>
    <row r="201" spans="1:5" ht="18" customHeight="1">
      <c r="A201" s="80" t="s">
        <v>232</v>
      </c>
      <c r="B201" s="81" t="s">
        <v>133</v>
      </c>
      <c r="C201" s="94"/>
      <c r="D201" s="83"/>
      <c r="E201" s="83"/>
    </row>
    <row r="202" spans="1:5" ht="18" customHeight="1">
      <c r="A202" s="80" t="s">
        <v>221</v>
      </c>
      <c r="B202" s="81" t="s">
        <v>134</v>
      </c>
      <c r="C202" s="94"/>
      <c r="D202" s="83"/>
      <c r="E202" s="83"/>
    </row>
    <row r="203" spans="1:5" ht="18" customHeight="1">
      <c r="A203" s="80" t="s">
        <v>222</v>
      </c>
      <c r="B203" s="81" t="s">
        <v>134</v>
      </c>
      <c r="C203" s="94"/>
      <c r="D203" s="83"/>
      <c r="E203" s="83"/>
    </row>
    <row r="204" spans="1:5" ht="18" customHeight="1">
      <c r="A204" s="80" t="s">
        <v>234</v>
      </c>
      <c r="B204" s="81" t="s">
        <v>134</v>
      </c>
      <c r="C204" s="94"/>
      <c r="D204" s="83"/>
      <c r="E204" s="83"/>
    </row>
    <row r="205" spans="1:5" ht="18" customHeight="1">
      <c r="A205" s="80"/>
      <c r="B205" s="81"/>
      <c r="C205" s="94"/>
      <c r="D205" s="83"/>
      <c r="E205" s="83"/>
    </row>
    <row r="206" spans="1:5" ht="18" customHeight="1">
      <c r="A206" s="87" t="s">
        <v>157</v>
      </c>
      <c r="B206" s="163"/>
      <c r="C206" s="164"/>
      <c r="D206" s="164"/>
      <c r="E206" s="83"/>
    </row>
    <row r="207" spans="1:5" ht="18" customHeight="1">
      <c r="A207" s="87"/>
      <c r="B207" s="88"/>
      <c r="C207" s="89"/>
      <c r="D207" s="89"/>
      <c r="E207" s="83"/>
    </row>
    <row r="208" spans="1:5" ht="18" customHeight="1">
      <c r="A208" s="161" t="s">
        <v>128</v>
      </c>
      <c r="B208" s="162"/>
      <c r="C208" s="162"/>
      <c r="D208" s="162"/>
      <c r="E208" s="101">
        <v>16406.25</v>
      </c>
    </row>
    <row r="209" spans="1:8" ht="18" customHeight="1">
      <c r="A209" s="165" t="s">
        <v>136</v>
      </c>
      <c r="B209" s="166"/>
      <c r="C209" s="166"/>
      <c r="D209" s="166"/>
      <c r="E209" s="166"/>
    </row>
    <row r="210" spans="1:8" ht="18" customHeight="1">
      <c r="A210" s="100" t="s">
        <v>119</v>
      </c>
      <c r="B210" s="100" t="s">
        <v>117</v>
      </c>
      <c r="C210" s="100" t="s">
        <v>120</v>
      </c>
      <c r="D210" s="100" t="s">
        <v>121</v>
      </c>
      <c r="E210" s="100" t="s">
        <v>122</v>
      </c>
    </row>
    <row r="211" spans="1:8" ht="18" customHeight="1">
      <c r="A211" s="80" t="s">
        <v>148</v>
      </c>
      <c r="B211" s="81" t="s">
        <v>126</v>
      </c>
      <c r="C211" s="82"/>
      <c r="D211" s="83"/>
      <c r="E211" s="83"/>
    </row>
    <row r="212" spans="1:8" ht="18" customHeight="1">
      <c r="A212" s="80"/>
      <c r="B212" s="81"/>
      <c r="C212" s="82"/>
      <c r="D212" s="83"/>
      <c r="E212" s="83"/>
    </row>
    <row r="213" spans="1:8" ht="18" customHeight="1">
      <c r="A213" s="161" t="s">
        <v>128</v>
      </c>
      <c r="B213" s="162"/>
      <c r="C213" s="162"/>
      <c r="D213" s="162"/>
      <c r="E213" s="101">
        <v>1125</v>
      </c>
    </row>
    <row r="214" spans="1:8" ht="18" customHeight="1">
      <c r="A214" s="165" t="s">
        <v>138</v>
      </c>
      <c r="B214" s="166"/>
      <c r="C214" s="166"/>
      <c r="D214" s="166"/>
      <c r="E214" s="166"/>
    </row>
    <row r="215" spans="1:8" ht="18" customHeight="1">
      <c r="A215" s="100" t="s">
        <v>119</v>
      </c>
      <c r="B215" s="100" t="s">
        <v>117</v>
      </c>
      <c r="C215" s="100" t="s">
        <v>120</v>
      </c>
      <c r="D215" s="100" t="s">
        <v>139</v>
      </c>
      <c r="E215" s="100" t="s">
        <v>122</v>
      </c>
    </row>
    <row r="216" spans="1:8" ht="18" customHeight="1">
      <c r="A216" s="80" t="s">
        <v>168</v>
      </c>
      <c r="B216" s="81" t="s">
        <v>126</v>
      </c>
      <c r="C216" s="82"/>
      <c r="D216" s="83"/>
      <c r="E216" s="83"/>
      <c r="H216" s="97"/>
    </row>
    <row r="217" spans="1:8" ht="18" customHeight="1">
      <c r="A217" s="80"/>
      <c r="B217" s="81"/>
      <c r="C217" s="82"/>
      <c r="D217" s="83"/>
      <c r="E217" s="83"/>
    </row>
    <row r="218" spans="1:8" ht="18" customHeight="1">
      <c r="A218" s="161" t="s">
        <v>128</v>
      </c>
      <c r="B218" s="162"/>
      <c r="C218" s="162"/>
      <c r="D218" s="162"/>
      <c r="E218" s="101">
        <v>4482.7586206896549</v>
      </c>
    </row>
    <row r="219" spans="1:8" ht="18" customHeight="1">
      <c r="A219" s="81"/>
      <c r="B219" s="89"/>
      <c r="C219" s="89"/>
      <c r="D219" s="89"/>
      <c r="E219" s="89"/>
    </row>
    <row r="220" spans="1:8" ht="18" customHeight="1">
      <c r="A220" s="161" t="s">
        <v>140</v>
      </c>
      <c r="B220" s="162"/>
      <c r="C220" s="162"/>
      <c r="D220" s="162"/>
      <c r="E220" s="101">
        <f>SUM(E197,E208,E213,E218)</f>
        <v>22462.28448275862</v>
      </c>
      <c r="G220" s="97"/>
      <c r="H220" s="97"/>
    </row>
    <row r="223" spans="1:8" ht="37.25" customHeight="1">
      <c r="A223" s="178" t="s">
        <v>235</v>
      </c>
      <c r="B223" s="178"/>
      <c r="C223" s="178"/>
      <c r="D223" s="98" t="s">
        <v>115</v>
      </c>
      <c r="E223" s="98" t="s">
        <v>86</v>
      </c>
    </row>
    <row r="224" spans="1:8" ht="18" customHeight="1">
      <c r="A224" s="169"/>
      <c r="B224" s="164"/>
      <c r="C224" s="164"/>
      <c r="D224" s="100" t="s">
        <v>117</v>
      </c>
      <c r="E224" s="100" t="s">
        <v>24</v>
      </c>
    </row>
    <row r="225" spans="1:5" ht="18" customHeight="1">
      <c r="A225" s="165" t="s">
        <v>118</v>
      </c>
      <c r="B225" s="166"/>
      <c r="C225" s="166"/>
      <c r="D225" s="166"/>
      <c r="E225" s="166"/>
    </row>
    <row r="226" spans="1:5" ht="18" customHeight="1">
      <c r="A226" s="100" t="s">
        <v>119</v>
      </c>
      <c r="B226" s="100" t="s">
        <v>117</v>
      </c>
      <c r="C226" s="100" t="s">
        <v>120</v>
      </c>
      <c r="D226" s="100" t="s">
        <v>121</v>
      </c>
      <c r="E226" s="100" t="s">
        <v>122</v>
      </c>
    </row>
    <row r="227" spans="1:5" ht="18" customHeight="1">
      <c r="A227" s="80" t="s">
        <v>123</v>
      </c>
      <c r="B227" s="81" t="s">
        <v>124</v>
      </c>
      <c r="C227" s="82"/>
      <c r="D227" s="83"/>
      <c r="E227" s="83"/>
    </row>
    <row r="228" spans="1:5" ht="18" customHeight="1">
      <c r="A228" s="81"/>
      <c r="B228" s="81"/>
      <c r="C228" s="81"/>
      <c r="D228" s="83"/>
      <c r="E228" s="83"/>
    </row>
    <row r="229" spans="1:5" ht="18" customHeight="1">
      <c r="A229" s="161" t="s">
        <v>128</v>
      </c>
      <c r="B229" s="162"/>
      <c r="C229" s="162"/>
      <c r="D229" s="162"/>
      <c r="E229" s="101">
        <v>650</v>
      </c>
    </row>
    <row r="230" spans="1:5" ht="18" customHeight="1">
      <c r="A230" s="165" t="s">
        <v>129</v>
      </c>
      <c r="B230" s="166"/>
      <c r="C230" s="166"/>
      <c r="D230" s="166"/>
      <c r="E230" s="166"/>
    </row>
    <row r="231" spans="1:5" ht="18" customHeight="1">
      <c r="A231" s="100" t="s">
        <v>119</v>
      </c>
      <c r="B231" s="100" t="s">
        <v>117</v>
      </c>
      <c r="C231" s="100" t="s">
        <v>130</v>
      </c>
      <c r="D231" s="100" t="s">
        <v>131</v>
      </c>
      <c r="E231" s="100" t="s">
        <v>122</v>
      </c>
    </row>
    <row r="232" spans="1:5" ht="18" customHeight="1">
      <c r="A232" s="80" t="s">
        <v>231</v>
      </c>
      <c r="B232" s="81" t="s">
        <v>24</v>
      </c>
      <c r="C232" s="94"/>
      <c r="D232" s="83"/>
      <c r="E232" s="83"/>
    </row>
    <row r="233" spans="1:5" ht="18" customHeight="1">
      <c r="A233" s="80" t="s">
        <v>232</v>
      </c>
      <c r="B233" s="81" t="s">
        <v>133</v>
      </c>
      <c r="C233" s="94"/>
      <c r="D233" s="83"/>
      <c r="E233" s="83"/>
    </row>
    <row r="234" spans="1:5" ht="18" customHeight="1">
      <c r="A234" s="80" t="s">
        <v>236</v>
      </c>
      <c r="B234" s="81" t="s">
        <v>134</v>
      </c>
      <c r="C234" s="94"/>
      <c r="D234" s="83"/>
      <c r="E234" s="83"/>
    </row>
    <row r="235" spans="1:5" ht="18" customHeight="1">
      <c r="A235" s="80" t="s">
        <v>222</v>
      </c>
      <c r="B235" s="81" t="s">
        <v>134</v>
      </c>
      <c r="C235" s="94"/>
      <c r="D235" s="83"/>
      <c r="E235" s="83"/>
    </row>
    <row r="236" spans="1:5" ht="18" customHeight="1">
      <c r="A236" s="80" t="s">
        <v>234</v>
      </c>
      <c r="B236" s="81" t="s">
        <v>134</v>
      </c>
      <c r="C236" s="94"/>
      <c r="D236" s="83"/>
      <c r="E236" s="83"/>
    </row>
    <row r="237" spans="1:5" ht="18" customHeight="1">
      <c r="A237" s="80"/>
      <c r="B237" s="81"/>
      <c r="C237" s="94"/>
      <c r="D237" s="83"/>
      <c r="E237" s="83"/>
    </row>
    <row r="238" spans="1:5" ht="18" customHeight="1">
      <c r="A238" s="87" t="s">
        <v>157</v>
      </c>
      <c r="B238" s="163"/>
      <c r="C238" s="164"/>
      <c r="D238" s="164"/>
      <c r="E238" s="83"/>
    </row>
    <row r="239" spans="1:5" ht="18" customHeight="1">
      <c r="A239" s="87"/>
      <c r="B239" s="88"/>
      <c r="C239" s="89"/>
      <c r="D239" s="89"/>
      <c r="E239" s="83"/>
    </row>
    <row r="240" spans="1:5" ht="18" customHeight="1">
      <c r="A240" s="161" t="s">
        <v>128</v>
      </c>
      <c r="B240" s="162"/>
      <c r="C240" s="162"/>
      <c r="D240" s="162"/>
      <c r="E240" s="101">
        <v>19925.7</v>
      </c>
    </row>
    <row r="241" spans="1:7" ht="18" customHeight="1">
      <c r="A241" s="165" t="s">
        <v>136</v>
      </c>
      <c r="B241" s="166"/>
      <c r="C241" s="166"/>
      <c r="D241" s="166"/>
      <c r="E241" s="166"/>
    </row>
    <row r="242" spans="1:7" ht="18" customHeight="1">
      <c r="A242" s="100" t="s">
        <v>119</v>
      </c>
      <c r="B242" s="100" t="s">
        <v>117</v>
      </c>
      <c r="C242" s="100" t="s">
        <v>120</v>
      </c>
      <c r="D242" s="100" t="s">
        <v>121</v>
      </c>
      <c r="E242" s="100" t="s">
        <v>122</v>
      </c>
    </row>
    <row r="243" spans="1:7" ht="18" customHeight="1">
      <c r="A243" s="80" t="s">
        <v>148</v>
      </c>
      <c r="B243" s="81" t="s">
        <v>126</v>
      </c>
      <c r="C243" s="82"/>
      <c r="D243" s="83"/>
      <c r="E243" s="83"/>
    </row>
    <row r="244" spans="1:7" ht="18" customHeight="1">
      <c r="A244" s="80"/>
      <c r="B244" s="81"/>
      <c r="C244" s="82"/>
      <c r="D244" s="83"/>
      <c r="E244" s="83"/>
    </row>
    <row r="245" spans="1:7" ht="18" customHeight="1">
      <c r="A245" s="161" t="s">
        <v>128</v>
      </c>
      <c r="B245" s="162"/>
      <c r="C245" s="162"/>
      <c r="D245" s="162"/>
      <c r="E245" s="101">
        <v>1125</v>
      </c>
    </row>
    <row r="246" spans="1:7" ht="18" customHeight="1">
      <c r="A246" s="165" t="s">
        <v>138</v>
      </c>
      <c r="B246" s="166"/>
      <c r="C246" s="166"/>
      <c r="D246" s="166"/>
      <c r="E246" s="166"/>
    </row>
    <row r="247" spans="1:7" ht="18" customHeight="1">
      <c r="A247" s="100" t="s">
        <v>119</v>
      </c>
      <c r="B247" s="100" t="s">
        <v>117</v>
      </c>
      <c r="C247" s="100" t="s">
        <v>120</v>
      </c>
      <c r="D247" s="100" t="s">
        <v>139</v>
      </c>
      <c r="E247" s="100" t="s">
        <v>122</v>
      </c>
    </row>
    <row r="248" spans="1:7" ht="18" customHeight="1">
      <c r="A248" s="80" t="s">
        <v>168</v>
      </c>
      <c r="B248" s="81" t="s">
        <v>126</v>
      </c>
      <c r="C248" s="82"/>
      <c r="D248" s="83"/>
      <c r="E248" s="83"/>
    </row>
    <row r="249" spans="1:7" ht="18" customHeight="1">
      <c r="A249" s="80"/>
      <c r="B249" s="81"/>
      <c r="C249" s="82"/>
      <c r="D249" s="83"/>
      <c r="E249" s="83"/>
    </row>
    <row r="250" spans="1:7" ht="18" customHeight="1">
      <c r="A250" s="161" t="s">
        <v>128</v>
      </c>
      <c r="B250" s="162"/>
      <c r="C250" s="162"/>
      <c r="D250" s="162"/>
      <c r="E250" s="101">
        <v>2600</v>
      </c>
    </row>
    <row r="251" spans="1:7" ht="18" customHeight="1">
      <c r="A251" s="81"/>
      <c r="B251" s="89"/>
      <c r="C251" s="89"/>
      <c r="D251" s="89"/>
      <c r="E251" s="89"/>
    </row>
    <row r="252" spans="1:7" ht="18" customHeight="1">
      <c r="A252" s="161" t="s">
        <v>140</v>
      </c>
      <c r="B252" s="162"/>
      <c r="C252" s="162"/>
      <c r="D252" s="162"/>
      <c r="E252" s="101">
        <f>SUM(E229,E240,E245,E250)</f>
        <v>24300.7</v>
      </c>
    </row>
    <row r="253" spans="1:7" ht="18" customHeight="1">
      <c r="A253" s="72"/>
      <c r="B253" s="73"/>
      <c r="C253" s="73"/>
      <c r="D253" s="73"/>
      <c r="E253" s="73"/>
      <c r="G253" s="97"/>
    </row>
    <row r="254" spans="1:7" ht="18" customHeight="1">
      <c r="A254" s="72"/>
      <c r="B254" s="73"/>
      <c r="C254" s="73"/>
      <c r="D254" s="73"/>
      <c r="E254" s="73"/>
    </row>
    <row r="255" spans="1:7" ht="18" customHeight="1">
      <c r="A255" s="176" t="s">
        <v>237</v>
      </c>
      <c r="B255" s="177"/>
      <c r="C255" s="177"/>
      <c r="D255" s="123" t="s">
        <v>115</v>
      </c>
      <c r="E255" s="123" t="s">
        <v>88</v>
      </c>
    </row>
    <row r="256" spans="1:7" ht="18" customHeight="1">
      <c r="A256" s="169"/>
      <c r="B256" s="164"/>
      <c r="C256" s="164"/>
      <c r="D256" s="78" t="s">
        <v>117</v>
      </c>
      <c r="E256" s="78" t="s">
        <v>24</v>
      </c>
    </row>
    <row r="257" spans="1:5" ht="18" customHeight="1">
      <c r="A257" s="165" t="s">
        <v>118</v>
      </c>
      <c r="B257" s="166"/>
      <c r="C257" s="166"/>
      <c r="D257" s="166"/>
      <c r="E257" s="166"/>
    </row>
    <row r="258" spans="1:5" ht="18" customHeight="1">
      <c r="A258" s="100" t="s">
        <v>119</v>
      </c>
      <c r="B258" s="100" t="s">
        <v>117</v>
      </c>
      <c r="C258" s="100" t="s">
        <v>120</v>
      </c>
      <c r="D258" s="100" t="s">
        <v>121</v>
      </c>
      <c r="E258" s="100" t="s">
        <v>122</v>
      </c>
    </row>
    <row r="259" spans="1:5" ht="18" customHeight="1">
      <c r="A259" s="80" t="s">
        <v>123</v>
      </c>
      <c r="B259" s="81" t="s">
        <v>124</v>
      </c>
      <c r="C259" s="82">
        <v>0.1</v>
      </c>
      <c r="D259" s="83">
        <f>E282</f>
        <v>2888.8888888888887</v>
      </c>
      <c r="E259" s="83">
        <f>C259*D259</f>
        <v>288.88888888888886</v>
      </c>
    </row>
    <row r="260" spans="1:5" ht="18" customHeight="1">
      <c r="A260" s="80" t="s">
        <v>125</v>
      </c>
      <c r="B260" s="81" t="s">
        <v>126</v>
      </c>
      <c r="C260" s="82">
        <v>1.4999999999999999E-2</v>
      </c>
      <c r="D260" s="83">
        <v>25000</v>
      </c>
      <c r="E260" s="83">
        <f>C260*D260</f>
        <v>375</v>
      </c>
    </row>
    <row r="261" spans="1:5" ht="18" customHeight="1">
      <c r="A261" s="81"/>
      <c r="B261" s="81"/>
      <c r="C261" s="81"/>
      <c r="D261" s="83"/>
      <c r="E261" s="83"/>
    </row>
    <row r="262" spans="1:5" ht="18" customHeight="1">
      <c r="A262" s="161" t="s">
        <v>128</v>
      </c>
      <c r="B262" s="162"/>
      <c r="C262" s="162"/>
      <c r="D262" s="162"/>
      <c r="E262" s="101">
        <f>SUM(E259:E260)</f>
        <v>663.88888888888891</v>
      </c>
    </row>
    <row r="263" spans="1:5" ht="18" customHeight="1">
      <c r="A263" s="165" t="s">
        <v>129</v>
      </c>
      <c r="B263" s="166"/>
      <c r="C263" s="166"/>
      <c r="D263" s="166"/>
      <c r="E263" s="166"/>
    </row>
    <row r="264" spans="1:5" ht="18" customHeight="1">
      <c r="A264" s="100" t="s">
        <v>119</v>
      </c>
      <c r="B264" s="100" t="s">
        <v>117</v>
      </c>
      <c r="C264" s="100" t="s">
        <v>130</v>
      </c>
      <c r="D264" s="100" t="s">
        <v>131</v>
      </c>
      <c r="E264" s="100" t="s">
        <v>122</v>
      </c>
    </row>
    <row r="265" spans="1:5" ht="18" customHeight="1">
      <c r="A265" s="80" t="s">
        <v>238</v>
      </c>
      <c r="B265" s="81" t="s">
        <v>220</v>
      </c>
      <c r="C265" s="85">
        <v>0.05</v>
      </c>
      <c r="D265" s="83">
        <v>250000</v>
      </c>
      <c r="E265" s="83">
        <f>C265*D265</f>
        <v>12500</v>
      </c>
    </row>
    <row r="266" spans="1:5" ht="18" customHeight="1">
      <c r="A266" s="80" t="s">
        <v>221</v>
      </c>
      <c r="B266" s="81" t="s">
        <v>134</v>
      </c>
      <c r="C266" s="94">
        <v>1E-3</v>
      </c>
      <c r="D266" s="83">
        <v>38000</v>
      </c>
      <c r="E266" s="83">
        <f>C266*D266</f>
        <v>38</v>
      </c>
    </row>
    <row r="267" spans="1:5" ht="18" customHeight="1">
      <c r="A267" s="80" t="s">
        <v>222</v>
      </c>
      <c r="B267" s="81" t="s">
        <v>134</v>
      </c>
      <c r="C267" s="94">
        <v>1E-3</v>
      </c>
      <c r="D267" s="83">
        <v>10000</v>
      </c>
      <c r="E267" s="83">
        <f>C267*D267</f>
        <v>10</v>
      </c>
    </row>
    <row r="268" spans="1:5" ht="18" customHeight="1">
      <c r="A268" s="80"/>
      <c r="B268" s="81"/>
      <c r="C268" s="94"/>
      <c r="D268" s="83"/>
      <c r="E268" s="83"/>
    </row>
    <row r="269" spans="1:5" ht="18" customHeight="1">
      <c r="A269" s="80"/>
      <c r="B269" s="81"/>
      <c r="C269" s="86"/>
      <c r="D269" s="83"/>
      <c r="E269" s="83"/>
    </row>
    <row r="270" spans="1:5" ht="18" customHeight="1">
      <c r="A270" s="87" t="s">
        <v>135</v>
      </c>
      <c r="B270" s="163"/>
      <c r="C270" s="164"/>
      <c r="D270" s="164"/>
      <c r="E270" s="83">
        <f>SUM(E265:E269)*0.05</f>
        <v>627.40000000000009</v>
      </c>
    </row>
    <row r="271" spans="1:5" ht="18" customHeight="1">
      <c r="A271" s="87"/>
      <c r="B271" s="88"/>
      <c r="C271" s="89"/>
      <c r="D271" s="89"/>
      <c r="E271" s="83"/>
    </row>
    <row r="272" spans="1:5" ht="18" customHeight="1">
      <c r="A272" s="161" t="s">
        <v>128</v>
      </c>
      <c r="B272" s="162"/>
      <c r="C272" s="162"/>
      <c r="D272" s="162"/>
      <c r="E272" s="101">
        <f>SUM(E265:E270)</f>
        <v>13175.4</v>
      </c>
    </row>
    <row r="273" spans="1:5" ht="18" customHeight="1">
      <c r="A273" s="165" t="s">
        <v>136</v>
      </c>
      <c r="B273" s="166"/>
      <c r="C273" s="166"/>
      <c r="D273" s="166"/>
      <c r="E273" s="166"/>
    </row>
    <row r="274" spans="1:5" ht="18" customHeight="1">
      <c r="A274" s="100" t="s">
        <v>119</v>
      </c>
      <c r="B274" s="100" t="s">
        <v>117</v>
      </c>
      <c r="C274" s="100" t="s">
        <v>120</v>
      </c>
      <c r="D274" s="100" t="s">
        <v>121</v>
      </c>
      <c r="E274" s="100" t="s">
        <v>122</v>
      </c>
    </row>
    <row r="275" spans="1:5" ht="18" customHeight="1">
      <c r="A275" s="80" t="s">
        <v>148</v>
      </c>
      <c r="B275" s="81" t="s">
        <v>126</v>
      </c>
      <c r="C275" s="82">
        <v>2.5000000000000001E-2</v>
      </c>
      <c r="D275" s="83">
        <v>25000</v>
      </c>
      <c r="E275" s="83">
        <f>D275*C275</f>
        <v>625</v>
      </c>
    </row>
    <row r="276" spans="1:5" ht="18" customHeight="1">
      <c r="A276" s="80"/>
      <c r="B276" s="81"/>
      <c r="C276" s="82"/>
      <c r="D276" s="83"/>
      <c r="E276" s="83"/>
    </row>
    <row r="277" spans="1:5" ht="18" customHeight="1">
      <c r="A277" s="161" t="s">
        <v>128</v>
      </c>
      <c r="B277" s="162"/>
      <c r="C277" s="162"/>
      <c r="D277" s="162"/>
      <c r="E277" s="101">
        <f>SUM(E275)</f>
        <v>625</v>
      </c>
    </row>
    <row r="278" spans="1:5" ht="18" customHeight="1">
      <c r="A278" s="165" t="s">
        <v>138</v>
      </c>
      <c r="B278" s="166"/>
      <c r="C278" s="166"/>
      <c r="D278" s="166"/>
      <c r="E278" s="166"/>
    </row>
    <row r="279" spans="1:5" ht="18" customHeight="1">
      <c r="A279" s="100" t="s">
        <v>119</v>
      </c>
      <c r="B279" s="100" t="s">
        <v>117</v>
      </c>
      <c r="C279" s="100" t="s">
        <v>120</v>
      </c>
      <c r="D279" s="100" t="s">
        <v>139</v>
      </c>
      <c r="E279" s="100" t="s">
        <v>122</v>
      </c>
    </row>
    <row r="280" spans="1:5" ht="18" customHeight="1">
      <c r="A280" s="80" t="s">
        <v>168</v>
      </c>
      <c r="B280" s="81" t="s">
        <v>126</v>
      </c>
      <c r="C280" s="82">
        <v>45</v>
      </c>
      <c r="D280" s="83">
        <v>130000</v>
      </c>
      <c r="E280" s="83">
        <f>D280/C280</f>
        <v>2888.8888888888887</v>
      </c>
    </row>
    <row r="281" spans="1:5" ht="18" customHeight="1">
      <c r="A281" s="80"/>
      <c r="B281" s="81"/>
      <c r="C281" s="82"/>
      <c r="D281" s="83"/>
      <c r="E281" s="83"/>
    </row>
    <row r="282" spans="1:5" ht="18" customHeight="1">
      <c r="A282" s="161" t="s">
        <v>128</v>
      </c>
      <c r="B282" s="162"/>
      <c r="C282" s="162"/>
      <c r="D282" s="162"/>
      <c r="E282" s="101">
        <f>SUM(E280)</f>
        <v>2888.8888888888887</v>
      </c>
    </row>
    <row r="283" spans="1:5" ht="18" customHeight="1">
      <c r="A283" s="81"/>
      <c r="B283" s="89"/>
      <c r="C283" s="89"/>
      <c r="D283" s="89"/>
      <c r="E283" s="89"/>
    </row>
    <row r="284" spans="1:5" ht="18" customHeight="1">
      <c r="A284" s="161" t="s">
        <v>140</v>
      </c>
      <c r="B284" s="162"/>
      <c r="C284" s="162"/>
      <c r="D284" s="162"/>
      <c r="E284" s="101">
        <f>SUM(E262,E272,E277,E282)</f>
        <v>17353.177777777775</v>
      </c>
    </row>
  </sheetData>
  <mergeCells count="109">
    <mergeCell ref="B20:D20"/>
    <mergeCell ref="A22:D22"/>
    <mergeCell ref="A23:E23"/>
    <mergeCell ref="A27:D27"/>
    <mergeCell ref="A28:E28"/>
    <mergeCell ref="A32:D32"/>
    <mergeCell ref="A1:E1"/>
    <mergeCell ref="A5:C5"/>
    <mergeCell ref="A6:C6"/>
    <mergeCell ref="A7:E7"/>
    <mergeCell ref="A12:D12"/>
    <mergeCell ref="A13:E13"/>
    <mergeCell ref="B51:D51"/>
    <mergeCell ref="A53:D53"/>
    <mergeCell ref="A54:E54"/>
    <mergeCell ref="A58:D58"/>
    <mergeCell ref="A59:E59"/>
    <mergeCell ref="A63:D63"/>
    <mergeCell ref="A34:D34"/>
    <mergeCell ref="A39:C39"/>
    <mergeCell ref="A40:C40"/>
    <mergeCell ref="A41:E41"/>
    <mergeCell ref="A46:D46"/>
    <mergeCell ref="A47:E47"/>
    <mergeCell ref="B81:D81"/>
    <mergeCell ref="A83:D83"/>
    <mergeCell ref="A84:E84"/>
    <mergeCell ref="A88:D88"/>
    <mergeCell ref="A89:E89"/>
    <mergeCell ref="A93:D93"/>
    <mergeCell ref="A65:D65"/>
    <mergeCell ref="A68:C68"/>
    <mergeCell ref="A69:C69"/>
    <mergeCell ref="A70:E70"/>
    <mergeCell ref="A75:D75"/>
    <mergeCell ref="A76:E76"/>
    <mergeCell ref="B111:D111"/>
    <mergeCell ref="A113:D113"/>
    <mergeCell ref="A114:E114"/>
    <mergeCell ref="A118:D118"/>
    <mergeCell ref="A119:E119"/>
    <mergeCell ref="A123:D123"/>
    <mergeCell ref="A95:D95"/>
    <mergeCell ref="A98:C98"/>
    <mergeCell ref="A99:C99"/>
    <mergeCell ref="A100:E100"/>
    <mergeCell ref="A105:D105"/>
    <mergeCell ref="A106:E106"/>
    <mergeCell ref="B142:D142"/>
    <mergeCell ref="A144:D144"/>
    <mergeCell ref="A145:E145"/>
    <mergeCell ref="A149:D149"/>
    <mergeCell ref="A150:E150"/>
    <mergeCell ref="A154:D154"/>
    <mergeCell ref="A125:D125"/>
    <mergeCell ref="A128:C128"/>
    <mergeCell ref="A129:C129"/>
    <mergeCell ref="A130:E130"/>
    <mergeCell ref="A135:D135"/>
    <mergeCell ref="A136:E136"/>
    <mergeCell ref="B174:D174"/>
    <mergeCell ref="A176:D176"/>
    <mergeCell ref="A177:E177"/>
    <mergeCell ref="A181:D181"/>
    <mergeCell ref="A182:E182"/>
    <mergeCell ref="A186:D186"/>
    <mergeCell ref="A156:D156"/>
    <mergeCell ref="A160:C160"/>
    <mergeCell ref="A161:C161"/>
    <mergeCell ref="A162:E162"/>
    <mergeCell ref="A166:D166"/>
    <mergeCell ref="A167:E167"/>
    <mergeCell ref="B206:D206"/>
    <mergeCell ref="A208:D208"/>
    <mergeCell ref="A209:E209"/>
    <mergeCell ref="A213:D213"/>
    <mergeCell ref="A214:E214"/>
    <mergeCell ref="A218:D218"/>
    <mergeCell ref="A188:D188"/>
    <mergeCell ref="A191:C191"/>
    <mergeCell ref="A192:C192"/>
    <mergeCell ref="A193:E193"/>
    <mergeCell ref="A197:D197"/>
    <mergeCell ref="A198:E198"/>
    <mergeCell ref="B238:D238"/>
    <mergeCell ref="A240:D240"/>
    <mergeCell ref="A241:E241"/>
    <mergeCell ref="A245:D245"/>
    <mergeCell ref="A246:E246"/>
    <mergeCell ref="A250:D250"/>
    <mergeCell ref="A220:D220"/>
    <mergeCell ref="A223:C223"/>
    <mergeCell ref="A224:C224"/>
    <mergeCell ref="A225:E225"/>
    <mergeCell ref="A229:D229"/>
    <mergeCell ref="A230:E230"/>
    <mergeCell ref="A284:D284"/>
    <mergeCell ref="B270:D270"/>
    <mergeCell ref="A272:D272"/>
    <mergeCell ref="A273:E273"/>
    <mergeCell ref="A277:D277"/>
    <mergeCell ref="A278:E278"/>
    <mergeCell ref="A282:D282"/>
    <mergeCell ref="A252:D252"/>
    <mergeCell ref="A255:C255"/>
    <mergeCell ref="A256:C256"/>
    <mergeCell ref="A257:E257"/>
    <mergeCell ref="A262:D262"/>
    <mergeCell ref="A263:E263"/>
  </mergeCells>
  <pageMargins left="0.7" right="0.7" top="0.75" bottom="0.75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9743-32EC-471A-A0A0-E0FE9286B477}">
  <sheetPr>
    <tabColor rgb="FF64A0B0"/>
  </sheetPr>
  <dimension ref="A1:G271"/>
  <sheetViews>
    <sheetView topLeftCell="A13" zoomScale="90" zoomScaleNormal="90" workbookViewId="0">
      <selection activeCell="A150" sqref="A150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6.83203125" style="93" customWidth="1"/>
    <col min="8" max="8" width="10.33203125" style="93" customWidth="1"/>
    <col min="9" max="9" width="12.6640625" style="93" customWidth="1"/>
    <col min="10" max="26" width="9.6640625" style="93" customWidth="1"/>
    <col min="27" max="16384" width="13" style="93"/>
  </cols>
  <sheetData>
    <row r="1" spans="1:5" s="71" customFormat="1" ht="25" customHeight="1">
      <c r="A1" s="174" t="s">
        <v>66</v>
      </c>
      <c r="B1" s="175"/>
      <c r="C1" s="175"/>
      <c r="D1" s="175"/>
      <c r="E1" s="175"/>
    </row>
    <row r="2" spans="1:5" s="71" customFormat="1" ht="20" customHeight="1">
      <c r="A2" s="72"/>
      <c r="B2" s="73"/>
      <c r="C2" s="73"/>
      <c r="D2" s="73"/>
      <c r="E2" s="73"/>
    </row>
    <row r="3" spans="1:5" s="71" customFormat="1" ht="37.25" customHeight="1">
      <c r="A3" s="187" t="s">
        <v>240</v>
      </c>
      <c r="B3" s="187"/>
      <c r="C3" s="187"/>
      <c r="D3" s="187"/>
      <c r="E3" s="187"/>
    </row>
    <row r="4" spans="1:5" s="71" customFormat="1" ht="20" customHeight="1">
      <c r="A4" s="72"/>
      <c r="B4" s="73"/>
      <c r="C4" s="73"/>
      <c r="D4" s="73"/>
      <c r="E4" s="73"/>
    </row>
    <row r="5" spans="1:5" s="71" customFormat="1" ht="27.5" customHeight="1">
      <c r="A5" s="188" t="s">
        <v>241</v>
      </c>
      <c r="B5" s="189"/>
      <c r="C5" s="189"/>
      <c r="D5" s="77" t="s">
        <v>115</v>
      </c>
      <c r="E5" s="77" t="s">
        <v>91</v>
      </c>
    </row>
    <row r="6" spans="1:5" s="71" customFormat="1" ht="20" customHeight="1">
      <c r="A6" s="169"/>
      <c r="B6" s="164"/>
      <c r="C6" s="164"/>
      <c r="D6" s="78" t="s">
        <v>117</v>
      </c>
      <c r="E6" s="78" t="s">
        <v>24</v>
      </c>
    </row>
    <row r="7" spans="1:5" s="71" customFormat="1" ht="20" customHeight="1">
      <c r="A7" s="165" t="s">
        <v>118</v>
      </c>
      <c r="B7" s="166"/>
      <c r="C7" s="166"/>
      <c r="D7" s="166"/>
      <c r="E7" s="166"/>
    </row>
    <row r="8" spans="1:5" s="71" customFormat="1" ht="20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5" s="71" customFormat="1" ht="20" customHeight="1">
      <c r="A9" s="81" t="s">
        <v>123</v>
      </c>
      <c r="B9" s="81" t="s">
        <v>124</v>
      </c>
      <c r="C9" s="82">
        <v>0.1</v>
      </c>
      <c r="D9" s="83">
        <f>E30</f>
        <v>8800</v>
      </c>
      <c r="E9" s="83">
        <f>C9*D9</f>
        <v>880</v>
      </c>
    </row>
    <row r="10" spans="1:5" s="71" customFormat="1" ht="20" customHeight="1">
      <c r="A10" s="81"/>
      <c r="B10" s="81"/>
      <c r="C10" s="81"/>
      <c r="D10" s="83"/>
      <c r="E10" s="83"/>
    </row>
    <row r="11" spans="1:5" s="71" customFormat="1" ht="20" customHeight="1">
      <c r="A11" s="161" t="s">
        <v>128</v>
      </c>
      <c r="B11" s="162"/>
      <c r="C11" s="162"/>
      <c r="D11" s="162"/>
      <c r="E11" s="101">
        <f>SUM(E9:E9)</f>
        <v>880</v>
      </c>
    </row>
    <row r="12" spans="1:5" s="71" customFormat="1" ht="20" customHeight="1">
      <c r="A12" s="165" t="s">
        <v>129</v>
      </c>
      <c r="B12" s="166"/>
      <c r="C12" s="166"/>
      <c r="D12" s="166"/>
      <c r="E12" s="166"/>
    </row>
    <row r="13" spans="1:5" s="71" customFormat="1" ht="20" customHeight="1">
      <c r="A13" s="100" t="s">
        <v>119</v>
      </c>
      <c r="B13" s="100" t="s">
        <v>117</v>
      </c>
      <c r="C13" s="100" t="s">
        <v>130</v>
      </c>
      <c r="D13" s="100" t="s">
        <v>131</v>
      </c>
      <c r="E13" s="100" t="s">
        <v>122</v>
      </c>
    </row>
    <row r="14" spans="1:5" s="71" customFormat="1" ht="20" customHeight="1">
      <c r="A14" s="80" t="s">
        <v>242</v>
      </c>
      <c r="B14" s="81" t="s">
        <v>134</v>
      </c>
      <c r="C14" s="85">
        <v>0.4</v>
      </c>
      <c r="D14" s="83">
        <v>35000</v>
      </c>
      <c r="E14" s="83">
        <f>C14*D14</f>
        <v>14000</v>
      </c>
    </row>
    <row r="15" spans="1:5" s="71" customFormat="1" ht="20" customHeight="1">
      <c r="A15" s="80" t="s">
        <v>243</v>
      </c>
      <c r="B15" s="81" t="s">
        <v>134</v>
      </c>
      <c r="C15" s="86">
        <v>4</v>
      </c>
      <c r="D15" s="83">
        <v>800</v>
      </c>
      <c r="E15" s="83">
        <f>C15*D15</f>
        <v>3200</v>
      </c>
    </row>
    <row r="16" spans="1:5" s="71" customFormat="1" ht="20" customHeight="1">
      <c r="A16" s="80" t="s">
        <v>244</v>
      </c>
      <c r="B16" s="81" t="s">
        <v>134</v>
      </c>
      <c r="C16" s="86">
        <v>2</v>
      </c>
      <c r="D16" s="83">
        <v>1500</v>
      </c>
      <c r="E16" s="83">
        <f>C16*D16</f>
        <v>3000</v>
      </c>
    </row>
    <row r="17" spans="1:5" s="71" customFormat="1" ht="20" customHeight="1">
      <c r="A17" s="80"/>
      <c r="B17" s="81"/>
      <c r="C17" s="86"/>
      <c r="D17" s="83"/>
      <c r="E17" s="83"/>
    </row>
    <row r="18" spans="1:5" s="71" customFormat="1" ht="19.75" customHeight="1">
      <c r="A18" s="87" t="s">
        <v>135</v>
      </c>
      <c r="B18" s="163"/>
      <c r="C18" s="164"/>
      <c r="D18" s="164"/>
      <c r="E18" s="83">
        <f>SUM(E14:E14)*0.02</f>
        <v>280</v>
      </c>
    </row>
    <row r="19" spans="1:5" s="71" customFormat="1" ht="20" customHeight="1">
      <c r="A19" s="87"/>
      <c r="B19" s="88"/>
      <c r="C19" s="89"/>
      <c r="D19" s="89"/>
      <c r="E19" s="83"/>
    </row>
    <row r="20" spans="1:5" s="71" customFormat="1" ht="20" customHeight="1">
      <c r="A20" s="161" t="s">
        <v>128</v>
      </c>
      <c r="B20" s="162"/>
      <c r="C20" s="162"/>
      <c r="D20" s="162"/>
      <c r="E20" s="101">
        <f>SUM(E14:E18)</f>
        <v>20480</v>
      </c>
    </row>
    <row r="21" spans="1:5" s="71" customFormat="1" ht="20" customHeight="1">
      <c r="A21" s="165" t="s">
        <v>136</v>
      </c>
      <c r="B21" s="166"/>
      <c r="C21" s="166"/>
      <c r="D21" s="166"/>
      <c r="E21" s="166"/>
    </row>
    <row r="22" spans="1:5" s="71" customFormat="1" ht="20" customHeight="1">
      <c r="A22" s="100" t="s">
        <v>119</v>
      </c>
      <c r="B22" s="100" t="s">
        <v>117</v>
      </c>
      <c r="C22" s="100" t="s">
        <v>120</v>
      </c>
      <c r="D22" s="100" t="s">
        <v>121</v>
      </c>
      <c r="E22" s="100" t="s">
        <v>122</v>
      </c>
    </row>
    <row r="23" spans="1:5" s="71" customFormat="1" ht="20" customHeight="1">
      <c r="A23" s="80" t="s">
        <v>137</v>
      </c>
      <c r="B23" s="81" t="s">
        <v>126</v>
      </c>
      <c r="C23" s="82">
        <v>2.5000000000000001E-2</v>
      </c>
      <c r="D23" s="83">
        <v>60000</v>
      </c>
      <c r="E23" s="83">
        <f>D23*C23</f>
        <v>1500</v>
      </c>
    </row>
    <row r="24" spans="1:5" s="71" customFormat="1" ht="20" customHeight="1">
      <c r="A24" s="80"/>
      <c r="B24" s="81"/>
      <c r="C24" s="82"/>
      <c r="D24" s="83"/>
      <c r="E24" s="83"/>
    </row>
    <row r="25" spans="1:5" s="71" customFormat="1" ht="20" customHeight="1">
      <c r="A25" s="161" t="s">
        <v>128</v>
      </c>
      <c r="B25" s="162"/>
      <c r="C25" s="162"/>
      <c r="D25" s="162"/>
      <c r="E25" s="101">
        <f>SUM(E23)</f>
        <v>1500</v>
      </c>
    </row>
    <row r="26" spans="1:5" s="71" customFormat="1" ht="20" customHeight="1">
      <c r="A26" s="165" t="s">
        <v>138</v>
      </c>
      <c r="B26" s="166"/>
      <c r="C26" s="166"/>
      <c r="D26" s="166"/>
      <c r="E26" s="166"/>
    </row>
    <row r="27" spans="1:5" s="71" customFormat="1" ht="20" customHeight="1">
      <c r="A27" s="100" t="s">
        <v>119</v>
      </c>
      <c r="B27" s="100" t="s">
        <v>117</v>
      </c>
      <c r="C27" s="100" t="s">
        <v>120</v>
      </c>
      <c r="D27" s="100" t="s">
        <v>139</v>
      </c>
      <c r="E27" s="100" t="s">
        <v>122</v>
      </c>
    </row>
    <row r="28" spans="1:5" s="71" customFormat="1" ht="20" customHeight="1">
      <c r="A28" s="80" t="s">
        <v>149</v>
      </c>
      <c r="B28" s="81" t="s">
        <v>126</v>
      </c>
      <c r="C28" s="82">
        <v>25</v>
      </c>
      <c r="D28" s="83">
        <v>220000</v>
      </c>
      <c r="E28" s="83">
        <f>D28/C28</f>
        <v>8800</v>
      </c>
    </row>
    <row r="29" spans="1:5" s="71" customFormat="1" ht="20" customHeight="1">
      <c r="A29" s="80"/>
      <c r="B29" s="81"/>
      <c r="C29" s="82"/>
      <c r="D29" s="83"/>
      <c r="E29" s="83"/>
    </row>
    <row r="30" spans="1:5" s="71" customFormat="1" ht="20" customHeight="1">
      <c r="A30" s="161" t="s">
        <v>128</v>
      </c>
      <c r="B30" s="162"/>
      <c r="C30" s="162"/>
      <c r="D30" s="162"/>
      <c r="E30" s="101">
        <f>SUM(E28)</f>
        <v>8800</v>
      </c>
    </row>
    <row r="31" spans="1:5" s="71" customFormat="1" ht="20" customHeight="1">
      <c r="A31" s="81"/>
      <c r="B31" s="89"/>
      <c r="C31" s="89"/>
      <c r="D31" s="89"/>
      <c r="E31" s="89"/>
    </row>
    <row r="32" spans="1:5" s="71" customFormat="1" ht="20" customHeight="1">
      <c r="A32" s="161" t="s">
        <v>140</v>
      </c>
      <c r="B32" s="162"/>
      <c r="C32" s="162"/>
      <c r="D32" s="162"/>
      <c r="E32" s="101">
        <f>SUM(E11,E20,E25,E30)</f>
        <v>31660</v>
      </c>
    </row>
    <row r="33" spans="1:5" s="71" customFormat="1" ht="20" customHeight="1">
      <c r="A33" s="72"/>
      <c r="B33" s="73"/>
      <c r="C33" s="73"/>
      <c r="D33" s="73"/>
      <c r="E33" s="73"/>
    </row>
    <row r="34" spans="1:5" s="71" customFormat="1" ht="20" customHeight="1">
      <c r="A34" s="72"/>
      <c r="B34" s="73"/>
      <c r="C34" s="73"/>
      <c r="D34" s="73"/>
      <c r="E34" s="73"/>
    </row>
    <row r="35" spans="1:5" ht="18" customHeight="1">
      <c r="A35" s="167" t="s">
        <v>245</v>
      </c>
      <c r="B35" s="168"/>
      <c r="C35" s="168"/>
      <c r="D35" s="77" t="s">
        <v>115</v>
      </c>
      <c r="E35" s="77" t="s">
        <v>91</v>
      </c>
    </row>
    <row r="36" spans="1:5" ht="18" customHeight="1">
      <c r="A36" s="169"/>
      <c r="B36" s="164"/>
      <c r="C36" s="164"/>
      <c r="D36" s="100" t="s">
        <v>117</v>
      </c>
      <c r="E36" s="100" t="s">
        <v>24</v>
      </c>
    </row>
    <row r="37" spans="1:5" ht="18" customHeight="1">
      <c r="A37" s="165" t="s">
        <v>118</v>
      </c>
      <c r="B37" s="166"/>
      <c r="C37" s="166"/>
      <c r="D37" s="166"/>
      <c r="E37" s="166"/>
    </row>
    <row r="38" spans="1:5" ht="18" customHeight="1">
      <c r="A38" s="100" t="s">
        <v>119</v>
      </c>
      <c r="B38" s="100" t="s">
        <v>117</v>
      </c>
      <c r="C38" s="100" t="s">
        <v>120</v>
      </c>
      <c r="D38" s="100" t="s">
        <v>121</v>
      </c>
      <c r="E38" s="100" t="s">
        <v>122</v>
      </c>
    </row>
    <row r="39" spans="1:5" ht="18" customHeight="1">
      <c r="A39" s="81" t="s">
        <v>123</v>
      </c>
      <c r="B39" s="81" t="s">
        <v>124</v>
      </c>
      <c r="C39" s="82">
        <v>0.05</v>
      </c>
      <c r="D39" s="83">
        <f>E57</f>
        <v>6285.7142857142853</v>
      </c>
      <c r="E39" s="83">
        <f>C39*D39</f>
        <v>314.28571428571428</v>
      </c>
    </row>
    <row r="40" spans="1:5" ht="18" customHeight="1">
      <c r="A40" s="81"/>
      <c r="B40" s="81"/>
      <c r="C40" s="81"/>
      <c r="D40" s="83"/>
      <c r="E40" s="83"/>
    </row>
    <row r="41" spans="1:5" ht="18" customHeight="1">
      <c r="A41" s="161" t="s">
        <v>128</v>
      </c>
      <c r="B41" s="162"/>
      <c r="C41" s="162"/>
      <c r="D41" s="162"/>
      <c r="E41" s="101">
        <f>SUM(E39:E39)</f>
        <v>314.28571428571428</v>
      </c>
    </row>
    <row r="42" spans="1:5" ht="18" customHeight="1">
      <c r="A42" s="165" t="s">
        <v>129</v>
      </c>
      <c r="B42" s="166"/>
      <c r="C42" s="166"/>
      <c r="D42" s="166"/>
      <c r="E42" s="166"/>
    </row>
    <row r="43" spans="1:5" ht="18" customHeight="1">
      <c r="A43" s="100" t="s">
        <v>119</v>
      </c>
      <c r="B43" s="100" t="s">
        <v>117</v>
      </c>
      <c r="C43" s="100" t="s">
        <v>130</v>
      </c>
      <c r="D43" s="100" t="s">
        <v>131</v>
      </c>
      <c r="E43" s="100" t="s">
        <v>122</v>
      </c>
    </row>
    <row r="44" spans="1:5" ht="18" customHeight="1">
      <c r="A44" s="80"/>
      <c r="B44" s="81"/>
      <c r="C44" s="94"/>
      <c r="D44" s="83"/>
      <c r="E44" s="83"/>
    </row>
    <row r="45" spans="1:5" ht="18" customHeight="1">
      <c r="A45" s="87" t="s">
        <v>135</v>
      </c>
      <c r="B45" s="163"/>
      <c r="C45" s="164"/>
      <c r="D45" s="164"/>
      <c r="E45" s="83">
        <v>0</v>
      </c>
    </row>
    <row r="46" spans="1:5" ht="18" customHeight="1">
      <c r="A46" s="87"/>
      <c r="B46" s="88"/>
      <c r="C46" s="89"/>
      <c r="D46" s="89"/>
      <c r="E46" s="83"/>
    </row>
    <row r="47" spans="1:5" ht="18" customHeight="1">
      <c r="A47" s="161" t="s">
        <v>128</v>
      </c>
      <c r="B47" s="162"/>
      <c r="C47" s="162"/>
      <c r="D47" s="162"/>
      <c r="E47" s="101">
        <f>SUM(E44:E45)</f>
        <v>0</v>
      </c>
    </row>
    <row r="48" spans="1:5" ht="18" customHeight="1">
      <c r="A48" s="165" t="s">
        <v>136</v>
      </c>
      <c r="B48" s="166"/>
      <c r="C48" s="166"/>
      <c r="D48" s="166"/>
      <c r="E48" s="166"/>
    </row>
    <row r="49" spans="1:7" ht="18" customHeight="1">
      <c r="A49" s="100" t="s">
        <v>119</v>
      </c>
      <c r="B49" s="100" t="s">
        <v>117</v>
      </c>
      <c r="C49" s="100" t="s">
        <v>120</v>
      </c>
      <c r="D49" s="100" t="s">
        <v>121</v>
      </c>
      <c r="E49" s="100" t="s">
        <v>122</v>
      </c>
    </row>
    <row r="50" spans="1:7" ht="18" customHeight="1">
      <c r="A50" s="80" t="s">
        <v>137</v>
      </c>
      <c r="B50" s="81" t="s">
        <v>126</v>
      </c>
      <c r="C50" s="82">
        <v>0</v>
      </c>
      <c r="D50" s="83">
        <v>60000</v>
      </c>
      <c r="E50" s="83">
        <f>D50*C50</f>
        <v>0</v>
      </c>
      <c r="G50" s="95"/>
    </row>
    <row r="51" spans="1:7" ht="18" customHeight="1">
      <c r="A51" s="80"/>
      <c r="B51" s="81"/>
      <c r="C51" s="82"/>
      <c r="D51" s="83"/>
      <c r="E51" s="83"/>
    </row>
    <row r="52" spans="1:7" ht="18" customHeight="1">
      <c r="A52" s="161" t="s">
        <v>128</v>
      </c>
      <c r="B52" s="162"/>
      <c r="C52" s="162"/>
      <c r="D52" s="162"/>
      <c r="E52" s="101">
        <f>SUM(E50)</f>
        <v>0</v>
      </c>
    </row>
    <row r="53" spans="1:7" ht="18" customHeight="1">
      <c r="A53" s="165" t="s">
        <v>138</v>
      </c>
      <c r="B53" s="166"/>
      <c r="C53" s="166"/>
      <c r="D53" s="166"/>
      <c r="E53" s="166"/>
    </row>
    <row r="54" spans="1:7" ht="18" customHeight="1">
      <c r="A54" s="100" t="s">
        <v>119</v>
      </c>
      <c r="B54" s="100" t="s">
        <v>117</v>
      </c>
      <c r="C54" s="100" t="s">
        <v>120</v>
      </c>
      <c r="D54" s="100" t="s">
        <v>139</v>
      </c>
      <c r="E54" s="100" t="s">
        <v>122</v>
      </c>
    </row>
    <row r="55" spans="1:7" ht="18" customHeight="1">
      <c r="A55" s="80" t="s">
        <v>149</v>
      </c>
      <c r="B55" s="81" t="s">
        <v>126</v>
      </c>
      <c r="C55" s="82">
        <v>35</v>
      </c>
      <c r="D55" s="83">
        <v>220000</v>
      </c>
      <c r="E55" s="83">
        <f>D55/C55</f>
        <v>6285.7142857142853</v>
      </c>
    </row>
    <row r="56" spans="1:7" ht="18" customHeight="1">
      <c r="A56" s="80"/>
      <c r="B56" s="81"/>
      <c r="C56" s="82"/>
      <c r="D56" s="83"/>
      <c r="E56" s="83"/>
    </row>
    <row r="57" spans="1:7" ht="18" customHeight="1">
      <c r="A57" s="161" t="s">
        <v>128</v>
      </c>
      <c r="B57" s="162"/>
      <c r="C57" s="162"/>
      <c r="D57" s="162"/>
      <c r="E57" s="101">
        <f>SUM(E55)</f>
        <v>6285.7142857142853</v>
      </c>
    </row>
    <row r="58" spans="1:7" ht="18" customHeight="1">
      <c r="A58" s="81"/>
      <c r="B58" s="89"/>
      <c r="C58" s="89"/>
      <c r="D58" s="89"/>
      <c r="E58" s="89"/>
    </row>
    <row r="59" spans="1:7" ht="18" customHeight="1">
      <c r="A59" s="161" t="s">
        <v>140</v>
      </c>
      <c r="B59" s="162"/>
      <c r="C59" s="162"/>
      <c r="D59" s="162"/>
      <c r="E59" s="101">
        <f>SUM(E41,E47,E52,E57)</f>
        <v>6600</v>
      </c>
    </row>
    <row r="62" spans="1:7" ht="18" customHeight="1">
      <c r="A62" s="171" t="s">
        <v>246</v>
      </c>
      <c r="B62" s="171"/>
      <c r="C62" s="171"/>
      <c r="D62" s="96" t="s">
        <v>115</v>
      </c>
      <c r="E62" s="96" t="s">
        <v>91</v>
      </c>
    </row>
    <row r="63" spans="1:7" ht="18" customHeight="1">
      <c r="A63" s="169"/>
      <c r="B63" s="169"/>
      <c r="C63" s="169"/>
      <c r="D63" s="100" t="s">
        <v>117</v>
      </c>
      <c r="E63" s="100" t="s">
        <v>24</v>
      </c>
    </row>
    <row r="64" spans="1:7" ht="18" customHeight="1">
      <c r="A64" s="165" t="s">
        <v>118</v>
      </c>
      <c r="B64" s="165"/>
      <c r="C64" s="165"/>
      <c r="D64" s="165"/>
      <c r="E64" s="165"/>
    </row>
    <row r="65" spans="1:7" ht="18" customHeight="1">
      <c r="A65" s="100" t="s">
        <v>119</v>
      </c>
      <c r="B65" s="100" t="s">
        <v>117</v>
      </c>
      <c r="C65" s="100" t="s">
        <v>120</v>
      </c>
      <c r="D65" s="100" t="s">
        <v>121</v>
      </c>
      <c r="E65" s="100" t="s">
        <v>122</v>
      </c>
    </row>
    <row r="66" spans="1:7" ht="18" customHeight="1">
      <c r="A66" s="80" t="s">
        <v>123</v>
      </c>
      <c r="B66" s="81" t="s">
        <v>124</v>
      </c>
      <c r="C66" s="82">
        <v>0.1</v>
      </c>
      <c r="D66" s="83">
        <f>E88</f>
        <v>3714.2857142857142</v>
      </c>
      <c r="E66" s="83">
        <f>C66*D66</f>
        <v>371.42857142857144</v>
      </c>
    </row>
    <row r="67" spans="1:7" ht="18" customHeight="1">
      <c r="A67" s="80" t="s">
        <v>127</v>
      </c>
      <c r="B67" s="81" t="s">
        <v>126</v>
      </c>
      <c r="C67" s="82">
        <v>0.01</v>
      </c>
      <c r="D67" s="83">
        <v>15000</v>
      </c>
      <c r="E67" s="83">
        <f>C67*D67</f>
        <v>150</v>
      </c>
    </row>
    <row r="68" spans="1:7" ht="18" customHeight="1">
      <c r="A68" s="80"/>
      <c r="B68" s="81"/>
      <c r="C68" s="82"/>
      <c r="D68" s="83"/>
      <c r="E68" s="83"/>
    </row>
    <row r="69" spans="1:7" ht="18" customHeight="1">
      <c r="A69" s="161" t="s">
        <v>128</v>
      </c>
      <c r="B69" s="161"/>
      <c r="C69" s="161"/>
      <c r="D69" s="161"/>
      <c r="E69" s="101">
        <f>SUM(E66:E67)</f>
        <v>521.42857142857144</v>
      </c>
    </row>
    <row r="70" spans="1:7" ht="18" customHeight="1">
      <c r="A70" s="165" t="s">
        <v>129</v>
      </c>
      <c r="B70" s="165"/>
      <c r="C70" s="165"/>
      <c r="D70" s="165"/>
      <c r="E70" s="165"/>
    </row>
    <row r="71" spans="1:7" ht="18" customHeight="1">
      <c r="A71" s="100" t="s">
        <v>119</v>
      </c>
      <c r="B71" s="100" t="s">
        <v>117</v>
      </c>
      <c r="C71" s="100" t="s">
        <v>130</v>
      </c>
      <c r="D71" s="100" t="s">
        <v>131</v>
      </c>
      <c r="E71" s="100" t="s">
        <v>122</v>
      </c>
      <c r="F71" s="97"/>
    </row>
    <row r="72" spans="1:7" ht="18" customHeight="1">
      <c r="A72" s="80" t="s">
        <v>247</v>
      </c>
      <c r="B72" s="81" t="s">
        <v>248</v>
      </c>
      <c r="C72" s="94">
        <v>2.5000000000000001E-2</v>
      </c>
      <c r="D72" s="83">
        <v>160000</v>
      </c>
      <c r="E72" s="83">
        <f>C72*D72</f>
        <v>4000</v>
      </c>
      <c r="F72" s="97"/>
    </row>
    <row r="73" spans="1:7" ht="18" customHeight="1">
      <c r="A73" s="80" t="s">
        <v>249</v>
      </c>
      <c r="B73" s="81" t="s">
        <v>24</v>
      </c>
      <c r="C73" s="94">
        <v>1.4999999999999999E-2</v>
      </c>
      <c r="D73" s="83">
        <v>100000</v>
      </c>
      <c r="E73" s="83">
        <f>C73*D73</f>
        <v>1500</v>
      </c>
      <c r="G73" s="97"/>
    </row>
    <row r="74" spans="1:7" ht="18" customHeight="1">
      <c r="A74" s="80" t="s">
        <v>132</v>
      </c>
      <c r="B74" s="81" t="s">
        <v>133</v>
      </c>
      <c r="C74" s="85">
        <v>0.05</v>
      </c>
      <c r="D74" s="83">
        <v>35000</v>
      </c>
      <c r="E74" s="83">
        <f>C74*D74</f>
        <v>1750</v>
      </c>
      <c r="G74" s="97"/>
    </row>
    <row r="75" spans="1:7" ht="18" customHeight="1">
      <c r="A75" s="80"/>
      <c r="B75" s="81"/>
      <c r="C75" s="94"/>
      <c r="D75" s="83"/>
      <c r="E75" s="83"/>
    </row>
    <row r="76" spans="1:7" ht="18" customHeight="1">
      <c r="A76" s="87" t="s">
        <v>147</v>
      </c>
      <c r="B76" s="163"/>
      <c r="C76" s="163"/>
      <c r="D76" s="163"/>
      <c r="E76" s="83">
        <f>E72*0.03</f>
        <v>120</v>
      </c>
    </row>
    <row r="77" spans="1:7" ht="18" customHeight="1">
      <c r="A77" s="87"/>
      <c r="B77" s="88"/>
      <c r="C77" s="89"/>
      <c r="D77" s="89"/>
      <c r="E77" s="83"/>
    </row>
    <row r="78" spans="1:7" ht="18" customHeight="1">
      <c r="A78" s="161" t="s">
        <v>128</v>
      </c>
      <c r="B78" s="161"/>
      <c r="C78" s="161"/>
      <c r="D78" s="161"/>
      <c r="E78" s="101">
        <f>SUM(E72:E76)</f>
        <v>7370</v>
      </c>
    </row>
    <row r="79" spans="1:7" ht="18" customHeight="1">
      <c r="A79" s="165" t="s">
        <v>136</v>
      </c>
      <c r="B79" s="165"/>
      <c r="C79" s="165"/>
      <c r="D79" s="165"/>
      <c r="E79" s="165"/>
    </row>
    <row r="80" spans="1:7" ht="18" customHeight="1">
      <c r="A80" s="100" t="s">
        <v>119</v>
      </c>
      <c r="B80" s="100" t="s">
        <v>117</v>
      </c>
      <c r="C80" s="100" t="s">
        <v>120</v>
      </c>
      <c r="D80" s="100" t="s">
        <v>121</v>
      </c>
      <c r="E80" s="100" t="s">
        <v>122</v>
      </c>
    </row>
    <row r="81" spans="1:7" ht="18" customHeight="1">
      <c r="A81" s="80" t="s">
        <v>148</v>
      </c>
      <c r="B81" s="81" t="s">
        <v>126</v>
      </c>
      <c r="C81" s="82">
        <v>2.5000000000000001E-2</v>
      </c>
      <c r="D81" s="83">
        <v>25000</v>
      </c>
      <c r="E81" s="83">
        <f>D81*C81</f>
        <v>625</v>
      </c>
      <c r="G81" s="97"/>
    </row>
    <row r="82" spans="1:7" ht="18" customHeight="1">
      <c r="A82" s="80"/>
      <c r="B82" s="81"/>
      <c r="C82" s="82"/>
      <c r="D82" s="83"/>
      <c r="E82" s="83"/>
    </row>
    <row r="83" spans="1:7" ht="18" customHeight="1">
      <c r="A83" s="161" t="s">
        <v>128</v>
      </c>
      <c r="B83" s="161"/>
      <c r="C83" s="161"/>
      <c r="D83" s="161"/>
      <c r="E83" s="101">
        <f>SUM(E81)</f>
        <v>625</v>
      </c>
    </row>
    <row r="84" spans="1:7" ht="18" customHeight="1">
      <c r="A84" s="165" t="s">
        <v>138</v>
      </c>
      <c r="B84" s="165"/>
      <c r="C84" s="165"/>
      <c r="D84" s="165"/>
      <c r="E84" s="165"/>
    </row>
    <row r="85" spans="1:7" ht="18" customHeight="1">
      <c r="A85" s="100" t="s">
        <v>119</v>
      </c>
      <c r="B85" s="100" t="s">
        <v>117</v>
      </c>
      <c r="C85" s="100" t="s">
        <v>120</v>
      </c>
      <c r="D85" s="100" t="s">
        <v>139</v>
      </c>
      <c r="E85" s="100" t="s">
        <v>122</v>
      </c>
    </row>
    <row r="86" spans="1:7" ht="18" customHeight="1">
      <c r="A86" s="80" t="s">
        <v>168</v>
      </c>
      <c r="B86" s="81" t="s">
        <v>126</v>
      </c>
      <c r="C86" s="82">
        <v>35</v>
      </c>
      <c r="D86" s="83">
        <v>130000</v>
      </c>
      <c r="E86" s="83">
        <f>D86/C86</f>
        <v>3714.2857142857142</v>
      </c>
    </row>
    <row r="87" spans="1:7" ht="18" customHeight="1">
      <c r="A87" s="80"/>
      <c r="B87" s="81"/>
      <c r="C87" s="82"/>
      <c r="D87" s="83"/>
      <c r="E87" s="83"/>
    </row>
    <row r="88" spans="1:7" ht="18" customHeight="1">
      <c r="A88" s="161" t="s">
        <v>128</v>
      </c>
      <c r="B88" s="161"/>
      <c r="C88" s="161"/>
      <c r="D88" s="161"/>
      <c r="E88" s="101">
        <f>SUM(E86)</f>
        <v>3714.2857142857142</v>
      </c>
    </row>
    <row r="89" spans="1:7" ht="18" customHeight="1">
      <c r="A89" s="81"/>
      <c r="B89" s="89"/>
      <c r="C89" s="89"/>
      <c r="D89" s="89"/>
      <c r="E89" s="89"/>
    </row>
    <row r="90" spans="1:7" ht="18" customHeight="1">
      <c r="A90" s="161" t="s">
        <v>140</v>
      </c>
      <c r="B90" s="161"/>
      <c r="C90" s="161"/>
      <c r="D90" s="161"/>
      <c r="E90" s="101">
        <f>SUM(E69,E78,E83,E88)</f>
        <v>12230.714285714286</v>
      </c>
    </row>
    <row r="92" spans="1:7" ht="18" customHeight="1">
      <c r="B92" s="89"/>
      <c r="C92" s="89"/>
      <c r="D92" s="89"/>
      <c r="E92" s="89"/>
    </row>
    <row r="93" spans="1:7" ht="18" customHeight="1">
      <c r="A93" s="176" t="s">
        <v>237</v>
      </c>
      <c r="B93" s="177"/>
      <c r="C93" s="177"/>
      <c r="D93" s="123" t="s">
        <v>115</v>
      </c>
      <c r="E93" s="123" t="s">
        <v>91</v>
      </c>
    </row>
    <row r="94" spans="1:7" ht="18" customHeight="1">
      <c r="A94" s="169"/>
      <c r="B94" s="164"/>
      <c r="C94" s="164"/>
      <c r="D94" s="78" t="s">
        <v>117</v>
      </c>
      <c r="E94" s="78" t="s">
        <v>31</v>
      </c>
    </row>
    <row r="95" spans="1:7" ht="18" customHeight="1">
      <c r="A95" s="165" t="s">
        <v>118</v>
      </c>
      <c r="B95" s="166"/>
      <c r="C95" s="166"/>
      <c r="D95" s="166"/>
      <c r="E95" s="166"/>
    </row>
    <row r="96" spans="1:7" ht="18" customHeight="1">
      <c r="A96" s="100" t="s">
        <v>119</v>
      </c>
      <c r="B96" s="100" t="s">
        <v>117</v>
      </c>
      <c r="C96" s="100" t="s">
        <v>120</v>
      </c>
      <c r="D96" s="100" t="s">
        <v>121</v>
      </c>
      <c r="E96" s="100" t="s">
        <v>122</v>
      </c>
    </row>
    <row r="97" spans="1:7" ht="18" customHeight="1">
      <c r="A97" s="80" t="s">
        <v>123</v>
      </c>
      <c r="B97" s="81" t="s">
        <v>124</v>
      </c>
      <c r="C97" s="82"/>
      <c r="D97" s="83"/>
      <c r="E97" s="83"/>
    </row>
    <row r="98" spans="1:7" ht="18" customHeight="1">
      <c r="A98" s="80" t="s">
        <v>125</v>
      </c>
      <c r="B98" s="81" t="s">
        <v>126</v>
      </c>
      <c r="C98" s="82"/>
      <c r="D98" s="83"/>
      <c r="E98" s="83"/>
    </row>
    <row r="99" spans="1:7" ht="18" customHeight="1">
      <c r="A99" s="81"/>
      <c r="B99" s="81"/>
      <c r="C99" s="81"/>
      <c r="D99" s="83"/>
      <c r="E99" s="83"/>
    </row>
    <row r="100" spans="1:7" ht="18" customHeight="1">
      <c r="A100" s="161" t="s">
        <v>128</v>
      </c>
      <c r="B100" s="162"/>
      <c r="C100" s="162"/>
      <c r="D100" s="162"/>
      <c r="E100" s="101">
        <v>700</v>
      </c>
    </row>
    <row r="101" spans="1:7" ht="18" customHeight="1">
      <c r="A101" s="165" t="s">
        <v>129</v>
      </c>
      <c r="B101" s="166"/>
      <c r="C101" s="166"/>
      <c r="D101" s="166"/>
      <c r="E101" s="166"/>
    </row>
    <row r="102" spans="1:7" ht="18" customHeight="1">
      <c r="A102" s="100" t="s">
        <v>119</v>
      </c>
      <c r="B102" s="100" t="s">
        <v>117</v>
      </c>
      <c r="C102" s="100" t="s">
        <v>130</v>
      </c>
      <c r="D102" s="100" t="s">
        <v>131</v>
      </c>
      <c r="E102" s="100" t="s">
        <v>122</v>
      </c>
    </row>
    <row r="103" spans="1:7" ht="18" customHeight="1">
      <c r="A103" s="80" t="s">
        <v>238</v>
      </c>
      <c r="B103" s="81" t="s">
        <v>220</v>
      </c>
      <c r="C103" s="85"/>
      <c r="D103" s="83"/>
      <c r="E103" s="83"/>
    </row>
    <row r="104" spans="1:7" ht="18" customHeight="1">
      <c r="A104" s="80" t="s">
        <v>221</v>
      </c>
      <c r="B104" s="81" t="s">
        <v>134</v>
      </c>
      <c r="C104" s="94"/>
      <c r="D104" s="83"/>
      <c r="E104" s="83"/>
    </row>
    <row r="105" spans="1:7" ht="18" customHeight="1">
      <c r="A105" s="80" t="s">
        <v>222</v>
      </c>
      <c r="B105" s="81" t="s">
        <v>134</v>
      </c>
      <c r="C105" s="94"/>
      <c r="D105" s="83"/>
      <c r="E105" s="83"/>
    </row>
    <row r="106" spans="1:7" ht="18" customHeight="1">
      <c r="A106" s="80"/>
      <c r="B106" s="81"/>
      <c r="C106" s="94"/>
      <c r="D106" s="83"/>
      <c r="E106" s="83"/>
    </row>
    <row r="107" spans="1:7" ht="18" customHeight="1">
      <c r="A107" s="80"/>
      <c r="B107" s="81"/>
      <c r="C107" s="86"/>
      <c r="D107" s="83"/>
      <c r="E107" s="83"/>
    </row>
    <row r="108" spans="1:7" ht="18" customHeight="1">
      <c r="A108" s="87" t="s">
        <v>135</v>
      </c>
      <c r="B108" s="163"/>
      <c r="C108" s="164"/>
      <c r="D108" s="164"/>
      <c r="E108" s="83">
        <f>SUM(E103:E107)*0.05</f>
        <v>0</v>
      </c>
    </row>
    <row r="109" spans="1:7" ht="18" customHeight="1">
      <c r="A109" s="87"/>
      <c r="B109" s="88"/>
      <c r="C109" s="89"/>
      <c r="D109" s="89"/>
      <c r="E109" s="83"/>
    </row>
    <row r="110" spans="1:7" ht="18" customHeight="1">
      <c r="A110" s="161" t="s">
        <v>128</v>
      </c>
      <c r="B110" s="162"/>
      <c r="C110" s="162"/>
      <c r="D110" s="162"/>
      <c r="E110" s="101">
        <v>10550.4</v>
      </c>
      <c r="G110" s="97"/>
    </row>
    <row r="111" spans="1:7" ht="18" customHeight="1">
      <c r="A111" s="165" t="s">
        <v>136</v>
      </c>
      <c r="B111" s="166"/>
      <c r="C111" s="166"/>
      <c r="D111" s="166"/>
      <c r="E111" s="166"/>
    </row>
    <row r="112" spans="1:7" ht="18" customHeight="1">
      <c r="A112" s="100" t="s">
        <v>119</v>
      </c>
      <c r="B112" s="100" t="s">
        <v>117</v>
      </c>
      <c r="C112" s="100" t="s">
        <v>120</v>
      </c>
      <c r="D112" s="100" t="s">
        <v>121</v>
      </c>
      <c r="E112" s="100" t="s">
        <v>122</v>
      </c>
    </row>
    <row r="113" spans="1:5" ht="18" customHeight="1">
      <c r="A113" s="80" t="s">
        <v>148</v>
      </c>
      <c r="B113" s="81" t="s">
        <v>126</v>
      </c>
      <c r="C113" s="82"/>
      <c r="D113" s="83"/>
      <c r="E113" s="83"/>
    </row>
    <row r="114" spans="1:5" ht="18" customHeight="1">
      <c r="A114" s="80"/>
      <c r="B114" s="81"/>
      <c r="C114" s="82"/>
      <c r="D114" s="83"/>
      <c r="E114" s="83"/>
    </row>
    <row r="115" spans="1:5" ht="18" customHeight="1">
      <c r="A115" s="161" t="s">
        <v>128</v>
      </c>
      <c r="B115" s="162"/>
      <c r="C115" s="162"/>
      <c r="D115" s="162"/>
      <c r="E115" s="101">
        <v>625</v>
      </c>
    </row>
    <row r="116" spans="1:5" ht="18" customHeight="1">
      <c r="A116" s="165" t="s">
        <v>138</v>
      </c>
      <c r="B116" s="166"/>
      <c r="C116" s="166"/>
      <c r="D116" s="166"/>
      <c r="E116" s="166"/>
    </row>
    <row r="117" spans="1:5" ht="18" customHeight="1">
      <c r="A117" s="100" t="s">
        <v>119</v>
      </c>
      <c r="B117" s="100" t="s">
        <v>117</v>
      </c>
      <c r="C117" s="100" t="s">
        <v>120</v>
      </c>
      <c r="D117" s="100" t="s">
        <v>139</v>
      </c>
      <c r="E117" s="100" t="s">
        <v>122</v>
      </c>
    </row>
    <row r="118" spans="1:5" ht="18" customHeight="1">
      <c r="A118" s="80" t="s">
        <v>168</v>
      </c>
      <c r="B118" s="81" t="s">
        <v>126</v>
      </c>
      <c r="C118" s="82"/>
      <c r="D118" s="83"/>
      <c r="E118" s="83"/>
    </row>
    <row r="119" spans="1:5" ht="18" customHeight="1">
      <c r="A119" s="80"/>
      <c r="B119" s="81"/>
      <c r="C119" s="82"/>
      <c r="D119" s="83"/>
      <c r="E119" s="83"/>
    </row>
    <row r="120" spans="1:5" ht="18" customHeight="1">
      <c r="A120" s="161" t="s">
        <v>128</v>
      </c>
      <c r="B120" s="162"/>
      <c r="C120" s="162"/>
      <c r="D120" s="162"/>
      <c r="E120" s="101">
        <v>3250</v>
      </c>
    </row>
    <row r="121" spans="1:5" ht="18" customHeight="1">
      <c r="A121" s="81"/>
      <c r="B121" s="89"/>
      <c r="C121" s="89"/>
      <c r="D121" s="89"/>
      <c r="E121" s="89"/>
    </row>
    <row r="122" spans="1:5" ht="18" customHeight="1">
      <c r="A122" s="161" t="s">
        <v>140</v>
      </c>
      <c r="B122" s="162"/>
      <c r="C122" s="162"/>
      <c r="D122" s="162"/>
      <c r="E122" s="101">
        <f>SUM(E100,E110,E115,E120)</f>
        <v>15125.4</v>
      </c>
    </row>
    <row r="125" spans="1:5" ht="18" customHeight="1">
      <c r="A125" s="171" t="s">
        <v>250</v>
      </c>
      <c r="B125" s="171"/>
      <c r="C125" s="171"/>
      <c r="D125" s="96" t="s">
        <v>115</v>
      </c>
      <c r="E125" s="96" t="s">
        <v>39</v>
      </c>
    </row>
    <row r="126" spans="1:5" ht="18" customHeight="1">
      <c r="A126" s="169"/>
      <c r="B126" s="164"/>
      <c r="C126" s="164"/>
      <c r="D126" s="78" t="s">
        <v>117</v>
      </c>
      <c r="E126" s="78" t="s">
        <v>24</v>
      </c>
    </row>
    <row r="127" spans="1:5" ht="18" customHeight="1">
      <c r="A127" s="165" t="s">
        <v>118</v>
      </c>
      <c r="B127" s="166"/>
      <c r="C127" s="166"/>
      <c r="D127" s="166"/>
      <c r="E127" s="166"/>
    </row>
    <row r="128" spans="1:5" ht="18" customHeight="1">
      <c r="A128" s="100" t="s">
        <v>119</v>
      </c>
      <c r="B128" s="100" t="s">
        <v>117</v>
      </c>
      <c r="C128" s="100" t="s">
        <v>120</v>
      </c>
      <c r="D128" s="100" t="s">
        <v>121</v>
      </c>
      <c r="E128" s="100" t="s">
        <v>122</v>
      </c>
    </row>
    <row r="129" spans="1:5" ht="18" customHeight="1">
      <c r="A129" s="81" t="s">
        <v>123</v>
      </c>
      <c r="B129" s="81" t="s">
        <v>124</v>
      </c>
      <c r="C129" s="82">
        <v>0.1</v>
      </c>
      <c r="D129" s="83">
        <f>E149</f>
        <v>3250</v>
      </c>
      <c r="E129" s="83">
        <f>C129*D129</f>
        <v>325</v>
      </c>
    </row>
    <row r="130" spans="1:5" ht="18" customHeight="1">
      <c r="A130" s="81"/>
      <c r="B130" s="81"/>
      <c r="C130" s="81"/>
      <c r="D130" s="83"/>
      <c r="E130" s="83"/>
    </row>
    <row r="131" spans="1:5" ht="18" customHeight="1">
      <c r="A131" s="161" t="s">
        <v>128</v>
      </c>
      <c r="B131" s="162"/>
      <c r="C131" s="162"/>
      <c r="D131" s="162"/>
      <c r="E131" s="101">
        <f>SUM(E129:E129)</f>
        <v>325</v>
      </c>
    </row>
    <row r="132" spans="1:5" ht="18" customHeight="1">
      <c r="A132" s="165" t="s">
        <v>129</v>
      </c>
      <c r="B132" s="166"/>
      <c r="C132" s="166"/>
      <c r="D132" s="166"/>
      <c r="E132" s="166"/>
    </row>
    <row r="133" spans="1:5" ht="18" customHeight="1">
      <c r="A133" s="100" t="s">
        <v>119</v>
      </c>
      <c r="B133" s="100" t="s">
        <v>117</v>
      </c>
      <c r="C133" s="100" t="s">
        <v>130</v>
      </c>
      <c r="D133" s="100" t="s">
        <v>131</v>
      </c>
      <c r="E133" s="100" t="s">
        <v>122</v>
      </c>
    </row>
    <row r="134" spans="1:5" ht="18" customHeight="1">
      <c r="A134" s="80" t="s">
        <v>251</v>
      </c>
      <c r="B134" s="81" t="s">
        <v>24</v>
      </c>
      <c r="C134" s="94">
        <v>0.18</v>
      </c>
      <c r="D134" s="83">
        <v>28000</v>
      </c>
      <c r="E134" s="83">
        <f>C134*D134</f>
        <v>5040</v>
      </c>
    </row>
    <row r="135" spans="1:5" ht="18" customHeight="1">
      <c r="A135" s="80" t="s">
        <v>252</v>
      </c>
      <c r="B135" s="81" t="s">
        <v>253</v>
      </c>
      <c r="C135" s="94">
        <v>0.1</v>
      </c>
      <c r="D135" s="83">
        <v>15000</v>
      </c>
      <c r="E135" s="83">
        <f>C135*D135</f>
        <v>1500</v>
      </c>
    </row>
    <row r="136" spans="1:5" ht="18" customHeight="1">
      <c r="A136" s="80"/>
      <c r="B136" s="81"/>
      <c r="C136" s="94"/>
      <c r="D136" s="83"/>
      <c r="E136" s="83"/>
    </row>
    <row r="137" spans="1:5" ht="18" customHeight="1">
      <c r="A137" s="128" t="s">
        <v>157</v>
      </c>
      <c r="B137" s="186"/>
      <c r="C137" s="164"/>
      <c r="D137" s="164"/>
      <c r="E137" s="129">
        <f>(E134+E135)*0.05</f>
        <v>327</v>
      </c>
    </row>
    <row r="138" spans="1:5" ht="18" customHeight="1">
      <c r="A138" s="128"/>
      <c r="B138" s="130"/>
      <c r="C138" s="89"/>
      <c r="D138" s="89"/>
      <c r="E138" s="129"/>
    </row>
    <row r="139" spans="1:5" ht="18" customHeight="1">
      <c r="A139" s="161" t="s">
        <v>128</v>
      </c>
      <c r="B139" s="162"/>
      <c r="C139" s="162"/>
      <c r="D139" s="162"/>
      <c r="E139" s="101">
        <f>SUM(E134:E137)</f>
        <v>6867</v>
      </c>
    </row>
    <row r="140" spans="1:5" ht="18" customHeight="1">
      <c r="A140" s="165" t="s">
        <v>136</v>
      </c>
      <c r="B140" s="166"/>
      <c r="C140" s="166"/>
      <c r="D140" s="166"/>
      <c r="E140" s="166"/>
    </row>
    <row r="141" spans="1:5" ht="18" customHeight="1">
      <c r="A141" s="100" t="s">
        <v>119</v>
      </c>
      <c r="B141" s="100" t="s">
        <v>117</v>
      </c>
      <c r="C141" s="100" t="s">
        <v>120</v>
      </c>
      <c r="D141" s="100" t="s">
        <v>121</v>
      </c>
      <c r="E141" s="100" t="s">
        <v>122</v>
      </c>
    </row>
    <row r="142" spans="1:5" ht="18" customHeight="1">
      <c r="A142" s="80" t="s">
        <v>148</v>
      </c>
      <c r="B142" s="81" t="s">
        <v>126</v>
      </c>
      <c r="C142" s="82">
        <v>2.5000000000000001E-2</v>
      </c>
      <c r="D142" s="83">
        <v>45000</v>
      </c>
      <c r="E142" s="83">
        <f>D142*C142</f>
        <v>1125</v>
      </c>
    </row>
    <row r="143" spans="1:5" ht="18" customHeight="1">
      <c r="A143" s="80"/>
      <c r="B143" s="81"/>
      <c r="C143" s="82"/>
      <c r="D143" s="83"/>
      <c r="E143" s="83"/>
    </row>
    <row r="144" spans="1:5" ht="18" customHeight="1">
      <c r="A144" s="161" t="s">
        <v>128</v>
      </c>
      <c r="B144" s="162"/>
      <c r="C144" s="162"/>
      <c r="D144" s="162"/>
      <c r="E144" s="101">
        <f>SUM(E142)</f>
        <v>1125</v>
      </c>
    </row>
    <row r="145" spans="1:5" ht="18" customHeight="1">
      <c r="A145" s="165" t="s">
        <v>138</v>
      </c>
      <c r="B145" s="166"/>
      <c r="C145" s="166"/>
      <c r="D145" s="166"/>
      <c r="E145" s="166"/>
    </row>
    <row r="146" spans="1:5" ht="18" customHeight="1">
      <c r="A146" s="100" t="s">
        <v>119</v>
      </c>
      <c r="B146" s="100" t="s">
        <v>117</v>
      </c>
      <c r="C146" s="100" t="s">
        <v>120</v>
      </c>
      <c r="D146" s="100" t="s">
        <v>139</v>
      </c>
      <c r="E146" s="100" t="s">
        <v>122</v>
      </c>
    </row>
    <row r="147" spans="1:5" ht="18" customHeight="1">
      <c r="A147" s="80" t="s">
        <v>149</v>
      </c>
      <c r="B147" s="81" t="s">
        <v>126</v>
      </c>
      <c r="C147" s="82">
        <v>40</v>
      </c>
      <c r="D147" s="83">
        <v>130000</v>
      </c>
      <c r="E147" s="83">
        <f>D147/C147</f>
        <v>3250</v>
      </c>
    </row>
    <row r="148" spans="1:5" ht="18" customHeight="1">
      <c r="A148" s="80"/>
      <c r="B148" s="81"/>
      <c r="C148" s="82"/>
      <c r="D148" s="83"/>
      <c r="E148" s="83"/>
    </row>
    <row r="149" spans="1:5" ht="18" customHeight="1">
      <c r="A149" s="161" t="s">
        <v>128</v>
      </c>
      <c r="B149" s="162"/>
      <c r="C149" s="162"/>
      <c r="D149" s="162"/>
      <c r="E149" s="101">
        <f>SUM(E147)</f>
        <v>3250</v>
      </c>
    </row>
    <row r="150" spans="1:5" ht="18" customHeight="1">
      <c r="A150" s="81"/>
      <c r="B150" s="89"/>
      <c r="C150" s="89"/>
      <c r="D150" s="89"/>
      <c r="E150" s="89"/>
    </row>
    <row r="151" spans="1:5" ht="18" customHeight="1">
      <c r="A151" s="161" t="s">
        <v>140</v>
      </c>
      <c r="B151" s="162"/>
      <c r="C151" s="162"/>
      <c r="D151" s="162"/>
      <c r="E151" s="101">
        <f>SUM(E131,E139,E144,E149)</f>
        <v>11567</v>
      </c>
    </row>
    <row r="154" spans="1:5" ht="18" customHeight="1">
      <c r="A154" s="172" t="s">
        <v>254</v>
      </c>
      <c r="B154" s="173"/>
      <c r="C154" s="173"/>
      <c r="D154" s="77" t="s">
        <v>115</v>
      </c>
      <c r="E154" s="77" t="s">
        <v>39</v>
      </c>
    </row>
    <row r="155" spans="1:5" ht="18" customHeight="1">
      <c r="A155" s="169"/>
      <c r="B155" s="164"/>
      <c r="C155" s="164"/>
      <c r="D155" s="100" t="s">
        <v>117</v>
      </c>
      <c r="E155" s="100" t="s">
        <v>230</v>
      </c>
    </row>
    <row r="156" spans="1:5" ht="18" customHeight="1">
      <c r="A156" s="165" t="s">
        <v>118</v>
      </c>
      <c r="B156" s="166"/>
      <c r="C156" s="166"/>
      <c r="D156" s="166"/>
      <c r="E156" s="166"/>
    </row>
    <row r="157" spans="1:5" ht="18" customHeight="1">
      <c r="A157" s="100" t="s">
        <v>119</v>
      </c>
      <c r="B157" s="100" t="s">
        <v>117</v>
      </c>
      <c r="C157" s="100" t="s">
        <v>120</v>
      </c>
      <c r="D157" s="100" t="s">
        <v>121</v>
      </c>
      <c r="E157" s="100" t="s">
        <v>122</v>
      </c>
    </row>
    <row r="158" spans="1:5" ht="18" customHeight="1">
      <c r="A158" s="81" t="s">
        <v>123</v>
      </c>
      <c r="B158" s="81" t="s">
        <v>124</v>
      </c>
      <c r="C158" s="82">
        <v>0.1</v>
      </c>
      <c r="D158" s="83">
        <f>E177</f>
        <v>1857.1428571428571</v>
      </c>
      <c r="E158" s="83">
        <f>C158*D158</f>
        <v>185.71428571428572</v>
      </c>
    </row>
    <row r="159" spans="1:5" ht="18" customHeight="1">
      <c r="A159" s="81"/>
      <c r="B159" s="81"/>
      <c r="C159" s="81"/>
      <c r="D159" s="83"/>
      <c r="E159" s="83"/>
    </row>
    <row r="160" spans="1:5" ht="18" customHeight="1">
      <c r="A160" s="161" t="s">
        <v>128</v>
      </c>
      <c r="B160" s="162"/>
      <c r="C160" s="162"/>
      <c r="D160" s="162"/>
      <c r="E160" s="101">
        <f>SUM(E158:E158)</f>
        <v>185.71428571428572</v>
      </c>
    </row>
    <row r="161" spans="1:5" ht="18" customHeight="1">
      <c r="A161" s="165" t="s">
        <v>129</v>
      </c>
      <c r="B161" s="166"/>
      <c r="C161" s="166"/>
      <c r="D161" s="166"/>
      <c r="E161" s="166"/>
    </row>
    <row r="162" spans="1:5" ht="18" customHeight="1">
      <c r="A162" s="100" t="s">
        <v>119</v>
      </c>
      <c r="B162" s="100" t="s">
        <v>117</v>
      </c>
      <c r="C162" s="100" t="s">
        <v>130</v>
      </c>
      <c r="D162" s="100" t="s">
        <v>131</v>
      </c>
      <c r="E162" s="100" t="s">
        <v>122</v>
      </c>
    </row>
    <row r="163" spans="1:5" ht="18" customHeight="1">
      <c r="A163" s="80" t="s">
        <v>255</v>
      </c>
      <c r="B163" s="81" t="s">
        <v>156</v>
      </c>
      <c r="C163" s="131">
        <v>0.15</v>
      </c>
      <c r="D163" s="83">
        <v>23000</v>
      </c>
      <c r="E163" s="83">
        <f>C163*D163</f>
        <v>3450</v>
      </c>
    </row>
    <row r="164" spans="1:5" ht="18" customHeight="1">
      <c r="A164" s="80"/>
      <c r="B164" s="81"/>
      <c r="C164" s="94"/>
      <c r="D164" s="83"/>
      <c r="E164" s="83"/>
    </row>
    <row r="165" spans="1:5" ht="18" customHeight="1">
      <c r="A165" s="87" t="s">
        <v>135</v>
      </c>
      <c r="B165" s="163"/>
      <c r="C165" s="164"/>
      <c r="D165" s="164"/>
      <c r="E165" s="83">
        <f>SUM(E163:E164)*0.02</f>
        <v>69</v>
      </c>
    </row>
    <row r="166" spans="1:5" ht="18" customHeight="1">
      <c r="A166" s="87"/>
      <c r="B166" s="88"/>
      <c r="C166" s="89"/>
      <c r="D166" s="89"/>
      <c r="E166" s="83"/>
    </row>
    <row r="167" spans="1:5" ht="18" customHeight="1">
      <c r="A167" s="161" t="s">
        <v>128</v>
      </c>
      <c r="B167" s="162"/>
      <c r="C167" s="162"/>
      <c r="D167" s="162"/>
      <c r="E167" s="101">
        <f>SUM(E163:E165)</f>
        <v>3519</v>
      </c>
    </row>
    <row r="168" spans="1:5" ht="18" customHeight="1">
      <c r="A168" s="165" t="s">
        <v>136</v>
      </c>
      <c r="B168" s="166"/>
      <c r="C168" s="166"/>
      <c r="D168" s="166"/>
      <c r="E168" s="166"/>
    </row>
    <row r="169" spans="1:5" ht="18" customHeight="1">
      <c r="A169" s="100" t="s">
        <v>119</v>
      </c>
      <c r="B169" s="100" t="s">
        <v>117</v>
      </c>
      <c r="C169" s="100" t="s">
        <v>120</v>
      </c>
      <c r="D169" s="100" t="s">
        <v>121</v>
      </c>
      <c r="E169" s="100" t="s">
        <v>122</v>
      </c>
    </row>
    <row r="170" spans="1:5" ht="18" customHeight="1">
      <c r="A170" s="80" t="s">
        <v>137</v>
      </c>
      <c r="B170" s="81" t="s">
        <v>126</v>
      </c>
      <c r="C170" s="82">
        <v>0.02</v>
      </c>
      <c r="D170" s="83">
        <v>45000</v>
      </c>
      <c r="E170" s="83">
        <f>D170*C170</f>
        <v>900</v>
      </c>
    </row>
    <row r="171" spans="1:5" ht="18" customHeight="1">
      <c r="A171" s="80"/>
      <c r="B171" s="81"/>
      <c r="C171" s="82"/>
      <c r="D171" s="83"/>
      <c r="E171" s="83"/>
    </row>
    <row r="172" spans="1:5" ht="18" customHeight="1">
      <c r="A172" s="161" t="s">
        <v>128</v>
      </c>
      <c r="B172" s="162"/>
      <c r="C172" s="162"/>
      <c r="D172" s="162"/>
      <c r="E172" s="101">
        <f>SUM(E170)</f>
        <v>900</v>
      </c>
    </row>
    <row r="173" spans="1:5" ht="18" customHeight="1">
      <c r="A173" s="165" t="s">
        <v>138</v>
      </c>
      <c r="B173" s="166"/>
      <c r="C173" s="166"/>
      <c r="D173" s="166"/>
      <c r="E173" s="166"/>
    </row>
    <row r="174" spans="1:5" ht="18" customHeight="1">
      <c r="A174" s="100" t="s">
        <v>119</v>
      </c>
      <c r="B174" s="100" t="s">
        <v>117</v>
      </c>
      <c r="C174" s="100" t="s">
        <v>120</v>
      </c>
      <c r="D174" s="100" t="s">
        <v>139</v>
      </c>
      <c r="E174" s="100" t="s">
        <v>122</v>
      </c>
    </row>
    <row r="175" spans="1:5" ht="18" customHeight="1">
      <c r="A175" s="80" t="s">
        <v>256</v>
      </c>
      <c r="B175" s="81" t="s">
        <v>126</v>
      </c>
      <c r="C175" s="82">
        <v>70</v>
      </c>
      <c r="D175" s="83">
        <v>130000</v>
      </c>
      <c r="E175" s="83">
        <f>D175/C175</f>
        <v>1857.1428571428571</v>
      </c>
    </row>
    <row r="176" spans="1:5" ht="18" customHeight="1">
      <c r="A176" s="80"/>
      <c r="B176" s="81"/>
      <c r="C176" s="82"/>
      <c r="D176" s="83"/>
      <c r="E176" s="83"/>
    </row>
    <row r="177" spans="1:5" ht="18" customHeight="1">
      <c r="A177" s="161" t="s">
        <v>128</v>
      </c>
      <c r="B177" s="162"/>
      <c r="C177" s="162"/>
      <c r="D177" s="162"/>
      <c r="E177" s="101">
        <f>SUM(E175)</f>
        <v>1857.1428571428571</v>
      </c>
    </row>
    <row r="178" spans="1:5" ht="18" customHeight="1">
      <c r="A178" s="81"/>
      <c r="B178" s="89"/>
      <c r="C178" s="89"/>
      <c r="D178" s="89"/>
      <c r="E178" s="89"/>
    </row>
    <row r="179" spans="1:5" ht="18" customHeight="1">
      <c r="A179" s="161" t="s">
        <v>140</v>
      </c>
      <c r="B179" s="162"/>
      <c r="C179" s="162"/>
      <c r="D179" s="162"/>
      <c r="E179" s="101">
        <f>SUM(E160,E167,E172,E177)</f>
        <v>6461.8571428571431</v>
      </c>
    </row>
    <row r="182" spans="1:5" ht="18" customHeight="1">
      <c r="A182" s="184" t="s">
        <v>257</v>
      </c>
      <c r="B182" s="185"/>
      <c r="C182" s="185"/>
      <c r="D182" s="123" t="s">
        <v>115</v>
      </c>
      <c r="E182" s="123" t="s">
        <v>41</v>
      </c>
    </row>
    <row r="183" spans="1:5" ht="18" customHeight="1">
      <c r="A183" s="169"/>
      <c r="B183" s="164"/>
      <c r="C183" s="164"/>
      <c r="D183" s="78" t="s">
        <v>117</v>
      </c>
      <c r="E183" s="78" t="s">
        <v>31</v>
      </c>
    </row>
    <row r="184" spans="1:5" ht="18" customHeight="1">
      <c r="A184" s="165" t="s">
        <v>118</v>
      </c>
      <c r="B184" s="166"/>
      <c r="C184" s="166"/>
      <c r="D184" s="166"/>
      <c r="E184" s="166"/>
    </row>
    <row r="185" spans="1:5" ht="18" customHeight="1">
      <c r="A185" s="79" t="s">
        <v>119</v>
      </c>
      <c r="B185" s="79" t="s">
        <v>117</v>
      </c>
      <c r="C185" s="79" t="s">
        <v>120</v>
      </c>
      <c r="D185" s="79" t="s">
        <v>121</v>
      </c>
      <c r="E185" s="79" t="s">
        <v>122</v>
      </c>
    </row>
    <row r="186" spans="1:5" ht="18" customHeight="1">
      <c r="A186" s="80" t="s">
        <v>123</v>
      </c>
      <c r="B186" s="81" t="s">
        <v>124</v>
      </c>
      <c r="C186" s="82">
        <v>0.1</v>
      </c>
      <c r="D186" s="83">
        <f>E207</f>
        <v>2000</v>
      </c>
      <c r="E186" s="83">
        <f>C186*D186</f>
        <v>200</v>
      </c>
    </row>
    <row r="187" spans="1:5" ht="18" customHeight="1">
      <c r="A187" s="80" t="s">
        <v>125</v>
      </c>
      <c r="B187" s="81" t="s">
        <v>126</v>
      </c>
      <c r="C187" s="82">
        <v>1.4999999999999999E-2</v>
      </c>
      <c r="D187" s="83">
        <v>25000</v>
      </c>
      <c r="E187" s="83">
        <f>C187*D187</f>
        <v>375</v>
      </c>
    </row>
    <row r="188" spans="1:5" ht="18" customHeight="1">
      <c r="A188" s="81"/>
      <c r="B188" s="81"/>
      <c r="C188" s="81"/>
      <c r="D188" s="83"/>
      <c r="E188" s="83"/>
    </row>
    <row r="189" spans="1:5" ht="18" customHeight="1">
      <c r="A189" s="180" t="s">
        <v>128</v>
      </c>
      <c r="B189" s="181"/>
      <c r="C189" s="181"/>
      <c r="D189" s="181"/>
      <c r="E189" s="70">
        <f>SUM(E186:E187)</f>
        <v>575</v>
      </c>
    </row>
    <row r="190" spans="1:5" ht="18" customHeight="1">
      <c r="A190" s="165" t="s">
        <v>129</v>
      </c>
      <c r="B190" s="166"/>
      <c r="C190" s="166"/>
      <c r="D190" s="166"/>
      <c r="E190" s="166"/>
    </row>
    <row r="191" spans="1:5" ht="18" customHeight="1">
      <c r="A191" s="79" t="s">
        <v>119</v>
      </c>
      <c r="B191" s="79" t="s">
        <v>117</v>
      </c>
      <c r="C191" s="79" t="s">
        <v>130</v>
      </c>
      <c r="D191" s="79" t="s">
        <v>131</v>
      </c>
      <c r="E191" s="79" t="s">
        <v>122</v>
      </c>
    </row>
    <row r="192" spans="1:5" ht="18" customHeight="1">
      <c r="A192" s="80" t="s">
        <v>255</v>
      </c>
      <c r="B192" s="81" t="s">
        <v>156</v>
      </c>
      <c r="C192" s="85">
        <v>0.15</v>
      </c>
      <c r="D192" s="83">
        <v>23000</v>
      </c>
      <c r="E192" s="83">
        <f>C192*D192</f>
        <v>3450</v>
      </c>
    </row>
    <row r="193" spans="1:5" ht="18" customHeight="1">
      <c r="A193" s="80" t="s">
        <v>258</v>
      </c>
      <c r="B193" s="81" t="s">
        <v>134</v>
      </c>
      <c r="C193" s="85">
        <v>0.05</v>
      </c>
      <c r="D193" s="83">
        <v>5000</v>
      </c>
      <c r="E193" s="83">
        <f>C193*D193</f>
        <v>250</v>
      </c>
    </row>
    <row r="194" spans="1:5" ht="18" customHeight="1">
      <c r="A194" s="80"/>
      <c r="B194" s="81"/>
      <c r="C194" s="94"/>
      <c r="D194" s="83"/>
      <c r="E194" s="83"/>
    </row>
    <row r="195" spans="1:5" ht="18" customHeight="1">
      <c r="A195" s="87" t="s">
        <v>135</v>
      </c>
      <c r="B195" s="163"/>
      <c r="C195" s="164"/>
      <c r="D195" s="164"/>
      <c r="E195" s="83">
        <f>SUM(E192:E194)*0.05</f>
        <v>185</v>
      </c>
    </row>
    <row r="196" spans="1:5" ht="18" customHeight="1">
      <c r="A196" s="87"/>
      <c r="B196" s="88"/>
      <c r="C196" s="89"/>
      <c r="D196" s="89"/>
      <c r="E196" s="83"/>
    </row>
    <row r="197" spans="1:5" ht="18" customHeight="1">
      <c r="A197" s="180" t="s">
        <v>128</v>
      </c>
      <c r="B197" s="181"/>
      <c r="C197" s="181"/>
      <c r="D197" s="181"/>
      <c r="E197" s="70">
        <f>SUM(E192:E195)</f>
        <v>3885</v>
      </c>
    </row>
    <row r="198" spans="1:5" ht="18" customHeight="1">
      <c r="A198" s="165" t="s">
        <v>136</v>
      </c>
      <c r="B198" s="166"/>
      <c r="C198" s="166"/>
      <c r="D198" s="166"/>
      <c r="E198" s="166"/>
    </row>
    <row r="199" spans="1:5" ht="18" customHeight="1">
      <c r="A199" s="79" t="s">
        <v>119</v>
      </c>
      <c r="B199" s="79" t="s">
        <v>117</v>
      </c>
      <c r="C199" s="79" t="s">
        <v>120</v>
      </c>
      <c r="D199" s="79" t="s">
        <v>121</v>
      </c>
      <c r="E199" s="79" t="s">
        <v>122</v>
      </c>
    </row>
    <row r="200" spans="1:5" ht="18" customHeight="1">
      <c r="A200" s="80" t="s">
        <v>137</v>
      </c>
      <c r="B200" s="81" t="s">
        <v>126</v>
      </c>
      <c r="C200" s="82">
        <v>0.02</v>
      </c>
      <c r="D200" s="83">
        <v>45000</v>
      </c>
      <c r="E200" s="83">
        <f>D200*C200</f>
        <v>900</v>
      </c>
    </row>
    <row r="201" spans="1:5" ht="18" customHeight="1">
      <c r="A201" s="80"/>
      <c r="B201" s="81"/>
      <c r="C201" s="82"/>
      <c r="D201" s="83"/>
      <c r="E201" s="83"/>
    </row>
    <row r="202" spans="1:5" ht="18" customHeight="1">
      <c r="A202" s="180" t="s">
        <v>128</v>
      </c>
      <c r="B202" s="181"/>
      <c r="C202" s="181"/>
      <c r="D202" s="181"/>
      <c r="E202" s="70">
        <f>SUM(E200)</f>
        <v>900</v>
      </c>
    </row>
    <row r="203" spans="1:5" ht="18" customHeight="1">
      <c r="A203" s="165" t="s">
        <v>138</v>
      </c>
      <c r="B203" s="166"/>
      <c r="C203" s="166"/>
      <c r="D203" s="166"/>
      <c r="E203" s="166"/>
    </row>
    <row r="204" spans="1:5" ht="18" customHeight="1">
      <c r="A204" s="79" t="s">
        <v>119</v>
      </c>
      <c r="B204" s="79" t="s">
        <v>117</v>
      </c>
      <c r="C204" s="79" t="s">
        <v>120</v>
      </c>
      <c r="D204" s="79" t="s">
        <v>139</v>
      </c>
      <c r="E204" s="79" t="s">
        <v>122</v>
      </c>
    </row>
    <row r="205" spans="1:5" ht="18" customHeight="1">
      <c r="A205" s="80" t="s">
        <v>256</v>
      </c>
      <c r="B205" s="81" t="s">
        <v>126</v>
      </c>
      <c r="C205" s="82">
        <v>65</v>
      </c>
      <c r="D205" s="83">
        <v>130000</v>
      </c>
      <c r="E205" s="83">
        <f>D205/C205</f>
        <v>2000</v>
      </c>
    </row>
    <row r="206" spans="1:5" ht="18" customHeight="1">
      <c r="A206" s="80"/>
      <c r="B206" s="81"/>
      <c r="C206" s="82"/>
      <c r="D206" s="83"/>
      <c r="E206" s="83"/>
    </row>
    <row r="207" spans="1:5" ht="18" customHeight="1">
      <c r="A207" s="180" t="s">
        <v>128</v>
      </c>
      <c r="B207" s="181"/>
      <c r="C207" s="181"/>
      <c r="D207" s="181"/>
      <c r="E207" s="70">
        <f>SUM(E205)</f>
        <v>2000</v>
      </c>
    </row>
    <row r="208" spans="1:5" ht="18" customHeight="1">
      <c r="A208" s="81"/>
      <c r="B208" s="89"/>
      <c r="C208" s="89"/>
      <c r="D208" s="89"/>
      <c r="E208" s="89"/>
    </row>
    <row r="209" spans="1:5" ht="18" customHeight="1">
      <c r="A209" s="180" t="s">
        <v>140</v>
      </c>
      <c r="B209" s="181"/>
      <c r="C209" s="181"/>
      <c r="D209" s="181"/>
      <c r="E209" s="70">
        <f>SUM(E189,E197,E202,E207)</f>
        <v>7360</v>
      </c>
    </row>
    <row r="212" spans="1:5" ht="18" customHeight="1">
      <c r="A212" s="178" t="s">
        <v>94</v>
      </c>
      <c r="B212" s="178"/>
      <c r="C212" s="178"/>
      <c r="D212" s="178"/>
      <c r="E212" s="178"/>
    </row>
    <row r="214" spans="1:5" ht="18" customHeight="1">
      <c r="A214" s="182" t="s">
        <v>259</v>
      </c>
      <c r="B214" s="183"/>
      <c r="C214" s="183"/>
      <c r="D214" s="132" t="s">
        <v>115</v>
      </c>
      <c r="E214" s="132" t="s">
        <v>62</v>
      </c>
    </row>
    <row r="215" spans="1:5" ht="18" customHeight="1">
      <c r="A215" s="169"/>
      <c r="B215" s="164"/>
      <c r="C215" s="164"/>
      <c r="D215" s="100" t="s">
        <v>117</v>
      </c>
      <c r="E215" s="100" t="s">
        <v>31</v>
      </c>
    </row>
    <row r="216" spans="1:5" ht="18" customHeight="1">
      <c r="A216" s="165" t="s">
        <v>118</v>
      </c>
      <c r="B216" s="166"/>
      <c r="C216" s="166"/>
      <c r="D216" s="166"/>
      <c r="E216" s="166"/>
    </row>
    <row r="217" spans="1:5" ht="18" customHeight="1">
      <c r="A217" s="100" t="s">
        <v>119</v>
      </c>
      <c r="B217" s="100" t="s">
        <v>117</v>
      </c>
      <c r="C217" s="100" t="s">
        <v>120</v>
      </c>
      <c r="D217" s="100" t="s">
        <v>121</v>
      </c>
      <c r="E217" s="100" t="s">
        <v>122</v>
      </c>
    </row>
    <row r="218" spans="1:5" ht="18" customHeight="1">
      <c r="A218" s="80" t="s">
        <v>123</v>
      </c>
      <c r="B218" s="81" t="s">
        <v>124</v>
      </c>
      <c r="C218" s="82">
        <v>0.1</v>
      </c>
      <c r="D218" s="83">
        <f>E237</f>
        <v>2600</v>
      </c>
      <c r="E218" s="83">
        <f>C218*D218</f>
        <v>260</v>
      </c>
    </row>
    <row r="219" spans="1:5" ht="18" customHeight="1">
      <c r="A219" s="80" t="s">
        <v>125</v>
      </c>
      <c r="B219" s="81" t="s">
        <v>126</v>
      </c>
      <c r="C219" s="82">
        <v>1.4999999999999999E-2</v>
      </c>
      <c r="D219" s="83">
        <v>25000</v>
      </c>
      <c r="E219" s="83">
        <f>C219*D219</f>
        <v>375</v>
      </c>
    </row>
    <row r="220" spans="1:5" ht="18" customHeight="1">
      <c r="A220" s="81"/>
      <c r="B220" s="81"/>
      <c r="C220" s="81"/>
      <c r="D220" s="83"/>
      <c r="E220" s="83"/>
    </row>
    <row r="221" spans="1:5" ht="18" customHeight="1">
      <c r="A221" s="161" t="s">
        <v>128</v>
      </c>
      <c r="B221" s="162"/>
      <c r="C221" s="162"/>
      <c r="D221" s="162"/>
      <c r="E221" s="101">
        <f>SUM(E218:E218)</f>
        <v>260</v>
      </c>
    </row>
    <row r="222" spans="1:5" ht="18" customHeight="1">
      <c r="A222" s="165" t="s">
        <v>129</v>
      </c>
      <c r="B222" s="166"/>
      <c r="C222" s="166"/>
      <c r="D222" s="166"/>
      <c r="E222" s="166"/>
    </row>
    <row r="223" spans="1:5" ht="18" customHeight="1">
      <c r="A223" s="100" t="s">
        <v>119</v>
      </c>
      <c r="B223" s="100" t="s">
        <v>117</v>
      </c>
      <c r="C223" s="100" t="s">
        <v>130</v>
      </c>
      <c r="D223" s="100" t="s">
        <v>131</v>
      </c>
      <c r="E223" s="100" t="s">
        <v>122</v>
      </c>
    </row>
    <row r="224" spans="1:5" ht="18" customHeight="1">
      <c r="A224" s="80"/>
      <c r="B224" s="81"/>
      <c r="C224" s="94"/>
      <c r="D224" s="83"/>
      <c r="E224" s="83"/>
    </row>
    <row r="225" spans="1:5" ht="18" customHeight="1">
      <c r="A225" s="87" t="s">
        <v>135</v>
      </c>
      <c r="B225" s="163"/>
      <c r="C225" s="164"/>
      <c r="D225" s="164"/>
      <c r="E225" s="83">
        <v>0</v>
      </c>
    </row>
    <row r="226" spans="1:5" ht="18" customHeight="1">
      <c r="A226" s="87"/>
      <c r="B226" s="88"/>
      <c r="C226" s="89"/>
      <c r="D226" s="89"/>
      <c r="E226" s="83"/>
    </row>
    <row r="227" spans="1:5" ht="18" customHeight="1">
      <c r="A227" s="161" t="s">
        <v>128</v>
      </c>
      <c r="B227" s="162"/>
      <c r="C227" s="162"/>
      <c r="D227" s="162"/>
      <c r="E227" s="101">
        <f>SUM(E224:E225)</f>
        <v>0</v>
      </c>
    </row>
    <row r="228" spans="1:5" ht="18" customHeight="1">
      <c r="A228" s="165" t="s">
        <v>136</v>
      </c>
      <c r="B228" s="166"/>
      <c r="C228" s="166"/>
      <c r="D228" s="166"/>
      <c r="E228" s="166"/>
    </row>
    <row r="229" spans="1:5" ht="18" customHeight="1">
      <c r="A229" s="100" t="s">
        <v>119</v>
      </c>
      <c r="B229" s="100" t="s">
        <v>117</v>
      </c>
      <c r="C229" s="100" t="s">
        <v>120</v>
      </c>
      <c r="D229" s="100" t="s">
        <v>121</v>
      </c>
      <c r="E229" s="100" t="s">
        <v>122</v>
      </c>
    </row>
    <row r="230" spans="1:5" ht="18" customHeight="1">
      <c r="A230" s="80" t="s">
        <v>137</v>
      </c>
      <c r="B230" s="81" t="s">
        <v>126</v>
      </c>
      <c r="C230" s="82">
        <v>0.02</v>
      </c>
      <c r="D230" s="83">
        <v>45000</v>
      </c>
      <c r="E230" s="83">
        <f>D230*C230</f>
        <v>900</v>
      </c>
    </row>
    <row r="231" spans="1:5" ht="18" customHeight="1">
      <c r="A231" s="80"/>
      <c r="B231" s="81"/>
      <c r="C231" s="82"/>
      <c r="D231" s="83"/>
      <c r="E231" s="83"/>
    </row>
    <row r="232" spans="1:5" ht="18" customHeight="1">
      <c r="A232" s="161" t="s">
        <v>128</v>
      </c>
      <c r="B232" s="162"/>
      <c r="C232" s="162"/>
      <c r="D232" s="162"/>
      <c r="E232" s="101">
        <f>SUM(E230)</f>
        <v>900</v>
      </c>
    </row>
    <row r="233" spans="1:5" ht="18" customHeight="1">
      <c r="A233" s="165" t="s">
        <v>138</v>
      </c>
      <c r="B233" s="166"/>
      <c r="C233" s="166"/>
      <c r="D233" s="166"/>
      <c r="E233" s="166"/>
    </row>
    <row r="234" spans="1:5" ht="18" customHeight="1">
      <c r="A234" s="100" t="s">
        <v>119</v>
      </c>
      <c r="B234" s="100" t="s">
        <v>117</v>
      </c>
      <c r="C234" s="100" t="s">
        <v>120</v>
      </c>
      <c r="D234" s="100" t="s">
        <v>139</v>
      </c>
      <c r="E234" s="100" t="s">
        <v>122</v>
      </c>
    </row>
    <row r="235" spans="1:5" ht="18" customHeight="1">
      <c r="A235" s="80" t="s">
        <v>256</v>
      </c>
      <c r="B235" s="81" t="s">
        <v>126</v>
      </c>
      <c r="C235" s="82">
        <v>50</v>
      </c>
      <c r="D235" s="83">
        <v>130000</v>
      </c>
      <c r="E235" s="83">
        <f>D235/C235</f>
        <v>2600</v>
      </c>
    </row>
    <row r="236" spans="1:5" ht="18" customHeight="1">
      <c r="A236" s="80"/>
      <c r="B236" s="81"/>
      <c r="C236" s="82"/>
      <c r="D236" s="83"/>
      <c r="E236" s="83"/>
    </row>
    <row r="237" spans="1:5" ht="18" customHeight="1">
      <c r="A237" s="161" t="s">
        <v>128</v>
      </c>
      <c r="B237" s="162"/>
      <c r="C237" s="162"/>
      <c r="D237" s="162"/>
      <c r="E237" s="101">
        <f>SUM(E235)</f>
        <v>2600</v>
      </c>
    </row>
    <row r="238" spans="1:5" ht="18" customHeight="1">
      <c r="A238" s="81"/>
      <c r="B238" s="89"/>
      <c r="C238" s="89"/>
      <c r="D238" s="89"/>
      <c r="E238" s="89"/>
    </row>
    <row r="239" spans="1:5" ht="18" customHeight="1">
      <c r="A239" s="161" t="s">
        <v>140</v>
      </c>
      <c r="B239" s="162"/>
      <c r="C239" s="162"/>
      <c r="D239" s="162"/>
      <c r="E239" s="101">
        <f>SUM(E221,E227,E232,E237)</f>
        <v>3760</v>
      </c>
    </row>
    <row r="241" spans="1:5" ht="18" customHeight="1">
      <c r="A241" s="72"/>
      <c r="B241" s="73"/>
      <c r="C241" s="73"/>
      <c r="D241" s="73"/>
      <c r="E241" s="73"/>
    </row>
    <row r="242" spans="1:5" ht="18" customHeight="1">
      <c r="A242" s="179" t="s">
        <v>260</v>
      </c>
      <c r="B242" s="166"/>
      <c r="C242" s="166"/>
      <c r="D242" s="132" t="s">
        <v>115</v>
      </c>
      <c r="E242" s="132" t="s">
        <v>62</v>
      </c>
    </row>
    <row r="243" spans="1:5" ht="18" customHeight="1">
      <c r="A243" s="169"/>
      <c r="B243" s="164"/>
      <c r="C243" s="164"/>
      <c r="D243" s="78" t="s">
        <v>117</v>
      </c>
      <c r="E243" s="78" t="s">
        <v>31</v>
      </c>
    </row>
    <row r="244" spans="1:5" ht="18" customHeight="1">
      <c r="A244" s="165" t="s">
        <v>118</v>
      </c>
      <c r="B244" s="166"/>
      <c r="C244" s="166"/>
      <c r="D244" s="166"/>
      <c r="E244" s="166"/>
    </row>
    <row r="245" spans="1:5" ht="18" customHeight="1">
      <c r="A245" s="100" t="s">
        <v>119</v>
      </c>
      <c r="B245" s="100" t="s">
        <v>117</v>
      </c>
      <c r="C245" s="100" t="s">
        <v>120</v>
      </c>
      <c r="D245" s="100" t="s">
        <v>121</v>
      </c>
      <c r="E245" s="100" t="s">
        <v>122</v>
      </c>
    </row>
    <row r="246" spans="1:5" ht="18" customHeight="1">
      <c r="A246" s="80" t="s">
        <v>123</v>
      </c>
      <c r="B246" s="81" t="s">
        <v>124</v>
      </c>
      <c r="C246" s="82">
        <v>0.1</v>
      </c>
      <c r="D246" s="83">
        <f>E269</f>
        <v>4333.333333333333</v>
      </c>
      <c r="E246" s="83">
        <f>C246*D246</f>
        <v>433.33333333333331</v>
      </c>
    </row>
    <row r="247" spans="1:5" ht="18" customHeight="1">
      <c r="A247" s="80" t="s">
        <v>125</v>
      </c>
      <c r="B247" s="81" t="s">
        <v>126</v>
      </c>
      <c r="C247" s="82">
        <v>1.4999999999999999E-2</v>
      </c>
      <c r="D247" s="83">
        <v>25000</v>
      </c>
      <c r="E247" s="83">
        <f>C247*D247</f>
        <v>375</v>
      </c>
    </row>
    <row r="248" spans="1:5" ht="18" customHeight="1">
      <c r="A248" s="81"/>
      <c r="B248" s="81"/>
      <c r="C248" s="81"/>
      <c r="D248" s="83"/>
      <c r="E248" s="83"/>
    </row>
    <row r="249" spans="1:5" ht="18" customHeight="1">
      <c r="A249" s="161" t="s">
        <v>128</v>
      </c>
      <c r="B249" s="162"/>
      <c r="C249" s="162"/>
      <c r="D249" s="162"/>
      <c r="E249" s="101">
        <f>SUM(E246:E246)</f>
        <v>433.33333333333331</v>
      </c>
    </row>
    <row r="250" spans="1:5" ht="18" customHeight="1">
      <c r="A250" s="165" t="s">
        <v>129</v>
      </c>
      <c r="B250" s="166"/>
      <c r="C250" s="166"/>
      <c r="D250" s="166"/>
      <c r="E250" s="166"/>
    </row>
    <row r="251" spans="1:5" ht="18" customHeight="1">
      <c r="A251" s="100" t="s">
        <v>119</v>
      </c>
      <c r="B251" s="100" t="s">
        <v>117</v>
      </c>
      <c r="C251" s="100" t="s">
        <v>130</v>
      </c>
      <c r="D251" s="100" t="s">
        <v>131</v>
      </c>
      <c r="E251" s="100" t="s">
        <v>122</v>
      </c>
    </row>
    <row r="252" spans="1:5" ht="18" customHeight="1">
      <c r="A252" s="80" t="s">
        <v>261</v>
      </c>
      <c r="B252" s="81" t="s">
        <v>24</v>
      </c>
      <c r="C252" s="94">
        <v>0.25</v>
      </c>
      <c r="D252" s="83">
        <v>38000</v>
      </c>
      <c r="E252" s="83">
        <f>C252*D252</f>
        <v>9500</v>
      </c>
    </row>
    <row r="253" spans="1:5" ht="18" customHeight="1">
      <c r="A253" s="80" t="s">
        <v>255</v>
      </c>
      <c r="B253" s="81" t="s">
        <v>156</v>
      </c>
      <c r="C253" s="85">
        <v>0.15</v>
      </c>
      <c r="D253" s="83">
        <v>23000</v>
      </c>
      <c r="E253" s="83">
        <f>C253*D253</f>
        <v>3450</v>
      </c>
    </row>
    <row r="254" spans="1:5" ht="18" customHeight="1">
      <c r="A254" s="80" t="s">
        <v>262</v>
      </c>
      <c r="B254" s="81" t="s">
        <v>253</v>
      </c>
      <c r="C254" s="85">
        <v>1</v>
      </c>
      <c r="D254" s="83">
        <v>2000</v>
      </c>
      <c r="E254" s="83">
        <f>C254*D254</f>
        <v>2000</v>
      </c>
    </row>
    <row r="255" spans="1:5" ht="18" customHeight="1">
      <c r="A255" s="80" t="s">
        <v>219</v>
      </c>
      <c r="B255" s="81" t="s">
        <v>220</v>
      </c>
      <c r="C255" s="85">
        <v>0.01</v>
      </c>
      <c r="D255" s="83">
        <v>450000</v>
      </c>
      <c r="E255" s="83">
        <f>C255*D255</f>
        <v>4500</v>
      </c>
    </row>
    <row r="256" spans="1:5" ht="18" customHeight="1">
      <c r="A256" s="80"/>
      <c r="B256" s="81"/>
      <c r="C256" s="94"/>
      <c r="D256" s="83"/>
      <c r="E256" s="83"/>
    </row>
    <row r="257" spans="1:5" ht="18" customHeight="1">
      <c r="A257" s="87" t="s">
        <v>135</v>
      </c>
      <c r="B257" s="163"/>
      <c r="C257" s="164"/>
      <c r="D257" s="164"/>
      <c r="E257" s="83">
        <v>0</v>
      </c>
    </row>
    <row r="258" spans="1:5" ht="18" customHeight="1">
      <c r="A258" s="87"/>
      <c r="B258" s="88"/>
      <c r="C258" s="89"/>
      <c r="D258" s="89"/>
      <c r="E258" s="83"/>
    </row>
    <row r="259" spans="1:5" ht="18" customHeight="1">
      <c r="A259" s="161" t="s">
        <v>128</v>
      </c>
      <c r="B259" s="162"/>
      <c r="C259" s="162"/>
      <c r="D259" s="162"/>
      <c r="E259" s="101">
        <f>SUM(E252:E257)</f>
        <v>19450</v>
      </c>
    </row>
    <row r="260" spans="1:5" ht="18" customHeight="1">
      <c r="A260" s="165" t="s">
        <v>136</v>
      </c>
      <c r="B260" s="166"/>
      <c r="C260" s="166"/>
      <c r="D260" s="166"/>
      <c r="E260" s="166"/>
    </row>
    <row r="261" spans="1:5" ht="18" customHeight="1">
      <c r="A261" s="100" t="s">
        <v>119</v>
      </c>
      <c r="B261" s="100" t="s">
        <v>117</v>
      </c>
      <c r="C261" s="100" t="s">
        <v>120</v>
      </c>
      <c r="D261" s="100" t="s">
        <v>121</v>
      </c>
      <c r="E261" s="100" t="s">
        <v>122</v>
      </c>
    </row>
    <row r="262" spans="1:5" ht="18" customHeight="1">
      <c r="A262" s="80" t="s">
        <v>137</v>
      </c>
      <c r="B262" s="81" t="s">
        <v>126</v>
      </c>
      <c r="C262" s="82">
        <v>0.02</v>
      </c>
      <c r="D262" s="83">
        <v>45000</v>
      </c>
      <c r="E262" s="83">
        <f>D262*C262</f>
        <v>900</v>
      </c>
    </row>
    <row r="263" spans="1:5" ht="18" customHeight="1">
      <c r="A263" s="80"/>
      <c r="B263" s="81"/>
      <c r="C263" s="82"/>
      <c r="D263" s="83"/>
      <c r="E263" s="83"/>
    </row>
    <row r="264" spans="1:5" ht="18" customHeight="1">
      <c r="A264" s="161" t="s">
        <v>128</v>
      </c>
      <c r="B264" s="162"/>
      <c r="C264" s="162"/>
      <c r="D264" s="162"/>
      <c r="E264" s="101">
        <f>SUM(E262)</f>
        <v>900</v>
      </c>
    </row>
    <row r="265" spans="1:5" ht="18" customHeight="1">
      <c r="A265" s="165" t="s">
        <v>138</v>
      </c>
      <c r="B265" s="166"/>
      <c r="C265" s="166"/>
      <c r="D265" s="166"/>
      <c r="E265" s="166"/>
    </row>
    <row r="266" spans="1:5" ht="18" customHeight="1">
      <c r="A266" s="100" t="s">
        <v>119</v>
      </c>
      <c r="B266" s="100" t="s">
        <v>117</v>
      </c>
      <c r="C266" s="100" t="s">
        <v>120</v>
      </c>
      <c r="D266" s="100" t="s">
        <v>139</v>
      </c>
      <c r="E266" s="100" t="s">
        <v>122</v>
      </c>
    </row>
    <row r="267" spans="1:5" ht="18" customHeight="1">
      <c r="A267" s="80" t="s">
        <v>256</v>
      </c>
      <c r="B267" s="81" t="s">
        <v>126</v>
      </c>
      <c r="C267" s="82">
        <v>30</v>
      </c>
      <c r="D267" s="83">
        <v>130000</v>
      </c>
      <c r="E267" s="83">
        <f>D267/C267</f>
        <v>4333.333333333333</v>
      </c>
    </row>
    <row r="268" spans="1:5" ht="18" customHeight="1">
      <c r="A268" s="80"/>
      <c r="B268" s="81"/>
      <c r="C268" s="82"/>
      <c r="D268" s="83"/>
      <c r="E268" s="83"/>
    </row>
    <row r="269" spans="1:5" ht="18" customHeight="1">
      <c r="A269" s="161" t="s">
        <v>128</v>
      </c>
      <c r="B269" s="162"/>
      <c r="C269" s="162"/>
      <c r="D269" s="162"/>
      <c r="E269" s="101">
        <f>SUM(E267)</f>
        <v>4333.333333333333</v>
      </c>
    </row>
    <row r="270" spans="1:5" ht="18" customHeight="1">
      <c r="A270" s="81"/>
      <c r="B270" s="89"/>
      <c r="C270" s="89"/>
      <c r="D270" s="89"/>
      <c r="E270" s="89"/>
    </row>
    <row r="271" spans="1:5" ht="18" customHeight="1">
      <c r="A271" s="161" t="s">
        <v>140</v>
      </c>
      <c r="B271" s="162"/>
      <c r="C271" s="162"/>
      <c r="D271" s="162"/>
      <c r="E271" s="101">
        <f>SUM(E249,E259,E264,E269)</f>
        <v>25116.666666666664</v>
      </c>
    </row>
  </sheetData>
  <mergeCells count="111">
    <mergeCell ref="A1:E1"/>
    <mergeCell ref="A3:E3"/>
    <mergeCell ref="A5:C5"/>
    <mergeCell ref="A6:C6"/>
    <mergeCell ref="A7:E7"/>
    <mergeCell ref="A11:D11"/>
    <mergeCell ref="A30:D30"/>
    <mergeCell ref="A32:D32"/>
    <mergeCell ref="A35:C35"/>
    <mergeCell ref="A36:C36"/>
    <mergeCell ref="A37:E37"/>
    <mergeCell ref="A41:D41"/>
    <mergeCell ref="A12:E12"/>
    <mergeCell ref="B18:D18"/>
    <mergeCell ref="A20:D20"/>
    <mergeCell ref="A21:E21"/>
    <mergeCell ref="A25:D25"/>
    <mergeCell ref="A26:E26"/>
    <mergeCell ref="A57:D57"/>
    <mergeCell ref="A59:D59"/>
    <mergeCell ref="A62:C62"/>
    <mergeCell ref="A63:C63"/>
    <mergeCell ref="A64:E64"/>
    <mergeCell ref="A69:D69"/>
    <mergeCell ref="A42:E42"/>
    <mergeCell ref="B45:D45"/>
    <mergeCell ref="A47:D47"/>
    <mergeCell ref="A48:E48"/>
    <mergeCell ref="A52:D52"/>
    <mergeCell ref="A53:E53"/>
    <mergeCell ref="A88:D88"/>
    <mergeCell ref="A90:D90"/>
    <mergeCell ref="A93:C93"/>
    <mergeCell ref="A94:C94"/>
    <mergeCell ref="A95:E95"/>
    <mergeCell ref="A100:D100"/>
    <mergeCell ref="A70:E70"/>
    <mergeCell ref="B76:D76"/>
    <mergeCell ref="A78:D78"/>
    <mergeCell ref="A79:E79"/>
    <mergeCell ref="A83:D83"/>
    <mergeCell ref="A84:E84"/>
    <mergeCell ref="A120:D120"/>
    <mergeCell ref="A122:D122"/>
    <mergeCell ref="A125:C125"/>
    <mergeCell ref="A126:C126"/>
    <mergeCell ref="A127:E127"/>
    <mergeCell ref="A131:D131"/>
    <mergeCell ref="A101:E101"/>
    <mergeCell ref="B108:D108"/>
    <mergeCell ref="A110:D110"/>
    <mergeCell ref="A111:E111"/>
    <mergeCell ref="A115:D115"/>
    <mergeCell ref="A116:E116"/>
    <mergeCell ref="A149:D149"/>
    <mergeCell ref="A151:D151"/>
    <mergeCell ref="A154:C154"/>
    <mergeCell ref="A155:C155"/>
    <mergeCell ref="A156:E156"/>
    <mergeCell ref="A160:D160"/>
    <mergeCell ref="A132:E132"/>
    <mergeCell ref="B137:D137"/>
    <mergeCell ref="A139:D139"/>
    <mergeCell ref="A140:E140"/>
    <mergeCell ref="A144:D144"/>
    <mergeCell ref="A145:E145"/>
    <mergeCell ref="A177:D177"/>
    <mergeCell ref="A179:D179"/>
    <mergeCell ref="A182:C182"/>
    <mergeCell ref="A183:C183"/>
    <mergeCell ref="A184:E184"/>
    <mergeCell ref="A189:D189"/>
    <mergeCell ref="A161:E161"/>
    <mergeCell ref="B165:D165"/>
    <mergeCell ref="A167:D167"/>
    <mergeCell ref="A168:E168"/>
    <mergeCell ref="A172:D172"/>
    <mergeCell ref="A173:E173"/>
    <mergeCell ref="A207:D207"/>
    <mergeCell ref="A209:D209"/>
    <mergeCell ref="A212:E212"/>
    <mergeCell ref="A214:C214"/>
    <mergeCell ref="A215:C215"/>
    <mergeCell ref="A216:E216"/>
    <mergeCell ref="A190:E190"/>
    <mergeCell ref="B195:D195"/>
    <mergeCell ref="A197:D197"/>
    <mergeCell ref="A198:E198"/>
    <mergeCell ref="A202:D202"/>
    <mergeCell ref="A203:E203"/>
    <mergeCell ref="A233:E233"/>
    <mergeCell ref="A237:D237"/>
    <mergeCell ref="A239:D239"/>
    <mergeCell ref="A242:C242"/>
    <mergeCell ref="A243:C243"/>
    <mergeCell ref="A244:E244"/>
    <mergeCell ref="A221:D221"/>
    <mergeCell ref="A222:E222"/>
    <mergeCell ref="B225:D225"/>
    <mergeCell ref="A227:D227"/>
    <mergeCell ref="A228:E228"/>
    <mergeCell ref="A232:D232"/>
    <mergeCell ref="A265:E265"/>
    <mergeCell ref="A269:D269"/>
    <mergeCell ref="A271:D271"/>
    <mergeCell ref="A249:D249"/>
    <mergeCell ref="A250:E250"/>
    <mergeCell ref="B257:D257"/>
    <mergeCell ref="A259:D259"/>
    <mergeCell ref="A260:E260"/>
    <mergeCell ref="A264:D264"/>
  </mergeCells>
  <pageMargins left="0.7" right="0.7" top="0.75" bottom="0.75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6BA7-E173-404B-B219-27686C57A021}">
  <sheetPr>
    <tabColor rgb="FFFF7B89"/>
  </sheetPr>
  <dimension ref="A1:F34"/>
  <sheetViews>
    <sheetView topLeftCell="A4" zoomScale="90" zoomScaleNormal="90" workbookViewId="0">
      <selection activeCell="I17" sqref="I17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6.83203125" style="93" customWidth="1"/>
    <col min="8" max="8" width="10.33203125" style="93" customWidth="1"/>
    <col min="9" max="9" width="12.6640625" style="93" customWidth="1"/>
    <col min="10" max="26" width="9.6640625" style="93" customWidth="1"/>
    <col min="27" max="16384" width="13" style="93"/>
  </cols>
  <sheetData>
    <row r="1" spans="1:5" s="71" customFormat="1" ht="25" customHeight="1">
      <c r="A1" s="174" t="s">
        <v>66</v>
      </c>
      <c r="B1" s="175"/>
      <c r="C1" s="175"/>
      <c r="D1" s="175"/>
      <c r="E1" s="175"/>
    </row>
    <row r="2" spans="1:5" s="71" customFormat="1" ht="20" customHeight="1">
      <c r="A2" s="72"/>
      <c r="B2" s="73"/>
      <c r="C2" s="73"/>
      <c r="D2" s="73"/>
      <c r="E2" s="73"/>
    </row>
    <row r="3" spans="1:5" s="71" customFormat="1" ht="37.25" customHeight="1">
      <c r="A3" s="178" t="s">
        <v>265</v>
      </c>
      <c r="B3" s="170"/>
      <c r="C3" s="170"/>
      <c r="D3" s="170"/>
      <c r="E3" s="170"/>
    </row>
    <row r="4" spans="1:5" s="71" customFormat="1" ht="20" customHeight="1">
      <c r="A4" s="72"/>
      <c r="B4" s="73"/>
      <c r="C4" s="73"/>
      <c r="D4" s="73"/>
      <c r="E4" s="73"/>
    </row>
    <row r="5" spans="1:5" ht="36" customHeight="1">
      <c r="A5" s="190" t="s">
        <v>266</v>
      </c>
      <c r="B5" s="166"/>
      <c r="C5" s="166"/>
      <c r="D5" s="132" t="s">
        <v>115</v>
      </c>
      <c r="E5" s="132"/>
    </row>
    <row r="6" spans="1:5" ht="18" customHeight="1">
      <c r="A6" s="169"/>
      <c r="B6" s="164"/>
      <c r="C6" s="164"/>
      <c r="D6" s="78" t="s">
        <v>117</v>
      </c>
      <c r="E6" s="78" t="s">
        <v>31</v>
      </c>
    </row>
    <row r="7" spans="1:5" ht="18" customHeight="1">
      <c r="A7" s="165" t="s">
        <v>118</v>
      </c>
      <c r="B7" s="166"/>
      <c r="C7" s="166"/>
      <c r="D7" s="166"/>
      <c r="E7" s="166"/>
    </row>
    <row r="8" spans="1:5" ht="18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5" ht="18" customHeight="1">
      <c r="A9" s="80" t="s">
        <v>123</v>
      </c>
      <c r="B9" s="81" t="s">
        <v>124</v>
      </c>
      <c r="C9" s="82">
        <v>0.1</v>
      </c>
      <c r="D9" s="83">
        <f>E32</f>
        <v>18333.333333333332</v>
      </c>
      <c r="E9" s="83">
        <f>C9*D9</f>
        <v>1833.3333333333333</v>
      </c>
    </row>
    <row r="10" spans="1:5" ht="18" customHeight="1">
      <c r="A10" s="80" t="s">
        <v>268</v>
      </c>
      <c r="B10" s="81" t="s">
        <v>126</v>
      </c>
      <c r="C10" s="85">
        <v>6.2260000000000003E-2</v>
      </c>
      <c r="D10" s="83">
        <v>40000</v>
      </c>
      <c r="E10" s="83">
        <f>C10*D10</f>
        <v>2490.4</v>
      </c>
    </row>
    <row r="11" spans="1:5" ht="18" customHeight="1">
      <c r="A11" s="80" t="s">
        <v>125</v>
      </c>
      <c r="B11" s="81" t="s">
        <v>126</v>
      </c>
      <c r="C11" s="82">
        <v>2.5000000000000001E-2</v>
      </c>
      <c r="D11" s="83">
        <v>25000</v>
      </c>
      <c r="E11" s="83">
        <f>C11*D11</f>
        <v>625</v>
      </c>
    </row>
    <row r="12" spans="1:5" ht="18" customHeight="1">
      <c r="A12" s="81"/>
      <c r="B12" s="81"/>
      <c r="C12" s="81"/>
      <c r="D12" s="83"/>
      <c r="E12" s="83"/>
    </row>
    <row r="13" spans="1:5" ht="18" customHeight="1">
      <c r="A13" s="161" t="s">
        <v>128</v>
      </c>
      <c r="B13" s="162"/>
      <c r="C13" s="162"/>
      <c r="D13" s="162"/>
      <c r="E13" s="101">
        <f>SUM(E9:E12)</f>
        <v>4948.7333333333336</v>
      </c>
    </row>
    <row r="14" spans="1:5" ht="18" customHeight="1">
      <c r="A14" s="165" t="s">
        <v>129</v>
      </c>
      <c r="B14" s="166"/>
      <c r="C14" s="166"/>
      <c r="D14" s="166"/>
      <c r="E14" s="166"/>
    </row>
    <row r="15" spans="1:5" ht="18" customHeight="1">
      <c r="A15" s="100" t="s">
        <v>119</v>
      </c>
      <c r="B15" s="100" t="s">
        <v>117</v>
      </c>
      <c r="C15" s="100" t="s">
        <v>130</v>
      </c>
      <c r="D15" s="100" t="s">
        <v>131</v>
      </c>
      <c r="E15" s="100" t="s">
        <v>122</v>
      </c>
    </row>
    <row r="16" spans="1:5" ht="18" customHeight="1">
      <c r="A16" s="80" t="s">
        <v>267</v>
      </c>
      <c r="B16" s="81" t="s">
        <v>31</v>
      </c>
      <c r="C16" s="94">
        <v>0.35</v>
      </c>
      <c r="D16" s="83">
        <v>122500</v>
      </c>
      <c r="E16" s="83">
        <f>C16*D16</f>
        <v>42875</v>
      </c>
    </row>
    <row r="17" spans="1:5" ht="18" customHeight="1">
      <c r="A17" s="80" t="s">
        <v>270</v>
      </c>
      <c r="B17" s="81" t="s">
        <v>134</v>
      </c>
      <c r="C17" s="85">
        <v>0.31</v>
      </c>
      <c r="D17" s="83">
        <v>85300</v>
      </c>
      <c r="E17" s="83">
        <f>C17*D17</f>
        <v>26443</v>
      </c>
    </row>
    <row r="18" spans="1:5" ht="18" customHeight="1">
      <c r="A18" s="80" t="s">
        <v>269</v>
      </c>
      <c r="B18" s="81" t="s">
        <v>253</v>
      </c>
      <c r="C18" s="85">
        <v>1</v>
      </c>
      <c r="D18" s="83">
        <v>5000</v>
      </c>
      <c r="E18" s="83">
        <f>C18*D18</f>
        <v>5000</v>
      </c>
    </row>
    <row r="19" spans="1:5" ht="18" customHeight="1">
      <c r="A19" s="80"/>
      <c r="B19" s="81"/>
      <c r="C19" s="94"/>
      <c r="D19" s="83"/>
      <c r="E19" s="83"/>
    </row>
    <row r="20" spans="1:5" ht="18" customHeight="1">
      <c r="A20" s="87" t="s">
        <v>135</v>
      </c>
      <c r="B20" s="163"/>
      <c r="C20" s="164"/>
      <c r="D20" s="164"/>
      <c r="E20" s="83">
        <v>0</v>
      </c>
    </row>
    <row r="21" spans="1:5" ht="18" customHeight="1">
      <c r="A21" s="87"/>
      <c r="B21" s="88"/>
      <c r="C21" s="89"/>
      <c r="D21" s="89"/>
      <c r="E21" s="83"/>
    </row>
    <row r="22" spans="1:5" ht="18" customHeight="1">
      <c r="A22" s="161" t="s">
        <v>128</v>
      </c>
      <c r="B22" s="162"/>
      <c r="C22" s="162"/>
      <c r="D22" s="162"/>
      <c r="E22" s="101">
        <f>SUM(E16:E20)</f>
        <v>74318</v>
      </c>
    </row>
    <row r="23" spans="1:5" ht="18" customHeight="1">
      <c r="A23" s="165" t="s">
        <v>136</v>
      </c>
      <c r="B23" s="166"/>
      <c r="C23" s="166"/>
      <c r="D23" s="166"/>
      <c r="E23" s="166"/>
    </row>
    <row r="24" spans="1:5" ht="18" customHeight="1">
      <c r="A24" s="100" t="s">
        <v>119</v>
      </c>
      <c r="B24" s="100" t="s">
        <v>117</v>
      </c>
      <c r="C24" s="100" t="s">
        <v>120</v>
      </c>
      <c r="D24" s="100" t="s">
        <v>121</v>
      </c>
      <c r="E24" s="100" t="s">
        <v>122</v>
      </c>
    </row>
    <row r="25" spans="1:5" ht="18" customHeight="1">
      <c r="A25" s="80" t="s">
        <v>137</v>
      </c>
      <c r="B25" s="81" t="s">
        <v>126</v>
      </c>
      <c r="C25" s="82">
        <v>0.02</v>
      </c>
      <c r="D25" s="83">
        <v>45000</v>
      </c>
      <c r="E25" s="83">
        <f>D25*C25</f>
        <v>900</v>
      </c>
    </row>
    <row r="26" spans="1:5" ht="18" customHeight="1">
      <c r="A26" s="80"/>
      <c r="B26" s="81"/>
      <c r="C26" s="82"/>
      <c r="D26" s="83"/>
      <c r="E26" s="83"/>
    </row>
    <row r="27" spans="1:5" ht="18" customHeight="1">
      <c r="A27" s="161" t="s">
        <v>128</v>
      </c>
      <c r="B27" s="162"/>
      <c r="C27" s="162"/>
      <c r="D27" s="162"/>
      <c r="E27" s="101">
        <f>SUM(E25)</f>
        <v>900</v>
      </c>
    </row>
    <row r="28" spans="1:5" ht="18" customHeight="1">
      <c r="A28" s="165" t="s">
        <v>138</v>
      </c>
      <c r="B28" s="166"/>
      <c r="C28" s="166"/>
      <c r="D28" s="166"/>
      <c r="E28" s="166"/>
    </row>
    <row r="29" spans="1:5" ht="18" customHeight="1">
      <c r="A29" s="100" t="s">
        <v>119</v>
      </c>
      <c r="B29" s="100" t="s">
        <v>117</v>
      </c>
      <c r="C29" s="100" t="s">
        <v>120</v>
      </c>
      <c r="D29" s="100" t="s">
        <v>139</v>
      </c>
      <c r="E29" s="100" t="s">
        <v>122</v>
      </c>
    </row>
    <row r="30" spans="1:5" ht="18" customHeight="1">
      <c r="A30" s="80" t="s">
        <v>149</v>
      </c>
      <c r="B30" s="81" t="s">
        <v>126</v>
      </c>
      <c r="C30" s="82">
        <v>12</v>
      </c>
      <c r="D30" s="83">
        <v>220000</v>
      </c>
      <c r="E30" s="83">
        <f>D30/C30</f>
        <v>18333.333333333332</v>
      </c>
    </row>
    <row r="31" spans="1:5" ht="18" customHeight="1">
      <c r="A31" s="80"/>
      <c r="B31" s="81"/>
      <c r="C31" s="82"/>
      <c r="D31" s="83"/>
      <c r="E31" s="83"/>
    </row>
    <row r="32" spans="1:5" ht="18" customHeight="1">
      <c r="A32" s="161" t="s">
        <v>128</v>
      </c>
      <c r="B32" s="162"/>
      <c r="C32" s="162"/>
      <c r="D32" s="162"/>
      <c r="E32" s="101">
        <f>SUM(E30)</f>
        <v>18333.333333333332</v>
      </c>
    </row>
    <row r="33" spans="1:6" ht="18" customHeight="1">
      <c r="A33" s="81"/>
      <c r="B33" s="89"/>
      <c r="C33" s="89"/>
      <c r="D33" s="89"/>
      <c r="E33" s="89"/>
    </row>
    <row r="34" spans="1:6" ht="18" customHeight="1">
      <c r="A34" s="161" t="s">
        <v>140</v>
      </c>
      <c r="B34" s="162"/>
      <c r="C34" s="162"/>
      <c r="D34" s="162"/>
      <c r="E34" s="101">
        <f>SUM(E13,E22,E27,E32)</f>
        <v>98500.066666666666</v>
      </c>
      <c r="F34" s="136"/>
    </row>
  </sheetData>
  <mergeCells count="14">
    <mergeCell ref="A28:E28"/>
    <mergeCell ref="A32:D32"/>
    <mergeCell ref="A34:D34"/>
    <mergeCell ref="A13:D13"/>
    <mergeCell ref="A14:E14"/>
    <mergeCell ref="B20:D20"/>
    <mergeCell ref="A22:D22"/>
    <mergeCell ref="A23:E23"/>
    <mergeCell ref="A27:D27"/>
    <mergeCell ref="A5:C5"/>
    <mergeCell ref="A6:C6"/>
    <mergeCell ref="A7:E7"/>
    <mergeCell ref="A1:E1"/>
    <mergeCell ref="A3:E3"/>
  </mergeCells>
  <pageMargins left="0.7" right="0.7" top="0.75" bottom="0.75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F51-39AC-4288-92B3-FBF63C07E477}">
  <dimension ref="A1:E83"/>
  <sheetViews>
    <sheetView topLeftCell="A34" zoomScale="90" zoomScaleNormal="90" workbookViewId="0">
      <selection activeCell="B83" sqref="B83"/>
    </sheetView>
  </sheetViews>
  <sheetFormatPr baseColWidth="10" defaultColWidth="13" defaultRowHeight="18" customHeight="1"/>
  <cols>
    <col min="1" max="1" width="12.5" style="93" customWidth="1"/>
    <col min="2" max="2" width="50.5" style="93" customWidth="1"/>
    <col min="3" max="3" width="16.83203125" style="93" customWidth="1"/>
    <col min="4" max="4" width="13.83203125" style="93" customWidth="1"/>
    <col min="5" max="5" width="16.83203125" style="93" customWidth="1"/>
    <col min="6" max="6" width="10.33203125" style="93" customWidth="1"/>
    <col min="7" max="7" width="12.6640625" style="93" customWidth="1"/>
    <col min="8" max="24" width="9.6640625" style="93" customWidth="1"/>
    <col min="25" max="16384" width="13" style="93"/>
  </cols>
  <sheetData>
    <row r="1" spans="1:4" ht="20" customHeight="1">
      <c r="A1" s="174" t="s">
        <v>66</v>
      </c>
      <c r="B1" s="175"/>
      <c r="C1" s="175"/>
    </row>
    <row r="2" spans="1:4" ht="20" customHeight="1">
      <c r="A2" s="105"/>
      <c r="B2" s="89"/>
      <c r="C2" s="89"/>
    </row>
    <row r="3" spans="1:4" ht="20" customHeight="1">
      <c r="A3" s="106" t="s">
        <v>115</v>
      </c>
      <c r="B3" s="106" t="s">
        <v>119</v>
      </c>
      <c r="C3" s="107"/>
    </row>
    <row r="4" spans="1:4" ht="20" customHeight="1">
      <c r="A4" s="108" t="s">
        <v>16</v>
      </c>
      <c r="B4" s="109" t="s">
        <v>17</v>
      </c>
      <c r="C4" s="110">
        <v>1500000</v>
      </c>
    </row>
    <row r="5" spans="1:4" ht="20" customHeight="1"/>
    <row r="6" spans="1:4" ht="20" customHeight="1">
      <c r="A6" s="108" t="s">
        <v>19</v>
      </c>
      <c r="B6" s="109" t="s">
        <v>169</v>
      </c>
      <c r="C6" s="110">
        <v>300000</v>
      </c>
    </row>
    <row r="7" spans="1:4" ht="20" customHeight="1">
      <c r="A7" s="105"/>
      <c r="B7" s="89"/>
      <c r="C7" s="89"/>
    </row>
    <row r="8" spans="1:4" ht="20" customHeight="1">
      <c r="A8" s="111" t="s">
        <v>115</v>
      </c>
      <c r="B8" s="111" t="s">
        <v>119</v>
      </c>
      <c r="C8" s="111" t="s">
        <v>170</v>
      </c>
    </row>
    <row r="9" spans="1:4" ht="20" customHeight="1">
      <c r="A9" s="108" t="s">
        <v>22</v>
      </c>
      <c r="B9" s="109" t="s">
        <v>171</v>
      </c>
      <c r="C9" s="110">
        <f>'APU II'!E32</f>
        <v>3145.8333333333335</v>
      </c>
    </row>
    <row r="10" spans="1:4" ht="20" customHeight="1">
      <c r="A10" s="112"/>
      <c r="B10" s="112"/>
      <c r="C10" s="112"/>
    </row>
    <row r="11" spans="1:4" ht="20.5" customHeight="1">
      <c r="A11" s="108" t="s">
        <v>25</v>
      </c>
      <c r="B11" s="109" t="s">
        <v>141</v>
      </c>
      <c r="C11" s="110">
        <v>36531</v>
      </c>
      <c r="D11" s="113"/>
    </row>
    <row r="12" spans="1:4" ht="20" customHeight="1">
      <c r="A12" s="81" t="s">
        <v>104</v>
      </c>
      <c r="B12" s="80" t="s">
        <v>172</v>
      </c>
      <c r="C12" s="115"/>
    </row>
    <row r="13" spans="1:4" ht="20" customHeight="1">
      <c r="A13" s="81" t="s">
        <v>105</v>
      </c>
      <c r="B13" s="80" t="s">
        <v>173</v>
      </c>
      <c r="C13" s="115"/>
    </row>
    <row r="14" spans="1:4" ht="20" customHeight="1">
      <c r="A14" s="81" t="s">
        <v>106</v>
      </c>
      <c r="B14" s="80" t="s">
        <v>174</v>
      </c>
      <c r="C14" s="115"/>
    </row>
    <row r="15" spans="1:4" ht="20" customHeight="1">
      <c r="A15" s="81"/>
      <c r="B15" s="80"/>
      <c r="C15" s="115"/>
    </row>
    <row r="16" spans="1:4" ht="20" customHeight="1">
      <c r="A16" s="108" t="s">
        <v>26</v>
      </c>
      <c r="B16" s="109" t="s">
        <v>175</v>
      </c>
      <c r="C16" s="110">
        <f>'APU II'!E154</f>
        <v>42975.416666666664</v>
      </c>
      <c r="D16" s="113"/>
    </row>
    <row r="17" spans="1:5" ht="20" customHeight="1">
      <c r="A17" s="81"/>
      <c r="B17" s="80" t="s">
        <v>176</v>
      </c>
      <c r="C17" s="114">
        <v>0</v>
      </c>
    </row>
    <row r="18" spans="1:5" ht="20" customHeight="1">
      <c r="A18" s="81"/>
      <c r="B18" s="80"/>
      <c r="C18" s="114"/>
    </row>
    <row r="19" spans="1:5" ht="20" customHeight="1">
      <c r="A19" s="108" t="s">
        <v>27</v>
      </c>
      <c r="B19" s="109" t="s">
        <v>158</v>
      </c>
      <c r="C19" s="110">
        <v>82379.166666666657</v>
      </c>
    </row>
    <row r="20" spans="1:5" ht="20" customHeight="1">
      <c r="A20" s="81" t="s">
        <v>107</v>
      </c>
      <c r="B20" s="80" t="s">
        <v>177</v>
      </c>
      <c r="C20" s="114"/>
      <c r="E20" s="113"/>
    </row>
    <row r="21" spans="1:5" ht="20" customHeight="1">
      <c r="A21" s="81" t="s">
        <v>108</v>
      </c>
      <c r="B21" s="80" t="s">
        <v>178</v>
      </c>
      <c r="C21" s="115"/>
    </row>
    <row r="22" spans="1:5" ht="20" customHeight="1">
      <c r="A22" s="81"/>
      <c r="B22" s="80"/>
      <c r="C22" s="115"/>
    </row>
    <row r="23" spans="1:5" ht="19.25" customHeight="1">
      <c r="A23" s="108" t="s">
        <v>74</v>
      </c>
      <c r="B23" s="109" t="s">
        <v>179</v>
      </c>
      <c r="C23" s="110">
        <v>54400</v>
      </c>
      <c r="D23" s="113"/>
    </row>
    <row r="24" spans="1:5" ht="18" customHeight="1">
      <c r="A24" s="81" t="s">
        <v>107</v>
      </c>
      <c r="B24" s="80" t="s">
        <v>180</v>
      </c>
      <c r="C24" s="114"/>
      <c r="E24" s="113"/>
    </row>
    <row r="25" spans="1:5" ht="18" customHeight="1">
      <c r="A25" s="81" t="s">
        <v>108</v>
      </c>
      <c r="B25" s="80" t="s">
        <v>178</v>
      </c>
      <c r="C25" s="115"/>
    </row>
    <row r="27" spans="1:5" ht="18" customHeight="1">
      <c r="A27" s="106" t="s">
        <v>115</v>
      </c>
      <c r="B27" s="106" t="s">
        <v>119</v>
      </c>
      <c r="C27" s="107"/>
    </row>
    <row r="28" spans="1:5" ht="18" customHeight="1">
      <c r="A28" s="108" t="s">
        <v>30</v>
      </c>
      <c r="B28" s="109" t="s">
        <v>181</v>
      </c>
      <c r="C28" s="110">
        <f>SUM(C29:C29)</f>
        <v>16964.099999999999</v>
      </c>
    </row>
    <row r="29" spans="1:5" ht="18" customHeight="1">
      <c r="A29" s="81"/>
      <c r="B29" s="80" t="s">
        <v>181</v>
      </c>
      <c r="C29" s="114">
        <f>'APU III'!E34</f>
        <v>16964.099999999999</v>
      </c>
    </row>
    <row r="31" spans="1:5" ht="30" customHeight="1">
      <c r="A31" s="108" t="s">
        <v>77</v>
      </c>
      <c r="B31" s="109" t="s">
        <v>182</v>
      </c>
      <c r="C31" s="110">
        <v>28312.6</v>
      </c>
    </row>
    <row r="32" spans="1:5" ht="18" customHeight="1">
      <c r="B32" s="80" t="s">
        <v>183</v>
      </c>
      <c r="C32" s="114"/>
    </row>
    <row r="33" spans="1:3" ht="18" customHeight="1">
      <c r="B33" s="80" t="s">
        <v>181</v>
      </c>
      <c r="C33" s="114"/>
    </row>
    <row r="35" spans="1:3" ht="30" customHeight="1">
      <c r="A35" s="108" t="s">
        <v>79</v>
      </c>
      <c r="B35" s="109" t="s">
        <v>184</v>
      </c>
      <c r="C35" s="110">
        <v>26279.899999999998</v>
      </c>
    </row>
    <row r="36" spans="1:3" ht="18" customHeight="1">
      <c r="B36" s="80" t="s">
        <v>185</v>
      </c>
      <c r="C36" s="114"/>
    </row>
    <row r="37" spans="1:3" ht="18" customHeight="1">
      <c r="B37" s="80" t="s">
        <v>181</v>
      </c>
      <c r="C37" s="114"/>
    </row>
    <row r="39" spans="1:3" ht="18" customHeight="1">
      <c r="A39" s="108" t="s">
        <v>81</v>
      </c>
      <c r="B39" s="109" t="s">
        <v>186</v>
      </c>
      <c r="C39" s="110">
        <f>'APU III'!E125</f>
        <v>6979.8888888888887</v>
      </c>
    </row>
    <row r="41" spans="1:3" ht="18" customHeight="1">
      <c r="A41" s="116" t="s">
        <v>33</v>
      </c>
      <c r="B41" s="117" t="s">
        <v>187</v>
      </c>
      <c r="C41" s="118">
        <f>'APU III'!E156</f>
        <v>11957.066666666666</v>
      </c>
    </row>
    <row r="42" spans="1:3" ht="18" customHeight="1">
      <c r="A42" s="81"/>
      <c r="B42" s="80" t="s">
        <v>187</v>
      </c>
      <c r="C42" s="114"/>
    </row>
    <row r="44" spans="1:3" ht="18" customHeight="1">
      <c r="A44" s="119" t="s">
        <v>35</v>
      </c>
      <c r="B44" s="120" t="s">
        <v>188</v>
      </c>
      <c r="C44" s="121">
        <f>'APU III'!E188</f>
        <v>75548.75</v>
      </c>
    </row>
    <row r="45" spans="1:3" ht="18" customHeight="1">
      <c r="A45" s="81"/>
      <c r="B45" s="80" t="s">
        <v>188</v>
      </c>
      <c r="C45" s="114"/>
    </row>
    <row r="47" spans="1:3" ht="18" customHeight="1">
      <c r="A47" s="119" t="s">
        <v>37</v>
      </c>
      <c r="B47" s="120" t="s">
        <v>189</v>
      </c>
      <c r="C47" s="121">
        <f>'APU III'!E220</f>
        <v>22462.28448275862</v>
      </c>
    </row>
    <row r="48" spans="1:3" ht="18" customHeight="1">
      <c r="A48" s="81"/>
      <c r="B48" s="80" t="s">
        <v>189</v>
      </c>
      <c r="C48" s="114"/>
    </row>
    <row r="50" spans="1:4" ht="18" customHeight="1">
      <c r="A50" s="119" t="s">
        <v>86</v>
      </c>
      <c r="B50" s="120" t="s">
        <v>190</v>
      </c>
      <c r="C50" s="121">
        <f>'APU III'!E252</f>
        <v>24300.7</v>
      </c>
    </row>
    <row r="51" spans="1:4" ht="18" customHeight="1">
      <c r="A51" s="81"/>
      <c r="B51" s="80" t="s">
        <v>190</v>
      </c>
      <c r="C51" s="114"/>
    </row>
    <row r="53" spans="1:4" ht="18" customHeight="1">
      <c r="A53" s="119" t="s">
        <v>88</v>
      </c>
      <c r="B53" s="120" t="s">
        <v>190</v>
      </c>
      <c r="C53" s="121">
        <f>'APU III'!E284</f>
        <v>17353.177777777775</v>
      </c>
    </row>
    <row r="54" spans="1:4" ht="18" customHeight="1">
      <c r="A54" s="81"/>
      <c r="B54" s="80" t="s">
        <v>189</v>
      </c>
      <c r="C54" s="114"/>
    </row>
    <row r="56" spans="1:4" ht="18" customHeight="1">
      <c r="A56" s="111" t="s">
        <v>115</v>
      </c>
      <c r="B56" s="111" t="s">
        <v>119</v>
      </c>
      <c r="C56" s="111" t="s">
        <v>170</v>
      </c>
    </row>
    <row r="57" spans="1:4" ht="18" customHeight="1">
      <c r="A57" s="108" t="s">
        <v>91</v>
      </c>
      <c r="B57" s="109" t="s">
        <v>191</v>
      </c>
      <c r="C57" s="110">
        <v>77516.114285714284</v>
      </c>
      <c r="D57" s="113"/>
    </row>
    <row r="58" spans="1:4" ht="18" customHeight="1">
      <c r="A58" s="81" t="s">
        <v>192</v>
      </c>
      <c r="B58" s="80" t="s">
        <v>193</v>
      </c>
      <c r="C58" s="114"/>
    </row>
    <row r="59" spans="1:4" ht="18" customHeight="1">
      <c r="A59" s="81" t="s">
        <v>194</v>
      </c>
      <c r="B59" s="126" t="s">
        <v>195</v>
      </c>
      <c r="C59" s="127"/>
    </row>
    <row r="60" spans="1:4" ht="18" customHeight="1">
      <c r="A60" s="81" t="s">
        <v>196</v>
      </c>
      <c r="B60" s="80" t="s">
        <v>197</v>
      </c>
      <c r="C60" s="114"/>
    </row>
    <row r="61" spans="1:4" ht="18" customHeight="1">
      <c r="A61" s="81" t="s">
        <v>198</v>
      </c>
      <c r="B61" s="80" t="s">
        <v>199</v>
      </c>
      <c r="C61" s="114"/>
    </row>
    <row r="62" spans="1:4" ht="18" customHeight="1">
      <c r="A62" s="81" t="s">
        <v>200</v>
      </c>
      <c r="B62" s="80" t="s">
        <v>201</v>
      </c>
      <c r="C62" s="114"/>
    </row>
    <row r="63" spans="1:4" ht="18" customHeight="1">
      <c r="A63" s="81" t="s">
        <v>202</v>
      </c>
      <c r="B63" s="80" t="s">
        <v>203</v>
      </c>
      <c r="C63" s="114"/>
    </row>
    <row r="64" spans="1:4" ht="18" customHeight="1">
      <c r="A64" s="81"/>
      <c r="B64" s="80" t="s">
        <v>204</v>
      </c>
      <c r="C64" s="114"/>
      <c r="D64" s="113"/>
    </row>
    <row r="65" spans="1:3" ht="18" customHeight="1">
      <c r="A65" s="81"/>
      <c r="B65" s="80"/>
      <c r="C65" s="115"/>
    </row>
    <row r="66" spans="1:3" ht="18" customHeight="1">
      <c r="A66" s="108" t="s">
        <v>39</v>
      </c>
      <c r="B66" s="109" t="s">
        <v>40</v>
      </c>
      <c r="C66" s="110">
        <f>SUM(C67:C68)</f>
        <v>18028.857142857145</v>
      </c>
    </row>
    <row r="67" spans="1:3" ht="18" customHeight="1">
      <c r="A67" s="81" t="s">
        <v>205</v>
      </c>
      <c r="B67" s="80" t="s">
        <v>206</v>
      </c>
      <c r="C67" s="114">
        <f>'[1]APU V'!E151</f>
        <v>11567</v>
      </c>
    </row>
    <row r="68" spans="1:3" ht="18" customHeight="1">
      <c r="A68" s="81" t="s">
        <v>207</v>
      </c>
      <c r="B68" s="80" t="s">
        <v>208</v>
      </c>
      <c r="C68" s="114">
        <f>'[1]APU V'!E179</f>
        <v>6461.8571428571431</v>
      </c>
    </row>
    <row r="69" spans="1:3" ht="18" customHeight="1">
      <c r="A69" s="81"/>
      <c r="B69" s="80"/>
      <c r="C69" s="114"/>
    </row>
    <row r="70" spans="1:3" ht="18" customHeight="1">
      <c r="A70" s="108" t="s">
        <v>41</v>
      </c>
      <c r="B70" s="109" t="s">
        <v>209</v>
      </c>
      <c r="C70" s="110">
        <f>SUM(C71:C71)</f>
        <v>7360</v>
      </c>
    </row>
    <row r="71" spans="1:3" ht="18" customHeight="1">
      <c r="A71" s="81" t="s">
        <v>41</v>
      </c>
      <c r="B71" s="80" t="s">
        <v>209</v>
      </c>
      <c r="C71" s="114">
        <f>'[1]APU V'!E209</f>
        <v>7360</v>
      </c>
    </row>
    <row r="72" spans="1:3" ht="18" customHeight="1">
      <c r="A72" s="81"/>
      <c r="B72" s="80"/>
      <c r="C72" s="115"/>
    </row>
    <row r="73" spans="1:3" ht="33.5" customHeight="1">
      <c r="A73" s="108" t="s">
        <v>62</v>
      </c>
      <c r="B73" s="109" t="s">
        <v>94</v>
      </c>
      <c r="C73" s="110">
        <v>28876.666666666664</v>
      </c>
    </row>
    <row r="74" spans="1:3" ht="18" customHeight="1">
      <c r="A74" s="81" t="s">
        <v>210</v>
      </c>
      <c r="B74" s="80" t="s">
        <v>211</v>
      </c>
      <c r="C74" s="114"/>
    </row>
    <row r="75" spans="1:3" ht="18" customHeight="1">
      <c r="A75" s="81" t="s">
        <v>212</v>
      </c>
      <c r="B75" s="80" t="s">
        <v>213</v>
      </c>
      <c r="C75" s="115"/>
    </row>
    <row r="77" spans="1:3" ht="35.5" customHeight="1">
      <c r="A77" s="108" t="s">
        <v>214</v>
      </c>
      <c r="B77" s="109" t="s">
        <v>95</v>
      </c>
      <c r="C77" s="110">
        <f>SUM(C78:C78)</f>
        <v>36529.104166666664</v>
      </c>
    </row>
    <row r="78" spans="1:3" ht="18" customHeight="1">
      <c r="A78" s="81"/>
      <c r="B78" s="80" t="s">
        <v>176</v>
      </c>
      <c r="C78" s="114">
        <f>C16*0.85</f>
        <v>36529.104166666664</v>
      </c>
    </row>
    <row r="80" spans="1:3" ht="31.25" customHeight="1">
      <c r="A80" s="108" t="s">
        <v>215</v>
      </c>
      <c r="B80" s="109" t="s">
        <v>96</v>
      </c>
      <c r="C80" s="110">
        <f>SUM(C81:C81)</f>
        <v>98500</v>
      </c>
    </row>
    <row r="81" spans="1:3" ht="18" customHeight="1">
      <c r="A81" s="81"/>
      <c r="B81" s="80" t="s">
        <v>216</v>
      </c>
      <c r="C81" s="114">
        <v>98500</v>
      </c>
    </row>
    <row r="83" spans="1:3" ht="18" customHeight="1">
      <c r="A83" s="108" t="s">
        <v>215</v>
      </c>
      <c r="B83" s="109" t="s">
        <v>44</v>
      </c>
      <c r="C83" s="110">
        <v>2800000</v>
      </c>
    </row>
  </sheetData>
  <mergeCells count="1">
    <mergeCell ref="A1:C1"/>
  </mergeCells>
  <pageMargins left="0.7" right="0.7" top="0.75" bottom="0.75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2D9F-C212-48D5-AC12-74460EF79DEA}">
  <dimension ref="A1:O45"/>
  <sheetViews>
    <sheetView topLeftCell="A10" zoomScale="75" zoomScaleNormal="85" zoomScaleSheetLayoutView="57" workbookViewId="0">
      <selection activeCell="F45" sqref="F4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9" width="14.5" style="12" bestFit="1" customWidth="1"/>
    <col min="10" max="11" width="11.33203125" style="12"/>
    <col min="12" max="12" width="34.5" style="12" customWidth="1"/>
    <col min="13" max="13" width="11.33203125" style="12"/>
    <col min="14" max="14" width="20.33203125" style="12" customWidth="1"/>
    <col min="15" max="15" width="18.83203125" style="12" customWidth="1"/>
    <col min="16" max="16384" width="11.33203125" style="12"/>
  </cols>
  <sheetData>
    <row r="1" spans="1:11" ht="23">
      <c r="A1" s="192" t="s">
        <v>66</v>
      </c>
      <c r="B1" s="192"/>
      <c r="C1" s="192"/>
      <c r="D1" s="192"/>
      <c r="E1" s="192"/>
      <c r="F1" s="192"/>
      <c r="G1" s="192"/>
    </row>
    <row r="2" spans="1:11" ht="20" customHeight="1">
      <c r="A2" s="147" t="s">
        <v>1</v>
      </c>
      <c r="B2" s="147"/>
      <c r="C2" s="147"/>
      <c r="D2" s="147"/>
      <c r="E2" s="147"/>
      <c r="F2" s="147"/>
      <c r="G2" s="147"/>
    </row>
    <row r="3" spans="1:11" ht="20" customHeight="1">
      <c r="A3" s="193" t="s">
        <v>101</v>
      </c>
      <c r="B3" s="193"/>
      <c r="C3" s="193"/>
      <c r="D3" s="193"/>
      <c r="E3" s="193"/>
      <c r="F3" s="193"/>
      <c r="G3" s="193"/>
    </row>
    <row r="4" spans="1:11" ht="20" customHeight="1">
      <c r="A4" s="140" t="s">
        <v>102</v>
      </c>
      <c r="B4" s="141"/>
      <c r="C4" s="142"/>
      <c r="D4" s="149" t="s">
        <v>2</v>
      </c>
      <c r="E4" s="150"/>
      <c r="F4" s="140" t="s">
        <v>3</v>
      </c>
      <c r="G4" s="142"/>
    </row>
    <row r="5" spans="1:11" ht="20" customHeight="1">
      <c r="A5" s="140" t="s">
        <v>4</v>
      </c>
      <c r="B5" s="141"/>
      <c r="C5" s="142"/>
      <c r="D5" s="151"/>
      <c r="E5" s="152"/>
      <c r="F5" s="140" t="s">
        <v>5</v>
      </c>
      <c r="G5" s="142"/>
    </row>
    <row r="6" spans="1:11" ht="20" customHeight="1">
      <c r="A6" s="140" t="s">
        <v>6</v>
      </c>
      <c r="B6" s="141"/>
      <c r="C6" s="142"/>
      <c r="D6" s="140" t="s">
        <v>69</v>
      </c>
      <c r="E6" s="142"/>
      <c r="F6" s="140" t="s">
        <v>7</v>
      </c>
      <c r="G6" s="142"/>
    </row>
    <row r="7" spans="1:11" ht="20" customHeight="1">
      <c r="A7" s="153" t="s">
        <v>70</v>
      </c>
      <c r="B7" s="191"/>
      <c r="C7" s="191"/>
      <c r="D7" s="191"/>
      <c r="E7" s="191"/>
      <c r="F7" s="191"/>
      <c r="G7" s="154"/>
    </row>
    <row r="8" spans="1:11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11" ht="20" customHeight="1">
      <c r="A9" s="61">
        <v>1</v>
      </c>
      <c r="B9" s="61"/>
      <c r="C9" s="62" t="s">
        <v>100</v>
      </c>
      <c r="D9" s="63"/>
      <c r="E9" s="63"/>
      <c r="F9" s="63"/>
      <c r="G9" s="64">
        <f>+G10+G11</f>
        <v>0</v>
      </c>
    </row>
    <row r="10" spans="1:11" ht="20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11">
        <v>0</v>
      </c>
      <c r="G10" s="17">
        <f>+E10*F10</f>
        <v>0</v>
      </c>
      <c r="H10" s="59"/>
    </row>
    <row r="11" spans="1:11" ht="20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11">
        <v>0</v>
      </c>
      <c r="G11" s="17">
        <f>+E11*F11</f>
        <v>0</v>
      </c>
      <c r="H11" s="59"/>
    </row>
    <row r="12" spans="1:11" ht="20" customHeight="1">
      <c r="A12" s="61">
        <v>2</v>
      </c>
      <c r="B12" s="61"/>
      <c r="C12" s="62" t="s">
        <v>21</v>
      </c>
      <c r="D12" s="65"/>
      <c r="E12" s="66"/>
      <c r="F12" s="63"/>
      <c r="G12" s="64">
        <f>+G13+G14+G15+G16+G17</f>
        <v>72216140.051673353</v>
      </c>
      <c r="H12" s="59"/>
    </row>
    <row r="13" spans="1:11" ht="20" customHeight="1">
      <c r="A13" s="13"/>
      <c r="B13" s="13" t="s">
        <v>22</v>
      </c>
      <c r="C13" s="18" t="s">
        <v>23</v>
      </c>
      <c r="D13" s="13" t="s">
        <v>24</v>
      </c>
      <c r="E13" s="19">
        <v>7304.6724999999997</v>
      </c>
      <c r="F13" s="51">
        <f>'BASE DATOS'!F13</f>
        <v>3145.8333333333335</v>
      </c>
      <c r="G13" s="17">
        <f t="shared" ref="G13:G17" si="0">+E13*F13</f>
        <v>22979282.239583332</v>
      </c>
      <c r="H13" s="59"/>
    </row>
    <row r="14" spans="1:11" ht="30" customHeight="1">
      <c r="A14" s="13"/>
      <c r="B14" s="13" t="s">
        <v>25</v>
      </c>
      <c r="C14" s="18" t="s">
        <v>71</v>
      </c>
      <c r="D14" s="13" t="s">
        <v>24</v>
      </c>
      <c r="E14" s="19">
        <v>1205.1153900000004</v>
      </c>
      <c r="F14" s="51">
        <f>'BASE DATOS'!F14</f>
        <v>36531</v>
      </c>
      <c r="G14" s="17">
        <f t="shared" si="0"/>
        <v>44024070.312090017</v>
      </c>
      <c r="H14" s="59">
        <f>200/7</f>
        <v>28.571428571428573</v>
      </c>
      <c r="I14" s="59">
        <f>H14*80000</f>
        <v>2285714.2857142859</v>
      </c>
      <c r="J14" s="143"/>
      <c r="K14" s="145"/>
    </row>
    <row r="15" spans="1:11" ht="20" customHeight="1">
      <c r="A15" s="13"/>
      <c r="B15" s="13" t="s">
        <v>26</v>
      </c>
      <c r="C15" s="18" t="s">
        <v>72</v>
      </c>
      <c r="D15" s="13" t="s">
        <v>24</v>
      </c>
      <c r="E15" s="19">
        <v>90</v>
      </c>
      <c r="F15" s="51">
        <f>'BASE DATOS'!F15</f>
        <v>42975.416666666664</v>
      </c>
      <c r="G15" s="17">
        <f t="shared" si="0"/>
        <v>3867787.5</v>
      </c>
      <c r="H15" s="59"/>
    </row>
    <row r="16" spans="1:11" ht="20" customHeight="1">
      <c r="A16" s="13"/>
      <c r="B16" s="13" t="s">
        <v>27</v>
      </c>
      <c r="C16" s="18" t="s">
        <v>73</v>
      </c>
      <c r="D16" s="13" t="s">
        <v>24</v>
      </c>
      <c r="E16" s="19">
        <f>125*0.1</f>
        <v>12.5</v>
      </c>
      <c r="F16" s="51">
        <f>'BASE DATOS'!F16</f>
        <v>74000</v>
      </c>
      <c r="G16" s="17">
        <f t="shared" si="0"/>
        <v>925000</v>
      </c>
      <c r="H16" s="59"/>
    </row>
    <row r="17" spans="1:15" ht="20" customHeight="1">
      <c r="A17" s="13"/>
      <c r="B17" s="13" t="s">
        <v>74</v>
      </c>
      <c r="C17" s="18" t="s">
        <v>75</v>
      </c>
      <c r="D17" s="13" t="s">
        <v>24</v>
      </c>
      <c r="E17" s="19">
        <f>100*0.1</f>
        <v>10</v>
      </c>
      <c r="F17" s="51">
        <f>'BASE DATOS'!F17</f>
        <v>42000</v>
      </c>
      <c r="G17" s="17">
        <f t="shared" si="0"/>
        <v>420000</v>
      </c>
      <c r="H17" s="59"/>
    </row>
    <row r="18" spans="1:15" ht="20" customHeight="1">
      <c r="A18" s="61">
        <v>3</v>
      </c>
      <c r="B18" s="61"/>
      <c r="C18" s="62" t="s">
        <v>28</v>
      </c>
      <c r="D18" s="65"/>
      <c r="E18" s="67"/>
      <c r="F18" s="63"/>
      <c r="G18" s="64">
        <f>+G19+G24+G26</f>
        <v>90500140.76365</v>
      </c>
      <c r="H18" s="59"/>
    </row>
    <row r="19" spans="1:15" ht="20" customHeight="1">
      <c r="A19" s="13"/>
      <c r="B19" s="153" t="s">
        <v>29</v>
      </c>
      <c r="C19" s="154"/>
      <c r="D19" s="13"/>
      <c r="E19" s="19"/>
      <c r="F19" s="14"/>
      <c r="G19" s="58">
        <f>SUM(G20:G23)</f>
        <v>90500140.76365</v>
      </c>
      <c r="H19" s="59"/>
    </row>
    <row r="20" spans="1:15" ht="30" customHeight="1">
      <c r="A20" s="13"/>
      <c r="B20" s="13" t="s">
        <v>30</v>
      </c>
      <c r="C20" s="18" t="s">
        <v>76</v>
      </c>
      <c r="D20" s="13" t="s">
        <v>24</v>
      </c>
      <c r="E20" s="19">
        <v>4629.4765000000007</v>
      </c>
      <c r="F20" s="51">
        <f>'BASE DATOS'!F20</f>
        <v>16964.099999999999</v>
      </c>
      <c r="G20" s="17">
        <f t="shared" ref="G20:G23" si="1">+E20*F20</f>
        <v>78534902.293650001</v>
      </c>
      <c r="H20" s="59"/>
    </row>
    <row r="21" spans="1:15" ht="30" customHeight="1">
      <c r="A21" s="13"/>
      <c r="B21" s="13" t="s">
        <v>77</v>
      </c>
      <c r="C21" s="18" t="s">
        <v>78</v>
      </c>
      <c r="D21" s="13" t="s">
        <v>24</v>
      </c>
      <c r="E21" s="19">
        <v>107.97500000000001</v>
      </c>
      <c r="F21" s="51">
        <v>0</v>
      </c>
      <c r="G21" s="17">
        <f t="shared" si="1"/>
        <v>0</v>
      </c>
      <c r="H21" s="59"/>
    </row>
    <row r="22" spans="1:15" ht="30" customHeight="1">
      <c r="A22" s="13"/>
      <c r="B22" s="13" t="s">
        <v>79</v>
      </c>
      <c r="C22" s="18" t="s">
        <v>80</v>
      </c>
      <c r="D22" s="13" t="s">
        <v>24</v>
      </c>
      <c r="E22" s="19">
        <v>455.29999999999995</v>
      </c>
      <c r="F22" s="51">
        <f>'BASE DATOS'!F22</f>
        <v>26279.899999999998</v>
      </c>
      <c r="G22" s="17">
        <f t="shared" si="1"/>
        <v>11965238.469999997</v>
      </c>
      <c r="H22" s="59"/>
      <c r="J22" s="12">
        <f xml:space="preserve"> 2412332+194984</f>
        <v>2607316</v>
      </c>
    </row>
    <row r="23" spans="1:15" ht="30" customHeight="1">
      <c r="A23" s="13"/>
      <c r="B23" s="13" t="s">
        <v>81</v>
      </c>
      <c r="C23" s="18" t="s">
        <v>82</v>
      </c>
      <c r="D23" s="13" t="s">
        <v>31</v>
      </c>
      <c r="E23" s="19">
        <v>373.99</v>
      </c>
      <c r="F23" s="51">
        <v>0</v>
      </c>
      <c r="G23" s="17">
        <f t="shared" si="1"/>
        <v>0</v>
      </c>
      <c r="H23" s="59"/>
    </row>
    <row r="24" spans="1:15" ht="20" customHeight="1">
      <c r="A24" s="13"/>
      <c r="B24" s="153" t="s">
        <v>32</v>
      </c>
      <c r="C24" s="154"/>
      <c r="D24" s="13"/>
      <c r="E24" s="19"/>
      <c r="F24" s="51"/>
      <c r="G24" s="58">
        <f>+G25</f>
        <v>0</v>
      </c>
      <c r="H24" s="59"/>
    </row>
    <row r="25" spans="1:15" ht="30" customHeight="1">
      <c r="A25" s="13"/>
      <c r="B25" s="13" t="s">
        <v>33</v>
      </c>
      <c r="C25" s="18" t="s">
        <v>83</v>
      </c>
      <c r="D25" s="13" t="s">
        <v>24</v>
      </c>
      <c r="E25" s="19">
        <v>2157.6400000000003</v>
      </c>
      <c r="F25" s="51">
        <v>0</v>
      </c>
      <c r="G25" s="17">
        <f>+E25*F25</f>
        <v>0</v>
      </c>
      <c r="H25" s="59"/>
      <c r="L25" s="217" t="s">
        <v>219</v>
      </c>
      <c r="M25" s="218"/>
      <c r="N25" s="219">
        <v>37669720</v>
      </c>
      <c r="O25" s="219"/>
    </row>
    <row r="26" spans="1:15" ht="20" customHeight="1">
      <c r="A26" s="13"/>
      <c r="B26" s="153" t="s">
        <v>34</v>
      </c>
      <c r="C26" s="154"/>
      <c r="D26" s="13"/>
      <c r="E26" s="19"/>
      <c r="F26" s="51"/>
      <c r="G26" s="58">
        <f>SUM(G27:G28)</f>
        <v>0</v>
      </c>
      <c r="H26" s="59"/>
      <c r="L26" s="217" t="s">
        <v>271</v>
      </c>
      <c r="M26" s="218"/>
      <c r="N26" s="219">
        <v>4557000</v>
      </c>
      <c r="O26" s="219"/>
    </row>
    <row r="27" spans="1:15" ht="30" customHeight="1">
      <c r="A27" s="13"/>
      <c r="B27" s="13" t="s">
        <v>35</v>
      </c>
      <c r="C27" s="18" t="s">
        <v>84</v>
      </c>
      <c r="D27" s="13" t="s">
        <v>36</v>
      </c>
      <c r="E27" s="19">
        <v>92</v>
      </c>
      <c r="F27" s="51">
        <v>0</v>
      </c>
      <c r="G27" s="17">
        <f t="shared" ref="G27:G28" si="2">+E27*F27</f>
        <v>0</v>
      </c>
      <c r="H27" s="59"/>
      <c r="L27" s="217" t="s">
        <v>272</v>
      </c>
      <c r="M27" s="218"/>
      <c r="N27" s="219">
        <v>20153100</v>
      </c>
      <c r="O27" s="219"/>
    </row>
    <row r="28" spans="1:15" ht="30" customHeight="1">
      <c r="A28" s="13"/>
      <c r="B28" s="29" t="s">
        <v>97</v>
      </c>
      <c r="C28" s="37" t="s">
        <v>98</v>
      </c>
      <c r="D28" s="29" t="s">
        <v>24</v>
      </c>
      <c r="E28" s="52">
        <v>42</v>
      </c>
      <c r="F28" s="53">
        <v>0</v>
      </c>
      <c r="G28" s="54">
        <f t="shared" si="2"/>
        <v>0</v>
      </c>
      <c r="H28" s="59"/>
      <c r="L28" s="217" t="s">
        <v>273</v>
      </c>
      <c r="M28" s="218"/>
      <c r="N28" s="219">
        <v>13849466</v>
      </c>
      <c r="O28" s="219"/>
    </row>
    <row r="29" spans="1:15" ht="20" customHeight="1">
      <c r="A29" s="61">
        <v>4</v>
      </c>
      <c r="B29" s="61"/>
      <c r="C29" s="62" t="s">
        <v>90</v>
      </c>
      <c r="D29" s="65"/>
      <c r="E29" s="67"/>
      <c r="F29" s="63"/>
      <c r="G29" s="68">
        <f>SUM(G30:G32)</f>
        <v>36189615.133333325</v>
      </c>
      <c r="H29" s="59"/>
      <c r="L29" s="217" t="s">
        <v>274</v>
      </c>
      <c r="M29" s="217" t="s">
        <v>279</v>
      </c>
      <c r="N29" s="219">
        <v>2285714</v>
      </c>
      <c r="O29" s="219"/>
    </row>
    <row r="30" spans="1:15" ht="30" customHeight="1">
      <c r="A30" s="13"/>
      <c r="B30" s="13" t="s">
        <v>41</v>
      </c>
      <c r="C30" s="18" t="s">
        <v>93</v>
      </c>
      <c r="D30" s="13" t="s">
        <v>31</v>
      </c>
      <c r="E30" s="15">
        <v>817.99400000000014</v>
      </c>
      <c r="F30" s="16">
        <f>'BASE DATOS'!F35</f>
        <v>5200</v>
      </c>
      <c r="G30" s="17">
        <f t="shared" ref="G30:G32" si="3">+E30*F30</f>
        <v>4253568.8000000007</v>
      </c>
      <c r="H30" s="69"/>
      <c r="L30" s="217" t="s">
        <v>275</v>
      </c>
      <c r="M30" s="217"/>
      <c r="N30" s="219">
        <v>22440000</v>
      </c>
      <c r="O30" s="219"/>
    </row>
    <row r="31" spans="1:15" ht="30" customHeight="1">
      <c r="A31" s="13"/>
      <c r="B31" s="13" t="s">
        <v>62</v>
      </c>
      <c r="C31" s="18" t="s">
        <v>94</v>
      </c>
      <c r="D31" s="13" t="s">
        <v>31</v>
      </c>
      <c r="E31" s="15">
        <v>1055.3</v>
      </c>
      <c r="F31" s="16">
        <f>'BASE DATOS'!F36</f>
        <v>28876.666666666664</v>
      </c>
      <c r="G31" s="17">
        <f t="shared" si="3"/>
        <v>30473546.333333328</v>
      </c>
      <c r="H31" s="69">
        <f>E31/6</f>
        <v>175.88333333333333</v>
      </c>
      <c r="I31" s="69">
        <f>H31*56000</f>
        <v>9849466.666666666</v>
      </c>
      <c r="L31" s="217" t="s">
        <v>276</v>
      </c>
      <c r="M31" s="217"/>
      <c r="N31" s="219">
        <v>4000000</v>
      </c>
      <c r="O31" s="219"/>
    </row>
    <row r="32" spans="1:15" ht="30" customHeight="1">
      <c r="A32" s="13"/>
      <c r="B32" s="13">
        <v>4.7</v>
      </c>
      <c r="C32" s="18" t="s">
        <v>99</v>
      </c>
      <c r="D32" s="13" t="s">
        <v>24</v>
      </c>
      <c r="E32" s="15">
        <v>65</v>
      </c>
      <c r="F32" s="16">
        <f>'BASE DATOS'!F39</f>
        <v>22500</v>
      </c>
      <c r="G32" s="17">
        <f t="shared" si="3"/>
        <v>1462500</v>
      </c>
      <c r="H32" s="69"/>
      <c r="I32" s="69">
        <f>13849466/E31</f>
        <v>13123.724059509144</v>
      </c>
      <c r="L32" s="217" t="s">
        <v>277</v>
      </c>
      <c r="M32" s="217"/>
      <c r="N32" s="219">
        <v>2500000</v>
      </c>
      <c r="O32" s="219"/>
    </row>
    <row r="33" spans="1:15" ht="20" customHeight="1">
      <c r="A33" s="61">
        <v>5</v>
      </c>
      <c r="B33" s="61"/>
      <c r="C33" s="62" t="s">
        <v>42</v>
      </c>
      <c r="D33" s="65"/>
      <c r="E33" s="67"/>
      <c r="F33" s="63"/>
      <c r="G33" s="68">
        <f>+G34</f>
        <v>1550000</v>
      </c>
      <c r="H33" s="59"/>
      <c r="L33" s="217" t="s">
        <v>278</v>
      </c>
      <c r="M33" s="217"/>
      <c r="N33" s="219">
        <v>2607316</v>
      </c>
      <c r="O33" s="219"/>
    </row>
    <row r="34" spans="1:15" ht="20" customHeight="1">
      <c r="A34" s="13"/>
      <c r="B34" s="13" t="s">
        <v>43</v>
      </c>
      <c r="C34" s="18" t="s">
        <v>44</v>
      </c>
      <c r="D34" s="13" t="s">
        <v>45</v>
      </c>
      <c r="E34" s="19">
        <v>1</v>
      </c>
      <c r="F34" s="17">
        <v>1550000</v>
      </c>
      <c r="G34" s="17">
        <f>+E34*F34</f>
        <v>1550000</v>
      </c>
      <c r="H34" s="59"/>
      <c r="N34" s="220">
        <f>SUM(N25:N33)</f>
        <v>110062316</v>
      </c>
      <c r="O34" s="220"/>
    </row>
    <row r="35" spans="1:15" ht="20" customHeight="1">
      <c r="A35" s="13"/>
      <c r="B35" s="13"/>
      <c r="C35" s="18"/>
      <c r="D35" s="55"/>
      <c r="E35" s="56"/>
      <c r="F35" s="57"/>
      <c r="G35" s="17"/>
      <c r="N35" s="220">
        <f>N34*0.05</f>
        <v>5503115.8000000007</v>
      </c>
    </row>
    <row r="36" spans="1:15" ht="20" customHeight="1">
      <c r="A36" s="13"/>
      <c r="B36" s="13"/>
      <c r="C36" s="14"/>
      <c r="D36" s="158" t="s">
        <v>46</v>
      </c>
      <c r="E36" s="159"/>
      <c r="F36" s="160"/>
      <c r="G36" s="23">
        <f>+G9+G12+G18+G29+G33</f>
        <v>200455895.94865668</v>
      </c>
      <c r="H36" s="24"/>
      <c r="N36" s="220">
        <f>N35+N34</f>
        <v>115565431.8</v>
      </c>
    </row>
    <row r="37" spans="1:15" ht="20" customHeight="1">
      <c r="A37" s="13"/>
      <c r="B37" s="13"/>
      <c r="C37" s="14"/>
      <c r="D37" s="143" t="s">
        <v>47</v>
      </c>
      <c r="E37" s="145"/>
      <c r="F37" s="25">
        <v>0.08</v>
      </c>
      <c r="G37" s="17">
        <f>+$G$36*F37</f>
        <v>16036471.675892534</v>
      </c>
    </row>
    <row r="38" spans="1:15" ht="20" customHeight="1">
      <c r="A38" s="13"/>
      <c r="B38" s="13"/>
      <c r="C38" s="14"/>
      <c r="D38" s="143" t="s">
        <v>48</v>
      </c>
      <c r="E38" s="145"/>
      <c r="F38" s="25">
        <v>0.03</v>
      </c>
      <c r="G38" s="17">
        <f t="shared" ref="G38:G39" si="4">+$G$36*F38</f>
        <v>6013676.8784597004</v>
      </c>
    </row>
    <row r="39" spans="1:15" ht="20" customHeight="1">
      <c r="A39" s="13"/>
      <c r="B39" s="13"/>
      <c r="C39" s="14"/>
      <c r="D39" s="143" t="s">
        <v>49</v>
      </c>
      <c r="E39" s="145"/>
      <c r="F39" s="25">
        <v>0.05</v>
      </c>
      <c r="G39" s="17">
        <f t="shared" si="4"/>
        <v>10022794.797432834</v>
      </c>
    </row>
    <row r="40" spans="1:15" ht="20" customHeight="1">
      <c r="A40" s="13"/>
      <c r="B40" s="13"/>
      <c r="C40" s="14"/>
      <c r="D40" s="143" t="s">
        <v>50</v>
      </c>
      <c r="E40" s="145"/>
      <c r="F40" s="25">
        <v>0.19</v>
      </c>
      <c r="G40" s="17">
        <f>+G39*F40</f>
        <v>1904331.0115122385</v>
      </c>
    </row>
    <row r="41" spans="1:15" ht="20" customHeight="1">
      <c r="A41" s="13"/>
      <c r="B41" s="13"/>
      <c r="C41" s="14"/>
      <c r="D41" s="155" t="s">
        <v>51</v>
      </c>
      <c r="E41" s="156"/>
      <c r="F41" s="157"/>
      <c r="G41" s="26">
        <f>+G36+G37+G38+G39+G40</f>
        <v>234433170.31195399</v>
      </c>
    </row>
    <row r="42" spans="1:15">
      <c r="G42" s="69"/>
    </row>
    <row r="43" spans="1:15">
      <c r="G43" s="24">
        <f>G41+'CUBIERTA 2'!G24+INTERIORES!G22+PARQUEADEROS!G23+'envio zona social'!G36</f>
        <v>505618239.21482098</v>
      </c>
    </row>
    <row r="44" spans="1:15">
      <c r="G44" s="69">
        <f>G41+CUBIERTA!G24+INTERIORES!G22+PARQUEADEROS!G23+'envio zona social'!G36</f>
        <v>583139412.14482093</v>
      </c>
    </row>
    <row r="45" spans="1:15">
      <c r="G45" s="69">
        <f>G44-'[2]CON IGUALES CANTIDADES'!$G$156</f>
        <v>-259954.2601878643</v>
      </c>
    </row>
  </sheetData>
  <mergeCells count="22">
    <mergeCell ref="J14:K14"/>
    <mergeCell ref="D40:E40"/>
    <mergeCell ref="D41:F41"/>
    <mergeCell ref="B24:C24"/>
    <mergeCell ref="B26:C26"/>
    <mergeCell ref="D36:F36"/>
    <mergeCell ref="D37:E37"/>
    <mergeCell ref="D38:E38"/>
    <mergeCell ref="D39:E39"/>
    <mergeCell ref="B19:C19"/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</mergeCells>
  <pageMargins left="0.7" right="0.7" top="0.75" bottom="0.75" header="0.3" footer="0.3"/>
  <pageSetup scale="3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9C5B-0F8F-804C-93BE-A85C01F2E890}">
  <sheetPr>
    <pageSetUpPr fitToPage="1"/>
  </sheetPr>
  <dimension ref="A1:E20"/>
  <sheetViews>
    <sheetView tabSelected="1" zoomScale="75" workbookViewId="0">
      <selection activeCell="I12" sqref="I12"/>
    </sheetView>
  </sheetViews>
  <sheetFormatPr baseColWidth="10" defaultRowHeight="15"/>
  <cols>
    <col min="1" max="1" width="28.1640625" customWidth="1"/>
    <col min="2" max="2" width="51.6640625" customWidth="1"/>
    <col min="3" max="4" width="29.5" customWidth="1"/>
    <col min="5" max="5" width="17.6640625" customWidth="1"/>
  </cols>
  <sheetData>
    <row r="1" spans="1:5" ht="18" thickBot="1">
      <c r="A1" s="221" t="s">
        <v>280</v>
      </c>
      <c r="B1" s="222" t="s">
        <v>281</v>
      </c>
      <c r="C1" s="222" t="s">
        <v>282</v>
      </c>
      <c r="D1" s="222" t="s">
        <v>117</v>
      </c>
      <c r="E1" s="222" t="s">
        <v>130</v>
      </c>
    </row>
    <row r="2" spans="1:5" ht="69" thickBot="1">
      <c r="A2" s="223" t="s">
        <v>283</v>
      </c>
      <c r="B2" s="224" t="s">
        <v>304</v>
      </c>
      <c r="C2" s="225" t="s">
        <v>305</v>
      </c>
      <c r="D2" s="226" t="s">
        <v>24</v>
      </c>
      <c r="E2" s="227">
        <v>7305</v>
      </c>
    </row>
    <row r="3" spans="1:5" ht="18" thickBot="1">
      <c r="A3" s="223" t="s">
        <v>284</v>
      </c>
      <c r="B3" s="224" t="s">
        <v>302</v>
      </c>
      <c r="C3" s="224" t="s">
        <v>303</v>
      </c>
      <c r="D3" s="226" t="s">
        <v>31</v>
      </c>
      <c r="E3" s="227">
        <v>818</v>
      </c>
    </row>
    <row r="4" spans="1:5" ht="35" thickBot="1">
      <c r="A4" s="223" t="s">
        <v>285</v>
      </c>
      <c r="B4" s="224" t="s">
        <v>306</v>
      </c>
      <c r="C4" s="224" t="s">
        <v>307</v>
      </c>
      <c r="D4" s="226" t="s">
        <v>24</v>
      </c>
      <c r="E4" s="227">
        <v>90</v>
      </c>
    </row>
    <row r="5" spans="1:5" ht="35" thickBot="1">
      <c r="A5" s="223" t="s">
        <v>286</v>
      </c>
      <c r="B5" s="224" t="s">
        <v>308</v>
      </c>
      <c r="C5" s="224" t="s">
        <v>309</v>
      </c>
      <c r="D5" s="226" t="s">
        <v>24</v>
      </c>
      <c r="E5" s="227">
        <v>1205</v>
      </c>
    </row>
    <row r="6" spans="1:5" ht="137" thickBot="1">
      <c r="A6" s="223" t="s">
        <v>287</v>
      </c>
      <c r="B6" s="224" t="s">
        <v>310</v>
      </c>
      <c r="C6" s="224" t="s">
        <v>311</v>
      </c>
      <c r="D6" s="226" t="s">
        <v>24</v>
      </c>
      <c r="E6" s="227">
        <v>125</v>
      </c>
    </row>
    <row r="7" spans="1:5" ht="86" thickBot="1">
      <c r="A7" s="223" t="s">
        <v>288</v>
      </c>
      <c r="B7" s="224" t="s">
        <v>312</v>
      </c>
      <c r="C7" s="224" t="s">
        <v>313</v>
      </c>
      <c r="D7" s="226" t="s">
        <v>24</v>
      </c>
      <c r="E7" s="227">
        <v>100</v>
      </c>
    </row>
    <row r="8" spans="1:5" ht="35" thickBot="1">
      <c r="A8" s="223" t="s">
        <v>289</v>
      </c>
      <c r="B8" s="224" t="s">
        <v>314</v>
      </c>
      <c r="C8" s="224" t="s">
        <v>315</v>
      </c>
      <c r="D8" s="226" t="s">
        <v>24</v>
      </c>
      <c r="E8" s="227">
        <v>4629</v>
      </c>
    </row>
    <row r="9" spans="1:5" ht="86" thickBot="1">
      <c r="A9" s="223" t="s">
        <v>290</v>
      </c>
      <c r="B9" s="224" t="s">
        <v>316</v>
      </c>
      <c r="C9" s="224" t="s">
        <v>317</v>
      </c>
      <c r="D9" s="226" t="s">
        <v>24</v>
      </c>
      <c r="E9" s="227">
        <v>455</v>
      </c>
    </row>
    <row r="10" spans="1:5" ht="35" thickBot="1">
      <c r="A10" s="223" t="s">
        <v>291</v>
      </c>
      <c r="B10" s="224" t="s">
        <v>318</v>
      </c>
      <c r="C10" s="224" t="s">
        <v>319</v>
      </c>
      <c r="D10" s="226" t="s">
        <v>31</v>
      </c>
      <c r="E10" s="227">
        <v>374</v>
      </c>
    </row>
    <row r="11" spans="1:5" ht="52" thickBot="1">
      <c r="A11" s="223" t="s">
        <v>292</v>
      </c>
      <c r="B11" s="224" t="s">
        <v>320</v>
      </c>
      <c r="C11" s="224" t="s">
        <v>321</v>
      </c>
      <c r="D11" s="226" t="s">
        <v>24</v>
      </c>
      <c r="E11" s="227">
        <v>2158</v>
      </c>
    </row>
    <row r="12" spans="1:5" ht="69" thickBot="1">
      <c r="A12" s="223" t="s">
        <v>293</v>
      </c>
      <c r="B12" s="224" t="s">
        <v>322</v>
      </c>
      <c r="C12" s="224" t="s">
        <v>323</v>
      </c>
      <c r="D12" s="226" t="s">
        <v>230</v>
      </c>
      <c r="E12" s="227">
        <v>92</v>
      </c>
    </row>
    <row r="13" spans="1:5" ht="52" thickBot="1">
      <c r="A13" s="223" t="s">
        <v>294</v>
      </c>
      <c r="B13" s="224" t="s">
        <v>324</v>
      </c>
      <c r="C13" s="224" t="s">
        <v>325</v>
      </c>
      <c r="D13" s="226" t="s">
        <v>31</v>
      </c>
      <c r="E13" s="227">
        <v>344</v>
      </c>
    </row>
    <row r="14" spans="1:5" ht="52" thickBot="1">
      <c r="A14" s="223" t="s">
        <v>295</v>
      </c>
      <c r="B14" s="224" t="s">
        <v>324</v>
      </c>
      <c r="C14" s="224" t="s">
        <v>325</v>
      </c>
      <c r="D14" s="226" t="s">
        <v>24</v>
      </c>
      <c r="E14" s="227">
        <v>1306</v>
      </c>
    </row>
    <row r="15" spans="1:5" ht="52" thickBot="1">
      <c r="A15" s="223" t="s">
        <v>296</v>
      </c>
      <c r="B15" s="224" t="s">
        <v>326</v>
      </c>
      <c r="C15" s="224" t="s">
        <v>327</v>
      </c>
      <c r="D15" s="226" t="s">
        <v>24</v>
      </c>
      <c r="E15" s="227">
        <v>1306</v>
      </c>
    </row>
    <row r="16" spans="1:5" ht="18" thickBot="1">
      <c r="A16" s="223" t="s">
        <v>297</v>
      </c>
      <c r="B16" s="224"/>
      <c r="C16" s="224"/>
      <c r="D16" s="226" t="s">
        <v>24</v>
      </c>
      <c r="E16" s="227">
        <v>1678</v>
      </c>
    </row>
    <row r="17" spans="1:5" ht="69" thickBot="1">
      <c r="A17" s="223" t="s">
        <v>298</v>
      </c>
      <c r="B17" s="224" t="s">
        <v>328</v>
      </c>
      <c r="C17" s="224" t="s">
        <v>329</v>
      </c>
      <c r="D17" s="226" t="s">
        <v>31</v>
      </c>
      <c r="E17" s="227">
        <v>1055</v>
      </c>
    </row>
    <row r="18" spans="1:5" ht="86" thickBot="1">
      <c r="A18" s="223" t="s">
        <v>299</v>
      </c>
      <c r="B18" s="224" t="s">
        <v>330</v>
      </c>
      <c r="C18" s="224" t="s">
        <v>333</v>
      </c>
      <c r="D18" s="226" t="s">
        <v>24</v>
      </c>
      <c r="E18" s="227">
        <v>291</v>
      </c>
    </row>
    <row r="19" spans="1:5" ht="120" thickBot="1">
      <c r="A19" s="223" t="s">
        <v>300</v>
      </c>
      <c r="B19" s="224" t="s">
        <v>331</v>
      </c>
      <c r="C19" s="224" t="s">
        <v>334</v>
      </c>
      <c r="D19" s="226" t="s">
        <v>24</v>
      </c>
      <c r="E19" s="227">
        <v>372</v>
      </c>
    </row>
    <row r="20" spans="1:5" ht="69" thickBot="1">
      <c r="A20" s="223" t="s">
        <v>301</v>
      </c>
      <c r="B20" s="224" t="s">
        <v>332</v>
      </c>
      <c r="C20" s="224" t="s">
        <v>335</v>
      </c>
      <c r="D20" s="226" t="s">
        <v>24</v>
      </c>
      <c r="E20" s="227">
        <v>108</v>
      </c>
    </row>
  </sheetData>
  <pageMargins left="0.25" right="0.25" top="0.75" bottom="0.75" header="0.3" footer="0.3"/>
  <pageSetup scale="61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B5A9-8B90-4A21-94A7-C93752C59F48}">
  <dimension ref="A1:I26"/>
  <sheetViews>
    <sheetView view="pageBreakPreview" zoomScale="85" zoomScaleNormal="85" zoomScaleSheetLayoutView="85" workbookViewId="0">
      <selection activeCell="H15" sqref="H1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16384" width="11.33203125" style="12"/>
  </cols>
  <sheetData>
    <row r="1" spans="1:9" ht="23">
      <c r="A1" s="192" t="s">
        <v>66</v>
      </c>
      <c r="B1" s="192"/>
      <c r="C1" s="192"/>
      <c r="D1" s="192"/>
      <c r="E1" s="192"/>
      <c r="F1" s="192"/>
      <c r="G1" s="192"/>
    </row>
    <row r="2" spans="1:9" ht="20" customHeight="1">
      <c r="A2" s="147" t="s">
        <v>1</v>
      </c>
      <c r="B2" s="147"/>
      <c r="C2" s="147"/>
      <c r="D2" s="147"/>
      <c r="E2" s="147"/>
      <c r="F2" s="147"/>
      <c r="G2" s="147"/>
    </row>
    <row r="3" spans="1:9" ht="20" customHeight="1">
      <c r="A3" s="193" t="s">
        <v>110</v>
      </c>
      <c r="B3" s="193"/>
      <c r="C3" s="193"/>
      <c r="D3" s="193"/>
      <c r="E3" s="193"/>
      <c r="F3" s="193"/>
      <c r="G3" s="193"/>
    </row>
    <row r="4" spans="1:9" ht="20" customHeight="1">
      <c r="A4" s="140" t="s">
        <v>103</v>
      </c>
      <c r="B4" s="141"/>
      <c r="C4" s="142"/>
      <c r="D4" s="149" t="s">
        <v>2</v>
      </c>
      <c r="E4" s="150"/>
      <c r="F4" s="140" t="s">
        <v>3</v>
      </c>
      <c r="G4" s="142"/>
    </row>
    <row r="5" spans="1:9" ht="20" customHeight="1">
      <c r="A5" s="140" t="s">
        <v>4</v>
      </c>
      <c r="B5" s="141"/>
      <c r="C5" s="142"/>
      <c r="D5" s="151"/>
      <c r="E5" s="152"/>
      <c r="F5" s="140" t="s">
        <v>5</v>
      </c>
      <c r="G5" s="142"/>
    </row>
    <row r="6" spans="1:9" ht="20" customHeight="1">
      <c r="A6" s="140" t="s">
        <v>6</v>
      </c>
      <c r="B6" s="141"/>
      <c r="C6" s="142"/>
      <c r="D6" s="140" t="s">
        <v>69</v>
      </c>
      <c r="E6" s="142"/>
      <c r="F6" s="140" t="s">
        <v>7</v>
      </c>
      <c r="G6" s="142"/>
    </row>
    <row r="7" spans="1:9" ht="20" customHeight="1">
      <c r="A7" s="153" t="s">
        <v>70</v>
      </c>
      <c r="B7" s="191"/>
      <c r="C7" s="191"/>
      <c r="D7" s="191"/>
      <c r="E7" s="191"/>
      <c r="F7" s="191"/>
      <c r="G7" s="154"/>
    </row>
    <row r="8" spans="1:9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9" ht="20" customHeight="1">
      <c r="A9" s="61">
        <v>1</v>
      </c>
      <c r="B9" s="61"/>
      <c r="C9" s="62" t="s">
        <v>15</v>
      </c>
      <c r="D9" s="63"/>
      <c r="E9" s="63"/>
      <c r="F9" s="63"/>
      <c r="G9" s="64">
        <f>SUM(G10:G11)</f>
        <v>360000</v>
      </c>
    </row>
    <row r="10" spans="1:9" ht="20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9" ht="20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9" ht="20" customHeight="1">
      <c r="A12" s="61">
        <v>2</v>
      </c>
      <c r="B12" s="61"/>
      <c r="C12" s="62" t="s">
        <v>109</v>
      </c>
      <c r="D12" s="65"/>
      <c r="E12" s="67"/>
      <c r="F12" s="63"/>
      <c r="G12" s="68">
        <f>SUM(G13:G15)</f>
        <v>177321392.67709374</v>
      </c>
    </row>
    <row r="13" spans="1:9" ht="20" customHeight="1">
      <c r="A13" s="13"/>
      <c r="B13" s="13" t="s">
        <v>22</v>
      </c>
      <c r="C13" s="20" t="s">
        <v>92</v>
      </c>
      <c r="D13" s="13" t="s">
        <v>24</v>
      </c>
      <c r="E13" s="21">
        <v>1678.12</v>
      </c>
      <c r="F13" s="16">
        <v>77500</v>
      </c>
      <c r="G13" s="22">
        <f t="shared" ref="G13:G15" si="0">+E13*F13</f>
        <v>130054299.99999999</v>
      </c>
    </row>
    <row r="14" spans="1:9" ht="20" customHeight="1">
      <c r="A14" s="13"/>
      <c r="B14" s="13" t="s">
        <v>26</v>
      </c>
      <c r="C14" s="18" t="s">
        <v>95</v>
      </c>
      <c r="D14" s="13" t="s">
        <v>24</v>
      </c>
      <c r="E14" s="19">
        <v>290.86649999999997</v>
      </c>
      <c r="F14" s="16">
        <f>'[1]RESUMEN APU'!C77</f>
        <v>36529.104166666664</v>
      </c>
      <c r="G14" s="17">
        <f t="shared" si="0"/>
        <v>10625092.677093748</v>
      </c>
    </row>
    <row r="15" spans="1:9" ht="30" customHeight="1">
      <c r="A15" s="13"/>
      <c r="B15" s="13" t="s">
        <v>27</v>
      </c>
      <c r="C15" s="18" t="s">
        <v>96</v>
      </c>
      <c r="D15" s="13" t="s">
        <v>31</v>
      </c>
      <c r="E15" s="19">
        <v>372</v>
      </c>
      <c r="F15" s="16">
        <f>'[1]RESUMEN APU'!C80</f>
        <v>98500</v>
      </c>
      <c r="G15" s="17">
        <f t="shared" si="0"/>
        <v>36642000</v>
      </c>
      <c r="H15" s="69">
        <f>G15*0.55</f>
        <v>20153100</v>
      </c>
      <c r="I15" s="12">
        <f>H15/E15</f>
        <v>54175</v>
      </c>
    </row>
    <row r="16" spans="1:9" ht="20" customHeight="1">
      <c r="A16" s="61">
        <v>5</v>
      </c>
      <c r="B16" s="61"/>
      <c r="C16" s="62" t="s">
        <v>42</v>
      </c>
      <c r="D16" s="65"/>
      <c r="E16" s="67"/>
      <c r="F16" s="63"/>
      <c r="G16" s="68">
        <f>+G17</f>
        <v>500000</v>
      </c>
    </row>
    <row r="17" spans="1:8" ht="20" customHeight="1">
      <c r="A17" s="13"/>
      <c r="B17" s="13" t="s">
        <v>43</v>
      </c>
      <c r="C17" s="18" t="s">
        <v>44</v>
      </c>
      <c r="D17" s="13" t="s">
        <v>45</v>
      </c>
      <c r="E17" s="19">
        <v>0.2</v>
      </c>
      <c r="F17" s="17">
        <v>2500000</v>
      </c>
      <c r="G17" s="17">
        <f>+E17*F17</f>
        <v>500000</v>
      </c>
    </row>
    <row r="18" spans="1:8" ht="20" customHeight="1">
      <c r="A18" s="13"/>
      <c r="B18" s="13"/>
      <c r="C18" s="18"/>
      <c r="D18" s="55"/>
      <c r="E18" s="56"/>
      <c r="F18" s="57"/>
      <c r="G18" s="17"/>
    </row>
    <row r="19" spans="1:8" ht="20" customHeight="1">
      <c r="A19" s="13"/>
      <c r="B19" s="13"/>
      <c r="C19" s="14"/>
      <c r="D19" s="158" t="s">
        <v>46</v>
      </c>
      <c r="E19" s="159"/>
      <c r="F19" s="160"/>
      <c r="G19" s="23">
        <f>+G9+G12+G16</f>
        <v>178181392.67709374</v>
      </c>
      <c r="H19" s="24"/>
    </row>
    <row r="20" spans="1:8" ht="20" customHeight="1">
      <c r="A20" s="13"/>
      <c r="B20" s="13"/>
      <c r="C20" s="14"/>
      <c r="D20" s="143" t="s">
        <v>47</v>
      </c>
      <c r="E20" s="145"/>
      <c r="F20" s="25">
        <v>0.08</v>
      </c>
      <c r="G20" s="17">
        <f>+$G$19*F20</f>
        <v>14254511.414167499</v>
      </c>
    </row>
    <row r="21" spans="1:8" ht="20" customHeight="1">
      <c r="A21" s="13"/>
      <c r="B21" s="13"/>
      <c r="C21" s="14"/>
      <c r="D21" s="143" t="s">
        <v>48</v>
      </c>
      <c r="E21" s="145"/>
      <c r="F21" s="25">
        <v>0.03</v>
      </c>
      <c r="G21" s="17">
        <f t="shared" ref="G21:G22" si="1">+$G$19*F21</f>
        <v>5345441.780312812</v>
      </c>
    </row>
    <row r="22" spans="1:8" ht="20" customHeight="1">
      <c r="A22" s="13"/>
      <c r="B22" s="13"/>
      <c r="C22" s="14"/>
      <c r="D22" s="143" t="s">
        <v>49</v>
      </c>
      <c r="E22" s="145"/>
      <c r="F22" s="25">
        <v>0.05</v>
      </c>
      <c r="G22" s="17">
        <f t="shared" si="1"/>
        <v>8909069.6338546872</v>
      </c>
    </row>
    <row r="23" spans="1:8" ht="20" customHeight="1">
      <c r="A23" s="13"/>
      <c r="B23" s="13"/>
      <c r="C23" s="14"/>
      <c r="D23" s="143" t="s">
        <v>50</v>
      </c>
      <c r="E23" s="145"/>
      <c r="F23" s="25">
        <v>0.19</v>
      </c>
      <c r="G23" s="17">
        <f>+G22*F23</f>
        <v>1692723.2304323907</v>
      </c>
    </row>
    <row r="24" spans="1:8" ht="20" customHeight="1">
      <c r="A24" s="13"/>
      <c r="B24" s="13"/>
      <c r="C24" s="14"/>
      <c r="D24" s="155" t="s">
        <v>51</v>
      </c>
      <c r="E24" s="156"/>
      <c r="F24" s="157"/>
      <c r="G24" s="26">
        <f>+G19+G20+G21+G22+G23</f>
        <v>208383138.73586112</v>
      </c>
    </row>
    <row r="26" spans="1:8">
      <c r="G26" s="24"/>
    </row>
  </sheetData>
  <mergeCells count="18">
    <mergeCell ref="D23:E23"/>
    <mergeCell ref="D24:F24"/>
    <mergeCell ref="D19:F19"/>
    <mergeCell ref="D20:E20"/>
    <mergeCell ref="D21:E21"/>
    <mergeCell ref="D22:E22"/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</mergeCells>
  <phoneticPr fontId="6" type="noConversion"/>
  <pageMargins left="0.7" right="0.7" top="0.75" bottom="0.75" header="0.3" footer="0.3"/>
  <pageSetup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41CE-8DE9-4F01-805A-6FD8CCCC1401}">
  <dimension ref="A1:H26"/>
  <sheetViews>
    <sheetView view="pageBreakPreview" zoomScale="85" zoomScaleNormal="85" zoomScaleSheetLayoutView="85" workbookViewId="0">
      <selection activeCell="I15" sqref="I1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16384" width="11.33203125" style="12"/>
  </cols>
  <sheetData>
    <row r="1" spans="1:7" ht="23">
      <c r="A1" s="192" t="s">
        <v>66</v>
      </c>
      <c r="B1" s="192"/>
      <c r="C1" s="192"/>
      <c r="D1" s="192"/>
      <c r="E1" s="192"/>
      <c r="F1" s="192"/>
      <c r="G1" s="192"/>
    </row>
    <row r="2" spans="1:7" ht="20" customHeight="1">
      <c r="A2" s="147" t="s">
        <v>1</v>
      </c>
      <c r="B2" s="147"/>
      <c r="C2" s="147"/>
      <c r="D2" s="147"/>
      <c r="E2" s="147"/>
      <c r="F2" s="147"/>
      <c r="G2" s="147"/>
    </row>
    <row r="3" spans="1:7" ht="20" customHeight="1">
      <c r="A3" s="193" t="s">
        <v>111</v>
      </c>
      <c r="B3" s="193"/>
      <c r="C3" s="193"/>
      <c r="D3" s="193"/>
      <c r="E3" s="193"/>
      <c r="F3" s="193"/>
      <c r="G3" s="193"/>
    </row>
    <row r="4" spans="1:7" ht="20" customHeight="1">
      <c r="A4" s="140" t="s">
        <v>103</v>
      </c>
      <c r="B4" s="141"/>
      <c r="C4" s="142"/>
      <c r="D4" s="149" t="s">
        <v>2</v>
      </c>
      <c r="E4" s="150"/>
      <c r="F4" s="140" t="s">
        <v>3</v>
      </c>
      <c r="G4" s="142"/>
    </row>
    <row r="5" spans="1:7" ht="20" customHeight="1">
      <c r="A5" s="140" t="s">
        <v>4</v>
      </c>
      <c r="B5" s="141"/>
      <c r="C5" s="142"/>
      <c r="D5" s="151"/>
      <c r="E5" s="152"/>
      <c r="F5" s="140" t="s">
        <v>5</v>
      </c>
      <c r="G5" s="142"/>
    </row>
    <row r="6" spans="1:7" ht="20" customHeight="1">
      <c r="A6" s="140" t="s">
        <v>6</v>
      </c>
      <c r="B6" s="141"/>
      <c r="C6" s="142"/>
      <c r="D6" s="140" t="s">
        <v>69</v>
      </c>
      <c r="E6" s="142"/>
      <c r="F6" s="140" t="s">
        <v>7</v>
      </c>
      <c r="G6" s="142"/>
    </row>
    <row r="7" spans="1:7" ht="20" customHeight="1">
      <c r="A7" s="153" t="s">
        <v>70</v>
      </c>
      <c r="B7" s="191"/>
      <c r="C7" s="191"/>
      <c r="D7" s="191"/>
      <c r="E7" s="191"/>
      <c r="F7" s="191"/>
      <c r="G7" s="154"/>
    </row>
    <row r="8" spans="1:7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7" ht="20" customHeight="1">
      <c r="A9" s="61">
        <v>1</v>
      </c>
      <c r="B9" s="61"/>
      <c r="C9" s="62" t="s">
        <v>15</v>
      </c>
      <c r="D9" s="63"/>
      <c r="E9" s="63"/>
      <c r="F9" s="63"/>
      <c r="G9" s="64">
        <f>SUM(G10:G11)</f>
        <v>360000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7" ht="20" customHeight="1">
      <c r="A12" s="61">
        <v>2</v>
      </c>
      <c r="B12" s="61"/>
      <c r="C12" s="62" t="s">
        <v>109</v>
      </c>
      <c r="D12" s="65"/>
      <c r="E12" s="67"/>
      <c r="F12" s="63"/>
      <c r="G12" s="68">
        <f>SUM(G13:G15)</f>
        <v>111035652.67709374</v>
      </c>
    </row>
    <row r="13" spans="1:7" ht="20" customHeight="1">
      <c r="A13" s="13"/>
      <c r="B13" s="13" t="s">
        <v>22</v>
      </c>
      <c r="C13" s="20" t="s">
        <v>112</v>
      </c>
      <c r="D13" s="13" t="s">
        <v>24</v>
      </c>
      <c r="E13" s="21">
        <v>1678.12</v>
      </c>
      <c r="F13" s="16">
        <v>38000</v>
      </c>
      <c r="G13" s="22">
        <f t="shared" ref="G13:G15" si="0">+E13*F13</f>
        <v>63768559.999999993</v>
      </c>
    </row>
    <row r="14" spans="1:7" ht="20" customHeight="1">
      <c r="A14" s="13"/>
      <c r="B14" s="13" t="s">
        <v>26</v>
      </c>
      <c r="C14" s="18" t="s">
        <v>95</v>
      </c>
      <c r="D14" s="13" t="s">
        <v>24</v>
      </c>
      <c r="E14" s="19">
        <v>290.86649999999997</v>
      </c>
      <c r="F14" s="16">
        <f>'[1]RESUMEN APU'!C77</f>
        <v>36529.104166666664</v>
      </c>
      <c r="G14" s="17">
        <f t="shared" si="0"/>
        <v>10625092.677093748</v>
      </c>
    </row>
    <row r="15" spans="1:7" ht="30" customHeight="1">
      <c r="A15" s="13"/>
      <c r="B15" s="13" t="s">
        <v>27</v>
      </c>
      <c r="C15" s="18" t="s">
        <v>96</v>
      </c>
      <c r="D15" s="13" t="s">
        <v>31</v>
      </c>
      <c r="E15" s="19">
        <v>372</v>
      </c>
      <c r="F15" s="16">
        <f>'[1]RESUMEN APU'!C80</f>
        <v>98500</v>
      </c>
      <c r="G15" s="17">
        <f t="shared" si="0"/>
        <v>36642000</v>
      </c>
    </row>
    <row r="16" spans="1:7" ht="20" customHeight="1">
      <c r="A16" s="61">
        <v>5</v>
      </c>
      <c r="B16" s="61"/>
      <c r="C16" s="62" t="s">
        <v>42</v>
      </c>
      <c r="D16" s="65"/>
      <c r="E16" s="67"/>
      <c r="F16" s="63"/>
      <c r="G16" s="68">
        <f>+G17</f>
        <v>500000</v>
      </c>
    </row>
    <row r="17" spans="1:8" ht="20" customHeight="1">
      <c r="A17" s="13"/>
      <c r="B17" s="13" t="s">
        <v>43</v>
      </c>
      <c r="C17" s="18" t="s">
        <v>44</v>
      </c>
      <c r="D17" s="13" t="s">
        <v>45</v>
      </c>
      <c r="E17" s="19">
        <v>0.2</v>
      </c>
      <c r="F17" s="17">
        <v>2500000</v>
      </c>
      <c r="G17" s="17">
        <f>+E17*F17</f>
        <v>500000</v>
      </c>
    </row>
    <row r="18" spans="1:8" ht="20" customHeight="1">
      <c r="A18" s="13"/>
      <c r="B18" s="13"/>
      <c r="C18" s="18"/>
      <c r="D18" s="55"/>
      <c r="E18" s="56"/>
      <c r="F18" s="57"/>
      <c r="G18" s="17"/>
    </row>
    <row r="19" spans="1:8" ht="20" customHeight="1">
      <c r="A19" s="13"/>
      <c r="B19" s="13"/>
      <c r="C19" s="14"/>
      <c r="D19" s="158" t="s">
        <v>46</v>
      </c>
      <c r="E19" s="159"/>
      <c r="F19" s="160"/>
      <c r="G19" s="23">
        <f>+G9+G12+G16</f>
        <v>111895652.67709374</v>
      </c>
      <c r="H19" s="24"/>
    </row>
    <row r="20" spans="1:8" ht="20" customHeight="1">
      <c r="A20" s="13"/>
      <c r="B20" s="13"/>
      <c r="C20" s="14"/>
      <c r="D20" s="143" t="s">
        <v>47</v>
      </c>
      <c r="E20" s="145"/>
      <c r="F20" s="25">
        <v>0.08</v>
      </c>
      <c r="G20" s="17">
        <f>+$G$19*F20</f>
        <v>8951652.2141674999</v>
      </c>
    </row>
    <row r="21" spans="1:8" ht="20" customHeight="1">
      <c r="A21" s="13"/>
      <c r="B21" s="13"/>
      <c r="C21" s="14"/>
      <c r="D21" s="143" t="s">
        <v>48</v>
      </c>
      <c r="E21" s="145"/>
      <c r="F21" s="25">
        <v>0.03</v>
      </c>
      <c r="G21" s="17">
        <f t="shared" ref="G21:G22" si="1">+$G$19*F21</f>
        <v>3356869.5803128122</v>
      </c>
    </row>
    <row r="22" spans="1:8" ht="20" customHeight="1">
      <c r="A22" s="13"/>
      <c r="B22" s="13"/>
      <c r="C22" s="14"/>
      <c r="D22" s="143" t="s">
        <v>49</v>
      </c>
      <c r="E22" s="145"/>
      <c r="F22" s="25">
        <v>0.05</v>
      </c>
      <c r="G22" s="17">
        <f t="shared" si="1"/>
        <v>5594782.6338546872</v>
      </c>
    </row>
    <row r="23" spans="1:8" ht="20" customHeight="1">
      <c r="A23" s="13"/>
      <c r="B23" s="13"/>
      <c r="C23" s="14"/>
      <c r="D23" s="143" t="s">
        <v>50</v>
      </c>
      <c r="E23" s="145"/>
      <c r="F23" s="25">
        <v>0.19</v>
      </c>
      <c r="G23" s="17">
        <f>+G22*F23</f>
        <v>1063008.7004323907</v>
      </c>
    </row>
    <row r="24" spans="1:8" ht="20" customHeight="1">
      <c r="A24" s="13"/>
      <c r="B24" s="13"/>
      <c r="C24" s="14"/>
      <c r="D24" s="155" t="s">
        <v>51</v>
      </c>
      <c r="E24" s="156"/>
      <c r="F24" s="157"/>
      <c r="G24" s="26">
        <f>+G19+G20+G21+G22+G23</f>
        <v>130861965.80586115</v>
      </c>
    </row>
    <row r="26" spans="1:8">
      <c r="G26" s="24"/>
    </row>
  </sheetData>
  <mergeCells count="18">
    <mergeCell ref="D21:E21"/>
    <mergeCell ref="D22:E22"/>
    <mergeCell ref="D23:E23"/>
    <mergeCell ref="D24:F24"/>
    <mergeCell ref="A6:C6"/>
    <mergeCell ref="D6:E6"/>
    <mergeCell ref="F6:G6"/>
    <mergeCell ref="A7:G7"/>
    <mergeCell ref="D19:F19"/>
    <mergeCell ref="D20:E20"/>
    <mergeCell ref="A1:G1"/>
    <mergeCell ref="A2:G2"/>
    <mergeCell ref="A3:G3"/>
    <mergeCell ref="A4:C4"/>
    <mergeCell ref="D4:E5"/>
    <mergeCell ref="F4:G4"/>
    <mergeCell ref="A5:C5"/>
    <mergeCell ref="F5:G5"/>
  </mergeCells>
  <pageMargins left="0.7" right="0.7" top="0.75" bottom="0.75" header="0.3" footer="0.3"/>
  <pageSetup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DA0E-5DAC-4EAD-89B5-BD3EAAC6B622}">
  <dimension ref="A1:H25"/>
  <sheetViews>
    <sheetView view="pageBreakPreview" zoomScale="85" zoomScaleNormal="85" zoomScaleSheetLayoutView="85" workbookViewId="0">
      <selection activeCell="F13" sqref="F13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16384" width="11.33203125" style="12"/>
  </cols>
  <sheetData>
    <row r="1" spans="1:7" ht="23">
      <c r="A1" s="192" t="s">
        <v>66</v>
      </c>
      <c r="B1" s="192"/>
      <c r="C1" s="192"/>
      <c r="D1" s="192"/>
      <c r="E1" s="192"/>
      <c r="F1" s="192"/>
      <c r="G1" s="192"/>
    </row>
    <row r="2" spans="1:7" ht="20" customHeight="1">
      <c r="A2" s="147" t="s">
        <v>1</v>
      </c>
      <c r="B2" s="147"/>
      <c r="C2" s="147"/>
      <c r="D2" s="147"/>
      <c r="E2" s="147"/>
      <c r="F2" s="147"/>
      <c r="G2" s="147"/>
    </row>
    <row r="3" spans="1:7" ht="20" customHeight="1">
      <c r="A3" s="193" t="s">
        <v>263</v>
      </c>
      <c r="B3" s="193"/>
      <c r="C3" s="193"/>
      <c r="D3" s="193"/>
      <c r="E3" s="193"/>
      <c r="F3" s="193"/>
      <c r="G3" s="193"/>
    </row>
    <row r="4" spans="1:7" ht="20" customHeight="1">
      <c r="A4" s="140" t="s">
        <v>68</v>
      </c>
      <c r="B4" s="141"/>
      <c r="C4" s="142"/>
      <c r="D4" s="149" t="s">
        <v>2</v>
      </c>
      <c r="E4" s="150"/>
      <c r="F4" s="140" t="s">
        <v>3</v>
      </c>
      <c r="G4" s="142"/>
    </row>
    <row r="5" spans="1:7" ht="20" customHeight="1">
      <c r="A5" s="140" t="s">
        <v>4</v>
      </c>
      <c r="B5" s="141"/>
      <c r="C5" s="142"/>
      <c r="D5" s="151"/>
      <c r="E5" s="152"/>
      <c r="F5" s="140" t="s">
        <v>5</v>
      </c>
      <c r="G5" s="142"/>
    </row>
    <row r="6" spans="1:7" ht="20" customHeight="1">
      <c r="A6" s="140" t="s">
        <v>6</v>
      </c>
      <c r="B6" s="141"/>
      <c r="C6" s="142"/>
      <c r="D6" s="140" t="s">
        <v>69</v>
      </c>
      <c r="E6" s="142"/>
      <c r="F6" s="140" t="s">
        <v>7</v>
      </c>
      <c r="G6" s="142"/>
    </row>
    <row r="7" spans="1:7" ht="20" customHeight="1">
      <c r="A7" s="153" t="s">
        <v>70</v>
      </c>
      <c r="B7" s="191"/>
      <c r="C7" s="191"/>
      <c r="D7" s="191"/>
      <c r="E7" s="191"/>
      <c r="F7" s="191"/>
      <c r="G7" s="154"/>
    </row>
    <row r="8" spans="1:7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7" ht="20" customHeight="1">
      <c r="A9" s="61">
        <v>1</v>
      </c>
      <c r="B9" s="61"/>
      <c r="C9" s="62" t="s">
        <v>15</v>
      </c>
      <c r="D9" s="62"/>
      <c r="E9" s="62"/>
      <c r="F9" s="62"/>
      <c r="G9" s="64">
        <f>+G10+G11</f>
        <v>360000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7" ht="20" customHeight="1">
      <c r="A12" s="61">
        <v>2</v>
      </c>
      <c r="B12" s="61"/>
      <c r="C12" s="62" t="s">
        <v>28</v>
      </c>
      <c r="D12" s="61"/>
      <c r="E12" s="133"/>
      <c r="F12" s="62"/>
      <c r="G12" s="64">
        <f>SUM(G13)</f>
        <v>29965088.556000005</v>
      </c>
    </row>
    <row r="13" spans="1:7" ht="30" customHeight="1">
      <c r="A13" s="13"/>
      <c r="B13" s="13" t="s">
        <v>22</v>
      </c>
      <c r="C13" s="18" t="s">
        <v>83</v>
      </c>
      <c r="D13" s="13" t="s">
        <v>24</v>
      </c>
      <c r="E13" s="19">
        <v>2157.6400000000003</v>
      </c>
      <c r="F13" s="16">
        <f>'[1]RESUMEN APU'!C41</f>
        <v>13887.9</v>
      </c>
      <c r="G13" s="17">
        <f>+E13*F13</f>
        <v>29965088.556000005</v>
      </c>
    </row>
    <row r="14" spans="1:7" ht="20" customHeight="1">
      <c r="A14" s="61">
        <v>3</v>
      </c>
      <c r="B14" s="61"/>
      <c r="C14" s="62" t="s">
        <v>42</v>
      </c>
      <c r="D14" s="61"/>
      <c r="E14" s="133"/>
      <c r="F14" s="62"/>
      <c r="G14" s="68">
        <f>+G15</f>
        <v>500000</v>
      </c>
    </row>
    <row r="15" spans="1:7" ht="20" customHeight="1">
      <c r="A15" s="13"/>
      <c r="B15" s="13" t="s">
        <v>30</v>
      </c>
      <c r="C15" s="18" t="s">
        <v>44</v>
      </c>
      <c r="D15" s="13" t="s">
        <v>45</v>
      </c>
      <c r="E15" s="15">
        <v>0.2</v>
      </c>
      <c r="F15" s="17">
        <v>2500000</v>
      </c>
      <c r="G15" s="17">
        <f>+E15*F15</f>
        <v>500000</v>
      </c>
    </row>
    <row r="16" spans="1:7" ht="20" customHeight="1">
      <c r="A16" s="13"/>
      <c r="B16" s="13"/>
      <c r="C16" s="18"/>
      <c r="D16" s="55"/>
      <c r="E16" s="56"/>
      <c r="F16" s="57"/>
      <c r="G16" s="17"/>
    </row>
    <row r="17" spans="1:8" ht="20" customHeight="1">
      <c r="A17" s="13"/>
      <c r="B17" s="13"/>
      <c r="C17" s="14"/>
      <c r="D17" s="158" t="s">
        <v>46</v>
      </c>
      <c r="E17" s="159"/>
      <c r="F17" s="160"/>
      <c r="G17" s="23">
        <f>+G9+G12+G14</f>
        <v>30825088.556000005</v>
      </c>
      <c r="H17" s="24"/>
    </row>
    <row r="18" spans="1:8" ht="20" customHeight="1">
      <c r="A18" s="13"/>
      <c r="B18" s="13"/>
      <c r="C18" s="14"/>
      <c r="D18" s="143" t="s">
        <v>47</v>
      </c>
      <c r="E18" s="145"/>
      <c r="F18" s="25">
        <v>0.08</v>
      </c>
      <c r="G18" s="17">
        <f>+$G$17*F18</f>
        <v>2466007.0844800007</v>
      </c>
    </row>
    <row r="19" spans="1:8" ht="20" customHeight="1">
      <c r="A19" s="13"/>
      <c r="B19" s="13"/>
      <c r="C19" s="14"/>
      <c r="D19" s="143" t="s">
        <v>48</v>
      </c>
      <c r="E19" s="145"/>
      <c r="F19" s="25">
        <v>0.03</v>
      </c>
      <c r="G19" s="17">
        <f t="shared" ref="G19:G20" si="0">+$G$17*F19</f>
        <v>924752.65668000013</v>
      </c>
    </row>
    <row r="20" spans="1:8" ht="20" customHeight="1">
      <c r="A20" s="13"/>
      <c r="B20" s="13"/>
      <c r="C20" s="14"/>
      <c r="D20" s="143" t="s">
        <v>49</v>
      </c>
      <c r="E20" s="145"/>
      <c r="F20" s="25">
        <v>0.05</v>
      </c>
      <c r="G20" s="17">
        <f t="shared" si="0"/>
        <v>1541254.4278000004</v>
      </c>
    </row>
    <row r="21" spans="1:8" ht="20" customHeight="1">
      <c r="A21" s="13"/>
      <c r="B21" s="13"/>
      <c r="C21" s="14"/>
      <c r="D21" s="143" t="s">
        <v>50</v>
      </c>
      <c r="E21" s="145"/>
      <c r="F21" s="25">
        <v>0.19</v>
      </c>
      <c r="G21" s="17">
        <f>+G20*F21</f>
        <v>292838.34128200007</v>
      </c>
    </row>
    <row r="22" spans="1:8" ht="20" customHeight="1">
      <c r="A22" s="13"/>
      <c r="B22" s="13"/>
      <c r="C22" s="14"/>
      <c r="D22" s="155" t="s">
        <v>51</v>
      </c>
      <c r="E22" s="156"/>
      <c r="F22" s="157"/>
      <c r="G22" s="26">
        <f>+G17+G18+G19+G20+G21</f>
        <v>36049941.066242009</v>
      </c>
    </row>
    <row r="23" spans="1:8" ht="20" customHeight="1"/>
    <row r="24" spans="1:8" ht="20" customHeight="1">
      <c r="G24" s="24"/>
    </row>
    <row r="25" spans="1:8" ht="20" customHeight="1"/>
  </sheetData>
  <mergeCells count="18">
    <mergeCell ref="D22:F22"/>
    <mergeCell ref="D17:F17"/>
    <mergeCell ref="D18:E18"/>
    <mergeCell ref="D19:E19"/>
    <mergeCell ref="D20:E20"/>
    <mergeCell ref="A6:C6"/>
    <mergeCell ref="D6:E6"/>
    <mergeCell ref="F6:G6"/>
    <mergeCell ref="A7:G7"/>
    <mergeCell ref="D21:E21"/>
    <mergeCell ref="A1:G1"/>
    <mergeCell ref="A2:G2"/>
    <mergeCell ref="A3:G3"/>
    <mergeCell ref="A4:C4"/>
    <mergeCell ref="D4:E5"/>
    <mergeCell ref="F4:G4"/>
    <mergeCell ref="A5:C5"/>
    <mergeCell ref="F5:G5"/>
  </mergeCells>
  <pageMargins left="0.7" right="0.7" top="0.75" bottom="0.75" header="0.3" footer="0.3"/>
  <pageSetup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B3F9-852F-445D-A778-F39B45EBE7D0}">
  <dimension ref="A1:G29"/>
  <sheetViews>
    <sheetView view="pageBreakPreview" zoomScale="85" zoomScaleNormal="85" zoomScaleSheetLayoutView="85" workbookViewId="0">
      <selection activeCell="F11" sqref="F10:F11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16384" width="11.33203125" style="12"/>
  </cols>
  <sheetData>
    <row r="1" spans="1:7" ht="23">
      <c r="A1" s="146" t="s">
        <v>66</v>
      </c>
      <c r="B1" s="146"/>
      <c r="C1" s="146"/>
      <c r="D1" s="146"/>
      <c r="E1" s="146"/>
      <c r="F1" s="146"/>
      <c r="G1" s="146"/>
    </row>
    <row r="2" spans="1:7">
      <c r="A2" s="147" t="s">
        <v>1</v>
      </c>
      <c r="B2" s="147"/>
      <c r="C2" s="147"/>
      <c r="D2" s="147"/>
      <c r="E2" s="147"/>
      <c r="F2" s="147"/>
      <c r="G2" s="147"/>
    </row>
    <row r="3" spans="1:7" ht="20" customHeight="1">
      <c r="A3" s="193" t="s">
        <v>264</v>
      </c>
      <c r="B3" s="193"/>
      <c r="C3" s="193"/>
      <c r="D3" s="193"/>
      <c r="E3" s="193"/>
      <c r="F3" s="193"/>
      <c r="G3" s="193"/>
    </row>
    <row r="4" spans="1:7" ht="20" customHeight="1">
      <c r="A4" s="140" t="s">
        <v>68</v>
      </c>
      <c r="B4" s="141"/>
      <c r="C4" s="142"/>
      <c r="D4" s="149" t="s">
        <v>2</v>
      </c>
      <c r="E4" s="150"/>
      <c r="F4" s="140" t="s">
        <v>3</v>
      </c>
      <c r="G4" s="142"/>
    </row>
    <row r="5" spans="1:7" ht="20" customHeight="1">
      <c r="A5" s="140" t="s">
        <v>4</v>
      </c>
      <c r="B5" s="141"/>
      <c r="C5" s="142"/>
      <c r="D5" s="151"/>
      <c r="E5" s="152"/>
      <c r="F5" s="140" t="s">
        <v>5</v>
      </c>
      <c r="G5" s="142"/>
    </row>
    <row r="6" spans="1:7" ht="20" customHeight="1">
      <c r="A6" s="140" t="s">
        <v>6</v>
      </c>
      <c r="B6" s="141"/>
      <c r="C6" s="142"/>
      <c r="D6" s="140" t="s">
        <v>69</v>
      </c>
      <c r="E6" s="142"/>
      <c r="F6" s="140" t="s">
        <v>7</v>
      </c>
      <c r="G6" s="142"/>
    </row>
    <row r="7" spans="1:7" ht="20" customHeight="1">
      <c r="A7" s="143" t="s">
        <v>70</v>
      </c>
      <c r="B7" s="144"/>
      <c r="C7" s="144"/>
      <c r="D7" s="144"/>
      <c r="E7" s="144"/>
      <c r="F7" s="144"/>
      <c r="G7" s="145"/>
    </row>
    <row r="8" spans="1:7" ht="20" customHeight="1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</row>
    <row r="9" spans="1:7" ht="20" customHeight="1">
      <c r="A9" s="61">
        <v>1</v>
      </c>
      <c r="B9" s="61"/>
      <c r="C9" s="62" t="s">
        <v>100</v>
      </c>
      <c r="D9" s="63"/>
      <c r="E9" s="63"/>
      <c r="F9" s="63"/>
      <c r="G9" s="64">
        <f>+G10+G11</f>
        <v>1800000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53">
        <f>'RESUMEN APU'!C4</f>
        <v>1500000</v>
      </c>
      <c r="G10" s="17">
        <f>+E10*F10</f>
        <v>1500000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53">
        <f>'RESUMEN APU'!C6</f>
        <v>300000</v>
      </c>
      <c r="G11" s="17">
        <f>+E11*F11</f>
        <v>300000</v>
      </c>
    </row>
    <row r="12" spans="1:7" ht="20" customHeight="1">
      <c r="A12" s="61">
        <v>2</v>
      </c>
      <c r="B12" s="61"/>
      <c r="C12" s="62" t="s">
        <v>28</v>
      </c>
      <c r="D12" s="65"/>
      <c r="E12" s="67"/>
      <c r="F12" s="134"/>
      <c r="G12" s="64">
        <f>SUM(G13:G14)</f>
        <v>54409463.472222224</v>
      </c>
    </row>
    <row r="13" spans="1:7" ht="30" customHeight="1">
      <c r="A13" s="13"/>
      <c r="B13" s="13" t="s">
        <v>22</v>
      </c>
      <c r="C13" s="18" t="s">
        <v>87</v>
      </c>
      <c r="D13" s="13" t="s">
        <v>24</v>
      </c>
      <c r="E13" s="19">
        <v>1306.25</v>
      </c>
      <c r="F13" s="51">
        <v>24300</v>
      </c>
      <c r="G13" s="17">
        <f t="shared" ref="G13:G14" si="0">+E13*F13</f>
        <v>31741875</v>
      </c>
    </row>
    <row r="14" spans="1:7" ht="30" customHeight="1">
      <c r="A14" s="13"/>
      <c r="B14" s="13" t="s">
        <v>25</v>
      </c>
      <c r="C14" s="18" t="s">
        <v>89</v>
      </c>
      <c r="D14" s="13" t="s">
        <v>24</v>
      </c>
      <c r="E14" s="19">
        <v>1306.25</v>
      </c>
      <c r="F14" s="51">
        <f>'RESUMEN APU'!C53</f>
        <v>17353.177777777775</v>
      </c>
      <c r="G14" s="17">
        <f t="shared" si="0"/>
        <v>22667588.47222222</v>
      </c>
    </row>
    <row r="15" spans="1:7" ht="20" customHeight="1">
      <c r="A15" s="61">
        <v>3</v>
      </c>
      <c r="B15" s="61"/>
      <c r="C15" s="62" t="s">
        <v>42</v>
      </c>
      <c r="D15" s="65"/>
      <c r="E15" s="67"/>
      <c r="F15" s="134"/>
      <c r="G15" s="68">
        <f>+G16</f>
        <v>1550000</v>
      </c>
    </row>
    <row r="16" spans="1:7" ht="20" customHeight="1">
      <c r="A16" s="13"/>
      <c r="B16" s="13" t="s">
        <v>30</v>
      </c>
      <c r="C16" s="18" t="s">
        <v>44</v>
      </c>
      <c r="D16" s="13" t="s">
        <v>45</v>
      </c>
      <c r="E16" s="19">
        <v>1</v>
      </c>
      <c r="F16" s="135">
        <v>1550000</v>
      </c>
      <c r="G16" s="17">
        <f>+E16*F16</f>
        <v>1550000</v>
      </c>
    </row>
    <row r="17" spans="1:7" ht="20" customHeight="1">
      <c r="A17" s="13"/>
      <c r="B17" s="13"/>
      <c r="C17" s="18"/>
      <c r="D17" s="55"/>
      <c r="E17" s="56"/>
      <c r="F17" s="57"/>
      <c r="G17" s="17"/>
    </row>
    <row r="18" spans="1:7" ht="20" customHeight="1">
      <c r="A18" s="13"/>
      <c r="B18" s="13"/>
      <c r="C18" s="14"/>
      <c r="D18" s="158" t="s">
        <v>46</v>
      </c>
      <c r="E18" s="159"/>
      <c r="F18" s="160"/>
      <c r="G18" s="23">
        <f>+G9+G12+G15</f>
        <v>57759463.472222224</v>
      </c>
    </row>
    <row r="19" spans="1:7" ht="20" customHeight="1">
      <c r="A19" s="13"/>
      <c r="B19" s="13"/>
      <c r="C19" s="14"/>
      <c r="D19" s="143" t="s">
        <v>47</v>
      </c>
      <c r="E19" s="145"/>
      <c r="F19" s="25">
        <v>0.08</v>
      </c>
      <c r="G19" s="17">
        <f>+$G$18*F19</f>
        <v>4620757.0777777778</v>
      </c>
    </row>
    <row r="20" spans="1:7" ht="20" customHeight="1">
      <c r="A20" s="13"/>
      <c r="B20" s="13"/>
      <c r="C20" s="14"/>
      <c r="D20" s="143" t="s">
        <v>48</v>
      </c>
      <c r="E20" s="145"/>
      <c r="F20" s="25">
        <v>0.03</v>
      </c>
      <c r="G20" s="17">
        <f t="shared" ref="G20:G21" si="1">+$G$18*F20</f>
        <v>1732783.9041666666</v>
      </c>
    </row>
    <row r="21" spans="1:7" ht="20" customHeight="1">
      <c r="A21" s="13"/>
      <c r="B21" s="13"/>
      <c r="C21" s="14"/>
      <c r="D21" s="143" t="s">
        <v>49</v>
      </c>
      <c r="E21" s="145"/>
      <c r="F21" s="25">
        <v>0.05</v>
      </c>
      <c r="G21" s="17">
        <f t="shared" si="1"/>
        <v>2887973.1736111115</v>
      </c>
    </row>
    <row r="22" spans="1:7" ht="20" customHeight="1">
      <c r="A22" s="13"/>
      <c r="B22" s="13"/>
      <c r="C22" s="14"/>
      <c r="D22" s="143" t="s">
        <v>50</v>
      </c>
      <c r="E22" s="145"/>
      <c r="F22" s="25">
        <v>0.19</v>
      </c>
      <c r="G22" s="17">
        <f>+G21*F22</f>
        <v>548714.90298611124</v>
      </c>
    </row>
    <row r="23" spans="1:7" ht="20" customHeight="1">
      <c r="A23" s="13"/>
      <c r="B23" s="13"/>
      <c r="C23" s="14"/>
      <c r="D23" s="155" t="s">
        <v>51</v>
      </c>
      <c r="E23" s="156"/>
      <c r="F23" s="157"/>
      <c r="G23" s="26">
        <f>+G18+G19+G20+G21+G22</f>
        <v>67549692.530763894</v>
      </c>
    </row>
    <row r="25" spans="1:7">
      <c r="G25" s="24"/>
    </row>
    <row r="27" spans="1:7">
      <c r="G27" s="137">
        <v>588077366.35514021</v>
      </c>
    </row>
    <row r="28" spans="1:7">
      <c r="F28" s="138">
        <v>7.0000000000000007E-2</v>
      </c>
      <c r="G28" s="139">
        <f>G27*F28</f>
        <v>41165415.644859821</v>
      </c>
    </row>
    <row r="29" spans="1:7">
      <c r="G29" s="139">
        <f>G28+G27</f>
        <v>629242782</v>
      </c>
    </row>
  </sheetData>
  <mergeCells count="18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D22:E22"/>
    <mergeCell ref="D23:F23"/>
    <mergeCell ref="D18:F18"/>
    <mergeCell ref="D19:E19"/>
    <mergeCell ref="D20:E20"/>
    <mergeCell ref="D21:E21"/>
  </mergeCells>
  <phoneticPr fontId="6" type="noConversion"/>
  <pageMargins left="0.7" right="0.7" top="0.75" bottom="0.75" header="0.3" footer="0.3"/>
  <pageSetup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8A81-0E99-43AC-962D-E1B491791BA8}">
  <sheetPr>
    <pageSetUpPr fitToPage="1"/>
  </sheetPr>
  <dimension ref="A1:G36"/>
  <sheetViews>
    <sheetView topLeftCell="A16" workbookViewId="0">
      <selection activeCell="L34" sqref="L34"/>
    </sheetView>
  </sheetViews>
  <sheetFormatPr baseColWidth="10" defaultColWidth="11.33203125" defaultRowHeight="15"/>
  <cols>
    <col min="1" max="1" width="8.33203125" style="1" bestFit="1" customWidth="1"/>
    <col min="2" max="2" width="6" style="1" bestFit="1" customWidth="1"/>
    <col min="3" max="3" width="58.1640625" style="1" bestFit="1" customWidth="1"/>
    <col min="4" max="4" width="11.33203125" style="1" customWidth="1"/>
    <col min="5" max="5" width="10.33203125" style="1" customWidth="1"/>
    <col min="6" max="6" width="21.33203125" style="1" customWidth="1"/>
    <col min="7" max="7" width="20.33203125" style="1" bestFit="1" customWidth="1"/>
    <col min="8" max="16384" width="11.33203125" style="1"/>
  </cols>
  <sheetData>
    <row r="1" spans="1:7" ht="24">
      <c r="A1" s="201" t="s">
        <v>0</v>
      </c>
      <c r="B1" s="201"/>
      <c r="C1" s="201"/>
      <c r="D1" s="201"/>
      <c r="E1" s="201"/>
      <c r="F1" s="201"/>
      <c r="G1" s="201"/>
    </row>
    <row r="2" spans="1:7" ht="16">
      <c r="A2" s="200" t="s">
        <v>1</v>
      </c>
      <c r="B2" s="200"/>
      <c r="C2" s="200"/>
      <c r="D2" s="200"/>
      <c r="E2" s="200"/>
      <c r="F2" s="200"/>
      <c r="G2" s="200"/>
    </row>
    <row r="3" spans="1:7" ht="16">
      <c r="A3" s="200" t="s">
        <v>52</v>
      </c>
      <c r="B3" s="200"/>
      <c r="C3" s="200"/>
      <c r="D3" s="200"/>
      <c r="E3" s="200"/>
      <c r="F3" s="200"/>
      <c r="G3" s="200"/>
    </row>
    <row r="4" spans="1:7" ht="15.5" customHeight="1">
      <c r="A4" s="197" t="s">
        <v>64</v>
      </c>
      <c r="B4" s="198"/>
      <c r="C4" s="199"/>
      <c r="D4" s="202" t="s">
        <v>2</v>
      </c>
      <c r="E4" s="203"/>
      <c r="F4" s="197" t="s">
        <v>3</v>
      </c>
      <c r="G4" s="199"/>
    </row>
    <row r="5" spans="1:7" ht="15.5" customHeight="1">
      <c r="A5" s="197" t="s">
        <v>4</v>
      </c>
      <c r="B5" s="198"/>
      <c r="C5" s="199"/>
      <c r="D5" s="204"/>
      <c r="E5" s="205"/>
      <c r="F5" s="197" t="s">
        <v>5</v>
      </c>
      <c r="G5" s="199"/>
    </row>
    <row r="6" spans="1:7" ht="14.5" customHeight="1">
      <c r="A6" s="197" t="s">
        <v>6</v>
      </c>
      <c r="B6" s="198"/>
      <c r="C6" s="199"/>
      <c r="D6" s="197" t="s">
        <v>65</v>
      </c>
      <c r="E6" s="199"/>
      <c r="F6" s="197" t="s">
        <v>7</v>
      </c>
      <c r="G6" s="199"/>
    </row>
    <row r="7" spans="1:7" ht="16">
      <c r="A7" s="200" t="s">
        <v>53</v>
      </c>
      <c r="B7" s="200"/>
      <c r="C7" s="200"/>
      <c r="D7" s="200"/>
      <c r="E7" s="200"/>
      <c r="F7" s="200"/>
      <c r="G7" s="200"/>
    </row>
    <row r="8" spans="1:7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</row>
    <row r="9" spans="1:7">
      <c r="A9" s="194">
        <v>1</v>
      </c>
      <c r="B9" s="194"/>
      <c r="C9" s="195" t="s">
        <v>15</v>
      </c>
      <c r="D9" s="195"/>
      <c r="E9" s="195"/>
      <c r="F9" s="195"/>
      <c r="G9" s="9">
        <f>+G10+G11</f>
        <v>360000</v>
      </c>
    </row>
    <row r="10" spans="1:7" ht="16">
      <c r="A10" s="4"/>
      <c r="B10" s="6" t="s">
        <v>16</v>
      </c>
      <c r="C10" s="5" t="s">
        <v>17</v>
      </c>
      <c r="D10" s="6" t="s">
        <v>18</v>
      </c>
      <c r="E10" s="6">
        <v>0.2</v>
      </c>
      <c r="F10" s="11">
        <v>1500000</v>
      </c>
      <c r="G10" s="2">
        <f>E10*F10</f>
        <v>300000</v>
      </c>
    </row>
    <row r="11" spans="1:7" ht="16">
      <c r="A11" s="4"/>
      <c r="B11" s="6" t="s">
        <v>19</v>
      </c>
      <c r="C11" s="5" t="s">
        <v>20</v>
      </c>
      <c r="D11" s="6" t="s">
        <v>18</v>
      </c>
      <c r="E11" s="6">
        <v>0.2</v>
      </c>
      <c r="F11" s="11">
        <v>300000</v>
      </c>
      <c r="G11" s="2">
        <f>E11*F11</f>
        <v>60000</v>
      </c>
    </row>
    <row r="12" spans="1:7">
      <c r="A12" s="194">
        <v>2</v>
      </c>
      <c r="B12" s="194"/>
      <c r="C12" s="195" t="s">
        <v>21</v>
      </c>
      <c r="D12" s="195"/>
      <c r="E12" s="195"/>
      <c r="F12" s="195"/>
      <c r="G12" s="9">
        <f>+G13+G14+G15+G16</f>
        <v>10704600</v>
      </c>
    </row>
    <row r="13" spans="1:7" ht="16">
      <c r="A13" s="194"/>
      <c r="B13" s="6" t="s">
        <v>22</v>
      </c>
      <c r="C13" s="5" t="s">
        <v>23</v>
      </c>
      <c r="D13" s="6" t="s">
        <v>24</v>
      </c>
      <c r="E13" s="7">
        <v>580</v>
      </c>
      <c r="F13" s="11">
        <v>3120</v>
      </c>
      <c r="G13" s="3">
        <f>E13*F13</f>
        <v>1809600</v>
      </c>
    </row>
    <row r="14" spans="1:7" ht="32">
      <c r="A14" s="194"/>
      <c r="B14" s="6" t="s">
        <v>25</v>
      </c>
      <c r="C14" s="5" t="s">
        <v>61</v>
      </c>
      <c r="D14" s="6" t="s">
        <v>24</v>
      </c>
      <c r="E14" s="7">
        <v>145</v>
      </c>
      <c r="F14" s="11">
        <v>45000</v>
      </c>
      <c r="G14" s="3">
        <f t="shared" ref="G14:G16" si="0">E14*F14</f>
        <v>6525000</v>
      </c>
    </row>
    <row r="15" spans="1:7" ht="16">
      <c r="A15" s="194"/>
      <c r="B15" s="6" t="s">
        <v>26</v>
      </c>
      <c r="C15" s="5" t="s">
        <v>59</v>
      </c>
      <c r="D15" s="6" t="s">
        <v>24</v>
      </c>
      <c r="E15" s="7">
        <v>10</v>
      </c>
      <c r="F15" s="11">
        <v>52000</v>
      </c>
      <c r="G15" s="3">
        <f t="shared" si="0"/>
        <v>520000</v>
      </c>
    </row>
    <row r="16" spans="1:7" ht="32">
      <c r="A16" s="194"/>
      <c r="B16" s="6" t="s">
        <v>27</v>
      </c>
      <c r="C16" s="5" t="s">
        <v>60</v>
      </c>
      <c r="D16" s="6" t="s">
        <v>24</v>
      </c>
      <c r="E16" s="7">
        <v>25</v>
      </c>
      <c r="F16" s="11">
        <v>74000</v>
      </c>
      <c r="G16" s="3">
        <f t="shared" si="0"/>
        <v>1850000</v>
      </c>
    </row>
    <row r="17" spans="1:7">
      <c r="A17" s="194">
        <v>3</v>
      </c>
      <c r="B17" s="194"/>
      <c r="C17" s="195" t="s">
        <v>28</v>
      </c>
      <c r="D17" s="195"/>
      <c r="E17" s="195"/>
      <c r="F17" s="195"/>
      <c r="G17" s="196">
        <f>+G19+G21+G23+G24</f>
        <v>17585800</v>
      </c>
    </row>
    <row r="18" spans="1:7">
      <c r="A18" s="6"/>
      <c r="B18" s="195" t="s">
        <v>29</v>
      </c>
      <c r="C18" s="195"/>
      <c r="D18" s="4"/>
      <c r="E18" s="4"/>
      <c r="F18" s="4"/>
      <c r="G18" s="196"/>
    </row>
    <row r="19" spans="1:7" ht="32">
      <c r="A19" s="4"/>
      <c r="B19" s="6" t="s">
        <v>30</v>
      </c>
      <c r="C19" s="5" t="s">
        <v>55</v>
      </c>
      <c r="D19" s="6" t="s">
        <v>24</v>
      </c>
      <c r="E19" s="7">
        <v>580</v>
      </c>
      <c r="F19" s="11">
        <v>17500</v>
      </c>
      <c r="G19" s="2">
        <f>E19*F19</f>
        <v>10150000</v>
      </c>
    </row>
    <row r="20" spans="1:7">
      <c r="A20" s="4"/>
      <c r="B20" s="195" t="s">
        <v>32</v>
      </c>
      <c r="C20" s="195"/>
      <c r="D20" s="6"/>
      <c r="E20" s="7"/>
      <c r="F20" s="2"/>
      <c r="G20" s="2"/>
    </row>
    <row r="21" spans="1:7" ht="32">
      <c r="A21" s="4"/>
      <c r="B21" s="6" t="s">
        <v>33</v>
      </c>
      <c r="C21" s="5" t="s">
        <v>56</v>
      </c>
      <c r="D21" s="6" t="s">
        <v>24</v>
      </c>
      <c r="E21" s="7">
        <v>200</v>
      </c>
      <c r="F21" s="11">
        <v>12000</v>
      </c>
      <c r="G21" s="2">
        <f>E21*F21</f>
        <v>2400000</v>
      </c>
    </row>
    <row r="22" spans="1:7">
      <c r="A22" s="4"/>
      <c r="B22" s="195" t="s">
        <v>34</v>
      </c>
      <c r="C22" s="195"/>
      <c r="D22" s="6"/>
      <c r="E22" s="7"/>
      <c r="F22" s="2"/>
      <c r="G22" s="2"/>
    </row>
    <row r="23" spans="1:7" ht="32">
      <c r="A23" s="4"/>
      <c r="B23" s="6" t="s">
        <v>35</v>
      </c>
      <c r="C23" s="5" t="s">
        <v>57</v>
      </c>
      <c r="D23" s="6" t="s">
        <v>36</v>
      </c>
      <c r="E23" s="7">
        <v>7</v>
      </c>
      <c r="F23" s="11">
        <v>121000</v>
      </c>
      <c r="G23" s="2">
        <f>E23*F23</f>
        <v>847000</v>
      </c>
    </row>
    <row r="24" spans="1:7" ht="32">
      <c r="A24" s="4"/>
      <c r="B24" s="6" t="s">
        <v>37</v>
      </c>
      <c r="C24" s="5" t="s">
        <v>58</v>
      </c>
      <c r="D24" s="7" t="s">
        <v>31</v>
      </c>
      <c r="E24" s="7">
        <v>187</v>
      </c>
      <c r="F24" s="11">
        <v>22400</v>
      </c>
      <c r="G24" s="2">
        <f t="shared" ref="G24" si="1">E24*F24</f>
        <v>4188800</v>
      </c>
    </row>
    <row r="25" spans="1:7">
      <c r="A25" s="194">
        <v>4</v>
      </c>
      <c r="B25" s="194"/>
      <c r="C25" s="195" t="s">
        <v>38</v>
      </c>
      <c r="D25" s="195"/>
      <c r="E25" s="195"/>
      <c r="F25" s="195"/>
      <c r="G25" s="2">
        <f>+G26+G27+G28</f>
        <v>2350600</v>
      </c>
    </row>
    <row r="26" spans="1:7" ht="39.75" customHeight="1">
      <c r="A26" s="6"/>
      <c r="B26" s="6" t="s">
        <v>39</v>
      </c>
      <c r="C26" s="5" t="s">
        <v>40</v>
      </c>
      <c r="D26" s="6" t="s">
        <v>31</v>
      </c>
      <c r="E26" s="7">
        <v>49</v>
      </c>
      <c r="F26" s="11">
        <v>11300</v>
      </c>
      <c r="G26" s="2">
        <f t="shared" ref="G26:G27" si="2">+E26*F26</f>
        <v>553700</v>
      </c>
    </row>
    <row r="27" spans="1:7" ht="32">
      <c r="A27" s="6"/>
      <c r="B27" s="6" t="s">
        <v>41</v>
      </c>
      <c r="C27" s="5" t="s">
        <v>54</v>
      </c>
      <c r="D27" s="6" t="s">
        <v>31</v>
      </c>
      <c r="E27" s="7">
        <v>100</v>
      </c>
      <c r="F27" s="11">
        <v>5200</v>
      </c>
      <c r="G27" s="2">
        <f t="shared" si="2"/>
        <v>520000</v>
      </c>
    </row>
    <row r="28" spans="1:7" ht="32">
      <c r="A28" s="6"/>
      <c r="B28" s="6" t="s">
        <v>62</v>
      </c>
      <c r="C28" s="5" t="s">
        <v>63</v>
      </c>
      <c r="D28" s="6" t="s">
        <v>24</v>
      </c>
      <c r="E28" s="7">
        <v>113</v>
      </c>
      <c r="F28" s="11">
        <v>11300</v>
      </c>
      <c r="G28" s="2">
        <f>F28*E28</f>
        <v>1276900</v>
      </c>
    </row>
    <row r="29" spans="1:7">
      <c r="A29" s="194">
        <v>5</v>
      </c>
      <c r="B29" s="194"/>
      <c r="C29" s="195" t="s">
        <v>42</v>
      </c>
      <c r="D29" s="195"/>
      <c r="E29" s="195"/>
      <c r="F29" s="195"/>
      <c r="G29" s="2">
        <f>+G30</f>
        <v>400000</v>
      </c>
    </row>
    <row r="30" spans="1:7" ht="16">
      <c r="A30" s="4"/>
      <c r="B30" s="6" t="s">
        <v>43</v>
      </c>
      <c r="C30" s="5" t="s">
        <v>44</v>
      </c>
      <c r="D30" s="6" t="s">
        <v>45</v>
      </c>
      <c r="E30" s="6">
        <v>0.8</v>
      </c>
      <c r="F30" s="2">
        <v>500000</v>
      </c>
      <c r="G30" s="2">
        <f>E30*F30</f>
        <v>400000</v>
      </c>
    </row>
    <row r="31" spans="1:7">
      <c r="A31" s="194"/>
      <c r="B31" s="194"/>
      <c r="C31" s="194"/>
      <c r="D31" s="194" t="s">
        <v>46</v>
      </c>
      <c r="E31" s="194"/>
      <c r="F31" s="194"/>
      <c r="G31" s="3">
        <f>+G9+G12+G17+G25+G29</f>
        <v>31401000</v>
      </c>
    </row>
    <row r="32" spans="1:7">
      <c r="A32" s="194"/>
      <c r="B32" s="194"/>
      <c r="C32" s="194"/>
      <c r="D32" s="194" t="s">
        <v>47</v>
      </c>
      <c r="E32" s="194"/>
      <c r="F32" s="10">
        <v>0.08</v>
      </c>
      <c r="G32" s="3">
        <f>+$G$31*F32</f>
        <v>2512080</v>
      </c>
    </row>
    <row r="33" spans="1:7">
      <c r="A33" s="194"/>
      <c r="B33" s="194"/>
      <c r="C33" s="194"/>
      <c r="D33" s="194" t="s">
        <v>48</v>
      </c>
      <c r="E33" s="194"/>
      <c r="F33" s="10">
        <v>0.03</v>
      </c>
      <c r="G33" s="3">
        <f t="shared" ref="G33:G34" si="3">+$G$31*F33</f>
        <v>942030</v>
      </c>
    </row>
    <row r="34" spans="1:7">
      <c r="A34" s="194"/>
      <c r="B34" s="194"/>
      <c r="C34" s="194"/>
      <c r="D34" s="194" t="s">
        <v>49</v>
      </c>
      <c r="E34" s="194"/>
      <c r="F34" s="10">
        <v>0.05</v>
      </c>
      <c r="G34" s="3">
        <f t="shared" si="3"/>
        <v>1570050</v>
      </c>
    </row>
    <row r="35" spans="1:7">
      <c r="A35" s="194"/>
      <c r="B35" s="194"/>
      <c r="C35" s="194"/>
      <c r="D35" s="194" t="s">
        <v>50</v>
      </c>
      <c r="E35" s="194"/>
      <c r="F35" s="10">
        <v>0.19</v>
      </c>
      <c r="G35" s="8">
        <f>+G34*F35</f>
        <v>298309.5</v>
      </c>
    </row>
    <row r="36" spans="1:7">
      <c r="A36" s="194"/>
      <c r="B36" s="194"/>
      <c r="C36" s="194"/>
      <c r="D36" s="194" t="s">
        <v>51</v>
      </c>
      <c r="E36" s="194"/>
      <c r="F36" s="194"/>
      <c r="G36" s="8">
        <f>+G31+G32+G33+G34+G35</f>
        <v>36723469.5</v>
      </c>
    </row>
  </sheetData>
  <mergeCells count="34">
    <mergeCell ref="A1:G1"/>
    <mergeCell ref="A2:G2"/>
    <mergeCell ref="A3:G3"/>
    <mergeCell ref="A4:C4"/>
    <mergeCell ref="D4:E5"/>
    <mergeCell ref="F4:G4"/>
    <mergeCell ref="A5:C5"/>
    <mergeCell ref="F5:G5"/>
    <mergeCell ref="G17:G18"/>
    <mergeCell ref="B18:C18"/>
    <mergeCell ref="A6:C6"/>
    <mergeCell ref="D6:E6"/>
    <mergeCell ref="F6:G6"/>
    <mergeCell ref="A7:G7"/>
    <mergeCell ref="A9:B9"/>
    <mergeCell ref="C9:F9"/>
    <mergeCell ref="A12:B12"/>
    <mergeCell ref="C12:F12"/>
    <mergeCell ref="A13:A16"/>
    <mergeCell ref="A17:B17"/>
    <mergeCell ref="C17:F17"/>
    <mergeCell ref="B20:C20"/>
    <mergeCell ref="B22:C22"/>
    <mergeCell ref="A25:B25"/>
    <mergeCell ref="C25:F25"/>
    <mergeCell ref="A29:B29"/>
    <mergeCell ref="C29:F29"/>
    <mergeCell ref="A31:C36"/>
    <mergeCell ref="D31:F31"/>
    <mergeCell ref="D32:E32"/>
    <mergeCell ref="D33:E33"/>
    <mergeCell ref="D34:E34"/>
    <mergeCell ref="D35:E35"/>
    <mergeCell ref="D36:F36"/>
  </mergeCells>
  <phoneticPr fontId="6" type="noConversion"/>
  <pageMargins left="0.70866141732283472" right="0.70866141732283472" top="0.74803149606299213" bottom="0.74803149606299213" header="0.31496062992125984" footer="0.31496062992125984"/>
  <pageSetup scale="66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B8AE-2A37-4B78-8CB1-C794EF7D46A6}">
  <sheetPr>
    <pageSetUpPr fitToPage="1"/>
  </sheetPr>
  <dimension ref="A1:K47"/>
  <sheetViews>
    <sheetView topLeftCell="A31" zoomScale="85" workbookViewId="0">
      <selection activeCell="G47" sqref="G47"/>
    </sheetView>
  </sheetViews>
  <sheetFormatPr baseColWidth="10" defaultColWidth="11.33203125" defaultRowHeight="15"/>
  <cols>
    <col min="1" max="1" width="10.1640625" style="50" customWidth="1"/>
    <col min="2" max="2" width="9.1640625" style="50" customWidth="1"/>
    <col min="3" max="3" width="72.33203125" style="28" customWidth="1"/>
    <col min="4" max="4" width="12.6640625" style="28" customWidth="1"/>
    <col min="5" max="5" width="11.6640625" style="28" bestFit="1" customWidth="1"/>
    <col min="6" max="6" width="20.33203125" style="28" customWidth="1"/>
    <col min="7" max="7" width="21" style="28" customWidth="1"/>
    <col min="8" max="8" width="17.5" style="28" customWidth="1"/>
    <col min="9" max="9" width="11.33203125" style="28"/>
    <col min="10" max="10" width="14.6640625" style="28" bestFit="1" customWidth="1"/>
    <col min="11" max="16384" width="11.33203125" style="28"/>
  </cols>
  <sheetData>
    <row r="1" spans="1:11" ht="22">
      <c r="A1" s="209" t="s">
        <v>0</v>
      </c>
      <c r="B1" s="209"/>
      <c r="C1" s="209"/>
      <c r="D1" s="209"/>
      <c r="E1" s="209"/>
      <c r="F1" s="209"/>
      <c r="G1" s="209"/>
    </row>
    <row r="2" spans="1:11">
      <c r="A2" s="210" t="s">
        <v>1</v>
      </c>
      <c r="B2" s="210"/>
      <c r="C2" s="210"/>
      <c r="D2" s="210"/>
      <c r="E2" s="210"/>
      <c r="F2" s="210"/>
      <c r="G2" s="210"/>
    </row>
    <row r="3" spans="1:11">
      <c r="A3" s="211" t="s">
        <v>67</v>
      </c>
      <c r="B3" s="211"/>
      <c r="C3" s="211"/>
      <c r="D3" s="211"/>
      <c r="E3" s="211"/>
      <c r="F3" s="211"/>
      <c r="G3" s="211"/>
    </row>
    <row r="4" spans="1:11">
      <c r="A4" s="197" t="s">
        <v>64</v>
      </c>
      <c r="B4" s="198"/>
      <c r="C4" s="199"/>
      <c r="D4" s="202" t="s">
        <v>2</v>
      </c>
      <c r="E4" s="203"/>
      <c r="F4" s="197" t="s">
        <v>3</v>
      </c>
      <c r="G4" s="199"/>
    </row>
    <row r="5" spans="1:11">
      <c r="A5" s="197" t="s">
        <v>4</v>
      </c>
      <c r="B5" s="198"/>
      <c r="C5" s="199"/>
      <c r="D5" s="204"/>
      <c r="E5" s="205"/>
      <c r="F5" s="197" t="s">
        <v>5</v>
      </c>
      <c r="G5" s="199"/>
    </row>
    <row r="6" spans="1:11">
      <c r="A6" s="197" t="s">
        <v>6</v>
      </c>
      <c r="B6" s="198"/>
      <c r="C6" s="199"/>
      <c r="D6" s="197" t="s">
        <v>65</v>
      </c>
      <c r="E6" s="199"/>
      <c r="F6" s="197" t="s">
        <v>7</v>
      </c>
      <c r="G6" s="199"/>
    </row>
    <row r="7" spans="1:11">
      <c r="A7" s="206" t="s">
        <v>70</v>
      </c>
      <c r="B7" s="207"/>
      <c r="C7" s="207"/>
      <c r="D7" s="207"/>
      <c r="E7" s="207"/>
      <c r="F7" s="207"/>
      <c r="G7" s="208"/>
    </row>
    <row r="8" spans="1:1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11">
      <c r="A9" s="30">
        <v>1</v>
      </c>
      <c r="B9" s="30"/>
      <c r="C9" s="31" t="s">
        <v>15</v>
      </c>
      <c r="D9" s="32"/>
      <c r="E9" s="32"/>
      <c r="F9" s="32"/>
      <c r="G9" s="33">
        <f>+G10+G11</f>
        <v>1800000</v>
      </c>
    </row>
    <row r="10" spans="1:11">
      <c r="A10" s="29"/>
      <c r="B10" s="29" t="s">
        <v>16</v>
      </c>
      <c r="C10" s="32" t="s">
        <v>17</v>
      </c>
      <c r="D10" s="29" t="s">
        <v>18</v>
      </c>
      <c r="E10" s="34">
        <v>1</v>
      </c>
      <c r="F10" s="11">
        <v>1500000</v>
      </c>
      <c r="G10" s="35">
        <f>+E10*F10</f>
        <v>1500000</v>
      </c>
      <c r="H10" s="36"/>
    </row>
    <row r="11" spans="1:11">
      <c r="A11" s="29"/>
      <c r="B11" s="29" t="s">
        <v>19</v>
      </c>
      <c r="C11" s="32" t="s">
        <v>20</v>
      </c>
      <c r="D11" s="29" t="s">
        <v>18</v>
      </c>
      <c r="E11" s="34">
        <v>1</v>
      </c>
      <c r="F11" s="11">
        <v>300000</v>
      </c>
      <c r="G11" s="35">
        <f>+E11*F11</f>
        <v>300000</v>
      </c>
      <c r="H11" s="36"/>
    </row>
    <row r="12" spans="1:11">
      <c r="A12" s="30">
        <v>2</v>
      </c>
      <c r="B12" s="30"/>
      <c r="C12" s="31" t="s">
        <v>21</v>
      </c>
      <c r="D12" s="29"/>
      <c r="E12" s="34"/>
      <c r="F12" s="11"/>
      <c r="G12" s="33">
        <f>+G13+G14+G15+G16+G17</f>
        <v>95150770.750000015</v>
      </c>
      <c r="H12" s="36"/>
    </row>
    <row r="13" spans="1:11" ht="16">
      <c r="A13" s="29"/>
      <c r="B13" s="29" t="s">
        <v>22</v>
      </c>
      <c r="C13" s="37" t="s">
        <v>23</v>
      </c>
      <c r="D13" s="29" t="s">
        <v>24</v>
      </c>
      <c r="E13" s="38">
        <v>7304.6724999999997</v>
      </c>
      <c r="F13" s="39">
        <v>3120</v>
      </c>
      <c r="G13" s="35">
        <f t="shared" ref="G13:G17" si="0">+E13*F13</f>
        <v>22790578.199999999</v>
      </c>
      <c r="H13" s="36"/>
    </row>
    <row r="14" spans="1:11" ht="32">
      <c r="A14" s="29"/>
      <c r="B14" s="29" t="s">
        <v>25</v>
      </c>
      <c r="C14" s="37" t="s">
        <v>71</v>
      </c>
      <c r="D14" s="29" t="s">
        <v>24</v>
      </c>
      <c r="E14" s="38">
        <v>1205.1153900000004</v>
      </c>
      <c r="F14" s="11">
        <v>45000</v>
      </c>
      <c r="G14" s="35">
        <f t="shared" si="0"/>
        <v>54230192.550000019</v>
      </c>
      <c r="H14" s="36"/>
      <c r="J14" s="206"/>
      <c r="K14" s="208"/>
    </row>
    <row r="15" spans="1:11" ht="16">
      <c r="A15" s="29"/>
      <c r="B15" s="29" t="s">
        <v>26</v>
      </c>
      <c r="C15" s="37" t="s">
        <v>72</v>
      </c>
      <c r="D15" s="29" t="s">
        <v>24</v>
      </c>
      <c r="E15" s="38">
        <v>90</v>
      </c>
      <c r="F15" s="11">
        <v>52000</v>
      </c>
      <c r="G15" s="35">
        <f t="shared" si="0"/>
        <v>4680000</v>
      </c>
      <c r="H15" s="36"/>
    </row>
    <row r="16" spans="1:11" ht="16">
      <c r="A16" s="29"/>
      <c r="B16" s="29" t="s">
        <v>27</v>
      </c>
      <c r="C16" s="37" t="s">
        <v>73</v>
      </c>
      <c r="D16" s="29" t="s">
        <v>24</v>
      </c>
      <c r="E16" s="38">
        <v>125</v>
      </c>
      <c r="F16" s="11">
        <v>74000</v>
      </c>
      <c r="G16" s="35">
        <f t="shared" si="0"/>
        <v>9250000</v>
      </c>
      <c r="H16" s="36"/>
    </row>
    <row r="17" spans="1:10" ht="16">
      <c r="A17" s="29"/>
      <c r="B17" s="29" t="s">
        <v>74</v>
      </c>
      <c r="C17" s="37" t="s">
        <v>75</v>
      </c>
      <c r="D17" s="29" t="s">
        <v>24</v>
      </c>
      <c r="E17" s="38">
        <v>100</v>
      </c>
      <c r="F17" s="11">
        <v>42000</v>
      </c>
      <c r="G17" s="35">
        <f t="shared" si="0"/>
        <v>4200000</v>
      </c>
      <c r="H17" s="36"/>
    </row>
    <row r="18" spans="1:10">
      <c r="A18" s="30">
        <v>3</v>
      </c>
      <c r="B18" s="30"/>
      <c r="C18" s="31" t="s">
        <v>28</v>
      </c>
      <c r="D18" s="29"/>
      <c r="E18" s="38"/>
      <c r="F18" s="11"/>
      <c r="G18" s="33">
        <f>+G19+G24+G26</f>
        <v>215535172.75</v>
      </c>
      <c r="H18" s="36"/>
    </row>
    <row r="19" spans="1:10">
      <c r="A19" s="29"/>
      <c r="B19" s="215" t="s">
        <v>29</v>
      </c>
      <c r="C19" s="216"/>
      <c r="D19" s="29"/>
      <c r="E19" s="38"/>
      <c r="F19" s="11"/>
      <c r="G19" s="40">
        <f>+G20+G21+G22+G23</f>
        <v>99452617.750000015</v>
      </c>
      <c r="H19" s="36"/>
    </row>
    <row r="20" spans="1:10" ht="32">
      <c r="A20" s="29"/>
      <c r="B20" s="29" t="s">
        <v>30</v>
      </c>
      <c r="C20" s="37" t="s">
        <v>76</v>
      </c>
      <c r="D20" s="29" t="s">
        <v>24</v>
      </c>
      <c r="E20" s="38">
        <v>4629.4765000000007</v>
      </c>
      <c r="F20" s="11">
        <v>17500</v>
      </c>
      <c r="G20" s="35">
        <f t="shared" ref="G20:G23" si="1">+E20*F20</f>
        <v>81015838.750000015</v>
      </c>
      <c r="H20" s="36"/>
      <c r="I20" s="41">
        <f>E20*17000</f>
        <v>78701100.500000015</v>
      </c>
      <c r="J20" s="36">
        <f>G20-I20</f>
        <v>2314738.25</v>
      </c>
    </row>
    <row r="21" spans="1:10" ht="32">
      <c r="A21" s="29"/>
      <c r="B21" s="29" t="s">
        <v>77</v>
      </c>
      <c r="C21" s="37" t="s">
        <v>78</v>
      </c>
      <c r="D21" s="29" t="s">
        <v>24</v>
      </c>
      <c r="E21" s="38">
        <v>107.97500000000001</v>
      </c>
      <c r="F21" s="11">
        <v>28000</v>
      </c>
      <c r="G21" s="35">
        <f t="shared" si="1"/>
        <v>3023300.0000000005</v>
      </c>
      <c r="H21" s="36"/>
    </row>
    <row r="22" spans="1:10" ht="32">
      <c r="A22" s="29"/>
      <c r="B22" s="29" t="s">
        <v>79</v>
      </c>
      <c r="C22" s="37" t="s">
        <v>80</v>
      </c>
      <c r="D22" s="29" t="s">
        <v>24</v>
      </c>
      <c r="E22" s="38">
        <v>455.29999999999995</v>
      </c>
      <c r="F22" s="11">
        <v>27200</v>
      </c>
      <c r="G22" s="35">
        <f t="shared" si="1"/>
        <v>12384159.999999998</v>
      </c>
      <c r="H22" s="36"/>
    </row>
    <row r="23" spans="1:10" ht="32">
      <c r="A23" s="29"/>
      <c r="B23" s="29" t="s">
        <v>81</v>
      </c>
      <c r="C23" s="37" t="s">
        <v>82</v>
      </c>
      <c r="D23" s="29" t="s">
        <v>31</v>
      </c>
      <c r="E23" s="38">
        <v>373.99</v>
      </c>
      <c r="F23" s="11">
        <v>8100</v>
      </c>
      <c r="G23" s="35">
        <f t="shared" si="1"/>
        <v>3029319</v>
      </c>
      <c r="H23" s="36"/>
    </row>
    <row r="24" spans="1:10">
      <c r="A24" s="29"/>
      <c r="B24" s="215" t="s">
        <v>32</v>
      </c>
      <c r="C24" s="216"/>
      <c r="D24" s="29"/>
      <c r="E24" s="38"/>
      <c r="F24" s="11"/>
      <c r="G24" s="40">
        <f>+G25</f>
        <v>25891680.000000004</v>
      </c>
      <c r="H24" s="36"/>
    </row>
    <row r="25" spans="1:10" ht="32">
      <c r="A25" s="29"/>
      <c r="B25" s="29" t="s">
        <v>33</v>
      </c>
      <c r="C25" s="37" t="s">
        <v>83</v>
      </c>
      <c r="D25" s="29" t="s">
        <v>24</v>
      </c>
      <c r="E25" s="38">
        <v>2157.6400000000003</v>
      </c>
      <c r="F25" s="11">
        <v>12000</v>
      </c>
      <c r="G25" s="35">
        <f>+E25*F25</f>
        <v>25891680.000000004</v>
      </c>
      <c r="H25" s="36"/>
    </row>
    <row r="26" spans="1:10">
      <c r="A26" s="29"/>
      <c r="B26" s="215" t="s">
        <v>34</v>
      </c>
      <c r="C26" s="216"/>
      <c r="D26" s="29"/>
      <c r="E26" s="38"/>
      <c r="F26" s="11"/>
      <c r="G26" s="40">
        <f>+G27+G28+G29+G30+G31</f>
        <v>90190875</v>
      </c>
      <c r="H26" s="36"/>
    </row>
    <row r="27" spans="1:10" ht="32">
      <c r="A27" s="29"/>
      <c r="B27" s="29" t="s">
        <v>35</v>
      </c>
      <c r="C27" s="37" t="s">
        <v>84</v>
      </c>
      <c r="D27" s="29" t="s">
        <v>36</v>
      </c>
      <c r="E27" s="38">
        <v>92</v>
      </c>
      <c r="F27" s="11">
        <v>121000</v>
      </c>
      <c r="G27" s="35">
        <f t="shared" ref="G27:G31" si="2">+E27*F27</f>
        <v>11132000</v>
      </c>
      <c r="H27" s="36"/>
    </row>
    <row r="28" spans="1:10" ht="32">
      <c r="A28" s="29"/>
      <c r="B28" s="29" t="s">
        <v>37</v>
      </c>
      <c r="C28" s="37" t="s">
        <v>85</v>
      </c>
      <c r="D28" s="29" t="s">
        <v>31</v>
      </c>
      <c r="E28" s="38">
        <v>344.24999999999989</v>
      </c>
      <c r="F28" s="11">
        <v>22400</v>
      </c>
      <c r="G28" s="35">
        <f t="shared" si="2"/>
        <v>7711199.9999999972</v>
      </c>
      <c r="H28" s="36"/>
    </row>
    <row r="29" spans="1:10" ht="32">
      <c r="A29" s="29"/>
      <c r="B29" s="29" t="s">
        <v>86</v>
      </c>
      <c r="C29" s="37" t="s">
        <v>87</v>
      </c>
      <c r="D29" s="29" t="s">
        <v>24</v>
      </c>
      <c r="E29" s="38">
        <v>1306.25</v>
      </c>
      <c r="F29" s="11">
        <v>24300</v>
      </c>
      <c r="G29" s="35">
        <f t="shared" si="2"/>
        <v>31741875</v>
      </c>
      <c r="H29" s="36"/>
    </row>
    <row r="30" spans="1:10" ht="16">
      <c r="A30" s="29"/>
      <c r="B30" s="29" t="s">
        <v>88</v>
      </c>
      <c r="C30" s="37" t="s">
        <v>89</v>
      </c>
      <c r="D30" s="29" t="s">
        <v>24</v>
      </c>
      <c r="E30" s="38">
        <v>1306.25</v>
      </c>
      <c r="F30" s="11">
        <v>29600</v>
      </c>
      <c r="G30" s="35">
        <f t="shared" si="2"/>
        <v>38665000</v>
      </c>
      <c r="H30" s="36"/>
    </row>
    <row r="31" spans="1:10" ht="32">
      <c r="A31" s="29"/>
      <c r="B31" s="42" t="s">
        <v>97</v>
      </c>
      <c r="C31" s="43" t="s">
        <v>98</v>
      </c>
      <c r="D31" s="42" t="s">
        <v>24</v>
      </c>
      <c r="E31" s="44">
        <v>42</v>
      </c>
      <c r="F31" s="45">
        <v>22400</v>
      </c>
      <c r="G31" s="46">
        <f t="shared" si="2"/>
        <v>940800</v>
      </c>
      <c r="H31" s="36"/>
    </row>
    <row r="32" spans="1:10">
      <c r="A32" s="30">
        <v>4</v>
      </c>
      <c r="B32" s="30"/>
      <c r="C32" s="31" t="s">
        <v>90</v>
      </c>
      <c r="D32" s="29"/>
      <c r="E32" s="38"/>
      <c r="F32" s="11"/>
      <c r="G32" s="47">
        <f>+G33+G34+G35+G36+G37+G38+G39</f>
        <v>283481006.80000001</v>
      </c>
      <c r="H32" s="36"/>
    </row>
    <row r="33" spans="1:8" ht="16">
      <c r="A33" s="29"/>
      <c r="B33" s="29" t="s">
        <v>91</v>
      </c>
      <c r="C33" s="48" t="s">
        <v>92</v>
      </c>
      <c r="D33" s="29" t="s">
        <v>24</v>
      </c>
      <c r="E33" s="38">
        <v>1678.12</v>
      </c>
      <c r="F33" s="11">
        <v>119000</v>
      </c>
      <c r="G33" s="35">
        <f t="shared" ref="G33:G39" si="3">+E33*F33</f>
        <v>199696280</v>
      </c>
      <c r="H33" s="36">
        <f>'[3]opc 2 cambio total cubierta'!G33-'opc 2 cambio total cubierta (2)'!G33</f>
        <v>0</v>
      </c>
    </row>
    <row r="34" spans="1:8" ht="16">
      <c r="A34" s="29"/>
      <c r="B34" s="29" t="s">
        <v>39</v>
      </c>
      <c r="C34" s="37" t="s">
        <v>40</v>
      </c>
      <c r="D34" s="29" t="s">
        <v>31</v>
      </c>
      <c r="E34" s="38">
        <v>0</v>
      </c>
      <c r="F34" s="11">
        <v>11300</v>
      </c>
      <c r="G34" s="35">
        <f t="shared" si="3"/>
        <v>0</v>
      </c>
      <c r="H34" s="36"/>
    </row>
    <row r="35" spans="1:8" ht="32">
      <c r="A35" s="29"/>
      <c r="B35" s="29" t="s">
        <v>41</v>
      </c>
      <c r="C35" s="37" t="s">
        <v>93</v>
      </c>
      <c r="D35" s="29" t="s">
        <v>31</v>
      </c>
      <c r="E35" s="38">
        <v>817.99400000000014</v>
      </c>
      <c r="F35" s="11">
        <v>5200</v>
      </c>
      <c r="G35" s="35">
        <f t="shared" si="3"/>
        <v>4253568.8000000007</v>
      </c>
      <c r="H35" s="36"/>
    </row>
    <row r="36" spans="1:8" ht="16">
      <c r="A36" s="29"/>
      <c r="B36" s="29" t="s">
        <v>62</v>
      </c>
      <c r="C36" s="37" t="s">
        <v>94</v>
      </c>
      <c r="D36" s="29" t="s">
        <v>31</v>
      </c>
      <c r="E36" s="38">
        <v>1055.3</v>
      </c>
      <c r="F36" s="11">
        <v>37000</v>
      </c>
      <c r="G36" s="35">
        <f t="shared" si="3"/>
        <v>39046100</v>
      </c>
      <c r="H36" s="36"/>
    </row>
    <row r="37" spans="1:8" ht="16">
      <c r="A37" s="29"/>
      <c r="B37" s="29">
        <v>4.5</v>
      </c>
      <c r="C37" s="37" t="s">
        <v>95</v>
      </c>
      <c r="D37" s="29" t="s">
        <v>24</v>
      </c>
      <c r="E37" s="38">
        <v>290.86649999999997</v>
      </c>
      <c r="F37" s="11">
        <v>52000</v>
      </c>
      <c r="G37" s="35">
        <f t="shared" si="3"/>
        <v>15125057.999999998</v>
      </c>
      <c r="H37" s="36"/>
    </row>
    <row r="38" spans="1:8" ht="32">
      <c r="A38" s="29"/>
      <c r="B38" s="29">
        <v>4.5999999999999996</v>
      </c>
      <c r="C38" s="37" t="s">
        <v>96</v>
      </c>
      <c r="D38" s="29" t="s">
        <v>31</v>
      </c>
      <c r="E38" s="38">
        <v>372</v>
      </c>
      <c r="F38" s="11">
        <v>63000</v>
      </c>
      <c r="G38" s="35">
        <f t="shared" si="3"/>
        <v>23436000</v>
      </c>
      <c r="H38" s="36"/>
    </row>
    <row r="39" spans="1:8" ht="16">
      <c r="A39" s="29"/>
      <c r="B39" s="42">
        <v>4.7</v>
      </c>
      <c r="C39" s="43" t="s">
        <v>99</v>
      </c>
      <c r="D39" s="42" t="s">
        <v>24</v>
      </c>
      <c r="E39" s="44">
        <v>65</v>
      </c>
      <c r="F39" s="45">
        <v>29600</v>
      </c>
      <c r="G39" s="46">
        <f t="shared" si="3"/>
        <v>1924000</v>
      </c>
      <c r="H39" s="36"/>
    </row>
    <row r="40" spans="1:8">
      <c r="A40" s="30">
        <v>5</v>
      </c>
      <c r="B40" s="30"/>
      <c r="C40" s="31" t="s">
        <v>42</v>
      </c>
      <c r="D40" s="29"/>
      <c r="E40" s="38"/>
      <c r="F40" s="11"/>
      <c r="G40" s="47">
        <f>+G41</f>
        <v>1550000</v>
      </c>
      <c r="H40" s="36"/>
    </row>
    <row r="41" spans="1:8" ht="16">
      <c r="A41" s="29"/>
      <c r="B41" s="29" t="s">
        <v>43</v>
      </c>
      <c r="C41" s="37" t="s">
        <v>44</v>
      </c>
      <c r="D41" s="29" t="s">
        <v>45</v>
      </c>
      <c r="E41" s="38">
        <v>1</v>
      </c>
      <c r="F41" s="11">
        <v>1550000</v>
      </c>
      <c r="G41" s="35">
        <f>+E41*F41</f>
        <v>1550000</v>
      </c>
      <c r="H41" s="36"/>
    </row>
    <row r="42" spans="1:8">
      <c r="A42" s="29"/>
      <c r="B42" s="29"/>
      <c r="C42" s="32"/>
      <c r="D42" s="212" t="s">
        <v>46</v>
      </c>
      <c r="E42" s="213"/>
      <c r="F42" s="214"/>
      <c r="G42" s="47">
        <f>+G9+G12+G18+G32+G40</f>
        <v>597516950.29999995</v>
      </c>
      <c r="H42" s="36"/>
    </row>
    <row r="43" spans="1:8">
      <c r="A43" s="29"/>
      <c r="B43" s="29"/>
      <c r="C43" s="32"/>
      <c r="D43" s="206" t="s">
        <v>47</v>
      </c>
      <c r="E43" s="208"/>
      <c r="F43" s="49">
        <v>0.08</v>
      </c>
      <c r="G43" s="35">
        <f>+$G$42*F43</f>
        <v>47801356.023999996</v>
      </c>
      <c r="H43" s="36"/>
    </row>
    <row r="44" spans="1:8">
      <c r="A44" s="29"/>
      <c r="B44" s="29"/>
      <c r="C44" s="32"/>
      <c r="D44" s="206" t="s">
        <v>48</v>
      </c>
      <c r="E44" s="208"/>
      <c r="F44" s="49">
        <v>0.03</v>
      </c>
      <c r="G44" s="35">
        <f t="shared" ref="G44:G45" si="4">+$G$42*F44</f>
        <v>17925508.509</v>
      </c>
      <c r="H44" s="36"/>
    </row>
    <row r="45" spans="1:8">
      <c r="A45" s="29"/>
      <c r="B45" s="29"/>
      <c r="C45" s="32"/>
      <c r="D45" s="206" t="s">
        <v>49</v>
      </c>
      <c r="E45" s="208"/>
      <c r="F45" s="49">
        <v>0.05</v>
      </c>
      <c r="G45" s="35">
        <f t="shared" si="4"/>
        <v>29875847.515000001</v>
      </c>
      <c r="H45" s="36"/>
    </row>
    <row r="46" spans="1:8">
      <c r="A46" s="29"/>
      <c r="B46" s="29"/>
      <c r="C46" s="32"/>
      <c r="D46" s="206" t="s">
        <v>50</v>
      </c>
      <c r="E46" s="208"/>
      <c r="F46" s="49">
        <v>0.19</v>
      </c>
      <c r="G46" s="35">
        <f>+G45*F46</f>
        <v>5676411.0278500002</v>
      </c>
      <c r="H46" s="36"/>
    </row>
    <row r="47" spans="1:8">
      <c r="A47" s="29"/>
      <c r="B47" s="29"/>
      <c r="C47" s="32"/>
      <c r="D47" s="212" t="s">
        <v>51</v>
      </c>
      <c r="E47" s="213"/>
      <c r="F47" s="214"/>
      <c r="G47" s="47">
        <f>+G42+G43+G44+G45+G46</f>
        <v>698796073.37584996</v>
      </c>
      <c r="H47" s="36"/>
    </row>
  </sheetData>
  <mergeCells count="22">
    <mergeCell ref="J14:K14"/>
    <mergeCell ref="D46:E46"/>
    <mergeCell ref="D47:F47"/>
    <mergeCell ref="B24:C24"/>
    <mergeCell ref="B26:C26"/>
    <mergeCell ref="D42:F42"/>
    <mergeCell ref="D43:E43"/>
    <mergeCell ref="D44:E44"/>
    <mergeCell ref="D45:E45"/>
    <mergeCell ref="B19:C19"/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</mergeCells>
  <pageMargins left="0.70866141732283472" right="0.70866141732283472" top="0.74803149606299213" bottom="0.74803149606299213" header="0.31496062992125984" footer="0.31496062992125984"/>
  <pageSetup scale="78" fitToHeight="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8</vt:i4>
      </vt:variant>
    </vt:vector>
  </HeadingPairs>
  <TitlesOfParts>
    <vt:vector size="22" baseType="lpstr">
      <vt:lpstr>BASE DATOS</vt:lpstr>
      <vt:lpstr>APU II</vt:lpstr>
      <vt:lpstr>APU III</vt:lpstr>
      <vt:lpstr>APU IV</vt:lpstr>
      <vt:lpstr>2.4 INST. ALFAJÍA</vt:lpstr>
      <vt:lpstr>RESUMEN APU</vt:lpstr>
      <vt:lpstr>FAC COMPLETA</vt:lpstr>
      <vt:lpstr>PROCEDIMIENTO</vt:lpstr>
      <vt:lpstr>CUBIERTA</vt:lpstr>
      <vt:lpstr>CUBIERTA 2</vt:lpstr>
      <vt:lpstr>INTERIORES</vt:lpstr>
      <vt:lpstr>PARQUEADEROS</vt:lpstr>
      <vt:lpstr>envio zona social</vt:lpstr>
      <vt:lpstr>opc 2 cambio total cubierta (2)</vt:lpstr>
      <vt:lpstr>'BASE DATOS'!Área_de_impresión</vt:lpstr>
      <vt:lpstr>CUBIERTA!Área_de_impresión</vt:lpstr>
      <vt:lpstr>'CUBIERTA 2'!Área_de_impresión</vt:lpstr>
      <vt:lpstr>'FAC COMPLETA'!Área_de_impresión</vt:lpstr>
      <vt:lpstr>INTERIORES!Área_de_impresión</vt:lpstr>
      <vt:lpstr>'opc 2 cambio total cubierta (2)'!Área_de_impresión</vt:lpstr>
      <vt:lpstr>PARQUEADEROS!Área_de_impresión</vt:lpstr>
      <vt:lpstr>'opc 2 cambio total cubierta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Marquez Jaramillo</dc:creator>
  <cp:lastModifiedBy>Renso Montoya Upegui</cp:lastModifiedBy>
  <cp:lastPrinted>2025-12-30T03:56:57Z</cp:lastPrinted>
  <dcterms:created xsi:type="dcterms:W3CDTF">2025-04-04T19:46:32Z</dcterms:created>
  <dcterms:modified xsi:type="dcterms:W3CDTF">2026-01-07T21:09:00Z</dcterms:modified>
</cp:coreProperties>
</file>