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dRichValueTypes.xml" ContentType="application/vnd.ms-excel.rdrichvaluetyp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13_ncr:1_{8C4868EE-828D-43E5-9C55-E498DB7BDCFD}" xr6:coauthVersionLast="47" xr6:coauthVersionMax="47" xr10:uidLastSave="{00000000-0000-0000-0000-000000000000}"/>
  <bookViews>
    <workbookView xWindow="-108" yWindow="-108" windowWidth="23256" windowHeight="12456" xr2:uid="{325B0686-2D22-490A-92F5-0D3E9AAE1101}"/>
  </bookViews>
  <sheets>
    <sheet name="formato present oferta" sheetId="1" r:id="rId1"/>
  </sheets>
  <definedNames>
    <definedName name="_xlnm.Print_Area" localSheetId="0">'formato present oferta'!$A$1:$G$34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G8" i="1"/>
  <c r="G25" i="1"/>
  <c r="G24" i="1"/>
  <c r="G23" i="1"/>
  <c r="G22" i="1"/>
  <c r="G16" i="1"/>
  <c r="G6" i="1" l="1"/>
  <c r="G27" i="1"/>
  <c r="G17" i="1"/>
  <c r="G18" i="1"/>
  <c r="G19" i="1"/>
  <c r="G20" i="1"/>
  <c r="G21" i="1"/>
  <c r="G13" i="1"/>
  <c r="G14" i="1"/>
  <c r="G12" i="1"/>
  <c r="G10" i="1"/>
  <c r="G9" i="1" s="1"/>
  <c r="G15" i="1" l="1"/>
  <c r="G11" i="1"/>
  <c r="G26" i="1"/>
  <c r="G28" i="1" l="1"/>
  <c r="G29" i="1" s="1"/>
  <c r="G31" i="1" l="1"/>
  <c r="G32" i="1" s="1"/>
  <c r="G30" i="1"/>
  <c r="G33" i="1" l="1"/>
  <c r="G34" i="1" s="1"/>
</calcChain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<sst xmlns="http://schemas.openxmlformats.org/spreadsheetml/2006/main" count="83" uniqueCount="70">
  <si>
    <t>CAPT</t>
  </si>
  <si>
    <t>ITEMS</t>
  </si>
  <si>
    <t>GL</t>
  </si>
  <si>
    <t>M2</t>
  </si>
  <si>
    <t>ML</t>
  </si>
  <si>
    <t>IVA/U</t>
  </si>
  <si>
    <t>DESCRIPCION</t>
  </si>
  <si>
    <t>1.0</t>
  </si>
  <si>
    <t>PRELIMINARES</t>
  </si>
  <si>
    <t>TOTALES DIRECTOS</t>
  </si>
  <si>
    <t>Administracion</t>
  </si>
  <si>
    <t>Imprevistos</t>
  </si>
  <si>
    <t>Utilidad</t>
  </si>
  <si>
    <t>TOTAL INDIRECTOS</t>
  </si>
  <si>
    <t>TOTAL PROPUESTA</t>
  </si>
  <si>
    <t>DIRECCION:</t>
  </si>
  <si>
    <t>CALLE 3 NORTE # 18-49 LOCAL 2</t>
  </si>
  <si>
    <t>CODIGO: FH-F-02</t>
  </si>
  <si>
    <t xml:space="preserve"> VERSIÓN: 01</t>
  </si>
  <si>
    <t>CORREO:</t>
  </si>
  <si>
    <t xml:space="preserve">Admin@fresh-house.co                                                    Rensomontoya@fresh-house.co                                                                                                                 </t>
  </si>
  <si>
    <t>TELEFONO:</t>
  </si>
  <si>
    <t>+57 310 461 7353</t>
  </si>
  <si>
    <t>UNIDAD</t>
  </si>
  <si>
    <t>CANTIDAD</t>
  </si>
  <si>
    <t>VR UNITARIO</t>
  </si>
  <si>
    <t>VALOR DIRECTO ACTIVIDAD</t>
  </si>
  <si>
    <t>construccion de campamento provisional de obra y bodega para materiales</t>
  </si>
  <si>
    <t>Señalizacion general, conos, inicio y fin de obra, caida de objetos, sendero peatonal, cintas de precaucion, ETC., incluye proteccion de balcones o areas y/o elementos que se puedan afectar por las obras</t>
  </si>
  <si>
    <t>PREPARACION DE LA SUPERFICIE</t>
  </si>
  <si>
    <t>Lavado de todas las superficies a intervenir, fachadas frontales, laterales y posteriores, alfajias y demas. Con una solucion de agua, bactericidas (10% del volumen de agua) e hipoclorito (10% del volumen de agua), haciendo uso de equipos a presion</t>
  </si>
  <si>
    <t>REPARACION Y PREPARACION DE LA SUPERFICIE</t>
  </si>
  <si>
    <t>retiro de revoque quemado y en mal estado y reparacion del mismo con estuka pañete de sika, se estima el 1%</t>
  </si>
  <si>
    <t>Retiro de graniplast suelto, apertura de grietas, y demas elementos que requieran ser retirados para la garantizar un buen acabado en la superficie y evitar humedades futuras. Se estima 2% desprendimientos</t>
  </si>
  <si>
    <t>suministro y aplicación de graniplast de pintuco, manteniendo el texturizado del edificio, Incluyendo base de acronal de altos solidos y tratamiento de dilataciones estructurales con sikaflex 1A. Se estima 2% del total, para todas las areas de las fachadas y zonas sociales.</t>
  </si>
  <si>
    <t>ACABADO Y PINTURA</t>
  </si>
  <si>
    <t>suministro y aplicación de pintura koraza Pro 550 sobre todas las caras de las fachadas en graniplast o liso incluyendo balcones, a dos manos, o hasta garantizar un perfecto recubrimiento. incluye filos y demas. acabado de 2 a 3 colores segun propuestas.</t>
  </si>
  <si>
    <t>suministro y aplicación de pintura Viniltex de pintuco, en areas comunes internas de los edificios (pasillos y demas), incluidos los cielo rasos, haciendo resanes de estuco o reparacion de cielo raso donde se requiera.</t>
  </si>
  <si>
    <t>suministro y aplicación de pintura Viniltex de pintuco, sobre graniplast en areas internas de los edificios (escaleras y columnas), incluyendo reparacion donde se requiera</t>
  </si>
  <si>
    <t>Sello de juntas entre ventanas y muros con sikaflex 1A, incluyendo el retiro de sellos existentes y en mal estado. Aplica tambien para puerta ventana.</t>
  </si>
  <si>
    <t>Rectificada de sello de ventanas y puerta ventana con sikasil E, retirando sellos viejos y deteriorados, para evitar filtraciones a la parte interna de los apartamentos, incluye limpieza total de vidrios</t>
  </si>
  <si>
    <t>suministro y aplicación de pintura de aceite pintulux 3 en 1 (pintuco) para las puertas de ingreso a los apartamentos, incluyendo lijado de toda la superficie.</t>
  </si>
  <si>
    <t>pintura de alfajias en escaleras de los tres bloques, con pintura Gris Basalto en Viniltex de pintuco</t>
  </si>
  <si>
    <t>suministro y aplicación de pintura de aceite pintulux 3 en 1 (pintuco) sobre toda la estructura metalica de parqueaderos, alrededor de los 3 bloques, incluyendo tratamiento de partes oxidadas o corroidas y lijado de toda la superficie por cada cara.</t>
  </si>
  <si>
    <t>UND</t>
  </si>
  <si>
    <t>TERMINADO Y LIMPIEZA</t>
  </si>
  <si>
    <t>Aseo general, retiro de sobrantes, escombros y demas, hacia un sitio fuera de la obra y dispuesto legalmente por el municipio . Incluye limpieza de esporas o chorreaderos de pintura, graniplast y materiales usados en obra.</t>
  </si>
  <si>
    <t>COTIZACION TORRES Y PARQUEADEROS - CONJUNTO PARQUE RESIDENCIAL LOS CEDROS</t>
  </si>
  <si>
    <t>DESCRIPCIÓN TECNICA</t>
  </si>
  <si>
    <t>Lavado con hidrolavadora industrial y una disolucion de hipoclorito al 10%, esto incluye la totalidad del perimetro externo de las torres</t>
  </si>
  <si>
    <t>señalización de seguridad en sitio: cintas de precaución, avisos de alerta, etc.</t>
  </si>
  <si>
    <t>Se removeran revoques quemados o en mal estado, se realizara analisis con el fin de conservar la armonia del color y buena estetica del paño</t>
  </si>
  <si>
    <t>Se removera graniplast en mal estado, se realizara analisis con el fin de conservar la armonia del color y buena estetica del paño</t>
  </si>
  <si>
    <t>Suministro y aplicación de koraza pro 550 a 2 manos respetando ficha tecnica del fabricante, en el perimetro externo de las torres. En colores a eleccion del contratante</t>
  </si>
  <si>
    <t>Remoción de texturas desprendidas y suministro y aplicación de Viniltex Pintuco o similar en ficha tecnica en el area perimetral interna, incluyendo cielos.</t>
  </si>
  <si>
    <t>Remoción de texturas desprendidas y suministro y aplicación de Viniltex Pintuco o similar en ficha tecnica en el area perimetral interna, en zona de escaleras y columnas de las torres.</t>
  </si>
  <si>
    <t>Pintura de alfajias perimetrales externas en superboard con koraza 550 pro , incluye reparacion de dilataciones, o reparacion de superboard donde se requiera. Para todos los perimetros y demas de los 3 bloques</t>
  </si>
  <si>
    <t>Suministro y aplicación de Pintulux 3 en 1 en puertas de ingreso a apartamentos, previa preparación de superficie y eliminación de oxido con Corrotec Pintoxido de Pintuco.</t>
  </si>
  <si>
    <t>Suministro y aplicación de koraza pro 550 a 2 manos respetando ficha tecnica del fabricante, en alfajias perimetrales. Se realizara donde se requiera suministro y cambio de superboard y tratamiento de dilataciones.</t>
  </si>
  <si>
    <t>Suministro y aplicación de Viniltex de Pintuco o similar en ficha tecnica en alfajias de escaleras de los 3 bloques, en color gris basalto.</t>
  </si>
  <si>
    <t>Recorrido general a cubierta sellando amarres con SIKAFLEX 1A, extrayendo sobrantes y reemplazando tejas fracturadas o fisuradas. Se estima reemplazo de tejas del 20% sobre el area de total de los bloques. Se debera sellar perimetralmente con malla de pollo espaciamientos o aberturas para evitar el ingreso de animales por debajo de la cubierta, ademas deberan dejarse las canales de aguas lluvias impermeabilizadas con sikafill power 12 años.</t>
  </si>
  <si>
    <t>Suministro y aplicación de Pintulux 3 en 1 sobre estructura metalica de parqueaderos, se asegurara la previa preparación de superficie y la eliminación de oxido con Corrotec de Pintuco.</t>
  </si>
  <si>
    <t>Limpieza general con productos no dañinos para los elementos a limpiar, la obra quedara libre de escombros y basura resultante de las actividades propias del contrato, se dispondran en un sitio dispuesto legalmente para la disposición de estos elementos.</t>
  </si>
  <si>
    <t>Construcción de campamento para almacenamiento de materiales y como punto general de trabajo</t>
  </si>
  <si>
    <t>Se realizara recorrido general en cubiertas, sello de amarras o anclajes con sellante Sikaflex 1A o similar en ficha tecnica, se reemplazaran tejas en mal estado en los 3 bloques, se sellara el perimetro con malla de pollo y se impermeabilizaran canales de aguas lluvias con Sikafill Power 12 años o similar en ficha tecnica.</t>
  </si>
  <si>
    <t>Se realizara el retiro y reposición de sellos de ventaneria en el perimetro externo de las mismas, incluyendo puertas de balcones, Sello de polimero hibrido tipo Sikaflex 1A o similar en ficha tecnica.</t>
  </si>
  <si>
    <t>Se realizara el retiro y reposición de sellos de ventaneria en el perimetro interno de las mismas, incluyendo puertas de balcones, Sello de polimero hibrido tipo Sikaflex 1A o similar en ficha tecnica.</t>
  </si>
  <si>
    <t>Se suministrara y aplicara graniplast tipo premium de pintuco aplicando imprimación con Acronal con alto volumen de solidos, suministro y aplicación de sello tipo Sikaflex 1A o similar en ficha tecnica.</t>
  </si>
  <si>
    <t xml:space="preserve">  FECHA: 1/11/2024</t>
  </si>
  <si>
    <t xml:space="preserve">  VALIDO HASTA: 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</si>
</sst>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sz val="14"/>
      <color theme="1"/>
      <name val="Century Gothic"/>
      <family val="2"/>
    </font>
    <font>
      <sz val="11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165" fontId="3" fillId="2" borderId="14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43" fontId="5" fillId="0" borderId="6" xfId="1" applyFont="1" applyFill="1" applyBorder="1" applyAlignment="1">
      <alignment vertical="center"/>
    </xf>
    <xf numFmtId="164" fontId="5" fillId="0" borderId="6" xfId="0" applyNumberFormat="1" applyFont="1" applyBorder="1" applyAlignment="1">
      <alignment horizontal="left" vertical="center" wrapText="1"/>
    </xf>
    <xf numFmtId="164" fontId="5" fillId="0" borderId="3" xfId="0" applyNumberFormat="1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2" borderId="0" xfId="0" applyFont="1" applyFill="1" applyAlignment="1">
      <alignment vertical="center"/>
    </xf>
    <xf numFmtId="43" fontId="3" fillId="2" borderId="15" xfId="0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43" fontId="5" fillId="0" borderId="1" xfId="1" applyFont="1" applyFill="1" applyBorder="1" applyAlignment="1">
      <alignment vertical="center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43" fontId="5" fillId="0" borderId="3" xfId="1" applyFont="1" applyFill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0" fontId="7" fillId="0" borderId="6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2" borderId="4" xfId="0" applyNumberFormat="1" applyFont="1" applyFill="1" applyBorder="1" applyAlignment="1">
      <alignment vertical="center"/>
    </xf>
    <xf numFmtId="9" fontId="5" fillId="0" borderId="6" xfId="3" applyFont="1" applyFill="1" applyBorder="1" applyAlignment="1">
      <alignment horizontal="center" vertical="center"/>
    </xf>
    <xf numFmtId="164" fontId="5" fillId="0" borderId="3" xfId="2" applyNumberFormat="1" applyFont="1" applyFill="1" applyBorder="1" applyAlignment="1">
      <alignment vertical="center"/>
    </xf>
    <xf numFmtId="164" fontId="5" fillId="2" borderId="3" xfId="0" applyNumberFormat="1" applyFont="1" applyFill="1" applyBorder="1" applyAlignment="1">
      <alignment vertical="center"/>
    </xf>
    <xf numFmtId="164" fontId="3" fillId="3" borderId="3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vertical="center"/>
    </xf>
    <xf numFmtId="0" fontId="9" fillId="0" borderId="6" xfId="0" applyFont="1" applyBorder="1" applyAlignment="1">
      <alignment vertical="center" wrapText="1"/>
    </xf>
    <xf numFmtId="164" fontId="5" fillId="0" borderId="9" xfId="0" applyNumberFormat="1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43" fontId="3" fillId="2" borderId="7" xfId="1" applyFont="1" applyFill="1" applyBorder="1" applyAlignment="1">
      <alignment horizontal="center" vertical="center"/>
    </xf>
    <xf numFmtId="43" fontId="3" fillId="2" borderId="10" xfId="1" applyFont="1" applyFill="1" applyBorder="1" applyAlignment="1">
      <alignment horizontal="center" vertical="center"/>
    </xf>
    <xf numFmtId="43" fontId="3" fillId="2" borderId="8" xfId="1" applyFont="1" applyFill="1" applyBorder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17/06/relationships/rdRichValueTypes" Target="richData/rdRichValueTypes.xml"/><Relationship Id="rId4" Type="http://schemas.openxmlformats.org/officeDocument/2006/relationships/sharedStrings" Target="sharedStrings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4"/>
  <sheetViews>
    <sheetView tabSelected="1" topLeftCell="A25" zoomScale="52" zoomScaleNormal="52" workbookViewId="0">
      <selection activeCell="H34" sqref="C25:H34"/>
    </sheetView>
  </sheetViews>
  <sheetFormatPr baseColWidth="10" defaultColWidth="12.33203125" defaultRowHeight="13.8" x14ac:dyDescent="0.3"/>
  <cols>
    <col min="1" max="1" width="9.88671875" style="2" customWidth="1"/>
    <col min="2" max="2" width="10.77734375" style="1" customWidth="1"/>
    <col min="3" max="3" width="71.33203125" style="1" customWidth="1"/>
    <col min="4" max="4" width="25.6640625" style="1" customWidth="1"/>
    <col min="5" max="5" width="21" style="1" customWidth="1"/>
    <col min="6" max="6" width="19.88671875" style="1" customWidth="1"/>
    <col min="7" max="7" width="24.21875" style="1" customWidth="1"/>
    <col min="8" max="8" width="58.5546875" style="1" customWidth="1"/>
    <col min="9" max="9" width="56.33203125" style="1" bestFit="1" customWidth="1"/>
    <col min="10" max="16384" width="12.33203125" style="1"/>
  </cols>
  <sheetData>
    <row r="1" spans="1:8" ht="33" customHeight="1" x14ac:dyDescent="0.3">
      <c r="A1" s="46" t="s">
        <v>47</v>
      </c>
      <c r="B1" s="47"/>
      <c r="C1" s="47"/>
      <c r="D1" s="47"/>
      <c r="E1" s="47"/>
      <c r="F1" s="47"/>
      <c r="G1" s="48"/>
    </row>
    <row r="2" spans="1:8" ht="34.799999999999997" customHeight="1" x14ac:dyDescent="0.3">
      <c r="A2" s="49" t="s">
        <v>15</v>
      </c>
      <c r="B2" s="49"/>
      <c r="C2" s="4" t="s">
        <v>16</v>
      </c>
      <c r="D2" s="4" t="s">
        <v>17</v>
      </c>
      <c r="E2" s="4" t="s">
        <v>18</v>
      </c>
      <c r="F2" s="50" t="e" vm="1">
        <v>#VALUE!</v>
      </c>
      <c r="G2" s="51"/>
    </row>
    <row r="3" spans="1:8" ht="45.6" customHeight="1" x14ac:dyDescent="0.3">
      <c r="A3" s="49" t="s">
        <v>19</v>
      </c>
      <c r="B3" s="49"/>
      <c r="C3" s="3" t="s">
        <v>20</v>
      </c>
      <c r="D3" s="49" t="s">
        <v>68</v>
      </c>
      <c r="E3" s="49"/>
      <c r="F3" s="52"/>
      <c r="G3" s="53"/>
      <c r="H3"/>
    </row>
    <row r="4" spans="1:8" ht="32.4" customHeight="1" x14ac:dyDescent="0.3">
      <c r="A4" s="45" t="s">
        <v>21</v>
      </c>
      <c r="B4" s="45"/>
      <c r="C4" s="4" t="s">
        <v>22</v>
      </c>
      <c r="D4" s="45" t="s">
        <v>69</v>
      </c>
      <c r="E4" s="45"/>
      <c r="F4" s="54"/>
      <c r="G4" s="55"/>
      <c r="H4"/>
    </row>
    <row r="5" spans="1:8" ht="30" x14ac:dyDescent="0.3">
      <c r="A5" s="36" t="s">
        <v>0</v>
      </c>
      <c r="B5" s="37" t="s">
        <v>1</v>
      </c>
      <c r="C5" s="37" t="s">
        <v>6</v>
      </c>
      <c r="D5" s="37" t="s">
        <v>23</v>
      </c>
      <c r="E5" s="36" t="s">
        <v>24</v>
      </c>
      <c r="F5" s="37" t="s">
        <v>25</v>
      </c>
      <c r="G5" s="36" t="s">
        <v>26</v>
      </c>
      <c r="H5" s="38" t="s">
        <v>48</v>
      </c>
    </row>
    <row r="6" spans="1:8" ht="23.25" customHeight="1" x14ac:dyDescent="0.3">
      <c r="A6" s="5" t="s">
        <v>7</v>
      </c>
      <c r="B6" s="6"/>
      <c r="C6" s="6" t="s">
        <v>8</v>
      </c>
      <c r="D6" s="6"/>
      <c r="E6" s="6"/>
      <c r="F6" s="6"/>
      <c r="G6" s="7">
        <f>SUM(G7:G8)</f>
        <v>1800000</v>
      </c>
      <c r="H6"/>
    </row>
    <row r="7" spans="1:8" ht="47.4" customHeight="1" x14ac:dyDescent="0.3">
      <c r="A7" s="8"/>
      <c r="B7" s="8">
        <v>1.1000000000000001</v>
      </c>
      <c r="C7" s="12" t="s">
        <v>27</v>
      </c>
      <c r="D7" s="8" t="s">
        <v>2</v>
      </c>
      <c r="E7" s="9">
        <v>1</v>
      </c>
      <c r="F7" s="10">
        <v>1500000</v>
      </c>
      <c r="G7" s="41">
        <f>+E7*F7</f>
        <v>1500000</v>
      </c>
      <c r="H7" s="42" t="s">
        <v>63</v>
      </c>
    </row>
    <row r="8" spans="1:8" ht="64.8" customHeight="1" x14ac:dyDescent="0.3">
      <c r="A8" s="8"/>
      <c r="B8" s="8">
        <v>1.2</v>
      </c>
      <c r="C8" s="12" t="s">
        <v>28</v>
      </c>
      <c r="D8" s="8" t="s">
        <v>2</v>
      </c>
      <c r="E8" s="9">
        <v>1</v>
      </c>
      <c r="F8" s="10">
        <v>300000</v>
      </c>
      <c r="G8" s="11">
        <f t="shared" ref="G8" si="0">+E8*F8</f>
        <v>300000</v>
      </c>
      <c r="H8" s="40" t="s">
        <v>50</v>
      </c>
    </row>
    <row r="9" spans="1:8" ht="15" x14ac:dyDescent="0.3">
      <c r="A9" s="5">
        <v>2</v>
      </c>
      <c r="B9" s="13"/>
      <c r="C9" s="6" t="s">
        <v>29</v>
      </c>
      <c r="D9" s="6"/>
      <c r="E9" s="14"/>
      <c r="F9" s="6"/>
      <c r="G9" s="7">
        <f>SUM(G10:G10)</f>
        <v>15282879.999999998</v>
      </c>
      <c r="H9" s="39"/>
    </row>
    <row r="10" spans="1:8" ht="96.6" x14ac:dyDescent="0.3">
      <c r="A10" s="15"/>
      <c r="B10" s="16">
        <v>2.1</v>
      </c>
      <c r="C10" s="17" t="s">
        <v>30</v>
      </c>
      <c r="D10" s="16" t="s">
        <v>3</v>
      </c>
      <c r="E10" s="18">
        <v>4775.8999999999996</v>
      </c>
      <c r="F10" s="19">
        <v>3200</v>
      </c>
      <c r="G10" s="11">
        <f>+E10*F10</f>
        <v>15282879.999999998</v>
      </c>
      <c r="H10" s="40" t="s">
        <v>49</v>
      </c>
    </row>
    <row r="11" spans="1:8" ht="23.25" customHeight="1" x14ac:dyDescent="0.3">
      <c r="A11" s="5">
        <v>3</v>
      </c>
      <c r="B11" s="13"/>
      <c r="C11" s="6" t="s">
        <v>31</v>
      </c>
      <c r="D11" s="6"/>
      <c r="E11" s="6"/>
      <c r="F11" s="6"/>
      <c r="G11" s="7">
        <f>SUM(G12:G14)</f>
        <v>5919046.5</v>
      </c>
    </row>
    <row r="12" spans="1:8" ht="61.2" customHeight="1" x14ac:dyDescent="0.3">
      <c r="A12" s="20"/>
      <c r="B12" s="21">
        <v>3.1</v>
      </c>
      <c r="C12" s="22" t="s">
        <v>32</v>
      </c>
      <c r="D12" s="21" t="s">
        <v>3</v>
      </c>
      <c r="E12" s="23">
        <v>48.122</v>
      </c>
      <c r="F12" s="19">
        <v>42000</v>
      </c>
      <c r="G12" s="11">
        <f>+E12*F12</f>
        <v>2021124</v>
      </c>
      <c r="H12" s="40" t="s">
        <v>51</v>
      </c>
    </row>
    <row r="13" spans="1:8" ht="69" customHeight="1" x14ac:dyDescent="0.3">
      <c r="A13" s="24"/>
      <c r="B13" s="25">
        <v>3.2</v>
      </c>
      <c r="C13" s="26" t="s">
        <v>33</v>
      </c>
      <c r="D13" s="21" t="s">
        <v>3</v>
      </c>
      <c r="E13" s="23">
        <v>96.245000000000005</v>
      </c>
      <c r="F13" s="11">
        <v>4000</v>
      </c>
      <c r="G13" s="11">
        <f t="shared" ref="G13:G14" si="1">+E13*F13</f>
        <v>384980</v>
      </c>
      <c r="H13" s="40" t="s">
        <v>52</v>
      </c>
    </row>
    <row r="14" spans="1:8" ht="84" customHeight="1" x14ac:dyDescent="0.3">
      <c r="A14" s="24"/>
      <c r="B14" s="25">
        <v>3.3</v>
      </c>
      <c r="C14" s="26" t="s">
        <v>34</v>
      </c>
      <c r="D14" s="21" t="s">
        <v>3</v>
      </c>
      <c r="E14" s="23">
        <v>96.245000000000005</v>
      </c>
      <c r="F14" s="11">
        <v>36500</v>
      </c>
      <c r="G14" s="41">
        <f t="shared" si="1"/>
        <v>3512942.5</v>
      </c>
      <c r="H14" s="40" t="s">
        <v>67</v>
      </c>
    </row>
    <row r="15" spans="1:8" ht="27" customHeight="1" x14ac:dyDescent="0.3">
      <c r="A15" s="5">
        <v>4</v>
      </c>
      <c r="B15" s="13"/>
      <c r="C15" s="6" t="s">
        <v>35</v>
      </c>
      <c r="D15" s="27"/>
      <c r="E15" s="14"/>
      <c r="F15" s="6"/>
      <c r="G15" s="7">
        <f>SUM(G16:G25)</f>
        <v>217383542</v>
      </c>
    </row>
    <row r="16" spans="1:8" ht="100.2" customHeight="1" x14ac:dyDescent="0.3">
      <c r="A16" s="20"/>
      <c r="B16" s="21">
        <v>4.0999999999999996</v>
      </c>
      <c r="C16" s="28" t="s">
        <v>36</v>
      </c>
      <c r="D16" s="21" t="s">
        <v>3</v>
      </c>
      <c r="E16" s="9">
        <v>4812.2299999999996</v>
      </c>
      <c r="F16" s="10">
        <v>17000</v>
      </c>
      <c r="G16" s="11">
        <f>F16*E16</f>
        <v>81807910</v>
      </c>
      <c r="H16" s="40" t="s">
        <v>53</v>
      </c>
    </row>
    <row r="17" spans="1:8" ht="83.4" customHeight="1" x14ac:dyDescent="0.3">
      <c r="A17" s="20"/>
      <c r="B17" s="21">
        <v>4.2</v>
      </c>
      <c r="C17" s="28" t="s">
        <v>37</v>
      </c>
      <c r="D17" s="21" t="s">
        <v>3</v>
      </c>
      <c r="E17" s="9">
        <v>2362.79</v>
      </c>
      <c r="F17" s="10">
        <v>12000</v>
      </c>
      <c r="G17" s="11">
        <f t="shared" ref="G17:G21" si="2">F17*E17</f>
        <v>28353480</v>
      </c>
      <c r="H17" s="40" t="s">
        <v>54</v>
      </c>
    </row>
    <row r="18" spans="1:8" ht="69.599999999999994" customHeight="1" x14ac:dyDescent="0.3">
      <c r="A18" s="20"/>
      <c r="B18" s="21">
        <v>4.3</v>
      </c>
      <c r="C18" s="28" t="s">
        <v>38</v>
      </c>
      <c r="D18" s="21" t="s">
        <v>3</v>
      </c>
      <c r="E18" s="9">
        <v>335.76</v>
      </c>
      <c r="F18" s="10">
        <v>12000</v>
      </c>
      <c r="G18" s="11">
        <f t="shared" si="2"/>
        <v>4029120</v>
      </c>
      <c r="H18" s="40" t="s">
        <v>55</v>
      </c>
    </row>
    <row r="19" spans="1:8" ht="75.599999999999994" customHeight="1" x14ac:dyDescent="0.3">
      <c r="A19" s="20"/>
      <c r="B19" s="21">
        <v>4.4000000000000004</v>
      </c>
      <c r="C19" s="28" t="s">
        <v>39</v>
      </c>
      <c r="D19" s="21" t="s">
        <v>4</v>
      </c>
      <c r="E19" s="9">
        <v>2246.86</v>
      </c>
      <c r="F19" s="10">
        <v>5600</v>
      </c>
      <c r="G19" s="11">
        <f t="shared" si="2"/>
        <v>12582416</v>
      </c>
      <c r="H19" s="40" t="s">
        <v>65</v>
      </c>
    </row>
    <row r="20" spans="1:8" ht="72.599999999999994" customHeight="1" x14ac:dyDescent="0.3">
      <c r="A20" s="20"/>
      <c r="B20" s="21">
        <v>4.5</v>
      </c>
      <c r="C20" s="28" t="s">
        <v>40</v>
      </c>
      <c r="D20" s="21" t="s">
        <v>3</v>
      </c>
      <c r="E20" s="9">
        <v>1459.88</v>
      </c>
      <c r="F20" s="10">
        <v>5200</v>
      </c>
      <c r="G20" s="11">
        <f t="shared" si="2"/>
        <v>7591376.0000000009</v>
      </c>
      <c r="H20" s="40" t="s">
        <v>66</v>
      </c>
    </row>
    <row r="21" spans="1:8" ht="73.2" customHeight="1" x14ac:dyDescent="0.3">
      <c r="A21" s="20"/>
      <c r="B21" s="21">
        <v>4.5999999999999996</v>
      </c>
      <c r="C21" s="28" t="s">
        <v>41</v>
      </c>
      <c r="D21" s="21" t="s">
        <v>44</v>
      </c>
      <c r="E21" s="9">
        <v>92</v>
      </c>
      <c r="F21" s="10">
        <v>75000</v>
      </c>
      <c r="G21" s="11">
        <f t="shared" si="2"/>
        <v>6900000</v>
      </c>
      <c r="H21" s="40" t="s">
        <v>57</v>
      </c>
    </row>
    <row r="22" spans="1:8" ht="88.8" customHeight="1" x14ac:dyDescent="0.3">
      <c r="A22" s="20"/>
      <c r="B22" s="21">
        <v>4.7</v>
      </c>
      <c r="C22" s="28" t="s">
        <v>56</v>
      </c>
      <c r="D22" s="21" t="s">
        <v>4</v>
      </c>
      <c r="E22" s="9">
        <v>298</v>
      </c>
      <c r="F22" s="10">
        <v>8200</v>
      </c>
      <c r="G22" s="11">
        <f t="shared" ref="G22:G25" si="3">F22*E22</f>
        <v>2443600</v>
      </c>
      <c r="H22" s="40" t="s">
        <v>58</v>
      </c>
    </row>
    <row r="23" spans="1:8" ht="63" customHeight="1" x14ac:dyDescent="0.3">
      <c r="A23" s="20"/>
      <c r="B23" s="21">
        <v>4.8</v>
      </c>
      <c r="C23" s="28" t="s">
        <v>42</v>
      </c>
      <c r="D23" s="21" t="s">
        <v>4</v>
      </c>
      <c r="E23" s="9">
        <v>182.76</v>
      </c>
      <c r="F23" s="10">
        <v>7000</v>
      </c>
      <c r="G23" s="41">
        <f t="shared" si="3"/>
        <v>1279320</v>
      </c>
      <c r="H23" s="40" t="s">
        <v>59</v>
      </c>
    </row>
    <row r="24" spans="1:8" ht="131.4" customHeight="1" x14ac:dyDescent="0.3">
      <c r="A24" s="20"/>
      <c r="B24" s="21">
        <v>4.9000000000000004</v>
      </c>
      <c r="C24" s="28" t="s">
        <v>60</v>
      </c>
      <c r="D24" s="21" t="s">
        <v>3</v>
      </c>
      <c r="E24" s="9">
        <v>1480</v>
      </c>
      <c r="F24" s="10">
        <v>23100</v>
      </c>
      <c r="G24" s="41">
        <f t="shared" si="3"/>
        <v>34188000</v>
      </c>
      <c r="H24" s="40" t="s">
        <v>64</v>
      </c>
    </row>
    <row r="25" spans="1:8" ht="75" x14ac:dyDescent="0.3">
      <c r="A25" s="20"/>
      <c r="B25" s="21">
        <v>5</v>
      </c>
      <c r="C25" s="28" t="s">
        <v>43</v>
      </c>
      <c r="D25" s="21" t="s">
        <v>3</v>
      </c>
      <c r="E25" s="9">
        <v>1718</v>
      </c>
      <c r="F25" s="10">
        <v>22240</v>
      </c>
      <c r="G25" s="11">
        <f t="shared" si="3"/>
        <v>38208320</v>
      </c>
      <c r="H25" s="40" t="s">
        <v>61</v>
      </c>
    </row>
    <row r="26" spans="1:8" ht="23.25" customHeight="1" x14ac:dyDescent="0.3">
      <c r="A26" s="5">
        <v>5</v>
      </c>
      <c r="B26" s="13"/>
      <c r="C26" s="6" t="s">
        <v>45</v>
      </c>
      <c r="D26" s="27"/>
      <c r="E26" s="14"/>
      <c r="F26" s="6"/>
      <c r="G26" s="7">
        <f>SUM(G27:G27)</f>
        <v>1200000</v>
      </c>
    </row>
    <row r="27" spans="1:8" ht="102.6" customHeight="1" x14ac:dyDescent="0.3">
      <c r="A27" s="20"/>
      <c r="B27" s="21">
        <v>5.0999999999999996</v>
      </c>
      <c r="C27" s="28" t="s">
        <v>46</v>
      </c>
      <c r="D27" s="21" t="s">
        <v>2</v>
      </c>
      <c r="E27" s="9">
        <v>1</v>
      </c>
      <c r="F27" s="10">
        <v>1200000</v>
      </c>
      <c r="G27" s="11">
        <f>F27*E27</f>
        <v>1200000</v>
      </c>
      <c r="H27" s="40" t="s">
        <v>62</v>
      </c>
    </row>
    <row r="28" spans="1:8" ht="23.25" customHeight="1" x14ac:dyDescent="0.3">
      <c r="A28" s="29"/>
      <c r="B28" s="30"/>
      <c r="C28" s="30"/>
      <c r="D28" s="56" t="s">
        <v>9</v>
      </c>
      <c r="E28" s="57"/>
      <c r="F28" s="58"/>
      <c r="G28" s="31">
        <f>+G26+G15+G11+G9+G6</f>
        <v>241585468.5</v>
      </c>
    </row>
    <row r="29" spans="1:8" ht="23.25" customHeight="1" x14ac:dyDescent="0.3">
      <c r="A29" s="29"/>
      <c r="B29" s="30"/>
      <c r="C29" s="30"/>
      <c r="D29" s="45" t="s">
        <v>10</v>
      </c>
      <c r="E29" s="45"/>
      <c r="F29" s="32">
        <v>0.12</v>
      </c>
      <c r="G29" s="33">
        <f>+$G$28*F29</f>
        <v>28990256.219999999</v>
      </c>
    </row>
    <row r="30" spans="1:8" ht="23.25" customHeight="1" x14ac:dyDescent="0.3">
      <c r="A30" s="29"/>
      <c r="B30" s="30"/>
      <c r="C30" s="30"/>
      <c r="D30" s="45" t="s">
        <v>11</v>
      </c>
      <c r="E30" s="45"/>
      <c r="F30" s="32">
        <v>0.03</v>
      </c>
      <c r="G30" s="33">
        <f>+$G$28*F30</f>
        <v>7247564.0549999997</v>
      </c>
    </row>
    <row r="31" spans="1:8" ht="23.25" customHeight="1" x14ac:dyDescent="0.3">
      <c r="A31" s="29"/>
      <c r="B31" s="30"/>
      <c r="C31" s="30"/>
      <c r="D31" s="45" t="s">
        <v>12</v>
      </c>
      <c r="E31" s="45"/>
      <c r="F31" s="32">
        <v>0.05</v>
      </c>
      <c r="G31" s="33">
        <f>+$G$28*F31</f>
        <v>12079273.425000001</v>
      </c>
    </row>
    <row r="32" spans="1:8" ht="27" customHeight="1" x14ac:dyDescent="0.3">
      <c r="A32" s="29"/>
      <c r="B32" s="30"/>
      <c r="C32" s="30"/>
      <c r="D32" s="45" t="s">
        <v>5</v>
      </c>
      <c r="E32" s="45"/>
      <c r="F32" s="32">
        <v>0.19</v>
      </c>
      <c r="G32" s="33">
        <f>+G31*F32</f>
        <v>2295061.9507500003</v>
      </c>
    </row>
    <row r="33" spans="1:7" ht="21.75" customHeight="1" x14ac:dyDescent="0.3">
      <c r="A33" s="29"/>
      <c r="B33" s="30"/>
      <c r="C33" s="30"/>
      <c r="D33" s="44" t="s">
        <v>13</v>
      </c>
      <c r="E33" s="44"/>
      <c r="F33" s="44"/>
      <c r="G33" s="34">
        <f>+G29+G30+G31+G32</f>
        <v>50612155.650750004</v>
      </c>
    </row>
    <row r="34" spans="1:7" ht="21.75" customHeight="1" x14ac:dyDescent="0.3">
      <c r="A34" s="29"/>
      <c r="B34" s="30"/>
      <c r="C34" s="30"/>
      <c r="D34" s="43" t="s">
        <v>14</v>
      </c>
      <c r="E34" s="43"/>
      <c r="F34" s="43"/>
      <c r="G34" s="35">
        <f>+G28+G33</f>
        <v>292197624.15074998</v>
      </c>
    </row>
    <row r="35" spans="1:7" ht="27" customHeight="1" x14ac:dyDescent="0.3"/>
    <row r="36" spans="1:7" ht="21" customHeight="1" x14ac:dyDescent="0.3"/>
    <row r="37" spans="1:7" ht="21" customHeight="1" x14ac:dyDescent="0.3"/>
    <row r="38" spans="1:7" ht="21.75" customHeight="1" x14ac:dyDescent="0.3"/>
    <row r="39" spans="1:7" ht="21.75" customHeight="1" x14ac:dyDescent="0.3"/>
    <row r="40" spans="1:7" ht="21.75" customHeight="1" x14ac:dyDescent="0.3"/>
    <row r="41" spans="1:7" ht="21.75" customHeight="1" x14ac:dyDescent="0.3"/>
    <row r="42" spans="1:7" ht="21.75" customHeight="1" x14ac:dyDescent="0.3"/>
    <row r="43" spans="1:7" ht="21.75" customHeight="1" x14ac:dyDescent="0.3"/>
    <row r="44" spans="1:7" ht="21.75" customHeight="1" x14ac:dyDescent="0.3"/>
  </sheetData>
  <mergeCells count="14">
    <mergeCell ref="D34:F34"/>
    <mergeCell ref="D33:F33"/>
    <mergeCell ref="D32:E32"/>
    <mergeCell ref="A1:G1"/>
    <mergeCell ref="D31:E31"/>
    <mergeCell ref="D30:E30"/>
    <mergeCell ref="D29:E29"/>
    <mergeCell ref="A2:B2"/>
    <mergeCell ref="A3:B3"/>
    <mergeCell ref="D3:E3"/>
    <mergeCell ref="A4:B4"/>
    <mergeCell ref="D4:E4"/>
    <mergeCell ref="F2:G4"/>
    <mergeCell ref="D28:F28"/>
  </mergeCells>
  <phoneticPr fontId="2" type="noConversion"/>
  <pageMargins left="0.23622047244094491" right="3.937007874015748E-2" top="0.35433070866141736" bottom="0.35433070866141736" header="0.11811023622047245" footer="0.11811023622047245"/>
  <pageSetup scale="30" orientation="landscape" r:id="rId1"/>
  <rowBreaks count="1" manualBreakCount="1">
    <brk id="34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present oferta</vt:lpstr>
      <vt:lpstr>'formato present oferta'!Área_de_impresión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Andrés Felipe Montoya Osorio</cp:lastModifiedBy>
  <cp:revision/>
  <cp:lastPrinted>2025-04-04T21:55:32Z</cp:lastPrinted>
  <dcterms:created xsi:type="dcterms:W3CDTF">2024-02-08T21:06:52Z</dcterms:created>
  <dcterms:modified xsi:type="dcterms:W3CDTF">2025-04-10T21:36:53Z</dcterms:modified>
  <cp:category/>
  <cp:contentStatus/>
</cp:coreProperties>
</file>