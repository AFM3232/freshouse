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93BA7033-5D1A-45C1-BBCB-F41A57BAB280}" xr6:coauthVersionLast="47" xr6:coauthVersionMax="47" xr10:uidLastSave="{00000000-0000-0000-0000-000000000000}"/>
  <bookViews>
    <workbookView xWindow="-108" yWindow="-108" windowWidth="23256" windowHeight="12456" activeTab="7" xr2:uid="{DCDBBDE6-686C-49CF-A060-6E45395EDD38}"/>
  </bookViews>
  <sheets>
    <sheet name="APU I" sheetId="1" r:id="rId1"/>
    <sheet name="APU II" sheetId="3" r:id="rId2"/>
    <sheet name="APU III" sheetId="4" r:id="rId3"/>
    <sheet name="APU IV" sheetId="5" r:id="rId4"/>
    <sheet name="APU V" sheetId="6" r:id="rId5"/>
    <sheet name="RESUMEN APU" sheetId="2" r:id="rId6"/>
    <sheet name="COTIZACIÓN" sheetId="7" r:id="rId7"/>
    <sheet name="COTIZACIÓN valores actualizados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" i="8" l="1"/>
  <c r="G19" i="8"/>
  <c r="G26" i="8"/>
  <c r="G39" i="8" l="1"/>
  <c r="C59" i="2"/>
  <c r="C16" i="2" l="1"/>
  <c r="C77" i="2"/>
  <c r="C76" i="2" s="1"/>
  <c r="C32" i="2"/>
  <c r="E93" i="5"/>
  <c r="C29" i="2"/>
  <c r="G38" i="8" l="1"/>
  <c r="G37" i="8"/>
  <c r="G35" i="8"/>
  <c r="G34" i="8"/>
  <c r="G33" i="8"/>
  <c r="G32" i="8"/>
  <c r="G17" i="8"/>
  <c r="G16" i="8"/>
  <c r="G14" i="8"/>
  <c r="G11" i="8"/>
  <c r="G10" i="8"/>
  <c r="G9" i="8" s="1"/>
  <c r="F37" i="7"/>
  <c r="G37" i="7" s="1"/>
  <c r="F35" i="7"/>
  <c r="F34" i="7"/>
  <c r="F33" i="7"/>
  <c r="F17" i="7"/>
  <c r="F16" i="7"/>
  <c r="G16" i="7" s="1"/>
  <c r="F11" i="7"/>
  <c r="G11" i="7" s="1"/>
  <c r="F10" i="7"/>
  <c r="G10" i="7" s="1"/>
  <c r="G34" i="7"/>
  <c r="G33" i="7"/>
  <c r="G17" i="7"/>
  <c r="G39" i="7"/>
  <c r="G38" i="7"/>
  <c r="G35" i="7"/>
  <c r="E4" i="2"/>
  <c r="E6" i="2"/>
  <c r="D6" i="2"/>
  <c r="E82" i="2"/>
  <c r="D82" i="2"/>
  <c r="C79" i="2"/>
  <c r="E80" i="2"/>
  <c r="E79" i="2" s="1"/>
  <c r="E138" i="3"/>
  <c r="D138" i="3"/>
  <c r="E255" i="6"/>
  <c r="E254" i="6"/>
  <c r="E253" i="6"/>
  <c r="E252" i="6"/>
  <c r="E267" i="6"/>
  <c r="E269" i="6" s="1"/>
  <c r="D246" i="6" s="1"/>
  <c r="E246" i="6" s="1"/>
  <c r="E249" i="6" s="1"/>
  <c r="E262" i="6"/>
  <c r="E264" i="6" s="1"/>
  <c r="E247" i="6"/>
  <c r="E219" i="6"/>
  <c r="E193" i="6"/>
  <c r="E187" i="6"/>
  <c r="E192" i="6"/>
  <c r="E118" i="6"/>
  <c r="E120" i="6" s="1"/>
  <c r="D97" i="6" s="1"/>
  <c r="E97" i="6" s="1"/>
  <c r="E113" i="6"/>
  <c r="E115" i="6" s="1"/>
  <c r="E105" i="6"/>
  <c r="E104" i="6"/>
  <c r="E103" i="6"/>
  <c r="E98" i="6"/>
  <c r="E67" i="6"/>
  <c r="E74" i="6"/>
  <c r="E28" i="6"/>
  <c r="E30" i="6" s="1"/>
  <c r="D9" i="6" s="1"/>
  <c r="E9" i="6" s="1"/>
  <c r="E11" i="6" s="1"/>
  <c r="E23" i="6"/>
  <c r="E25" i="6" s="1"/>
  <c r="E16" i="6"/>
  <c r="E15" i="6"/>
  <c r="E14" i="6"/>
  <c r="E18" i="6" s="1"/>
  <c r="D60" i="2"/>
  <c r="E60" i="2" s="1"/>
  <c r="D61" i="2"/>
  <c r="E61" i="2" s="1"/>
  <c r="E235" i="6"/>
  <c r="E237" i="6" s="1"/>
  <c r="D218" i="6" s="1"/>
  <c r="E218" i="6" s="1"/>
  <c r="E221" i="6" s="1"/>
  <c r="E230" i="6"/>
  <c r="E232" i="6" s="1"/>
  <c r="E227" i="6"/>
  <c r="E205" i="6"/>
  <c r="E207" i="6" s="1"/>
  <c r="D186" i="6" s="1"/>
  <c r="E186" i="6" s="1"/>
  <c r="E200" i="6"/>
  <c r="E202" i="6" s="1"/>
  <c r="E175" i="6"/>
  <c r="E177" i="6" s="1"/>
  <c r="D158" i="6" s="1"/>
  <c r="E158" i="6" s="1"/>
  <c r="E160" i="6" s="1"/>
  <c r="E170" i="6"/>
  <c r="E172" i="6" s="1"/>
  <c r="E163" i="6"/>
  <c r="E165" i="6" s="1"/>
  <c r="E147" i="6"/>
  <c r="E149" i="6" s="1"/>
  <c r="D129" i="6" s="1"/>
  <c r="E129" i="6" s="1"/>
  <c r="E131" i="6" s="1"/>
  <c r="E142" i="6"/>
  <c r="E144" i="6" s="1"/>
  <c r="E135" i="6"/>
  <c r="E134" i="6"/>
  <c r="E86" i="6"/>
  <c r="E88" i="6" s="1"/>
  <c r="D66" i="6" s="1"/>
  <c r="E66" i="6" s="1"/>
  <c r="E81" i="6"/>
  <c r="E83" i="6" s="1"/>
  <c r="E73" i="6"/>
  <c r="E72" i="6"/>
  <c r="E76" i="6" s="1"/>
  <c r="E55" i="6"/>
  <c r="E57" i="6" s="1"/>
  <c r="D39" i="6" s="1"/>
  <c r="E39" i="6" s="1"/>
  <c r="E41" i="6" s="1"/>
  <c r="E50" i="6"/>
  <c r="E52" i="6" s="1"/>
  <c r="E280" i="5"/>
  <c r="E282" i="5" s="1"/>
  <c r="D259" i="5" s="1"/>
  <c r="E259" i="5" s="1"/>
  <c r="E275" i="5"/>
  <c r="E277" i="5" s="1"/>
  <c r="E267" i="5"/>
  <c r="E266" i="5"/>
  <c r="E265" i="5"/>
  <c r="E270" i="5" s="1"/>
  <c r="E260" i="5"/>
  <c r="G252" i="5"/>
  <c r="E248" i="5"/>
  <c r="E250" i="5" s="1"/>
  <c r="D227" i="5" s="1"/>
  <c r="E227" i="5" s="1"/>
  <c r="E229" i="5" s="1"/>
  <c r="E243" i="5"/>
  <c r="E245" i="5" s="1"/>
  <c r="E236" i="5"/>
  <c r="E235" i="5"/>
  <c r="E234" i="5"/>
  <c r="E233" i="5"/>
  <c r="E232" i="5"/>
  <c r="E204" i="5"/>
  <c r="E201" i="5"/>
  <c r="E170" i="5"/>
  <c r="E216" i="5"/>
  <c r="E218" i="5" s="1"/>
  <c r="D195" i="5" s="1"/>
  <c r="E195" i="5" s="1"/>
  <c r="E197" i="5" s="1"/>
  <c r="E211" i="5"/>
  <c r="E213" i="5" s="1"/>
  <c r="E203" i="5"/>
  <c r="E202" i="5"/>
  <c r="E200" i="5"/>
  <c r="E184" i="5"/>
  <c r="E186" i="5" s="1"/>
  <c r="D164" i="5" s="1"/>
  <c r="E164" i="5" s="1"/>
  <c r="E166" i="5" s="1"/>
  <c r="E179" i="5"/>
  <c r="E181" i="5" s="1"/>
  <c r="E172" i="5"/>
  <c r="E171" i="5"/>
  <c r="E169" i="5"/>
  <c r="E140" i="5"/>
  <c r="E139" i="5"/>
  <c r="G108" i="5"/>
  <c r="E109" i="5"/>
  <c r="E108" i="5"/>
  <c r="E111" i="5" s="1"/>
  <c r="H49" i="5"/>
  <c r="G49" i="5"/>
  <c r="E49" i="5"/>
  <c r="E53" i="5" s="1"/>
  <c r="E44" i="5"/>
  <c r="E56" i="5"/>
  <c r="E58" i="5"/>
  <c r="E61" i="5"/>
  <c r="E63" i="5" s="1"/>
  <c r="D43" i="5" s="1"/>
  <c r="E43" i="5" s="1"/>
  <c r="E152" i="5"/>
  <c r="E154" i="5" s="1"/>
  <c r="D132" i="5" s="1"/>
  <c r="E132" i="5" s="1"/>
  <c r="E147" i="5"/>
  <c r="E149" i="5" s="1"/>
  <c r="G138" i="5"/>
  <c r="E138" i="5"/>
  <c r="E133" i="5"/>
  <c r="G121" i="5"/>
  <c r="E121" i="5"/>
  <c r="E123" i="5" s="1"/>
  <c r="D102" i="5" s="1"/>
  <c r="E102" i="5" s="1"/>
  <c r="E116" i="5"/>
  <c r="E118" i="5" s="1"/>
  <c r="E103" i="5"/>
  <c r="E91" i="5"/>
  <c r="D72" i="5" s="1"/>
  <c r="E72" i="5" s="1"/>
  <c r="E86" i="5"/>
  <c r="E88" i="5" s="1"/>
  <c r="E79" i="5"/>
  <c r="E78" i="5"/>
  <c r="E81" i="5" s="1"/>
  <c r="E73" i="5"/>
  <c r="G61" i="5"/>
  <c r="G30" i="5"/>
  <c r="E30" i="5"/>
  <c r="E32" i="5" s="1"/>
  <c r="D9" i="5" s="1"/>
  <c r="E9" i="5" s="1"/>
  <c r="E25" i="5"/>
  <c r="E27" i="5" s="1"/>
  <c r="E17" i="5"/>
  <c r="E16" i="5"/>
  <c r="E15" i="5"/>
  <c r="E10" i="5"/>
  <c r="E25" i="4"/>
  <c r="E27" i="4" s="1"/>
  <c r="E17" i="4"/>
  <c r="E245" i="4"/>
  <c r="E247" i="4" s="1"/>
  <c r="D225" i="4" s="1"/>
  <c r="E225" i="4" s="1"/>
  <c r="E227" i="4" s="1"/>
  <c r="E240" i="4"/>
  <c r="E242" i="4" s="1"/>
  <c r="E233" i="4"/>
  <c r="E232" i="4"/>
  <c r="E231" i="4"/>
  <c r="E230" i="4"/>
  <c r="E214" i="4"/>
  <c r="E216" i="4" s="1"/>
  <c r="D192" i="4" s="1"/>
  <c r="E192" i="4" s="1"/>
  <c r="E209" i="4"/>
  <c r="E211" i="4" s="1"/>
  <c r="E202" i="4"/>
  <c r="E201" i="4"/>
  <c r="E200" i="4"/>
  <c r="E199" i="4"/>
  <c r="E198" i="4"/>
  <c r="E193" i="4"/>
  <c r="G181" i="4"/>
  <c r="E181" i="4"/>
  <c r="E183" i="4" s="1"/>
  <c r="D164" i="4" s="1"/>
  <c r="E164" i="4" s="1"/>
  <c r="E176" i="4"/>
  <c r="E178" i="4" s="1"/>
  <c r="E171" i="4"/>
  <c r="E173" i="4" s="1"/>
  <c r="E165" i="4"/>
  <c r="E150" i="4"/>
  <c r="E152" i="4" s="1"/>
  <c r="D131" i="4" s="1"/>
  <c r="E131" i="4" s="1"/>
  <c r="E145" i="4"/>
  <c r="E147" i="4" s="1"/>
  <c r="E138" i="4"/>
  <c r="G137" i="4"/>
  <c r="E137" i="4"/>
  <c r="E132" i="4"/>
  <c r="G119" i="4"/>
  <c r="E119" i="4"/>
  <c r="E121" i="4" s="1"/>
  <c r="D100" i="4" s="1"/>
  <c r="E100" i="4" s="1"/>
  <c r="E114" i="4"/>
  <c r="E116" i="4" s="1"/>
  <c r="E107" i="4"/>
  <c r="E106" i="4"/>
  <c r="E101" i="4"/>
  <c r="E89" i="4"/>
  <c r="E91" i="4" s="1"/>
  <c r="D70" i="4" s="1"/>
  <c r="E70" i="4" s="1"/>
  <c r="E84" i="4"/>
  <c r="E86" i="4" s="1"/>
  <c r="E77" i="4"/>
  <c r="E76" i="4"/>
  <c r="E79" i="4" s="1"/>
  <c r="E71" i="4"/>
  <c r="G59" i="4"/>
  <c r="E59" i="4"/>
  <c r="E61" i="4" s="1"/>
  <c r="D42" i="4" s="1"/>
  <c r="E42" i="4" s="1"/>
  <c r="E54" i="4"/>
  <c r="E56" i="4" s="1"/>
  <c r="E51" i="4"/>
  <c r="E43" i="4"/>
  <c r="G30" i="4"/>
  <c r="E30" i="4"/>
  <c r="E32" i="4" s="1"/>
  <c r="D9" i="4" s="1"/>
  <c r="E9" i="4" s="1"/>
  <c r="E16" i="4"/>
  <c r="E15" i="4"/>
  <c r="E10" i="4"/>
  <c r="E202" i="3"/>
  <c r="G9" i="7" l="1"/>
  <c r="D4" i="2"/>
  <c r="D80" i="2"/>
  <c r="D79" i="2" s="1"/>
  <c r="E20" i="4"/>
  <c r="E22" i="4" s="1"/>
  <c r="E237" i="4"/>
  <c r="E259" i="6"/>
  <c r="E271" i="6" s="1"/>
  <c r="C74" i="2" s="1"/>
  <c r="D74" i="2" s="1"/>
  <c r="E195" i="6"/>
  <c r="E197" i="6" s="1"/>
  <c r="E189" i="6"/>
  <c r="E137" i="6"/>
  <c r="E139" i="6" s="1"/>
  <c r="E151" i="6" s="1"/>
  <c r="C66" i="2" s="1"/>
  <c r="D66" i="2" s="1"/>
  <c r="E167" i="6"/>
  <c r="E179" i="6" s="1"/>
  <c r="C67" i="2" s="1"/>
  <c r="D67" i="2" s="1"/>
  <c r="E67" i="2" s="1"/>
  <c r="E69" i="6"/>
  <c r="E100" i="6"/>
  <c r="E108" i="6"/>
  <c r="E110" i="6" s="1"/>
  <c r="E122" i="6" s="1"/>
  <c r="C63" i="2" s="1"/>
  <c r="D63" i="2" s="1"/>
  <c r="E63" i="2" s="1"/>
  <c r="E20" i="6"/>
  <c r="E47" i="6"/>
  <c r="E59" i="6" s="1"/>
  <c r="C58" i="2" s="1"/>
  <c r="E239" i="6"/>
  <c r="C73" i="2" s="1"/>
  <c r="C72" i="2" s="1"/>
  <c r="E78" i="6"/>
  <c r="E262" i="5"/>
  <c r="E272" i="5"/>
  <c r="E284" i="5" s="1"/>
  <c r="E238" i="5"/>
  <c r="E240" i="5" s="1"/>
  <c r="E252" i="5" s="1"/>
  <c r="C51" i="2" s="1"/>
  <c r="G184" i="5"/>
  <c r="E206" i="5"/>
  <c r="E208" i="5" s="1"/>
  <c r="E220" i="5" s="1"/>
  <c r="G220" i="5" s="1"/>
  <c r="G253" i="5" s="1"/>
  <c r="E174" i="5"/>
  <c r="E176" i="5" s="1"/>
  <c r="G176" i="5" s="1"/>
  <c r="E46" i="5"/>
  <c r="E65" i="5" s="1"/>
  <c r="E135" i="5"/>
  <c r="E75" i="5"/>
  <c r="E12" i="5"/>
  <c r="E105" i="5"/>
  <c r="E113" i="5"/>
  <c r="E83" i="5"/>
  <c r="E142" i="5"/>
  <c r="E144" i="5" s="1"/>
  <c r="E20" i="5"/>
  <c r="E22" i="5" s="1"/>
  <c r="E45" i="4"/>
  <c r="E63" i="4" s="1"/>
  <c r="E134" i="4"/>
  <c r="E167" i="4"/>
  <c r="E185" i="4" s="1"/>
  <c r="E12" i="4"/>
  <c r="E103" i="4"/>
  <c r="E73" i="4"/>
  <c r="E204" i="4"/>
  <c r="E206" i="4" s="1"/>
  <c r="E195" i="4"/>
  <c r="E249" i="4"/>
  <c r="E109" i="4"/>
  <c r="E111" i="4" s="1"/>
  <c r="E140" i="4"/>
  <c r="E142" i="4" s="1"/>
  <c r="E154" i="4" s="1"/>
  <c r="E81" i="4"/>
  <c r="C54" i="2" l="1"/>
  <c r="C53" i="2" s="1"/>
  <c r="E93" i="4"/>
  <c r="E218" i="4"/>
  <c r="E74" i="2"/>
  <c r="D73" i="2"/>
  <c r="D72" i="2" s="1"/>
  <c r="E73" i="2"/>
  <c r="E72" i="2" s="1"/>
  <c r="E209" i="6"/>
  <c r="C70" i="2" s="1"/>
  <c r="E70" i="2" s="1"/>
  <c r="E69" i="2" s="1"/>
  <c r="E90" i="6"/>
  <c r="C62" i="2" s="1"/>
  <c r="D62" i="2" s="1"/>
  <c r="E62" i="2" s="1"/>
  <c r="C65" i="2"/>
  <c r="E66" i="2"/>
  <c r="E65" i="2" s="1"/>
  <c r="D65" i="2"/>
  <c r="D58" i="2"/>
  <c r="E32" i="6"/>
  <c r="E51" i="2"/>
  <c r="E50" i="2" s="1"/>
  <c r="C50" i="2"/>
  <c r="D51" i="2"/>
  <c r="D50" i="2" s="1"/>
  <c r="E188" i="5"/>
  <c r="G188" i="5" s="1"/>
  <c r="C48" i="2"/>
  <c r="D48" i="2" s="1"/>
  <c r="D47" i="2" s="1"/>
  <c r="E156" i="5"/>
  <c r="C42" i="2" s="1"/>
  <c r="E125" i="5"/>
  <c r="C39" i="2" s="1"/>
  <c r="E34" i="5"/>
  <c r="E95" i="5"/>
  <c r="E34" i="4"/>
  <c r="E123" i="4"/>
  <c r="G118" i="3"/>
  <c r="G58" i="3"/>
  <c r="G29" i="3"/>
  <c r="G181" i="3"/>
  <c r="D54" i="2" l="1"/>
  <c r="D53" i="2" s="1"/>
  <c r="E54" i="2"/>
  <c r="E53" i="2" s="1"/>
  <c r="F30" i="7"/>
  <c r="G30" i="7" s="1"/>
  <c r="G30" i="8"/>
  <c r="F29" i="7"/>
  <c r="G29" i="7" s="1"/>
  <c r="G29" i="8"/>
  <c r="G28" i="8"/>
  <c r="F28" i="7"/>
  <c r="G28" i="7" s="1"/>
  <c r="D70" i="2"/>
  <c r="D69" i="2" s="1"/>
  <c r="C69" i="2"/>
  <c r="C57" i="2"/>
  <c r="E58" i="2"/>
  <c r="D59" i="2"/>
  <c r="D57" i="2" s="1"/>
  <c r="F32" i="7" s="1"/>
  <c r="G32" i="7" s="1"/>
  <c r="C37" i="2"/>
  <c r="C33" i="2"/>
  <c r="C45" i="2"/>
  <c r="D45" i="2" s="1"/>
  <c r="D44" i="2" s="1"/>
  <c r="C47" i="2"/>
  <c r="E48" i="2"/>
  <c r="E47" i="2" s="1"/>
  <c r="E42" i="2"/>
  <c r="E41" i="2" s="1"/>
  <c r="D42" i="2"/>
  <c r="D41" i="2" s="1"/>
  <c r="C41" i="2"/>
  <c r="D32" i="2"/>
  <c r="C36" i="2"/>
  <c r="D39" i="2"/>
  <c r="E39" i="2"/>
  <c r="E29" i="2"/>
  <c r="D29" i="2"/>
  <c r="C28" i="2"/>
  <c r="G27" i="8" l="1"/>
  <c r="F27" i="7"/>
  <c r="G27" i="7" s="1"/>
  <c r="G26" i="7" s="1"/>
  <c r="G25" i="8"/>
  <c r="G24" i="8" s="1"/>
  <c r="F25" i="7"/>
  <c r="G25" i="7" s="1"/>
  <c r="G24" i="7" s="1"/>
  <c r="G23" i="8"/>
  <c r="F23" i="7"/>
  <c r="G23" i="7" s="1"/>
  <c r="E59" i="2"/>
  <c r="E57" i="2" s="1"/>
  <c r="D33" i="2"/>
  <c r="D31" i="2" s="1"/>
  <c r="E33" i="2"/>
  <c r="E37" i="2"/>
  <c r="D37" i="2"/>
  <c r="E45" i="2"/>
  <c r="E44" i="2" s="1"/>
  <c r="C44" i="2"/>
  <c r="C31" i="2"/>
  <c r="E32" i="2"/>
  <c r="E36" i="2"/>
  <c r="D36" i="2"/>
  <c r="C35" i="2"/>
  <c r="D28" i="2"/>
  <c r="E28" i="2"/>
  <c r="F20" i="7" l="1"/>
  <c r="G20" i="7" s="1"/>
  <c r="G20" i="8"/>
  <c r="F21" i="7"/>
  <c r="G21" i="7" s="1"/>
  <c r="G21" i="8"/>
  <c r="D35" i="2"/>
  <c r="E35" i="2"/>
  <c r="E31" i="2"/>
  <c r="F22" i="7" l="1"/>
  <c r="G22" i="7" s="1"/>
  <c r="G19" i="7" s="1"/>
  <c r="G18" i="7" s="1"/>
  <c r="G22" i="8"/>
  <c r="G18" i="8" s="1"/>
  <c r="E245" i="3"/>
  <c r="E247" i="3" s="1"/>
  <c r="D225" i="3" s="1"/>
  <c r="E225" i="3" s="1"/>
  <c r="E240" i="3"/>
  <c r="E242" i="3" s="1"/>
  <c r="E233" i="3"/>
  <c r="E232" i="3"/>
  <c r="E231" i="3"/>
  <c r="E230" i="3"/>
  <c r="E24" i="2"/>
  <c r="E193" i="3"/>
  <c r="E214" i="3"/>
  <c r="E216" i="3" s="1"/>
  <c r="D192" i="3" s="1"/>
  <c r="E192" i="3" s="1"/>
  <c r="E209" i="3"/>
  <c r="E211" i="3" s="1"/>
  <c r="E201" i="3"/>
  <c r="E200" i="3"/>
  <c r="E199" i="3"/>
  <c r="E198" i="3"/>
  <c r="E204" i="3" s="1"/>
  <c r="E195" i="3" l="1"/>
  <c r="E227" i="3"/>
  <c r="E237" i="3"/>
  <c r="E249" i="3" s="1"/>
  <c r="C25" i="2" s="1"/>
  <c r="E25" i="2" s="1"/>
  <c r="E23" i="2" s="1"/>
  <c r="D24" i="2"/>
  <c r="E206" i="3"/>
  <c r="E218" i="3" s="1"/>
  <c r="C21" i="2" s="1"/>
  <c r="D25" i="2" l="1"/>
  <c r="D23" i="2" s="1"/>
  <c r="C23" i="2"/>
  <c r="D21" i="2"/>
  <c r="E21" i="2"/>
  <c r="E165" i="3" l="1"/>
  <c r="E137" i="3"/>
  <c r="G136" i="3"/>
  <c r="E131" i="3"/>
  <c r="E100" i="3"/>
  <c r="E70" i="3"/>
  <c r="E42" i="3"/>
  <c r="E10" i="3" l="1"/>
  <c r="E11" i="3"/>
  <c r="E17" i="3"/>
  <c r="E16" i="3"/>
  <c r="E181" i="3"/>
  <c r="E183" i="3" s="1"/>
  <c r="D164" i="3" s="1"/>
  <c r="E164" i="3" s="1"/>
  <c r="E167" i="3" s="1"/>
  <c r="E176" i="3"/>
  <c r="E178" i="3" s="1"/>
  <c r="E171" i="3"/>
  <c r="E150" i="3"/>
  <c r="E152" i="3" s="1"/>
  <c r="D130" i="3" s="1"/>
  <c r="E130" i="3" s="1"/>
  <c r="E133" i="3" s="1"/>
  <c r="E145" i="3"/>
  <c r="E147" i="3" s="1"/>
  <c r="E136" i="3"/>
  <c r="E140" i="3" s="1"/>
  <c r="E118" i="3"/>
  <c r="E120" i="3" s="1"/>
  <c r="D99" i="3" s="1"/>
  <c r="E99" i="3" s="1"/>
  <c r="E102" i="3" s="1"/>
  <c r="E113" i="3"/>
  <c r="E115" i="3" s="1"/>
  <c r="E106" i="3"/>
  <c r="E105" i="3"/>
  <c r="E88" i="3"/>
  <c r="E90" i="3" s="1"/>
  <c r="D69" i="3" s="1"/>
  <c r="E69" i="3" s="1"/>
  <c r="E72" i="3" s="1"/>
  <c r="E83" i="3"/>
  <c r="E76" i="3"/>
  <c r="E75" i="3"/>
  <c r="E58" i="3"/>
  <c r="E60" i="3" s="1"/>
  <c r="D41" i="3" s="1"/>
  <c r="E41" i="3" s="1"/>
  <c r="E44" i="3" s="1"/>
  <c r="E53" i="3"/>
  <c r="E55" i="3" s="1"/>
  <c r="E29" i="3"/>
  <c r="E31" i="3" s="1"/>
  <c r="D9" i="3" s="1"/>
  <c r="E9" i="3" s="1"/>
  <c r="E26" i="3"/>
  <c r="E287" i="1"/>
  <c r="E286" i="1"/>
  <c r="E285" i="1"/>
  <c r="E299" i="1"/>
  <c r="E301" i="1" s="1"/>
  <c r="D280" i="1" s="1"/>
  <c r="E280" i="1" s="1"/>
  <c r="E282" i="1" s="1"/>
  <c r="E294" i="1"/>
  <c r="E296" i="1" s="1"/>
  <c r="E289" i="1"/>
  <c r="E291" i="1" s="1"/>
  <c r="E441" i="1"/>
  <c r="E443" i="1" s="1"/>
  <c r="D424" i="1" s="1"/>
  <c r="E424" i="1" s="1"/>
  <c r="E426" i="1" s="1"/>
  <c r="E436" i="1"/>
  <c r="E438" i="1" s="1"/>
  <c r="E429" i="1"/>
  <c r="E85" i="3" l="1"/>
  <c r="E13" i="3"/>
  <c r="E21" i="3"/>
  <c r="E50" i="3"/>
  <c r="E62" i="3"/>
  <c r="C12" i="2" s="1"/>
  <c r="D12" i="2" s="1"/>
  <c r="E12" i="2" s="1"/>
  <c r="E173" i="3"/>
  <c r="E185" i="3" s="1"/>
  <c r="C20" i="2" s="1"/>
  <c r="E142" i="3"/>
  <c r="E154" i="3" s="1"/>
  <c r="E108" i="3"/>
  <c r="E110" i="3" s="1"/>
  <c r="E122" i="3" s="1"/>
  <c r="C14" i="2" s="1"/>
  <c r="D14" i="2" s="1"/>
  <c r="E14" i="2" s="1"/>
  <c r="E78" i="3"/>
  <c r="E80" i="3" s="1"/>
  <c r="E303" i="1"/>
  <c r="E431" i="1"/>
  <c r="E433" i="1" s="1"/>
  <c r="E445" i="1" s="1"/>
  <c r="D20" i="2" l="1"/>
  <c r="D19" i="2" s="1"/>
  <c r="E20" i="2"/>
  <c r="E19" i="2" s="1"/>
  <c r="C19" i="2"/>
  <c r="E92" i="3"/>
  <c r="C13" i="2" s="1"/>
  <c r="D13" i="2" s="1"/>
  <c r="E33" i="3"/>
  <c r="C9" i="2" s="1"/>
  <c r="E373" i="1"/>
  <c r="E374" i="1"/>
  <c r="D9" i="2" l="1"/>
  <c r="E9" i="2"/>
  <c r="D11" i="2"/>
  <c r="F14" i="7" s="1"/>
  <c r="G14" i="7" s="1"/>
  <c r="E13" i="2"/>
  <c r="E11" i="2" s="1"/>
  <c r="E340" i="1"/>
  <c r="E252" i="1"/>
  <c r="E253" i="1"/>
  <c r="E385" i="1"/>
  <c r="E387" i="1" s="1"/>
  <c r="D367" i="1" s="1"/>
  <c r="E367" i="1" s="1"/>
  <c r="E380" i="1"/>
  <c r="E382" i="1" s="1"/>
  <c r="E372" i="1"/>
  <c r="E472" i="1"/>
  <c r="E474" i="1" s="1"/>
  <c r="D452" i="1" s="1"/>
  <c r="E452" i="1" s="1"/>
  <c r="E454" i="1" s="1"/>
  <c r="E467" i="1"/>
  <c r="E469" i="1" s="1"/>
  <c r="E460" i="1"/>
  <c r="E459" i="1"/>
  <c r="E458" i="1"/>
  <c r="E457" i="1"/>
  <c r="E413" i="1"/>
  <c r="E415" i="1" s="1"/>
  <c r="D395" i="1" s="1"/>
  <c r="E395" i="1" s="1"/>
  <c r="E397" i="1" s="1"/>
  <c r="E408" i="1"/>
  <c r="E410" i="1" s="1"/>
  <c r="E401" i="1"/>
  <c r="E400" i="1"/>
  <c r="E403" i="1" s="1"/>
  <c r="E405" i="1" s="1"/>
  <c r="E356" i="1"/>
  <c r="E358" i="1" s="1"/>
  <c r="D339" i="1" s="1"/>
  <c r="E339" i="1" s="1"/>
  <c r="E351" i="1"/>
  <c r="E353" i="1" s="1"/>
  <c r="E328" i="1"/>
  <c r="E330" i="1" s="1"/>
  <c r="D312" i="1" s="1"/>
  <c r="E312" i="1" s="1"/>
  <c r="E314" i="1" s="1"/>
  <c r="E325" i="1"/>
  <c r="E318" i="1"/>
  <c r="E320" i="1" s="1"/>
  <c r="E269" i="1"/>
  <c r="E271" i="1" s="1"/>
  <c r="D251" i="1" s="1"/>
  <c r="E251" i="1" s="1"/>
  <c r="E264" i="1"/>
  <c r="E266" i="1" s="1"/>
  <c r="E259" i="1"/>
  <c r="E134" i="1"/>
  <c r="E133" i="1"/>
  <c r="E237" i="1"/>
  <c r="E239" i="1" s="1"/>
  <c r="D220" i="1" s="1"/>
  <c r="E220" i="1" s="1"/>
  <c r="E222" i="1" s="1"/>
  <c r="E232" i="1"/>
  <c r="E234" i="1" s="1"/>
  <c r="E225" i="1"/>
  <c r="E229" i="1" s="1"/>
  <c r="E209" i="1"/>
  <c r="E211" i="1" s="1"/>
  <c r="D189" i="1" s="1"/>
  <c r="E189" i="1" s="1"/>
  <c r="E191" i="1" s="1"/>
  <c r="E204" i="1"/>
  <c r="E206" i="1" s="1"/>
  <c r="E197" i="1"/>
  <c r="E196" i="1"/>
  <c r="E195" i="1"/>
  <c r="E194" i="1"/>
  <c r="E178" i="1"/>
  <c r="E180" i="1" s="1"/>
  <c r="D160" i="1" s="1"/>
  <c r="E160" i="1" s="1"/>
  <c r="E162" i="1" s="1"/>
  <c r="E173" i="1"/>
  <c r="E175" i="1" s="1"/>
  <c r="E166" i="1"/>
  <c r="E168" i="1" s="1"/>
  <c r="D165" i="1"/>
  <c r="E165" i="1" s="1"/>
  <c r="E146" i="1"/>
  <c r="E148" i="1" s="1"/>
  <c r="D126" i="1" s="1"/>
  <c r="E126" i="1" s="1"/>
  <c r="E128" i="1" s="1"/>
  <c r="E141" i="1"/>
  <c r="E143" i="1" s="1"/>
  <c r="E132" i="1"/>
  <c r="E131" i="1"/>
  <c r="E114" i="1"/>
  <c r="E116" i="1" s="1"/>
  <c r="D96" i="1" s="1"/>
  <c r="E96" i="1" s="1"/>
  <c r="E98" i="1" s="1"/>
  <c r="E109" i="1"/>
  <c r="E111" i="1" s="1"/>
  <c r="E102" i="1"/>
  <c r="E101" i="1"/>
  <c r="E85" i="1"/>
  <c r="E87" i="1" s="1"/>
  <c r="D67" i="1" s="1"/>
  <c r="E67" i="1" s="1"/>
  <c r="E69" i="1" s="1"/>
  <c r="E80" i="1"/>
  <c r="E82" i="1" s="1"/>
  <c r="E73" i="1"/>
  <c r="E72" i="1"/>
  <c r="E75" i="1" s="1"/>
  <c r="E56" i="1"/>
  <c r="E58" i="1" s="1"/>
  <c r="D36" i="1" s="1"/>
  <c r="E36" i="1" s="1"/>
  <c r="E38" i="1" s="1"/>
  <c r="E51" i="1"/>
  <c r="E53" i="1" s="1"/>
  <c r="E44" i="1"/>
  <c r="E43" i="1"/>
  <c r="E42" i="1"/>
  <c r="E41" i="1"/>
  <c r="E25" i="1"/>
  <c r="E27" i="1" s="1"/>
  <c r="D9" i="1" s="1"/>
  <c r="E9" i="1" s="1"/>
  <c r="E11" i="1" s="1"/>
  <c r="E22" i="1"/>
  <c r="E15" i="1"/>
  <c r="E17" i="1" s="1"/>
  <c r="G13" i="8" l="1"/>
  <c r="F13" i="7"/>
  <c r="G13" i="7" s="1"/>
  <c r="E48" i="1"/>
  <c r="E369" i="1"/>
  <c r="E77" i="1"/>
  <c r="E89" i="1" s="1"/>
  <c r="E261" i="1"/>
  <c r="E342" i="1"/>
  <c r="E255" i="1"/>
  <c r="E377" i="1"/>
  <c r="E389" i="1" s="1"/>
  <c r="E348" i="1"/>
  <c r="E417" i="1"/>
  <c r="E332" i="1"/>
  <c r="E462" i="1"/>
  <c r="E464" i="1" s="1"/>
  <c r="E476" i="1" s="1"/>
  <c r="E170" i="1"/>
  <c r="E182" i="1" s="1"/>
  <c r="E201" i="1"/>
  <c r="E213" i="1" s="1"/>
  <c r="E29" i="1"/>
  <c r="E241" i="1"/>
  <c r="E60" i="1"/>
  <c r="E136" i="1"/>
  <c r="E138" i="1" s="1"/>
  <c r="E150" i="1" s="1"/>
  <c r="E104" i="1"/>
  <c r="E106" i="1" s="1"/>
  <c r="E118" i="1" s="1"/>
  <c r="E360" i="1" l="1"/>
  <c r="E273" i="1"/>
  <c r="C11" i="2"/>
  <c r="E16" i="2"/>
  <c r="D16" i="2"/>
  <c r="D17" i="2"/>
  <c r="E17" i="2"/>
  <c r="G15" i="8" l="1"/>
  <c r="G12" i="8" s="1"/>
  <c r="F15" i="7"/>
  <c r="G15" i="7" s="1"/>
  <c r="G12" i="7" s="1"/>
  <c r="E77" i="2"/>
  <c r="E76" i="2" s="1"/>
  <c r="D77" i="2"/>
  <c r="D76" i="2" s="1"/>
  <c r="G36" i="8" l="1"/>
  <c r="G40" i="8" s="1"/>
  <c r="F36" i="7"/>
  <c r="G36" i="7" s="1"/>
  <c r="G31" i="7" s="1"/>
  <c r="G40" i="7" s="1"/>
  <c r="G43" i="8" l="1"/>
  <c r="G44" i="8" s="1"/>
  <c r="G42" i="8"/>
  <c r="G41" i="8"/>
  <c r="G43" i="7"/>
  <c r="G44" i="7" s="1"/>
  <c r="G42" i="7"/>
  <c r="G41" i="7"/>
  <c r="G45" i="7" l="1"/>
  <c r="G45" i="8"/>
</calcChain>
</file>

<file path=xl/sharedStrings.xml><?xml version="1.0" encoding="utf-8"?>
<sst xmlns="http://schemas.openxmlformats.org/spreadsheetml/2006/main" count="2643" uniqueCount="271">
  <si>
    <t xml:space="preserve">ACTIVIDAD: Desmontaje de piso tipo Deck </t>
  </si>
  <si>
    <t>ITEM</t>
  </si>
  <si>
    <t>1.0</t>
  </si>
  <si>
    <t>UNIDAD</t>
  </si>
  <si>
    <t>M2</t>
  </si>
  <si>
    <t>I. EQUIPOS</t>
  </si>
  <si>
    <t>DESCRIPCIÓN</t>
  </si>
  <si>
    <t>RENDIMIENTO</t>
  </si>
  <si>
    <t>TARIFA</t>
  </si>
  <si>
    <t>VALOR - PARCIAL</t>
  </si>
  <si>
    <t>Herramienta menor</t>
  </si>
  <si>
    <t>%MO</t>
  </si>
  <si>
    <t>SUB - TOTAL</t>
  </si>
  <si>
    <t>II. MATERIALES</t>
  </si>
  <si>
    <t>CANTIDAD</t>
  </si>
  <si>
    <t>PRECIO - UNIT</t>
  </si>
  <si>
    <t>Desperdicio 2%</t>
  </si>
  <si>
    <t>III. TRANSPORTE</t>
  </si>
  <si>
    <t>Acarreo LUV</t>
  </si>
  <si>
    <t>Día</t>
  </si>
  <si>
    <t>IV. MANO DE OBRA</t>
  </si>
  <si>
    <t>JORNAL</t>
  </si>
  <si>
    <t xml:space="preserve">Oficial </t>
  </si>
  <si>
    <t>TOTAL UNITARIO</t>
  </si>
  <si>
    <t>ACTIVIDAD: Restructuración e instalación de lámina de fibrocemento</t>
  </si>
  <si>
    <t>Lamina fibrocemento de 10mm</t>
  </si>
  <si>
    <t>Und</t>
  </si>
  <si>
    <t>Paral Estructural</t>
  </si>
  <si>
    <t>Canal Estructural</t>
  </si>
  <si>
    <t>Tornillos</t>
  </si>
  <si>
    <t>CUADRILLA 1: 1 Oficial y 1 ayudante</t>
  </si>
  <si>
    <t>ACTIVIDAD: Impermeabilización de laminas de fibrocemento</t>
  </si>
  <si>
    <t>Emulsión asfáltica x 18kg</t>
  </si>
  <si>
    <t>KG</t>
  </si>
  <si>
    <t>Manto de refuerzo - Sika Felp</t>
  </si>
  <si>
    <t>Desperdicio 3%</t>
  </si>
  <si>
    <t xml:space="preserve">Acarreo </t>
  </si>
  <si>
    <t>Oficial</t>
  </si>
  <si>
    <t>ACTIVIDAD: Mortero de alistamiento</t>
  </si>
  <si>
    <t>MorteroListo Impadoc x 40 kg</t>
  </si>
  <si>
    <t xml:space="preserve">Acronal </t>
  </si>
  <si>
    <t>GL</t>
  </si>
  <si>
    <t>ACTIVIDAD: Instalación de piso cerámico incluye boquilla</t>
  </si>
  <si>
    <t>ML</t>
  </si>
  <si>
    <t>Piso cerámico</t>
  </si>
  <si>
    <t>Mortero de pega</t>
  </si>
  <si>
    <t>Desperdicio 5%</t>
  </si>
  <si>
    <t>APU VI - Bordillos de contencion de agua de escorrentia superficial</t>
  </si>
  <si>
    <t>ACTIVIDAD: Anclaje de barras (pelos) de refuerzo en placa</t>
  </si>
  <si>
    <t>UND</t>
  </si>
  <si>
    <t>Acero de refuerzo</t>
  </si>
  <si>
    <t>Kg</t>
  </si>
  <si>
    <t>Anchorfix x 300ml</t>
  </si>
  <si>
    <t>ACTIVIDAD: Formaleta para bordillo</t>
  </si>
  <si>
    <t>Tabla revoltura</t>
  </si>
  <si>
    <t>Trabilla de revoltura</t>
  </si>
  <si>
    <t>Ganchos para formaleta</t>
  </si>
  <si>
    <t>Puntilla 2</t>
  </si>
  <si>
    <t xml:space="preserve">ACTIVIDAD: Fundición de bordillo </t>
  </si>
  <si>
    <t>Concreto 3500PSI</t>
  </si>
  <si>
    <t>M3</t>
  </si>
  <si>
    <t>VALOR</t>
  </si>
  <si>
    <t xml:space="preserve">Boquilla </t>
  </si>
  <si>
    <t>GLB</t>
  </si>
  <si>
    <t>Separadores</t>
  </si>
  <si>
    <t>APU V - Construccion de rejilla de drenaje en peatonal</t>
  </si>
  <si>
    <t xml:space="preserve">Pulidora </t>
  </si>
  <si>
    <t>Rotomartillo</t>
  </si>
  <si>
    <t>APU III - Retiro de recubrimiento e Impermeabilizacion en area adyacente a la Piscina Pequeña</t>
  </si>
  <si>
    <t xml:space="preserve">ACTIVIDAD: Remoción de superficie sintética </t>
  </si>
  <si>
    <t>ACTIVIDAD: Demolición de enchape y mortero existentes</t>
  </si>
  <si>
    <t>Mortero 1:3</t>
  </si>
  <si>
    <t>ACTIVIDAD: Reparación de fisuras y Mortero de nivelación</t>
  </si>
  <si>
    <t>Acronal</t>
  </si>
  <si>
    <t>ACTIVIDAD: Impermeabilización de superficie</t>
  </si>
  <si>
    <t xml:space="preserve">ACTIVIDAD: Perforación placa e instalación de rejilla </t>
  </si>
  <si>
    <t>ACTIVIDAD: Revestimiento de canal</t>
  </si>
  <si>
    <t>CONDOMINIO PARQUE RESIDENCIAL LOS CEDROS</t>
  </si>
  <si>
    <t>PRELIMINARES</t>
  </si>
  <si>
    <t xml:space="preserve">ACTIVIDAD: Lavado General de Superficies </t>
  </si>
  <si>
    <t>Hipoclorito</t>
  </si>
  <si>
    <t xml:space="preserve">Agua </t>
  </si>
  <si>
    <t>Práctico</t>
  </si>
  <si>
    <t>Equipo Hidrolavadora</t>
  </si>
  <si>
    <t>Equipos Freshouse</t>
  </si>
  <si>
    <t>PREPARACIÓN DE SUPERFICIES</t>
  </si>
  <si>
    <t>Retiro y Reemplazo de Graniplast Deteriorado</t>
  </si>
  <si>
    <t>ACTIVIDAD: Inspección de superficie incluye rasqueteado</t>
  </si>
  <si>
    <t>ACTIVIDAD: Nivelación de superficie con Mortero Listo</t>
  </si>
  <si>
    <t xml:space="preserve">Saco </t>
  </si>
  <si>
    <t>Mortero Listo Impadoc x 40kg</t>
  </si>
  <si>
    <t>2.1</t>
  </si>
  <si>
    <t>2.2</t>
  </si>
  <si>
    <t>2.3</t>
  </si>
  <si>
    <t>2.4</t>
  </si>
  <si>
    <t>Nivelación de superficie con Mortero Listo</t>
  </si>
  <si>
    <t>Inspección de superficie incluye rasqueteado</t>
  </si>
  <si>
    <t>ACTIVIDAD: Aplicación de Graniplast</t>
  </si>
  <si>
    <t>Aplicación de Graniplast</t>
  </si>
  <si>
    <t>2.1.1</t>
  </si>
  <si>
    <t>2.1.2</t>
  </si>
  <si>
    <t>2.1.3</t>
  </si>
  <si>
    <t>ACTIVIDAD: Reposicion de Mortero en mal estado</t>
  </si>
  <si>
    <t>Reposicion de Mortero en mal estado</t>
  </si>
  <si>
    <t>Retiro y Reemplazo de Superboard</t>
  </si>
  <si>
    <t>Remoción de lámina superboard</t>
  </si>
  <si>
    <t>2.3.1</t>
  </si>
  <si>
    <t>2.3.2</t>
  </si>
  <si>
    <t>ACTIVIDAD: Remoción de lámina superboard</t>
  </si>
  <si>
    <t>ACTIVIDAD: Restructuración e Instalación de lámina de fibrocemento</t>
  </si>
  <si>
    <t>Restructuración e Instalación de lámina de fibrocemento</t>
  </si>
  <si>
    <t>Retiro y Reemplazo de lamina Drywall</t>
  </si>
  <si>
    <t>ACTIVIDAD: Restructuración e Instalación de lámina de panel yeso</t>
  </si>
  <si>
    <t>Lamina fibrocemento de 6mm</t>
  </si>
  <si>
    <t>Lamina fibrocemento de 1/2</t>
  </si>
  <si>
    <t>Remoción de lámina de panel yeso</t>
  </si>
  <si>
    <t>TIEMPO ESTIMADO</t>
  </si>
  <si>
    <t>2.5</t>
  </si>
  <si>
    <t>Dilatación plástica</t>
  </si>
  <si>
    <t>Graniplast Premium Escagrafiado</t>
  </si>
  <si>
    <t>Lavado de superficie</t>
  </si>
  <si>
    <t>ACABADO DE PINTURA</t>
  </si>
  <si>
    <t>Koraza Pro 550</t>
  </si>
  <si>
    <t>CÑ</t>
  </si>
  <si>
    <t xml:space="preserve">Rodillo 9" </t>
  </si>
  <si>
    <t>Brocha</t>
  </si>
  <si>
    <t>3.1</t>
  </si>
  <si>
    <t>ACTIVIDAD: Suministro y Aplicación de Pintura para exteriores</t>
  </si>
  <si>
    <t>Suministro y Aplicación de Pintura para exteriores</t>
  </si>
  <si>
    <t>3.2</t>
  </si>
  <si>
    <t>3.3</t>
  </si>
  <si>
    <t>3.4</t>
  </si>
  <si>
    <t>3.5</t>
  </si>
  <si>
    <t>Suministro y Aplicación de Pintura incluye tratamiento con Aqua Block</t>
  </si>
  <si>
    <t>Reparación de antepechos y aplicación de Aqua Block</t>
  </si>
  <si>
    <t>Reparación de antepechos y jardineras</t>
  </si>
  <si>
    <t>ACTIVIDAD: Aplicación de Aqua Block</t>
  </si>
  <si>
    <t>AquaBlock</t>
  </si>
  <si>
    <t>Reconstrucción de pendiente en volumenes</t>
  </si>
  <si>
    <t>ACTIVIDAD: Piintura de alfajías</t>
  </si>
  <si>
    <t>Suministro y Aplicación de Pintura para exteriores alfajías</t>
  </si>
  <si>
    <t>Suministro y Aplicación de Pintura para interiores</t>
  </si>
  <si>
    <t>ACTIVIDAD: Suministro y Aplicación de Pintura para interiores</t>
  </si>
  <si>
    <t>Viniltex Advance</t>
  </si>
  <si>
    <t>3.6</t>
  </si>
  <si>
    <t>Suministro y Aplicación de Pintura para puertas</t>
  </si>
  <si>
    <t>Pintulux 3 en 1</t>
  </si>
  <si>
    <t>3.7</t>
  </si>
  <si>
    <t>Suministro y Aplicación de Pintura en barandas</t>
  </si>
  <si>
    <t>ACTIVIDAD: Suministro y Aplicación de Pintura de Esmalte para barandas 3 en 1</t>
  </si>
  <si>
    <t>ACTIVIDAD: Suministro y Aplicación de Pintura de esmalte para puertas 3 en 1</t>
  </si>
  <si>
    <t>Thinner</t>
  </si>
  <si>
    <t>Lija de agua</t>
  </si>
  <si>
    <t>3.8</t>
  </si>
  <si>
    <t>Suministro y Aplicación de Pintura estructuras de parqueadero</t>
  </si>
  <si>
    <t>3.9</t>
  </si>
  <si>
    <t>ACTIVIDAD: Suministro y Aplicación de Pintuco Fill</t>
  </si>
  <si>
    <t>Pintuco Fill</t>
  </si>
  <si>
    <t>4.1</t>
  </si>
  <si>
    <t>4.1.1</t>
  </si>
  <si>
    <t xml:space="preserve">Recorrido General de Cubiertas </t>
  </si>
  <si>
    <t>Retiro de tejas en mal estado</t>
  </si>
  <si>
    <t>Suministro e instalación de tejas de fibrocemento</t>
  </si>
  <si>
    <t>Sellamiento de amarras</t>
  </si>
  <si>
    <t>Reposición de Flanches en lamina</t>
  </si>
  <si>
    <t>Lavado e impermeabilización de Viga Canal</t>
  </si>
  <si>
    <t>Suministro y Aplicación de Pintura incluye reconstrucción de pendiente</t>
  </si>
  <si>
    <t>Teja de fibrocemento</t>
  </si>
  <si>
    <t>Amarras</t>
  </si>
  <si>
    <t>Ganchos</t>
  </si>
  <si>
    <t xml:space="preserve"> Recorrido General de Cubiertas existentes sobre los tres bloques de apartamentos. Se estima una reposicion total de al menos el 25% de la cubierta existente.</t>
  </si>
  <si>
    <t>ACTIVIDAD: Suministro e instalación de teja de fibrocemento</t>
  </si>
  <si>
    <t>ACTIVIDAD: Desmonte de teja de fibrocemento</t>
  </si>
  <si>
    <t>4.1.2</t>
  </si>
  <si>
    <t>4.1.3</t>
  </si>
  <si>
    <t>4.1.4</t>
  </si>
  <si>
    <t>4.1.5</t>
  </si>
  <si>
    <t>4.1.6</t>
  </si>
  <si>
    <t>ACTIVIDAD: Impermeabilización de viga canal</t>
  </si>
  <si>
    <t>Sellado Perimetral de enchape en terraza del gimnasio</t>
  </si>
  <si>
    <t>Aplicación de Pintuco Fill en teja de fibrocemento</t>
  </si>
  <si>
    <t>Aplicación de boquilla en piso exterior</t>
  </si>
  <si>
    <t>Aplicación de sello perimetral</t>
  </si>
  <si>
    <t>4.2</t>
  </si>
  <si>
    <t>ACTIVIDAD: Aplicación de boquilla en piso exterior</t>
  </si>
  <si>
    <t>ACTIVIDAD: Aplicación de sello de poliuretano</t>
  </si>
  <si>
    <t>Soudaflex</t>
  </si>
  <si>
    <t>4.3</t>
  </si>
  <si>
    <t>Sellado Perimetral de ventaneria</t>
  </si>
  <si>
    <t>ACTIVIDAD: Sellado Perimetral de ventaneria</t>
  </si>
  <si>
    <t>Cuchillas</t>
  </si>
  <si>
    <t>4.4</t>
  </si>
  <si>
    <t>Suministro e Instalacion de Cortagoteras en Balcones y Accesos a los bloques de aptos</t>
  </si>
  <si>
    <t>Remoción de perfil existente</t>
  </si>
  <si>
    <t>Instalación de cortagotera</t>
  </si>
  <si>
    <t>ACTIVIDAD: Retiro de perfil existente</t>
  </si>
  <si>
    <t>ACTIVIDAD: Retiro de ángulo existente</t>
  </si>
  <si>
    <t>Ángulo de aluminio</t>
  </si>
  <si>
    <t>Tornilleria</t>
  </si>
  <si>
    <t>Reparacion de morteros en cuchillas de cubierta-(30% DEL TOTAL)</t>
  </si>
  <si>
    <t>Aplicación de revoque impermeabilizado</t>
  </si>
  <si>
    <t>4.5</t>
  </si>
  <si>
    <t>4.2.1</t>
  </si>
  <si>
    <t>4.2.2</t>
  </si>
  <si>
    <t>4.4.1</t>
  </si>
  <si>
    <t>4.4.2</t>
  </si>
  <si>
    <t>Sikasit</t>
  </si>
  <si>
    <t>Suministro e Instalacion de Alfajias en lamina sobre muros perimetrales y medianeros en las cubiertas</t>
  </si>
  <si>
    <t>4.6</t>
  </si>
  <si>
    <t>Suministro e Instalacion de Alfajias en lamina</t>
  </si>
  <si>
    <t>Aseo General y Retiro de Escombros y Sobrantes</t>
  </si>
  <si>
    <t>Campamento de Obra</t>
  </si>
  <si>
    <t>1.1</t>
  </si>
  <si>
    <t>1.2</t>
  </si>
  <si>
    <t>Señalización de Obra</t>
  </si>
  <si>
    <t>CONDOMINIO PARQUE RESIDENCIAL LOS CEDROS-ARMENIA-Quindío</t>
  </si>
  <si>
    <t>Cuadro General de Actividades, Unidades de Medida, Cantidades y Precios Unitarios</t>
  </si>
  <si>
    <t>ANEXO 01-OPCION 2</t>
  </si>
  <si>
    <t xml:space="preserve">Proponente: </t>
  </si>
  <si>
    <t>Levanto  Informacion:</t>
  </si>
  <si>
    <t>Ing. Carlos Alberto Agudelo Restrepo</t>
  </si>
  <si>
    <t>Interventor: Ing. Luis Fernando Márquez Jaramillo</t>
  </si>
  <si>
    <t>Arq. Maria Fernanda Morales Palacio</t>
  </si>
  <si>
    <t>Ubicación Proyecto: Calle 50 Norte # 15-01</t>
  </si>
  <si>
    <t>Fecha: Febrero de 2025</t>
  </si>
  <si>
    <t>Sra Maria del Pilar Rubio L. Administradora</t>
  </si>
  <si>
    <t>ACTIVIDADES EN LOS BLOQUES DE APARTAMENTOS y AREAS COMUNES DE LOS MISMOS</t>
  </si>
  <si>
    <t>Capitulo</t>
  </si>
  <si>
    <t>Items</t>
  </si>
  <si>
    <t>Descripcion de Actividad</t>
  </si>
  <si>
    <t>Unidad</t>
  </si>
  <si>
    <t>Cantidad</t>
  </si>
  <si>
    <t>Vr Unitario</t>
  </si>
  <si>
    <t>Vr Total</t>
  </si>
  <si>
    <t>Gbl</t>
  </si>
  <si>
    <t>Señalizacion y Seguridad de la Obra</t>
  </si>
  <si>
    <t>PREPARACION DE SUPERFICIES</t>
  </si>
  <si>
    <t>Lavado General de Superficies a Intervenir</t>
  </si>
  <si>
    <t>Retiro y Reemplazo de Graniplast Deteriorado   en fachadas de las tres torres                                         (26% DEL TOTAL APROX)</t>
  </si>
  <si>
    <t>Reposicion de Mortero en mal estado en fachadas de las tres torres</t>
  </si>
  <si>
    <t xml:space="preserve">Retiro y Reemplazo de Superboard en mal estado en fachadas de las tres torres                                           </t>
  </si>
  <si>
    <t xml:space="preserve">Retiro y Reemplazo de Drywall en mal estado en cielos rasos de fachadas                                         </t>
  </si>
  <si>
    <t xml:space="preserve">ACABADO Y PINTURA </t>
  </si>
  <si>
    <t>PINTURA PARA EXTERIORES-TIPO KORAZA</t>
  </si>
  <si>
    <t xml:space="preserve">Suministro y Aplicación de Pintura para exteriores, tipo Koraza, sobre superficies de Fachadas y Muros Externos de los bloques de apartamentos </t>
  </si>
  <si>
    <t xml:space="preserve"> Suministro y Aplicación de Pintura para exteriores tipo Koraza, en antepechos de terrazas en los primeros pisos de los bloques y en jardineras</t>
  </si>
  <si>
    <t>Suministro y Aplicación de Pintura para exteriores, tipo Koraza, en elementos volumetricos de superboard en las fachadas</t>
  </si>
  <si>
    <t>Suministro y Aplicación de Pintura para exteriores, tipo koraza, color gris basalto, sobre alfajias de escaleras de acceso a los bloques y de areas comunes externas.</t>
  </si>
  <si>
    <t>PINTURA PARA INTERIORES TIPO VINILO</t>
  </si>
  <si>
    <t>Suministro y Aplicación de Pintura tipo Vinilo en areas comunes internas de los bloques de aptos: paredes y cielos rasos</t>
  </si>
  <si>
    <t>PINTURA ESMALTE TIPO 3 EN 1</t>
  </si>
  <si>
    <t>Suministro y Aplicación de Pintura tipo 3 en 1, en puertas de los apartamentos (estan incluidas las de los exteriores, porteria-motobombas)</t>
  </si>
  <si>
    <t>UN</t>
  </si>
  <si>
    <t>Suministro y Aplicación de Pintura para Barandas Metalicas en areas exteriores: gimnasio, pasillos, cuarto de acueducto, piscina, circulacion entre bloques, etc.</t>
  </si>
  <si>
    <t>Suministro y Aplicación de Pintura tipo 3 en 1 en la totalidad de las estructuras metalicas de los parqueaderos externos</t>
  </si>
  <si>
    <t>Suministro y Aplicación de Pintuco Fill sobre las cubiertas de los parqueaderos</t>
  </si>
  <si>
    <t xml:space="preserve">TRATAMIENTOS  ESPECIALES CONTRA HUMEDADES </t>
  </si>
  <si>
    <t>Cambio Total de Cubiertas</t>
  </si>
  <si>
    <t>Retiro y Reposicion de sello perimetral en elementos vidriados de los bloque de apartamentos (30% DEL TOTAL)</t>
  </si>
  <si>
    <t>ASEO GENERAL DE OBRA Y RETIRO DE ESCOMBROS</t>
  </si>
  <si>
    <t>5.1</t>
  </si>
  <si>
    <t>GBL</t>
  </si>
  <si>
    <t xml:space="preserve">TOTAL COSTO DIRECTO </t>
  </si>
  <si>
    <t>ADMINISTRACION</t>
  </si>
  <si>
    <t xml:space="preserve">IMPREVISTOS </t>
  </si>
  <si>
    <t xml:space="preserve">UTILIDAD </t>
  </si>
  <si>
    <t>IVA/U</t>
  </si>
  <si>
    <t>COSTO TOTAL</t>
  </si>
  <si>
    <t>ACTIVIDADES EN LOS BLOQUES DE APARTAMENTOS Y AREAS COMUNES DE LOS MISMOS</t>
  </si>
  <si>
    <t>Suministro y Aplicación de Pintucofill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</si>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</sst>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"/>
    <numFmt numFmtId="165" formatCode="0.000"/>
    <numFmt numFmtId="166" formatCode="0.0"/>
    <numFmt numFmtId="167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Swis721 BT"/>
      <family val="2"/>
    </font>
    <font>
      <sz val="11"/>
      <name val="Swis721 BT"/>
      <family val="2"/>
    </font>
    <font>
      <sz val="11"/>
      <color theme="1"/>
      <name val="Swis721 BT"/>
      <family val="2"/>
    </font>
    <font>
      <b/>
      <sz val="10"/>
      <color theme="0"/>
      <name val="Swis721 BT"/>
      <family val="2"/>
    </font>
    <font>
      <sz val="10"/>
      <name val="Swis721 BT"/>
      <family val="2"/>
    </font>
    <font>
      <b/>
      <sz val="10"/>
      <color theme="1"/>
      <name val="Swis721 BT"/>
      <family val="2"/>
    </font>
    <font>
      <sz val="10"/>
      <color theme="1"/>
      <name val="Swis721 BT"/>
      <family val="2"/>
    </font>
    <font>
      <sz val="10"/>
      <color rgb="FF000000"/>
      <name val="Swis721 BT"/>
      <family val="2"/>
    </font>
    <font>
      <sz val="8"/>
      <name val="Calibri"/>
      <family val="2"/>
      <scheme val="minor"/>
    </font>
    <font>
      <b/>
      <sz val="10"/>
      <color rgb="FF000000"/>
      <name val="Swis721 BT"/>
      <family val="2"/>
    </font>
    <font>
      <b/>
      <sz val="10"/>
      <color theme="0" tint="-4.9989318521683403E-2"/>
      <name val="Swis721 BT"/>
      <family val="2"/>
    </font>
    <font>
      <b/>
      <sz val="14"/>
      <color theme="0"/>
      <name val="Swis721 BT"/>
      <family val="2"/>
    </font>
    <font>
      <sz val="14"/>
      <name val="Swis721 BT"/>
      <family val="2"/>
    </font>
    <font>
      <sz val="16"/>
      <color theme="1"/>
      <name val="Swis721 BT"/>
      <family val="2"/>
    </font>
    <font>
      <b/>
      <sz val="11"/>
      <color theme="1"/>
      <name val="Swis721 BT"/>
      <family val="2"/>
    </font>
  </fonts>
  <fills count="20">
    <fill>
      <patternFill patternType="none"/>
    </fill>
    <fill>
      <patternFill patternType="gray125"/>
    </fill>
    <fill>
      <patternFill patternType="solid">
        <fgColor rgb="FF315761"/>
        <bgColor rgb="FF333F4F"/>
      </patternFill>
    </fill>
    <fill>
      <patternFill patternType="solid">
        <fgColor rgb="FF315761"/>
        <bgColor indexed="64"/>
      </patternFill>
    </fill>
    <fill>
      <patternFill patternType="solid">
        <fgColor theme="2" tint="-9.9978637043366805E-2"/>
        <bgColor rgb="FF8496B0"/>
      </patternFill>
    </fill>
    <fill>
      <patternFill patternType="solid">
        <fgColor rgb="FF64A0B0"/>
        <bgColor rgb="FF333F4F"/>
      </patternFill>
    </fill>
    <fill>
      <patternFill patternType="solid">
        <fgColor rgb="FF64A0B0"/>
        <bgColor indexed="64"/>
      </patternFill>
    </fill>
    <fill>
      <patternFill patternType="solid">
        <fgColor theme="6" tint="0.39997558519241921"/>
        <bgColor rgb="FF8496B0"/>
      </patternFill>
    </fill>
    <fill>
      <patternFill patternType="solid">
        <fgColor theme="6" tint="0.79998168889431442"/>
        <bgColor rgb="FFD6DCE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64A0B0"/>
        <bgColor rgb="FF8496B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7B89"/>
        <bgColor indexed="64"/>
      </patternFill>
    </fill>
    <fill>
      <patternFill patternType="solid">
        <fgColor rgb="FFFF7B89"/>
        <bgColor rgb="FF333F4F"/>
      </patternFill>
    </fill>
    <fill>
      <patternFill patternType="solid">
        <fgColor rgb="FFFF7B89"/>
        <bgColor rgb="FF8496B0"/>
      </patternFill>
    </fill>
    <fill>
      <patternFill patternType="solid">
        <fgColor rgb="FFFFBDC3"/>
        <bgColor indexed="64"/>
      </patternFill>
    </fill>
    <fill>
      <patternFill patternType="solid">
        <fgColor rgb="FFC0D8D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5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0" fontId="4" fillId="3" borderId="0" xfId="2" applyFont="1" applyFill="1" applyAlignment="1">
      <alignment vertical="center"/>
    </xf>
    <xf numFmtId="0" fontId="7" fillId="3" borderId="0" xfId="2" applyFont="1" applyFill="1" applyAlignment="1">
      <alignment vertical="center"/>
    </xf>
    <xf numFmtId="0" fontId="6" fillId="3" borderId="0" xfId="2" applyFont="1" applyFill="1" applyAlignment="1">
      <alignment horizontal="center" vertical="center"/>
    </xf>
    <xf numFmtId="0" fontId="8" fillId="4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164" fontId="9" fillId="0" borderId="0" xfId="2" applyNumberFormat="1" applyFont="1" applyAlignment="1">
      <alignment horizontal="right" vertical="center"/>
    </xf>
    <xf numFmtId="164" fontId="8" fillId="8" borderId="0" xfId="2" applyNumberFormat="1" applyFont="1" applyFill="1" applyAlignment="1">
      <alignment horizontal="right" vertical="center"/>
    </xf>
    <xf numFmtId="0" fontId="9" fillId="0" borderId="0" xfId="2" applyFont="1" applyAlignment="1">
      <alignment horizontal="left" vertical="center"/>
    </xf>
    <xf numFmtId="1" fontId="10" fillId="0" borderId="0" xfId="2" applyNumberFormat="1" applyFont="1" applyAlignment="1">
      <alignment horizontal="center" vertical="center"/>
    </xf>
    <xf numFmtId="165" fontId="10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left" vertical="center"/>
    </xf>
    <xf numFmtId="0" fontId="8" fillId="0" borderId="0" xfId="2" applyFont="1" applyAlignment="1">
      <alignment horizontal="right" vertical="center"/>
    </xf>
    <xf numFmtId="0" fontId="7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2" fontId="10" fillId="0" borderId="0" xfId="2" applyNumberFormat="1" applyFont="1" applyAlignment="1">
      <alignment horizontal="center" vertical="center"/>
    </xf>
    <xf numFmtId="166" fontId="9" fillId="0" borderId="0" xfId="2" applyNumberFormat="1" applyFont="1" applyAlignment="1">
      <alignment vertical="center"/>
    </xf>
    <xf numFmtId="0" fontId="6" fillId="2" borderId="0" xfId="2" applyFont="1" applyFill="1" applyAlignment="1">
      <alignment horizontal="center" vertical="center"/>
    </xf>
    <xf numFmtId="164" fontId="9" fillId="0" borderId="0" xfId="2" applyNumberFormat="1" applyFont="1" applyAlignment="1">
      <alignment vertical="center"/>
    </xf>
    <xf numFmtId="166" fontId="10" fillId="0" borderId="0" xfId="2" applyNumberFormat="1" applyFont="1" applyAlignment="1">
      <alignment horizontal="center" vertical="center"/>
    </xf>
    <xf numFmtId="0" fontId="10" fillId="10" borderId="0" xfId="2" applyFont="1" applyFill="1" applyAlignment="1">
      <alignment horizontal="left" vertical="center"/>
    </xf>
    <xf numFmtId="164" fontId="9" fillId="10" borderId="0" xfId="2" applyNumberFormat="1" applyFont="1" applyFill="1" applyAlignment="1">
      <alignment horizontal="right" vertical="center"/>
    </xf>
    <xf numFmtId="0" fontId="8" fillId="10" borderId="0" xfId="2" applyFont="1" applyFill="1" applyAlignment="1">
      <alignment horizontal="right" vertical="center"/>
    </xf>
    <xf numFmtId="0" fontId="6" fillId="0" borderId="0" xfId="2" applyFont="1" applyAlignment="1">
      <alignment horizontal="left" vertical="center"/>
    </xf>
    <xf numFmtId="44" fontId="9" fillId="0" borderId="0" xfId="1" applyFont="1" applyAlignment="1">
      <alignment horizontal="center" vertical="center"/>
    </xf>
    <xf numFmtId="44" fontId="7" fillId="0" borderId="0" xfId="1" applyFont="1" applyAlignment="1">
      <alignment vertical="center"/>
    </xf>
    <xf numFmtId="44" fontId="12" fillId="12" borderId="0" xfId="2" applyNumberFormat="1" applyFont="1" applyFill="1" applyAlignment="1">
      <alignment horizontal="center" vertical="center"/>
    </xf>
    <xf numFmtId="0" fontId="13" fillId="11" borderId="0" xfId="2" applyFont="1" applyFill="1" applyAlignment="1">
      <alignment horizontal="center" vertical="center"/>
    </xf>
    <xf numFmtId="44" fontId="9" fillId="0" borderId="0" xfId="2" applyNumberFormat="1" applyFont="1" applyAlignment="1">
      <alignment vertical="center"/>
    </xf>
    <xf numFmtId="0" fontId="8" fillId="12" borderId="0" xfId="2" applyFont="1" applyFill="1" applyAlignment="1">
      <alignment horizontal="center" vertical="center"/>
    </xf>
    <xf numFmtId="0" fontId="8" fillId="12" borderId="0" xfId="2" applyFont="1" applyFill="1" applyAlignment="1">
      <alignment horizontal="left" vertical="center" wrapText="1"/>
    </xf>
    <xf numFmtId="0" fontId="3" fillId="14" borderId="0" xfId="2" applyFont="1" applyFill="1" applyAlignment="1">
      <alignment horizontal="left" vertical="center"/>
    </xf>
    <xf numFmtId="0" fontId="4" fillId="13" borderId="0" xfId="2" applyFont="1" applyFill="1" applyAlignment="1">
      <alignment vertical="center"/>
    </xf>
    <xf numFmtId="0" fontId="6" fillId="13" borderId="0" xfId="2" applyFont="1" applyFill="1" applyAlignment="1">
      <alignment horizontal="center" vertical="center"/>
    </xf>
    <xf numFmtId="164" fontId="5" fillId="0" borderId="0" xfId="2" applyNumberFormat="1" applyFont="1" applyAlignment="1">
      <alignment vertical="center"/>
    </xf>
    <xf numFmtId="9" fontId="13" fillId="11" borderId="0" xfId="2" applyNumberFormat="1" applyFont="1" applyFill="1" applyAlignment="1">
      <alignment horizontal="center" vertical="center"/>
    </xf>
    <xf numFmtId="0" fontId="3" fillId="13" borderId="0" xfId="2" applyFont="1" applyFill="1" applyAlignment="1">
      <alignment horizontal="center" vertical="center"/>
    </xf>
    <xf numFmtId="0" fontId="6" fillId="14" borderId="0" xfId="2" applyFont="1" applyFill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5" fillId="0" borderId="0" xfId="2" applyFont="1" applyAlignment="1">
      <alignment horizontal="center" vertical="center"/>
    </xf>
    <xf numFmtId="2" fontId="9" fillId="0" borderId="0" xfId="2" applyNumberFormat="1" applyFont="1" applyAlignment="1">
      <alignment vertical="center"/>
    </xf>
    <xf numFmtId="0" fontId="13" fillId="0" borderId="0" xfId="2" applyFont="1" applyAlignment="1">
      <alignment horizontal="center" vertical="center"/>
    </xf>
    <xf numFmtId="9" fontId="13" fillId="0" borderId="0" xfId="2" applyNumberFormat="1" applyFont="1" applyAlignment="1">
      <alignment horizontal="center" vertical="center"/>
    </xf>
    <xf numFmtId="2" fontId="5" fillId="0" borderId="0" xfId="2" applyNumberFormat="1" applyFont="1" applyAlignment="1">
      <alignment horizontal="center" vertical="center"/>
    </xf>
    <xf numFmtId="0" fontId="9" fillId="13" borderId="0" xfId="2" applyFont="1" applyFill="1" applyAlignment="1">
      <alignment vertical="center"/>
    </xf>
    <xf numFmtId="9" fontId="13" fillId="15" borderId="0" xfId="2" applyNumberFormat="1" applyFont="1" applyFill="1" applyAlignment="1">
      <alignment horizontal="center" vertical="center"/>
    </xf>
    <xf numFmtId="0" fontId="13" fillId="15" borderId="0" xfId="2" applyFont="1" applyFill="1" applyAlignment="1">
      <alignment horizontal="center" vertical="center"/>
    </xf>
    <xf numFmtId="164" fontId="8" fillId="0" borderId="0" xfId="2" applyNumberFormat="1" applyFont="1" applyAlignment="1">
      <alignment vertical="center"/>
    </xf>
    <xf numFmtId="0" fontId="8" fillId="16" borderId="0" xfId="2" applyFont="1" applyFill="1" applyAlignment="1">
      <alignment horizontal="center" vertical="center"/>
    </xf>
    <xf numFmtId="0" fontId="8" fillId="16" borderId="0" xfId="2" applyFont="1" applyFill="1" applyAlignment="1">
      <alignment horizontal="left" vertical="center" wrapText="1"/>
    </xf>
    <xf numFmtId="44" fontId="12" fillId="16" borderId="0" xfId="2" applyNumberFormat="1" applyFont="1" applyFill="1" applyAlignment="1">
      <alignment horizontal="center" vertical="center"/>
    </xf>
    <xf numFmtId="0" fontId="8" fillId="17" borderId="0" xfId="2" applyFont="1" applyFill="1" applyAlignment="1">
      <alignment horizontal="center" vertical="center"/>
    </xf>
    <xf numFmtId="0" fontId="8" fillId="17" borderId="0" xfId="2" applyFont="1" applyFill="1" applyAlignment="1">
      <alignment horizontal="left" vertical="center" wrapText="1"/>
    </xf>
    <xf numFmtId="44" fontId="12" fillId="17" borderId="0" xfId="2" applyNumberFormat="1" applyFont="1" applyFill="1" applyAlignment="1">
      <alignment horizontal="center" vertical="center"/>
    </xf>
    <xf numFmtId="0" fontId="9" fillId="16" borderId="0" xfId="2" applyFont="1" applyFill="1" applyAlignment="1">
      <alignment horizontal="left" vertical="center"/>
    </xf>
    <xf numFmtId="44" fontId="9" fillId="16" borderId="0" xfId="1" applyFont="1" applyFill="1" applyAlignment="1">
      <alignment horizontal="center" vertical="center"/>
    </xf>
    <xf numFmtId="0" fontId="6" fillId="6" borderId="0" xfId="2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44" fontId="5" fillId="18" borderId="1" xfId="1" applyFont="1" applyFill="1" applyBorder="1" applyAlignment="1">
      <alignment vertical="center"/>
    </xf>
    <xf numFmtId="43" fontId="5" fillId="0" borderId="1" xfId="3" applyFont="1" applyBorder="1" applyAlignment="1">
      <alignment vertical="center"/>
    </xf>
    <xf numFmtId="44" fontId="5" fillId="0" borderId="1" xfId="0" applyNumberFormat="1" applyFont="1" applyBorder="1" applyAlignment="1">
      <alignment vertical="center"/>
    </xf>
    <xf numFmtId="44" fontId="5" fillId="0" borderId="1" xfId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67" fontId="5" fillId="0" borderId="1" xfId="3" applyNumberFormat="1" applyFont="1" applyBorder="1" applyAlignment="1">
      <alignment vertical="center"/>
    </xf>
    <xf numFmtId="167" fontId="5" fillId="0" borderId="0" xfId="0" applyNumberFormat="1" applyFont="1" applyAlignment="1">
      <alignment vertical="center"/>
    </xf>
    <xf numFmtId="44" fontId="5" fillId="19" borderId="1" xfId="0" applyNumberFormat="1" applyFont="1" applyFill="1" applyBorder="1" applyAlignment="1">
      <alignment vertical="center"/>
    </xf>
    <xf numFmtId="44" fontId="5" fillId="18" borderId="1" xfId="0" applyNumberFormat="1" applyFont="1" applyFill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9" fontId="5" fillId="0" borderId="1" xfId="4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5" fillId="0" borderId="0" xfId="1" applyFont="1" applyAlignment="1">
      <alignment vertical="center"/>
    </xf>
    <xf numFmtId="167" fontId="5" fillId="0" borderId="0" xfId="0" applyNumberFormat="1" applyFont="1" applyAlignment="1">
      <alignment horizontal="center" vertical="center"/>
    </xf>
    <xf numFmtId="44" fontId="5" fillId="0" borderId="1" xfId="0" applyNumberFormat="1" applyFont="1" applyBorder="1" applyAlignment="1">
      <alignment horizontal="center" vertical="center"/>
    </xf>
    <xf numFmtId="0" fontId="8" fillId="8" borderId="0" xfId="2" applyFont="1" applyFill="1" applyAlignment="1">
      <alignment horizontal="right" vertical="center"/>
    </xf>
    <xf numFmtId="0" fontId="7" fillId="9" borderId="0" xfId="2" applyFont="1" applyFill="1" applyAlignment="1">
      <alignment vertical="center"/>
    </xf>
    <xf numFmtId="0" fontId="6" fillId="3" borderId="0" xfId="2" applyFont="1" applyFill="1" applyAlignment="1">
      <alignment horizontal="left" vertical="center"/>
    </xf>
    <xf numFmtId="0" fontId="7" fillId="3" borderId="0" xfId="2" applyFont="1" applyFill="1" applyAlignment="1">
      <alignment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6" fillId="5" borderId="0" xfId="2" applyFont="1" applyFill="1" applyAlignment="1">
      <alignment horizontal="left" vertical="center"/>
    </xf>
    <xf numFmtId="0" fontId="7" fillId="6" borderId="0" xfId="2" applyFont="1" applyFill="1" applyAlignment="1">
      <alignment vertical="center"/>
    </xf>
    <xf numFmtId="0" fontId="8" fillId="0" borderId="0" xfId="2" applyFont="1" applyAlignment="1">
      <alignment horizontal="right" vertical="center"/>
    </xf>
    <xf numFmtId="0" fontId="8" fillId="10" borderId="0" xfId="2" applyFont="1" applyFill="1" applyAlignment="1">
      <alignment horizontal="right" vertical="center"/>
    </xf>
    <xf numFmtId="0" fontId="6" fillId="2" borderId="0" xfId="2" applyFont="1" applyFill="1" applyAlignment="1">
      <alignment horizontal="left" vertical="center"/>
    </xf>
    <xf numFmtId="0" fontId="6" fillId="13" borderId="0" xfId="2" applyFont="1" applyFill="1" applyAlignment="1">
      <alignment horizontal="left" vertical="center"/>
    </xf>
    <xf numFmtId="0" fontId="7" fillId="13" borderId="0" xfId="2" applyFont="1" applyFill="1" applyAlignment="1">
      <alignment vertical="center"/>
    </xf>
    <xf numFmtId="0" fontId="14" fillId="2" borderId="0" xfId="2" applyFont="1" applyFill="1" applyAlignment="1">
      <alignment horizontal="left" vertical="center"/>
    </xf>
    <xf numFmtId="0" fontId="15" fillId="3" borderId="0" xfId="2" applyFont="1" applyFill="1" applyAlignment="1">
      <alignment vertical="center"/>
    </xf>
    <xf numFmtId="0" fontId="6" fillId="14" borderId="0" xfId="2" applyFont="1" applyFill="1" applyAlignment="1">
      <alignment horizontal="left" vertical="center"/>
    </xf>
    <xf numFmtId="0" fontId="6" fillId="13" borderId="0" xfId="2" applyFont="1" applyFill="1" applyAlignment="1">
      <alignment horizontal="left" vertical="center" wrapText="1"/>
    </xf>
    <xf numFmtId="0" fontId="7" fillId="13" borderId="0" xfId="2" applyFont="1" applyFill="1" applyAlignment="1">
      <alignment vertical="center" wrapText="1"/>
    </xf>
    <xf numFmtId="0" fontId="6" fillId="14" borderId="0" xfId="2" applyFont="1" applyFill="1" applyAlignment="1">
      <alignment horizontal="left" vertical="center" wrapText="1"/>
    </xf>
    <xf numFmtId="0" fontId="6" fillId="6" borderId="0" xfId="2" applyFont="1" applyFill="1" applyAlignment="1">
      <alignment horizontal="left" vertical="center"/>
    </xf>
    <xf numFmtId="0" fontId="3" fillId="14" borderId="0" xfId="2" applyFont="1" applyFill="1" applyAlignment="1">
      <alignment horizontal="left" vertical="center" wrapText="1"/>
    </xf>
    <xf numFmtId="0" fontId="6" fillId="3" borderId="0" xfId="2" applyFont="1" applyFill="1" applyAlignment="1">
      <alignment horizontal="left" vertical="center" wrapText="1"/>
    </xf>
    <xf numFmtId="0" fontId="7" fillId="3" borderId="0" xfId="2" applyFont="1" applyFill="1" applyAlignment="1">
      <alignment vertical="center" wrapText="1"/>
    </xf>
    <xf numFmtId="0" fontId="3" fillId="2" borderId="0" xfId="2" applyFont="1" applyFill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7" fillId="18" borderId="2" xfId="0" applyFont="1" applyFill="1" applyBorder="1" applyAlignment="1">
      <alignment horizontal="center" vertical="center"/>
    </xf>
    <xf numFmtId="0" fontId="17" fillId="18" borderId="3" xfId="0" applyFont="1" applyFill="1" applyBorder="1" applyAlignment="1">
      <alignment horizontal="center" vertical="center"/>
    </xf>
    <xf numFmtId="0" fontId="17" fillId="18" borderId="4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</cellXfs>
  <cellStyles count="5">
    <cellStyle name="Millares" xfId="3" builtinId="3"/>
    <cellStyle name="Moneda" xfId="1" builtinId="4"/>
    <cellStyle name="Normal" xfId="0" builtinId="0"/>
    <cellStyle name="Normal 2" xfId="2" xr:uid="{A77CDD94-9DDF-4F34-9F90-C2867F37B82D}"/>
    <cellStyle name="Porcentaje" xfId="4" builtinId="5"/>
  </cellStyles>
  <dxfs count="0"/>
  <tableStyles count="0" defaultTableStyle="TableStyleMedium2" defaultPivotStyle="PivotStyleLight16"/>
  <colors>
    <mruColors>
      <color rgb="FF64A0B0"/>
      <color rgb="FFFF7B89"/>
      <color rgb="FFFFBDC3"/>
      <color rgb="FFC0D8DE"/>
      <color rgb="FF9CC2CC"/>
      <color rgb="FF3157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4D9F-29C8-49A3-8A1C-2A8DFEA52FAA}">
  <dimension ref="A1:G476"/>
  <sheetViews>
    <sheetView topLeftCell="A199" zoomScale="90" zoomScaleNormal="90" workbookViewId="0">
      <selection activeCell="B24" sqref="B24"/>
    </sheetView>
  </sheetViews>
  <sheetFormatPr baseColWidth="10" defaultColWidth="14.44140625" defaultRowHeight="18" customHeight="1" x14ac:dyDescent="0.3"/>
  <cols>
    <col min="1" max="1" width="37.44140625" style="20" customWidth="1"/>
    <col min="2" max="2" width="12.109375" style="20" customWidth="1"/>
    <col min="3" max="5" width="18.6640625" style="20" customWidth="1"/>
    <col min="6" max="6" width="15.44140625" style="20" customWidth="1"/>
    <col min="7" max="7" width="18.77734375" style="20" customWidth="1"/>
    <col min="8" max="8" width="11.44140625" style="20" customWidth="1"/>
    <col min="9" max="9" width="14.109375" style="20" customWidth="1"/>
    <col min="10" max="26" width="10.6640625" style="20" customWidth="1"/>
    <col min="27" max="16384" width="14.44140625" style="20"/>
  </cols>
  <sheetData>
    <row r="1" spans="1:5" s="1" customFormat="1" ht="25.05" customHeight="1" x14ac:dyDescent="0.3">
      <c r="A1" s="96" t="s">
        <v>77</v>
      </c>
      <c r="B1" s="97"/>
      <c r="C1" s="97"/>
      <c r="D1" s="97"/>
      <c r="E1" s="97"/>
    </row>
    <row r="2" spans="1:5" s="1" customFormat="1" ht="20.100000000000001" customHeight="1" x14ac:dyDescent="0.3">
      <c r="A2" s="2"/>
      <c r="B2" s="3"/>
      <c r="C2" s="3"/>
      <c r="D2" s="3"/>
      <c r="E2" s="3"/>
    </row>
    <row r="3" spans="1:5" s="1" customFormat="1" ht="20.100000000000001" customHeight="1" x14ac:dyDescent="0.3">
      <c r="A3" s="4" t="s">
        <v>78</v>
      </c>
      <c r="B3" s="5"/>
      <c r="C3" s="5"/>
      <c r="D3" s="5"/>
      <c r="E3" s="5"/>
    </row>
    <row r="4" spans="1:5" s="1" customFormat="1" ht="20.100000000000001" customHeight="1" x14ac:dyDescent="0.3">
      <c r="A4" s="2"/>
      <c r="B4" s="3"/>
      <c r="C4" s="3"/>
      <c r="D4" s="3"/>
      <c r="E4" s="3"/>
    </row>
    <row r="5" spans="1:5" s="1" customFormat="1" ht="20.100000000000001" customHeight="1" x14ac:dyDescent="0.3">
      <c r="A5" s="85" t="s">
        <v>0</v>
      </c>
      <c r="B5" s="86"/>
      <c r="C5" s="86"/>
      <c r="D5" s="7" t="s">
        <v>1</v>
      </c>
      <c r="E5" s="7" t="s">
        <v>2</v>
      </c>
    </row>
    <row r="6" spans="1:5" s="1" customFormat="1" ht="20.100000000000001" customHeight="1" x14ac:dyDescent="0.3">
      <c r="A6" s="87"/>
      <c r="B6" s="88"/>
      <c r="C6" s="88"/>
      <c r="D6" s="8" t="s">
        <v>3</v>
      </c>
      <c r="E6" s="8" t="s">
        <v>4</v>
      </c>
    </row>
    <row r="7" spans="1:5" s="1" customFormat="1" ht="20.100000000000001" customHeight="1" x14ac:dyDescent="0.3">
      <c r="A7" s="89" t="s">
        <v>5</v>
      </c>
      <c r="B7" s="90"/>
      <c r="C7" s="90"/>
      <c r="D7" s="90"/>
      <c r="E7" s="90"/>
    </row>
    <row r="8" spans="1:5" s="1" customFormat="1" ht="20.100000000000001" customHeight="1" x14ac:dyDescent="0.3">
      <c r="A8" s="9" t="s">
        <v>6</v>
      </c>
      <c r="B8" s="9" t="s">
        <v>3</v>
      </c>
      <c r="C8" s="9" t="s">
        <v>7</v>
      </c>
      <c r="D8" s="9" t="s">
        <v>8</v>
      </c>
      <c r="E8" s="9" t="s">
        <v>9</v>
      </c>
    </row>
    <row r="9" spans="1:5" s="1" customFormat="1" ht="20.100000000000001" customHeight="1" x14ac:dyDescent="0.3">
      <c r="A9" s="10" t="s">
        <v>10</v>
      </c>
      <c r="B9" s="10" t="s">
        <v>11</v>
      </c>
      <c r="C9" s="11">
        <v>0.1</v>
      </c>
      <c r="D9" s="12">
        <f>E27</f>
        <v>2600</v>
      </c>
      <c r="E9" s="12">
        <f>C9*D9</f>
        <v>260</v>
      </c>
    </row>
    <row r="10" spans="1:5" s="1" customFormat="1" ht="20.100000000000001" customHeight="1" x14ac:dyDescent="0.3">
      <c r="A10" s="10"/>
      <c r="B10" s="10"/>
      <c r="C10" s="10"/>
      <c r="D10" s="12"/>
      <c r="E10" s="12"/>
    </row>
    <row r="11" spans="1:5" s="1" customFormat="1" ht="20.100000000000001" customHeight="1" x14ac:dyDescent="0.3">
      <c r="A11" s="83" t="s">
        <v>12</v>
      </c>
      <c r="B11" s="84"/>
      <c r="C11" s="84"/>
      <c r="D11" s="84"/>
      <c r="E11" s="13">
        <f>SUM(E9:E9)</f>
        <v>260</v>
      </c>
    </row>
    <row r="12" spans="1:5" s="1" customFormat="1" ht="20.100000000000001" customHeight="1" x14ac:dyDescent="0.3">
      <c r="A12" s="89" t="s">
        <v>13</v>
      </c>
      <c r="B12" s="90"/>
      <c r="C12" s="90"/>
      <c r="D12" s="90"/>
      <c r="E12" s="90"/>
    </row>
    <row r="13" spans="1:5" s="1" customFormat="1" ht="20.100000000000001" customHeight="1" x14ac:dyDescent="0.3">
      <c r="A13" s="9" t="s">
        <v>6</v>
      </c>
      <c r="B13" s="9" t="s">
        <v>3</v>
      </c>
      <c r="C13" s="9" t="s">
        <v>14</v>
      </c>
      <c r="D13" s="9" t="s">
        <v>15</v>
      </c>
      <c r="E13" s="9" t="s">
        <v>9</v>
      </c>
    </row>
    <row r="14" spans="1:5" s="1" customFormat="1" ht="20.100000000000001" customHeight="1" x14ac:dyDescent="0.3">
      <c r="A14" s="14"/>
      <c r="B14" s="10"/>
      <c r="C14" s="15"/>
      <c r="D14" s="12"/>
      <c r="E14" s="12"/>
    </row>
    <row r="15" spans="1:5" s="1" customFormat="1" ht="20.100000000000001" customHeight="1" x14ac:dyDescent="0.3">
      <c r="A15" s="17" t="s">
        <v>16</v>
      </c>
      <c r="B15" s="91"/>
      <c r="C15" s="88"/>
      <c r="D15" s="88"/>
      <c r="E15" s="12">
        <f>SUM(E14:E14)*0.02</f>
        <v>0</v>
      </c>
    </row>
    <row r="16" spans="1:5" s="1" customFormat="1" ht="20.100000000000001" customHeight="1" x14ac:dyDescent="0.3">
      <c r="A16" s="17"/>
      <c r="B16" s="18"/>
      <c r="C16" s="19"/>
      <c r="D16" s="19"/>
      <c r="E16" s="12"/>
    </row>
    <row r="17" spans="1:5" s="1" customFormat="1" ht="20.100000000000001" customHeight="1" x14ac:dyDescent="0.3">
      <c r="A17" s="83" t="s">
        <v>12</v>
      </c>
      <c r="B17" s="84"/>
      <c r="C17" s="84"/>
      <c r="D17" s="84"/>
      <c r="E17" s="13">
        <f>SUM(E14:E15)</f>
        <v>0</v>
      </c>
    </row>
    <row r="18" spans="1:5" s="1" customFormat="1" ht="20.100000000000001" customHeight="1" x14ac:dyDescent="0.3">
      <c r="A18" s="89" t="s">
        <v>17</v>
      </c>
      <c r="B18" s="90"/>
      <c r="C18" s="90"/>
      <c r="D18" s="90"/>
      <c r="E18" s="90"/>
    </row>
    <row r="19" spans="1:5" s="1" customFormat="1" ht="20.100000000000001" customHeight="1" x14ac:dyDescent="0.3">
      <c r="A19" s="9" t="s">
        <v>6</v>
      </c>
      <c r="B19" s="9" t="s">
        <v>3</v>
      </c>
      <c r="C19" s="9" t="s">
        <v>7</v>
      </c>
      <c r="D19" s="9" t="s">
        <v>8</v>
      </c>
      <c r="E19" s="9" t="s">
        <v>9</v>
      </c>
    </row>
    <row r="20" spans="1:5" s="1" customFormat="1" ht="20.100000000000001" customHeight="1" x14ac:dyDescent="0.3">
      <c r="A20" s="14" t="s">
        <v>18</v>
      </c>
      <c r="B20" s="10" t="s">
        <v>19</v>
      </c>
      <c r="C20" s="11">
        <v>0</v>
      </c>
      <c r="D20" s="12">
        <v>0</v>
      </c>
      <c r="E20" s="12">
        <v>0</v>
      </c>
    </row>
    <row r="21" spans="1:5" s="1" customFormat="1" ht="20.100000000000001" customHeight="1" x14ac:dyDescent="0.3">
      <c r="A21" s="14"/>
      <c r="B21" s="10"/>
      <c r="C21" s="11"/>
      <c r="D21" s="12"/>
      <c r="E21" s="12"/>
    </row>
    <row r="22" spans="1:5" s="1" customFormat="1" ht="20.100000000000001" customHeight="1" x14ac:dyDescent="0.3">
      <c r="A22" s="83" t="s">
        <v>12</v>
      </c>
      <c r="B22" s="84"/>
      <c r="C22" s="84"/>
      <c r="D22" s="84"/>
      <c r="E22" s="13">
        <f>SUM(E20)</f>
        <v>0</v>
      </c>
    </row>
    <row r="23" spans="1:5" s="1" customFormat="1" ht="20.100000000000001" customHeight="1" x14ac:dyDescent="0.3">
      <c r="A23" s="89" t="s">
        <v>20</v>
      </c>
      <c r="B23" s="90"/>
      <c r="C23" s="90"/>
      <c r="D23" s="90"/>
      <c r="E23" s="90"/>
    </row>
    <row r="24" spans="1:5" s="1" customFormat="1" ht="20.100000000000001" customHeight="1" x14ac:dyDescent="0.3">
      <c r="A24" s="9" t="s">
        <v>6</v>
      </c>
      <c r="B24" s="9" t="s">
        <v>3</v>
      </c>
      <c r="C24" s="9" t="s">
        <v>7</v>
      </c>
      <c r="D24" s="9" t="s">
        <v>21</v>
      </c>
      <c r="E24" s="9" t="s">
        <v>9</v>
      </c>
    </row>
    <row r="25" spans="1:5" s="1" customFormat="1" ht="20.100000000000001" customHeight="1" x14ac:dyDescent="0.3">
      <c r="A25" s="14" t="s">
        <v>22</v>
      </c>
      <c r="B25" s="10" t="s">
        <v>19</v>
      </c>
      <c r="C25" s="11">
        <v>50</v>
      </c>
      <c r="D25" s="12">
        <v>130000</v>
      </c>
      <c r="E25" s="12">
        <f>D25/C25</f>
        <v>2600</v>
      </c>
    </row>
    <row r="26" spans="1:5" s="1" customFormat="1" ht="20.100000000000001" customHeight="1" x14ac:dyDescent="0.3">
      <c r="A26" s="14"/>
      <c r="B26" s="10"/>
      <c r="C26" s="11"/>
      <c r="D26" s="12"/>
      <c r="E26" s="12"/>
    </row>
    <row r="27" spans="1:5" s="1" customFormat="1" ht="20.100000000000001" customHeight="1" x14ac:dyDescent="0.3">
      <c r="A27" s="83" t="s">
        <v>12</v>
      </c>
      <c r="B27" s="84"/>
      <c r="C27" s="84"/>
      <c r="D27" s="84"/>
      <c r="E27" s="13">
        <f>SUM(E25)</f>
        <v>2600</v>
      </c>
    </row>
    <row r="28" spans="1:5" s="1" customFormat="1" ht="20.100000000000001" customHeight="1" x14ac:dyDescent="0.3">
      <c r="A28" s="10"/>
      <c r="B28" s="19"/>
      <c r="C28" s="19"/>
      <c r="D28" s="19"/>
      <c r="E28" s="19"/>
    </row>
    <row r="29" spans="1:5" s="1" customFormat="1" ht="20.100000000000001" customHeight="1" x14ac:dyDescent="0.3">
      <c r="A29" s="83" t="s">
        <v>23</v>
      </c>
      <c r="B29" s="84"/>
      <c r="C29" s="84"/>
      <c r="D29" s="84"/>
      <c r="E29" s="13">
        <f>SUM(E11,E17,E22,E27)</f>
        <v>2860</v>
      </c>
    </row>
    <row r="30" spans="1:5" s="1" customFormat="1" ht="20.100000000000001" customHeight="1" x14ac:dyDescent="0.3">
      <c r="A30" s="2"/>
      <c r="B30" s="3"/>
      <c r="C30" s="3"/>
      <c r="D30" s="3"/>
      <c r="E30" s="3"/>
    </row>
    <row r="31" spans="1:5" s="1" customFormat="1" ht="20.100000000000001" customHeight="1" x14ac:dyDescent="0.3">
      <c r="A31" s="2"/>
      <c r="B31" s="3"/>
      <c r="C31" s="3"/>
      <c r="D31" s="3"/>
      <c r="E31" s="3"/>
    </row>
    <row r="32" spans="1:5" ht="18" customHeight="1" x14ac:dyDescent="0.3">
      <c r="A32" s="85" t="s">
        <v>24</v>
      </c>
      <c r="B32" s="86"/>
      <c r="C32" s="86"/>
      <c r="D32" s="7" t="s">
        <v>1</v>
      </c>
      <c r="E32" s="7">
        <v>2</v>
      </c>
    </row>
    <row r="33" spans="1:5" ht="18" customHeight="1" x14ac:dyDescent="0.3">
      <c r="A33" s="87"/>
      <c r="B33" s="88"/>
      <c r="C33" s="88"/>
      <c r="D33" s="8" t="s">
        <v>3</v>
      </c>
      <c r="E33" s="8" t="s">
        <v>4</v>
      </c>
    </row>
    <row r="34" spans="1:5" ht="18" customHeight="1" x14ac:dyDescent="0.3">
      <c r="A34" s="89" t="s">
        <v>5</v>
      </c>
      <c r="B34" s="90"/>
      <c r="C34" s="90"/>
      <c r="D34" s="90"/>
      <c r="E34" s="90"/>
    </row>
    <row r="35" spans="1:5" ht="18" customHeight="1" x14ac:dyDescent="0.3">
      <c r="A35" s="9" t="s">
        <v>6</v>
      </c>
      <c r="B35" s="9" t="s">
        <v>3</v>
      </c>
      <c r="C35" s="9" t="s">
        <v>7</v>
      </c>
      <c r="D35" s="9" t="s">
        <v>8</v>
      </c>
      <c r="E35" s="9" t="s">
        <v>9</v>
      </c>
    </row>
    <row r="36" spans="1:5" ht="18" customHeight="1" x14ac:dyDescent="0.3">
      <c r="A36" s="10" t="s">
        <v>10</v>
      </c>
      <c r="B36" s="10" t="s">
        <v>11</v>
      </c>
      <c r="C36" s="11">
        <v>0.05</v>
      </c>
      <c r="D36" s="12">
        <f>E58</f>
        <v>7000</v>
      </c>
      <c r="E36" s="12">
        <f>C36*D36</f>
        <v>350</v>
      </c>
    </row>
    <row r="37" spans="1:5" ht="18" customHeight="1" x14ac:dyDescent="0.3">
      <c r="A37" s="10"/>
      <c r="B37" s="10"/>
      <c r="C37" s="10"/>
      <c r="D37" s="12"/>
      <c r="E37" s="12"/>
    </row>
    <row r="38" spans="1:5" ht="18" customHeight="1" x14ac:dyDescent="0.3">
      <c r="A38" s="83" t="s">
        <v>12</v>
      </c>
      <c r="B38" s="84"/>
      <c r="C38" s="84"/>
      <c r="D38" s="84"/>
      <c r="E38" s="13">
        <f>SUM(E36:E36)</f>
        <v>350</v>
      </c>
    </row>
    <row r="39" spans="1:5" ht="18" customHeight="1" x14ac:dyDescent="0.3">
      <c r="A39" s="89" t="s">
        <v>13</v>
      </c>
      <c r="B39" s="90"/>
      <c r="C39" s="90"/>
      <c r="D39" s="90"/>
      <c r="E39" s="90"/>
    </row>
    <row r="40" spans="1:5" ht="18" customHeight="1" x14ac:dyDescent="0.3">
      <c r="A40" s="9" t="s">
        <v>6</v>
      </c>
      <c r="B40" s="9" t="s">
        <v>3</v>
      </c>
      <c r="C40" s="9" t="s">
        <v>14</v>
      </c>
      <c r="D40" s="9" t="s">
        <v>15</v>
      </c>
      <c r="E40" s="9" t="s">
        <v>9</v>
      </c>
    </row>
    <row r="41" spans="1:5" ht="18" customHeight="1" x14ac:dyDescent="0.3">
      <c r="A41" s="14" t="s">
        <v>25</v>
      </c>
      <c r="B41" s="10" t="s">
        <v>26</v>
      </c>
      <c r="C41" s="21">
        <v>0.35</v>
      </c>
      <c r="D41" s="12">
        <v>96000</v>
      </c>
      <c r="E41" s="12">
        <f>C41*D41</f>
        <v>33600</v>
      </c>
    </row>
    <row r="42" spans="1:5" ht="18" customHeight="1" x14ac:dyDescent="0.3">
      <c r="A42" s="14" t="s">
        <v>27</v>
      </c>
      <c r="B42" s="10" t="s">
        <v>26</v>
      </c>
      <c r="C42" s="21">
        <v>1</v>
      </c>
      <c r="D42" s="12">
        <v>9500</v>
      </c>
      <c r="E42" s="12">
        <f>C42*D42</f>
        <v>9500</v>
      </c>
    </row>
    <row r="43" spans="1:5" ht="18" customHeight="1" x14ac:dyDescent="0.3">
      <c r="A43" s="14" t="s">
        <v>28</v>
      </c>
      <c r="B43" s="10" t="s">
        <v>26</v>
      </c>
      <c r="C43" s="21">
        <v>1</v>
      </c>
      <c r="D43" s="12">
        <v>9000</v>
      </c>
      <c r="E43" s="12">
        <f>C43*D43</f>
        <v>9000</v>
      </c>
    </row>
    <row r="44" spans="1:5" ht="18" customHeight="1" x14ac:dyDescent="0.3">
      <c r="A44" s="14" t="s">
        <v>29</v>
      </c>
      <c r="B44" s="10" t="s">
        <v>26</v>
      </c>
      <c r="C44" s="15">
        <v>50</v>
      </c>
      <c r="D44" s="12">
        <v>40</v>
      </c>
      <c r="E44" s="12">
        <f>C44*D44</f>
        <v>2000</v>
      </c>
    </row>
    <row r="45" spans="1:5" ht="18" customHeight="1" x14ac:dyDescent="0.3">
      <c r="A45" s="14"/>
      <c r="B45" s="10"/>
      <c r="C45" s="16"/>
      <c r="D45" s="12"/>
      <c r="E45" s="12"/>
    </row>
    <row r="46" spans="1:5" ht="18" customHeight="1" x14ac:dyDescent="0.3">
      <c r="A46" s="17" t="s">
        <v>16</v>
      </c>
      <c r="B46" s="91"/>
      <c r="C46" s="88"/>
      <c r="D46" s="88"/>
      <c r="E46" s="12">
        <v>0</v>
      </c>
    </row>
    <row r="47" spans="1:5" ht="18" customHeight="1" x14ac:dyDescent="0.3">
      <c r="A47" s="17"/>
      <c r="B47" s="18"/>
      <c r="C47" s="19"/>
      <c r="D47" s="19"/>
      <c r="E47" s="12"/>
    </row>
    <row r="48" spans="1:5" ht="18" customHeight="1" x14ac:dyDescent="0.3">
      <c r="A48" s="83" t="s">
        <v>12</v>
      </c>
      <c r="B48" s="84"/>
      <c r="C48" s="84"/>
      <c r="D48" s="84"/>
      <c r="E48" s="13">
        <f>SUM(E41:E46)</f>
        <v>54100</v>
      </c>
    </row>
    <row r="49" spans="1:7" ht="18" customHeight="1" x14ac:dyDescent="0.3">
      <c r="A49" s="89" t="s">
        <v>17</v>
      </c>
      <c r="B49" s="90"/>
      <c r="C49" s="90"/>
      <c r="D49" s="90"/>
      <c r="E49" s="90"/>
    </row>
    <row r="50" spans="1:7" ht="18" customHeight="1" x14ac:dyDescent="0.3">
      <c r="A50" s="9" t="s">
        <v>6</v>
      </c>
      <c r="B50" s="9" t="s">
        <v>3</v>
      </c>
      <c r="C50" s="9" t="s">
        <v>7</v>
      </c>
      <c r="D50" s="9" t="s">
        <v>8</v>
      </c>
      <c r="E50" s="9" t="s">
        <v>9</v>
      </c>
    </row>
    <row r="51" spans="1:7" ht="18" customHeight="1" x14ac:dyDescent="0.3">
      <c r="A51" s="14" t="s">
        <v>18</v>
      </c>
      <c r="B51" s="10" t="s">
        <v>19</v>
      </c>
      <c r="C51" s="11">
        <v>2.5000000000000001E-2</v>
      </c>
      <c r="D51" s="12">
        <v>60000</v>
      </c>
      <c r="E51" s="12">
        <f>D51*C51</f>
        <v>1500</v>
      </c>
      <c r="G51" s="22"/>
    </row>
    <row r="52" spans="1:7" ht="18" customHeight="1" x14ac:dyDescent="0.3">
      <c r="A52" s="14"/>
      <c r="B52" s="10"/>
      <c r="C52" s="11"/>
      <c r="D52" s="12"/>
      <c r="E52" s="12"/>
    </row>
    <row r="53" spans="1:7" ht="18" customHeight="1" x14ac:dyDescent="0.3">
      <c r="A53" s="83" t="s">
        <v>12</v>
      </c>
      <c r="B53" s="84"/>
      <c r="C53" s="84"/>
      <c r="D53" s="84"/>
      <c r="E53" s="13">
        <f>SUM(E51)</f>
        <v>1500</v>
      </c>
    </row>
    <row r="54" spans="1:7" ht="18" customHeight="1" x14ac:dyDescent="0.3">
      <c r="A54" s="89" t="s">
        <v>20</v>
      </c>
      <c r="B54" s="90"/>
      <c r="C54" s="90"/>
      <c r="D54" s="90"/>
      <c r="E54" s="90"/>
    </row>
    <row r="55" spans="1:7" ht="18" customHeight="1" x14ac:dyDescent="0.3">
      <c r="A55" s="9" t="s">
        <v>6</v>
      </c>
      <c r="B55" s="9" t="s">
        <v>3</v>
      </c>
      <c r="C55" s="9" t="s">
        <v>7</v>
      </c>
      <c r="D55" s="9" t="s">
        <v>21</v>
      </c>
      <c r="E55" s="9" t="s">
        <v>9</v>
      </c>
    </row>
    <row r="56" spans="1:7" ht="18" customHeight="1" x14ac:dyDescent="0.3">
      <c r="A56" s="14" t="s">
        <v>30</v>
      </c>
      <c r="B56" s="10" t="s">
        <v>19</v>
      </c>
      <c r="C56" s="11">
        <v>30</v>
      </c>
      <c r="D56" s="12">
        <v>210000</v>
      </c>
      <c r="E56" s="12">
        <f>D56/C56</f>
        <v>7000</v>
      </c>
    </row>
    <row r="57" spans="1:7" ht="18" customHeight="1" x14ac:dyDescent="0.3">
      <c r="A57" s="14"/>
      <c r="B57" s="10"/>
      <c r="C57" s="11"/>
      <c r="D57" s="12"/>
      <c r="E57" s="12"/>
    </row>
    <row r="58" spans="1:7" ht="18" customHeight="1" x14ac:dyDescent="0.3">
      <c r="A58" s="83" t="s">
        <v>12</v>
      </c>
      <c r="B58" s="84"/>
      <c r="C58" s="84"/>
      <c r="D58" s="84"/>
      <c r="E58" s="13">
        <f>SUM(E56)</f>
        <v>7000</v>
      </c>
    </row>
    <row r="59" spans="1:7" ht="18" customHeight="1" x14ac:dyDescent="0.3">
      <c r="A59" s="10"/>
      <c r="B59" s="19"/>
      <c r="C59" s="19"/>
      <c r="D59" s="19"/>
      <c r="E59" s="19"/>
    </row>
    <row r="60" spans="1:7" ht="18" customHeight="1" x14ac:dyDescent="0.3">
      <c r="A60" s="83" t="s">
        <v>23</v>
      </c>
      <c r="B60" s="84"/>
      <c r="C60" s="84"/>
      <c r="D60" s="84"/>
      <c r="E60" s="13">
        <f>SUM(E38,E48,E53,E58)</f>
        <v>62950</v>
      </c>
    </row>
    <row r="63" spans="1:7" ht="18" customHeight="1" x14ac:dyDescent="0.3">
      <c r="A63" s="93" t="s">
        <v>31</v>
      </c>
      <c r="B63" s="93"/>
      <c r="C63" s="93"/>
      <c r="D63" s="23" t="s">
        <v>1</v>
      </c>
      <c r="E63" s="23">
        <v>3</v>
      </c>
    </row>
    <row r="64" spans="1:7" ht="18" customHeight="1" x14ac:dyDescent="0.3">
      <c r="A64" s="87"/>
      <c r="B64" s="87"/>
      <c r="C64" s="87"/>
      <c r="D64" s="8" t="s">
        <v>3</v>
      </c>
      <c r="E64" s="8" t="s">
        <v>4</v>
      </c>
    </row>
    <row r="65" spans="1:7" ht="18" customHeight="1" x14ac:dyDescent="0.3">
      <c r="A65" s="89" t="s">
        <v>5</v>
      </c>
      <c r="B65" s="89"/>
      <c r="C65" s="89"/>
      <c r="D65" s="89"/>
      <c r="E65" s="89"/>
    </row>
    <row r="66" spans="1:7" ht="18" customHeight="1" x14ac:dyDescent="0.3">
      <c r="A66" s="9" t="s">
        <v>6</v>
      </c>
      <c r="B66" s="9" t="s">
        <v>3</v>
      </c>
      <c r="C66" s="9" t="s">
        <v>7</v>
      </c>
      <c r="D66" s="9" t="s">
        <v>8</v>
      </c>
      <c r="E66" s="9" t="s">
        <v>9</v>
      </c>
    </row>
    <row r="67" spans="1:7" ht="18" customHeight="1" x14ac:dyDescent="0.3">
      <c r="A67" s="10" t="s">
        <v>10</v>
      </c>
      <c r="B67" s="10" t="s">
        <v>11</v>
      </c>
      <c r="C67" s="11">
        <v>0.8</v>
      </c>
      <c r="D67" s="12">
        <f>E87</f>
        <v>1300</v>
      </c>
      <c r="E67" s="12">
        <f>C67*D67</f>
        <v>1040</v>
      </c>
    </row>
    <row r="68" spans="1:7" ht="18" customHeight="1" x14ac:dyDescent="0.3">
      <c r="A68" s="10"/>
      <c r="B68" s="10"/>
      <c r="C68" s="10"/>
      <c r="D68" s="12"/>
      <c r="E68" s="12"/>
    </row>
    <row r="69" spans="1:7" ht="18" customHeight="1" x14ac:dyDescent="0.3">
      <c r="A69" s="83" t="s">
        <v>12</v>
      </c>
      <c r="B69" s="83"/>
      <c r="C69" s="83"/>
      <c r="D69" s="83"/>
      <c r="E69" s="13">
        <f>SUM(E67:E67)</f>
        <v>1040</v>
      </c>
    </row>
    <row r="70" spans="1:7" ht="18" customHeight="1" x14ac:dyDescent="0.3">
      <c r="A70" s="89" t="s">
        <v>13</v>
      </c>
      <c r="B70" s="89"/>
      <c r="C70" s="89"/>
      <c r="D70" s="89"/>
      <c r="E70" s="89"/>
    </row>
    <row r="71" spans="1:7" ht="18" customHeight="1" x14ac:dyDescent="0.3">
      <c r="A71" s="9" t="s">
        <v>6</v>
      </c>
      <c r="B71" s="9" t="s">
        <v>3</v>
      </c>
      <c r="C71" s="9" t="s">
        <v>14</v>
      </c>
      <c r="D71" s="9" t="s">
        <v>15</v>
      </c>
      <c r="E71" s="9" t="s">
        <v>9</v>
      </c>
      <c r="F71" s="24"/>
    </row>
    <row r="72" spans="1:7" ht="18" customHeight="1" x14ac:dyDescent="0.3">
      <c r="A72" s="14" t="s">
        <v>32</v>
      </c>
      <c r="B72" s="10" t="s">
        <v>33</v>
      </c>
      <c r="C72" s="16">
        <v>2.1999999999999999E-2</v>
      </c>
      <c r="D72" s="12">
        <v>300000</v>
      </c>
      <c r="E72" s="12">
        <f>C72*D72</f>
        <v>6600</v>
      </c>
      <c r="F72" s="24"/>
    </row>
    <row r="73" spans="1:7" ht="18" customHeight="1" x14ac:dyDescent="0.3">
      <c r="A73" s="14" t="s">
        <v>34</v>
      </c>
      <c r="B73" s="10" t="s">
        <v>4</v>
      </c>
      <c r="C73" s="16">
        <v>1.4999999999999999E-2</v>
      </c>
      <c r="D73" s="12">
        <v>100000</v>
      </c>
      <c r="E73" s="12">
        <f>C73*D73</f>
        <v>1500</v>
      </c>
      <c r="G73" s="24"/>
    </row>
    <row r="74" spans="1:7" ht="18" customHeight="1" x14ac:dyDescent="0.3">
      <c r="A74" s="14"/>
      <c r="B74" s="10"/>
      <c r="C74" s="16"/>
      <c r="D74" s="12"/>
      <c r="E74" s="12"/>
    </row>
    <row r="75" spans="1:7" ht="18" customHeight="1" x14ac:dyDescent="0.3">
      <c r="A75" s="17" t="s">
        <v>35</v>
      </c>
      <c r="B75" s="91"/>
      <c r="C75" s="91"/>
      <c r="D75" s="91"/>
      <c r="E75" s="12">
        <f>E72*0.03</f>
        <v>198</v>
      </c>
    </row>
    <row r="76" spans="1:7" ht="18" customHeight="1" x14ac:dyDescent="0.3">
      <c r="A76" s="17"/>
      <c r="B76" s="18"/>
      <c r="C76" s="19"/>
      <c r="D76" s="19"/>
      <c r="E76" s="12"/>
    </row>
    <row r="77" spans="1:7" ht="18" customHeight="1" x14ac:dyDescent="0.3">
      <c r="A77" s="83" t="s">
        <v>12</v>
      </c>
      <c r="B77" s="83"/>
      <c r="C77" s="83"/>
      <c r="D77" s="83"/>
      <c r="E77" s="13">
        <f>SUM(E72:E75)</f>
        <v>8298</v>
      </c>
    </row>
    <row r="78" spans="1:7" ht="18" customHeight="1" x14ac:dyDescent="0.3">
      <c r="A78" s="89" t="s">
        <v>17</v>
      </c>
      <c r="B78" s="89"/>
      <c r="C78" s="89"/>
      <c r="D78" s="89"/>
      <c r="E78" s="89"/>
    </row>
    <row r="79" spans="1:7" ht="18" customHeight="1" x14ac:dyDescent="0.3">
      <c r="A79" s="9" t="s">
        <v>6</v>
      </c>
      <c r="B79" s="9" t="s">
        <v>3</v>
      </c>
      <c r="C79" s="9" t="s">
        <v>7</v>
      </c>
      <c r="D79" s="9" t="s">
        <v>8</v>
      </c>
      <c r="E79" s="9" t="s">
        <v>9</v>
      </c>
    </row>
    <row r="80" spans="1:7" ht="18" customHeight="1" x14ac:dyDescent="0.3">
      <c r="A80" s="14" t="s">
        <v>36</v>
      </c>
      <c r="B80" s="10" t="s">
        <v>19</v>
      </c>
      <c r="C80" s="11">
        <v>2.5000000000000001E-2</v>
      </c>
      <c r="D80" s="12">
        <v>25000</v>
      </c>
      <c r="E80" s="12">
        <f>D80*C80</f>
        <v>625</v>
      </c>
      <c r="G80" s="24"/>
    </row>
    <row r="81" spans="1:5" ht="18" customHeight="1" x14ac:dyDescent="0.3">
      <c r="A81" s="14"/>
      <c r="B81" s="10"/>
      <c r="C81" s="11"/>
      <c r="D81" s="12"/>
      <c r="E81" s="12"/>
    </row>
    <row r="82" spans="1:5" ht="18" customHeight="1" x14ac:dyDescent="0.3">
      <c r="A82" s="83" t="s">
        <v>12</v>
      </c>
      <c r="B82" s="83"/>
      <c r="C82" s="83"/>
      <c r="D82" s="83"/>
      <c r="E82" s="13">
        <f>SUM(E80)</f>
        <v>625</v>
      </c>
    </row>
    <row r="83" spans="1:5" ht="18" customHeight="1" x14ac:dyDescent="0.3">
      <c r="A83" s="89" t="s">
        <v>20</v>
      </c>
      <c r="B83" s="89"/>
      <c r="C83" s="89"/>
      <c r="D83" s="89"/>
      <c r="E83" s="89"/>
    </row>
    <row r="84" spans="1:5" ht="18" customHeight="1" x14ac:dyDescent="0.3">
      <c r="A84" s="9" t="s">
        <v>6</v>
      </c>
      <c r="B84" s="9" t="s">
        <v>3</v>
      </c>
      <c r="C84" s="9" t="s">
        <v>7</v>
      </c>
      <c r="D84" s="9" t="s">
        <v>21</v>
      </c>
      <c r="E84" s="9" t="s">
        <v>9</v>
      </c>
    </row>
    <row r="85" spans="1:5" ht="18" customHeight="1" x14ac:dyDescent="0.3">
      <c r="A85" s="14" t="s">
        <v>37</v>
      </c>
      <c r="B85" s="10" t="s">
        <v>19</v>
      </c>
      <c r="C85" s="11">
        <v>100</v>
      </c>
      <c r="D85" s="12">
        <v>130000</v>
      </c>
      <c r="E85" s="12">
        <f>D85/C85</f>
        <v>1300</v>
      </c>
    </row>
    <row r="86" spans="1:5" ht="18" customHeight="1" x14ac:dyDescent="0.3">
      <c r="A86" s="14"/>
      <c r="B86" s="10"/>
      <c r="C86" s="11"/>
      <c r="D86" s="12"/>
      <c r="E86" s="12"/>
    </row>
    <row r="87" spans="1:5" ht="18" customHeight="1" x14ac:dyDescent="0.3">
      <c r="A87" s="83" t="s">
        <v>12</v>
      </c>
      <c r="B87" s="83"/>
      <c r="C87" s="83"/>
      <c r="D87" s="83"/>
      <c r="E87" s="13">
        <f>SUM(E85)</f>
        <v>1300</v>
      </c>
    </row>
    <row r="88" spans="1:5" ht="18" customHeight="1" x14ac:dyDescent="0.3">
      <c r="A88" s="10"/>
      <c r="B88" s="19"/>
      <c r="C88" s="19"/>
      <c r="D88" s="19"/>
      <c r="E88" s="19"/>
    </row>
    <row r="89" spans="1:5" ht="18" customHeight="1" x14ac:dyDescent="0.3">
      <c r="A89" s="83" t="s">
        <v>23</v>
      </c>
      <c r="B89" s="83"/>
      <c r="C89" s="83"/>
      <c r="D89" s="83"/>
      <c r="E89" s="13">
        <f>SUM(E69,E77,E82,E87)</f>
        <v>11263</v>
      </c>
    </row>
    <row r="91" spans="1:5" ht="18" customHeight="1" x14ac:dyDescent="0.3">
      <c r="B91" s="19"/>
      <c r="C91" s="19"/>
      <c r="D91" s="19"/>
      <c r="E91" s="19"/>
    </row>
    <row r="92" spans="1:5" ht="18" customHeight="1" x14ac:dyDescent="0.3">
      <c r="A92" s="93" t="s">
        <v>38</v>
      </c>
      <c r="B92" s="93"/>
      <c r="C92" s="93"/>
      <c r="D92" s="23" t="s">
        <v>1</v>
      </c>
      <c r="E92" s="23">
        <v>4</v>
      </c>
    </row>
    <row r="93" spans="1:5" ht="18" customHeight="1" x14ac:dyDescent="0.3">
      <c r="A93" s="87"/>
      <c r="B93" s="87"/>
      <c r="C93" s="87"/>
      <c r="D93" s="8" t="s">
        <v>3</v>
      </c>
      <c r="E93" s="8" t="s">
        <v>4</v>
      </c>
    </row>
    <row r="94" spans="1:5" ht="18" customHeight="1" x14ac:dyDescent="0.3">
      <c r="A94" s="89" t="s">
        <v>5</v>
      </c>
      <c r="B94" s="89"/>
      <c r="C94" s="89"/>
      <c r="D94" s="89"/>
      <c r="E94" s="89"/>
    </row>
    <row r="95" spans="1:5" ht="18" customHeight="1" x14ac:dyDescent="0.3">
      <c r="A95" s="9" t="s">
        <v>6</v>
      </c>
      <c r="B95" s="9" t="s">
        <v>3</v>
      </c>
      <c r="C95" s="9" t="s">
        <v>7</v>
      </c>
      <c r="D95" s="9" t="s">
        <v>8</v>
      </c>
      <c r="E95" s="9" t="s">
        <v>9</v>
      </c>
    </row>
    <row r="96" spans="1:5" ht="18" customHeight="1" x14ac:dyDescent="0.3">
      <c r="A96" s="10" t="s">
        <v>10</v>
      </c>
      <c r="B96" s="10" t="s">
        <v>11</v>
      </c>
      <c r="C96" s="11">
        <v>0.1</v>
      </c>
      <c r="D96" s="12">
        <f>E116</f>
        <v>2888.8888888888887</v>
      </c>
      <c r="E96" s="12">
        <f>C96*D96</f>
        <v>288.88888888888886</v>
      </c>
    </row>
    <row r="97" spans="1:7" ht="18" customHeight="1" x14ac:dyDescent="0.3">
      <c r="A97" s="10"/>
      <c r="B97" s="10"/>
      <c r="C97" s="10"/>
      <c r="D97" s="12"/>
      <c r="E97" s="12"/>
    </row>
    <row r="98" spans="1:7" ht="18" customHeight="1" x14ac:dyDescent="0.3">
      <c r="A98" s="83" t="s">
        <v>12</v>
      </c>
      <c r="B98" s="83"/>
      <c r="C98" s="83"/>
      <c r="D98" s="83"/>
      <c r="E98" s="13">
        <f>SUM(E96:E96)</f>
        <v>288.88888888888886</v>
      </c>
    </row>
    <row r="99" spans="1:7" ht="18" customHeight="1" x14ac:dyDescent="0.3">
      <c r="A99" s="89" t="s">
        <v>13</v>
      </c>
      <c r="B99" s="89"/>
      <c r="C99" s="89"/>
      <c r="D99" s="89"/>
      <c r="E99" s="89"/>
    </row>
    <row r="100" spans="1:7" ht="18" customHeight="1" x14ac:dyDescent="0.3">
      <c r="A100" s="9" t="s">
        <v>6</v>
      </c>
      <c r="B100" s="9" t="s">
        <v>3</v>
      </c>
      <c r="C100" s="9" t="s">
        <v>14</v>
      </c>
      <c r="D100" s="9" t="s">
        <v>15</v>
      </c>
      <c r="E100" s="9" t="s">
        <v>9</v>
      </c>
    </row>
    <row r="101" spans="1:7" ht="18" customHeight="1" x14ac:dyDescent="0.3">
      <c r="A101" s="14" t="s">
        <v>39</v>
      </c>
      <c r="B101" s="10" t="s">
        <v>4</v>
      </c>
      <c r="C101" s="21">
        <v>0.15</v>
      </c>
      <c r="D101" s="12">
        <v>48000</v>
      </c>
      <c r="E101" s="12">
        <f>C101*D101</f>
        <v>7200</v>
      </c>
    </row>
    <row r="102" spans="1:7" ht="18" customHeight="1" x14ac:dyDescent="0.3">
      <c r="A102" s="14" t="s">
        <v>40</v>
      </c>
      <c r="B102" s="10" t="s">
        <v>41</v>
      </c>
      <c r="C102" s="16">
        <v>8.0000000000000002E-3</v>
      </c>
      <c r="D102" s="12">
        <v>56000</v>
      </c>
      <c r="E102" s="12">
        <f>C102*D102</f>
        <v>448</v>
      </c>
    </row>
    <row r="103" spans="1:7" ht="18" customHeight="1" x14ac:dyDescent="0.3">
      <c r="A103" s="14"/>
      <c r="B103" s="10"/>
      <c r="C103" s="16"/>
      <c r="D103" s="12"/>
      <c r="E103" s="12"/>
    </row>
    <row r="104" spans="1:7" ht="18" customHeight="1" x14ac:dyDescent="0.3">
      <c r="A104" s="17" t="s">
        <v>35</v>
      </c>
      <c r="B104" s="91"/>
      <c r="C104" s="91"/>
      <c r="D104" s="91"/>
      <c r="E104" s="12">
        <f>E101*0.03</f>
        <v>216</v>
      </c>
    </row>
    <row r="105" spans="1:7" ht="18" customHeight="1" x14ac:dyDescent="0.3">
      <c r="A105" s="17"/>
      <c r="B105" s="18"/>
      <c r="C105" s="19"/>
      <c r="D105" s="19"/>
      <c r="E105" s="12"/>
    </row>
    <row r="106" spans="1:7" ht="18" customHeight="1" x14ac:dyDescent="0.3">
      <c r="A106" s="83" t="s">
        <v>12</v>
      </c>
      <c r="B106" s="83"/>
      <c r="C106" s="83"/>
      <c r="D106" s="83"/>
      <c r="E106" s="13">
        <f>SUM(E101:E104)</f>
        <v>7864</v>
      </c>
    </row>
    <row r="107" spans="1:7" ht="18" customHeight="1" x14ac:dyDescent="0.3">
      <c r="A107" s="89" t="s">
        <v>17</v>
      </c>
      <c r="B107" s="89"/>
      <c r="C107" s="89"/>
      <c r="D107" s="89"/>
      <c r="E107" s="89"/>
    </row>
    <row r="108" spans="1:7" ht="18" customHeight="1" x14ac:dyDescent="0.3">
      <c r="A108" s="9" t="s">
        <v>6</v>
      </c>
      <c r="B108" s="9" t="s">
        <v>3</v>
      </c>
      <c r="C108" s="9" t="s">
        <v>7</v>
      </c>
      <c r="D108" s="9" t="s">
        <v>8</v>
      </c>
      <c r="E108" s="9" t="s">
        <v>9</v>
      </c>
    </row>
    <row r="109" spans="1:7" ht="18" customHeight="1" x14ac:dyDescent="0.3">
      <c r="A109" s="14" t="s">
        <v>36</v>
      </c>
      <c r="B109" s="10" t="s">
        <v>19</v>
      </c>
      <c r="C109" s="11">
        <v>2.5000000000000001E-2</v>
      </c>
      <c r="D109" s="12">
        <v>45000</v>
      </c>
      <c r="E109" s="12">
        <f>D109*C109</f>
        <v>1125</v>
      </c>
      <c r="G109" s="24"/>
    </row>
    <row r="110" spans="1:7" ht="18" customHeight="1" x14ac:dyDescent="0.3">
      <c r="A110" s="14"/>
      <c r="B110" s="10"/>
      <c r="C110" s="11"/>
      <c r="D110" s="12"/>
      <c r="E110" s="12"/>
    </row>
    <row r="111" spans="1:7" ht="18" customHeight="1" x14ac:dyDescent="0.3">
      <c r="A111" s="83" t="s">
        <v>12</v>
      </c>
      <c r="B111" s="83"/>
      <c r="C111" s="83"/>
      <c r="D111" s="83"/>
      <c r="E111" s="13">
        <f>SUM(E109)</f>
        <v>1125</v>
      </c>
    </row>
    <row r="112" spans="1:7" ht="18" customHeight="1" x14ac:dyDescent="0.3">
      <c r="A112" s="89" t="s">
        <v>20</v>
      </c>
      <c r="B112" s="89"/>
      <c r="C112" s="89"/>
      <c r="D112" s="89"/>
      <c r="E112" s="89"/>
    </row>
    <row r="113" spans="1:5" ht="18" customHeight="1" x14ac:dyDescent="0.3">
      <c r="A113" s="9" t="s">
        <v>6</v>
      </c>
      <c r="B113" s="9" t="s">
        <v>3</v>
      </c>
      <c r="C113" s="9" t="s">
        <v>7</v>
      </c>
      <c r="D113" s="9" t="s">
        <v>21</v>
      </c>
      <c r="E113" s="9" t="s">
        <v>9</v>
      </c>
    </row>
    <row r="114" spans="1:5" ht="18" customHeight="1" x14ac:dyDescent="0.3">
      <c r="A114" s="14" t="s">
        <v>37</v>
      </c>
      <c r="B114" s="10" t="s">
        <v>19</v>
      </c>
      <c r="C114" s="11">
        <v>45</v>
      </c>
      <c r="D114" s="12">
        <v>130000</v>
      </c>
      <c r="E114" s="12">
        <f>D114/C114</f>
        <v>2888.8888888888887</v>
      </c>
    </row>
    <row r="115" spans="1:5" ht="18" customHeight="1" x14ac:dyDescent="0.3">
      <c r="A115" s="14"/>
      <c r="B115" s="10"/>
      <c r="C115" s="11"/>
      <c r="D115" s="12"/>
      <c r="E115" s="12"/>
    </row>
    <row r="116" spans="1:5" ht="18" customHeight="1" x14ac:dyDescent="0.3">
      <c r="A116" s="83" t="s">
        <v>12</v>
      </c>
      <c r="B116" s="83"/>
      <c r="C116" s="83"/>
      <c r="D116" s="83"/>
      <c r="E116" s="13">
        <f>SUM(E114)</f>
        <v>2888.8888888888887</v>
      </c>
    </row>
    <row r="117" spans="1:5" ht="18" customHeight="1" x14ac:dyDescent="0.3">
      <c r="A117" s="10"/>
      <c r="B117" s="19"/>
      <c r="C117" s="19"/>
      <c r="D117" s="19"/>
      <c r="E117" s="19"/>
    </row>
    <row r="118" spans="1:5" ht="18" customHeight="1" x14ac:dyDescent="0.3">
      <c r="A118" s="83" t="s">
        <v>23</v>
      </c>
      <c r="B118" s="83"/>
      <c r="C118" s="83"/>
      <c r="D118" s="83"/>
      <c r="E118" s="13">
        <f>SUM(E98,E106,E111,E116)</f>
        <v>12166.777777777777</v>
      </c>
    </row>
    <row r="121" spans="1:5" ht="18" customHeight="1" x14ac:dyDescent="0.3">
      <c r="A121" s="2"/>
      <c r="B121" s="3"/>
      <c r="C121" s="3"/>
      <c r="D121" s="3"/>
      <c r="E121" s="3"/>
    </row>
    <row r="122" spans="1:5" ht="18" customHeight="1" x14ac:dyDescent="0.3">
      <c r="A122" s="93" t="s">
        <v>42</v>
      </c>
      <c r="B122" s="93"/>
      <c r="C122" s="93"/>
      <c r="D122" s="23" t="s">
        <v>1</v>
      </c>
      <c r="E122" s="23">
        <v>5</v>
      </c>
    </row>
    <row r="123" spans="1:5" ht="18" customHeight="1" x14ac:dyDescent="0.3">
      <c r="A123" s="87"/>
      <c r="B123" s="88"/>
      <c r="C123" s="88"/>
      <c r="D123" s="8" t="s">
        <v>3</v>
      </c>
      <c r="E123" s="8" t="s">
        <v>43</v>
      </c>
    </row>
    <row r="124" spans="1:5" ht="18" customHeight="1" x14ac:dyDescent="0.3">
      <c r="A124" s="89" t="s">
        <v>5</v>
      </c>
      <c r="B124" s="90"/>
      <c r="C124" s="90"/>
      <c r="D124" s="90"/>
      <c r="E124" s="90"/>
    </row>
    <row r="125" spans="1:5" ht="18" customHeight="1" x14ac:dyDescent="0.3">
      <c r="A125" s="9" t="s">
        <v>6</v>
      </c>
      <c r="B125" s="9" t="s">
        <v>3</v>
      </c>
      <c r="C125" s="9" t="s">
        <v>7</v>
      </c>
      <c r="D125" s="9" t="s">
        <v>8</v>
      </c>
      <c r="E125" s="9" t="s">
        <v>9</v>
      </c>
    </row>
    <row r="126" spans="1:5" ht="18" customHeight="1" x14ac:dyDescent="0.3">
      <c r="A126" s="10" t="s">
        <v>10</v>
      </c>
      <c r="B126" s="10" t="s">
        <v>11</v>
      </c>
      <c r="C126" s="11">
        <v>0.1</v>
      </c>
      <c r="D126" s="12">
        <f>E148</f>
        <v>2888.8888888888887</v>
      </c>
      <c r="E126" s="12">
        <f>C126*D126</f>
        <v>288.88888888888886</v>
      </c>
    </row>
    <row r="127" spans="1:5" ht="18" customHeight="1" x14ac:dyDescent="0.3">
      <c r="A127" s="10"/>
      <c r="B127" s="10"/>
      <c r="C127" s="10"/>
      <c r="D127" s="12"/>
      <c r="E127" s="12"/>
    </row>
    <row r="128" spans="1:5" ht="18" customHeight="1" x14ac:dyDescent="0.3">
      <c r="A128" s="83" t="s">
        <v>12</v>
      </c>
      <c r="B128" s="84"/>
      <c r="C128" s="84"/>
      <c r="D128" s="84"/>
      <c r="E128" s="13">
        <f>SUM(E126:E126)</f>
        <v>288.88888888888886</v>
      </c>
    </row>
    <row r="129" spans="1:5" ht="18" customHeight="1" x14ac:dyDescent="0.3">
      <c r="A129" s="89" t="s">
        <v>13</v>
      </c>
      <c r="B129" s="90"/>
      <c r="C129" s="90"/>
      <c r="D129" s="90"/>
      <c r="E129" s="90"/>
    </row>
    <row r="130" spans="1:5" ht="18" customHeight="1" x14ac:dyDescent="0.3">
      <c r="A130" s="9" t="s">
        <v>6</v>
      </c>
      <c r="B130" s="9" t="s">
        <v>3</v>
      </c>
      <c r="C130" s="9" t="s">
        <v>14</v>
      </c>
      <c r="D130" s="9" t="s">
        <v>15</v>
      </c>
      <c r="E130" s="9" t="s">
        <v>9</v>
      </c>
    </row>
    <row r="131" spans="1:5" ht="18" customHeight="1" x14ac:dyDescent="0.3">
      <c r="A131" s="14" t="s">
        <v>44</v>
      </c>
      <c r="B131" s="10" t="s">
        <v>4</v>
      </c>
      <c r="C131" s="25">
        <v>1</v>
      </c>
      <c r="D131" s="12">
        <v>60000</v>
      </c>
      <c r="E131" s="12">
        <f>C131*D131</f>
        <v>60000</v>
      </c>
    </row>
    <row r="132" spans="1:5" ht="18" customHeight="1" x14ac:dyDescent="0.3">
      <c r="A132" s="14" t="s">
        <v>45</v>
      </c>
      <c r="B132" s="10" t="s">
        <v>4</v>
      </c>
      <c r="C132" s="16">
        <v>0.15</v>
      </c>
      <c r="D132" s="12">
        <v>38000</v>
      </c>
      <c r="E132" s="12">
        <f>C132*D132</f>
        <v>5700</v>
      </c>
    </row>
    <row r="133" spans="1:5" ht="18" customHeight="1" x14ac:dyDescent="0.3">
      <c r="A133" s="14" t="s">
        <v>62</v>
      </c>
      <c r="B133" s="10" t="s">
        <v>4</v>
      </c>
      <c r="C133" s="16">
        <v>0.1</v>
      </c>
      <c r="D133" s="12">
        <v>28000</v>
      </c>
      <c r="E133" s="12">
        <f>C133*D133</f>
        <v>2800</v>
      </c>
    </row>
    <row r="134" spans="1:5" ht="18" customHeight="1" x14ac:dyDescent="0.3">
      <c r="A134" s="14" t="s">
        <v>64</v>
      </c>
      <c r="B134" s="10" t="s">
        <v>63</v>
      </c>
      <c r="C134" s="16">
        <v>0.1</v>
      </c>
      <c r="D134" s="12">
        <v>15000</v>
      </c>
      <c r="E134" s="12">
        <f>C134*D134</f>
        <v>1500</v>
      </c>
    </row>
    <row r="135" spans="1:5" ht="18" customHeight="1" x14ac:dyDescent="0.3">
      <c r="A135" s="14"/>
      <c r="B135" s="10"/>
      <c r="C135" s="16"/>
      <c r="D135" s="12"/>
      <c r="E135" s="12"/>
    </row>
    <row r="136" spans="1:5" ht="18" customHeight="1" x14ac:dyDescent="0.3">
      <c r="A136" s="26" t="s">
        <v>46</v>
      </c>
      <c r="B136" s="92"/>
      <c r="C136" s="88"/>
      <c r="D136" s="88"/>
      <c r="E136" s="27">
        <f>(E131+E135)*0.05</f>
        <v>3000</v>
      </c>
    </row>
    <row r="137" spans="1:5" ht="18" customHeight="1" x14ac:dyDescent="0.3">
      <c r="A137" s="26"/>
      <c r="B137" s="28"/>
      <c r="C137" s="19"/>
      <c r="D137" s="19"/>
      <c r="E137" s="27"/>
    </row>
    <row r="138" spans="1:5" ht="18" customHeight="1" x14ac:dyDescent="0.3">
      <c r="A138" s="83" t="s">
        <v>12</v>
      </c>
      <c r="B138" s="84"/>
      <c r="C138" s="84"/>
      <c r="D138" s="84"/>
      <c r="E138" s="13">
        <f>SUM(E131:E136)</f>
        <v>73000</v>
      </c>
    </row>
    <row r="139" spans="1:5" ht="18" customHeight="1" x14ac:dyDescent="0.3">
      <c r="A139" s="89" t="s">
        <v>17</v>
      </c>
      <c r="B139" s="90"/>
      <c r="C139" s="90"/>
      <c r="D139" s="90"/>
      <c r="E139" s="90"/>
    </row>
    <row r="140" spans="1:5" ht="18" customHeight="1" x14ac:dyDescent="0.3">
      <c r="A140" s="9" t="s">
        <v>6</v>
      </c>
      <c r="B140" s="9" t="s">
        <v>3</v>
      </c>
      <c r="C140" s="9" t="s">
        <v>7</v>
      </c>
      <c r="D140" s="9" t="s">
        <v>8</v>
      </c>
      <c r="E140" s="9" t="s">
        <v>9</v>
      </c>
    </row>
    <row r="141" spans="1:5" ht="18" customHeight="1" x14ac:dyDescent="0.3">
      <c r="A141" s="14" t="s">
        <v>36</v>
      </c>
      <c r="B141" s="10" t="s">
        <v>19</v>
      </c>
      <c r="C141" s="11">
        <v>2.5000000000000001E-2</v>
      </c>
      <c r="D141" s="12">
        <v>45000</v>
      </c>
      <c r="E141" s="12">
        <f>D141*C141</f>
        <v>1125</v>
      </c>
    </row>
    <row r="142" spans="1:5" ht="18" customHeight="1" x14ac:dyDescent="0.3">
      <c r="A142" s="14"/>
      <c r="B142" s="10"/>
      <c r="C142" s="11"/>
      <c r="D142" s="12"/>
      <c r="E142" s="12"/>
    </row>
    <row r="143" spans="1:5" ht="18" customHeight="1" x14ac:dyDescent="0.3">
      <c r="A143" s="83" t="s">
        <v>12</v>
      </c>
      <c r="B143" s="84"/>
      <c r="C143" s="84"/>
      <c r="D143" s="84"/>
      <c r="E143" s="13">
        <f>SUM(E141)</f>
        <v>1125</v>
      </c>
    </row>
    <row r="144" spans="1:5" ht="18" customHeight="1" x14ac:dyDescent="0.3">
      <c r="A144" s="89" t="s">
        <v>20</v>
      </c>
      <c r="B144" s="90"/>
      <c r="C144" s="90"/>
      <c r="D144" s="90"/>
      <c r="E144" s="90"/>
    </row>
    <row r="145" spans="1:5" ht="18" customHeight="1" x14ac:dyDescent="0.3">
      <c r="A145" s="9" t="s">
        <v>6</v>
      </c>
      <c r="B145" s="9" t="s">
        <v>3</v>
      </c>
      <c r="C145" s="9" t="s">
        <v>7</v>
      </c>
      <c r="D145" s="9" t="s">
        <v>21</v>
      </c>
      <c r="E145" s="9" t="s">
        <v>9</v>
      </c>
    </row>
    <row r="146" spans="1:5" ht="18" customHeight="1" x14ac:dyDescent="0.3">
      <c r="A146" s="14" t="s">
        <v>30</v>
      </c>
      <c r="B146" s="10" t="s">
        <v>19</v>
      </c>
      <c r="C146" s="11">
        <v>45</v>
      </c>
      <c r="D146" s="12">
        <v>130000</v>
      </c>
      <c r="E146" s="12">
        <f>D146/C146</f>
        <v>2888.8888888888887</v>
      </c>
    </row>
    <row r="147" spans="1:5" ht="18" customHeight="1" x14ac:dyDescent="0.3">
      <c r="A147" s="14"/>
      <c r="B147" s="10"/>
      <c r="C147" s="11"/>
      <c r="D147" s="12"/>
      <c r="E147" s="12"/>
    </row>
    <row r="148" spans="1:5" ht="18" customHeight="1" x14ac:dyDescent="0.3">
      <c r="A148" s="83" t="s">
        <v>12</v>
      </c>
      <c r="B148" s="84"/>
      <c r="C148" s="84"/>
      <c r="D148" s="84"/>
      <c r="E148" s="13">
        <f>SUM(E146)</f>
        <v>2888.8888888888887</v>
      </c>
    </row>
    <row r="149" spans="1:5" ht="18" customHeight="1" x14ac:dyDescent="0.3">
      <c r="A149" s="10"/>
      <c r="B149" s="19"/>
      <c r="C149" s="19"/>
      <c r="D149" s="19"/>
      <c r="E149" s="19"/>
    </row>
    <row r="150" spans="1:5" ht="18" customHeight="1" x14ac:dyDescent="0.3">
      <c r="A150" s="83" t="s">
        <v>23</v>
      </c>
      <c r="B150" s="84"/>
      <c r="C150" s="84"/>
      <c r="D150" s="84"/>
      <c r="E150" s="13">
        <f>SUM(E128,E138,E143,E148)</f>
        <v>77302.777777777781</v>
      </c>
    </row>
    <row r="154" spans="1:5" ht="18" customHeight="1" x14ac:dyDescent="0.3">
      <c r="A154" s="4" t="s">
        <v>47</v>
      </c>
      <c r="B154" s="5"/>
      <c r="C154" s="5"/>
      <c r="D154" s="5"/>
      <c r="E154" s="5"/>
    </row>
    <row r="155" spans="1:5" ht="18" customHeight="1" x14ac:dyDescent="0.3">
      <c r="A155" s="2"/>
      <c r="B155" s="3"/>
      <c r="C155" s="3"/>
      <c r="D155" s="3"/>
      <c r="E155" s="3"/>
    </row>
    <row r="156" spans="1:5" ht="18" customHeight="1" x14ac:dyDescent="0.3">
      <c r="A156" s="85" t="s">
        <v>48</v>
      </c>
      <c r="B156" s="86"/>
      <c r="C156" s="86"/>
      <c r="D156" s="7" t="s">
        <v>1</v>
      </c>
      <c r="E156" s="7" t="s">
        <v>2</v>
      </c>
    </row>
    <row r="157" spans="1:5" ht="18" customHeight="1" x14ac:dyDescent="0.3">
      <c r="A157" s="87"/>
      <c r="B157" s="88"/>
      <c r="C157" s="88"/>
      <c r="D157" s="8" t="s">
        <v>3</v>
      </c>
      <c r="E157" s="8" t="s">
        <v>49</v>
      </c>
    </row>
    <row r="158" spans="1:5" ht="18" customHeight="1" x14ac:dyDescent="0.3">
      <c r="A158" s="89" t="s">
        <v>5</v>
      </c>
      <c r="B158" s="90"/>
      <c r="C158" s="90"/>
      <c r="D158" s="90"/>
      <c r="E158" s="90"/>
    </row>
    <row r="159" spans="1:5" ht="18" customHeight="1" x14ac:dyDescent="0.3">
      <c r="A159" s="9" t="s">
        <v>6</v>
      </c>
      <c r="B159" s="9" t="s">
        <v>3</v>
      </c>
      <c r="C159" s="9" t="s">
        <v>7</v>
      </c>
      <c r="D159" s="9" t="s">
        <v>8</v>
      </c>
      <c r="E159" s="9" t="s">
        <v>9</v>
      </c>
    </row>
    <row r="160" spans="1:5" ht="18" customHeight="1" x14ac:dyDescent="0.3">
      <c r="A160" s="10" t="s">
        <v>10</v>
      </c>
      <c r="B160" s="10" t="s">
        <v>11</v>
      </c>
      <c r="C160" s="11">
        <v>0.1</v>
      </c>
      <c r="D160" s="12">
        <f>E180</f>
        <v>5200</v>
      </c>
      <c r="E160" s="12">
        <f>C160*D160</f>
        <v>520</v>
      </c>
    </row>
    <row r="161" spans="1:5" ht="18" customHeight="1" x14ac:dyDescent="0.3">
      <c r="A161" s="10"/>
      <c r="B161" s="10"/>
      <c r="C161" s="10"/>
      <c r="D161" s="12"/>
      <c r="E161" s="12"/>
    </row>
    <row r="162" spans="1:5" ht="18" customHeight="1" x14ac:dyDescent="0.3">
      <c r="A162" s="83" t="s">
        <v>12</v>
      </c>
      <c r="B162" s="84"/>
      <c r="C162" s="84"/>
      <c r="D162" s="84"/>
      <c r="E162" s="13">
        <f>SUM(E160:E160)</f>
        <v>520</v>
      </c>
    </row>
    <row r="163" spans="1:5" ht="18" customHeight="1" x14ac:dyDescent="0.3">
      <c r="A163" s="89" t="s">
        <v>13</v>
      </c>
      <c r="B163" s="90"/>
      <c r="C163" s="90"/>
      <c r="D163" s="90"/>
      <c r="E163" s="90"/>
    </row>
    <row r="164" spans="1:5" ht="18" customHeight="1" x14ac:dyDescent="0.3">
      <c r="A164" s="9" t="s">
        <v>6</v>
      </c>
      <c r="B164" s="9" t="s">
        <v>3</v>
      </c>
      <c r="C164" s="9" t="s">
        <v>14</v>
      </c>
      <c r="D164" s="9" t="s">
        <v>15</v>
      </c>
      <c r="E164" s="9" t="s">
        <v>9</v>
      </c>
    </row>
    <row r="165" spans="1:5" ht="18" customHeight="1" x14ac:dyDescent="0.3">
      <c r="A165" s="14" t="s">
        <v>50</v>
      </c>
      <c r="B165" s="10" t="s">
        <v>51</v>
      </c>
      <c r="C165" s="25">
        <v>0.05</v>
      </c>
      <c r="D165" s="12">
        <f>22500/6</f>
        <v>3750</v>
      </c>
      <c r="E165" s="12">
        <f>C165*D165</f>
        <v>187.5</v>
      </c>
    </row>
    <row r="166" spans="1:5" ht="18" customHeight="1" x14ac:dyDescent="0.3">
      <c r="A166" s="14" t="s">
        <v>52</v>
      </c>
      <c r="B166" s="10" t="s">
        <v>26</v>
      </c>
      <c r="C166" s="25">
        <v>0.08</v>
      </c>
      <c r="D166" s="12">
        <v>90000</v>
      </c>
      <c r="E166" s="12">
        <f>C166*D166</f>
        <v>7200</v>
      </c>
    </row>
    <row r="167" spans="1:5" ht="18" customHeight="1" x14ac:dyDescent="0.3">
      <c r="A167" s="14"/>
      <c r="B167" s="10"/>
      <c r="C167" s="16"/>
      <c r="D167" s="12"/>
      <c r="E167" s="12"/>
    </row>
    <row r="168" spans="1:5" ht="18" customHeight="1" x14ac:dyDescent="0.3">
      <c r="A168" s="17" t="s">
        <v>16</v>
      </c>
      <c r="B168" s="91"/>
      <c r="C168" s="88"/>
      <c r="D168" s="88"/>
      <c r="E168" s="12">
        <f>SUM(E166:E167)*0.02</f>
        <v>144</v>
      </c>
    </row>
    <row r="169" spans="1:5" ht="18" customHeight="1" x14ac:dyDescent="0.3">
      <c r="A169" s="17"/>
      <c r="B169" s="18"/>
      <c r="C169" s="19"/>
      <c r="D169" s="19"/>
      <c r="E169" s="12"/>
    </row>
    <row r="170" spans="1:5" ht="18" customHeight="1" x14ac:dyDescent="0.3">
      <c r="A170" s="83" t="s">
        <v>12</v>
      </c>
      <c r="B170" s="84"/>
      <c r="C170" s="84"/>
      <c r="D170" s="84"/>
      <c r="E170" s="13">
        <f>SUM(E165:E168)</f>
        <v>7531.5</v>
      </c>
    </row>
    <row r="171" spans="1:5" ht="18" customHeight="1" x14ac:dyDescent="0.3">
      <c r="A171" s="89" t="s">
        <v>17</v>
      </c>
      <c r="B171" s="90"/>
      <c r="C171" s="90"/>
      <c r="D171" s="90"/>
      <c r="E171" s="90"/>
    </row>
    <row r="172" spans="1:5" ht="18" customHeight="1" x14ac:dyDescent="0.3">
      <c r="A172" s="9" t="s">
        <v>6</v>
      </c>
      <c r="B172" s="9" t="s">
        <v>3</v>
      </c>
      <c r="C172" s="9" t="s">
        <v>7</v>
      </c>
      <c r="D172" s="9" t="s">
        <v>8</v>
      </c>
      <c r="E172" s="9" t="s">
        <v>9</v>
      </c>
    </row>
    <row r="173" spans="1:5" ht="18" customHeight="1" x14ac:dyDescent="0.3">
      <c r="A173" s="14" t="s">
        <v>18</v>
      </c>
      <c r="B173" s="10" t="s">
        <v>19</v>
      </c>
      <c r="C173" s="11">
        <v>0.02</v>
      </c>
      <c r="D173" s="12">
        <v>45000</v>
      </c>
      <c r="E173" s="12">
        <f>D173*C173</f>
        <v>900</v>
      </c>
    </row>
    <row r="174" spans="1:5" ht="18" customHeight="1" x14ac:dyDescent="0.3">
      <c r="A174" s="14"/>
      <c r="B174" s="10"/>
      <c r="C174" s="11"/>
      <c r="D174" s="12"/>
      <c r="E174" s="12"/>
    </row>
    <row r="175" spans="1:5" ht="18" customHeight="1" x14ac:dyDescent="0.3">
      <c r="A175" s="83" t="s">
        <v>12</v>
      </c>
      <c r="B175" s="84"/>
      <c r="C175" s="84"/>
      <c r="D175" s="84"/>
      <c r="E175" s="13">
        <f>SUM(E173)</f>
        <v>900</v>
      </c>
    </row>
    <row r="176" spans="1:5" ht="18" customHeight="1" x14ac:dyDescent="0.3">
      <c r="A176" s="89" t="s">
        <v>20</v>
      </c>
      <c r="B176" s="90"/>
      <c r="C176" s="90"/>
      <c r="D176" s="90"/>
      <c r="E176" s="90"/>
    </row>
    <row r="177" spans="1:5" ht="18" customHeight="1" x14ac:dyDescent="0.3">
      <c r="A177" s="9" t="s">
        <v>6</v>
      </c>
      <c r="B177" s="9" t="s">
        <v>3</v>
      </c>
      <c r="C177" s="9" t="s">
        <v>7</v>
      </c>
      <c r="D177" s="9" t="s">
        <v>21</v>
      </c>
      <c r="E177" s="9" t="s">
        <v>9</v>
      </c>
    </row>
    <row r="178" spans="1:5" ht="18" customHeight="1" x14ac:dyDescent="0.3">
      <c r="A178" s="14" t="s">
        <v>22</v>
      </c>
      <c r="B178" s="10" t="s">
        <v>19</v>
      </c>
      <c r="C178" s="11">
        <v>25</v>
      </c>
      <c r="D178" s="12">
        <v>130000</v>
      </c>
      <c r="E178" s="12">
        <f>D178/C178</f>
        <v>5200</v>
      </c>
    </row>
    <row r="179" spans="1:5" ht="18" customHeight="1" x14ac:dyDescent="0.3">
      <c r="A179" s="14"/>
      <c r="B179" s="10"/>
      <c r="C179" s="11"/>
      <c r="D179" s="12"/>
      <c r="E179" s="12"/>
    </row>
    <row r="180" spans="1:5" ht="18" customHeight="1" x14ac:dyDescent="0.3">
      <c r="A180" s="83" t="s">
        <v>12</v>
      </c>
      <c r="B180" s="84"/>
      <c r="C180" s="84"/>
      <c r="D180" s="84"/>
      <c r="E180" s="13">
        <f>SUM(E178)</f>
        <v>5200</v>
      </c>
    </row>
    <row r="181" spans="1:5" ht="18" customHeight="1" x14ac:dyDescent="0.3">
      <c r="A181" s="10"/>
      <c r="B181" s="19"/>
      <c r="C181" s="19"/>
      <c r="D181" s="19"/>
      <c r="E181" s="19"/>
    </row>
    <row r="182" spans="1:5" ht="18" customHeight="1" x14ac:dyDescent="0.3">
      <c r="A182" s="83" t="s">
        <v>23</v>
      </c>
      <c r="B182" s="84"/>
      <c r="C182" s="84"/>
      <c r="D182" s="84"/>
      <c r="E182" s="13">
        <f>SUM(E162,E170,E175,E180)</f>
        <v>14151.5</v>
      </c>
    </row>
    <row r="185" spans="1:5" ht="18" customHeight="1" x14ac:dyDescent="0.3">
      <c r="A185" s="85" t="s">
        <v>53</v>
      </c>
      <c r="B185" s="86"/>
      <c r="C185" s="86"/>
      <c r="D185" s="7" t="s">
        <v>1</v>
      </c>
      <c r="E185" s="7">
        <v>2</v>
      </c>
    </row>
    <row r="186" spans="1:5" ht="18" customHeight="1" x14ac:dyDescent="0.3">
      <c r="A186" s="87"/>
      <c r="B186" s="88"/>
      <c r="C186" s="88"/>
      <c r="D186" s="8" t="s">
        <v>3</v>
      </c>
      <c r="E186" s="8" t="s">
        <v>43</v>
      </c>
    </row>
    <row r="187" spans="1:5" ht="18" customHeight="1" x14ac:dyDescent="0.3">
      <c r="A187" s="89" t="s">
        <v>5</v>
      </c>
      <c r="B187" s="90"/>
      <c r="C187" s="90"/>
      <c r="D187" s="90"/>
      <c r="E187" s="90"/>
    </row>
    <row r="188" spans="1:5" ht="18" customHeight="1" x14ac:dyDescent="0.3">
      <c r="A188" s="9" t="s">
        <v>6</v>
      </c>
      <c r="B188" s="9" t="s">
        <v>3</v>
      </c>
      <c r="C188" s="9" t="s">
        <v>7</v>
      </c>
      <c r="D188" s="9" t="s">
        <v>8</v>
      </c>
      <c r="E188" s="9" t="s">
        <v>9</v>
      </c>
    </row>
    <row r="189" spans="1:5" ht="18" customHeight="1" x14ac:dyDescent="0.3">
      <c r="A189" s="10" t="s">
        <v>10</v>
      </c>
      <c r="B189" s="10" t="s">
        <v>11</v>
      </c>
      <c r="C189" s="11">
        <v>0.1</v>
      </c>
      <c r="D189" s="12">
        <f>E211</f>
        <v>4333.333333333333</v>
      </c>
      <c r="E189" s="12">
        <f>C189*D189</f>
        <v>433.33333333333331</v>
      </c>
    </row>
    <row r="190" spans="1:5" ht="18" customHeight="1" x14ac:dyDescent="0.3">
      <c r="A190" s="10"/>
      <c r="B190" s="10"/>
      <c r="C190" s="10"/>
      <c r="D190" s="12"/>
      <c r="E190" s="12"/>
    </row>
    <row r="191" spans="1:5" ht="18" customHeight="1" x14ac:dyDescent="0.3">
      <c r="A191" s="83" t="s">
        <v>12</v>
      </c>
      <c r="B191" s="84"/>
      <c r="C191" s="84"/>
      <c r="D191" s="84"/>
      <c r="E191" s="13">
        <f>SUM(E189:E189)</f>
        <v>433.33333333333331</v>
      </c>
    </row>
    <row r="192" spans="1:5" ht="18" customHeight="1" x14ac:dyDescent="0.3">
      <c r="A192" s="89" t="s">
        <v>13</v>
      </c>
      <c r="B192" s="90"/>
      <c r="C192" s="90"/>
      <c r="D192" s="90"/>
      <c r="E192" s="90"/>
    </row>
    <row r="193" spans="1:5" ht="18" customHeight="1" x14ac:dyDescent="0.3">
      <c r="A193" s="9" t="s">
        <v>6</v>
      </c>
      <c r="B193" s="9" t="s">
        <v>3</v>
      </c>
      <c r="C193" s="9" t="s">
        <v>14</v>
      </c>
      <c r="D193" s="9" t="s">
        <v>15</v>
      </c>
      <c r="E193" s="9" t="s">
        <v>9</v>
      </c>
    </row>
    <row r="194" spans="1:5" ht="18" customHeight="1" x14ac:dyDescent="0.3">
      <c r="A194" s="14" t="s">
        <v>54</v>
      </c>
      <c r="B194" s="10" t="s">
        <v>26</v>
      </c>
      <c r="C194" s="25">
        <v>0.25</v>
      </c>
      <c r="D194" s="12">
        <v>17000</v>
      </c>
      <c r="E194" s="12">
        <f>C194*D194</f>
        <v>4250</v>
      </c>
    </row>
    <row r="195" spans="1:5" ht="18" customHeight="1" x14ac:dyDescent="0.3">
      <c r="A195" s="14" t="s">
        <v>55</v>
      </c>
      <c r="B195" s="10" t="s">
        <v>26</v>
      </c>
      <c r="C195" s="25">
        <v>0.5</v>
      </c>
      <c r="D195" s="12">
        <v>5000</v>
      </c>
      <c r="E195" s="12">
        <f>C195*D195</f>
        <v>2500</v>
      </c>
    </row>
    <row r="196" spans="1:5" ht="18" customHeight="1" x14ac:dyDescent="0.3">
      <c r="A196" s="14" t="s">
        <v>56</v>
      </c>
      <c r="B196" s="10" t="s">
        <v>26</v>
      </c>
      <c r="C196" s="25">
        <v>1</v>
      </c>
      <c r="D196" s="12">
        <v>3000</v>
      </c>
      <c r="E196" s="12">
        <f>C196*D196</f>
        <v>3000</v>
      </c>
    </row>
    <row r="197" spans="1:5" ht="18" customHeight="1" x14ac:dyDescent="0.3">
      <c r="A197" s="14" t="s">
        <v>57</v>
      </c>
      <c r="B197" s="10" t="s">
        <v>26</v>
      </c>
      <c r="C197" s="25">
        <v>0.08</v>
      </c>
      <c r="D197" s="12">
        <v>8000</v>
      </c>
      <c r="E197" s="12">
        <f>C197*D197</f>
        <v>640</v>
      </c>
    </row>
    <row r="198" spans="1:5" ht="18" customHeight="1" x14ac:dyDescent="0.3">
      <c r="A198" s="14"/>
      <c r="B198" s="10"/>
      <c r="C198" s="16"/>
      <c r="D198" s="12"/>
      <c r="E198" s="12"/>
    </row>
    <row r="199" spans="1:5" ht="18" customHeight="1" x14ac:dyDescent="0.3">
      <c r="A199" s="17" t="s">
        <v>16</v>
      </c>
      <c r="B199" s="91"/>
      <c r="C199" s="88"/>
      <c r="D199" s="88"/>
      <c r="E199" s="12">
        <v>0</v>
      </c>
    </row>
    <row r="200" spans="1:5" ht="18" customHeight="1" x14ac:dyDescent="0.3">
      <c r="A200" s="17"/>
      <c r="B200" s="18"/>
      <c r="C200" s="19"/>
      <c r="D200" s="19"/>
      <c r="E200" s="12"/>
    </row>
    <row r="201" spans="1:5" ht="18" customHeight="1" x14ac:dyDescent="0.3">
      <c r="A201" s="83" t="s">
        <v>12</v>
      </c>
      <c r="B201" s="84"/>
      <c r="C201" s="84"/>
      <c r="D201" s="84"/>
      <c r="E201" s="13">
        <f>SUM(E194:E199)</f>
        <v>10390</v>
      </c>
    </row>
    <row r="202" spans="1:5" ht="18" customHeight="1" x14ac:dyDescent="0.3">
      <c r="A202" s="89" t="s">
        <v>17</v>
      </c>
      <c r="B202" s="90"/>
      <c r="C202" s="90"/>
      <c r="D202" s="90"/>
      <c r="E202" s="90"/>
    </row>
    <row r="203" spans="1:5" ht="18" customHeight="1" x14ac:dyDescent="0.3">
      <c r="A203" s="9" t="s">
        <v>6</v>
      </c>
      <c r="B203" s="9" t="s">
        <v>3</v>
      </c>
      <c r="C203" s="9" t="s">
        <v>7</v>
      </c>
      <c r="D203" s="9" t="s">
        <v>8</v>
      </c>
      <c r="E203" s="9" t="s">
        <v>9</v>
      </c>
    </row>
    <row r="204" spans="1:5" ht="18" customHeight="1" x14ac:dyDescent="0.3">
      <c r="A204" s="14" t="s">
        <v>18</v>
      </c>
      <c r="B204" s="10" t="s">
        <v>19</v>
      </c>
      <c r="C204" s="11">
        <v>0.02</v>
      </c>
      <c r="D204" s="12">
        <v>45000</v>
      </c>
      <c r="E204" s="12">
        <f>D204*C204</f>
        <v>900</v>
      </c>
    </row>
    <row r="205" spans="1:5" ht="18" customHeight="1" x14ac:dyDescent="0.3">
      <c r="A205" s="14"/>
      <c r="B205" s="10"/>
      <c r="C205" s="11"/>
      <c r="D205" s="12"/>
      <c r="E205" s="12"/>
    </row>
    <row r="206" spans="1:5" ht="18" customHeight="1" x14ac:dyDescent="0.3">
      <c r="A206" s="83" t="s">
        <v>12</v>
      </c>
      <c r="B206" s="84"/>
      <c r="C206" s="84"/>
      <c r="D206" s="84"/>
      <c r="E206" s="13">
        <f>SUM(E204)</f>
        <v>900</v>
      </c>
    </row>
    <row r="207" spans="1:5" ht="18" customHeight="1" x14ac:dyDescent="0.3">
      <c r="A207" s="89" t="s">
        <v>20</v>
      </c>
      <c r="B207" s="90"/>
      <c r="C207" s="90"/>
      <c r="D207" s="90"/>
      <c r="E207" s="90"/>
    </row>
    <row r="208" spans="1:5" ht="18" customHeight="1" x14ac:dyDescent="0.3">
      <c r="A208" s="9" t="s">
        <v>6</v>
      </c>
      <c r="B208" s="9" t="s">
        <v>3</v>
      </c>
      <c r="C208" s="9" t="s">
        <v>7</v>
      </c>
      <c r="D208" s="9" t="s">
        <v>21</v>
      </c>
      <c r="E208" s="9" t="s">
        <v>9</v>
      </c>
    </row>
    <row r="209" spans="1:5" ht="18" customHeight="1" x14ac:dyDescent="0.3">
      <c r="A209" s="14" t="s">
        <v>22</v>
      </c>
      <c r="B209" s="10" t="s">
        <v>19</v>
      </c>
      <c r="C209" s="11">
        <v>30</v>
      </c>
      <c r="D209" s="12">
        <v>130000</v>
      </c>
      <c r="E209" s="12">
        <f>D209/C209</f>
        <v>4333.333333333333</v>
      </c>
    </row>
    <row r="210" spans="1:5" ht="18" customHeight="1" x14ac:dyDescent="0.3">
      <c r="A210" s="14"/>
      <c r="B210" s="10"/>
      <c r="C210" s="11"/>
      <c r="D210" s="12"/>
      <c r="E210" s="12"/>
    </row>
    <row r="211" spans="1:5" ht="18" customHeight="1" x14ac:dyDescent="0.3">
      <c r="A211" s="83" t="s">
        <v>12</v>
      </c>
      <c r="B211" s="84"/>
      <c r="C211" s="84"/>
      <c r="D211" s="84"/>
      <c r="E211" s="13">
        <f>SUM(E209)</f>
        <v>4333.333333333333</v>
      </c>
    </row>
    <row r="212" spans="1:5" ht="18" customHeight="1" x14ac:dyDescent="0.3">
      <c r="A212" s="10"/>
      <c r="B212" s="19"/>
      <c r="C212" s="19"/>
      <c r="D212" s="19"/>
      <c r="E212" s="19"/>
    </row>
    <row r="213" spans="1:5" ht="18" customHeight="1" x14ac:dyDescent="0.3">
      <c r="A213" s="83" t="s">
        <v>23</v>
      </c>
      <c r="B213" s="84"/>
      <c r="C213" s="84"/>
      <c r="D213" s="84"/>
      <c r="E213" s="13">
        <f>SUM(E191,E201,E206,E211)</f>
        <v>16056.666666666668</v>
      </c>
    </row>
    <row r="216" spans="1:5" ht="18" customHeight="1" x14ac:dyDescent="0.3">
      <c r="A216" s="85" t="s">
        <v>58</v>
      </c>
      <c r="B216" s="86"/>
      <c r="C216" s="86"/>
      <c r="D216" s="7" t="s">
        <v>1</v>
      </c>
      <c r="E216" s="7">
        <v>2</v>
      </c>
    </row>
    <row r="217" spans="1:5" ht="18" customHeight="1" x14ac:dyDescent="0.3">
      <c r="A217" s="87"/>
      <c r="B217" s="88"/>
      <c r="C217" s="88"/>
      <c r="D217" s="8" t="s">
        <v>3</v>
      </c>
      <c r="E217" s="8" t="s">
        <v>43</v>
      </c>
    </row>
    <row r="218" spans="1:5" ht="18" customHeight="1" x14ac:dyDescent="0.3">
      <c r="A218" s="89" t="s">
        <v>5</v>
      </c>
      <c r="B218" s="90"/>
      <c r="C218" s="90"/>
      <c r="D218" s="90"/>
      <c r="E218" s="90"/>
    </row>
    <row r="219" spans="1:5" ht="18" customHeight="1" x14ac:dyDescent="0.3">
      <c r="A219" s="9" t="s">
        <v>6</v>
      </c>
      <c r="B219" s="9" t="s">
        <v>3</v>
      </c>
      <c r="C219" s="9" t="s">
        <v>7</v>
      </c>
      <c r="D219" s="9" t="s">
        <v>8</v>
      </c>
      <c r="E219" s="9" t="s">
        <v>9</v>
      </c>
    </row>
    <row r="220" spans="1:5" ht="18" customHeight="1" x14ac:dyDescent="0.3">
      <c r="A220" s="10" t="s">
        <v>10</v>
      </c>
      <c r="B220" s="10" t="s">
        <v>11</v>
      </c>
      <c r="C220" s="11">
        <v>0.1</v>
      </c>
      <c r="D220" s="12">
        <f>E239</f>
        <v>6500</v>
      </c>
      <c r="E220" s="12">
        <f>C220*D220</f>
        <v>650</v>
      </c>
    </row>
    <row r="221" spans="1:5" ht="18" customHeight="1" x14ac:dyDescent="0.3">
      <c r="A221" s="10"/>
      <c r="B221" s="10"/>
      <c r="C221" s="10"/>
      <c r="D221" s="12"/>
      <c r="E221" s="12"/>
    </row>
    <row r="222" spans="1:5" ht="18" customHeight="1" x14ac:dyDescent="0.3">
      <c r="A222" s="83" t="s">
        <v>12</v>
      </c>
      <c r="B222" s="84"/>
      <c r="C222" s="84"/>
      <c r="D222" s="84"/>
      <c r="E222" s="13">
        <f>SUM(E220:E220)</f>
        <v>650</v>
      </c>
    </row>
    <row r="223" spans="1:5" ht="18" customHeight="1" x14ac:dyDescent="0.3">
      <c r="A223" s="89" t="s">
        <v>13</v>
      </c>
      <c r="B223" s="90"/>
      <c r="C223" s="90"/>
      <c r="D223" s="90"/>
      <c r="E223" s="90"/>
    </row>
    <row r="224" spans="1:5" ht="18" customHeight="1" x14ac:dyDescent="0.3">
      <c r="A224" s="9" t="s">
        <v>6</v>
      </c>
      <c r="B224" s="9" t="s">
        <v>3</v>
      </c>
      <c r="C224" s="9" t="s">
        <v>14</v>
      </c>
      <c r="D224" s="9" t="s">
        <v>15</v>
      </c>
      <c r="E224" s="9" t="s">
        <v>9</v>
      </c>
    </row>
    <row r="225" spans="1:5" ht="18" customHeight="1" x14ac:dyDescent="0.3">
      <c r="A225" s="14" t="s">
        <v>59</v>
      </c>
      <c r="B225" s="10" t="s">
        <v>60</v>
      </c>
      <c r="C225" s="21">
        <v>1.4999999999999999E-2</v>
      </c>
      <c r="D225" s="12">
        <v>600000</v>
      </c>
      <c r="E225" s="12">
        <f>C225*D225</f>
        <v>9000</v>
      </c>
    </row>
    <row r="226" spans="1:5" ht="18" customHeight="1" x14ac:dyDescent="0.3">
      <c r="A226" s="14"/>
      <c r="B226" s="10"/>
      <c r="C226" s="16"/>
      <c r="D226" s="12"/>
      <c r="E226" s="12"/>
    </row>
    <row r="227" spans="1:5" ht="18" customHeight="1" x14ac:dyDescent="0.3">
      <c r="A227" s="17" t="s">
        <v>16</v>
      </c>
      <c r="B227" s="91"/>
      <c r="C227" s="88"/>
      <c r="D227" s="88"/>
      <c r="E227" s="12">
        <v>0</v>
      </c>
    </row>
    <row r="228" spans="1:5" ht="18" customHeight="1" x14ac:dyDescent="0.3">
      <c r="A228" s="17"/>
      <c r="B228" s="18"/>
      <c r="C228" s="19"/>
      <c r="D228" s="19"/>
      <c r="E228" s="12"/>
    </row>
    <row r="229" spans="1:5" ht="18" customHeight="1" x14ac:dyDescent="0.3">
      <c r="A229" s="83" t="s">
        <v>12</v>
      </c>
      <c r="B229" s="84"/>
      <c r="C229" s="84"/>
      <c r="D229" s="84"/>
      <c r="E229" s="13">
        <f>SUM(E225:E227)</f>
        <v>9000</v>
      </c>
    </row>
    <row r="230" spans="1:5" ht="18" customHeight="1" x14ac:dyDescent="0.3">
      <c r="A230" s="89" t="s">
        <v>17</v>
      </c>
      <c r="B230" s="90"/>
      <c r="C230" s="90"/>
      <c r="D230" s="90"/>
      <c r="E230" s="90"/>
    </row>
    <row r="231" spans="1:5" ht="18" customHeight="1" x14ac:dyDescent="0.3">
      <c r="A231" s="9" t="s">
        <v>6</v>
      </c>
      <c r="B231" s="9" t="s">
        <v>3</v>
      </c>
      <c r="C231" s="9" t="s">
        <v>7</v>
      </c>
      <c r="D231" s="9" t="s">
        <v>8</v>
      </c>
      <c r="E231" s="9" t="s">
        <v>9</v>
      </c>
    </row>
    <row r="232" spans="1:5" ht="18" customHeight="1" x14ac:dyDescent="0.3">
      <c r="A232" s="14" t="s">
        <v>18</v>
      </c>
      <c r="B232" s="10" t="s">
        <v>19</v>
      </c>
      <c r="C232" s="11">
        <v>0.02</v>
      </c>
      <c r="D232" s="12">
        <v>45000</v>
      </c>
      <c r="E232" s="12">
        <f>D232*C232</f>
        <v>900</v>
      </c>
    </row>
    <row r="233" spans="1:5" ht="18" customHeight="1" x14ac:dyDescent="0.3">
      <c r="A233" s="14"/>
      <c r="B233" s="10"/>
      <c r="C233" s="11"/>
      <c r="D233" s="12"/>
      <c r="E233" s="12"/>
    </row>
    <row r="234" spans="1:5" ht="18" customHeight="1" x14ac:dyDescent="0.3">
      <c r="A234" s="83" t="s">
        <v>12</v>
      </c>
      <c r="B234" s="84"/>
      <c r="C234" s="84"/>
      <c r="D234" s="84"/>
      <c r="E234" s="13">
        <f>SUM(E232)</f>
        <v>900</v>
      </c>
    </row>
    <row r="235" spans="1:5" ht="18" customHeight="1" x14ac:dyDescent="0.3">
      <c r="A235" s="89" t="s">
        <v>20</v>
      </c>
      <c r="B235" s="90"/>
      <c r="C235" s="90"/>
      <c r="D235" s="90"/>
      <c r="E235" s="90"/>
    </row>
    <row r="236" spans="1:5" ht="18" customHeight="1" x14ac:dyDescent="0.3">
      <c r="A236" s="9" t="s">
        <v>6</v>
      </c>
      <c r="B236" s="9" t="s">
        <v>3</v>
      </c>
      <c r="C236" s="9" t="s">
        <v>7</v>
      </c>
      <c r="D236" s="9" t="s">
        <v>21</v>
      </c>
      <c r="E236" s="9" t="s">
        <v>9</v>
      </c>
    </row>
    <row r="237" spans="1:5" ht="18" customHeight="1" x14ac:dyDescent="0.3">
      <c r="A237" s="14" t="s">
        <v>22</v>
      </c>
      <c r="B237" s="10" t="s">
        <v>19</v>
      </c>
      <c r="C237" s="11">
        <v>20</v>
      </c>
      <c r="D237" s="12">
        <v>130000</v>
      </c>
      <c r="E237" s="12">
        <f>D237/C237</f>
        <v>6500</v>
      </c>
    </row>
    <row r="238" spans="1:5" ht="18" customHeight="1" x14ac:dyDescent="0.3">
      <c r="A238" s="14"/>
      <c r="B238" s="10"/>
      <c r="C238" s="11"/>
      <c r="D238" s="12"/>
      <c r="E238" s="12"/>
    </row>
    <row r="239" spans="1:5" ht="18" customHeight="1" x14ac:dyDescent="0.3">
      <c r="A239" s="83" t="s">
        <v>12</v>
      </c>
      <c r="B239" s="84"/>
      <c r="C239" s="84"/>
      <c r="D239" s="84"/>
      <c r="E239" s="13">
        <f>SUM(E237)</f>
        <v>6500</v>
      </c>
    </row>
    <row r="240" spans="1:5" ht="18" customHeight="1" x14ac:dyDescent="0.3">
      <c r="A240" s="10"/>
      <c r="B240" s="19"/>
      <c r="C240" s="19"/>
      <c r="D240" s="19"/>
      <c r="E240" s="19"/>
    </row>
    <row r="241" spans="1:5" ht="18" customHeight="1" x14ac:dyDescent="0.3">
      <c r="A241" s="83" t="s">
        <v>23</v>
      </c>
      <c r="B241" s="84"/>
      <c r="C241" s="84"/>
      <c r="D241" s="84"/>
      <c r="E241" s="13">
        <f>SUM(E222,E229,E234,E239)</f>
        <v>17050</v>
      </c>
    </row>
    <row r="245" spans="1:5" ht="18" customHeight="1" x14ac:dyDescent="0.3">
      <c r="A245" s="37" t="s">
        <v>65</v>
      </c>
      <c r="B245" s="38"/>
      <c r="C245" s="38"/>
      <c r="D245" s="38"/>
      <c r="E245" s="38"/>
    </row>
    <row r="246" spans="1:5" ht="18" customHeight="1" x14ac:dyDescent="0.3">
      <c r="A246" s="2"/>
      <c r="B246" s="3"/>
      <c r="C246" s="3"/>
      <c r="D246" s="3"/>
      <c r="E246" s="3"/>
    </row>
    <row r="247" spans="1:5" ht="18" customHeight="1" x14ac:dyDescent="0.3">
      <c r="A247" s="94" t="s">
        <v>75</v>
      </c>
      <c r="B247" s="95"/>
      <c r="C247" s="95"/>
      <c r="D247" s="39" t="s">
        <v>1</v>
      </c>
      <c r="E247" s="39" t="s">
        <v>2</v>
      </c>
    </row>
    <row r="248" spans="1:5" ht="18" customHeight="1" x14ac:dyDescent="0.3">
      <c r="A248" s="87"/>
      <c r="B248" s="88"/>
      <c r="C248" s="88"/>
      <c r="D248" s="8" t="s">
        <v>3</v>
      </c>
      <c r="E248" s="8" t="s">
        <v>49</v>
      </c>
    </row>
    <row r="249" spans="1:5" ht="18" customHeight="1" x14ac:dyDescent="0.3">
      <c r="A249" s="89" t="s">
        <v>5</v>
      </c>
      <c r="B249" s="90"/>
      <c r="C249" s="90"/>
      <c r="D249" s="90"/>
      <c r="E249" s="90"/>
    </row>
    <row r="250" spans="1:5" ht="18" customHeight="1" x14ac:dyDescent="0.3">
      <c r="A250" s="9" t="s">
        <v>6</v>
      </c>
      <c r="B250" s="9" t="s">
        <v>3</v>
      </c>
      <c r="C250" s="9" t="s">
        <v>7</v>
      </c>
      <c r="D250" s="9" t="s">
        <v>8</v>
      </c>
      <c r="E250" s="9" t="s">
        <v>9</v>
      </c>
    </row>
    <row r="251" spans="1:5" ht="18" customHeight="1" x14ac:dyDescent="0.3">
      <c r="A251" s="14" t="s">
        <v>10</v>
      </c>
      <c r="B251" s="10" t="s">
        <v>11</v>
      </c>
      <c r="C251" s="11">
        <v>0.1</v>
      </c>
      <c r="D251" s="12">
        <f>E271</f>
        <v>13000</v>
      </c>
      <c r="E251" s="12">
        <f>C251*D251</f>
        <v>1300</v>
      </c>
    </row>
    <row r="252" spans="1:5" ht="18" customHeight="1" x14ac:dyDescent="0.3">
      <c r="A252" s="14" t="s">
        <v>66</v>
      </c>
      <c r="B252" s="10" t="s">
        <v>19</v>
      </c>
      <c r="C252" s="11">
        <v>1</v>
      </c>
      <c r="D252" s="12">
        <v>25000</v>
      </c>
      <c r="E252" s="12">
        <f t="shared" ref="E252:E253" si="0">C252*D252</f>
        <v>25000</v>
      </c>
    </row>
    <row r="253" spans="1:5" ht="18" customHeight="1" x14ac:dyDescent="0.3">
      <c r="A253" s="14" t="s">
        <v>67</v>
      </c>
      <c r="B253" s="10" t="s">
        <v>19</v>
      </c>
      <c r="C253" s="11">
        <v>1</v>
      </c>
      <c r="D253" s="12">
        <v>35000</v>
      </c>
      <c r="E253" s="12">
        <f t="shared" si="0"/>
        <v>35000</v>
      </c>
    </row>
    <row r="254" spans="1:5" ht="18" customHeight="1" x14ac:dyDescent="0.3">
      <c r="A254" s="10"/>
      <c r="B254" s="10"/>
      <c r="C254" s="10"/>
      <c r="D254" s="12"/>
      <c r="E254" s="12"/>
    </row>
    <row r="255" spans="1:5" ht="18" customHeight="1" x14ac:dyDescent="0.3">
      <c r="A255" s="83" t="s">
        <v>12</v>
      </c>
      <c r="B255" s="84"/>
      <c r="C255" s="84"/>
      <c r="D255" s="84"/>
      <c r="E255" s="13">
        <f>SUM(E251:E253)</f>
        <v>61300</v>
      </c>
    </row>
    <row r="256" spans="1:5" ht="18" customHeight="1" x14ac:dyDescent="0.3">
      <c r="A256" s="89" t="s">
        <v>13</v>
      </c>
      <c r="B256" s="90"/>
      <c r="C256" s="90"/>
      <c r="D256" s="90"/>
      <c r="E256" s="90"/>
    </row>
    <row r="257" spans="1:5" ht="18" customHeight="1" x14ac:dyDescent="0.3">
      <c r="A257" s="9" t="s">
        <v>6</v>
      </c>
      <c r="B257" s="9" t="s">
        <v>3</v>
      </c>
      <c r="C257" s="9" t="s">
        <v>14</v>
      </c>
      <c r="D257" s="9" t="s">
        <v>15</v>
      </c>
      <c r="E257" s="9" t="s">
        <v>9</v>
      </c>
    </row>
    <row r="258" spans="1:5" ht="18" customHeight="1" x14ac:dyDescent="0.3">
      <c r="A258" s="14"/>
      <c r="B258" s="10"/>
      <c r="C258" s="16"/>
      <c r="D258" s="12"/>
      <c r="E258" s="12"/>
    </row>
    <row r="259" spans="1:5" ht="18" customHeight="1" x14ac:dyDescent="0.3">
      <c r="A259" s="17" t="s">
        <v>16</v>
      </c>
      <c r="B259" s="91"/>
      <c r="C259" s="88"/>
      <c r="D259" s="88"/>
      <c r="E259" s="12">
        <f>SUM(E258:E258)*0.02</f>
        <v>0</v>
      </c>
    </row>
    <row r="260" spans="1:5" ht="18" customHeight="1" x14ac:dyDescent="0.3">
      <c r="A260" s="17"/>
      <c r="B260" s="18"/>
      <c r="C260" s="19"/>
      <c r="D260" s="19"/>
      <c r="E260" s="12"/>
    </row>
    <row r="261" spans="1:5" ht="18" customHeight="1" x14ac:dyDescent="0.3">
      <c r="A261" s="83" t="s">
        <v>12</v>
      </c>
      <c r="B261" s="84"/>
      <c r="C261" s="84"/>
      <c r="D261" s="84"/>
      <c r="E261" s="13">
        <f>SUM(E258:E259)</f>
        <v>0</v>
      </c>
    </row>
    <row r="262" spans="1:5" ht="18" customHeight="1" x14ac:dyDescent="0.3">
      <c r="A262" s="89" t="s">
        <v>17</v>
      </c>
      <c r="B262" s="90"/>
      <c r="C262" s="90"/>
      <c r="D262" s="90"/>
      <c r="E262" s="90"/>
    </row>
    <row r="263" spans="1:5" ht="18" customHeight="1" x14ac:dyDescent="0.3">
      <c r="A263" s="9" t="s">
        <v>6</v>
      </c>
      <c r="B263" s="9" t="s">
        <v>3</v>
      </c>
      <c r="C263" s="9" t="s">
        <v>7</v>
      </c>
      <c r="D263" s="9" t="s">
        <v>8</v>
      </c>
      <c r="E263" s="9" t="s">
        <v>9</v>
      </c>
    </row>
    <row r="264" spans="1:5" ht="18" customHeight="1" x14ac:dyDescent="0.3">
      <c r="A264" s="14" t="s">
        <v>18</v>
      </c>
      <c r="B264" s="10" t="s">
        <v>19</v>
      </c>
      <c r="C264" s="11">
        <v>0.02</v>
      </c>
      <c r="D264" s="12">
        <v>45000</v>
      </c>
      <c r="E264" s="12">
        <f>D264*C264</f>
        <v>900</v>
      </c>
    </row>
    <row r="265" spans="1:5" ht="18" customHeight="1" x14ac:dyDescent="0.3">
      <c r="A265" s="14"/>
      <c r="B265" s="10"/>
      <c r="C265" s="11"/>
      <c r="D265" s="12"/>
      <c r="E265" s="12"/>
    </row>
    <row r="266" spans="1:5" ht="18" customHeight="1" x14ac:dyDescent="0.3">
      <c r="A266" s="83" t="s">
        <v>12</v>
      </c>
      <c r="B266" s="84"/>
      <c r="C266" s="84"/>
      <c r="D266" s="84"/>
      <c r="E266" s="13">
        <f>SUM(E264)</f>
        <v>900</v>
      </c>
    </row>
    <row r="267" spans="1:5" ht="18" customHeight="1" x14ac:dyDescent="0.3">
      <c r="A267" s="89" t="s">
        <v>20</v>
      </c>
      <c r="B267" s="90"/>
      <c r="C267" s="90"/>
      <c r="D267" s="90"/>
      <c r="E267" s="90"/>
    </row>
    <row r="268" spans="1:5" ht="18" customHeight="1" x14ac:dyDescent="0.3">
      <c r="A268" s="9" t="s">
        <v>6</v>
      </c>
      <c r="B268" s="9" t="s">
        <v>3</v>
      </c>
      <c r="C268" s="9" t="s">
        <v>7</v>
      </c>
      <c r="D268" s="9" t="s">
        <v>21</v>
      </c>
      <c r="E268" s="9" t="s">
        <v>9</v>
      </c>
    </row>
    <row r="269" spans="1:5" ht="18" customHeight="1" x14ac:dyDescent="0.3">
      <c r="A269" s="14" t="s">
        <v>22</v>
      </c>
      <c r="B269" s="10" t="s">
        <v>19</v>
      </c>
      <c r="C269" s="11">
        <v>10</v>
      </c>
      <c r="D269" s="12">
        <v>130000</v>
      </c>
      <c r="E269" s="12">
        <f>D269/C269</f>
        <v>13000</v>
      </c>
    </row>
    <row r="270" spans="1:5" ht="18" customHeight="1" x14ac:dyDescent="0.3">
      <c r="A270" s="14"/>
      <c r="B270" s="10"/>
      <c r="C270" s="11"/>
      <c r="D270" s="12"/>
      <c r="E270" s="12"/>
    </row>
    <row r="271" spans="1:5" ht="18" customHeight="1" x14ac:dyDescent="0.3">
      <c r="A271" s="83" t="s">
        <v>12</v>
      </c>
      <c r="B271" s="84"/>
      <c r="C271" s="84"/>
      <c r="D271" s="84"/>
      <c r="E271" s="13">
        <f>SUM(E269)</f>
        <v>13000</v>
      </c>
    </row>
    <row r="272" spans="1:5" ht="18" customHeight="1" x14ac:dyDescent="0.3">
      <c r="A272" s="10"/>
      <c r="B272" s="19"/>
      <c r="C272" s="19"/>
      <c r="D272" s="19"/>
      <c r="E272" s="19"/>
    </row>
    <row r="273" spans="1:5" ht="18" customHeight="1" x14ac:dyDescent="0.3">
      <c r="A273" s="83" t="s">
        <v>23</v>
      </c>
      <c r="B273" s="84"/>
      <c r="C273" s="84"/>
      <c r="D273" s="84"/>
      <c r="E273" s="13">
        <f>SUM(E255,E261,E266,E271)</f>
        <v>75200</v>
      </c>
    </row>
    <row r="276" spans="1:5" ht="18" customHeight="1" x14ac:dyDescent="0.3">
      <c r="A276" s="94" t="s">
        <v>76</v>
      </c>
      <c r="B276" s="95"/>
      <c r="C276" s="95"/>
      <c r="D276" s="39" t="s">
        <v>1</v>
      </c>
      <c r="E276" s="39" t="s">
        <v>2</v>
      </c>
    </row>
    <row r="277" spans="1:5" ht="18" customHeight="1" x14ac:dyDescent="0.3">
      <c r="A277" s="87"/>
      <c r="B277" s="88"/>
      <c r="C277" s="88"/>
      <c r="D277" s="8" t="s">
        <v>3</v>
      </c>
      <c r="E277" s="8" t="s">
        <v>49</v>
      </c>
    </row>
    <row r="278" spans="1:5" ht="18" customHeight="1" x14ac:dyDescent="0.3">
      <c r="A278" s="89" t="s">
        <v>5</v>
      </c>
      <c r="B278" s="90"/>
      <c r="C278" s="90"/>
      <c r="D278" s="90"/>
      <c r="E278" s="90"/>
    </row>
    <row r="279" spans="1:5" ht="18" customHeight="1" x14ac:dyDescent="0.3">
      <c r="A279" s="9" t="s">
        <v>6</v>
      </c>
      <c r="B279" s="9" t="s">
        <v>3</v>
      </c>
      <c r="C279" s="9" t="s">
        <v>7</v>
      </c>
      <c r="D279" s="9" t="s">
        <v>8</v>
      </c>
      <c r="E279" s="9" t="s">
        <v>9</v>
      </c>
    </row>
    <row r="280" spans="1:5" ht="18" customHeight="1" x14ac:dyDescent="0.3">
      <c r="A280" s="14" t="s">
        <v>10</v>
      </c>
      <c r="B280" s="10" t="s">
        <v>11</v>
      </c>
      <c r="C280" s="11">
        <v>0.1</v>
      </c>
      <c r="D280" s="12">
        <f>E301</f>
        <v>6500</v>
      </c>
      <c r="E280" s="12">
        <f>C280*D280</f>
        <v>650</v>
      </c>
    </row>
    <row r="281" spans="1:5" ht="18" customHeight="1" x14ac:dyDescent="0.3">
      <c r="A281" s="10"/>
      <c r="B281" s="10"/>
      <c r="C281" s="10"/>
      <c r="D281" s="12"/>
      <c r="E281" s="12"/>
    </row>
    <row r="282" spans="1:5" ht="18" customHeight="1" x14ac:dyDescent="0.3">
      <c r="A282" s="83" t="s">
        <v>12</v>
      </c>
      <c r="B282" s="84"/>
      <c r="C282" s="84"/>
      <c r="D282" s="84"/>
      <c r="E282" s="13">
        <f>SUM(E280:E280)</f>
        <v>650</v>
      </c>
    </row>
    <row r="283" spans="1:5" ht="18" customHeight="1" x14ac:dyDescent="0.3">
      <c r="A283" s="89" t="s">
        <v>13</v>
      </c>
      <c r="B283" s="90"/>
      <c r="C283" s="90"/>
      <c r="D283" s="90"/>
      <c r="E283" s="90"/>
    </row>
    <row r="284" spans="1:5" ht="18" customHeight="1" x14ac:dyDescent="0.3">
      <c r="A284" s="9" t="s">
        <v>6</v>
      </c>
      <c r="B284" s="9" t="s">
        <v>3</v>
      </c>
      <c r="C284" s="9" t="s">
        <v>14</v>
      </c>
      <c r="D284" s="9" t="s">
        <v>15</v>
      </c>
      <c r="E284" s="9" t="s">
        <v>9</v>
      </c>
    </row>
    <row r="285" spans="1:5" ht="18" customHeight="1" x14ac:dyDescent="0.3">
      <c r="A285" s="14" t="s">
        <v>45</v>
      </c>
      <c r="B285" s="10" t="s">
        <v>4</v>
      </c>
      <c r="C285" s="16">
        <v>0.15</v>
      </c>
      <c r="D285" s="12">
        <v>38000</v>
      </c>
      <c r="E285" s="12">
        <f>C285*D285</f>
        <v>5700</v>
      </c>
    </row>
    <row r="286" spans="1:5" ht="18" customHeight="1" x14ac:dyDescent="0.3">
      <c r="A286" s="14" t="s">
        <v>32</v>
      </c>
      <c r="B286" s="10" t="s">
        <v>33</v>
      </c>
      <c r="C286" s="16">
        <v>2.1999999999999999E-2</v>
      </c>
      <c r="D286" s="12">
        <v>300000</v>
      </c>
      <c r="E286" s="12">
        <f>C286*D286</f>
        <v>6600</v>
      </c>
    </row>
    <row r="287" spans="1:5" ht="18" customHeight="1" x14ac:dyDescent="0.3">
      <c r="A287" s="14" t="s">
        <v>34</v>
      </c>
      <c r="B287" s="10" t="s">
        <v>4</v>
      </c>
      <c r="C287" s="16">
        <v>1.4999999999999999E-2</v>
      </c>
      <c r="D287" s="12">
        <v>100000</v>
      </c>
      <c r="E287" s="12">
        <f>C287*D287</f>
        <v>1500</v>
      </c>
    </row>
    <row r="288" spans="1:5" ht="18" customHeight="1" x14ac:dyDescent="0.3">
      <c r="A288" s="14"/>
      <c r="B288" s="10"/>
      <c r="C288" s="16"/>
      <c r="D288" s="12"/>
      <c r="E288" s="12"/>
    </row>
    <row r="289" spans="1:5" ht="18" customHeight="1" x14ac:dyDescent="0.3">
      <c r="A289" s="17" t="s">
        <v>16</v>
      </c>
      <c r="B289" s="91"/>
      <c r="C289" s="88"/>
      <c r="D289" s="88"/>
      <c r="E289" s="12">
        <f>SUM(E285:E285)*0.02</f>
        <v>114</v>
      </c>
    </row>
    <row r="290" spans="1:5" ht="18" customHeight="1" x14ac:dyDescent="0.3">
      <c r="A290" s="17"/>
      <c r="B290" s="18"/>
      <c r="C290" s="19"/>
      <c r="D290" s="19"/>
      <c r="E290" s="12"/>
    </row>
    <row r="291" spans="1:5" ht="18" customHeight="1" x14ac:dyDescent="0.3">
      <c r="A291" s="83" t="s">
        <v>12</v>
      </c>
      <c r="B291" s="84"/>
      <c r="C291" s="84"/>
      <c r="D291" s="84"/>
      <c r="E291" s="13">
        <f>SUM(E285:E289)</f>
        <v>13914</v>
      </c>
    </row>
    <row r="292" spans="1:5" ht="18" customHeight="1" x14ac:dyDescent="0.3">
      <c r="A292" s="89" t="s">
        <v>17</v>
      </c>
      <c r="B292" s="90"/>
      <c r="C292" s="90"/>
      <c r="D292" s="90"/>
      <c r="E292" s="90"/>
    </row>
    <row r="293" spans="1:5" ht="18" customHeight="1" x14ac:dyDescent="0.3">
      <c r="A293" s="9" t="s">
        <v>6</v>
      </c>
      <c r="B293" s="9" t="s">
        <v>3</v>
      </c>
      <c r="C293" s="9" t="s">
        <v>7</v>
      </c>
      <c r="D293" s="9" t="s">
        <v>8</v>
      </c>
      <c r="E293" s="9" t="s">
        <v>9</v>
      </c>
    </row>
    <row r="294" spans="1:5" ht="18" customHeight="1" x14ac:dyDescent="0.3">
      <c r="A294" s="14" t="s">
        <v>18</v>
      </c>
      <c r="B294" s="10" t="s">
        <v>19</v>
      </c>
      <c r="C294" s="11">
        <v>0.02</v>
      </c>
      <c r="D294" s="12">
        <v>45000</v>
      </c>
      <c r="E294" s="12">
        <f>D294*C294</f>
        <v>900</v>
      </c>
    </row>
    <row r="295" spans="1:5" ht="18" customHeight="1" x14ac:dyDescent="0.3">
      <c r="A295" s="14"/>
      <c r="B295" s="10"/>
      <c r="C295" s="11"/>
      <c r="D295" s="12"/>
      <c r="E295" s="12"/>
    </row>
    <row r="296" spans="1:5" ht="18" customHeight="1" x14ac:dyDescent="0.3">
      <c r="A296" s="83" t="s">
        <v>12</v>
      </c>
      <c r="B296" s="84"/>
      <c r="C296" s="84"/>
      <c r="D296" s="84"/>
      <c r="E296" s="13">
        <f>SUM(E294)</f>
        <v>900</v>
      </c>
    </row>
    <row r="297" spans="1:5" ht="18" customHeight="1" x14ac:dyDescent="0.3">
      <c r="A297" s="89" t="s">
        <v>20</v>
      </c>
      <c r="B297" s="90"/>
      <c r="C297" s="90"/>
      <c r="D297" s="90"/>
      <c r="E297" s="90"/>
    </row>
    <row r="298" spans="1:5" ht="18" customHeight="1" x14ac:dyDescent="0.3">
      <c r="A298" s="9" t="s">
        <v>6</v>
      </c>
      <c r="B298" s="9" t="s">
        <v>3</v>
      </c>
      <c r="C298" s="9" t="s">
        <v>7</v>
      </c>
      <c r="D298" s="9" t="s">
        <v>21</v>
      </c>
      <c r="E298" s="9" t="s">
        <v>9</v>
      </c>
    </row>
    <row r="299" spans="1:5" ht="18" customHeight="1" x14ac:dyDescent="0.3">
      <c r="A299" s="14" t="s">
        <v>22</v>
      </c>
      <c r="B299" s="10" t="s">
        <v>19</v>
      </c>
      <c r="C299" s="11">
        <v>20</v>
      </c>
      <c r="D299" s="12">
        <v>130000</v>
      </c>
      <c r="E299" s="12">
        <f>D299/C299</f>
        <v>6500</v>
      </c>
    </row>
    <row r="300" spans="1:5" ht="18" customHeight="1" x14ac:dyDescent="0.3">
      <c r="A300" s="14"/>
      <c r="B300" s="10"/>
      <c r="C300" s="11"/>
      <c r="D300" s="12"/>
      <c r="E300" s="12"/>
    </row>
    <row r="301" spans="1:5" ht="18" customHeight="1" x14ac:dyDescent="0.3">
      <c r="A301" s="83" t="s">
        <v>12</v>
      </c>
      <c r="B301" s="84"/>
      <c r="C301" s="84"/>
      <c r="D301" s="84"/>
      <c r="E301" s="13">
        <f>SUM(E299)</f>
        <v>6500</v>
      </c>
    </row>
    <row r="302" spans="1:5" ht="18" customHeight="1" x14ac:dyDescent="0.3">
      <c r="A302" s="10"/>
      <c r="B302" s="19"/>
      <c r="C302" s="19"/>
      <c r="D302" s="19"/>
      <c r="E302" s="19"/>
    </row>
    <row r="303" spans="1:5" ht="18" customHeight="1" x14ac:dyDescent="0.3">
      <c r="A303" s="83" t="s">
        <v>23</v>
      </c>
      <c r="B303" s="84"/>
      <c r="C303" s="84"/>
      <c r="D303" s="84"/>
      <c r="E303" s="13">
        <f>SUM(E282,E291,E296,E301)</f>
        <v>21964</v>
      </c>
    </row>
    <row r="306" spans="1:5" ht="18" customHeight="1" x14ac:dyDescent="0.3">
      <c r="A306" s="4" t="s">
        <v>68</v>
      </c>
      <c r="B306" s="5"/>
      <c r="C306" s="5"/>
      <c r="D306" s="5"/>
      <c r="E306" s="5"/>
    </row>
    <row r="307" spans="1:5" ht="18" customHeight="1" x14ac:dyDescent="0.3">
      <c r="A307" s="2"/>
      <c r="B307" s="3"/>
      <c r="C307" s="3"/>
      <c r="D307" s="3"/>
      <c r="E307" s="3"/>
    </row>
    <row r="308" spans="1:5" ht="18" customHeight="1" x14ac:dyDescent="0.3">
      <c r="A308" s="85" t="s">
        <v>69</v>
      </c>
      <c r="B308" s="86"/>
      <c r="C308" s="86"/>
      <c r="D308" s="7" t="s">
        <v>1</v>
      </c>
      <c r="E308" s="7" t="s">
        <v>2</v>
      </c>
    </row>
    <row r="309" spans="1:5" ht="18" customHeight="1" x14ac:dyDescent="0.3">
      <c r="A309" s="87"/>
      <c r="B309" s="88"/>
      <c r="C309" s="88"/>
      <c r="D309" s="8" t="s">
        <v>3</v>
      </c>
      <c r="E309" s="8" t="s">
        <v>4</v>
      </c>
    </row>
    <row r="310" spans="1:5" ht="18" customHeight="1" x14ac:dyDescent="0.3">
      <c r="A310" s="89" t="s">
        <v>5</v>
      </c>
      <c r="B310" s="90"/>
      <c r="C310" s="90"/>
      <c r="D310" s="90"/>
      <c r="E310" s="90"/>
    </row>
    <row r="311" spans="1:5" ht="18" customHeight="1" x14ac:dyDescent="0.3">
      <c r="A311" s="9" t="s">
        <v>6</v>
      </c>
      <c r="B311" s="9" t="s">
        <v>3</v>
      </c>
      <c r="C311" s="9" t="s">
        <v>7</v>
      </c>
      <c r="D311" s="9" t="s">
        <v>8</v>
      </c>
      <c r="E311" s="9" t="s">
        <v>9</v>
      </c>
    </row>
    <row r="312" spans="1:5" ht="18" customHeight="1" x14ac:dyDescent="0.3">
      <c r="A312" s="10" t="s">
        <v>10</v>
      </c>
      <c r="B312" s="10" t="s">
        <v>11</v>
      </c>
      <c r="C312" s="11">
        <v>0.2</v>
      </c>
      <c r="D312" s="12">
        <f>E330</f>
        <v>3250</v>
      </c>
      <c r="E312" s="12">
        <f>C312*D312</f>
        <v>650</v>
      </c>
    </row>
    <row r="313" spans="1:5" ht="18" customHeight="1" x14ac:dyDescent="0.3">
      <c r="A313" s="10"/>
      <c r="B313" s="10"/>
      <c r="C313" s="10"/>
      <c r="D313" s="12"/>
      <c r="E313" s="12"/>
    </row>
    <row r="314" spans="1:5" ht="18" customHeight="1" x14ac:dyDescent="0.3">
      <c r="A314" s="83" t="s">
        <v>12</v>
      </c>
      <c r="B314" s="84"/>
      <c r="C314" s="84"/>
      <c r="D314" s="84"/>
      <c r="E314" s="13">
        <f>SUM(E312:E312)</f>
        <v>650</v>
      </c>
    </row>
    <row r="315" spans="1:5" ht="18" customHeight="1" x14ac:dyDescent="0.3">
      <c r="A315" s="89" t="s">
        <v>13</v>
      </c>
      <c r="B315" s="90"/>
      <c r="C315" s="90"/>
      <c r="D315" s="90"/>
      <c r="E315" s="90"/>
    </row>
    <row r="316" spans="1:5" ht="18" customHeight="1" x14ac:dyDescent="0.3">
      <c r="A316" s="9" t="s">
        <v>6</v>
      </c>
      <c r="B316" s="9" t="s">
        <v>3</v>
      </c>
      <c r="C316" s="9" t="s">
        <v>14</v>
      </c>
      <c r="D316" s="9" t="s">
        <v>15</v>
      </c>
      <c r="E316" s="9" t="s">
        <v>9</v>
      </c>
    </row>
    <row r="317" spans="1:5" ht="18" customHeight="1" x14ac:dyDescent="0.3">
      <c r="A317" s="14"/>
      <c r="B317" s="10"/>
      <c r="C317" s="15"/>
      <c r="D317" s="12"/>
      <c r="E317" s="12"/>
    </row>
    <row r="318" spans="1:5" ht="18" customHeight="1" x14ac:dyDescent="0.3">
      <c r="A318" s="17" t="s">
        <v>16</v>
      </c>
      <c r="B318" s="91"/>
      <c r="C318" s="88"/>
      <c r="D318" s="88"/>
      <c r="E318" s="12">
        <f>SUM(E317:E317)*0.02</f>
        <v>0</v>
      </c>
    </row>
    <row r="319" spans="1:5" ht="18" customHeight="1" x14ac:dyDescent="0.3">
      <c r="A319" s="17"/>
      <c r="B319" s="18"/>
      <c r="C319" s="19"/>
      <c r="D319" s="19"/>
      <c r="E319" s="12"/>
    </row>
    <row r="320" spans="1:5" ht="18" customHeight="1" x14ac:dyDescent="0.3">
      <c r="A320" s="83" t="s">
        <v>12</v>
      </c>
      <c r="B320" s="84"/>
      <c r="C320" s="84"/>
      <c r="D320" s="84"/>
      <c r="E320" s="13">
        <f>SUM(E317:E318)</f>
        <v>0</v>
      </c>
    </row>
    <row r="321" spans="1:5" ht="18" customHeight="1" x14ac:dyDescent="0.3">
      <c r="A321" s="89" t="s">
        <v>17</v>
      </c>
      <c r="B321" s="90"/>
      <c r="C321" s="90"/>
      <c r="D321" s="90"/>
      <c r="E321" s="90"/>
    </row>
    <row r="322" spans="1:5" ht="18" customHeight="1" x14ac:dyDescent="0.3">
      <c r="A322" s="9" t="s">
        <v>6</v>
      </c>
      <c r="B322" s="9" t="s">
        <v>3</v>
      </c>
      <c r="C322" s="9" t="s">
        <v>7</v>
      </c>
      <c r="D322" s="9" t="s">
        <v>8</v>
      </c>
      <c r="E322" s="9" t="s">
        <v>9</v>
      </c>
    </row>
    <row r="323" spans="1:5" ht="18" customHeight="1" x14ac:dyDescent="0.3">
      <c r="A323" s="14" t="s">
        <v>18</v>
      </c>
      <c r="B323" s="10" t="s">
        <v>19</v>
      </c>
      <c r="C323" s="11">
        <v>0</v>
      </c>
      <c r="D323" s="12">
        <v>0</v>
      </c>
      <c r="E323" s="12">
        <v>0</v>
      </c>
    </row>
    <row r="324" spans="1:5" ht="18" customHeight="1" x14ac:dyDescent="0.3">
      <c r="A324" s="14"/>
      <c r="B324" s="10"/>
      <c r="C324" s="11"/>
      <c r="D324" s="12"/>
      <c r="E324" s="12"/>
    </row>
    <row r="325" spans="1:5" ht="18" customHeight="1" x14ac:dyDescent="0.3">
      <c r="A325" s="83" t="s">
        <v>12</v>
      </c>
      <c r="B325" s="84"/>
      <c r="C325" s="84"/>
      <c r="D325" s="84"/>
      <c r="E325" s="13">
        <f>SUM(E323)</f>
        <v>0</v>
      </c>
    </row>
    <row r="326" spans="1:5" ht="18" customHeight="1" x14ac:dyDescent="0.3">
      <c r="A326" s="89" t="s">
        <v>20</v>
      </c>
      <c r="B326" s="90"/>
      <c r="C326" s="90"/>
      <c r="D326" s="90"/>
      <c r="E326" s="90"/>
    </row>
    <row r="327" spans="1:5" ht="18" customHeight="1" x14ac:dyDescent="0.3">
      <c r="A327" s="9" t="s">
        <v>6</v>
      </c>
      <c r="B327" s="9" t="s">
        <v>3</v>
      </c>
      <c r="C327" s="9" t="s">
        <v>7</v>
      </c>
      <c r="D327" s="9" t="s">
        <v>21</v>
      </c>
      <c r="E327" s="9" t="s">
        <v>9</v>
      </c>
    </row>
    <row r="328" spans="1:5" ht="18" customHeight="1" x14ac:dyDescent="0.3">
      <c r="A328" s="14" t="s">
        <v>22</v>
      </c>
      <c r="B328" s="10" t="s">
        <v>19</v>
      </c>
      <c r="C328" s="11">
        <v>40</v>
      </c>
      <c r="D328" s="12">
        <v>130000</v>
      </c>
      <c r="E328" s="12">
        <f>D328/C328</f>
        <v>3250</v>
      </c>
    </row>
    <row r="329" spans="1:5" ht="18" customHeight="1" x14ac:dyDescent="0.3">
      <c r="A329" s="14"/>
      <c r="B329" s="10"/>
      <c r="C329" s="11"/>
      <c r="D329" s="12"/>
      <c r="E329" s="12"/>
    </row>
    <row r="330" spans="1:5" ht="18" customHeight="1" x14ac:dyDescent="0.3">
      <c r="A330" s="83" t="s">
        <v>12</v>
      </c>
      <c r="B330" s="84"/>
      <c r="C330" s="84"/>
      <c r="D330" s="84"/>
      <c r="E330" s="13">
        <f>SUM(E328)</f>
        <v>3250</v>
      </c>
    </row>
    <row r="331" spans="1:5" ht="18" customHeight="1" x14ac:dyDescent="0.3">
      <c r="A331" s="10"/>
      <c r="B331" s="19"/>
      <c r="C331" s="19"/>
      <c r="D331" s="19"/>
      <c r="E331" s="19"/>
    </row>
    <row r="332" spans="1:5" ht="18" customHeight="1" x14ac:dyDescent="0.3">
      <c r="A332" s="83" t="s">
        <v>23</v>
      </c>
      <c r="B332" s="84"/>
      <c r="C332" s="84"/>
      <c r="D332" s="84"/>
      <c r="E332" s="13">
        <f>SUM(E314,E320,E325,E330)</f>
        <v>3900</v>
      </c>
    </row>
    <row r="333" spans="1:5" ht="18" customHeight="1" x14ac:dyDescent="0.3">
      <c r="A333" s="2"/>
      <c r="B333" s="3"/>
      <c r="C333" s="3"/>
      <c r="D333" s="3"/>
      <c r="E333" s="3"/>
    </row>
    <row r="334" spans="1:5" ht="18" customHeight="1" x14ac:dyDescent="0.3">
      <c r="A334" s="2"/>
      <c r="B334" s="3"/>
      <c r="C334" s="3"/>
      <c r="D334" s="3"/>
      <c r="E334" s="3"/>
    </row>
    <row r="335" spans="1:5" ht="18" customHeight="1" x14ac:dyDescent="0.3">
      <c r="A335" s="85" t="s">
        <v>70</v>
      </c>
      <c r="B335" s="86"/>
      <c r="C335" s="86"/>
      <c r="D335" s="7" t="s">
        <v>1</v>
      </c>
      <c r="E335" s="7">
        <v>2</v>
      </c>
    </row>
    <row r="336" spans="1:5" ht="18" customHeight="1" x14ac:dyDescent="0.3">
      <c r="A336" s="87"/>
      <c r="B336" s="88"/>
      <c r="C336" s="88"/>
      <c r="D336" s="8" t="s">
        <v>3</v>
      </c>
      <c r="E336" s="8" t="s">
        <v>4</v>
      </c>
    </row>
    <row r="337" spans="1:7" ht="18" customHeight="1" x14ac:dyDescent="0.3">
      <c r="A337" s="89" t="s">
        <v>5</v>
      </c>
      <c r="B337" s="90"/>
      <c r="C337" s="90"/>
      <c r="D337" s="90"/>
      <c r="E337" s="90"/>
    </row>
    <row r="338" spans="1:7" ht="18" customHeight="1" x14ac:dyDescent="0.3">
      <c r="A338" s="9" t="s">
        <v>6</v>
      </c>
      <c r="B338" s="9" t="s">
        <v>3</v>
      </c>
      <c r="C338" s="9" t="s">
        <v>7</v>
      </c>
      <c r="D338" s="9" t="s">
        <v>8</v>
      </c>
      <c r="E338" s="9" t="s">
        <v>9</v>
      </c>
    </row>
    <row r="339" spans="1:7" ht="18" customHeight="1" x14ac:dyDescent="0.3">
      <c r="A339" s="14" t="s">
        <v>10</v>
      </c>
      <c r="B339" s="10" t="s">
        <v>11</v>
      </c>
      <c r="C339" s="11">
        <v>0.2</v>
      </c>
      <c r="D339" s="12">
        <f>E358</f>
        <v>10500</v>
      </c>
      <c r="E339" s="12">
        <f>C339*D339</f>
        <v>2100</v>
      </c>
    </row>
    <row r="340" spans="1:7" ht="18" customHeight="1" x14ac:dyDescent="0.3">
      <c r="A340" s="14" t="s">
        <v>67</v>
      </c>
      <c r="B340" s="10" t="s">
        <v>19</v>
      </c>
      <c r="C340" s="11">
        <v>0.2</v>
      </c>
      <c r="D340" s="12">
        <v>35000</v>
      </c>
      <c r="E340" s="12">
        <f t="shared" ref="E340" si="1">C340*D340</f>
        <v>7000</v>
      </c>
      <c r="G340" s="24"/>
    </row>
    <row r="341" spans="1:7" ht="18" customHeight="1" x14ac:dyDescent="0.3">
      <c r="A341" s="10"/>
      <c r="B341" s="10"/>
      <c r="C341" s="10"/>
      <c r="D341" s="12"/>
      <c r="E341" s="12"/>
    </row>
    <row r="342" spans="1:7" ht="18" customHeight="1" x14ac:dyDescent="0.3">
      <c r="A342" s="83" t="s">
        <v>12</v>
      </c>
      <c r="B342" s="84"/>
      <c r="C342" s="84"/>
      <c r="D342" s="84"/>
      <c r="E342" s="13">
        <f>SUM(E339:E340)</f>
        <v>9100</v>
      </c>
    </row>
    <row r="343" spans="1:7" ht="18" customHeight="1" x14ac:dyDescent="0.3">
      <c r="A343" s="89" t="s">
        <v>13</v>
      </c>
      <c r="B343" s="90"/>
      <c r="C343" s="90"/>
      <c r="D343" s="90"/>
      <c r="E343" s="90"/>
    </row>
    <row r="344" spans="1:7" ht="18" customHeight="1" x14ac:dyDescent="0.3">
      <c r="A344" s="9" t="s">
        <v>6</v>
      </c>
      <c r="B344" s="9" t="s">
        <v>3</v>
      </c>
      <c r="C344" s="9" t="s">
        <v>14</v>
      </c>
      <c r="D344" s="9" t="s">
        <v>15</v>
      </c>
      <c r="E344" s="9" t="s">
        <v>9</v>
      </c>
    </row>
    <row r="345" spans="1:7" ht="18" customHeight="1" x14ac:dyDescent="0.3">
      <c r="A345" s="14"/>
      <c r="B345" s="10"/>
      <c r="C345" s="16"/>
      <c r="D345" s="12"/>
      <c r="E345" s="12"/>
    </row>
    <row r="346" spans="1:7" ht="18" customHeight="1" x14ac:dyDescent="0.3">
      <c r="A346" s="17" t="s">
        <v>16</v>
      </c>
      <c r="B346" s="91"/>
      <c r="C346" s="88"/>
      <c r="D346" s="88"/>
      <c r="E346" s="12">
        <v>0</v>
      </c>
    </row>
    <row r="347" spans="1:7" ht="18" customHeight="1" x14ac:dyDescent="0.3">
      <c r="A347" s="17"/>
      <c r="B347" s="18"/>
      <c r="C347" s="19"/>
      <c r="D347" s="19"/>
      <c r="E347" s="12"/>
    </row>
    <row r="348" spans="1:7" ht="18" customHeight="1" x14ac:dyDescent="0.3">
      <c r="A348" s="83" t="s">
        <v>12</v>
      </c>
      <c r="B348" s="84"/>
      <c r="C348" s="84"/>
      <c r="D348" s="84"/>
      <c r="E348" s="13">
        <f>SUM(E345:E346)</f>
        <v>0</v>
      </c>
    </row>
    <row r="349" spans="1:7" ht="18" customHeight="1" x14ac:dyDescent="0.3">
      <c r="A349" s="89" t="s">
        <v>17</v>
      </c>
      <c r="B349" s="90"/>
      <c r="C349" s="90"/>
      <c r="D349" s="90"/>
      <c r="E349" s="90"/>
    </row>
    <row r="350" spans="1:7" ht="18" customHeight="1" x14ac:dyDescent="0.3">
      <c r="A350" s="9" t="s">
        <v>6</v>
      </c>
      <c r="B350" s="9" t="s">
        <v>3</v>
      </c>
      <c r="C350" s="9" t="s">
        <v>7</v>
      </c>
      <c r="D350" s="9" t="s">
        <v>8</v>
      </c>
      <c r="E350" s="9" t="s">
        <v>9</v>
      </c>
    </row>
    <row r="351" spans="1:7" ht="18" customHeight="1" x14ac:dyDescent="0.3">
      <c r="A351" s="14" t="s">
        <v>18</v>
      </c>
      <c r="B351" s="10" t="s">
        <v>19</v>
      </c>
      <c r="C351" s="11">
        <v>2.5000000000000001E-2</v>
      </c>
      <c r="D351" s="12">
        <v>60000</v>
      </c>
      <c r="E351" s="12">
        <f>D351*C351</f>
        <v>1500</v>
      </c>
    </row>
    <row r="352" spans="1:7" ht="18" customHeight="1" x14ac:dyDescent="0.3">
      <c r="A352" s="14"/>
      <c r="B352" s="10"/>
      <c r="C352" s="11"/>
      <c r="D352" s="12"/>
      <c r="E352" s="12"/>
    </row>
    <row r="353" spans="1:7" ht="18" customHeight="1" x14ac:dyDescent="0.3">
      <c r="A353" s="83" t="s">
        <v>12</v>
      </c>
      <c r="B353" s="84"/>
      <c r="C353" s="84"/>
      <c r="D353" s="84"/>
      <c r="E353" s="13">
        <f>SUM(E351)</f>
        <v>1500</v>
      </c>
    </row>
    <row r="354" spans="1:7" ht="18" customHeight="1" x14ac:dyDescent="0.3">
      <c r="A354" s="89" t="s">
        <v>20</v>
      </c>
      <c r="B354" s="90"/>
      <c r="C354" s="90"/>
      <c r="D354" s="90"/>
      <c r="E354" s="90"/>
    </row>
    <row r="355" spans="1:7" ht="18" customHeight="1" x14ac:dyDescent="0.3">
      <c r="A355" s="9" t="s">
        <v>6</v>
      </c>
      <c r="B355" s="9" t="s">
        <v>3</v>
      </c>
      <c r="C355" s="9" t="s">
        <v>7</v>
      </c>
      <c r="D355" s="9" t="s">
        <v>21</v>
      </c>
      <c r="E355" s="9" t="s">
        <v>9</v>
      </c>
    </row>
    <row r="356" spans="1:7" ht="18" customHeight="1" x14ac:dyDescent="0.3">
      <c r="A356" s="14" t="s">
        <v>30</v>
      </c>
      <c r="B356" s="10" t="s">
        <v>19</v>
      </c>
      <c r="C356" s="11">
        <v>20</v>
      </c>
      <c r="D356" s="12">
        <v>210000</v>
      </c>
      <c r="E356" s="12">
        <f>D356/C356</f>
        <v>10500</v>
      </c>
    </row>
    <row r="357" spans="1:7" ht="18" customHeight="1" x14ac:dyDescent="0.3">
      <c r="A357" s="14"/>
      <c r="B357" s="10"/>
      <c r="C357" s="11"/>
      <c r="D357" s="12"/>
      <c r="E357" s="12"/>
    </row>
    <row r="358" spans="1:7" ht="18" customHeight="1" x14ac:dyDescent="0.3">
      <c r="A358" s="83" t="s">
        <v>12</v>
      </c>
      <c r="B358" s="84"/>
      <c r="C358" s="84"/>
      <c r="D358" s="84"/>
      <c r="E358" s="13">
        <f>SUM(E356)</f>
        <v>10500</v>
      </c>
    </row>
    <row r="359" spans="1:7" ht="18" customHeight="1" x14ac:dyDescent="0.3">
      <c r="A359" s="10"/>
      <c r="B359" s="19"/>
      <c r="C359" s="19"/>
      <c r="D359" s="19"/>
      <c r="E359" s="19"/>
    </row>
    <row r="360" spans="1:7" ht="18" customHeight="1" x14ac:dyDescent="0.3">
      <c r="A360" s="83" t="s">
        <v>23</v>
      </c>
      <c r="B360" s="84"/>
      <c r="C360" s="84"/>
      <c r="D360" s="84"/>
      <c r="E360" s="13">
        <f>SUM(E342,E348,E353,E358)</f>
        <v>21100</v>
      </c>
      <c r="G360" s="24"/>
    </row>
    <row r="363" spans="1:7" ht="18" customHeight="1" x14ac:dyDescent="0.3">
      <c r="A363" s="85" t="s">
        <v>72</v>
      </c>
      <c r="B363" s="86"/>
      <c r="C363" s="86"/>
      <c r="D363" s="7" t="s">
        <v>1</v>
      </c>
      <c r="E363" s="7">
        <v>2</v>
      </c>
    </row>
    <row r="364" spans="1:7" ht="18" customHeight="1" x14ac:dyDescent="0.3">
      <c r="A364" s="87"/>
      <c r="B364" s="88"/>
      <c r="C364" s="88"/>
      <c r="D364" s="8" t="s">
        <v>3</v>
      </c>
      <c r="E364" s="8" t="s">
        <v>4</v>
      </c>
    </row>
    <row r="365" spans="1:7" ht="18" customHeight="1" x14ac:dyDescent="0.3">
      <c r="A365" s="89" t="s">
        <v>5</v>
      </c>
      <c r="B365" s="90"/>
      <c r="C365" s="90"/>
      <c r="D365" s="90"/>
      <c r="E365" s="90"/>
    </row>
    <row r="366" spans="1:7" ht="18" customHeight="1" x14ac:dyDescent="0.3">
      <c r="A366" s="9" t="s">
        <v>6</v>
      </c>
      <c r="B366" s="9" t="s">
        <v>3</v>
      </c>
      <c r="C366" s="9" t="s">
        <v>7</v>
      </c>
      <c r="D366" s="9" t="s">
        <v>8</v>
      </c>
      <c r="E366" s="9" t="s">
        <v>9</v>
      </c>
    </row>
    <row r="367" spans="1:7" ht="18" customHeight="1" x14ac:dyDescent="0.3">
      <c r="A367" s="10" t="s">
        <v>10</v>
      </c>
      <c r="B367" s="10" t="s">
        <v>11</v>
      </c>
      <c r="C367" s="11">
        <v>0.25</v>
      </c>
      <c r="D367" s="12">
        <f>E387</f>
        <v>7000</v>
      </c>
      <c r="E367" s="12">
        <f>C367*D367</f>
        <v>1750</v>
      </c>
    </row>
    <row r="368" spans="1:7" ht="18" customHeight="1" x14ac:dyDescent="0.3">
      <c r="A368" s="10"/>
      <c r="B368" s="10"/>
      <c r="C368" s="10"/>
      <c r="D368" s="12"/>
      <c r="E368" s="12"/>
    </row>
    <row r="369" spans="1:5" ht="18" customHeight="1" x14ac:dyDescent="0.3">
      <c r="A369" s="83" t="s">
        <v>12</v>
      </c>
      <c r="B369" s="84"/>
      <c r="C369" s="84"/>
      <c r="D369" s="84"/>
      <c r="E369" s="13">
        <f>SUM(E367:E367)</f>
        <v>1750</v>
      </c>
    </row>
    <row r="370" spans="1:5" ht="18" customHeight="1" x14ac:dyDescent="0.3">
      <c r="A370" s="89" t="s">
        <v>13</v>
      </c>
      <c r="B370" s="90"/>
      <c r="C370" s="90"/>
      <c r="D370" s="90"/>
      <c r="E370" s="90"/>
    </row>
    <row r="371" spans="1:5" ht="18" customHeight="1" x14ac:dyDescent="0.3">
      <c r="A371" s="9" t="s">
        <v>6</v>
      </c>
      <c r="B371" s="9" t="s">
        <v>3</v>
      </c>
      <c r="C371" s="9" t="s">
        <v>14</v>
      </c>
      <c r="D371" s="9" t="s">
        <v>15</v>
      </c>
      <c r="E371" s="9" t="s">
        <v>9</v>
      </c>
    </row>
    <row r="372" spans="1:5" ht="18" customHeight="1" x14ac:dyDescent="0.3">
      <c r="A372" s="14" t="s">
        <v>71</v>
      </c>
      <c r="B372" s="10" t="s">
        <v>26</v>
      </c>
      <c r="C372" s="21">
        <v>0.06</v>
      </c>
      <c r="D372" s="12">
        <v>511000</v>
      </c>
      <c r="E372" s="12">
        <f>C372*D372</f>
        <v>30660</v>
      </c>
    </row>
    <row r="373" spans="1:5" ht="18" customHeight="1" x14ac:dyDescent="0.3">
      <c r="A373" s="14" t="s">
        <v>73</v>
      </c>
      <c r="B373" s="10" t="s">
        <v>41</v>
      </c>
      <c r="C373" s="21">
        <v>0.02</v>
      </c>
      <c r="D373" s="12">
        <v>56000</v>
      </c>
      <c r="E373" s="12">
        <f t="shared" ref="E373:E374" si="2">C373*D373</f>
        <v>1120</v>
      </c>
    </row>
    <row r="374" spans="1:5" ht="18" customHeight="1" x14ac:dyDescent="0.3">
      <c r="A374" s="14"/>
      <c r="B374" s="10"/>
      <c r="C374" s="16"/>
      <c r="D374" s="12"/>
      <c r="E374" s="12">
        <f t="shared" si="2"/>
        <v>0</v>
      </c>
    </row>
    <row r="375" spans="1:5" ht="18" customHeight="1" x14ac:dyDescent="0.3">
      <c r="A375" s="17" t="s">
        <v>16</v>
      </c>
      <c r="B375" s="91"/>
      <c r="C375" s="88"/>
      <c r="D375" s="88"/>
      <c r="E375" s="12">
        <v>0</v>
      </c>
    </row>
    <row r="376" spans="1:5" ht="18" customHeight="1" x14ac:dyDescent="0.3">
      <c r="A376" s="17"/>
      <c r="B376" s="18"/>
      <c r="C376" s="19"/>
      <c r="D376" s="19"/>
      <c r="E376" s="12"/>
    </row>
    <row r="377" spans="1:5" ht="18" customHeight="1" x14ac:dyDescent="0.3">
      <c r="A377" s="83" t="s">
        <v>12</v>
      </c>
      <c r="B377" s="84"/>
      <c r="C377" s="84"/>
      <c r="D377" s="84"/>
      <c r="E377" s="13">
        <f>SUM(E372:E375)</f>
        <v>31780</v>
      </c>
    </row>
    <row r="378" spans="1:5" ht="18" customHeight="1" x14ac:dyDescent="0.3">
      <c r="A378" s="89" t="s">
        <v>17</v>
      </c>
      <c r="B378" s="90"/>
      <c r="C378" s="90"/>
      <c r="D378" s="90"/>
      <c r="E378" s="90"/>
    </row>
    <row r="379" spans="1:5" ht="18" customHeight="1" x14ac:dyDescent="0.3">
      <c r="A379" s="9" t="s">
        <v>6</v>
      </c>
      <c r="B379" s="9" t="s">
        <v>3</v>
      </c>
      <c r="C379" s="9" t="s">
        <v>7</v>
      </c>
      <c r="D379" s="9" t="s">
        <v>8</v>
      </c>
      <c r="E379" s="9" t="s">
        <v>9</v>
      </c>
    </row>
    <row r="380" spans="1:5" ht="18" customHeight="1" x14ac:dyDescent="0.3">
      <c r="A380" s="14" t="s">
        <v>18</v>
      </c>
      <c r="B380" s="10" t="s">
        <v>19</v>
      </c>
      <c r="C380" s="11">
        <v>0.02</v>
      </c>
      <c r="D380" s="12">
        <v>60000</v>
      </c>
      <c r="E380" s="12">
        <f>D380*C380</f>
        <v>1200</v>
      </c>
    </row>
    <row r="381" spans="1:5" ht="18" customHeight="1" x14ac:dyDescent="0.3">
      <c r="A381" s="14"/>
      <c r="B381" s="10"/>
      <c r="C381" s="11"/>
      <c r="D381" s="12"/>
      <c r="E381" s="12"/>
    </row>
    <row r="382" spans="1:5" ht="18" customHeight="1" x14ac:dyDescent="0.3">
      <c r="A382" s="83" t="s">
        <v>12</v>
      </c>
      <c r="B382" s="84"/>
      <c r="C382" s="84"/>
      <c r="D382" s="84"/>
      <c r="E382" s="13">
        <f>SUM(E380)</f>
        <v>1200</v>
      </c>
    </row>
    <row r="383" spans="1:5" ht="18" customHeight="1" x14ac:dyDescent="0.3">
      <c r="A383" s="89" t="s">
        <v>20</v>
      </c>
      <c r="B383" s="90"/>
      <c r="C383" s="90"/>
      <c r="D383" s="90"/>
      <c r="E383" s="90"/>
    </row>
    <row r="384" spans="1:5" ht="18" customHeight="1" x14ac:dyDescent="0.3">
      <c r="A384" s="9" t="s">
        <v>6</v>
      </c>
      <c r="B384" s="9" t="s">
        <v>3</v>
      </c>
      <c r="C384" s="9" t="s">
        <v>7</v>
      </c>
      <c r="D384" s="9" t="s">
        <v>21</v>
      </c>
      <c r="E384" s="9" t="s">
        <v>9</v>
      </c>
    </row>
    <row r="385" spans="1:5" ht="18" customHeight="1" x14ac:dyDescent="0.3">
      <c r="A385" s="14" t="s">
        <v>30</v>
      </c>
      <c r="B385" s="10" t="s">
        <v>19</v>
      </c>
      <c r="C385" s="11">
        <v>30</v>
      </c>
      <c r="D385" s="12">
        <v>210000</v>
      </c>
      <c r="E385" s="12">
        <f>D385/C385</f>
        <v>7000</v>
      </c>
    </row>
    <row r="386" spans="1:5" ht="18" customHeight="1" x14ac:dyDescent="0.3">
      <c r="A386" s="14"/>
      <c r="B386" s="10"/>
      <c r="C386" s="11"/>
      <c r="D386" s="12"/>
      <c r="E386" s="12"/>
    </row>
    <row r="387" spans="1:5" ht="18" customHeight="1" x14ac:dyDescent="0.3">
      <c r="A387" s="83" t="s">
        <v>12</v>
      </c>
      <c r="B387" s="84"/>
      <c r="C387" s="84"/>
      <c r="D387" s="84"/>
      <c r="E387" s="13">
        <f>SUM(E385)</f>
        <v>7000</v>
      </c>
    </row>
    <row r="388" spans="1:5" ht="18" customHeight="1" x14ac:dyDescent="0.3">
      <c r="A388" s="10"/>
      <c r="B388" s="19"/>
      <c r="C388" s="19"/>
      <c r="D388" s="19"/>
      <c r="E388" s="19"/>
    </row>
    <row r="389" spans="1:5" ht="18" customHeight="1" x14ac:dyDescent="0.3">
      <c r="A389" s="83" t="s">
        <v>23</v>
      </c>
      <c r="B389" s="84"/>
      <c r="C389" s="84"/>
      <c r="D389" s="84"/>
      <c r="E389" s="13">
        <f>SUM(E369,E377,E382,E387)</f>
        <v>41730</v>
      </c>
    </row>
    <row r="392" spans="1:5" ht="18" customHeight="1" x14ac:dyDescent="0.3">
      <c r="A392" s="87"/>
      <c r="B392" s="87"/>
      <c r="C392" s="87"/>
      <c r="D392" s="8" t="s">
        <v>3</v>
      </c>
      <c r="E392" s="8" t="s">
        <v>4</v>
      </c>
    </row>
    <row r="393" spans="1:5" ht="18" customHeight="1" x14ac:dyDescent="0.3">
      <c r="A393" s="89" t="s">
        <v>5</v>
      </c>
      <c r="B393" s="89"/>
      <c r="C393" s="89"/>
      <c r="D393" s="89"/>
      <c r="E393" s="89"/>
    </row>
    <row r="394" spans="1:5" ht="18" customHeight="1" x14ac:dyDescent="0.3">
      <c r="A394" s="9" t="s">
        <v>6</v>
      </c>
      <c r="B394" s="9" t="s">
        <v>3</v>
      </c>
      <c r="C394" s="9" t="s">
        <v>7</v>
      </c>
      <c r="D394" s="9" t="s">
        <v>8</v>
      </c>
      <c r="E394" s="9" t="s">
        <v>9</v>
      </c>
    </row>
    <row r="395" spans="1:5" ht="18" customHeight="1" x14ac:dyDescent="0.3">
      <c r="A395" s="10" t="s">
        <v>10</v>
      </c>
      <c r="B395" s="10" t="s">
        <v>11</v>
      </c>
      <c r="C395" s="11">
        <v>0.8</v>
      </c>
      <c r="D395" s="12">
        <f>E415</f>
        <v>1300</v>
      </c>
      <c r="E395" s="12">
        <f>C395*D395</f>
        <v>1040</v>
      </c>
    </row>
    <row r="396" spans="1:5" ht="18" customHeight="1" x14ac:dyDescent="0.3">
      <c r="A396" s="10"/>
      <c r="B396" s="10"/>
      <c r="C396" s="10"/>
      <c r="D396" s="12"/>
      <c r="E396" s="12"/>
    </row>
    <row r="397" spans="1:5" ht="18" customHeight="1" x14ac:dyDescent="0.3">
      <c r="A397" s="83" t="s">
        <v>12</v>
      </c>
      <c r="B397" s="83"/>
      <c r="C397" s="83"/>
      <c r="D397" s="83"/>
      <c r="E397" s="13">
        <f>SUM(E395:E395)</f>
        <v>1040</v>
      </c>
    </row>
    <row r="398" spans="1:5" ht="18" customHeight="1" x14ac:dyDescent="0.3">
      <c r="A398" s="89" t="s">
        <v>13</v>
      </c>
      <c r="B398" s="89"/>
      <c r="C398" s="89"/>
      <c r="D398" s="89"/>
      <c r="E398" s="89"/>
    </row>
    <row r="399" spans="1:5" ht="18" customHeight="1" x14ac:dyDescent="0.3">
      <c r="A399" s="9" t="s">
        <v>6</v>
      </c>
      <c r="B399" s="9" t="s">
        <v>3</v>
      </c>
      <c r="C399" s="9" t="s">
        <v>14</v>
      </c>
      <c r="D399" s="9" t="s">
        <v>15</v>
      </c>
      <c r="E399" s="9" t="s">
        <v>9</v>
      </c>
    </row>
    <row r="400" spans="1:5" ht="18" customHeight="1" x14ac:dyDescent="0.3">
      <c r="A400" s="14" t="s">
        <v>32</v>
      </c>
      <c r="B400" s="10" t="s">
        <v>33</v>
      </c>
      <c r="C400" s="16">
        <v>2.1999999999999999E-2</v>
      </c>
      <c r="D400" s="12">
        <v>300000</v>
      </c>
      <c r="E400" s="12">
        <f>C400*D400</f>
        <v>6600</v>
      </c>
    </row>
    <row r="401" spans="1:5" ht="18" customHeight="1" x14ac:dyDescent="0.3">
      <c r="A401" s="14" t="s">
        <v>34</v>
      </c>
      <c r="B401" s="10" t="s">
        <v>4</v>
      </c>
      <c r="C401" s="16">
        <v>1.4999999999999999E-2</v>
      </c>
      <c r="D401" s="12">
        <v>100000</v>
      </c>
      <c r="E401" s="12">
        <f>C401*D401</f>
        <v>1500</v>
      </c>
    </row>
    <row r="402" spans="1:5" ht="18" customHeight="1" x14ac:dyDescent="0.3">
      <c r="A402" s="14"/>
      <c r="B402" s="10"/>
      <c r="C402" s="16"/>
      <c r="D402" s="12"/>
      <c r="E402" s="12"/>
    </row>
    <row r="403" spans="1:5" ht="18" customHeight="1" x14ac:dyDescent="0.3">
      <c r="A403" s="17" t="s">
        <v>35</v>
      </c>
      <c r="B403" s="91"/>
      <c r="C403" s="91"/>
      <c r="D403" s="91"/>
      <c r="E403" s="12">
        <f>E400*0.03</f>
        <v>198</v>
      </c>
    </row>
    <row r="404" spans="1:5" ht="18" customHeight="1" x14ac:dyDescent="0.3">
      <c r="A404" s="17"/>
      <c r="B404" s="18"/>
      <c r="C404" s="19"/>
      <c r="D404" s="19"/>
      <c r="E404" s="12"/>
    </row>
    <row r="405" spans="1:5" ht="18" customHeight="1" x14ac:dyDescent="0.3">
      <c r="A405" s="83" t="s">
        <v>12</v>
      </c>
      <c r="B405" s="83"/>
      <c r="C405" s="83"/>
      <c r="D405" s="83"/>
      <c r="E405" s="13">
        <f>SUM(E400:E403)</f>
        <v>8298</v>
      </c>
    </row>
    <row r="406" spans="1:5" ht="18" customHeight="1" x14ac:dyDescent="0.3">
      <c r="A406" s="89" t="s">
        <v>17</v>
      </c>
      <c r="B406" s="89"/>
      <c r="C406" s="89"/>
      <c r="D406" s="89"/>
      <c r="E406" s="89"/>
    </row>
    <row r="407" spans="1:5" ht="18" customHeight="1" x14ac:dyDescent="0.3">
      <c r="A407" s="9" t="s">
        <v>6</v>
      </c>
      <c r="B407" s="9" t="s">
        <v>3</v>
      </c>
      <c r="C407" s="9" t="s">
        <v>7</v>
      </c>
      <c r="D407" s="9" t="s">
        <v>8</v>
      </c>
      <c r="E407" s="9" t="s">
        <v>9</v>
      </c>
    </row>
    <row r="408" spans="1:5" ht="18" customHeight="1" x14ac:dyDescent="0.3">
      <c r="A408" s="14" t="s">
        <v>36</v>
      </c>
      <c r="B408" s="10" t="s">
        <v>19</v>
      </c>
      <c r="C408" s="11">
        <v>2.5000000000000001E-2</v>
      </c>
      <c r="D408" s="12">
        <v>25000</v>
      </c>
      <c r="E408" s="12">
        <f>D408*C408</f>
        <v>625</v>
      </c>
    </row>
    <row r="409" spans="1:5" ht="18" customHeight="1" x14ac:dyDescent="0.3">
      <c r="A409" s="14"/>
      <c r="B409" s="10"/>
      <c r="C409" s="11"/>
      <c r="D409" s="12"/>
      <c r="E409" s="12"/>
    </row>
    <row r="410" spans="1:5" ht="18" customHeight="1" x14ac:dyDescent="0.3">
      <c r="A410" s="83" t="s">
        <v>12</v>
      </c>
      <c r="B410" s="83"/>
      <c r="C410" s="83"/>
      <c r="D410" s="83"/>
      <c r="E410" s="13">
        <f>SUM(E408)</f>
        <v>625</v>
      </c>
    </row>
    <row r="411" spans="1:5" ht="18" customHeight="1" x14ac:dyDescent="0.3">
      <c r="A411" s="89" t="s">
        <v>20</v>
      </c>
      <c r="B411" s="89"/>
      <c r="C411" s="89"/>
      <c r="D411" s="89"/>
      <c r="E411" s="89"/>
    </row>
    <row r="412" spans="1:5" ht="18" customHeight="1" x14ac:dyDescent="0.3">
      <c r="A412" s="9" t="s">
        <v>6</v>
      </c>
      <c r="B412" s="9" t="s">
        <v>3</v>
      </c>
      <c r="C412" s="9" t="s">
        <v>7</v>
      </c>
      <c r="D412" s="9" t="s">
        <v>21</v>
      </c>
      <c r="E412" s="9" t="s">
        <v>9</v>
      </c>
    </row>
    <row r="413" spans="1:5" ht="18" customHeight="1" x14ac:dyDescent="0.3">
      <c r="A413" s="14" t="s">
        <v>37</v>
      </c>
      <c r="B413" s="10" t="s">
        <v>19</v>
      </c>
      <c r="C413" s="11">
        <v>100</v>
      </c>
      <c r="D413" s="12">
        <v>130000</v>
      </c>
      <c r="E413" s="12">
        <f>D413/C413</f>
        <v>1300</v>
      </c>
    </row>
    <row r="414" spans="1:5" ht="18" customHeight="1" x14ac:dyDescent="0.3">
      <c r="A414" s="14"/>
      <c r="B414" s="10"/>
      <c r="C414" s="11"/>
      <c r="D414" s="12"/>
      <c r="E414" s="12"/>
    </row>
    <row r="415" spans="1:5" ht="18" customHeight="1" x14ac:dyDescent="0.3">
      <c r="A415" s="83" t="s">
        <v>12</v>
      </c>
      <c r="B415" s="83"/>
      <c r="C415" s="83"/>
      <c r="D415" s="83"/>
      <c r="E415" s="13">
        <f>SUM(E413)</f>
        <v>1300</v>
      </c>
    </row>
    <row r="416" spans="1:5" ht="18" customHeight="1" x14ac:dyDescent="0.3">
      <c r="A416" s="10"/>
      <c r="B416" s="19"/>
      <c r="C416" s="19"/>
      <c r="D416" s="19"/>
      <c r="E416" s="19"/>
    </row>
    <row r="417" spans="1:5" ht="18" customHeight="1" x14ac:dyDescent="0.3">
      <c r="A417" s="83" t="s">
        <v>23</v>
      </c>
      <c r="B417" s="83"/>
      <c r="C417" s="83"/>
      <c r="D417" s="83"/>
      <c r="E417" s="13">
        <f>SUM(E397,E405,E410,E415)</f>
        <v>11263</v>
      </c>
    </row>
    <row r="419" spans="1:5" ht="18" customHeight="1" x14ac:dyDescent="0.3">
      <c r="B419" s="19"/>
      <c r="C419" s="19"/>
      <c r="D419" s="19"/>
      <c r="E419" s="19"/>
    </row>
    <row r="420" spans="1:5" ht="18" customHeight="1" x14ac:dyDescent="0.3">
      <c r="A420" s="93" t="s">
        <v>74</v>
      </c>
      <c r="B420" s="93"/>
      <c r="C420" s="93"/>
      <c r="D420" s="23" t="s">
        <v>1</v>
      </c>
      <c r="E420" s="23">
        <v>3</v>
      </c>
    </row>
    <row r="421" spans="1:5" ht="18" customHeight="1" x14ac:dyDescent="0.3">
      <c r="A421" s="87"/>
      <c r="B421" s="87"/>
      <c r="C421" s="87"/>
      <c r="D421" s="8" t="s">
        <v>3</v>
      </c>
      <c r="E421" s="8" t="s">
        <v>4</v>
      </c>
    </row>
    <row r="422" spans="1:5" ht="18" customHeight="1" x14ac:dyDescent="0.3">
      <c r="A422" s="89" t="s">
        <v>5</v>
      </c>
      <c r="B422" s="89"/>
      <c r="C422" s="89"/>
      <c r="D422" s="89"/>
      <c r="E422" s="89"/>
    </row>
    <row r="423" spans="1:5" ht="18" customHeight="1" x14ac:dyDescent="0.3">
      <c r="A423" s="9" t="s">
        <v>6</v>
      </c>
      <c r="B423" s="9" t="s">
        <v>3</v>
      </c>
      <c r="C423" s="9" t="s">
        <v>7</v>
      </c>
      <c r="D423" s="9" t="s">
        <v>8</v>
      </c>
      <c r="E423" s="9" t="s">
        <v>9</v>
      </c>
    </row>
    <row r="424" spans="1:5" ht="18" customHeight="1" x14ac:dyDescent="0.3">
      <c r="A424" s="10" t="s">
        <v>10</v>
      </c>
      <c r="B424" s="10" t="s">
        <v>11</v>
      </c>
      <c r="C424" s="11">
        <v>0.8</v>
      </c>
      <c r="D424" s="12">
        <f>E443</f>
        <v>1300</v>
      </c>
      <c r="E424" s="12">
        <f>C424*D424</f>
        <v>1040</v>
      </c>
    </row>
    <row r="425" spans="1:5" ht="18" customHeight="1" x14ac:dyDescent="0.3">
      <c r="A425" s="10"/>
      <c r="B425" s="10"/>
      <c r="C425" s="10"/>
      <c r="D425" s="12"/>
      <c r="E425" s="12"/>
    </row>
    <row r="426" spans="1:5" ht="18" customHeight="1" x14ac:dyDescent="0.3">
      <c r="A426" s="83" t="s">
        <v>12</v>
      </c>
      <c r="B426" s="83"/>
      <c r="C426" s="83"/>
      <c r="D426" s="83"/>
      <c r="E426" s="13">
        <f>SUM(E424:E424)</f>
        <v>1040</v>
      </c>
    </row>
    <row r="427" spans="1:5" ht="18" customHeight="1" x14ac:dyDescent="0.3">
      <c r="A427" s="89" t="s">
        <v>13</v>
      </c>
      <c r="B427" s="89"/>
      <c r="C427" s="89"/>
      <c r="D427" s="89"/>
      <c r="E427" s="89"/>
    </row>
    <row r="428" spans="1:5" ht="18" customHeight="1" x14ac:dyDescent="0.3">
      <c r="A428" s="9" t="s">
        <v>6</v>
      </c>
      <c r="B428" s="9" t="s">
        <v>3</v>
      </c>
      <c r="C428" s="9" t="s">
        <v>14</v>
      </c>
      <c r="D428" s="9" t="s">
        <v>15</v>
      </c>
      <c r="E428" s="9" t="s">
        <v>9</v>
      </c>
    </row>
    <row r="429" spans="1:5" ht="18" customHeight="1" x14ac:dyDescent="0.3">
      <c r="A429" s="14" t="s">
        <v>32</v>
      </c>
      <c r="B429" s="10" t="s">
        <v>33</v>
      </c>
      <c r="C429" s="16">
        <v>2.1999999999999999E-2</v>
      </c>
      <c r="D429" s="12">
        <v>300000</v>
      </c>
      <c r="E429" s="12">
        <f>C429*D429</f>
        <v>6600</v>
      </c>
    </row>
    <row r="430" spans="1:5" ht="18" customHeight="1" x14ac:dyDescent="0.3">
      <c r="A430" s="14"/>
      <c r="B430" s="10"/>
      <c r="C430" s="16"/>
      <c r="D430" s="12"/>
      <c r="E430" s="12"/>
    </row>
    <row r="431" spans="1:5" ht="18" customHeight="1" x14ac:dyDescent="0.3">
      <c r="A431" s="17" t="s">
        <v>35</v>
      </c>
      <c r="B431" s="91"/>
      <c r="C431" s="91"/>
      <c r="D431" s="91"/>
      <c r="E431" s="12">
        <f>E429*0.03</f>
        <v>198</v>
      </c>
    </row>
    <row r="432" spans="1:5" ht="18" customHeight="1" x14ac:dyDescent="0.3">
      <c r="A432" s="17"/>
      <c r="B432" s="18"/>
      <c r="C432" s="19"/>
      <c r="D432" s="19"/>
      <c r="E432" s="12"/>
    </row>
    <row r="433" spans="1:5" ht="18" customHeight="1" x14ac:dyDescent="0.3">
      <c r="A433" s="83" t="s">
        <v>12</v>
      </c>
      <c r="B433" s="83"/>
      <c r="C433" s="83"/>
      <c r="D433" s="83"/>
      <c r="E433" s="13">
        <f>SUM(E429:E431)</f>
        <v>6798</v>
      </c>
    </row>
    <row r="434" spans="1:5" ht="18" customHeight="1" x14ac:dyDescent="0.3">
      <c r="A434" s="89" t="s">
        <v>17</v>
      </c>
      <c r="B434" s="89"/>
      <c r="C434" s="89"/>
      <c r="D434" s="89"/>
      <c r="E434" s="89"/>
    </row>
    <row r="435" spans="1:5" ht="18" customHeight="1" x14ac:dyDescent="0.3">
      <c r="A435" s="9" t="s">
        <v>6</v>
      </c>
      <c r="B435" s="9" t="s">
        <v>3</v>
      </c>
      <c r="C435" s="9" t="s">
        <v>7</v>
      </c>
      <c r="D435" s="9" t="s">
        <v>8</v>
      </c>
      <c r="E435" s="9" t="s">
        <v>9</v>
      </c>
    </row>
    <row r="436" spans="1:5" ht="18" customHeight="1" x14ac:dyDescent="0.3">
      <c r="A436" s="14" t="s">
        <v>36</v>
      </c>
      <c r="B436" s="10" t="s">
        <v>19</v>
      </c>
      <c r="C436" s="11">
        <v>2.5000000000000001E-2</v>
      </c>
      <c r="D436" s="12">
        <v>25000</v>
      </c>
      <c r="E436" s="12">
        <f>D436*C436</f>
        <v>625</v>
      </c>
    </row>
    <row r="437" spans="1:5" ht="18" customHeight="1" x14ac:dyDescent="0.3">
      <c r="A437" s="14"/>
      <c r="B437" s="10"/>
      <c r="C437" s="11"/>
      <c r="D437" s="12"/>
      <c r="E437" s="12"/>
    </row>
    <row r="438" spans="1:5" ht="18" customHeight="1" x14ac:dyDescent="0.3">
      <c r="A438" s="83" t="s">
        <v>12</v>
      </c>
      <c r="B438" s="83"/>
      <c r="C438" s="83"/>
      <c r="D438" s="83"/>
      <c r="E438" s="13">
        <f>SUM(E436)</f>
        <v>625</v>
      </c>
    </row>
    <row r="439" spans="1:5" ht="18" customHeight="1" x14ac:dyDescent="0.3">
      <c r="A439" s="89" t="s">
        <v>20</v>
      </c>
      <c r="B439" s="89"/>
      <c r="C439" s="89"/>
      <c r="D439" s="89"/>
      <c r="E439" s="89"/>
    </row>
    <row r="440" spans="1:5" ht="18" customHeight="1" x14ac:dyDescent="0.3">
      <c r="A440" s="9" t="s">
        <v>6</v>
      </c>
      <c r="B440" s="9" t="s">
        <v>3</v>
      </c>
      <c r="C440" s="9" t="s">
        <v>7</v>
      </c>
      <c r="D440" s="9" t="s">
        <v>21</v>
      </c>
      <c r="E440" s="9" t="s">
        <v>9</v>
      </c>
    </row>
    <row r="441" spans="1:5" ht="18" customHeight="1" x14ac:dyDescent="0.3">
      <c r="A441" s="14" t="s">
        <v>37</v>
      </c>
      <c r="B441" s="10" t="s">
        <v>19</v>
      </c>
      <c r="C441" s="11">
        <v>100</v>
      </c>
      <c r="D441" s="12">
        <v>130000</v>
      </c>
      <c r="E441" s="12">
        <f>D441/C441</f>
        <v>1300</v>
      </c>
    </row>
    <row r="442" spans="1:5" ht="18" customHeight="1" x14ac:dyDescent="0.3">
      <c r="A442" s="14"/>
      <c r="B442" s="10"/>
      <c r="C442" s="11"/>
      <c r="D442" s="12"/>
      <c r="E442" s="12"/>
    </row>
    <row r="443" spans="1:5" ht="18" customHeight="1" x14ac:dyDescent="0.3">
      <c r="A443" s="83" t="s">
        <v>12</v>
      </c>
      <c r="B443" s="83"/>
      <c r="C443" s="83"/>
      <c r="D443" s="83"/>
      <c r="E443" s="13">
        <f>SUM(E441)</f>
        <v>1300</v>
      </c>
    </row>
    <row r="444" spans="1:5" ht="18" customHeight="1" x14ac:dyDescent="0.3">
      <c r="A444" s="10"/>
      <c r="B444" s="19"/>
      <c r="C444" s="19"/>
      <c r="D444" s="19"/>
      <c r="E444" s="19"/>
    </row>
    <row r="445" spans="1:5" ht="18" customHeight="1" x14ac:dyDescent="0.3">
      <c r="A445" s="83" t="s">
        <v>23</v>
      </c>
      <c r="B445" s="83"/>
      <c r="C445" s="83"/>
      <c r="D445" s="83"/>
      <c r="E445" s="13">
        <f>SUM(E426,E433,E438,E443)</f>
        <v>9763</v>
      </c>
    </row>
    <row r="447" spans="1:5" ht="18" customHeight="1" x14ac:dyDescent="0.3">
      <c r="A447" s="2"/>
      <c r="B447" s="3"/>
      <c r="C447" s="3"/>
      <c r="D447" s="3"/>
      <c r="E447" s="3"/>
    </row>
    <row r="448" spans="1:5" ht="18" customHeight="1" x14ac:dyDescent="0.3">
      <c r="A448" s="93" t="s">
        <v>42</v>
      </c>
      <c r="B448" s="93"/>
      <c r="C448" s="93"/>
      <c r="D448" s="23" t="s">
        <v>1</v>
      </c>
      <c r="E448" s="23">
        <v>5</v>
      </c>
    </row>
    <row r="449" spans="1:5" ht="18" customHeight="1" x14ac:dyDescent="0.3">
      <c r="A449" s="87"/>
      <c r="B449" s="88"/>
      <c r="C449" s="88"/>
      <c r="D449" s="8" t="s">
        <v>3</v>
      </c>
      <c r="E449" s="8" t="s">
        <v>43</v>
      </c>
    </row>
    <row r="450" spans="1:5" ht="18" customHeight="1" x14ac:dyDescent="0.3">
      <c r="A450" s="89" t="s">
        <v>5</v>
      </c>
      <c r="B450" s="90"/>
      <c r="C450" s="90"/>
      <c r="D450" s="90"/>
      <c r="E450" s="90"/>
    </row>
    <row r="451" spans="1:5" ht="18" customHeight="1" x14ac:dyDescent="0.3">
      <c r="A451" s="9" t="s">
        <v>6</v>
      </c>
      <c r="B451" s="9" t="s">
        <v>3</v>
      </c>
      <c r="C451" s="9" t="s">
        <v>7</v>
      </c>
      <c r="D451" s="9" t="s">
        <v>8</v>
      </c>
      <c r="E451" s="9" t="s">
        <v>9</v>
      </c>
    </row>
    <row r="452" spans="1:5" ht="18" customHeight="1" x14ac:dyDescent="0.3">
      <c r="A452" s="10" t="s">
        <v>10</v>
      </c>
      <c r="B452" s="10" t="s">
        <v>11</v>
      </c>
      <c r="C452" s="11">
        <v>0.1</v>
      </c>
      <c r="D452" s="12">
        <f>E474</f>
        <v>2888.8888888888887</v>
      </c>
      <c r="E452" s="12">
        <f>C452*D452</f>
        <v>288.88888888888886</v>
      </c>
    </row>
    <row r="453" spans="1:5" ht="18" customHeight="1" x14ac:dyDescent="0.3">
      <c r="A453" s="10"/>
      <c r="B453" s="10"/>
      <c r="C453" s="10"/>
      <c r="D453" s="12"/>
      <c r="E453" s="12"/>
    </row>
    <row r="454" spans="1:5" ht="18" customHeight="1" x14ac:dyDescent="0.3">
      <c r="A454" s="83" t="s">
        <v>12</v>
      </c>
      <c r="B454" s="84"/>
      <c r="C454" s="84"/>
      <c r="D454" s="84"/>
      <c r="E454" s="13">
        <f>SUM(E452:E452)</f>
        <v>288.88888888888886</v>
      </c>
    </row>
    <row r="455" spans="1:5" ht="18" customHeight="1" x14ac:dyDescent="0.3">
      <c r="A455" s="89" t="s">
        <v>13</v>
      </c>
      <c r="B455" s="90"/>
      <c r="C455" s="90"/>
      <c r="D455" s="90"/>
      <c r="E455" s="90"/>
    </row>
    <row r="456" spans="1:5" ht="18" customHeight="1" x14ac:dyDescent="0.3">
      <c r="A456" s="9" t="s">
        <v>6</v>
      </c>
      <c r="B456" s="9" t="s">
        <v>3</v>
      </c>
      <c r="C456" s="9" t="s">
        <v>14</v>
      </c>
      <c r="D456" s="9" t="s">
        <v>15</v>
      </c>
      <c r="E456" s="9" t="s">
        <v>9</v>
      </c>
    </row>
    <row r="457" spans="1:5" ht="18" customHeight="1" x14ac:dyDescent="0.3">
      <c r="A457" s="14" t="s">
        <v>44</v>
      </c>
      <c r="B457" s="10" t="s">
        <v>4</v>
      </c>
      <c r="C457" s="25">
        <v>1</v>
      </c>
      <c r="D457" s="12">
        <v>60000</v>
      </c>
      <c r="E457" s="12">
        <f>C457*D457</f>
        <v>60000</v>
      </c>
    </row>
    <row r="458" spans="1:5" ht="18" customHeight="1" x14ac:dyDescent="0.3">
      <c r="A458" s="14" t="s">
        <v>45</v>
      </c>
      <c r="B458" s="10" t="s">
        <v>4</v>
      </c>
      <c r="C458" s="16">
        <v>0.15</v>
      </c>
      <c r="D458" s="12">
        <v>38000</v>
      </c>
      <c r="E458" s="12">
        <f>C458*D458</f>
        <v>5700</v>
      </c>
    </row>
    <row r="459" spans="1:5" ht="18" customHeight="1" x14ac:dyDescent="0.3">
      <c r="A459" s="14" t="s">
        <v>62</v>
      </c>
      <c r="B459" s="10" t="s">
        <v>4</v>
      </c>
      <c r="C459" s="16">
        <v>0.1</v>
      </c>
      <c r="D459" s="12">
        <v>28000</v>
      </c>
      <c r="E459" s="12">
        <f>C459*D459</f>
        <v>2800</v>
      </c>
    </row>
    <row r="460" spans="1:5" ht="18" customHeight="1" x14ac:dyDescent="0.3">
      <c r="A460" s="14" t="s">
        <v>64</v>
      </c>
      <c r="B460" s="10" t="s">
        <v>63</v>
      </c>
      <c r="C460" s="16">
        <v>0.1</v>
      </c>
      <c r="D460" s="12">
        <v>15000</v>
      </c>
      <c r="E460" s="12">
        <f>C460*D460</f>
        <v>1500</v>
      </c>
    </row>
    <row r="461" spans="1:5" ht="18" customHeight="1" x14ac:dyDescent="0.3">
      <c r="A461" s="14"/>
      <c r="B461" s="10"/>
      <c r="C461" s="16"/>
      <c r="D461" s="12"/>
      <c r="E461" s="12"/>
    </row>
    <row r="462" spans="1:5" ht="18" customHeight="1" x14ac:dyDescent="0.3">
      <c r="A462" s="26" t="s">
        <v>46</v>
      </c>
      <c r="B462" s="92"/>
      <c r="C462" s="88"/>
      <c r="D462" s="88"/>
      <c r="E462" s="27">
        <f>(E457+E461)*0.05</f>
        <v>3000</v>
      </c>
    </row>
    <row r="463" spans="1:5" ht="18" customHeight="1" x14ac:dyDescent="0.3">
      <c r="A463" s="26"/>
      <c r="B463" s="28"/>
      <c r="C463" s="19"/>
      <c r="D463" s="19"/>
      <c r="E463" s="27"/>
    </row>
    <row r="464" spans="1:5" ht="18" customHeight="1" x14ac:dyDescent="0.3">
      <c r="A464" s="83" t="s">
        <v>12</v>
      </c>
      <c r="B464" s="84"/>
      <c r="C464" s="84"/>
      <c r="D464" s="84"/>
      <c r="E464" s="13">
        <f>SUM(E457:E462)</f>
        <v>73000</v>
      </c>
    </row>
    <row r="465" spans="1:5" ht="18" customHeight="1" x14ac:dyDescent="0.3">
      <c r="A465" s="89" t="s">
        <v>17</v>
      </c>
      <c r="B465" s="90"/>
      <c r="C465" s="90"/>
      <c r="D465" s="90"/>
      <c r="E465" s="90"/>
    </row>
    <row r="466" spans="1:5" ht="18" customHeight="1" x14ac:dyDescent="0.3">
      <c r="A466" s="9" t="s">
        <v>6</v>
      </c>
      <c r="B466" s="9" t="s">
        <v>3</v>
      </c>
      <c r="C466" s="9" t="s">
        <v>7</v>
      </c>
      <c r="D466" s="9" t="s">
        <v>8</v>
      </c>
      <c r="E466" s="9" t="s">
        <v>9</v>
      </c>
    </row>
    <row r="467" spans="1:5" ht="18" customHeight="1" x14ac:dyDescent="0.3">
      <c r="A467" s="14" t="s">
        <v>36</v>
      </c>
      <c r="B467" s="10" t="s">
        <v>19</v>
      </c>
      <c r="C467" s="11">
        <v>2.5000000000000001E-2</v>
      </c>
      <c r="D467" s="12">
        <v>45000</v>
      </c>
      <c r="E467" s="12">
        <f>D467*C467</f>
        <v>1125</v>
      </c>
    </row>
    <row r="468" spans="1:5" ht="18" customHeight="1" x14ac:dyDescent="0.3">
      <c r="A468" s="14"/>
      <c r="B468" s="10"/>
      <c r="C468" s="11"/>
      <c r="D468" s="12"/>
      <c r="E468" s="12"/>
    </row>
    <row r="469" spans="1:5" ht="18" customHeight="1" x14ac:dyDescent="0.3">
      <c r="A469" s="83" t="s">
        <v>12</v>
      </c>
      <c r="B469" s="84"/>
      <c r="C469" s="84"/>
      <c r="D469" s="84"/>
      <c r="E469" s="13">
        <f>SUM(E467)</f>
        <v>1125</v>
      </c>
    </row>
    <row r="470" spans="1:5" ht="18" customHeight="1" x14ac:dyDescent="0.3">
      <c r="A470" s="89" t="s">
        <v>20</v>
      </c>
      <c r="B470" s="90"/>
      <c r="C470" s="90"/>
      <c r="D470" s="90"/>
      <c r="E470" s="90"/>
    </row>
    <row r="471" spans="1:5" ht="18" customHeight="1" x14ac:dyDescent="0.3">
      <c r="A471" s="9" t="s">
        <v>6</v>
      </c>
      <c r="B471" s="9" t="s">
        <v>3</v>
      </c>
      <c r="C471" s="9" t="s">
        <v>7</v>
      </c>
      <c r="D471" s="9" t="s">
        <v>21</v>
      </c>
      <c r="E471" s="9" t="s">
        <v>9</v>
      </c>
    </row>
    <row r="472" spans="1:5" ht="18" customHeight="1" x14ac:dyDescent="0.3">
      <c r="A472" s="14" t="s">
        <v>30</v>
      </c>
      <c r="B472" s="10" t="s">
        <v>19</v>
      </c>
      <c r="C472" s="11">
        <v>45</v>
      </c>
      <c r="D472" s="12">
        <v>130000</v>
      </c>
      <c r="E472" s="12">
        <f>D472/C472</f>
        <v>2888.8888888888887</v>
      </c>
    </row>
    <row r="473" spans="1:5" ht="18" customHeight="1" x14ac:dyDescent="0.3">
      <c r="A473" s="14"/>
      <c r="B473" s="10"/>
      <c r="C473" s="11"/>
      <c r="D473" s="12"/>
      <c r="E473" s="12"/>
    </row>
    <row r="474" spans="1:5" ht="18" customHeight="1" x14ac:dyDescent="0.3">
      <c r="A474" s="83" t="s">
        <v>12</v>
      </c>
      <c r="B474" s="84"/>
      <c r="C474" s="84"/>
      <c r="D474" s="84"/>
      <c r="E474" s="13">
        <f>SUM(E472)</f>
        <v>2888.8888888888887</v>
      </c>
    </row>
    <row r="475" spans="1:5" ht="18" customHeight="1" x14ac:dyDescent="0.3">
      <c r="A475" s="10"/>
      <c r="B475" s="19"/>
      <c r="C475" s="19"/>
      <c r="D475" s="19"/>
      <c r="E475" s="19"/>
    </row>
    <row r="476" spans="1:5" ht="18" customHeight="1" x14ac:dyDescent="0.3">
      <c r="A476" s="83" t="s">
        <v>23</v>
      </c>
      <c r="B476" s="84"/>
      <c r="C476" s="84"/>
      <c r="D476" s="84"/>
      <c r="E476" s="13">
        <f>SUM(E454,E464,E469,E474)</f>
        <v>77302.777777777781</v>
      </c>
    </row>
  </sheetData>
  <mergeCells count="192">
    <mergeCell ref="B15:D15"/>
    <mergeCell ref="A17:D17"/>
    <mergeCell ref="A18:E18"/>
    <mergeCell ref="A22:D22"/>
    <mergeCell ref="A23:E23"/>
    <mergeCell ref="A27:D27"/>
    <mergeCell ref="A1:E1"/>
    <mergeCell ref="A5:C5"/>
    <mergeCell ref="A6:C6"/>
    <mergeCell ref="A7:E7"/>
    <mergeCell ref="A11:D11"/>
    <mergeCell ref="A12:E12"/>
    <mergeCell ref="B46:D46"/>
    <mergeCell ref="A48:D48"/>
    <mergeCell ref="A49:E49"/>
    <mergeCell ref="A53:D53"/>
    <mergeCell ref="A54:E54"/>
    <mergeCell ref="A58:D58"/>
    <mergeCell ref="A29:D29"/>
    <mergeCell ref="A32:C32"/>
    <mergeCell ref="A33:C33"/>
    <mergeCell ref="A34:E34"/>
    <mergeCell ref="A38:D38"/>
    <mergeCell ref="A39:E39"/>
    <mergeCell ref="B75:D75"/>
    <mergeCell ref="A77:D77"/>
    <mergeCell ref="A78:E78"/>
    <mergeCell ref="A82:D82"/>
    <mergeCell ref="A83:E83"/>
    <mergeCell ref="A87:D87"/>
    <mergeCell ref="A60:D60"/>
    <mergeCell ref="A63:C63"/>
    <mergeCell ref="A64:C64"/>
    <mergeCell ref="A65:E65"/>
    <mergeCell ref="A69:D69"/>
    <mergeCell ref="A70:E70"/>
    <mergeCell ref="B104:D104"/>
    <mergeCell ref="A106:D106"/>
    <mergeCell ref="A107:E107"/>
    <mergeCell ref="A111:D111"/>
    <mergeCell ref="A112:E112"/>
    <mergeCell ref="A116:D116"/>
    <mergeCell ref="A89:D89"/>
    <mergeCell ref="A92:C92"/>
    <mergeCell ref="A93:C93"/>
    <mergeCell ref="A94:E94"/>
    <mergeCell ref="A98:D98"/>
    <mergeCell ref="A99:E99"/>
    <mergeCell ref="B136:D136"/>
    <mergeCell ref="A138:D138"/>
    <mergeCell ref="A139:E139"/>
    <mergeCell ref="A143:D143"/>
    <mergeCell ref="A144:E144"/>
    <mergeCell ref="A148:D148"/>
    <mergeCell ref="A118:D118"/>
    <mergeCell ref="A122:C122"/>
    <mergeCell ref="A123:C123"/>
    <mergeCell ref="A124:E124"/>
    <mergeCell ref="A128:D128"/>
    <mergeCell ref="A129:E129"/>
    <mergeCell ref="B168:D168"/>
    <mergeCell ref="A170:D170"/>
    <mergeCell ref="A171:E171"/>
    <mergeCell ref="A175:D175"/>
    <mergeCell ref="A176:E176"/>
    <mergeCell ref="A180:D180"/>
    <mergeCell ref="A150:D150"/>
    <mergeCell ref="A156:C156"/>
    <mergeCell ref="A157:C157"/>
    <mergeCell ref="A158:E158"/>
    <mergeCell ref="A162:D162"/>
    <mergeCell ref="A163:E163"/>
    <mergeCell ref="B199:D199"/>
    <mergeCell ref="A201:D201"/>
    <mergeCell ref="A202:E202"/>
    <mergeCell ref="A206:D206"/>
    <mergeCell ref="A207:E207"/>
    <mergeCell ref="A211:D211"/>
    <mergeCell ref="A182:D182"/>
    <mergeCell ref="A185:C185"/>
    <mergeCell ref="A186:C186"/>
    <mergeCell ref="A187:E187"/>
    <mergeCell ref="A191:D191"/>
    <mergeCell ref="A192:E192"/>
    <mergeCell ref="B227:D227"/>
    <mergeCell ref="A229:D229"/>
    <mergeCell ref="A230:E230"/>
    <mergeCell ref="A234:D234"/>
    <mergeCell ref="A235:E235"/>
    <mergeCell ref="A239:D239"/>
    <mergeCell ref="A213:D213"/>
    <mergeCell ref="A216:C216"/>
    <mergeCell ref="A217:C217"/>
    <mergeCell ref="A218:E218"/>
    <mergeCell ref="A222:D222"/>
    <mergeCell ref="A223:E223"/>
    <mergeCell ref="B259:D259"/>
    <mergeCell ref="A261:D261"/>
    <mergeCell ref="A262:E262"/>
    <mergeCell ref="A266:D266"/>
    <mergeCell ref="A267:E267"/>
    <mergeCell ref="A271:D271"/>
    <mergeCell ref="A241:D241"/>
    <mergeCell ref="A247:C247"/>
    <mergeCell ref="A248:C248"/>
    <mergeCell ref="A249:E249"/>
    <mergeCell ref="A255:D255"/>
    <mergeCell ref="A256:E256"/>
    <mergeCell ref="B318:D318"/>
    <mergeCell ref="A320:D320"/>
    <mergeCell ref="A321:E321"/>
    <mergeCell ref="A325:D325"/>
    <mergeCell ref="A326:E326"/>
    <mergeCell ref="A330:D330"/>
    <mergeCell ref="A273:D273"/>
    <mergeCell ref="A308:C308"/>
    <mergeCell ref="A309:C309"/>
    <mergeCell ref="A310:E310"/>
    <mergeCell ref="A314:D314"/>
    <mergeCell ref="A315:E315"/>
    <mergeCell ref="A276:C276"/>
    <mergeCell ref="A277:C277"/>
    <mergeCell ref="A278:E278"/>
    <mergeCell ref="A282:D282"/>
    <mergeCell ref="A301:D301"/>
    <mergeCell ref="A303:D303"/>
    <mergeCell ref="A283:E283"/>
    <mergeCell ref="B289:D289"/>
    <mergeCell ref="A291:D291"/>
    <mergeCell ref="A292:E292"/>
    <mergeCell ref="A296:D296"/>
    <mergeCell ref="A297:E297"/>
    <mergeCell ref="B346:D346"/>
    <mergeCell ref="A348:D348"/>
    <mergeCell ref="A349:E349"/>
    <mergeCell ref="A353:D353"/>
    <mergeCell ref="A354:E354"/>
    <mergeCell ref="A358:D358"/>
    <mergeCell ref="A332:D332"/>
    <mergeCell ref="A335:C335"/>
    <mergeCell ref="A336:C336"/>
    <mergeCell ref="A337:E337"/>
    <mergeCell ref="A342:D342"/>
    <mergeCell ref="A343:E343"/>
    <mergeCell ref="B403:D403"/>
    <mergeCell ref="A405:D405"/>
    <mergeCell ref="A406:E406"/>
    <mergeCell ref="A410:D410"/>
    <mergeCell ref="A411:E411"/>
    <mergeCell ref="A415:D415"/>
    <mergeCell ref="A360:D360"/>
    <mergeCell ref="A392:C392"/>
    <mergeCell ref="A393:E393"/>
    <mergeCell ref="A397:D397"/>
    <mergeCell ref="A398:E398"/>
    <mergeCell ref="A383:E383"/>
    <mergeCell ref="A387:D387"/>
    <mergeCell ref="A389:D389"/>
    <mergeCell ref="A434:E434"/>
    <mergeCell ref="A438:D438"/>
    <mergeCell ref="A439:E439"/>
    <mergeCell ref="A443:D443"/>
    <mergeCell ref="A417:D417"/>
    <mergeCell ref="A420:C420"/>
    <mergeCell ref="A421:C421"/>
    <mergeCell ref="A422:E422"/>
    <mergeCell ref="A426:D426"/>
    <mergeCell ref="A427:E427"/>
    <mergeCell ref="A476:D476"/>
    <mergeCell ref="A363:C363"/>
    <mergeCell ref="A364:C364"/>
    <mergeCell ref="A365:E365"/>
    <mergeCell ref="A369:D369"/>
    <mergeCell ref="A370:E370"/>
    <mergeCell ref="B375:D375"/>
    <mergeCell ref="A377:D377"/>
    <mergeCell ref="A378:E378"/>
    <mergeCell ref="A382:D382"/>
    <mergeCell ref="B462:D462"/>
    <mergeCell ref="A464:D464"/>
    <mergeCell ref="A465:E465"/>
    <mergeCell ref="A469:D469"/>
    <mergeCell ref="A470:E470"/>
    <mergeCell ref="A474:D474"/>
    <mergeCell ref="A445:D445"/>
    <mergeCell ref="A448:C448"/>
    <mergeCell ref="A449:C449"/>
    <mergeCell ref="A450:E450"/>
    <mergeCell ref="A454:D454"/>
    <mergeCell ref="A455:E455"/>
    <mergeCell ref="B431:D431"/>
    <mergeCell ref="A433:D433"/>
  </mergeCells>
  <pageMargins left="0.7" right="0.7" top="0.75" bottom="0.75" header="0" footer="0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F858-EF5B-4614-BCE0-175E4B7F6F9D}">
  <dimension ref="A1:G251"/>
  <sheetViews>
    <sheetView topLeftCell="A105" zoomScale="90" zoomScaleNormal="90" workbookViewId="0">
      <selection activeCell="C105" sqref="C105"/>
    </sheetView>
  </sheetViews>
  <sheetFormatPr baseColWidth="10" defaultColWidth="14.44140625" defaultRowHeight="18" customHeight="1" x14ac:dyDescent="0.3"/>
  <cols>
    <col min="1" max="1" width="37.44140625" style="20" customWidth="1"/>
    <col min="2" max="2" width="12.109375" style="20" customWidth="1"/>
    <col min="3" max="5" width="18.6640625" style="20" customWidth="1"/>
    <col min="6" max="6" width="15.44140625" style="20" customWidth="1"/>
    <col min="7" max="7" width="20.77734375" style="20" customWidth="1"/>
    <col min="8" max="8" width="11.44140625" style="20" customWidth="1"/>
    <col min="9" max="9" width="14.109375" style="20" customWidth="1"/>
    <col min="10" max="26" width="10.6640625" style="20" customWidth="1"/>
    <col min="27" max="16384" width="14.44140625" style="20"/>
  </cols>
  <sheetData>
    <row r="1" spans="1:7" s="1" customFormat="1" ht="25.05" customHeight="1" x14ac:dyDescent="0.3">
      <c r="A1" s="96" t="s">
        <v>77</v>
      </c>
      <c r="B1" s="97"/>
      <c r="C1" s="97"/>
      <c r="D1" s="97"/>
      <c r="E1" s="97"/>
    </row>
    <row r="2" spans="1:7" s="1" customFormat="1" ht="20.100000000000001" customHeight="1" x14ac:dyDescent="0.3">
      <c r="A2" s="2"/>
      <c r="B2" s="3"/>
      <c r="C2" s="3"/>
      <c r="D2" s="3"/>
      <c r="E2" s="3"/>
    </row>
    <row r="3" spans="1:7" s="1" customFormat="1" ht="20.100000000000001" customHeight="1" x14ac:dyDescent="0.3">
      <c r="A3" s="4" t="s">
        <v>85</v>
      </c>
      <c r="B3" s="5"/>
      <c r="C3" s="5"/>
      <c r="D3" s="5"/>
      <c r="E3" s="5"/>
      <c r="G3" s="44" t="s">
        <v>116</v>
      </c>
    </row>
    <row r="4" spans="1:7" s="1" customFormat="1" ht="20.100000000000001" customHeight="1" x14ac:dyDescent="0.3">
      <c r="A4" s="2"/>
      <c r="B4" s="3"/>
      <c r="C4" s="3"/>
      <c r="D4" s="3"/>
      <c r="E4" s="3"/>
    </row>
    <row r="5" spans="1:7" s="1" customFormat="1" ht="20.100000000000001" customHeight="1" x14ac:dyDescent="0.3">
      <c r="A5" s="85" t="s">
        <v>79</v>
      </c>
      <c r="B5" s="86"/>
      <c r="C5" s="86"/>
      <c r="D5" s="7" t="s">
        <v>1</v>
      </c>
      <c r="E5" s="7" t="s">
        <v>2</v>
      </c>
    </row>
    <row r="6" spans="1:7" s="1" customFormat="1" ht="20.100000000000001" customHeight="1" x14ac:dyDescent="0.3">
      <c r="A6" s="87"/>
      <c r="B6" s="88"/>
      <c r="C6" s="88"/>
      <c r="D6" s="8" t="s">
        <v>3</v>
      </c>
      <c r="E6" s="8" t="s">
        <v>4</v>
      </c>
    </row>
    <row r="7" spans="1:7" s="1" customFormat="1" ht="20.100000000000001" customHeight="1" x14ac:dyDescent="0.3">
      <c r="A7" s="89" t="s">
        <v>5</v>
      </c>
      <c r="B7" s="90"/>
      <c r="C7" s="90"/>
      <c r="D7" s="90"/>
      <c r="E7" s="90"/>
    </row>
    <row r="8" spans="1:7" s="1" customFormat="1" ht="20.100000000000001" customHeight="1" x14ac:dyDescent="0.3">
      <c r="A8" s="9" t="s">
        <v>6</v>
      </c>
      <c r="B8" s="9" t="s">
        <v>3</v>
      </c>
      <c r="C8" s="9" t="s">
        <v>7</v>
      </c>
      <c r="D8" s="9" t="s">
        <v>8</v>
      </c>
      <c r="E8" s="9" t="s">
        <v>9</v>
      </c>
    </row>
    <row r="9" spans="1:7" s="1" customFormat="1" ht="20.100000000000001" customHeight="1" x14ac:dyDescent="0.3">
      <c r="A9" s="14" t="s">
        <v>10</v>
      </c>
      <c r="B9" s="10" t="s">
        <v>11</v>
      </c>
      <c r="C9" s="11">
        <v>0.1</v>
      </c>
      <c r="D9" s="12">
        <f>E31</f>
        <v>633.33333333333337</v>
      </c>
      <c r="E9" s="12">
        <f>C9*D9</f>
        <v>63.333333333333343</v>
      </c>
    </row>
    <row r="10" spans="1:7" s="1" customFormat="1" ht="20.100000000000001" customHeight="1" x14ac:dyDescent="0.3">
      <c r="A10" s="14" t="s">
        <v>84</v>
      </c>
      <c r="B10" s="10" t="s">
        <v>19</v>
      </c>
      <c r="C10" s="11">
        <v>1.4999999999999999E-2</v>
      </c>
      <c r="D10" s="12">
        <v>25000</v>
      </c>
      <c r="E10" s="12">
        <f>C10*D10</f>
        <v>375</v>
      </c>
      <c r="G10" s="40"/>
    </row>
    <row r="11" spans="1:7" s="1" customFormat="1" ht="20.100000000000001" customHeight="1" x14ac:dyDescent="0.3">
      <c r="A11" s="14" t="s">
        <v>83</v>
      </c>
      <c r="B11" s="10" t="s">
        <v>19</v>
      </c>
      <c r="C11" s="11">
        <v>0.01</v>
      </c>
      <c r="D11" s="12">
        <v>15000</v>
      </c>
      <c r="E11" s="12">
        <f>C11*D11</f>
        <v>150</v>
      </c>
      <c r="G11" s="40"/>
    </row>
    <row r="12" spans="1:7" s="1" customFormat="1" ht="20.100000000000001" customHeight="1" x14ac:dyDescent="0.3">
      <c r="A12" s="10"/>
      <c r="B12" s="10"/>
      <c r="C12" s="10"/>
      <c r="D12" s="12"/>
      <c r="E12" s="12"/>
    </row>
    <row r="13" spans="1:7" s="1" customFormat="1" ht="20.100000000000001" customHeight="1" x14ac:dyDescent="0.3">
      <c r="A13" s="83" t="s">
        <v>12</v>
      </c>
      <c r="B13" s="84"/>
      <c r="C13" s="84"/>
      <c r="D13" s="84"/>
      <c r="E13" s="13">
        <f>SUM(E9:E11)</f>
        <v>588.33333333333337</v>
      </c>
    </row>
    <row r="14" spans="1:7" s="1" customFormat="1" ht="20.100000000000001" customHeight="1" x14ac:dyDescent="0.3">
      <c r="A14" s="89" t="s">
        <v>13</v>
      </c>
      <c r="B14" s="90"/>
      <c r="C14" s="90"/>
      <c r="D14" s="90"/>
      <c r="E14" s="90"/>
    </row>
    <row r="15" spans="1:7" s="1" customFormat="1" ht="20.100000000000001" customHeight="1" x14ac:dyDescent="0.3">
      <c r="A15" s="9" t="s">
        <v>6</v>
      </c>
      <c r="B15" s="9" t="s">
        <v>3</v>
      </c>
      <c r="C15" s="9" t="s">
        <v>14</v>
      </c>
      <c r="D15" s="9" t="s">
        <v>15</v>
      </c>
      <c r="E15" s="9" t="s">
        <v>9</v>
      </c>
    </row>
    <row r="16" spans="1:7" s="1" customFormat="1" ht="20.100000000000001" customHeight="1" x14ac:dyDescent="0.3">
      <c r="A16" s="14" t="s">
        <v>80</v>
      </c>
      <c r="B16" s="10" t="s">
        <v>41</v>
      </c>
      <c r="C16" s="21">
        <v>0.05</v>
      </c>
      <c r="D16" s="12">
        <v>35000</v>
      </c>
      <c r="E16" s="12">
        <f>C16*D16</f>
        <v>1750</v>
      </c>
    </row>
    <row r="17" spans="1:7" s="1" customFormat="1" ht="20.100000000000001" customHeight="1" x14ac:dyDescent="0.3">
      <c r="A17" s="14" t="s">
        <v>81</v>
      </c>
      <c r="B17" s="10" t="s">
        <v>26</v>
      </c>
      <c r="C17" s="21">
        <v>0.1</v>
      </c>
      <c r="D17" s="12">
        <v>500</v>
      </c>
      <c r="E17" s="12">
        <f>C17*D17</f>
        <v>50</v>
      </c>
      <c r="G17" s="40"/>
    </row>
    <row r="18" spans="1:7" s="1" customFormat="1" ht="20.100000000000001" customHeight="1" x14ac:dyDescent="0.3">
      <c r="A18" s="14"/>
      <c r="B18" s="10"/>
      <c r="C18" s="15"/>
      <c r="D18" s="12"/>
      <c r="E18" s="12"/>
    </row>
    <row r="19" spans="1:7" s="1" customFormat="1" ht="20.100000000000001" customHeight="1" x14ac:dyDescent="0.3">
      <c r="A19" s="17" t="s">
        <v>16</v>
      </c>
      <c r="B19" s="91"/>
      <c r="C19" s="88"/>
      <c r="D19" s="88"/>
      <c r="E19" s="12">
        <v>0</v>
      </c>
    </row>
    <row r="20" spans="1:7" s="1" customFormat="1" ht="20.100000000000001" customHeight="1" x14ac:dyDescent="0.3">
      <c r="A20" s="17"/>
      <c r="B20" s="18"/>
      <c r="C20" s="19"/>
      <c r="D20" s="19"/>
      <c r="E20" s="12"/>
    </row>
    <row r="21" spans="1:7" s="1" customFormat="1" ht="20.100000000000001" customHeight="1" x14ac:dyDescent="0.3">
      <c r="A21" s="83" t="s">
        <v>12</v>
      </c>
      <c r="B21" s="84"/>
      <c r="C21" s="84"/>
      <c r="D21" s="84"/>
      <c r="E21" s="13">
        <f>SUM(E16:E19)</f>
        <v>1800</v>
      </c>
    </row>
    <row r="22" spans="1:7" s="1" customFormat="1" ht="20.100000000000001" customHeight="1" x14ac:dyDescent="0.3">
      <c r="A22" s="89" t="s">
        <v>17</v>
      </c>
      <c r="B22" s="90"/>
      <c r="C22" s="90"/>
      <c r="D22" s="90"/>
      <c r="E22" s="90"/>
    </row>
    <row r="23" spans="1:7" s="1" customFormat="1" ht="20.100000000000001" customHeight="1" x14ac:dyDescent="0.3">
      <c r="A23" s="9" t="s">
        <v>6</v>
      </c>
      <c r="B23" s="9" t="s">
        <v>3</v>
      </c>
      <c r="C23" s="9" t="s">
        <v>7</v>
      </c>
      <c r="D23" s="9" t="s">
        <v>8</v>
      </c>
      <c r="E23" s="9" t="s">
        <v>9</v>
      </c>
    </row>
    <row r="24" spans="1:7" s="1" customFormat="1" ht="20.100000000000001" customHeight="1" x14ac:dyDescent="0.3">
      <c r="A24" s="14" t="s">
        <v>18</v>
      </c>
      <c r="B24" s="10" t="s">
        <v>19</v>
      </c>
      <c r="C24" s="11">
        <v>0</v>
      </c>
      <c r="D24" s="12">
        <v>0</v>
      </c>
      <c r="E24" s="12">
        <v>0</v>
      </c>
    </row>
    <row r="25" spans="1:7" s="1" customFormat="1" ht="20.100000000000001" customHeight="1" x14ac:dyDescent="0.3">
      <c r="A25" s="14"/>
      <c r="B25" s="10"/>
      <c r="C25" s="11"/>
      <c r="D25" s="12"/>
      <c r="E25" s="12"/>
    </row>
    <row r="26" spans="1:7" s="1" customFormat="1" ht="20.100000000000001" customHeight="1" x14ac:dyDescent="0.3">
      <c r="A26" s="83" t="s">
        <v>12</v>
      </c>
      <c r="B26" s="84"/>
      <c r="C26" s="84"/>
      <c r="D26" s="84"/>
      <c r="E26" s="13">
        <f>SUM(E24)</f>
        <v>0</v>
      </c>
    </row>
    <row r="27" spans="1:7" s="1" customFormat="1" ht="20.100000000000001" customHeight="1" x14ac:dyDescent="0.3">
      <c r="A27" s="89" t="s">
        <v>20</v>
      </c>
      <c r="B27" s="90"/>
      <c r="C27" s="90"/>
      <c r="D27" s="90"/>
      <c r="E27" s="90"/>
    </row>
    <row r="28" spans="1:7" s="1" customFormat="1" ht="20.100000000000001" customHeight="1" x14ac:dyDescent="0.3">
      <c r="A28" s="9" t="s">
        <v>6</v>
      </c>
      <c r="B28" s="9" t="s">
        <v>3</v>
      </c>
      <c r="C28" s="9" t="s">
        <v>7</v>
      </c>
      <c r="D28" s="9" t="s">
        <v>21</v>
      </c>
      <c r="E28" s="9" t="s">
        <v>9</v>
      </c>
    </row>
    <row r="29" spans="1:7" s="1" customFormat="1" ht="20.100000000000001" customHeight="1" x14ac:dyDescent="0.3">
      <c r="A29" s="14" t="s">
        <v>82</v>
      </c>
      <c r="B29" s="10" t="s">
        <v>19</v>
      </c>
      <c r="C29" s="11">
        <v>150</v>
      </c>
      <c r="D29" s="12">
        <v>95000</v>
      </c>
      <c r="E29" s="12">
        <f>D29/C29</f>
        <v>633.33333333333337</v>
      </c>
      <c r="G29" s="45">
        <f>480/C29</f>
        <v>3.2</v>
      </c>
    </row>
    <row r="30" spans="1:7" s="1" customFormat="1" ht="20.100000000000001" customHeight="1" x14ac:dyDescent="0.3">
      <c r="A30" s="14"/>
      <c r="B30" s="10"/>
      <c r="C30" s="11"/>
      <c r="D30" s="12"/>
      <c r="E30" s="12"/>
    </row>
    <row r="31" spans="1:7" s="1" customFormat="1" ht="20.100000000000001" customHeight="1" x14ac:dyDescent="0.3">
      <c r="A31" s="83" t="s">
        <v>12</v>
      </c>
      <c r="B31" s="84"/>
      <c r="C31" s="84"/>
      <c r="D31" s="84"/>
      <c r="E31" s="13">
        <f>SUM(E29)</f>
        <v>633.33333333333337</v>
      </c>
    </row>
    <row r="32" spans="1:7" s="1" customFormat="1" ht="20.100000000000001" customHeight="1" x14ac:dyDescent="0.3">
      <c r="A32" s="10"/>
      <c r="B32" s="19"/>
      <c r="C32" s="19"/>
      <c r="D32" s="19"/>
      <c r="E32" s="19"/>
    </row>
    <row r="33" spans="1:6" s="1" customFormat="1" ht="20.100000000000001" customHeight="1" x14ac:dyDescent="0.3">
      <c r="A33" s="83" t="s">
        <v>23</v>
      </c>
      <c r="B33" s="84"/>
      <c r="C33" s="84"/>
      <c r="D33" s="84"/>
      <c r="E33" s="13">
        <f>SUM(E13,E21,E26,E31)</f>
        <v>3021.666666666667</v>
      </c>
      <c r="F33" s="40"/>
    </row>
    <row r="34" spans="1:6" s="1" customFormat="1" ht="20.100000000000001" customHeight="1" x14ac:dyDescent="0.3">
      <c r="A34" s="2"/>
      <c r="B34" s="3"/>
      <c r="C34" s="3"/>
      <c r="D34" s="3"/>
      <c r="E34" s="3"/>
    </row>
    <row r="35" spans="1:6" s="1" customFormat="1" ht="20.100000000000001" customHeight="1" x14ac:dyDescent="0.3">
      <c r="A35" s="37" t="s">
        <v>86</v>
      </c>
      <c r="B35" s="38"/>
      <c r="C35" s="38"/>
      <c r="D35" s="38"/>
      <c r="E35" s="42" t="s">
        <v>92</v>
      </c>
    </row>
    <row r="36" spans="1:6" s="1" customFormat="1" ht="20.100000000000001" customHeight="1" x14ac:dyDescent="0.3">
      <c r="A36" s="2"/>
      <c r="B36" s="3"/>
      <c r="C36" s="3"/>
      <c r="D36" s="3"/>
      <c r="E36" s="3"/>
    </row>
    <row r="37" spans="1:6" ht="18" customHeight="1" x14ac:dyDescent="0.3">
      <c r="A37" s="85" t="s">
        <v>87</v>
      </c>
      <c r="B37" s="86"/>
      <c r="C37" s="86"/>
      <c r="D37" s="7" t="s">
        <v>1</v>
      </c>
      <c r="E37" s="7"/>
    </row>
    <row r="38" spans="1:6" ht="18" customHeight="1" x14ac:dyDescent="0.3">
      <c r="A38" s="87"/>
      <c r="B38" s="88"/>
      <c r="C38" s="88"/>
      <c r="D38" s="8" t="s">
        <v>3</v>
      </c>
      <c r="E38" s="8" t="s">
        <v>4</v>
      </c>
    </row>
    <row r="39" spans="1:6" ht="18" customHeight="1" x14ac:dyDescent="0.3">
      <c r="A39" s="89" t="s">
        <v>5</v>
      </c>
      <c r="B39" s="90"/>
      <c r="C39" s="90"/>
      <c r="D39" s="90"/>
      <c r="E39" s="90"/>
    </row>
    <row r="40" spans="1:6" ht="18" customHeight="1" x14ac:dyDescent="0.3">
      <c r="A40" s="9" t="s">
        <v>6</v>
      </c>
      <c r="B40" s="9" t="s">
        <v>3</v>
      </c>
      <c r="C40" s="9" t="s">
        <v>7</v>
      </c>
      <c r="D40" s="9" t="s">
        <v>8</v>
      </c>
      <c r="E40" s="9" t="s">
        <v>9</v>
      </c>
    </row>
    <row r="41" spans="1:6" ht="18" customHeight="1" x14ac:dyDescent="0.3">
      <c r="A41" s="14" t="s">
        <v>10</v>
      </c>
      <c r="B41" s="10" t="s">
        <v>11</v>
      </c>
      <c r="C41" s="11">
        <v>0.05</v>
      </c>
      <c r="D41" s="12">
        <f>E60</f>
        <v>730.76923076923072</v>
      </c>
      <c r="E41" s="12">
        <f>C41*D41</f>
        <v>36.53846153846154</v>
      </c>
    </row>
    <row r="42" spans="1:6" ht="18" customHeight="1" x14ac:dyDescent="0.3">
      <c r="A42" s="14" t="s">
        <v>84</v>
      </c>
      <c r="B42" s="10" t="s">
        <v>19</v>
      </c>
      <c r="C42" s="11">
        <v>1.4999999999999999E-2</v>
      </c>
      <c r="D42" s="12">
        <v>25000</v>
      </c>
      <c r="E42" s="12">
        <f>C42*D42</f>
        <v>375</v>
      </c>
    </row>
    <row r="43" spans="1:6" ht="18" customHeight="1" x14ac:dyDescent="0.3">
      <c r="A43" s="10"/>
      <c r="B43" s="10"/>
      <c r="C43" s="10"/>
      <c r="D43" s="12"/>
      <c r="E43" s="12"/>
    </row>
    <row r="44" spans="1:6" ht="18" customHeight="1" x14ac:dyDescent="0.3">
      <c r="A44" s="83" t="s">
        <v>12</v>
      </c>
      <c r="B44" s="84"/>
      <c r="C44" s="84"/>
      <c r="D44" s="84"/>
      <c r="E44" s="13">
        <f>SUM(E41:E42)</f>
        <v>411.53846153846155</v>
      </c>
    </row>
    <row r="45" spans="1:6" ht="18" customHeight="1" x14ac:dyDescent="0.3">
      <c r="A45" s="89" t="s">
        <v>13</v>
      </c>
      <c r="B45" s="90"/>
      <c r="C45" s="90"/>
      <c r="D45" s="90"/>
      <c r="E45" s="90"/>
    </row>
    <row r="46" spans="1:6" ht="18" customHeight="1" x14ac:dyDescent="0.3">
      <c r="A46" s="9" t="s">
        <v>6</v>
      </c>
      <c r="B46" s="9" t="s">
        <v>3</v>
      </c>
      <c r="C46" s="9" t="s">
        <v>14</v>
      </c>
      <c r="D46" s="9" t="s">
        <v>15</v>
      </c>
      <c r="E46" s="9" t="s">
        <v>9</v>
      </c>
    </row>
    <row r="47" spans="1:6" ht="18" customHeight="1" x14ac:dyDescent="0.3">
      <c r="A47" s="14"/>
      <c r="B47" s="10"/>
      <c r="C47" s="16"/>
      <c r="D47" s="12"/>
      <c r="E47" s="12"/>
    </row>
    <row r="48" spans="1:6" ht="18" customHeight="1" x14ac:dyDescent="0.3">
      <c r="A48" s="17" t="s">
        <v>16</v>
      </c>
      <c r="B48" s="91"/>
      <c r="C48" s="88"/>
      <c r="D48" s="88"/>
      <c r="E48" s="12">
        <v>0</v>
      </c>
    </row>
    <row r="49" spans="1:7" ht="18" customHeight="1" x14ac:dyDescent="0.3">
      <c r="A49" s="17"/>
      <c r="B49" s="18"/>
      <c r="C49" s="19"/>
      <c r="D49" s="19"/>
      <c r="E49" s="12"/>
    </row>
    <row r="50" spans="1:7" ht="18" customHeight="1" x14ac:dyDescent="0.3">
      <c r="A50" s="83" t="s">
        <v>12</v>
      </c>
      <c r="B50" s="84"/>
      <c r="C50" s="84"/>
      <c r="D50" s="84"/>
      <c r="E50" s="13">
        <f>SUM(E47:E48)</f>
        <v>0</v>
      </c>
    </row>
    <row r="51" spans="1:7" ht="18" customHeight="1" x14ac:dyDescent="0.3">
      <c r="A51" s="89" t="s">
        <v>17</v>
      </c>
      <c r="B51" s="90"/>
      <c r="C51" s="90"/>
      <c r="D51" s="90"/>
      <c r="E51" s="90"/>
    </row>
    <row r="52" spans="1:7" ht="18" customHeight="1" x14ac:dyDescent="0.3">
      <c r="A52" s="9" t="s">
        <v>6</v>
      </c>
      <c r="B52" s="9" t="s">
        <v>3</v>
      </c>
      <c r="C52" s="9" t="s">
        <v>7</v>
      </c>
      <c r="D52" s="9" t="s">
        <v>8</v>
      </c>
      <c r="E52" s="9" t="s">
        <v>9</v>
      </c>
    </row>
    <row r="53" spans="1:7" ht="18" customHeight="1" x14ac:dyDescent="0.3">
      <c r="A53" s="14" t="s">
        <v>18</v>
      </c>
      <c r="B53" s="10" t="s">
        <v>19</v>
      </c>
      <c r="C53" s="11">
        <v>0</v>
      </c>
      <c r="D53" s="12">
        <v>60000</v>
      </c>
      <c r="E53" s="12">
        <f>D53*C53</f>
        <v>0</v>
      </c>
      <c r="G53" s="22"/>
    </row>
    <row r="54" spans="1:7" ht="18" customHeight="1" x14ac:dyDescent="0.3">
      <c r="A54" s="14"/>
      <c r="B54" s="10"/>
      <c r="C54" s="11"/>
      <c r="D54" s="12"/>
      <c r="E54" s="12"/>
    </row>
    <row r="55" spans="1:7" ht="18" customHeight="1" x14ac:dyDescent="0.3">
      <c r="A55" s="83" t="s">
        <v>12</v>
      </c>
      <c r="B55" s="84"/>
      <c r="C55" s="84"/>
      <c r="D55" s="84"/>
      <c r="E55" s="13">
        <f>SUM(E53)</f>
        <v>0</v>
      </c>
    </row>
    <row r="56" spans="1:7" ht="18" customHeight="1" x14ac:dyDescent="0.3">
      <c r="A56" s="89" t="s">
        <v>20</v>
      </c>
      <c r="B56" s="90"/>
      <c r="C56" s="90"/>
      <c r="D56" s="90"/>
      <c r="E56" s="90"/>
    </row>
    <row r="57" spans="1:7" ht="18" customHeight="1" x14ac:dyDescent="0.3">
      <c r="A57" s="9" t="s">
        <v>6</v>
      </c>
      <c r="B57" s="9" t="s">
        <v>3</v>
      </c>
      <c r="C57" s="9" t="s">
        <v>7</v>
      </c>
      <c r="D57" s="9" t="s">
        <v>21</v>
      </c>
      <c r="E57" s="9" t="s">
        <v>9</v>
      </c>
    </row>
    <row r="58" spans="1:7" ht="18" customHeight="1" x14ac:dyDescent="0.3">
      <c r="A58" s="14" t="s">
        <v>82</v>
      </c>
      <c r="B58" s="10" t="s">
        <v>19</v>
      </c>
      <c r="C58" s="11">
        <v>130</v>
      </c>
      <c r="D58" s="12">
        <v>95000</v>
      </c>
      <c r="E58" s="12">
        <f>D58/C58</f>
        <v>730.76923076923072</v>
      </c>
      <c r="G58" s="20">
        <f>480/C58</f>
        <v>3.6923076923076925</v>
      </c>
    </row>
    <row r="59" spans="1:7" ht="18" customHeight="1" x14ac:dyDescent="0.3">
      <c r="A59" s="14"/>
      <c r="B59" s="10"/>
      <c r="C59" s="11"/>
      <c r="D59" s="12"/>
      <c r="E59" s="12"/>
    </row>
    <row r="60" spans="1:7" ht="18" customHeight="1" x14ac:dyDescent="0.3">
      <c r="A60" s="83" t="s">
        <v>12</v>
      </c>
      <c r="B60" s="84"/>
      <c r="C60" s="84"/>
      <c r="D60" s="84"/>
      <c r="E60" s="13">
        <f>SUM(E58)</f>
        <v>730.76923076923072</v>
      </c>
    </row>
    <row r="61" spans="1:7" ht="18" customHeight="1" x14ac:dyDescent="0.3">
      <c r="A61" s="10"/>
      <c r="B61" s="19"/>
      <c r="C61" s="19"/>
      <c r="D61" s="19"/>
      <c r="E61" s="19"/>
    </row>
    <row r="62" spans="1:7" ht="18" customHeight="1" x14ac:dyDescent="0.3">
      <c r="A62" s="83" t="s">
        <v>23</v>
      </c>
      <c r="B62" s="84"/>
      <c r="C62" s="84"/>
      <c r="D62" s="84"/>
      <c r="E62" s="13">
        <f>SUM(E44,E50,E55,E60)</f>
        <v>1142.3076923076924</v>
      </c>
    </row>
    <row r="65" spans="1:7" ht="18" customHeight="1" x14ac:dyDescent="0.3">
      <c r="A65" s="93" t="s">
        <v>88</v>
      </c>
      <c r="B65" s="93"/>
      <c r="C65" s="93"/>
      <c r="D65" s="23" t="s">
        <v>1</v>
      </c>
      <c r="E65" s="23"/>
    </row>
    <row r="66" spans="1:7" ht="18" customHeight="1" x14ac:dyDescent="0.3">
      <c r="A66" s="87"/>
      <c r="B66" s="87"/>
      <c r="C66" s="87"/>
      <c r="D66" s="8" t="s">
        <v>3</v>
      </c>
      <c r="E66" s="8" t="s">
        <v>4</v>
      </c>
    </row>
    <row r="67" spans="1:7" ht="18" customHeight="1" x14ac:dyDescent="0.3">
      <c r="A67" s="89" t="s">
        <v>5</v>
      </c>
      <c r="B67" s="89"/>
      <c r="C67" s="89"/>
      <c r="D67" s="89"/>
      <c r="E67" s="89"/>
    </row>
    <row r="68" spans="1:7" ht="18" customHeight="1" x14ac:dyDescent="0.3">
      <c r="A68" s="9" t="s">
        <v>6</v>
      </c>
      <c r="B68" s="9" t="s">
        <v>3</v>
      </c>
      <c r="C68" s="9" t="s">
        <v>7</v>
      </c>
      <c r="D68" s="9" t="s">
        <v>8</v>
      </c>
      <c r="E68" s="9" t="s">
        <v>9</v>
      </c>
    </row>
    <row r="69" spans="1:7" ht="18" customHeight="1" x14ac:dyDescent="0.3">
      <c r="A69" s="10" t="s">
        <v>10</v>
      </c>
      <c r="B69" s="10" t="s">
        <v>11</v>
      </c>
      <c r="C69" s="11">
        <v>0.8</v>
      </c>
      <c r="D69" s="12">
        <f>E90</f>
        <v>6142.8571428571431</v>
      </c>
      <c r="E69" s="12">
        <f>C69*D69</f>
        <v>4914.2857142857147</v>
      </c>
    </row>
    <row r="70" spans="1:7" ht="18" customHeight="1" x14ac:dyDescent="0.3">
      <c r="A70" s="14" t="s">
        <v>84</v>
      </c>
      <c r="B70" s="10" t="s">
        <v>19</v>
      </c>
      <c r="C70" s="11">
        <v>0.02</v>
      </c>
      <c r="D70" s="12">
        <v>25000</v>
      </c>
      <c r="E70" s="12">
        <f>C70*D70</f>
        <v>500</v>
      </c>
    </row>
    <row r="71" spans="1:7" ht="18" customHeight="1" x14ac:dyDescent="0.3">
      <c r="A71" s="10"/>
      <c r="B71" s="10"/>
      <c r="C71" s="10"/>
      <c r="D71" s="12"/>
      <c r="E71" s="12"/>
    </row>
    <row r="72" spans="1:7" ht="18" customHeight="1" x14ac:dyDescent="0.3">
      <c r="A72" s="83" t="s">
        <v>12</v>
      </c>
      <c r="B72" s="83"/>
      <c r="C72" s="83"/>
      <c r="D72" s="83"/>
      <c r="E72" s="13">
        <f>SUM(E69:E70)</f>
        <v>5414.2857142857147</v>
      </c>
    </row>
    <row r="73" spans="1:7" ht="18" customHeight="1" x14ac:dyDescent="0.3">
      <c r="A73" s="89" t="s">
        <v>13</v>
      </c>
      <c r="B73" s="89"/>
      <c r="C73" s="89"/>
      <c r="D73" s="89"/>
      <c r="E73" s="89"/>
    </row>
    <row r="74" spans="1:7" ht="18" customHeight="1" x14ac:dyDescent="0.3">
      <c r="A74" s="9" t="s">
        <v>6</v>
      </c>
      <c r="B74" s="9" t="s">
        <v>3</v>
      </c>
      <c r="C74" s="9" t="s">
        <v>14</v>
      </c>
      <c r="D74" s="9" t="s">
        <v>15</v>
      </c>
      <c r="E74" s="9" t="s">
        <v>9</v>
      </c>
      <c r="F74" s="24"/>
    </row>
    <row r="75" spans="1:7" ht="18" customHeight="1" x14ac:dyDescent="0.3">
      <c r="A75" s="14" t="s">
        <v>90</v>
      </c>
      <c r="B75" s="10" t="s">
        <v>89</v>
      </c>
      <c r="C75" s="16">
        <v>0.1</v>
      </c>
      <c r="D75" s="12">
        <v>42000</v>
      </c>
      <c r="E75" s="12">
        <f>C75*D75</f>
        <v>4200</v>
      </c>
      <c r="F75" s="24"/>
    </row>
    <row r="76" spans="1:7" ht="18" customHeight="1" x14ac:dyDescent="0.3">
      <c r="A76" s="14" t="s">
        <v>73</v>
      </c>
      <c r="B76" s="10" t="s">
        <v>41</v>
      </c>
      <c r="C76" s="16">
        <v>0.01</v>
      </c>
      <c r="D76" s="12">
        <v>32500</v>
      </c>
      <c r="E76" s="12">
        <f>C76*D76</f>
        <v>325</v>
      </c>
      <c r="G76" s="24"/>
    </row>
    <row r="77" spans="1:7" ht="18" customHeight="1" x14ac:dyDescent="0.3">
      <c r="A77" s="14"/>
      <c r="B77" s="10"/>
      <c r="C77" s="16"/>
      <c r="D77" s="12"/>
      <c r="E77" s="12"/>
    </row>
    <row r="78" spans="1:7" ht="18" customHeight="1" x14ac:dyDescent="0.3">
      <c r="A78" s="17" t="s">
        <v>35</v>
      </c>
      <c r="B78" s="91"/>
      <c r="C78" s="91"/>
      <c r="D78" s="91"/>
      <c r="E78" s="12">
        <f>E75*0.03</f>
        <v>126</v>
      </c>
    </row>
    <row r="79" spans="1:7" ht="18" customHeight="1" x14ac:dyDescent="0.3">
      <c r="A79" s="17"/>
      <c r="B79" s="18"/>
      <c r="C79" s="19"/>
      <c r="D79" s="19"/>
      <c r="E79" s="12"/>
    </row>
    <row r="80" spans="1:7" ht="18" customHeight="1" x14ac:dyDescent="0.3">
      <c r="A80" s="83" t="s">
        <v>12</v>
      </c>
      <c r="B80" s="83"/>
      <c r="C80" s="83"/>
      <c r="D80" s="83"/>
      <c r="E80" s="13">
        <f>SUM(E75:E78)</f>
        <v>4651</v>
      </c>
    </row>
    <row r="81" spans="1:7" ht="18" customHeight="1" x14ac:dyDescent="0.3">
      <c r="A81" s="89" t="s">
        <v>17</v>
      </c>
      <c r="B81" s="89"/>
      <c r="C81" s="89"/>
      <c r="D81" s="89"/>
      <c r="E81" s="89"/>
    </row>
    <row r="82" spans="1:7" ht="18" customHeight="1" x14ac:dyDescent="0.3">
      <c r="A82" s="9" t="s">
        <v>6</v>
      </c>
      <c r="B82" s="9" t="s">
        <v>3</v>
      </c>
      <c r="C82" s="9" t="s">
        <v>7</v>
      </c>
      <c r="D82" s="9" t="s">
        <v>8</v>
      </c>
      <c r="E82" s="9" t="s">
        <v>9</v>
      </c>
    </row>
    <row r="83" spans="1:7" ht="18" customHeight="1" x14ac:dyDescent="0.3">
      <c r="A83" s="14" t="s">
        <v>36</v>
      </c>
      <c r="B83" s="10" t="s">
        <v>19</v>
      </c>
      <c r="C83" s="11">
        <v>5.0000000000000001E-3</v>
      </c>
      <c r="D83" s="12">
        <v>60000</v>
      </c>
      <c r="E83" s="12">
        <f>D83*C83</f>
        <v>300</v>
      </c>
      <c r="F83" s="24"/>
      <c r="G83" s="24"/>
    </row>
    <row r="84" spans="1:7" ht="18" customHeight="1" x14ac:dyDescent="0.3">
      <c r="A84" s="14"/>
      <c r="B84" s="10"/>
      <c r="C84" s="11"/>
      <c r="D84" s="12"/>
      <c r="E84" s="12"/>
    </row>
    <row r="85" spans="1:7" ht="18" customHeight="1" x14ac:dyDescent="0.3">
      <c r="A85" s="83" t="s">
        <v>12</v>
      </c>
      <c r="B85" s="83"/>
      <c r="C85" s="83"/>
      <c r="D85" s="83"/>
      <c r="E85" s="13">
        <f>SUM(E83)</f>
        <v>300</v>
      </c>
    </row>
    <row r="86" spans="1:7" ht="18" customHeight="1" x14ac:dyDescent="0.3">
      <c r="A86" s="89" t="s">
        <v>20</v>
      </c>
      <c r="B86" s="89"/>
      <c r="C86" s="89"/>
      <c r="D86" s="89"/>
      <c r="E86" s="89"/>
    </row>
    <row r="87" spans="1:7" ht="18" customHeight="1" x14ac:dyDescent="0.3">
      <c r="A87" s="9" t="s">
        <v>6</v>
      </c>
      <c r="B87" s="9" t="s">
        <v>3</v>
      </c>
      <c r="C87" s="9" t="s">
        <v>7</v>
      </c>
      <c r="D87" s="9" t="s">
        <v>21</v>
      </c>
      <c r="E87" s="9" t="s">
        <v>9</v>
      </c>
    </row>
    <row r="88" spans="1:7" ht="18" customHeight="1" x14ac:dyDescent="0.3">
      <c r="A88" s="14" t="s">
        <v>30</v>
      </c>
      <c r="B88" s="10" t="s">
        <v>19</v>
      </c>
      <c r="C88" s="11">
        <v>35</v>
      </c>
      <c r="D88" s="12">
        <v>215000</v>
      </c>
      <c r="E88" s="12">
        <f>D88/C88</f>
        <v>6142.8571428571431</v>
      </c>
    </row>
    <row r="89" spans="1:7" ht="18" customHeight="1" x14ac:dyDescent="0.3">
      <c r="A89" s="14"/>
      <c r="B89" s="10"/>
      <c r="C89" s="11"/>
      <c r="D89" s="12"/>
      <c r="E89" s="12"/>
    </row>
    <row r="90" spans="1:7" ht="18" customHeight="1" x14ac:dyDescent="0.3">
      <c r="A90" s="83" t="s">
        <v>12</v>
      </c>
      <c r="B90" s="83"/>
      <c r="C90" s="83"/>
      <c r="D90" s="83"/>
      <c r="E90" s="13">
        <f>SUM(E88)</f>
        <v>6142.8571428571431</v>
      </c>
    </row>
    <row r="91" spans="1:7" ht="18" customHeight="1" x14ac:dyDescent="0.3">
      <c r="A91" s="10"/>
      <c r="B91" s="19"/>
      <c r="C91" s="19"/>
      <c r="D91" s="19"/>
      <c r="E91" s="19"/>
    </row>
    <row r="92" spans="1:7" ht="18" customHeight="1" x14ac:dyDescent="0.3">
      <c r="A92" s="83" t="s">
        <v>23</v>
      </c>
      <c r="B92" s="83"/>
      <c r="C92" s="83"/>
      <c r="D92" s="83"/>
      <c r="E92" s="13">
        <f>SUM(E72,E80,E85,E90)</f>
        <v>16508.142857142855</v>
      </c>
    </row>
    <row r="94" spans="1:7" ht="18" customHeight="1" x14ac:dyDescent="0.3">
      <c r="B94" s="19"/>
      <c r="C94" s="19"/>
      <c r="D94" s="19"/>
      <c r="E94" s="19"/>
    </row>
    <row r="95" spans="1:7" ht="18" customHeight="1" x14ac:dyDescent="0.3">
      <c r="A95" s="93" t="s">
        <v>97</v>
      </c>
      <c r="B95" s="93"/>
      <c r="C95" s="93"/>
      <c r="D95" s="23" t="s">
        <v>1</v>
      </c>
      <c r="E95" s="23"/>
    </row>
    <row r="96" spans="1:7" ht="18" customHeight="1" x14ac:dyDescent="0.3">
      <c r="A96" s="87"/>
      <c r="B96" s="87"/>
      <c r="C96" s="87"/>
      <c r="D96" s="8" t="s">
        <v>3</v>
      </c>
      <c r="E96" s="8" t="s">
        <v>4</v>
      </c>
    </row>
    <row r="97" spans="1:5" ht="18" customHeight="1" x14ac:dyDescent="0.3">
      <c r="A97" s="89" t="s">
        <v>5</v>
      </c>
      <c r="B97" s="89"/>
      <c r="C97" s="89"/>
      <c r="D97" s="89"/>
      <c r="E97" s="89"/>
    </row>
    <row r="98" spans="1:5" ht="18" customHeight="1" x14ac:dyDescent="0.3">
      <c r="A98" s="9" t="s">
        <v>6</v>
      </c>
      <c r="B98" s="9" t="s">
        <v>3</v>
      </c>
      <c r="C98" s="9" t="s">
        <v>7</v>
      </c>
      <c r="D98" s="9" t="s">
        <v>8</v>
      </c>
      <c r="E98" s="9" t="s">
        <v>9</v>
      </c>
    </row>
    <row r="99" spans="1:5" ht="18" customHeight="1" x14ac:dyDescent="0.3">
      <c r="A99" s="14" t="s">
        <v>10</v>
      </c>
      <c r="B99" s="10" t="s">
        <v>11</v>
      </c>
      <c r="C99" s="11">
        <v>0.1</v>
      </c>
      <c r="D99" s="12">
        <f>E120</f>
        <v>8800</v>
      </c>
      <c r="E99" s="12">
        <f>C99*D99</f>
        <v>880</v>
      </c>
    </row>
    <row r="100" spans="1:5" ht="18" customHeight="1" x14ac:dyDescent="0.3">
      <c r="A100" s="14" t="s">
        <v>84</v>
      </c>
      <c r="B100" s="10" t="s">
        <v>19</v>
      </c>
      <c r="C100" s="11">
        <v>0.02</v>
      </c>
      <c r="D100" s="12">
        <v>25000</v>
      </c>
      <c r="E100" s="12">
        <f>C100*D100</f>
        <v>500</v>
      </c>
    </row>
    <row r="101" spans="1:5" ht="18" customHeight="1" x14ac:dyDescent="0.3">
      <c r="A101" s="10"/>
      <c r="B101" s="10"/>
      <c r="C101" s="10"/>
      <c r="D101" s="12"/>
      <c r="E101" s="12"/>
    </row>
    <row r="102" spans="1:5" ht="18" customHeight="1" x14ac:dyDescent="0.3">
      <c r="A102" s="83" t="s">
        <v>12</v>
      </c>
      <c r="B102" s="83"/>
      <c r="C102" s="83"/>
      <c r="D102" s="83"/>
      <c r="E102" s="13">
        <f>SUM(E99:E100)</f>
        <v>1380</v>
      </c>
    </row>
    <row r="103" spans="1:5" ht="18" customHeight="1" x14ac:dyDescent="0.3">
      <c r="A103" s="89" t="s">
        <v>13</v>
      </c>
      <c r="B103" s="89"/>
      <c r="C103" s="89"/>
      <c r="D103" s="89"/>
      <c r="E103" s="89"/>
    </row>
    <row r="104" spans="1:5" ht="18" customHeight="1" x14ac:dyDescent="0.3">
      <c r="A104" s="9" t="s">
        <v>6</v>
      </c>
      <c r="B104" s="9" t="s">
        <v>3</v>
      </c>
      <c r="C104" s="9" t="s">
        <v>14</v>
      </c>
      <c r="D104" s="9" t="s">
        <v>15</v>
      </c>
      <c r="E104" s="9" t="s">
        <v>9</v>
      </c>
    </row>
    <row r="105" spans="1:5" ht="18" customHeight="1" x14ac:dyDescent="0.3">
      <c r="A105" s="14" t="s">
        <v>119</v>
      </c>
      <c r="B105" s="10" t="s">
        <v>4</v>
      </c>
      <c r="C105" s="21">
        <v>0.14000000000000001</v>
      </c>
      <c r="D105" s="12">
        <v>170000</v>
      </c>
      <c r="E105" s="12">
        <f>C105*D105</f>
        <v>23800.000000000004</v>
      </c>
    </row>
    <row r="106" spans="1:5" ht="18" customHeight="1" x14ac:dyDescent="0.3">
      <c r="A106" s="14" t="s">
        <v>40</v>
      </c>
      <c r="B106" s="10" t="s">
        <v>41</v>
      </c>
      <c r="C106" s="16">
        <v>0.01</v>
      </c>
      <c r="D106" s="12">
        <v>32500</v>
      </c>
      <c r="E106" s="12">
        <f>C106*D106</f>
        <v>325</v>
      </c>
    </row>
    <row r="107" spans="1:5" ht="18" customHeight="1" x14ac:dyDescent="0.3">
      <c r="A107" s="14"/>
      <c r="B107" s="10"/>
      <c r="C107" s="16"/>
      <c r="D107" s="12"/>
      <c r="E107" s="12"/>
    </row>
    <row r="108" spans="1:5" ht="18" customHeight="1" x14ac:dyDescent="0.3">
      <c r="A108" s="17" t="s">
        <v>35</v>
      </c>
      <c r="B108" s="91"/>
      <c r="C108" s="91"/>
      <c r="D108" s="91"/>
      <c r="E108" s="12">
        <f>E105*0.03</f>
        <v>714.00000000000011</v>
      </c>
    </row>
    <row r="109" spans="1:5" ht="18" customHeight="1" x14ac:dyDescent="0.3">
      <c r="A109" s="17"/>
      <c r="B109" s="18"/>
      <c r="C109" s="19"/>
      <c r="D109" s="19"/>
      <c r="E109" s="12"/>
    </row>
    <row r="110" spans="1:5" ht="18" customHeight="1" x14ac:dyDescent="0.3">
      <c r="A110" s="83" t="s">
        <v>12</v>
      </c>
      <c r="B110" s="83"/>
      <c r="C110" s="83"/>
      <c r="D110" s="83"/>
      <c r="E110" s="13">
        <f>SUM(E105:E108)</f>
        <v>24839.000000000004</v>
      </c>
    </row>
    <row r="111" spans="1:5" ht="18" customHeight="1" x14ac:dyDescent="0.3">
      <c r="A111" s="89" t="s">
        <v>17</v>
      </c>
      <c r="B111" s="89"/>
      <c r="C111" s="89"/>
      <c r="D111" s="89"/>
      <c r="E111" s="89"/>
    </row>
    <row r="112" spans="1:5" ht="18" customHeight="1" x14ac:dyDescent="0.3">
      <c r="A112" s="9" t="s">
        <v>6</v>
      </c>
      <c r="B112" s="9" t="s">
        <v>3</v>
      </c>
      <c r="C112" s="9" t="s">
        <v>7</v>
      </c>
      <c r="D112" s="9" t="s">
        <v>8</v>
      </c>
      <c r="E112" s="9" t="s">
        <v>9</v>
      </c>
    </row>
    <row r="113" spans="1:7" ht="18" customHeight="1" x14ac:dyDescent="0.3">
      <c r="A113" s="14" t="s">
        <v>36</v>
      </c>
      <c r="B113" s="10" t="s">
        <v>19</v>
      </c>
      <c r="C113" s="11">
        <v>2.5000000000000001E-2</v>
      </c>
      <c r="D113" s="12">
        <v>45000</v>
      </c>
      <c r="E113" s="12">
        <f>D113*C113</f>
        <v>1125</v>
      </c>
      <c r="G113" s="24"/>
    </row>
    <row r="114" spans="1:7" ht="18" customHeight="1" x14ac:dyDescent="0.3">
      <c r="A114" s="14"/>
      <c r="B114" s="10"/>
      <c r="C114" s="11"/>
      <c r="D114" s="12"/>
      <c r="E114" s="12"/>
    </row>
    <row r="115" spans="1:7" ht="18" customHeight="1" x14ac:dyDescent="0.3">
      <c r="A115" s="83" t="s">
        <v>12</v>
      </c>
      <c r="B115" s="83"/>
      <c r="C115" s="83"/>
      <c r="D115" s="83"/>
      <c r="E115" s="13">
        <f>SUM(E113)</f>
        <v>1125</v>
      </c>
    </row>
    <row r="116" spans="1:7" ht="18" customHeight="1" x14ac:dyDescent="0.3">
      <c r="A116" s="89" t="s">
        <v>20</v>
      </c>
      <c r="B116" s="89"/>
      <c r="C116" s="89"/>
      <c r="D116" s="89"/>
      <c r="E116" s="89"/>
    </row>
    <row r="117" spans="1:7" ht="18" customHeight="1" x14ac:dyDescent="0.3">
      <c r="A117" s="9" t="s">
        <v>6</v>
      </c>
      <c r="B117" s="9" t="s">
        <v>3</v>
      </c>
      <c r="C117" s="9" t="s">
        <v>7</v>
      </c>
      <c r="D117" s="9" t="s">
        <v>21</v>
      </c>
      <c r="E117" s="9" t="s">
        <v>9</v>
      </c>
    </row>
    <row r="118" spans="1:7" ht="18" customHeight="1" x14ac:dyDescent="0.3">
      <c r="A118" s="14" t="s">
        <v>30</v>
      </c>
      <c r="B118" s="10" t="s">
        <v>19</v>
      </c>
      <c r="C118" s="11">
        <v>25</v>
      </c>
      <c r="D118" s="12">
        <v>220000</v>
      </c>
      <c r="E118" s="12">
        <f>D118/C118</f>
        <v>8800</v>
      </c>
      <c r="G118" s="20">
        <f>480/C118</f>
        <v>19.2</v>
      </c>
    </row>
    <row r="119" spans="1:7" ht="18" customHeight="1" x14ac:dyDescent="0.3">
      <c r="A119" s="14"/>
      <c r="B119" s="10"/>
      <c r="C119" s="11"/>
      <c r="D119" s="12"/>
      <c r="E119" s="12"/>
    </row>
    <row r="120" spans="1:7" ht="18" customHeight="1" x14ac:dyDescent="0.3">
      <c r="A120" s="83" t="s">
        <v>12</v>
      </c>
      <c r="B120" s="83"/>
      <c r="C120" s="83"/>
      <c r="D120" s="83"/>
      <c r="E120" s="13">
        <f>SUM(E118)</f>
        <v>8800</v>
      </c>
    </row>
    <row r="121" spans="1:7" ht="18" customHeight="1" x14ac:dyDescent="0.3">
      <c r="A121" s="10"/>
      <c r="B121" s="19"/>
      <c r="C121" s="19"/>
      <c r="D121" s="19"/>
      <c r="E121" s="19"/>
    </row>
    <row r="122" spans="1:7" ht="18" customHeight="1" x14ac:dyDescent="0.3">
      <c r="A122" s="83" t="s">
        <v>23</v>
      </c>
      <c r="B122" s="83"/>
      <c r="C122" s="83"/>
      <c r="D122" s="83"/>
      <c r="E122" s="13">
        <f>SUM(E102,E110,E115,E120)</f>
        <v>36144</v>
      </c>
    </row>
    <row r="125" spans="1:7" ht="18" customHeight="1" x14ac:dyDescent="0.3">
      <c r="A125" s="2"/>
      <c r="B125" s="3"/>
      <c r="C125" s="3"/>
      <c r="D125" s="3"/>
      <c r="E125" s="3"/>
    </row>
    <row r="126" spans="1:7" ht="18" customHeight="1" x14ac:dyDescent="0.3">
      <c r="A126" s="98" t="s">
        <v>102</v>
      </c>
      <c r="B126" s="98"/>
      <c r="C126" s="98"/>
      <c r="D126" s="43" t="s">
        <v>1</v>
      </c>
      <c r="E126" s="43" t="s">
        <v>93</v>
      </c>
    </row>
    <row r="127" spans="1:7" ht="18" customHeight="1" x14ac:dyDescent="0.3">
      <c r="A127" s="87"/>
      <c r="B127" s="88"/>
      <c r="C127" s="88"/>
      <c r="D127" s="8" t="s">
        <v>3</v>
      </c>
      <c r="E127" s="8" t="s">
        <v>4</v>
      </c>
    </row>
    <row r="128" spans="1:7" ht="18" customHeight="1" x14ac:dyDescent="0.3">
      <c r="A128" s="89" t="s">
        <v>5</v>
      </c>
      <c r="B128" s="90"/>
      <c r="C128" s="90"/>
      <c r="D128" s="90"/>
      <c r="E128" s="90"/>
    </row>
    <row r="129" spans="1:7" ht="18" customHeight="1" x14ac:dyDescent="0.3">
      <c r="A129" s="9" t="s">
        <v>6</v>
      </c>
      <c r="B129" s="9" t="s">
        <v>3</v>
      </c>
      <c r="C129" s="9" t="s">
        <v>7</v>
      </c>
      <c r="D129" s="9" t="s">
        <v>8</v>
      </c>
      <c r="E129" s="9" t="s">
        <v>9</v>
      </c>
    </row>
    <row r="130" spans="1:7" ht="18" customHeight="1" x14ac:dyDescent="0.3">
      <c r="A130" s="14" t="s">
        <v>10</v>
      </c>
      <c r="B130" s="10" t="s">
        <v>11</v>
      </c>
      <c r="C130" s="11">
        <v>0.1</v>
      </c>
      <c r="D130" s="12">
        <f>E152</f>
        <v>11000</v>
      </c>
      <c r="E130" s="12">
        <f>C130*D130</f>
        <v>1100</v>
      </c>
    </row>
    <row r="131" spans="1:7" ht="18" customHeight="1" x14ac:dyDescent="0.3">
      <c r="A131" s="14" t="s">
        <v>84</v>
      </c>
      <c r="B131" s="10" t="s">
        <v>19</v>
      </c>
      <c r="C131" s="11">
        <v>0.02</v>
      </c>
      <c r="D131" s="12">
        <v>25000</v>
      </c>
      <c r="E131" s="12">
        <f>C131*D131</f>
        <v>500</v>
      </c>
    </row>
    <row r="132" spans="1:7" ht="18" customHeight="1" x14ac:dyDescent="0.3">
      <c r="A132" s="10"/>
      <c r="B132" s="10"/>
      <c r="C132" s="10"/>
      <c r="D132" s="12"/>
      <c r="E132" s="12"/>
    </row>
    <row r="133" spans="1:7" ht="18" customHeight="1" x14ac:dyDescent="0.3">
      <c r="A133" s="83" t="s">
        <v>12</v>
      </c>
      <c r="B133" s="84"/>
      <c r="C133" s="84"/>
      <c r="D133" s="84"/>
      <c r="E133" s="13">
        <f>SUM(E130:E131)</f>
        <v>1600</v>
      </c>
    </row>
    <row r="134" spans="1:7" ht="18" customHeight="1" x14ac:dyDescent="0.3">
      <c r="A134" s="89" t="s">
        <v>13</v>
      </c>
      <c r="B134" s="90"/>
      <c r="C134" s="90"/>
      <c r="D134" s="90"/>
      <c r="E134" s="90"/>
    </row>
    <row r="135" spans="1:7" ht="18" customHeight="1" x14ac:dyDescent="0.3">
      <c r="A135" s="9" t="s">
        <v>6</v>
      </c>
      <c r="B135" s="9" t="s">
        <v>3</v>
      </c>
      <c r="C135" s="9" t="s">
        <v>14</v>
      </c>
      <c r="D135" s="9" t="s">
        <v>15</v>
      </c>
      <c r="E135" s="9" t="s">
        <v>9</v>
      </c>
    </row>
    <row r="136" spans="1:7" ht="18" customHeight="1" x14ac:dyDescent="0.3">
      <c r="A136" s="14" t="s">
        <v>71</v>
      </c>
      <c r="B136" s="10" t="s">
        <v>4</v>
      </c>
      <c r="C136" s="16">
        <v>2.5000000000000001E-2</v>
      </c>
      <c r="D136" s="12">
        <v>650000</v>
      </c>
      <c r="E136" s="12">
        <f>C136*D136</f>
        <v>16250</v>
      </c>
      <c r="G136" s="20">
        <f>0.1*0.1*1</f>
        <v>1.0000000000000002E-2</v>
      </c>
    </row>
    <row r="137" spans="1:7" ht="18" customHeight="1" x14ac:dyDescent="0.3">
      <c r="A137" s="14" t="s">
        <v>40</v>
      </c>
      <c r="B137" s="10" t="s">
        <v>41</v>
      </c>
      <c r="C137" s="16">
        <v>0.01</v>
      </c>
      <c r="D137" s="12">
        <v>32500</v>
      </c>
      <c r="E137" s="12">
        <f>C137*D137</f>
        <v>325</v>
      </c>
    </row>
    <row r="138" spans="1:7" ht="18" customHeight="1" x14ac:dyDescent="0.3">
      <c r="A138" s="14" t="s">
        <v>206</v>
      </c>
      <c r="B138" s="10" t="s">
        <v>51</v>
      </c>
      <c r="C138" s="16">
        <v>0.02</v>
      </c>
      <c r="D138" s="12">
        <f>180000</f>
        <v>180000</v>
      </c>
      <c r="E138" s="12">
        <f>C138*D138</f>
        <v>3600</v>
      </c>
    </row>
    <row r="139" spans="1:7" ht="18" customHeight="1" x14ac:dyDescent="0.3">
      <c r="A139" s="14"/>
      <c r="B139" s="10"/>
      <c r="C139" s="16"/>
      <c r="D139" s="12"/>
      <c r="E139" s="12"/>
    </row>
    <row r="140" spans="1:7" ht="18" customHeight="1" x14ac:dyDescent="0.3">
      <c r="A140" s="17" t="s">
        <v>46</v>
      </c>
      <c r="B140" s="91"/>
      <c r="C140" s="88"/>
      <c r="D140" s="88"/>
      <c r="E140" s="12">
        <f>SUM(E136:E139)*0.05</f>
        <v>1008.75</v>
      </c>
    </row>
    <row r="141" spans="1:7" ht="18" customHeight="1" x14ac:dyDescent="0.3">
      <c r="A141" s="17"/>
      <c r="B141" s="18"/>
      <c r="C141" s="19"/>
      <c r="D141" s="19"/>
      <c r="E141" s="12"/>
    </row>
    <row r="142" spans="1:7" ht="18" customHeight="1" x14ac:dyDescent="0.3">
      <c r="A142" s="83" t="s">
        <v>12</v>
      </c>
      <c r="B142" s="84"/>
      <c r="C142" s="84"/>
      <c r="D142" s="84"/>
      <c r="E142" s="13">
        <f>SUM(E136:E140)</f>
        <v>21183.75</v>
      </c>
    </row>
    <row r="143" spans="1:7" ht="18" customHeight="1" x14ac:dyDescent="0.3">
      <c r="A143" s="89" t="s">
        <v>17</v>
      </c>
      <c r="B143" s="90"/>
      <c r="C143" s="90"/>
      <c r="D143" s="90"/>
      <c r="E143" s="90"/>
    </row>
    <row r="144" spans="1:7" ht="18" customHeight="1" x14ac:dyDescent="0.3">
      <c r="A144" s="9" t="s">
        <v>6</v>
      </c>
      <c r="B144" s="9" t="s">
        <v>3</v>
      </c>
      <c r="C144" s="9" t="s">
        <v>7</v>
      </c>
      <c r="D144" s="9" t="s">
        <v>8</v>
      </c>
      <c r="E144" s="9" t="s">
        <v>9</v>
      </c>
    </row>
    <row r="145" spans="1:5" ht="18" customHeight="1" x14ac:dyDescent="0.3">
      <c r="A145" s="14" t="s">
        <v>36</v>
      </c>
      <c r="B145" s="10" t="s">
        <v>19</v>
      </c>
      <c r="C145" s="11">
        <v>2.5000000000000001E-2</v>
      </c>
      <c r="D145" s="12">
        <v>45000</v>
      </c>
      <c r="E145" s="12">
        <f>D145*C145</f>
        <v>1125</v>
      </c>
    </row>
    <row r="146" spans="1:5" ht="18" customHeight="1" x14ac:dyDescent="0.3">
      <c r="A146" s="14"/>
      <c r="B146" s="10"/>
      <c r="C146" s="11"/>
      <c r="D146" s="12"/>
      <c r="E146" s="12"/>
    </row>
    <row r="147" spans="1:5" ht="18" customHeight="1" x14ac:dyDescent="0.3">
      <c r="A147" s="83" t="s">
        <v>12</v>
      </c>
      <c r="B147" s="84"/>
      <c r="C147" s="84"/>
      <c r="D147" s="84"/>
      <c r="E147" s="13">
        <f>SUM(E145)</f>
        <v>1125</v>
      </c>
    </row>
    <row r="148" spans="1:5" ht="18" customHeight="1" x14ac:dyDescent="0.3">
      <c r="A148" s="89" t="s">
        <v>20</v>
      </c>
      <c r="B148" s="90"/>
      <c r="C148" s="90"/>
      <c r="D148" s="90"/>
      <c r="E148" s="90"/>
    </row>
    <row r="149" spans="1:5" ht="18" customHeight="1" x14ac:dyDescent="0.3">
      <c r="A149" s="9" t="s">
        <v>6</v>
      </c>
      <c r="B149" s="9" t="s">
        <v>3</v>
      </c>
      <c r="C149" s="9" t="s">
        <v>7</v>
      </c>
      <c r="D149" s="9" t="s">
        <v>21</v>
      </c>
      <c r="E149" s="9" t="s">
        <v>9</v>
      </c>
    </row>
    <row r="150" spans="1:5" ht="18" customHeight="1" x14ac:dyDescent="0.3">
      <c r="A150" s="14" t="s">
        <v>30</v>
      </c>
      <c r="B150" s="10" t="s">
        <v>19</v>
      </c>
      <c r="C150" s="11">
        <v>20</v>
      </c>
      <c r="D150" s="12">
        <v>220000</v>
      </c>
      <c r="E150" s="12">
        <f>D150/C150</f>
        <v>11000</v>
      </c>
    </row>
    <row r="151" spans="1:5" ht="18" customHeight="1" x14ac:dyDescent="0.3">
      <c r="A151" s="14"/>
      <c r="B151" s="10"/>
      <c r="C151" s="11"/>
      <c r="D151" s="12"/>
      <c r="E151" s="12"/>
    </row>
    <row r="152" spans="1:5" ht="18" customHeight="1" x14ac:dyDescent="0.3">
      <c r="A152" s="83" t="s">
        <v>12</v>
      </c>
      <c r="B152" s="84"/>
      <c r="C152" s="84"/>
      <c r="D152" s="84"/>
      <c r="E152" s="13">
        <f>SUM(E150)</f>
        <v>11000</v>
      </c>
    </row>
    <row r="153" spans="1:5" ht="18" customHeight="1" x14ac:dyDescent="0.3">
      <c r="A153" s="10"/>
      <c r="B153" s="19"/>
      <c r="C153" s="19"/>
      <c r="D153" s="19"/>
      <c r="E153" s="19"/>
    </row>
    <row r="154" spans="1:5" ht="18" customHeight="1" x14ac:dyDescent="0.3">
      <c r="A154" s="83" t="s">
        <v>23</v>
      </c>
      <c r="B154" s="84"/>
      <c r="C154" s="84"/>
      <c r="D154" s="84"/>
      <c r="E154" s="13">
        <f>SUM(E133,E142,E147,E152)</f>
        <v>34908.75</v>
      </c>
    </row>
    <row r="158" spans="1:5" ht="18" customHeight="1" x14ac:dyDescent="0.3">
      <c r="A158" s="37" t="s">
        <v>104</v>
      </c>
      <c r="B158" s="38"/>
      <c r="C158" s="38"/>
      <c r="D158" s="38"/>
      <c r="E158" s="38"/>
    </row>
    <row r="159" spans="1:5" ht="18" customHeight="1" x14ac:dyDescent="0.3">
      <c r="A159" s="2"/>
      <c r="B159" s="3"/>
      <c r="C159" s="3"/>
      <c r="D159" s="3"/>
      <c r="E159" s="3"/>
    </row>
    <row r="160" spans="1:5" ht="18" customHeight="1" x14ac:dyDescent="0.3">
      <c r="A160" s="85" t="s">
        <v>108</v>
      </c>
      <c r="B160" s="86"/>
      <c r="C160" s="86"/>
      <c r="D160" s="7" t="s">
        <v>1</v>
      </c>
      <c r="E160" s="7" t="s">
        <v>2</v>
      </c>
    </row>
    <row r="161" spans="1:5" ht="18" customHeight="1" x14ac:dyDescent="0.3">
      <c r="A161" s="87"/>
      <c r="B161" s="88"/>
      <c r="C161" s="88"/>
      <c r="D161" s="8" t="s">
        <v>3</v>
      </c>
      <c r="E161" s="8" t="s">
        <v>4</v>
      </c>
    </row>
    <row r="162" spans="1:5" ht="18" customHeight="1" x14ac:dyDescent="0.3">
      <c r="A162" s="89" t="s">
        <v>5</v>
      </c>
      <c r="B162" s="90"/>
      <c r="C162" s="90"/>
      <c r="D162" s="90"/>
      <c r="E162" s="90"/>
    </row>
    <row r="163" spans="1:5" ht="18" customHeight="1" x14ac:dyDescent="0.3">
      <c r="A163" s="9" t="s">
        <v>6</v>
      </c>
      <c r="B163" s="9" t="s">
        <v>3</v>
      </c>
      <c r="C163" s="9" t="s">
        <v>7</v>
      </c>
      <c r="D163" s="9" t="s">
        <v>8</v>
      </c>
      <c r="E163" s="9" t="s">
        <v>9</v>
      </c>
    </row>
    <row r="164" spans="1:5" ht="18" customHeight="1" x14ac:dyDescent="0.3">
      <c r="A164" s="14" t="s">
        <v>10</v>
      </c>
      <c r="B164" s="10" t="s">
        <v>11</v>
      </c>
      <c r="C164" s="11">
        <v>0.1</v>
      </c>
      <c r="D164" s="12">
        <f>E183</f>
        <v>12222.222222222223</v>
      </c>
      <c r="E164" s="12">
        <f>C164*D164</f>
        <v>1222.2222222222224</v>
      </c>
    </row>
    <row r="165" spans="1:5" ht="18" customHeight="1" x14ac:dyDescent="0.3">
      <c r="A165" s="14" t="s">
        <v>84</v>
      </c>
      <c r="B165" s="10" t="s">
        <v>19</v>
      </c>
      <c r="C165" s="11">
        <v>0.02</v>
      </c>
      <c r="D165" s="12">
        <v>25000</v>
      </c>
      <c r="E165" s="12">
        <f>C165*D165</f>
        <v>500</v>
      </c>
    </row>
    <row r="166" spans="1:5" ht="18" customHeight="1" x14ac:dyDescent="0.3">
      <c r="A166" s="10"/>
      <c r="B166" s="10"/>
      <c r="C166" s="10"/>
      <c r="D166" s="12"/>
      <c r="E166" s="12"/>
    </row>
    <row r="167" spans="1:5" ht="18" customHeight="1" x14ac:dyDescent="0.3">
      <c r="A167" s="83" t="s">
        <v>12</v>
      </c>
      <c r="B167" s="84"/>
      <c r="C167" s="84"/>
      <c r="D167" s="84"/>
      <c r="E167" s="13">
        <f>SUM(E164:E165)</f>
        <v>1722.2222222222224</v>
      </c>
    </row>
    <row r="168" spans="1:5" ht="18" customHeight="1" x14ac:dyDescent="0.3">
      <c r="A168" s="89" t="s">
        <v>13</v>
      </c>
      <c r="B168" s="90"/>
      <c r="C168" s="90"/>
      <c r="D168" s="90"/>
      <c r="E168" s="90"/>
    </row>
    <row r="169" spans="1:5" ht="18" customHeight="1" x14ac:dyDescent="0.3">
      <c r="A169" s="9" t="s">
        <v>6</v>
      </c>
      <c r="B169" s="9" t="s">
        <v>3</v>
      </c>
      <c r="C169" s="9" t="s">
        <v>14</v>
      </c>
      <c r="D169" s="9" t="s">
        <v>15</v>
      </c>
      <c r="E169" s="9" t="s">
        <v>9</v>
      </c>
    </row>
    <row r="170" spans="1:5" ht="18" customHeight="1" x14ac:dyDescent="0.3">
      <c r="A170" s="14"/>
      <c r="B170" s="10"/>
      <c r="C170" s="16"/>
      <c r="D170" s="12"/>
      <c r="E170" s="12"/>
    </row>
    <row r="171" spans="1:5" ht="18" customHeight="1" x14ac:dyDescent="0.3">
      <c r="A171" s="17" t="s">
        <v>16</v>
      </c>
      <c r="B171" s="91"/>
      <c r="C171" s="88"/>
      <c r="D171" s="88"/>
      <c r="E171" s="12">
        <f>SUM(E170:E170)*0.02</f>
        <v>0</v>
      </c>
    </row>
    <row r="172" spans="1:5" ht="18" customHeight="1" x14ac:dyDescent="0.3">
      <c r="A172" s="17"/>
      <c r="B172" s="18"/>
      <c r="C172" s="19"/>
      <c r="D172" s="19"/>
      <c r="E172" s="12"/>
    </row>
    <row r="173" spans="1:5" ht="18" customHeight="1" x14ac:dyDescent="0.3">
      <c r="A173" s="83" t="s">
        <v>12</v>
      </c>
      <c r="B173" s="84"/>
      <c r="C173" s="84"/>
      <c r="D173" s="84"/>
      <c r="E173" s="13">
        <f>SUM(E170:E171)</f>
        <v>0</v>
      </c>
    </row>
    <row r="174" spans="1:5" ht="18" customHeight="1" x14ac:dyDescent="0.3">
      <c r="A174" s="89" t="s">
        <v>17</v>
      </c>
      <c r="B174" s="90"/>
      <c r="C174" s="90"/>
      <c r="D174" s="90"/>
      <c r="E174" s="90"/>
    </row>
    <row r="175" spans="1:5" ht="18" customHeight="1" x14ac:dyDescent="0.3">
      <c r="A175" s="9" t="s">
        <v>6</v>
      </c>
      <c r="B175" s="9" t="s">
        <v>3</v>
      </c>
      <c r="C175" s="9" t="s">
        <v>7</v>
      </c>
      <c r="D175" s="9" t="s">
        <v>8</v>
      </c>
      <c r="E175" s="9" t="s">
        <v>9</v>
      </c>
    </row>
    <row r="176" spans="1:5" ht="18" customHeight="1" x14ac:dyDescent="0.3">
      <c r="A176" s="14" t="s">
        <v>18</v>
      </c>
      <c r="B176" s="10" t="s">
        <v>19</v>
      </c>
      <c r="C176" s="11">
        <v>0</v>
      </c>
      <c r="D176" s="12">
        <v>45000</v>
      </c>
      <c r="E176" s="12">
        <f>D176*C176</f>
        <v>0</v>
      </c>
    </row>
    <row r="177" spans="1:7" ht="18" customHeight="1" x14ac:dyDescent="0.3">
      <c r="A177" s="14"/>
      <c r="B177" s="10"/>
      <c r="C177" s="11"/>
      <c r="D177" s="12"/>
      <c r="E177" s="12"/>
    </row>
    <row r="178" spans="1:7" ht="18" customHeight="1" x14ac:dyDescent="0.3">
      <c r="A178" s="83" t="s">
        <v>12</v>
      </c>
      <c r="B178" s="84"/>
      <c r="C178" s="84"/>
      <c r="D178" s="84"/>
      <c r="E178" s="13">
        <f>SUM(E176)</f>
        <v>0</v>
      </c>
    </row>
    <row r="179" spans="1:7" ht="18" customHeight="1" x14ac:dyDescent="0.3">
      <c r="A179" s="89" t="s">
        <v>20</v>
      </c>
      <c r="B179" s="90"/>
      <c r="C179" s="90"/>
      <c r="D179" s="90"/>
      <c r="E179" s="90"/>
    </row>
    <row r="180" spans="1:7" ht="18" customHeight="1" x14ac:dyDescent="0.3">
      <c r="A180" s="9" t="s">
        <v>6</v>
      </c>
      <c r="B180" s="9" t="s">
        <v>3</v>
      </c>
      <c r="C180" s="9" t="s">
        <v>7</v>
      </c>
      <c r="D180" s="9" t="s">
        <v>21</v>
      </c>
      <c r="E180" s="9" t="s">
        <v>9</v>
      </c>
    </row>
    <row r="181" spans="1:7" ht="18" customHeight="1" x14ac:dyDescent="0.3">
      <c r="A181" s="14" t="s">
        <v>30</v>
      </c>
      <c r="B181" s="10" t="s">
        <v>19</v>
      </c>
      <c r="C181" s="11">
        <v>18</v>
      </c>
      <c r="D181" s="12">
        <v>220000</v>
      </c>
      <c r="E181" s="12">
        <f>D181/C181</f>
        <v>12222.222222222223</v>
      </c>
      <c r="G181" s="46">
        <f>480/C181</f>
        <v>26.666666666666668</v>
      </c>
    </row>
    <row r="182" spans="1:7" ht="18" customHeight="1" x14ac:dyDescent="0.3">
      <c r="A182" s="14"/>
      <c r="B182" s="10"/>
      <c r="C182" s="11"/>
      <c r="D182" s="12"/>
      <c r="E182" s="12"/>
    </row>
    <row r="183" spans="1:7" ht="18" customHeight="1" x14ac:dyDescent="0.3">
      <c r="A183" s="83" t="s">
        <v>12</v>
      </c>
      <c r="B183" s="84"/>
      <c r="C183" s="84"/>
      <c r="D183" s="84"/>
      <c r="E183" s="13">
        <f>SUM(E181)</f>
        <v>12222.222222222223</v>
      </c>
    </row>
    <row r="184" spans="1:7" ht="18" customHeight="1" x14ac:dyDescent="0.3">
      <c r="A184" s="10"/>
      <c r="B184" s="19"/>
      <c r="C184" s="19"/>
      <c r="D184" s="19"/>
      <c r="E184" s="19"/>
    </row>
    <row r="185" spans="1:7" ht="18" customHeight="1" x14ac:dyDescent="0.3">
      <c r="A185" s="83" t="s">
        <v>23</v>
      </c>
      <c r="B185" s="84"/>
      <c r="C185" s="84"/>
      <c r="D185" s="84"/>
      <c r="E185" s="13">
        <f>SUM(E167,E173,E178,E183)</f>
        <v>13944.444444444445</v>
      </c>
    </row>
    <row r="188" spans="1:7" ht="18" customHeight="1" x14ac:dyDescent="0.3">
      <c r="A188" s="85" t="s">
        <v>109</v>
      </c>
      <c r="B188" s="86"/>
      <c r="C188" s="86"/>
      <c r="D188" s="7" t="s">
        <v>1</v>
      </c>
      <c r="E188" s="7"/>
    </row>
    <row r="189" spans="1:7" ht="18" customHeight="1" x14ac:dyDescent="0.3">
      <c r="A189" s="87"/>
      <c r="B189" s="88"/>
      <c r="C189" s="88"/>
      <c r="D189" s="8" t="s">
        <v>3</v>
      </c>
      <c r="E189" s="8" t="s">
        <v>4</v>
      </c>
    </row>
    <row r="190" spans="1:7" ht="18" customHeight="1" x14ac:dyDescent="0.3">
      <c r="A190" s="89" t="s">
        <v>5</v>
      </c>
      <c r="B190" s="90"/>
      <c r="C190" s="90"/>
      <c r="D190" s="90"/>
      <c r="E190" s="90"/>
    </row>
    <row r="191" spans="1:7" ht="18" customHeight="1" x14ac:dyDescent="0.3">
      <c r="A191" s="9" t="s">
        <v>6</v>
      </c>
      <c r="B191" s="9" t="s">
        <v>3</v>
      </c>
      <c r="C191" s="9" t="s">
        <v>7</v>
      </c>
      <c r="D191" s="9" t="s">
        <v>8</v>
      </c>
      <c r="E191" s="9" t="s">
        <v>9</v>
      </c>
    </row>
    <row r="192" spans="1:7" ht="18" customHeight="1" x14ac:dyDescent="0.3">
      <c r="A192" s="14" t="s">
        <v>10</v>
      </c>
      <c r="B192" s="10" t="s">
        <v>11</v>
      </c>
      <c r="C192" s="11">
        <v>0.05</v>
      </c>
      <c r="D192" s="12">
        <f>E216</f>
        <v>14666.666666666666</v>
      </c>
      <c r="E192" s="12">
        <f>C192*D192</f>
        <v>733.33333333333337</v>
      </c>
    </row>
    <row r="193" spans="1:5" ht="18" customHeight="1" x14ac:dyDescent="0.3">
      <c r="A193" s="14" t="s">
        <v>84</v>
      </c>
      <c r="B193" s="10" t="s">
        <v>19</v>
      </c>
      <c r="C193" s="11">
        <v>0.02</v>
      </c>
      <c r="D193" s="12">
        <v>25000</v>
      </c>
      <c r="E193" s="12">
        <f>C193*D193</f>
        <v>500</v>
      </c>
    </row>
    <row r="194" spans="1:5" ht="18" customHeight="1" x14ac:dyDescent="0.3">
      <c r="A194" s="10"/>
      <c r="B194" s="10"/>
      <c r="C194" s="10"/>
      <c r="D194" s="12"/>
      <c r="E194" s="12"/>
    </row>
    <row r="195" spans="1:5" ht="18" customHeight="1" x14ac:dyDescent="0.3">
      <c r="A195" s="83" t="s">
        <v>12</v>
      </c>
      <c r="B195" s="84"/>
      <c r="C195" s="84"/>
      <c r="D195" s="84"/>
      <c r="E195" s="13">
        <f>SUM(E192:E193)</f>
        <v>1233.3333333333335</v>
      </c>
    </row>
    <row r="196" spans="1:5" ht="18" customHeight="1" x14ac:dyDescent="0.3">
      <c r="A196" s="89" t="s">
        <v>13</v>
      </c>
      <c r="B196" s="90"/>
      <c r="C196" s="90"/>
      <c r="D196" s="90"/>
      <c r="E196" s="90"/>
    </row>
    <row r="197" spans="1:5" ht="18" customHeight="1" x14ac:dyDescent="0.3">
      <c r="A197" s="9" t="s">
        <v>6</v>
      </c>
      <c r="B197" s="9" t="s">
        <v>3</v>
      </c>
      <c r="C197" s="9" t="s">
        <v>14</v>
      </c>
      <c r="D197" s="9" t="s">
        <v>15</v>
      </c>
      <c r="E197" s="9" t="s">
        <v>9</v>
      </c>
    </row>
    <row r="198" spans="1:5" ht="18" customHeight="1" x14ac:dyDescent="0.3">
      <c r="A198" s="14" t="s">
        <v>113</v>
      </c>
      <c r="B198" s="10" t="s">
        <v>26</v>
      </c>
      <c r="C198" s="21">
        <v>0.4</v>
      </c>
      <c r="D198" s="12">
        <v>65000</v>
      </c>
      <c r="E198" s="12">
        <f>C198*D198</f>
        <v>26000</v>
      </c>
    </row>
    <row r="199" spans="1:5" ht="18" customHeight="1" x14ac:dyDescent="0.3">
      <c r="A199" s="14" t="s">
        <v>27</v>
      </c>
      <c r="B199" s="10" t="s">
        <v>26</v>
      </c>
      <c r="C199" s="21">
        <v>1</v>
      </c>
      <c r="D199" s="12">
        <v>9500</v>
      </c>
      <c r="E199" s="12">
        <f>C199*D199</f>
        <v>9500</v>
      </c>
    </row>
    <row r="200" spans="1:5" ht="18" customHeight="1" x14ac:dyDescent="0.3">
      <c r="A200" s="14" t="s">
        <v>28</v>
      </c>
      <c r="B200" s="10" t="s">
        <v>26</v>
      </c>
      <c r="C200" s="21">
        <v>1</v>
      </c>
      <c r="D200" s="12">
        <v>9000</v>
      </c>
      <c r="E200" s="12">
        <f>C200*D200</f>
        <v>9000</v>
      </c>
    </row>
    <row r="201" spans="1:5" ht="18" customHeight="1" x14ac:dyDescent="0.3">
      <c r="A201" s="14" t="s">
        <v>29</v>
      </c>
      <c r="B201" s="10" t="s">
        <v>26</v>
      </c>
      <c r="C201" s="15">
        <v>50</v>
      </c>
      <c r="D201" s="12">
        <v>60</v>
      </c>
      <c r="E201" s="12">
        <f>C201*D201</f>
        <v>3000</v>
      </c>
    </row>
    <row r="202" spans="1:5" ht="18" customHeight="1" x14ac:dyDescent="0.3">
      <c r="A202" s="14" t="s">
        <v>118</v>
      </c>
      <c r="B202" s="10" t="s">
        <v>26</v>
      </c>
      <c r="C202" s="21">
        <v>0.5</v>
      </c>
      <c r="D202" s="12">
        <v>13500</v>
      </c>
      <c r="E202" s="12">
        <f>C202*D202</f>
        <v>6750</v>
      </c>
    </row>
    <row r="203" spans="1:5" ht="18" customHeight="1" x14ac:dyDescent="0.3">
      <c r="A203" s="14"/>
      <c r="B203" s="10"/>
      <c r="C203" s="16"/>
      <c r="D203" s="12"/>
      <c r="E203" s="12"/>
    </row>
    <row r="204" spans="1:5" ht="18" customHeight="1" x14ac:dyDescent="0.3">
      <c r="A204" s="17" t="s">
        <v>16</v>
      </c>
      <c r="B204" s="91"/>
      <c r="C204" s="88"/>
      <c r="D204" s="88"/>
      <c r="E204" s="12">
        <f>SUM(E198:E203)*0.05</f>
        <v>2712.5</v>
      </c>
    </row>
    <row r="205" spans="1:5" ht="18" customHeight="1" x14ac:dyDescent="0.3">
      <c r="A205" s="17"/>
      <c r="B205" s="18"/>
      <c r="C205" s="19"/>
      <c r="D205" s="19"/>
      <c r="E205" s="12"/>
    </row>
    <row r="206" spans="1:5" ht="18" customHeight="1" x14ac:dyDescent="0.3">
      <c r="A206" s="83" t="s">
        <v>12</v>
      </c>
      <c r="B206" s="84"/>
      <c r="C206" s="84"/>
      <c r="D206" s="84"/>
      <c r="E206" s="13">
        <f>SUM(E198:E204)</f>
        <v>56962.5</v>
      </c>
    </row>
    <row r="207" spans="1:5" ht="18" customHeight="1" x14ac:dyDescent="0.3">
      <c r="A207" s="89" t="s">
        <v>17</v>
      </c>
      <c r="B207" s="90"/>
      <c r="C207" s="90"/>
      <c r="D207" s="90"/>
      <c r="E207" s="90"/>
    </row>
    <row r="208" spans="1:5" ht="18" customHeight="1" x14ac:dyDescent="0.3">
      <c r="A208" s="9" t="s">
        <v>6</v>
      </c>
      <c r="B208" s="9" t="s">
        <v>3</v>
      </c>
      <c r="C208" s="9" t="s">
        <v>7</v>
      </c>
      <c r="D208" s="9" t="s">
        <v>8</v>
      </c>
      <c r="E208" s="9" t="s">
        <v>9</v>
      </c>
    </row>
    <row r="209" spans="1:5" ht="18" customHeight="1" x14ac:dyDescent="0.3">
      <c r="A209" s="14" t="s">
        <v>18</v>
      </c>
      <c r="B209" s="10" t="s">
        <v>19</v>
      </c>
      <c r="C209" s="11">
        <v>2.5000000000000001E-2</v>
      </c>
      <c r="D209" s="12">
        <v>60000</v>
      </c>
      <c r="E209" s="12">
        <f>D209*C209</f>
        <v>1500</v>
      </c>
    </row>
    <row r="210" spans="1:5" ht="18" customHeight="1" x14ac:dyDescent="0.3">
      <c r="A210" s="14"/>
      <c r="B210" s="10"/>
      <c r="C210" s="11"/>
      <c r="D210" s="12"/>
      <c r="E210" s="12"/>
    </row>
    <row r="211" spans="1:5" ht="18" customHeight="1" x14ac:dyDescent="0.3">
      <c r="A211" s="83" t="s">
        <v>12</v>
      </c>
      <c r="B211" s="84"/>
      <c r="C211" s="84"/>
      <c r="D211" s="84"/>
      <c r="E211" s="13">
        <f>SUM(E209)</f>
        <v>1500</v>
      </c>
    </row>
    <row r="212" spans="1:5" ht="18" customHeight="1" x14ac:dyDescent="0.3">
      <c r="A212" s="89" t="s">
        <v>20</v>
      </c>
      <c r="B212" s="90"/>
      <c r="C212" s="90"/>
      <c r="D212" s="90"/>
      <c r="E212" s="90"/>
    </row>
    <row r="213" spans="1:5" ht="18" customHeight="1" x14ac:dyDescent="0.3">
      <c r="A213" s="9" t="s">
        <v>6</v>
      </c>
      <c r="B213" s="9" t="s">
        <v>3</v>
      </c>
      <c r="C213" s="9" t="s">
        <v>7</v>
      </c>
      <c r="D213" s="9" t="s">
        <v>21</v>
      </c>
      <c r="E213" s="9" t="s">
        <v>9</v>
      </c>
    </row>
    <row r="214" spans="1:5" ht="18" customHeight="1" x14ac:dyDescent="0.3">
      <c r="A214" s="14" t="s">
        <v>30</v>
      </c>
      <c r="B214" s="10" t="s">
        <v>19</v>
      </c>
      <c r="C214" s="11">
        <v>15</v>
      </c>
      <c r="D214" s="12">
        <v>220000</v>
      </c>
      <c r="E214" s="12">
        <f>D214/C214</f>
        <v>14666.666666666666</v>
      </c>
    </row>
    <row r="215" spans="1:5" ht="18" customHeight="1" x14ac:dyDescent="0.3">
      <c r="A215" s="14"/>
      <c r="B215" s="10"/>
      <c r="C215" s="11"/>
      <c r="D215" s="12"/>
      <c r="E215" s="12"/>
    </row>
    <row r="216" spans="1:5" ht="18" customHeight="1" x14ac:dyDescent="0.3">
      <c r="A216" s="83" t="s">
        <v>12</v>
      </c>
      <c r="B216" s="84"/>
      <c r="C216" s="84"/>
      <c r="D216" s="84"/>
      <c r="E216" s="13">
        <f>SUM(E214)</f>
        <v>14666.666666666666</v>
      </c>
    </row>
    <row r="217" spans="1:5" ht="18" customHeight="1" x14ac:dyDescent="0.3">
      <c r="A217" s="10"/>
      <c r="B217" s="19"/>
      <c r="C217" s="19"/>
      <c r="D217" s="19"/>
      <c r="E217" s="19"/>
    </row>
    <row r="218" spans="1:5" ht="18" customHeight="1" x14ac:dyDescent="0.3">
      <c r="A218" s="83" t="s">
        <v>23</v>
      </c>
      <c r="B218" s="84"/>
      <c r="C218" s="84"/>
      <c r="D218" s="84"/>
      <c r="E218" s="13">
        <f>SUM(E195,E206,E211,E216)</f>
        <v>74362.5</v>
      </c>
    </row>
    <row r="221" spans="1:5" ht="18" customHeight="1" x14ac:dyDescent="0.3">
      <c r="A221" s="85" t="s">
        <v>112</v>
      </c>
      <c r="B221" s="86"/>
      <c r="C221" s="86"/>
      <c r="D221" s="7" t="s">
        <v>1</v>
      </c>
      <c r="E221" s="7"/>
    </row>
    <row r="222" spans="1:5" ht="18" customHeight="1" x14ac:dyDescent="0.3">
      <c r="A222" s="87"/>
      <c r="B222" s="88"/>
      <c r="C222" s="88"/>
      <c r="D222" s="8" t="s">
        <v>3</v>
      </c>
      <c r="E222" s="8" t="s">
        <v>4</v>
      </c>
    </row>
    <row r="223" spans="1:5" ht="18" customHeight="1" x14ac:dyDescent="0.3">
      <c r="A223" s="89" t="s">
        <v>5</v>
      </c>
      <c r="B223" s="90"/>
      <c r="C223" s="90"/>
      <c r="D223" s="90"/>
      <c r="E223" s="90"/>
    </row>
    <row r="224" spans="1:5" ht="18" customHeight="1" x14ac:dyDescent="0.3">
      <c r="A224" s="9" t="s">
        <v>6</v>
      </c>
      <c r="B224" s="9" t="s">
        <v>3</v>
      </c>
      <c r="C224" s="9" t="s">
        <v>7</v>
      </c>
      <c r="D224" s="9" t="s">
        <v>8</v>
      </c>
      <c r="E224" s="9" t="s">
        <v>9</v>
      </c>
    </row>
    <row r="225" spans="1:5" ht="18" customHeight="1" x14ac:dyDescent="0.3">
      <c r="A225" s="14" t="s">
        <v>10</v>
      </c>
      <c r="B225" s="10" t="s">
        <v>11</v>
      </c>
      <c r="C225" s="11">
        <v>0.05</v>
      </c>
      <c r="D225" s="12">
        <f>E247</f>
        <v>7333.333333333333</v>
      </c>
      <c r="E225" s="12">
        <f>C225*D225</f>
        <v>366.66666666666669</v>
      </c>
    </row>
    <row r="226" spans="1:5" ht="18" customHeight="1" x14ac:dyDescent="0.3">
      <c r="A226" s="10"/>
      <c r="B226" s="10"/>
      <c r="C226" s="10"/>
      <c r="D226" s="12"/>
      <c r="E226" s="12"/>
    </row>
    <row r="227" spans="1:5" ht="18" customHeight="1" x14ac:dyDescent="0.3">
      <c r="A227" s="83" t="s">
        <v>12</v>
      </c>
      <c r="B227" s="84"/>
      <c r="C227" s="84"/>
      <c r="D227" s="84"/>
      <c r="E227" s="13">
        <f>SUM(E225:E225)</f>
        <v>366.66666666666669</v>
      </c>
    </row>
    <row r="228" spans="1:5" ht="18" customHeight="1" x14ac:dyDescent="0.3">
      <c r="A228" s="89" t="s">
        <v>13</v>
      </c>
      <c r="B228" s="90"/>
      <c r="C228" s="90"/>
      <c r="D228" s="90"/>
      <c r="E228" s="90"/>
    </row>
    <row r="229" spans="1:5" ht="18" customHeight="1" x14ac:dyDescent="0.3">
      <c r="A229" s="9" t="s">
        <v>6</v>
      </c>
      <c r="B229" s="9" t="s">
        <v>3</v>
      </c>
      <c r="C229" s="9" t="s">
        <v>14</v>
      </c>
      <c r="D229" s="9" t="s">
        <v>15</v>
      </c>
      <c r="E229" s="9" t="s">
        <v>9</v>
      </c>
    </row>
    <row r="230" spans="1:5" ht="18" customHeight="1" x14ac:dyDescent="0.3">
      <c r="A230" s="14" t="s">
        <v>114</v>
      </c>
      <c r="B230" s="10" t="s">
        <v>26</v>
      </c>
      <c r="C230" s="21">
        <v>0.35</v>
      </c>
      <c r="D230" s="12">
        <v>50000</v>
      </c>
      <c r="E230" s="12">
        <f>C230*D230</f>
        <v>17500</v>
      </c>
    </row>
    <row r="231" spans="1:5" ht="18" customHeight="1" x14ac:dyDescent="0.3">
      <c r="A231" s="14" t="s">
        <v>27</v>
      </c>
      <c r="B231" s="10" t="s">
        <v>26</v>
      </c>
      <c r="C231" s="21">
        <v>1</v>
      </c>
      <c r="D231" s="12">
        <v>9500</v>
      </c>
      <c r="E231" s="12">
        <f>C231*D231</f>
        <v>9500</v>
      </c>
    </row>
    <row r="232" spans="1:5" ht="18" customHeight="1" x14ac:dyDescent="0.3">
      <c r="A232" s="14" t="s">
        <v>28</v>
      </c>
      <c r="B232" s="10" t="s">
        <v>26</v>
      </c>
      <c r="C232" s="21">
        <v>1</v>
      </c>
      <c r="D232" s="12">
        <v>9000</v>
      </c>
      <c r="E232" s="12">
        <f>C232*D232</f>
        <v>9000</v>
      </c>
    </row>
    <row r="233" spans="1:5" ht="18" customHeight="1" x14ac:dyDescent="0.3">
      <c r="A233" s="14" t="s">
        <v>29</v>
      </c>
      <c r="B233" s="10" t="s">
        <v>26</v>
      </c>
      <c r="C233" s="15">
        <v>50</v>
      </c>
      <c r="D233" s="12">
        <v>40</v>
      </c>
      <c r="E233" s="12">
        <f>C233*D233</f>
        <v>2000</v>
      </c>
    </row>
    <row r="234" spans="1:5" ht="18" customHeight="1" x14ac:dyDescent="0.3">
      <c r="A234" s="14"/>
      <c r="B234" s="10"/>
      <c r="C234" s="16"/>
      <c r="D234" s="12"/>
      <c r="E234" s="12"/>
    </row>
    <row r="235" spans="1:5" ht="18" customHeight="1" x14ac:dyDescent="0.3">
      <c r="A235" s="17" t="s">
        <v>16</v>
      </c>
      <c r="B235" s="91"/>
      <c r="C235" s="88"/>
      <c r="D235" s="88"/>
      <c r="E235" s="12">
        <v>0</v>
      </c>
    </row>
    <row r="236" spans="1:5" ht="18" customHeight="1" x14ac:dyDescent="0.3">
      <c r="A236" s="17"/>
      <c r="B236" s="18"/>
      <c r="C236" s="19"/>
      <c r="D236" s="19"/>
      <c r="E236" s="12"/>
    </row>
    <row r="237" spans="1:5" ht="18" customHeight="1" x14ac:dyDescent="0.3">
      <c r="A237" s="83" t="s">
        <v>12</v>
      </c>
      <c r="B237" s="84"/>
      <c r="C237" s="84"/>
      <c r="D237" s="84"/>
      <c r="E237" s="13">
        <f>SUM(E230:E235)</f>
        <v>38000</v>
      </c>
    </row>
    <row r="238" spans="1:5" ht="18" customHeight="1" x14ac:dyDescent="0.3">
      <c r="A238" s="89" t="s">
        <v>17</v>
      </c>
      <c r="B238" s="90"/>
      <c r="C238" s="90"/>
      <c r="D238" s="90"/>
      <c r="E238" s="90"/>
    </row>
    <row r="239" spans="1:5" ht="18" customHeight="1" x14ac:dyDescent="0.3">
      <c r="A239" s="9" t="s">
        <v>6</v>
      </c>
      <c r="B239" s="9" t="s">
        <v>3</v>
      </c>
      <c r="C239" s="9" t="s">
        <v>7</v>
      </c>
      <c r="D239" s="9" t="s">
        <v>8</v>
      </c>
      <c r="E239" s="9" t="s">
        <v>9</v>
      </c>
    </row>
    <row r="240" spans="1:5" ht="18" customHeight="1" x14ac:dyDescent="0.3">
      <c r="A240" s="14" t="s">
        <v>18</v>
      </c>
      <c r="B240" s="10" t="s">
        <v>19</v>
      </c>
      <c r="C240" s="11">
        <v>2.5000000000000001E-2</v>
      </c>
      <c r="D240" s="12">
        <v>60000</v>
      </c>
      <c r="E240" s="12">
        <f>D240*C240</f>
        <v>1500</v>
      </c>
    </row>
    <row r="241" spans="1:5" ht="18" customHeight="1" x14ac:dyDescent="0.3">
      <c r="A241" s="14"/>
      <c r="B241" s="10"/>
      <c r="C241" s="11"/>
      <c r="D241" s="12"/>
      <c r="E241" s="12"/>
    </row>
    <row r="242" spans="1:5" ht="18" customHeight="1" x14ac:dyDescent="0.3">
      <c r="A242" s="83" t="s">
        <v>12</v>
      </c>
      <c r="B242" s="84"/>
      <c r="C242" s="84"/>
      <c r="D242" s="84"/>
      <c r="E242" s="13">
        <f>SUM(E240)</f>
        <v>1500</v>
      </c>
    </row>
    <row r="243" spans="1:5" ht="18" customHeight="1" x14ac:dyDescent="0.3">
      <c r="A243" s="89" t="s">
        <v>20</v>
      </c>
      <c r="B243" s="90"/>
      <c r="C243" s="90"/>
      <c r="D243" s="90"/>
      <c r="E243" s="90"/>
    </row>
    <row r="244" spans="1:5" ht="18" customHeight="1" x14ac:dyDescent="0.3">
      <c r="A244" s="9" t="s">
        <v>6</v>
      </c>
      <c r="B244" s="9" t="s">
        <v>3</v>
      </c>
      <c r="C244" s="9" t="s">
        <v>7</v>
      </c>
      <c r="D244" s="9" t="s">
        <v>21</v>
      </c>
      <c r="E244" s="9" t="s">
        <v>9</v>
      </c>
    </row>
    <row r="245" spans="1:5" ht="18" customHeight="1" x14ac:dyDescent="0.3">
      <c r="A245" s="14" t="s">
        <v>30</v>
      </c>
      <c r="B245" s="10" t="s">
        <v>19</v>
      </c>
      <c r="C245" s="11">
        <v>30</v>
      </c>
      <c r="D245" s="12">
        <v>220000</v>
      </c>
      <c r="E245" s="12">
        <f>D245/C245</f>
        <v>7333.333333333333</v>
      </c>
    </row>
    <row r="246" spans="1:5" ht="18" customHeight="1" x14ac:dyDescent="0.3">
      <c r="A246" s="14"/>
      <c r="B246" s="10"/>
      <c r="C246" s="11"/>
      <c r="D246" s="12"/>
      <c r="E246" s="12"/>
    </row>
    <row r="247" spans="1:5" ht="18" customHeight="1" x14ac:dyDescent="0.3">
      <c r="A247" s="83" t="s">
        <v>12</v>
      </c>
      <c r="B247" s="84"/>
      <c r="C247" s="84"/>
      <c r="D247" s="84"/>
      <c r="E247" s="13">
        <f>SUM(E245)</f>
        <v>7333.333333333333</v>
      </c>
    </row>
    <row r="248" spans="1:5" ht="18" customHeight="1" x14ac:dyDescent="0.3">
      <c r="A248" s="10"/>
      <c r="B248" s="19"/>
      <c r="C248" s="19"/>
      <c r="D248" s="19"/>
      <c r="E248" s="19"/>
    </row>
    <row r="249" spans="1:5" ht="18" customHeight="1" x14ac:dyDescent="0.3">
      <c r="A249" s="83" t="s">
        <v>23</v>
      </c>
      <c r="B249" s="84"/>
      <c r="C249" s="84"/>
      <c r="D249" s="84"/>
      <c r="E249" s="13">
        <f>SUM(E227,E237,E242,E247)</f>
        <v>47200</v>
      </c>
    </row>
    <row r="250" spans="1:5" ht="18" customHeight="1" x14ac:dyDescent="0.3">
      <c r="A250" s="2"/>
      <c r="B250" s="3"/>
      <c r="C250" s="3"/>
      <c r="D250" s="3"/>
      <c r="E250" s="3"/>
    </row>
    <row r="251" spans="1:5" ht="18" customHeight="1" x14ac:dyDescent="0.3">
      <c r="A251" s="2"/>
      <c r="B251" s="3"/>
      <c r="C251" s="3"/>
      <c r="D251" s="3"/>
      <c r="E251" s="3"/>
    </row>
  </sheetData>
  <mergeCells count="97">
    <mergeCell ref="A243:E243"/>
    <mergeCell ref="A247:D247"/>
    <mergeCell ref="A249:D249"/>
    <mergeCell ref="A228:E228"/>
    <mergeCell ref="B235:D235"/>
    <mergeCell ref="A237:D237"/>
    <mergeCell ref="A238:E238"/>
    <mergeCell ref="A242:D242"/>
    <mergeCell ref="A218:D218"/>
    <mergeCell ref="A221:C221"/>
    <mergeCell ref="A222:C222"/>
    <mergeCell ref="A223:E223"/>
    <mergeCell ref="A227:D227"/>
    <mergeCell ref="A216:D216"/>
    <mergeCell ref="A185:D185"/>
    <mergeCell ref="A188:C188"/>
    <mergeCell ref="A189:C189"/>
    <mergeCell ref="A190:E190"/>
    <mergeCell ref="A195:D195"/>
    <mergeCell ref="A196:E196"/>
    <mergeCell ref="B204:D204"/>
    <mergeCell ref="A206:D206"/>
    <mergeCell ref="A207:E207"/>
    <mergeCell ref="A211:D211"/>
    <mergeCell ref="A212:E212"/>
    <mergeCell ref="A183:D183"/>
    <mergeCell ref="A154:D154"/>
    <mergeCell ref="A160:C160"/>
    <mergeCell ref="A161:C161"/>
    <mergeCell ref="A162:E162"/>
    <mergeCell ref="A167:D167"/>
    <mergeCell ref="A168:E168"/>
    <mergeCell ref="B171:D171"/>
    <mergeCell ref="A173:D173"/>
    <mergeCell ref="A174:E174"/>
    <mergeCell ref="A178:D178"/>
    <mergeCell ref="A179:E179"/>
    <mergeCell ref="A152:D152"/>
    <mergeCell ref="A122:D122"/>
    <mergeCell ref="A126:C126"/>
    <mergeCell ref="A127:C127"/>
    <mergeCell ref="A128:E128"/>
    <mergeCell ref="A133:D133"/>
    <mergeCell ref="A134:E134"/>
    <mergeCell ref="B140:D140"/>
    <mergeCell ref="A142:D142"/>
    <mergeCell ref="A143:E143"/>
    <mergeCell ref="A147:D147"/>
    <mergeCell ref="A148:E148"/>
    <mergeCell ref="A120:D120"/>
    <mergeCell ref="A92:D92"/>
    <mergeCell ref="A95:C95"/>
    <mergeCell ref="A96:C96"/>
    <mergeCell ref="A97:E97"/>
    <mergeCell ref="A102:D102"/>
    <mergeCell ref="A103:E103"/>
    <mergeCell ref="B108:D108"/>
    <mergeCell ref="A110:D110"/>
    <mergeCell ref="A111:E111"/>
    <mergeCell ref="A115:D115"/>
    <mergeCell ref="A116:E116"/>
    <mergeCell ref="A90:D90"/>
    <mergeCell ref="A62:D62"/>
    <mergeCell ref="A65:C65"/>
    <mergeCell ref="A66:C66"/>
    <mergeCell ref="A67:E67"/>
    <mergeCell ref="A72:D72"/>
    <mergeCell ref="A73:E73"/>
    <mergeCell ref="B78:D78"/>
    <mergeCell ref="A80:D80"/>
    <mergeCell ref="A81:E81"/>
    <mergeCell ref="A85:D85"/>
    <mergeCell ref="A86:E86"/>
    <mergeCell ref="A60:D60"/>
    <mergeCell ref="A33:D33"/>
    <mergeCell ref="A37:C37"/>
    <mergeCell ref="A38:C38"/>
    <mergeCell ref="A39:E39"/>
    <mergeCell ref="A44:D44"/>
    <mergeCell ref="A45:E45"/>
    <mergeCell ref="B48:D48"/>
    <mergeCell ref="A50:D50"/>
    <mergeCell ref="A51:E51"/>
    <mergeCell ref="A55:D55"/>
    <mergeCell ref="A56:E56"/>
    <mergeCell ref="A31:D31"/>
    <mergeCell ref="A1:E1"/>
    <mergeCell ref="A5:C5"/>
    <mergeCell ref="A6:C6"/>
    <mergeCell ref="A7:E7"/>
    <mergeCell ref="A13:D13"/>
    <mergeCell ref="A14:E14"/>
    <mergeCell ref="B19:D19"/>
    <mergeCell ref="A21:D21"/>
    <mergeCell ref="A22:E22"/>
    <mergeCell ref="A26:D26"/>
    <mergeCell ref="A27:E27"/>
  </mergeCells>
  <pageMargins left="0.7" right="0.7" top="0.75" bottom="0.75" header="0" footer="0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4E24-C4DB-47C7-B0E8-C2BF274204BA}">
  <dimension ref="A1:G251"/>
  <sheetViews>
    <sheetView topLeftCell="A13" zoomScale="90" zoomScaleNormal="90" workbookViewId="0">
      <selection activeCell="D15" sqref="D15"/>
    </sheetView>
  </sheetViews>
  <sheetFormatPr baseColWidth="10" defaultColWidth="14.44140625" defaultRowHeight="18" customHeight="1" x14ac:dyDescent="0.3"/>
  <cols>
    <col min="1" max="1" width="37.44140625" style="20" customWidth="1"/>
    <col min="2" max="2" width="12.109375" style="20" customWidth="1"/>
    <col min="3" max="5" width="18.6640625" style="20" customWidth="1"/>
    <col min="6" max="6" width="15.44140625" style="20" customWidth="1"/>
    <col min="7" max="7" width="20.77734375" style="20" customWidth="1"/>
    <col min="8" max="8" width="11.44140625" style="20" customWidth="1"/>
    <col min="9" max="9" width="14.109375" style="20" customWidth="1"/>
    <col min="10" max="26" width="10.6640625" style="20" customWidth="1"/>
    <col min="27" max="16384" width="14.44140625" style="20"/>
  </cols>
  <sheetData>
    <row r="1" spans="1:7" s="1" customFormat="1" ht="25.05" customHeight="1" x14ac:dyDescent="0.3">
      <c r="A1" s="96" t="s">
        <v>77</v>
      </c>
      <c r="B1" s="97"/>
      <c r="C1" s="97"/>
      <c r="D1" s="97"/>
      <c r="E1" s="97"/>
    </row>
    <row r="2" spans="1:7" s="1" customFormat="1" ht="20.100000000000001" customHeight="1" x14ac:dyDescent="0.3">
      <c r="A2" s="2"/>
      <c r="B2" s="3"/>
      <c r="C2" s="3"/>
      <c r="D2" s="3"/>
      <c r="E2" s="3"/>
    </row>
    <row r="3" spans="1:7" s="1" customFormat="1" ht="20.100000000000001" customHeight="1" x14ac:dyDescent="0.3">
      <c r="A3" s="4" t="s">
        <v>121</v>
      </c>
      <c r="B3" s="5"/>
      <c r="C3" s="5"/>
      <c r="D3" s="5"/>
      <c r="E3" s="5"/>
      <c r="G3" s="44" t="s">
        <v>116</v>
      </c>
    </row>
    <row r="4" spans="1:7" s="1" customFormat="1" ht="20.100000000000001" customHeight="1" x14ac:dyDescent="0.3">
      <c r="A4" s="2"/>
      <c r="B4" s="3"/>
      <c r="C4" s="3"/>
      <c r="D4" s="3"/>
      <c r="E4" s="3"/>
    </row>
    <row r="5" spans="1:7" s="1" customFormat="1" ht="19.95" customHeight="1" x14ac:dyDescent="0.3">
      <c r="A5" s="99" t="s">
        <v>127</v>
      </c>
      <c r="B5" s="100"/>
      <c r="C5" s="100"/>
      <c r="D5" s="39" t="s">
        <v>1</v>
      </c>
      <c r="E5" s="39" t="s">
        <v>2</v>
      </c>
    </row>
    <row r="6" spans="1:7" s="1" customFormat="1" ht="20.100000000000001" customHeight="1" x14ac:dyDescent="0.3">
      <c r="A6" s="87"/>
      <c r="B6" s="88"/>
      <c r="C6" s="88"/>
      <c r="D6" s="8" t="s">
        <v>3</v>
      </c>
      <c r="E6" s="8" t="s">
        <v>4</v>
      </c>
    </row>
    <row r="7" spans="1:7" s="1" customFormat="1" ht="20.100000000000001" customHeight="1" x14ac:dyDescent="0.3">
      <c r="A7" s="89" t="s">
        <v>5</v>
      </c>
      <c r="B7" s="90"/>
      <c r="C7" s="90"/>
      <c r="D7" s="90"/>
      <c r="E7" s="90"/>
    </row>
    <row r="8" spans="1:7" s="1" customFormat="1" ht="20.100000000000001" customHeight="1" x14ac:dyDescent="0.3">
      <c r="A8" s="9" t="s">
        <v>6</v>
      </c>
      <c r="B8" s="9" t="s">
        <v>3</v>
      </c>
      <c r="C8" s="9" t="s">
        <v>7</v>
      </c>
      <c r="D8" s="9" t="s">
        <v>8</v>
      </c>
      <c r="E8" s="9" t="s">
        <v>9</v>
      </c>
    </row>
    <row r="9" spans="1:7" s="1" customFormat="1" ht="20.100000000000001" customHeight="1" x14ac:dyDescent="0.3">
      <c r="A9" s="14" t="s">
        <v>10</v>
      </c>
      <c r="B9" s="10" t="s">
        <v>11</v>
      </c>
      <c r="C9" s="11">
        <v>0.1</v>
      </c>
      <c r="D9" s="12">
        <f>E32</f>
        <v>2166.6666666666665</v>
      </c>
      <c r="E9" s="12">
        <f>C9*D9</f>
        <v>216.66666666666666</v>
      </c>
    </row>
    <row r="10" spans="1:7" s="1" customFormat="1" ht="20.100000000000001" customHeight="1" x14ac:dyDescent="0.3">
      <c r="A10" s="14" t="s">
        <v>84</v>
      </c>
      <c r="B10" s="10" t="s">
        <v>19</v>
      </c>
      <c r="C10" s="11">
        <v>1.4999999999999999E-2</v>
      </c>
      <c r="D10" s="12">
        <v>25000</v>
      </c>
      <c r="E10" s="12">
        <f>C10*D10</f>
        <v>375</v>
      </c>
      <c r="G10" s="40"/>
    </row>
    <row r="11" spans="1:7" s="1" customFormat="1" ht="20.100000000000001" customHeight="1" x14ac:dyDescent="0.3">
      <c r="A11" s="10"/>
      <c r="B11" s="10"/>
      <c r="C11" s="10"/>
      <c r="D11" s="12"/>
      <c r="E11" s="12"/>
    </row>
    <row r="12" spans="1:7" s="1" customFormat="1" ht="20.100000000000001" customHeight="1" x14ac:dyDescent="0.3">
      <c r="A12" s="83" t="s">
        <v>12</v>
      </c>
      <c r="B12" s="84"/>
      <c r="C12" s="84"/>
      <c r="D12" s="84"/>
      <c r="E12" s="13">
        <f>SUM(E9:E10)</f>
        <v>591.66666666666663</v>
      </c>
    </row>
    <row r="13" spans="1:7" s="1" customFormat="1" ht="20.100000000000001" customHeight="1" x14ac:dyDescent="0.3">
      <c r="A13" s="89" t="s">
        <v>13</v>
      </c>
      <c r="B13" s="90"/>
      <c r="C13" s="90"/>
      <c r="D13" s="90"/>
      <c r="E13" s="90"/>
    </row>
    <row r="14" spans="1:7" s="1" customFormat="1" ht="20.100000000000001" customHeight="1" x14ac:dyDescent="0.3">
      <c r="A14" s="9" t="s">
        <v>6</v>
      </c>
      <c r="B14" s="9" t="s">
        <v>3</v>
      </c>
      <c r="C14" s="9" t="s">
        <v>14</v>
      </c>
      <c r="D14" s="9" t="s">
        <v>15</v>
      </c>
      <c r="E14" s="9" t="s">
        <v>9</v>
      </c>
    </row>
    <row r="15" spans="1:7" s="1" customFormat="1" ht="20.100000000000001" customHeight="1" x14ac:dyDescent="0.3">
      <c r="A15" s="14" t="s">
        <v>122</v>
      </c>
      <c r="B15" s="10" t="s">
        <v>123</v>
      </c>
      <c r="C15" s="21">
        <v>0.02</v>
      </c>
      <c r="D15" s="12">
        <v>450000</v>
      </c>
      <c r="E15" s="12">
        <f>C15*D15</f>
        <v>9000</v>
      </c>
      <c r="G15" s="40"/>
    </row>
    <row r="16" spans="1:7" s="1" customFormat="1" ht="20.100000000000001" customHeight="1" x14ac:dyDescent="0.3">
      <c r="A16" s="14" t="s">
        <v>124</v>
      </c>
      <c r="B16" s="10" t="s">
        <v>26</v>
      </c>
      <c r="C16" s="16">
        <v>1E-3</v>
      </c>
      <c r="D16" s="12">
        <v>38000</v>
      </c>
      <c r="E16" s="12">
        <f>C16*D16</f>
        <v>38</v>
      </c>
      <c r="G16" s="40"/>
    </row>
    <row r="17" spans="1:7" s="1" customFormat="1" ht="20.100000000000001" customHeight="1" x14ac:dyDescent="0.3">
      <c r="A17" s="14" t="s">
        <v>125</v>
      </c>
      <c r="B17" s="10" t="s">
        <v>26</v>
      </c>
      <c r="C17" s="16">
        <v>1E-3</v>
      </c>
      <c r="D17" s="12">
        <v>10000</v>
      </c>
      <c r="E17" s="12">
        <f>C17*D17</f>
        <v>10</v>
      </c>
      <c r="G17" s="40"/>
    </row>
    <row r="18" spans="1:7" s="1" customFormat="1" ht="20.100000000000001" customHeight="1" x14ac:dyDescent="0.3">
      <c r="A18" s="14"/>
      <c r="B18" s="10"/>
      <c r="C18" s="16"/>
      <c r="D18" s="12"/>
      <c r="E18" s="12"/>
      <c r="G18" s="40"/>
    </row>
    <row r="19" spans="1:7" s="1" customFormat="1" ht="20.100000000000001" customHeight="1" x14ac:dyDescent="0.3">
      <c r="A19" s="14"/>
      <c r="B19" s="10"/>
      <c r="C19" s="15"/>
      <c r="D19" s="12"/>
      <c r="E19" s="12"/>
    </row>
    <row r="20" spans="1:7" s="1" customFormat="1" ht="20.100000000000001" customHeight="1" x14ac:dyDescent="0.3">
      <c r="A20" s="17" t="s">
        <v>16</v>
      </c>
      <c r="B20" s="91"/>
      <c r="C20" s="88"/>
      <c r="D20" s="88"/>
      <c r="E20" s="12">
        <f>SUM(E15:E19)*0.05</f>
        <v>452.40000000000003</v>
      </c>
    </row>
    <row r="21" spans="1:7" s="1" customFormat="1" ht="20.100000000000001" customHeight="1" x14ac:dyDescent="0.3">
      <c r="A21" s="17"/>
      <c r="B21" s="18"/>
      <c r="C21" s="19"/>
      <c r="D21" s="19"/>
      <c r="E21" s="12"/>
    </row>
    <row r="22" spans="1:7" s="1" customFormat="1" ht="20.100000000000001" customHeight="1" x14ac:dyDescent="0.3">
      <c r="A22" s="83" t="s">
        <v>12</v>
      </c>
      <c r="B22" s="84"/>
      <c r="C22" s="84"/>
      <c r="D22" s="84"/>
      <c r="E22" s="13">
        <f>SUM(E15:E20)</f>
        <v>9500.4</v>
      </c>
    </row>
    <row r="23" spans="1:7" s="1" customFormat="1" ht="20.100000000000001" customHeight="1" x14ac:dyDescent="0.3">
      <c r="A23" s="89" t="s">
        <v>17</v>
      </c>
      <c r="B23" s="90"/>
      <c r="C23" s="90"/>
      <c r="D23" s="90"/>
      <c r="E23" s="90"/>
    </row>
    <row r="24" spans="1:7" s="1" customFormat="1" ht="20.100000000000001" customHeight="1" x14ac:dyDescent="0.3">
      <c r="A24" s="9" t="s">
        <v>6</v>
      </c>
      <c r="B24" s="9" t="s">
        <v>3</v>
      </c>
      <c r="C24" s="9" t="s">
        <v>7</v>
      </c>
      <c r="D24" s="9" t="s">
        <v>8</v>
      </c>
      <c r="E24" s="9" t="s">
        <v>9</v>
      </c>
    </row>
    <row r="25" spans="1:7" s="1" customFormat="1" ht="20.100000000000001" customHeight="1" x14ac:dyDescent="0.3">
      <c r="A25" s="14" t="s">
        <v>36</v>
      </c>
      <c r="B25" s="10" t="s">
        <v>19</v>
      </c>
      <c r="C25" s="11">
        <v>2.5000000000000001E-2</v>
      </c>
      <c r="D25" s="12">
        <v>25000</v>
      </c>
      <c r="E25" s="12">
        <f>D25*C25</f>
        <v>625</v>
      </c>
    </row>
    <row r="26" spans="1:7" s="1" customFormat="1" ht="20.100000000000001" customHeight="1" x14ac:dyDescent="0.3">
      <c r="A26" s="14"/>
      <c r="B26" s="10"/>
      <c r="C26" s="11"/>
      <c r="D26" s="12"/>
      <c r="E26" s="12"/>
    </row>
    <row r="27" spans="1:7" s="1" customFormat="1" ht="20.100000000000001" customHeight="1" x14ac:dyDescent="0.3">
      <c r="A27" s="83" t="s">
        <v>12</v>
      </c>
      <c r="B27" s="84"/>
      <c r="C27" s="84"/>
      <c r="D27" s="84"/>
      <c r="E27" s="13">
        <f>SUM(E25)</f>
        <v>625</v>
      </c>
    </row>
    <row r="28" spans="1:7" s="1" customFormat="1" ht="20.100000000000001" customHeight="1" x14ac:dyDescent="0.3">
      <c r="A28" s="89" t="s">
        <v>20</v>
      </c>
      <c r="B28" s="90"/>
      <c r="C28" s="90"/>
      <c r="D28" s="90"/>
      <c r="E28" s="90"/>
    </row>
    <row r="29" spans="1:7" s="1" customFormat="1" ht="20.100000000000001" customHeight="1" x14ac:dyDescent="0.3">
      <c r="A29" s="9" t="s">
        <v>6</v>
      </c>
      <c r="B29" s="9" t="s">
        <v>3</v>
      </c>
      <c r="C29" s="9" t="s">
        <v>7</v>
      </c>
      <c r="D29" s="9" t="s">
        <v>21</v>
      </c>
      <c r="E29" s="9" t="s">
        <v>9</v>
      </c>
    </row>
    <row r="30" spans="1:7" s="1" customFormat="1" ht="20.100000000000001" customHeight="1" x14ac:dyDescent="0.3">
      <c r="A30" s="14" t="s">
        <v>37</v>
      </c>
      <c r="B30" s="10" t="s">
        <v>19</v>
      </c>
      <c r="C30" s="11">
        <v>60</v>
      </c>
      <c r="D30" s="12">
        <v>130000</v>
      </c>
      <c r="E30" s="12">
        <f>D30/C30</f>
        <v>2166.6666666666665</v>
      </c>
      <c r="G30" s="49">
        <f>480/C30</f>
        <v>8</v>
      </c>
    </row>
    <row r="31" spans="1:7" s="1" customFormat="1" ht="20.100000000000001" customHeight="1" x14ac:dyDescent="0.3">
      <c r="A31" s="14"/>
      <c r="B31" s="10"/>
      <c r="C31" s="11"/>
      <c r="D31" s="12"/>
      <c r="E31" s="12"/>
    </row>
    <row r="32" spans="1:7" s="1" customFormat="1" ht="20.100000000000001" customHeight="1" x14ac:dyDescent="0.3">
      <c r="A32" s="83" t="s">
        <v>12</v>
      </c>
      <c r="B32" s="84"/>
      <c r="C32" s="84"/>
      <c r="D32" s="84"/>
      <c r="E32" s="13">
        <f>SUM(E30)</f>
        <v>2166.6666666666665</v>
      </c>
    </row>
    <row r="33" spans="1:6" s="1" customFormat="1" ht="20.100000000000001" customHeight="1" x14ac:dyDescent="0.3">
      <c r="A33" s="10"/>
      <c r="B33" s="19"/>
      <c r="C33" s="19"/>
      <c r="D33" s="19"/>
      <c r="E33" s="19"/>
    </row>
    <row r="34" spans="1:6" s="1" customFormat="1" ht="20.100000000000001" customHeight="1" x14ac:dyDescent="0.3">
      <c r="A34" s="83" t="s">
        <v>23</v>
      </c>
      <c r="B34" s="84"/>
      <c r="C34" s="84"/>
      <c r="D34" s="84"/>
      <c r="E34" s="13">
        <f>SUM(E12,E22,E27,E32)</f>
        <v>12883.733333333332</v>
      </c>
      <c r="F34" s="40"/>
    </row>
    <row r="35" spans="1:6" s="1" customFormat="1" ht="20.100000000000001" customHeight="1" x14ac:dyDescent="0.3">
      <c r="A35" s="2"/>
      <c r="B35" s="3"/>
      <c r="C35" s="3"/>
      <c r="D35" s="3"/>
      <c r="E35" s="3"/>
    </row>
    <row r="36" spans="1:6" s="1" customFormat="1" ht="20.100000000000001" customHeight="1" x14ac:dyDescent="0.3">
      <c r="A36" s="37" t="s">
        <v>86</v>
      </c>
      <c r="B36" s="38"/>
      <c r="C36" s="38"/>
      <c r="D36" s="38"/>
      <c r="E36" s="42" t="s">
        <v>92</v>
      </c>
    </row>
    <row r="37" spans="1:6" s="1" customFormat="1" ht="20.100000000000001" customHeight="1" x14ac:dyDescent="0.3">
      <c r="A37" s="2"/>
      <c r="B37" s="3"/>
      <c r="C37" s="3"/>
      <c r="D37" s="3"/>
      <c r="E37" s="3"/>
    </row>
    <row r="38" spans="1:6" ht="18" customHeight="1" x14ac:dyDescent="0.3">
      <c r="A38" s="85" t="s">
        <v>87</v>
      </c>
      <c r="B38" s="86"/>
      <c r="C38" s="86"/>
      <c r="D38" s="7" t="s">
        <v>1</v>
      </c>
      <c r="E38" s="7"/>
    </row>
    <row r="39" spans="1:6" ht="18" customHeight="1" x14ac:dyDescent="0.3">
      <c r="A39" s="87"/>
      <c r="B39" s="88"/>
      <c r="C39" s="88"/>
      <c r="D39" s="8" t="s">
        <v>3</v>
      </c>
      <c r="E39" s="8" t="s">
        <v>4</v>
      </c>
    </row>
    <row r="40" spans="1:6" ht="18" customHeight="1" x14ac:dyDescent="0.3">
      <c r="A40" s="89" t="s">
        <v>5</v>
      </c>
      <c r="B40" s="90"/>
      <c r="C40" s="90"/>
      <c r="D40" s="90"/>
      <c r="E40" s="90"/>
    </row>
    <row r="41" spans="1:6" ht="18" customHeight="1" x14ac:dyDescent="0.3">
      <c r="A41" s="9" t="s">
        <v>6</v>
      </c>
      <c r="B41" s="9" t="s">
        <v>3</v>
      </c>
      <c r="C41" s="9" t="s">
        <v>7</v>
      </c>
      <c r="D41" s="9" t="s">
        <v>8</v>
      </c>
      <c r="E41" s="9" t="s">
        <v>9</v>
      </c>
    </row>
    <row r="42" spans="1:6" ht="18" customHeight="1" x14ac:dyDescent="0.3">
      <c r="A42" s="14" t="s">
        <v>10</v>
      </c>
      <c r="B42" s="10" t="s">
        <v>11</v>
      </c>
      <c r="C42" s="11">
        <v>0.05</v>
      </c>
      <c r="D42" s="12">
        <f>E61</f>
        <v>730.76923076923072</v>
      </c>
      <c r="E42" s="12">
        <f>C42*D42</f>
        <v>36.53846153846154</v>
      </c>
    </row>
    <row r="43" spans="1:6" ht="18" customHeight="1" x14ac:dyDescent="0.3">
      <c r="A43" s="14" t="s">
        <v>84</v>
      </c>
      <c r="B43" s="10" t="s">
        <v>19</v>
      </c>
      <c r="C43" s="11">
        <v>1.4999999999999999E-2</v>
      </c>
      <c r="D43" s="12">
        <v>25000</v>
      </c>
      <c r="E43" s="12">
        <f>C43*D43</f>
        <v>375</v>
      </c>
    </row>
    <row r="44" spans="1:6" ht="18" customHeight="1" x14ac:dyDescent="0.3">
      <c r="A44" s="10"/>
      <c r="B44" s="10"/>
      <c r="C44" s="10"/>
      <c r="D44" s="12"/>
      <c r="E44" s="12"/>
    </row>
    <row r="45" spans="1:6" ht="18" customHeight="1" x14ac:dyDescent="0.3">
      <c r="A45" s="83" t="s">
        <v>12</v>
      </c>
      <c r="B45" s="84"/>
      <c r="C45" s="84"/>
      <c r="D45" s="84"/>
      <c r="E45" s="13">
        <f>SUM(E42:E43)</f>
        <v>411.53846153846155</v>
      </c>
    </row>
    <row r="46" spans="1:6" ht="18" customHeight="1" x14ac:dyDescent="0.3">
      <c r="A46" s="89" t="s">
        <v>13</v>
      </c>
      <c r="B46" s="90"/>
      <c r="C46" s="90"/>
      <c r="D46" s="90"/>
      <c r="E46" s="90"/>
    </row>
    <row r="47" spans="1:6" ht="18" customHeight="1" x14ac:dyDescent="0.3">
      <c r="A47" s="9" t="s">
        <v>6</v>
      </c>
      <c r="B47" s="9" t="s">
        <v>3</v>
      </c>
      <c r="C47" s="9" t="s">
        <v>14</v>
      </c>
      <c r="D47" s="9" t="s">
        <v>15</v>
      </c>
      <c r="E47" s="9" t="s">
        <v>9</v>
      </c>
    </row>
    <row r="48" spans="1:6" ht="18" customHeight="1" x14ac:dyDescent="0.3">
      <c r="A48" s="14"/>
      <c r="B48" s="10"/>
      <c r="C48" s="16"/>
      <c r="D48" s="12"/>
      <c r="E48" s="12"/>
    </row>
    <row r="49" spans="1:7" ht="18" customHeight="1" x14ac:dyDescent="0.3">
      <c r="A49" s="17" t="s">
        <v>16</v>
      </c>
      <c r="B49" s="91"/>
      <c r="C49" s="88"/>
      <c r="D49" s="88"/>
      <c r="E49" s="12">
        <v>0</v>
      </c>
    </row>
    <row r="50" spans="1:7" ht="18" customHeight="1" x14ac:dyDescent="0.3">
      <c r="A50" s="17"/>
      <c r="B50" s="18"/>
      <c r="C50" s="19"/>
      <c r="D50" s="19"/>
      <c r="E50" s="12"/>
    </row>
    <row r="51" spans="1:7" ht="18" customHeight="1" x14ac:dyDescent="0.3">
      <c r="A51" s="83" t="s">
        <v>12</v>
      </c>
      <c r="B51" s="84"/>
      <c r="C51" s="84"/>
      <c r="D51" s="84"/>
      <c r="E51" s="13">
        <f>SUM(E48:E49)</f>
        <v>0</v>
      </c>
    </row>
    <row r="52" spans="1:7" ht="18" customHeight="1" x14ac:dyDescent="0.3">
      <c r="A52" s="89" t="s">
        <v>17</v>
      </c>
      <c r="B52" s="90"/>
      <c r="C52" s="90"/>
      <c r="D52" s="90"/>
      <c r="E52" s="90"/>
    </row>
    <row r="53" spans="1:7" ht="18" customHeight="1" x14ac:dyDescent="0.3">
      <c r="A53" s="9" t="s">
        <v>6</v>
      </c>
      <c r="B53" s="9" t="s">
        <v>3</v>
      </c>
      <c r="C53" s="9" t="s">
        <v>7</v>
      </c>
      <c r="D53" s="9" t="s">
        <v>8</v>
      </c>
      <c r="E53" s="9" t="s">
        <v>9</v>
      </c>
    </row>
    <row r="54" spans="1:7" ht="18" customHeight="1" x14ac:dyDescent="0.3">
      <c r="A54" s="14" t="s">
        <v>18</v>
      </c>
      <c r="B54" s="10" t="s">
        <v>19</v>
      </c>
      <c r="C54" s="11">
        <v>0</v>
      </c>
      <c r="D54" s="12">
        <v>60000</v>
      </c>
      <c r="E54" s="12">
        <f>D54*C54</f>
        <v>0</v>
      </c>
      <c r="G54" s="22"/>
    </row>
    <row r="55" spans="1:7" ht="18" customHeight="1" x14ac:dyDescent="0.3">
      <c r="A55" s="14"/>
      <c r="B55" s="10"/>
      <c r="C55" s="11"/>
      <c r="D55" s="12"/>
      <c r="E55" s="12"/>
    </row>
    <row r="56" spans="1:7" ht="18" customHeight="1" x14ac:dyDescent="0.3">
      <c r="A56" s="83" t="s">
        <v>12</v>
      </c>
      <c r="B56" s="84"/>
      <c r="C56" s="84"/>
      <c r="D56" s="84"/>
      <c r="E56" s="13">
        <f>SUM(E54)</f>
        <v>0</v>
      </c>
    </row>
    <row r="57" spans="1:7" ht="18" customHeight="1" x14ac:dyDescent="0.3">
      <c r="A57" s="89" t="s">
        <v>20</v>
      </c>
      <c r="B57" s="90"/>
      <c r="C57" s="90"/>
      <c r="D57" s="90"/>
      <c r="E57" s="90"/>
    </row>
    <row r="58" spans="1:7" ht="18" customHeight="1" x14ac:dyDescent="0.3">
      <c r="A58" s="9" t="s">
        <v>6</v>
      </c>
      <c r="B58" s="9" t="s">
        <v>3</v>
      </c>
      <c r="C58" s="9" t="s">
        <v>7</v>
      </c>
      <c r="D58" s="9" t="s">
        <v>21</v>
      </c>
      <c r="E58" s="9" t="s">
        <v>9</v>
      </c>
    </row>
    <row r="59" spans="1:7" ht="18" customHeight="1" x14ac:dyDescent="0.3">
      <c r="A59" s="14" t="s">
        <v>82</v>
      </c>
      <c r="B59" s="10" t="s">
        <v>19</v>
      </c>
      <c r="C59" s="11">
        <v>130</v>
      </c>
      <c r="D59" s="12">
        <v>95000</v>
      </c>
      <c r="E59" s="12">
        <f>D59/C59</f>
        <v>730.76923076923072</v>
      </c>
      <c r="G59" s="20">
        <f>480/C59</f>
        <v>3.6923076923076925</v>
      </c>
    </row>
    <row r="60" spans="1:7" ht="18" customHeight="1" x14ac:dyDescent="0.3">
      <c r="A60" s="14"/>
      <c r="B60" s="10"/>
      <c r="C60" s="11"/>
      <c r="D60" s="12"/>
      <c r="E60" s="12"/>
    </row>
    <row r="61" spans="1:7" ht="18" customHeight="1" x14ac:dyDescent="0.3">
      <c r="A61" s="83" t="s">
        <v>12</v>
      </c>
      <c r="B61" s="84"/>
      <c r="C61" s="84"/>
      <c r="D61" s="84"/>
      <c r="E61" s="13">
        <f>SUM(E59)</f>
        <v>730.76923076923072</v>
      </c>
    </row>
    <row r="62" spans="1:7" ht="18" customHeight="1" x14ac:dyDescent="0.3">
      <c r="A62" s="10"/>
      <c r="B62" s="19"/>
      <c r="C62" s="19"/>
      <c r="D62" s="19"/>
      <c r="E62" s="19"/>
    </row>
    <row r="63" spans="1:7" ht="18" customHeight="1" x14ac:dyDescent="0.3">
      <c r="A63" s="83" t="s">
        <v>23</v>
      </c>
      <c r="B63" s="84"/>
      <c r="C63" s="84"/>
      <c r="D63" s="84"/>
      <c r="E63" s="13">
        <f>SUM(E45,E51,E56,E61)</f>
        <v>1142.3076923076924</v>
      </c>
    </row>
    <row r="66" spans="1:7" ht="18" customHeight="1" x14ac:dyDescent="0.3">
      <c r="A66" s="93" t="s">
        <v>88</v>
      </c>
      <c r="B66" s="93"/>
      <c r="C66" s="93"/>
      <c r="D66" s="23" t="s">
        <v>1</v>
      </c>
      <c r="E66" s="23"/>
    </row>
    <row r="67" spans="1:7" ht="18" customHeight="1" x14ac:dyDescent="0.3">
      <c r="A67" s="87"/>
      <c r="B67" s="87"/>
      <c r="C67" s="87"/>
      <c r="D67" s="8" t="s">
        <v>3</v>
      </c>
      <c r="E67" s="8" t="s">
        <v>4</v>
      </c>
    </row>
    <row r="68" spans="1:7" ht="18" customHeight="1" x14ac:dyDescent="0.3">
      <c r="A68" s="89" t="s">
        <v>5</v>
      </c>
      <c r="B68" s="89"/>
      <c r="C68" s="89"/>
      <c r="D68" s="89"/>
      <c r="E68" s="89"/>
    </row>
    <row r="69" spans="1:7" ht="18" customHeight="1" x14ac:dyDescent="0.3">
      <c r="A69" s="9" t="s">
        <v>6</v>
      </c>
      <c r="B69" s="9" t="s">
        <v>3</v>
      </c>
      <c r="C69" s="9" t="s">
        <v>7</v>
      </c>
      <c r="D69" s="9" t="s">
        <v>8</v>
      </c>
      <c r="E69" s="9" t="s">
        <v>9</v>
      </c>
    </row>
    <row r="70" spans="1:7" ht="18" customHeight="1" x14ac:dyDescent="0.3">
      <c r="A70" s="10" t="s">
        <v>10</v>
      </c>
      <c r="B70" s="10" t="s">
        <v>11</v>
      </c>
      <c r="C70" s="11">
        <v>0.8</v>
      </c>
      <c r="D70" s="12">
        <f>E91</f>
        <v>4777.7777777777774</v>
      </c>
      <c r="E70" s="12">
        <f>C70*D70</f>
        <v>3822.2222222222222</v>
      </c>
    </row>
    <row r="71" spans="1:7" ht="18" customHeight="1" x14ac:dyDescent="0.3">
      <c r="A71" s="14" t="s">
        <v>84</v>
      </c>
      <c r="B71" s="10" t="s">
        <v>19</v>
      </c>
      <c r="C71" s="11">
        <v>0.02</v>
      </c>
      <c r="D71" s="12">
        <v>25000</v>
      </c>
      <c r="E71" s="12">
        <f>C71*D71</f>
        <v>500</v>
      </c>
    </row>
    <row r="72" spans="1:7" ht="18" customHeight="1" x14ac:dyDescent="0.3">
      <c r="A72" s="10"/>
      <c r="B72" s="10"/>
      <c r="C72" s="10"/>
      <c r="D72" s="12"/>
      <c r="E72" s="12"/>
    </row>
    <row r="73" spans="1:7" ht="18" customHeight="1" x14ac:dyDescent="0.3">
      <c r="A73" s="83" t="s">
        <v>12</v>
      </c>
      <c r="B73" s="83"/>
      <c r="C73" s="83"/>
      <c r="D73" s="83"/>
      <c r="E73" s="13">
        <f>SUM(E70:E71)</f>
        <v>4322.2222222222226</v>
      </c>
    </row>
    <row r="74" spans="1:7" ht="18" customHeight="1" x14ac:dyDescent="0.3">
      <c r="A74" s="89" t="s">
        <v>13</v>
      </c>
      <c r="B74" s="89"/>
      <c r="C74" s="89"/>
      <c r="D74" s="89"/>
      <c r="E74" s="89"/>
    </row>
    <row r="75" spans="1:7" ht="18" customHeight="1" x14ac:dyDescent="0.3">
      <c r="A75" s="9" t="s">
        <v>6</v>
      </c>
      <c r="B75" s="9" t="s">
        <v>3</v>
      </c>
      <c r="C75" s="9" t="s">
        <v>14</v>
      </c>
      <c r="D75" s="9" t="s">
        <v>15</v>
      </c>
      <c r="E75" s="9" t="s">
        <v>9</v>
      </c>
      <c r="F75" s="24"/>
    </row>
    <row r="76" spans="1:7" ht="18" customHeight="1" x14ac:dyDescent="0.3">
      <c r="A76" s="14" t="s">
        <v>90</v>
      </c>
      <c r="B76" s="10" t="s">
        <v>89</v>
      </c>
      <c r="C76" s="16">
        <v>0.1</v>
      </c>
      <c r="D76" s="12">
        <v>42000</v>
      </c>
      <c r="E76" s="12">
        <f>C76*D76</f>
        <v>4200</v>
      </c>
      <c r="F76" s="24"/>
    </row>
    <row r="77" spans="1:7" ht="18" customHeight="1" x14ac:dyDescent="0.3">
      <c r="A77" s="14" t="s">
        <v>73</v>
      </c>
      <c r="B77" s="10" t="s">
        <v>41</v>
      </c>
      <c r="C77" s="16">
        <v>0.01</v>
      </c>
      <c r="D77" s="12">
        <v>32500</v>
      </c>
      <c r="E77" s="12">
        <f>C77*D77</f>
        <v>325</v>
      </c>
      <c r="G77" s="24"/>
    </row>
    <row r="78" spans="1:7" ht="18" customHeight="1" x14ac:dyDescent="0.3">
      <c r="A78" s="14"/>
      <c r="B78" s="10"/>
      <c r="C78" s="16"/>
      <c r="D78" s="12"/>
      <c r="E78" s="12"/>
    </row>
    <row r="79" spans="1:7" ht="18" customHeight="1" x14ac:dyDescent="0.3">
      <c r="A79" s="17" t="s">
        <v>35</v>
      </c>
      <c r="B79" s="91"/>
      <c r="C79" s="91"/>
      <c r="D79" s="91"/>
      <c r="E79" s="12">
        <f>E76*0.03</f>
        <v>126</v>
      </c>
    </row>
    <row r="80" spans="1:7" ht="18" customHeight="1" x14ac:dyDescent="0.3">
      <c r="A80" s="17"/>
      <c r="B80" s="18"/>
      <c r="C80" s="19"/>
      <c r="D80" s="19"/>
      <c r="E80" s="12"/>
    </row>
    <row r="81" spans="1:7" ht="18" customHeight="1" x14ac:dyDescent="0.3">
      <c r="A81" s="83" t="s">
        <v>12</v>
      </c>
      <c r="B81" s="83"/>
      <c r="C81" s="83"/>
      <c r="D81" s="83"/>
      <c r="E81" s="13">
        <f>SUM(E76:E79)</f>
        <v>4651</v>
      </c>
    </row>
    <row r="82" spans="1:7" ht="18" customHeight="1" x14ac:dyDescent="0.3">
      <c r="A82" s="89" t="s">
        <v>17</v>
      </c>
      <c r="B82" s="89"/>
      <c r="C82" s="89"/>
      <c r="D82" s="89"/>
      <c r="E82" s="89"/>
    </row>
    <row r="83" spans="1:7" ht="18" customHeight="1" x14ac:dyDescent="0.3">
      <c r="A83" s="9" t="s">
        <v>6</v>
      </c>
      <c r="B83" s="9" t="s">
        <v>3</v>
      </c>
      <c r="C83" s="9" t="s">
        <v>7</v>
      </c>
      <c r="D83" s="9" t="s">
        <v>8</v>
      </c>
      <c r="E83" s="9" t="s">
        <v>9</v>
      </c>
    </row>
    <row r="84" spans="1:7" ht="18" customHeight="1" x14ac:dyDescent="0.3">
      <c r="A84" s="14" t="s">
        <v>36</v>
      </c>
      <c r="B84" s="10" t="s">
        <v>19</v>
      </c>
      <c r="C84" s="11">
        <v>5.0000000000000001E-3</v>
      </c>
      <c r="D84" s="12">
        <v>60000</v>
      </c>
      <c r="E84" s="12">
        <f>D84*C84</f>
        <v>300</v>
      </c>
      <c r="F84" s="24"/>
      <c r="G84" s="24"/>
    </row>
    <row r="85" spans="1:7" ht="18" customHeight="1" x14ac:dyDescent="0.3">
      <c r="A85" s="14"/>
      <c r="B85" s="10"/>
      <c r="C85" s="11"/>
      <c r="D85" s="12"/>
      <c r="E85" s="12"/>
    </row>
    <row r="86" spans="1:7" ht="18" customHeight="1" x14ac:dyDescent="0.3">
      <c r="A86" s="83" t="s">
        <v>12</v>
      </c>
      <c r="B86" s="83"/>
      <c r="C86" s="83"/>
      <c r="D86" s="83"/>
      <c r="E86" s="13">
        <f>SUM(E84)</f>
        <v>300</v>
      </c>
    </row>
    <row r="87" spans="1:7" ht="18" customHeight="1" x14ac:dyDescent="0.3">
      <c r="A87" s="89" t="s">
        <v>20</v>
      </c>
      <c r="B87" s="89"/>
      <c r="C87" s="89"/>
      <c r="D87" s="89"/>
      <c r="E87" s="89"/>
    </row>
    <row r="88" spans="1:7" ht="18" customHeight="1" x14ac:dyDescent="0.3">
      <c r="A88" s="9" t="s">
        <v>6</v>
      </c>
      <c r="B88" s="9" t="s">
        <v>3</v>
      </c>
      <c r="C88" s="9" t="s">
        <v>7</v>
      </c>
      <c r="D88" s="9" t="s">
        <v>21</v>
      </c>
      <c r="E88" s="9" t="s">
        <v>9</v>
      </c>
    </row>
    <row r="89" spans="1:7" ht="18" customHeight="1" x14ac:dyDescent="0.3">
      <c r="A89" s="14" t="s">
        <v>30</v>
      </c>
      <c r="B89" s="10" t="s">
        <v>19</v>
      </c>
      <c r="C89" s="11">
        <v>45</v>
      </c>
      <c r="D89" s="12">
        <v>215000</v>
      </c>
      <c r="E89" s="12">
        <f>D89/C89</f>
        <v>4777.7777777777774</v>
      </c>
    </row>
    <row r="90" spans="1:7" ht="18" customHeight="1" x14ac:dyDescent="0.3">
      <c r="A90" s="14"/>
      <c r="B90" s="10"/>
      <c r="C90" s="11"/>
      <c r="D90" s="12"/>
      <c r="E90" s="12"/>
    </row>
    <row r="91" spans="1:7" ht="18" customHeight="1" x14ac:dyDescent="0.3">
      <c r="A91" s="83" t="s">
        <v>12</v>
      </c>
      <c r="B91" s="83"/>
      <c r="C91" s="83"/>
      <c r="D91" s="83"/>
      <c r="E91" s="13">
        <f>SUM(E89)</f>
        <v>4777.7777777777774</v>
      </c>
    </row>
    <row r="92" spans="1:7" ht="18" customHeight="1" x14ac:dyDescent="0.3">
      <c r="A92" s="10"/>
      <c r="B92" s="19"/>
      <c r="C92" s="19"/>
      <c r="D92" s="19"/>
      <c r="E92" s="19"/>
    </row>
    <row r="93" spans="1:7" ht="18" customHeight="1" x14ac:dyDescent="0.3">
      <c r="A93" s="83" t="s">
        <v>23</v>
      </c>
      <c r="B93" s="83"/>
      <c r="C93" s="83"/>
      <c r="D93" s="83"/>
      <c r="E93" s="13">
        <f>SUM(E73,E81,E86,E91)</f>
        <v>14051</v>
      </c>
    </row>
    <row r="95" spans="1:7" ht="18" customHeight="1" x14ac:dyDescent="0.3">
      <c r="B95" s="19"/>
      <c r="C95" s="19"/>
      <c r="D95" s="19"/>
      <c r="E95" s="19"/>
    </row>
    <row r="96" spans="1:7" ht="18" customHeight="1" x14ac:dyDescent="0.3">
      <c r="A96" s="93" t="s">
        <v>97</v>
      </c>
      <c r="B96" s="93"/>
      <c r="C96" s="93"/>
      <c r="D96" s="23" t="s">
        <v>1</v>
      </c>
      <c r="E96" s="23"/>
    </row>
    <row r="97" spans="1:5" ht="18" customHeight="1" x14ac:dyDescent="0.3">
      <c r="A97" s="87"/>
      <c r="B97" s="87"/>
      <c r="C97" s="87"/>
      <c r="D97" s="8" t="s">
        <v>3</v>
      </c>
      <c r="E97" s="8" t="s">
        <v>4</v>
      </c>
    </row>
    <row r="98" spans="1:5" ht="18" customHeight="1" x14ac:dyDescent="0.3">
      <c r="A98" s="89" t="s">
        <v>5</v>
      </c>
      <c r="B98" s="89"/>
      <c r="C98" s="89"/>
      <c r="D98" s="89"/>
      <c r="E98" s="89"/>
    </row>
    <row r="99" spans="1:5" ht="18" customHeight="1" x14ac:dyDescent="0.3">
      <c r="A99" s="9" t="s">
        <v>6</v>
      </c>
      <c r="B99" s="9" t="s">
        <v>3</v>
      </c>
      <c r="C99" s="9" t="s">
        <v>7</v>
      </c>
      <c r="D99" s="9" t="s">
        <v>8</v>
      </c>
      <c r="E99" s="9" t="s">
        <v>9</v>
      </c>
    </row>
    <row r="100" spans="1:5" ht="18" customHeight="1" x14ac:dyDescent="0.3">
      <c r="A100" s="14" t="s">
        <v>10</v>
      </c>
      <c r="B100" s="10" t="s">
        <v>11</v>
      </c>
      <c r="C100" s="11">
        <v>0.1</v>
      </c>
      <c r="D100" s="12">
        <f>E121</f>
        <v>8800</v>
      </c>
      <c r="E100" s="12">
        <f>C100*D100</f>
        <v>880</v>
      </c>
    </row>
    <row r="101" spans="1:5" ht="18" customHeight="1" x14ac:dyDescent="0.3">
      <c r="A101" s="14" t="s">
        <v>84</v>
      </c>
      <c r="B101" s="10" t="s">
        <v>19</v>
      </c>
      <c r="C101" s="11">
        <v>0.02</v>
      </c>
      <c r="D101" s="12">
        <v>25000</v>
      </c>
      <c r="E101" s="12">
        <f>C101*D101</f>
        <v>500</v>
      </c>
    </row>
    <row r="102" spans="1:5" ht="18" customHeight="1" x14ac:dyDescent="0.3">
      <c r="A102" s="10"/>
      <c r="B102" s="10"/>
      <c r="C102" s="10"/>
      <c r="D102" s="12"/>
      <c r="E102" s="12"/>
    </row>
    <row r="103" spans="1:5" ht="18" customHeight="1" x14ac:dyDescent="0.3">
      <c r="A103" s="83" t="s">
        <v>12</v>
      </c>
      <c r="B103" s="83"/>
      <c r="C103" s="83"/>
      <c r="D103" s="83"/>
      <c r="E103" s="13">
        <f>SUM(E100:E101)</f>
        <v>1380</v>
      </c>
    </row>
    <row r="104" spans="1:5" ht="18" customHeight="1" x14ac:dyDescent="0.3">
      <c r="A104" s="89" t="s">
        <v>13</v>
      </c>
      <c r="B104" s="89"/>
      <c r="C104" s="89"/>
      <c r="D104" s="89"/>
      <c r="E104" s="89"/>
    </row>
    <row r="105" spans="1:5" ht="18" customHeight="1" x14ac:dyDescent="0.3">
      <c r="A105" s="9" t="s">
        <v>6</v>
      </c>
      <c r="B105" s="9" t="s">
        <v>3</v>
      </c>
      <c r="C105" s="9" t="s">
        <v>14</v>
      </c>
      <c r="D105" s="9" t="s">
        <v>15</v>
      </c>
      <c r="E105" s="9" t="s">
        <v>9</v>
      </c>
    </row>
    <row r="106" spans="1:5" ht="18" customHeight="1" x14ac:dyDescent="0.3">
      <c r="A106" s="14" t="s">
        <v>119</v>
      </c>
      <c r="B106" s="10" t="s">
        <v>4</v>
      </c>
      <c r="C106" s="21">
        <v>0.08</v>
      </c>
      <c r="D106" s="12">
        <v>170000</v>
      </c>
      <c r="E106" s="12">
        <f>C106*D106</f>
        <v>13600</v>
      </c>
    </row>
    <row r="107" spans="1:5" ht="18" customHeight="1" x14ac:dyDescent="0.3">
      <c r="A107" s="14" t="s">
        <v>40</v>
      </c>
      <c r="B107" s="10" t="s">
        <v>41</v>
      </c>
      <c r="C107" s="16">
        <v>0.01</v>
      </c>
      <c r="D107" s="12">
        <v>32500</v>
      </c>
      <c r="E107" s="12">
        <f>C107*D107</f>
        <v>325</v>
      </c>
    </row>
    <row r="108" spans="1:5" ht="18" customHeight="1" x14ac:dyDescent="0.3">
      <c r="A108" s="14"/>
      <c r="B108" s="10"/>
      <c r="C108" s="16"/>
      <c r="D108" s="12"/>
      <c r="E108" s="12"/>
    </row>
    <row r="109" spans="1:5" ht="18" customHeight="1" x14ac:dyDescent="0.3">
      <c r="A109" s="17" t="s">
        <v>35</v>
      </c>
      <c r="B109" s="91"/>
      <c r="C109" s="91"/>
      <c r="D109" s="91"/>
      <c r="E109" s="12">
        <f>E106*0.03</f>
        <v>408</v>
      </c>
    </row>
    <row r="110" spans="1:5" ht="18" customHeight="1" x14ac:dyDescent="0.3">
      <c r="A110" s="17"/>
      <c r="B110" s="18"/>
      <c r="C110" s="19"/>
      <c r="D110" s="19"/>
      <c r="E110" s="12"/>
    </row>
    <row r="111" spans="1:5" ht="18" customHeight="1" x14ac:dyDescent="0.3">
      <c r="A111" s="83" t="s">
        <v>12</v>
      </c>
      <c r="B111" s="83"/>
      <c r="C111" s="83"/>
      <c r="D111" s="83"/>
      <c r="E111" s="13">
        <f>SUM(E106:E109)</f>
        <v>14333</v>
      </c>
    </row>
    <row r="112" spans="1:5" ht="18" customHeight="1" x14ac:dyDescent="0.3">
      <c r="A112" s="89" t="s">
        <v>17</v>
      </c>
      <c r="B112" s="89"/>
      <c r="C112" s="89"/>
      <c r="D112" s="89"/>
      <c r="E112" s="89"/>
    </row>
    <row r="113" spans="1:7" ht="18" customHeight="1" x14ac:dyDescent="0.3">
      <c r="A113" s="9" t="s">
        <v>6</v>
      </c>
      <c r="B113" s="9" t="s">
        <v>3</v>
      </c>
      <c r="C113" s="9" t="s">
        <v>7</v>
      </c>
      <c r="D113" s="9" t="s">
        <v>8</v>
      </c>
      <c r="E113" s="9" t="s">
        <v>9</v>
      </c>
    </row>
    <row r="114" spans="1:7" ht="18" customHeight="1" x14ac:dyDescent="0.3">
      <c r="A114" s="14" t="s">
        <v>36</v>
      </c>
      <c r="B114" s="10" t="s">
        <v>19</v>
      </c>
      <c r="C114" s="11">
        <v>2.5000000000000001E-2</v>
      </c>
      <c r="D114" s="12">
        <v>45000</v>
      </c>
      <c r="E114" s="12">
        <f>D114*C114</f>
        <v>1125</v>
      </c>
      <c r="G114" s="24"/>
    </row>
    <row r="115" spans="1:7" ht="18" customHeight="1" x14ac:dyDescent="0.3">
      <c r="A115" s="14"/>
      <c r="B115" s="10"/>
      <c r="C115" s="11"/>
      <c r="D115" s="12"/>
      <c r="E115" s="12"/>
    </row>
    <row r="116" spans="1:7" ht="18" customHeight="1" x14ac:dyDescent="0.3">
      <c r="A116" s="83" t="s">
        <v>12</v>
      </c>
      <c r="B116" s="83"/>
      <c r="C116" s="83"/>
      <c r="D116" s="83"/>
      <c r="E116" s="13">
        <f>SUM(E114)</f>
        <v>1125</v>
      </c>
    </row>
    <row r="117" spans="1:7" ht="18" customHeight="1" x14ac:dyDescent="0.3">
      <c r="A117" s="89" t="s">
        <v>20</v>
      </c>
      <c r="B117" s="89"/>
      <c r="C117" s="89"/>
      <c r="D117" s="89"/>
      <c r="E117" s="89"/>
    </row>
    <row r="118" spans="1:7" ht="18" customHeight="1" x14ac:dyDescent="0.3">
      <c r="A118" s="9" t="s">
        <v>6</v>
      </c>
      <c r="B118" s="9" t="s">
        <v>3</v>
      </c>
      <c r="C118" s="9" t="s">
        <v>7</v>
      </c>
      <c r="D118" s="9" t="s">
        <v>21</v>
      </c>
      <c r="E118" s="9" t="s">
        <v>9</v>
      </c>
    </row>
    <row r="119" spans="1:7" ht="18" customHeight="1" x14ac:dyDescent="0.3">
      <c r="A119" s="14" t="s">
        <v>30</v>
      </c>
      <c r="B119" s="10" t="s">
        <v>19</v>
      </c>
      <c r="C119" s="11">
        <v>25</v>
      </c>
      <c r="D119" s="12">
        <v>220000</v>
      </c>
      <c r="E119" s="12">
        <f>D119/C119</f>
        <v>8800</v>
      </c>
      <c r="G119" s="20">
        <f>480/C119</f>
        <v>19.2</v>
      </c>
    </row>
    <row r="120" spans="1:7" ht="18" customHeight="1" x14ac:dyDescent="0.3">
      <c r="A120" s="14"/>
      <c r="B120" s="10"/>
      <c r="C120" s="11"/>
      <c r="D120" s="12"/>
      <c r="E120" s="12"/>
    </row>
    <row r="121" spans="1:7" ht="18" customHeight="1" x14ac:dyDescent="0.3">
      <c r="A121" s="83" t="s">
        <v>12</v>
      </c>
      <c r="B121" s="83"/>
      <c r="C121" s="83"/>
      <c r="D121" s="83"/>
      <c r="E121" s="13">
        <f>SUM(E119)</f>
        <v>8800</v>
      </c>
    </row>
    <row r="122" spans="1:7" ht="18" customHeight="1" x14ac:dyDescent="0.3">
      <c r="A122" s="10"/>
      <c r="B122" s="19"/>
      <c r="C122" s="19"/>
      <c r="D122" s="19"/>
      <c r="E122" s="19"/>
    </row>
    <row r="123" spans="1:7" ht="18" customHeight="1" x14ac:dyDescent="0.3">
      <c r="A123" s="83" t="s">
        <v>23</v>
      </c>
      <c r="B123" s="83"/>
      <c r="C123" s="83"/>
      <c r="D123" s="83"/>
      <c r="E123" s="13">
        <f>SUM(E103,E111,E116,E121)</f>
        <v>25638</v>
      </c>
    </row>
    <row r="126" spans="1:7" ht="18" customHeight="1" x14ac:dyDescent="0.3">
      <c r="A126" s="2"/>
      <c r="B126" s="3"/>
      <c r="C126" s="3"/>
      <c r="D126" s="3"/>
      <c r="E126" s="3"/>
    </row>
    <row r="127" spans="1:7" ht="18" customHeight="1" x14ac:dyDescent="0.3">
      <c r="A127" s="98" t="s">
        <v>102</v>
      </c>
      <c r="B127" s="98"/>
      <c r="C127" s="98"/>
      <c r="D127" s="43" t="s">
        <v>1</v>
      </c>
      <c r="E127" s="43" t="s">
        <v>93</v>
      </c>
    </row>
    <row r="128" spans="1:7" ht="18" customHeight="1" x14ac:dyDescent="0.3">
      <c r="A128" s="87"/>
      <c r="B128" s="88"/>
      <c r="C128" s="88"/>
      <c r="D128" s="8" t="s">
        <v>3</v>
      </c>
      <c r="E128" s="8" t="s">
        <v>4</v>
      </c>
    </row>
    <row r="129" spans="1:7" ht="18" customHeight="1" x14ac:dyDescent="0.3">
      <c r="A129" s="89" t="s">
        <v>5</v>
      </c>
      <c r="B129" s="90"/>
      <c r="C129" s="90"/>
      <c r="D129" s="90"/>
      <c r="E129" s="90"/>
    </row>
    <row r="130" spans="1:7" ht="18" customHeight="1" x14ac:dyDescent="0.3">
      <c r="A130" s="9" t="s">
        <v>6</v>
      </c>
      <c r="B130" s="9" t="s">
        <v>3</v>
      </c>
      <c r="C130" s="9" t="s">
        <v>7</v>
      </c>
      <c r="D130" s="9" t="s">
        <v>8</v>
      </c>
      <c r="E130" s="9" t="s">
        <v>9</v>
      </c>
    </row>
    <row r="131" spans="1:7" ht="18" customHeight="1" x14ac:dyDescent="0.3">
      <c r="A131" s="14" t="s">
        <v>10</v>
      </c>
      <c r="B131" s="10" t="s">
        <v>11</v>
      </c>
      <c r="C131" s="11">
        <v>0.1</v>
      </c>
      <c r="D131" s="12">
        <f>E152</f>
        <v>22000</v>
      </c>
      <c r="E131" s="12">
        <f>C131*D131</f>
        <v>2200</v>
      </c>
    </row>
    <row r="132" spans="1:7" ht="18" customHeight="1" x14ac:dyDescent="0.3">
      <c r="A132" s="14" t="s">
        <v>84</v>
      </c>
      <c r="B132" s="10" t="s">
        <v>19</v>
      </c>
      <c r="C132" s="11">
        <v>0.02</v>
      </c>
      <c r="D132" s="12">
        <v>25000</v>
      </c>
      <c r="E132" s="12">
        <f>C132*D132</f>
        <v>500</v>
      </c>
    </row>
    <row r="133" spans="1:7" ht="18" customHeight="1" x14ac:dyDescent="0.3">
      <c r="A133" s="10"/>
      <c r="B133" s="10"/>
      <c r="C133" s="10"/>
      <c r="D133" s="12"/>
      <c r="E133" s="12"/>
    </row>
    <row r="134" spans="1:7" ht="18" customHeight="1" x14ac:dyDescent="0.3">
      <c r="A134" s="83" t="s">
        <v>12</v>
      </c>
      <c r="B134" s="84"/>
      <c r="C134" s="84"/>
      <c r="D134" s="84"/>
      <c r="E134" s="13">
        <f>SUM(E131:E132)</f>
        <v>2700</v>
      </c>
    </row>
    <row r="135" spans="1:7" ht="18" customHeight="1" x14ac:dyDescent="0.3">
      <c r="A135" s="89" t="s">
        <v>13</v>
      </c>
      <c r="B135" s="90"/>
      <c r="C135" s="90"/>
      <c r="D135" s="90"/>
      <c r="E135" s="90"/>
    </row>
    <row r="136" spans="1:7" ht="18" customHeight="1" x14ac:dyDescent="0.3">
      <c r="A136" s="9" t="s">
        <v>6</v>
      </c>
      <c r="B136" s="9" t="s">
        <v>3</v>
      </c>
      <c r="C136" s="9" t="s">
        <v>14</v>
      </c>
      <c r="D136" s="9" t="s">
        <v>15</v>
      </c>
      <c r="E136" s="9" t="s">
        <v>9</v>
      </c>
    </row>
    <row r="137" spans="1:7" ht="18" customHeight="1" x14ac:dyDescent="0.3">
      <c r="A137" s="14" t="s">
        <v>71</v>
      </c>
      <c r="B137" s="10" t="s">
        <v>4</v>
      </c>
      <c r="C137" s="16">
        <v>4.4999999999999998E-2</v>
      </c>
      <c r="D137" s="12">
        <v>650000</v>
      </c>
      <c r="E137" s="12">
        <f>C137*D137</f>
        <v>29250</v>
      </c>
      <c r="G137" s="20">
        <f>0.1*0.1*1</f>
        <v>1.0000000000000002E-2</v>
      </c>
    </row>
    <row r="138" spans="1:7" ht="18" customHeight="1" x14ac:dyDescent="0.3">
      <c r="A138" s="14" t="s">
        <v>40</v>
      </c>
      <c r="B138" s="10" t="s">
        <v>41</v>
      </c>
      <c r="C138" s="16">
        <v>0.01</v>
      </c>
      <c r="D138" s="12">
        <v>32500</v>
      </c>
      <c r="E138" s="12">
        <f>C138*D138</f>
        <v>325</v>
      </c>
    </row>
    <row r="139" spans="1:7" ht="18" customHeight="1" x14ac:dyDescent="0.3">
      <c r="A139" s="14"/>
      <c r="B139" s="10"/>
      <c r="C139" s="16"/>
      <c r="D139" s="12"/>
      <c r="E139" s="12"/>
    </row>
    <row r="140" spans="1:7" ht="18" customHeight="1" x14ac:dyDescent="0.3">
      <c r="A140" s="17" t="s">
        <v>46</v>
      </c>
      <c r="B140" s="91"/>
      <c r="C140" s="88"/>
      <c r="D140" s="88"/>
      <c r="E140" s="12">
        <f>SUM(E137:E139)*0.05</f>
        <v>1478.75</v>
      </c>
    </row>
    <row r="141" spans="1:7" ht="18" customHeight="1" x14ac:dyDescent="0.3">
      <c r="A141" s="17"/>
      <c r="B141" s="18"/>
      <c r="C141" s="19"/>
      <c r="D141" s="19"/>
      <c r="E141" s="12"/>
    </row>
    <row r="142" spans="1:7" ht="18" customHeight="1" x14ac:dyDescent="0.3">
      <c r="A142" s="83" t="s">
        <v>12</v>
      </c>
      <c r="B142" s="84"/>
      <c r="C142" s="84"/>
      <c r="D142" s="84"/>
      <c r="E142" s="13">
        <f>SUM(E137:E140)</f>
        <v>31053.75</v>
      </c>
    </row>
    <row r="143" spans="1:7" ht="18" customHeight="1" x14ac:dyDescent="0.3">
      <c r="A143" s="89" t="s">
        <v>17</v>
      </c>
      <c r="B143" s="90"/>
      <c r="C143" s="90"/>
      <c r="D143" s="90"/>
      <c r="E143" s="90"/>
    </row>
    <row r="144" spans="1:7" ht="18" customHeight="1" x14ac:dyDescent="0.3">
      <c r="A144" s="9" t="s">
        <v>6</v>
      </c>
      <c r="B144" s="9" t="s">
        <v>3</v>
      </c>
      <c r="C144" s="9" t="s">
        <v>7</v>
      </c>
      <c r="D144" s="9" t="s">
        <v>8</v>
      </c>
      <c r="E144" s="9" t="s">
        <v>9</v>
      </c>
    </row>
    <row r="145" spans="1:5" ht="18" customHeight="1" x14ac:dyDescent="0.3">
      <c r="A145" s="14" t="s">
        <v>36</v>
      </c>
      <c r="B145" s="10" t="s">
        <v>19</v>
      </c>
      <c r="C145" s="11">
        <v>2.5000000000000001E-2</v>
      </c>
      <c r="D145" s="12">
        <v>45000</v>
      </c>
      <c r="E145" s="12">
        <f>D145*C145</f>
        <v>1125</v>
      </c>
    </row>
    <row r="146" spans="1:5" ht="18" customHeight="1" x14ac:dyDescent="0.3">
      <c r="A146" s="14"/>
      <c r="B146" s="10"/>
      <c r="C146" s="11"/>
      <c r="D146" s="12"/>
      <c r="E146" s="12"/>
    </row>
    <row r="147" spans="1:5" ht="18" customHeight="1" x14ac:dyDescent="0.3">
      <c r="A147" s="83" t="s">
        <v>12</v>
      </c>
      <c r="B147" s="84"/>
      <c r="C147" s="84"/>
      <c r="D147" s="84"/>
      <c r="E147" s="13">
        <f>SUM(E145)</f>
        <v>1125</v>
      </c>
    </row>
    <row r="148" spans="1:5" ht="18" customHeight="1" x14ac:dyDescent="0.3">
      <c r="A148" s="89" t="s">
        <v>20</v>
      </c>
      <c r="B148" s="90"/>
      <c r="C148" s="90"/>
      <c r="D148" s="90"/>
      <c r="E148" s="90"/>
    </row>
    <row r="149" spans="1:5" ht="18" customHeight="1" x14ac:dyDescent="0.3">
      <c r="A149" s="9" t="s">
        <v>6</v>
      </c>
      <c r="B149" s="9" t="s">
        <v>3</v>
      </c>
      <c r="C149" s="9" t="s">
        <v>7</v>
      </c>
      <c r="D149" s="9" t="s">
        <v>21</v>
      </c>
      <c r="E149" s="9" t="s">
        <v>9</v>
      </c>
    </row>
    <row r="150" spans="1:5" ht="18" customHeight="1" x14ac:dyDescent="0.3">
      <c r="A150" s="14" t="s">
        <v>30</v>
      </c>
      <c r="B150" s="10" t="s">
        <v>19</v>
      </c>
      <c r="C150" s="11">
        <v>10</v>
      </c>
      <c r="D150" s="12">
        <v>220000</v>
      </c>
      <c r="E150" s="12">
        <f>D150/C150</f>
        <v>22000</v>
      </c>
    </row>
    <row r="151" spans="1:5" ht="18" customHeight="1" x14ac:dyDescent="0.3">
      <c r="A151" s="14"/>
      <c r="B151" s="10"/>
      <c r="C151" s="11"/>
      <c r="D151" s="12"/>
      <c r="E151" s="12"/>
    </row>
    <row r="152" spans="1:5" ht="18" customHeight="1" x14ac:dyDescent="0.3">
      <c r="A152" s="83" t="s">
        <v>12</v>
      </c>
      <c r="B152" s="84"/>
      <c r="C152" s="84"/>
      <c r="D152" s="84"/>
      <c r="E152" s="13">
        <f>SUM(E150)</f>
        <v>22000</v>
      </c>
    </row>
    <row r="153" spans="1:5" ht="18" customHeight="1" x14ac:dyDescent="0.3">
      <c r="A153" s="10"/>
      <c r="B153" s="19"/>
      <c r="C153" s="19"/>
      <c r="D153" s="19"/>
      <c r="E153" s="19"/>
    </row>
    <row r="154" spans="1:5" ht="18" customHeight="1" x14ac:dyDescent="0.3">
      <c r="A154" s="83" t="s">
        <v>23</v>
      </c>
      <c r="B154" s="84"/>
      <c r="C154" s="84"/>
      <c r="D154" s="84"/>
      <c r="E154" s="13">
        <f>SUM(E134,E142,E147,E152)</f>
        <v>56878.75</v>
      </c>
    </row>
    <row r="158" spans="1:5" ht="18" customHeight="1" x14ac:dyDescent="0.3">
      <c r="A158" s="37" t="s">
        <v>104</v>
      </c>
      <c r="B158" s="38"/>
      <c r="C158" s="38"/>
      <c r="D158" s="38"/>
      <c r="E158" s="38"/>
    </row>
    <row r="159" spans="1:5" ht="18" customHeight="1" x14ac:dyDescent="0.3">
      <c r="A159" s="2"/>
      <c r="B159" s="3"/>
      <c r="C159" s="3"/>
      <c r="D159" s="3"/>
      <c r="E159" s="3"/>
    </row>
    <row r="160" spans="1:5" ht="18" customHeight="1" x14ac:dyDescent="0.3">
      <c r="A160" s="85" t="s">
        <v>108</v>
      </c>
      <c r="B160" s="86"/>
      <c r="C160" s="86"/>
      <c r="D160" s="7" t="s">
        <v>1</v>
      </c>
      <c r="E160" s="7" t="s">
        <v>2</v>
      </c>
    </row>
    <row r="161" spans="1:5" ht="18" customHeight="1" x14ac:dyDescent="0.3">
      <c r="A161" s="87"/>
      <c r="B161" s="88"/>
      <c r="C161" s="88"/>
      <c r="D161" s="8" t="s">
        <v>3</v>
      </c>
      <c r="E161" s="8" t="s">
        <v>4</v>
      </c>
    </row>
    <row r="162" spans="1:5" ht="18" customHeight="1" x14ac:dyDescent="0.3">
      <c r="A162" s="89" t="s">
        <v>5</v>
      </c>
      <c r="B162" s="90"/>
      <c r="C162" s="90"/>
      <c r="D162" s="90"/>
      <c r="E162" s="90"/>
    </row>
    <row r="163" spans="1:5" ht="18" customHeight="1" x14ac:dyDescent="0.3">
      <c r="A163" s="9" t="s">
        <v>6</v>
      </c>
      <c r="B163" s="9" t="s">
        <v>3</v>
      </c>
      <c r="C163" s="9" t="s">
        <v>7</v>
      </c>
      <c r="D163" s="9" t="s">
        <v>8</v>
      </c>
      <c r="E163" s="9" t="s">
        <v>9</v>
      </c>
    </row>
    <row r="164" spans="1:5" ht="18" customHeight="1" x14ac:dyDescent="0.3">
      <c r="A164" s="14" t="s">
        <v>10</v>
      </c>
      <c r="B164" s="10" t="s">
        <v>11</v>
      </c>
      <c r="C164" s="11">
        <v>0.1</v>
      </c>
      <c r="D164" s="12">
        <f>E183</f>
        <v>12222.222222222223</v>
      </c>
      <c r="E164" s="12">
        <f>C164*D164</f>
        <v>1222.2222222222224</v>
      </c>
    </row>
    <row r="165" spans="1:5" ht="18" customHeight="1" x14ac:dyDescent="0.3">
      <c r="A165" s="14" t="s">
        <v>84</v>
      </c>
      <c r="B165" s="10" t="s">
        <v>19</v>
      </c>
      <c r="C165" s="11">
        <v>0.02</v>
      </c>
      <c r="D165" s="12">
        <v>25000</v>
      </c>
      <c r="E165" s="12">
        <f>C165*D165</f>
        <v>500</v>
      </c>
    </row>
    <row r="166" spans="1:5" ht="18" customHeight="1" x14ac:dyDescent="0.3">
      <c r="A166" s="10"/>
      <c r="B166" s="10"/>
      <c r="C166" s="10"/>
      <c r="D166" s="12"/>
      <c r="E166" s="12"/>
    </row>
    <row r="167" spans="1:5" ht="18" customHeight="1" x14ac:dyDescent="0.3">
      <c r="A167" s="83" t="s">
        <v>12</v>
      </c>
      <c r="B167" s="84"/>
      <c r="C167" s="84"/>
      <c r="D167" s="84"/>
      <c r="E167" s="13">
        <f>SUM(E164:E165)</f>
        <v>1722.2222222222224</v>
      </c>
    </row>
    <row r="168" spans="1:5" ht="18" customHeight="1" x14ac:dyDescent="0.3">
      <c r="A168" s="89" t="s">
        <v>13</v>
      </c>
      <c r="B168" s="90"/>
      <c r="C168" s="90"/>
      <c r="D168" s="90"/>
      <c r="E168" s="90"/>
    </row>
    <row r="169" spans="1:5" ht="18" customHeight="1" x14ac:dyDescent="0.3">
      <c r="A169" s="9" t="s">
        <v>6</v>
      </c>
      <c r="B169" s="9" t="s">
        <v>3</v>
      </c>
      <c r="C169" s="9" t="s">
        <v>14</v>
      </c>
      <c r="D169" s="9" t="s">
        <v>15</v>
      </c>
      <c r="E169" s="9" t="s">
        <v>9</v>
      </c>
    </row>
    <row r="170" spans="1:5" ht="18" customHeight="1" x14ac:dyDescent="0.3">
      <c r="A170" s="14"/>
      <c r="B170" s="10"/>
      <c r="C170" s="16"/>
      <c r="D170" s="12"/>
      <c r="E170" s="12"/>
    </row>
    <row r="171" spans="1:5" ht="18" customHeight="1" x14ac:dyDescent="0.3">
      <c r="A171" s="17" t="s">
        <v>16</v>
      </c>
      <c r="B171" s="91"/>
      <c r="C171" s="88"/>
      <c r="D171" s="88"/>
      <c r="E171" s="12">
        <f>SUM(E170:E170)*0.02</f>
        <v>0</v>
      </c>
    </row>
    <row r="172" spans="1:5" ht="18" customHeight="1" x14ac:dyDescent="0.3">
      <c r="A172" s="17"/>
      <c r="B172" s="18"/>
      <c r="C172" s="19"/>
      <c r="D172" s="19"/>
      <c r="E172" s="12"/>
    </row>
    <row r="173" spans="1:5" ht="18" customHeight="1" x14ac:dyDescent="0.3">
      <c r="A173" s="83" t="s">
        <v>12</v>
      </c>
      <c r="B173" s="84"/>
      <c r="C173" s="84"/>
      <c r="D173" s="84"/>
      <c r="E173" s="13">
        <f>SUM(E170:E171)</f>
        <v>0</v>
      </c>
    </row>
    <row r="174" spans="1:5" ht="18" customHeight="1" x14ac:dyDescent="0.3">
      <c r="A174" s="89" t="s">
        <v>17</v>
      </c>
      <c r="B174" s="90"/>
      <c r="C174" s="90"/>
      <c r="D174" s="90"/>
      <c r="E174" s="90"/>
    </row>
    <row r="175" spans="1:5" ht="18" customHeight="1" x14ac:dyDescent="0.3">
      <c r="A175" s="9" t="s">
        <v>6</v>
      </c>
      <c r="B175" s="9" t="s">
        <v>3</v>
      </c>
      <c r="C175" s="9" t="s">
        <v>7</v>
      </c>
      <c r="D175" s="9" t="s">
        <v>8</v>
      </c>
      <c r="E175" s="9" t="s">
        <v>9</v>
      </c>
    </row>
    <row r="176" spans="1:5" ht="18" customHeight="1" x14ac:dyDescent="0.3">
      <c r="A176" s="14" t="s">
        <v>18</v>
      </c>
      <c r="B176" s="10" t="s">
        <v>19</v>
      </c>
      <c r="C176" s="11">
        <v>0</v>
      </c>
      <c r="D176" s="12">
        <v>45000</v>
      </c>
      <c r="E176" s="12">
        <f>D176*C176</f>
        <v>0</v>
      </c>
    </row>
    <row r="177" spans="1:7" ht="18" customHeight="1" x14ac:dyDescent="0.3">
      <c r="A177" s="14"/>
      <c r="B177" s="10"/>
      <c r="C177" s="11"/>
      <c r="D177" s="12"/>
      <c r="E177" s="12"/>
    </row>
    <row r="178" spans="1:7" ht="18" customHeight="1" x14ac:dyDescent="0.3">
      <c r="A178" s="83" t="s">
        <v>12</v>
      </c>
      <c r="B178" s="84"/>
      <c r="C178" s="84"/>
      <c r="D178" s="84"/>
      <c r="E178" s="13">
        <f>SUM(E176)</f>
        <v>0</v>
      </c>
    </row>
    <row r="179" spans="1:7" ht="18" customHeight="1" x14ac:dyDescent="0.3">
      <c r="A179" s="89" t="s">
        <v>20</v>
      </c>
      <c r="B179" s="90"/>
      <c r="C179" s="90"/>
      <c r="D179" s="90"/>
      <c r="E179" s="90"/>
    </row>
    <row r="180" spans="1:7" ht="18" customHeight="1" x14ac:dyDescent="0.3">
      <c r="A180" s="9" t="s">
        <v>6</v>
      </c>
      <c r="B180" s="9" t="s">
        <v>3</v>
      </c>
      <c r="C180" s="9" t="s">
        <v>7</v>
      </c>
      <c r="D180" s="9" t="s">
        <v>21</v>
      </c>
      <c r="E180" s="9" t="s">
        <v>9</v>
      </c>
    </row>
    <row r="181" spans="1:7" ht="18" customHeight="1" x14ac:dyDescent="0.3">
      <c r="A181" s="14" t="s">
        <v>30</v>
      </c>
      <c r="B181" s="10" t="s">
        <v>19</v>
      </c>
      <c r="C181" s="11">
        <v>18</v>
      </c>
      <c r="D181" s="12">
        <v>220000</v>
      </c>
      <c r="E181" s="12">
        <f>D181/C181</f>
        <v>12222.222222222223</v>
      </c>
      <c r="G181" s="46">
        <f>480/C181</f>
        <v>26.666666666666668</v>
      </c>
    </row>
    <row r="182" spans="1:7" ht="18" customHeight="1" x14ac:dyDescent="0.3">
      <c r="A182" s="14"/>
      <c r="B182" s="10"/>
      <c r="C182" s="11"/>
      <c r="D182" s="12"/>
      <c r="E182" s="12"/>
    </row>
    <row r="183" spans="1:7" ht="18" customHeight="1" x14ac:dyDescent="0.3">
      <c r="A183" s="83" t="s">
        <v>12</v>
      </c>
      <c r="B183" s="84"/>
      <c r="C183" s="84"/>
      <c r="D183" s="84"/>
      <c r="E183" s="13">
        <f>SUM(E181)</f>
        <v>12222.222222222223</v>
      </c>
    </row>
    <row r="184" spans="1:7" ht="18" customHeight="1" x14ac:dyDescent="0.3">
      <c r="A184" s="10"/>
      <c r="B184" s="19"/>
      <c r="C184" s="19"/>
      <c r="D184" s="19"/>
      <c r="E184" s="19"/>
    </row>
    <row r="185" spans="1:7" ht="18" customHeight="1" x14ac:dyDescent="0.3">
      <c r="A185" s="83" t="s">
        <v>23</v>
      </c>
      <c r="B185" s="84"/>
      <c r="C185" s="84"/>
      <c r="D185" s="84"/>
      <c r="E185" s="13">
        <f>SUM(E167,E173,E178,E183)</f>
        <v>13944.444444444445</v>
      </c>
    </row>
    <row r="188" spans="1:7" ht="18" customHeight="1" x14ac:dyDescent="0.3">
      <c r="A188" s="85" t="s">
        <v>109</v>
      </c>
      <c r="B188" s="86"/>
      <c r="C188" s="86"/>
      <c r="D188" s="7" t="s">
        <v>1</v>
      </c>
      <c r="E188" s="7"/>
    </row>
    <row r="189" spans="1:7" ht="18" customHeight="1" x14ac:dyDescent="0.3">
      <c r="A189" s="87"/>
      <c r="B189" s="88"/>
      <c r="C189" s="88"/>
      <c r="D189" s="8" t="s">
        <v>3</v>
      </c>
      <c r="E189" s="8" t="s">
        <v>4</v>
      </c>
    </row>
    <row r="190" spans="1:7" ht="18" customHeight="1" x14ac:dyDescent="0.3">
      <c r="A190" s="89" t="s">
        <v>5</v>
      </c>
      <c r="B190" s="90"/>
      <c r="C190" s="90"/>
      <c r="D190" s="90"/>
      <c r="E190" s="90"/>
    </row>
    <row r="191" spans="1:7" ht="18" customHeight="1" x14ac:dyDescent="0.3">
      <c r="A191" s="9" t="s">
        <v>6</v>
      </c>
      <c r="B191" s="9" t="s">
        <v>3</v>
      </c>
      <c r="C191" s="9" t="s">
        <v>7</v>
      </c>
      <c r="D191" s="9" t="s">
        <v>8</v>
      </c>
      <c r="E191" s="9" t="s">
        <v>9</v>
      </c>
    </row>
    <row r="192" spans="1:7" ht="18" customHeight="1" x14ac:dyDescent="0.3">
      <c r="A192" s="14" t="s">
        <v>10</v>
      </c>
      <c r="B192" s="10" t="s">
        <v>11</v>
      </c>
      <c r="C192" s="11">
        <v>0.05</v>
      </c>
      <c r="D192" s="12">
        <f>E216</f>
        <v>14666.666666666666</v>
      </c>
      <c r="E192" s="12">
        <f>C192*D192</f>
        <v>733.33333333333337</v>
      </c>
    </row>
    <row r="193" spans="1:5" ht="18" customHeight="1" x14ac:dyDescent="0.3">
      <c r="A193" s="14" t="s">
        <v>84</v>
      </c>
      <c r="B193" s="10" t="s">
        <v>19</v>
      </c>
      <c r="C193" s="11">
        <v>0.02</v>
      </c>
      <c r="D193" s="12">
        <v>25000</v>
      </c>
      <c r="E193" s="12">
        <f>C193*D193</f>
        <v>500</v>
      </c>
    </row>
    <row r="194" spans="1:5" ht="18" customHeight="1" x14ac:dyDescent="0.3">
      <c r="A194" s="10"/>
      <c r="B194" s="10"/>
      <c r="C194" s="10"/>
      <c r="D194" s="12"/>
      <c r="E194" s="12"/>
    </row>
    <row r="195" spans="1:5" ht="18" customHeight="1" x14ac:dyDescent="0.3">
      <c r="A195" s="83" t="s">
        <v>12</v>
      </c>
      <c r="B195" s="84"/>
      <c r="C195" s="84"/>
      <c r="D195" s="84"/>
      <c r="E195" s="13">
        <f>SUM(E192:E193)</f>
        <v>1233.3333333333335</v>
      </c>
    </row>
    <row r="196" spans="1:5" ht="18" customHeight="1" x14ac:dyDescent="0.3">
      <c r="A196" s="89" t="s">
        <v>13</v>
      </c>
      <c r="B196" s="90"/>
      <c r="C196" s="90"/>
      <c r="D196" s="90"/>
      <c r="E196" s="90"/>
    </row>
    <row r="197" spans="1:5" ht="18" customHeight="1" x14ac:dyDescent="0.3">
      <c r="A197" s="9" t="s">
        <v>6</v>
      </c>
      <c r="B197" s="9" t="s">
        <v>3</v>
      </c>
      <c r="C197" s="9" t="s">
        <v>14</v>
      </c>
      <c r="D197" s="9" t="s">
        <v>15</v>
      </c>
      <c r="E197" s="9" t="s">
        <v>9</v>
      </c>
    </row>
    <row r="198" spans="1:5" ht="18" customHeight="1" x14ac:dyDescent="0.3">
      <c r="A198" s="14" t="s">
        <v>113</v>
      </c>
      <c r="B198" s="10" t="s">
        <v>26</v>
      </c>
      <c r="C198" s="21">
        <v>0.4</v>
      </c>
      <c r="D198" s="12">
        <v>65000</v>
      </c>
      <c r="E198" s="12">
        <f>C198*D198</f>
        <v>26000</v>
      </c>
    </row>
    <row r="199" spans="1:5" ht="18" customHeight="1" x14ac:dyDescent="0.3">
      <c r="A199" s="14" t="s">
        <v>27</v>
      </c>
      <c r="B199" s="10" t="s">
        <v>26</v>
      </c>
      <c r="C199" s="21">
        <v>1</v>
      </c>
      <c r="D199" s="12">
        <v>9500</v>
      </c>
      <c r="E199" s="12">
        <f>C199*D199</f>
        <v>9500</v>
      </c>
    </row>
    <row r="200" spans="1:5" ht="18" customHeight="1" x14ac:dyDescent="0.3">
      <c r="A200" s="14" t="s">
        <v>28</v>
      </c>
      <c r="B200" s="10" t="s">
        <v>26</v>
      </c>
      <c r="C200" s="21">
        <v>1</v>
      </c>
      <c r="D200" s="12">
        <v>9000</v>
      </c>
      <c r="E200" s="12">
        <f>C200*D200</f>
        <v>9000</v>
      </c>
    </row>
    <row r="201" spans="1:5" ht="18" customHeight="1" x14ac:dyDescent="0.3">
      <c r="A201" s="14" t="s">
        <v>29</v>
      </c>
      <c r="B201" s="10" t="s">
        <v>26</v>
      </c>
      <c r="C201" s="15">
        <v>50</v>
      </c>
      <c r="D201" s="12">
        <v>60</v>
      </c>
      <c r="E201" s="12">
        <f>C201*D201</f>
        <v>3000</v>
      </c>
    </row>
    <row r="202" spans="1:5" ht="18" customHeight="1" x14ac:dyDescent="0.3">
      <c r="A202" s="14" t="s">
        <v>118</v>
      </c>
      <c r="B202" s="10" t="s">
        <v>26</v>
      </c>
      <c r="C202" s="21">
        <v>0.5</v>
      </c>
      <c r="D202" s="12">
        <v>13500</v>
      </c>
      <c r="E202" s="12">
        <f>C202*D202</f>
        <v>6750</v>
      </c>
    </row>
    <row r="203" spans="1:5" ht="18" customHeight="1" x14ac:dyDescent="0.3">
      <c r="A203" s="14"/>
      <c r="B203" s="10"/>
      <c r="C203" s="16"/>
      <c r="D203" s="12"/>
      <c r="E203" s="12"/>
    </row>
    <row r="204" spans="1:5" ht="18" customHeight="1" x14ac:dyDescent="0.3">
      <c r="A204" s="17" t="s">
        <v>16</v>
      </c>
      <c r="B204" s="91"/>
      <c r="C204" s="88"/>
      <c r="D204" s="88"/>
      <c r="E204" s="12">
        <f>SUM(E198:E203)*0.05</f>
        <v>2712.5</v>
      </c>
    </row>
    <row r="205" spans="1:5" ht="18" customHeight="1" x14ac:dyDescent="0.3">
      <c r="A205" s="17"/>
      <c r="B205" s="18"/>
      <c r="C205" s="19"/>
      <c r="D205" s="19"/>
      <c r="E205" s="12"/>
    </row>
    <row r="206" spans="1:5" ht="18" customHeight="1" x14ac:dyDescent="0.3">
      <c r="A206" s="83" t="s">
        <v>12</v>
      </c>
      <c r="B206" s="84"/>
      <c r="C206" s="84"/>
      <c r="D206" s="84"/>
      <c r="E206" s="13">
        <f>SUM(E198:E204)</f>
        <v>56962.5</v>
      </c>
    </row>
    <row r="207" spans="1:5" ht="18" customHeight="1" x14ac:dyDescent="0.3">
      <c r="A207" s="89" t="s">
        <v>17</v>
      </c>
      <c r="B207" s="90"/>
      <c r="C207" s="90"/>
      <c r="D207" s="90"/>
      <c r="E207" s="90"/>
    </row>
    <row r="208" spans="1:5" ht="18" customHeight="1" x14ac:dyDescent="0.3">
      <c r="A208" s="9" t="s">
        <v>6</v>
      </c>
      <c r="B208" s="9" t="s">
        <v>3</v>
      </c>
      <c r="C208" s="9" t="s">
        <v>7</v>
      </c>
      <c r="D208" s="9" t="s">
        <v>8</v>
      </c>
      <c r="E208" s="9" t="s">
        <v>9</v>
      </c>
    </row>
    <row r="209" spans="1:5" ht="18" customHeight="1" x14ac:dyDescent="0.3">
      <c r="A209" s="14" t="s">
        <v>18</v>
      </c>
      <c r="B209" s="10" t="s">
        <v>19</v>
      </c>
      <c r="C209" s="11">
        <v>2.5000000000000001E-2</v>
      </c>
      <c r="D209" s="12">
        <v>60000</v>
      </c>
      <c r="E209" s="12">
        <f>D209*C209</f>
        <v>1500</v>
      </c>
    </row>
    <row r="210" spans="1:5" ht="18" customHeight="1" x14ac:dyDescent="0.3">
      <c r="A210" s="14"/>
      <c r="B210" s="10"/>
      <c r="C210" s="11"/>
      <c r="D210" s="12"/>
      <c r="E210" s="12"/>
    </row>
    <row r="211" spans="1:5" ht="18" customHeight="1" x14ac:dyDescent="0.3">
      <c r="A211" s="83" t="s">
        <v>12</v>
      </c>
      <c r="B211" s="84"/>
      <c r="C211" s="84"/>
      <c r="D211" s="84"/>
      <c r="E211" s="13">
        <f>SUM(E209)</f>
        <v>1500</v>
      </c>
    </row>
    <row r="212" spans="1:5" ht="18" customHeight="1" x14ac:dyDescent="0.3">
      <c r="A212" s="89" t="s">
        <v>20</v>
      </c>
      <c r="B212" s="90"/>
      <c r="C212" s="90"/>
      <c r="D212" s="90"/>
      <c r="E212" s="90"/>
    </row>
    <row r="213" spans="1:5" ht="18" customHeight="1" x14ac:dyDescent="0.3">
      <c r="A213" s="9" t="s">
        <v>6</v>
      </c>
      <c r="B213" s="9" t="s">
        <v>3</v>
      </c>
      <c r="C213" s="9" t="s">
        <v>7</v>
      </c>
      <c r="D213" s="9" t="s">
        <v>21</v>
      </c>
      <c r="E213" s="9" t="s">
        <v>9</v>
      </c>
    </row>
    <row r="214" spans="1:5" ht="18" customHeight="1" x14ac:dyDescent="0.3">
      <c r="A214" s="14" t="s">
        <v>30</v>
      </c>
      <c r="B214" s="10" t="s">
        <v>19</v>
      </c>
      <c r="C214" s="11">
        <v>15</v>
      </c>
      <c r="D214" s="12">
        <v>220000</v>
      </c>
      <c r="E214" s="12">
        <f>D214/C214</f>
        <v>14666.666666666666</v>
      </c>
    </row>
    <row r="215" spans="1:5" ht="18" customHeight="1" x14ac:dyDescent="0.3">
      <c r="A215" s="14"/>
      <c r="B215" s="10"/>
      <c r="C215" s="11"/>
      <c r="D215" s="12"/>
      <c r="E215" s="12"/>
    </row>
    <row r="216" spans="1:5" ht="18" customHeight="1" x14ac:dyDescent="0.3">
      <c r="A216" s="83" t="s">
        <v>12</v>
      </c>
      <c r="B216" s="84"/>
      <c r="C216" s="84"/>
      <c r="D216" s="84"/>
      <c r="E216" s="13">
        <f>SUM(E214)</f>
        <v>14666.666666666666</v>
      </c>
    </row>
    <row r="217" spans="1:5" ht="18" customHeight="1" x14ac:dyDescent="0.3">
      <c r="A217" s="10"/>
      <c r="B217" s="19"/>
      <c r="C217" s="19"/>
      <c r="D217" s="19"/>
      <c r="E217" s="19"/>
    </row>
    <row r="218" spans="1:5" ht="18" customHeight="1" x14ac:dyDescent="0.3">
      <c r="A218" s="83" t="s">
        <v>23</v>
      </c>
      <c r="B218" s="84"/>
      <c r="C218" s="84"/>
      <c r="D218" s="84"/>
      <c r="E218" s="13">
        <f>SUM(E195,E206,E211,E216)</f>
        <v>74362.5</v>
      </c>
    </row>
    <row r="221" spans="1:5" ht="18" customHeight="1" x14ac:dyDescent="0.3">
      <c r="A221" s="85" t="s">
        <v>112</v>
      </c>
      <c r="B221" s="86"/>
      <c r="C221" s="86"/>
      <c r="D221" s="7" t="s">
        <v>1</v>
      </c>
      <c r="E221" s="7"/>
    </row>
    <row r="222" spans="1:5" ht="18" customHeight="1" x14ac:dyDescent="0.3">
      <c r="A222" s="87"/>
      <c r="B222" s="88"/>
      <c r="C222" s="88"/>
      <c r="D222" s="8" t="s">
        <v>3</v>
      </c>
      <c r="E222" s="8" t="s">
        <v>4</v>
      </c>
    </row>
    <row r="223" spans="1:5" ht="18" customHeight="1" x14ac:dyDescent="0.3">
      <c r="A223" s="89" t="s">
        <v>5</v>
      </c>
      <c r="B223" s="90"/>
      <c r="C223" s="90"/>
      <c r="D223" s="90"/>
      <c r="E223" s="90"/>
    </row>
    <row r="224" spans="1:5" ht="18" customHeight="1" x14ac:dyDescent="0.3">
      <c r="A224" s="9" t="s">
        <v>6</v>
      </c>
      <c r="B224" s="9" t="s">
        <v>3</v>
      </c>
      <c r="C224" s="9" t="s">
        <v>7</v>
      </c>
      <c r="D224" s="9" t="s">
        <v>8</v>
      </c>
      <c r="E224" s="9" t="s">
        <v>9</v>
      </c>
    </row>
    <row r="225" spans="1:5" ht="18" customHeight="1" x14ac:dyDescent="0.3">
      <c r="A225" s="14" t="s">
        <v>10</v>
      </c>
      <c r="B225" s="10" t="s">
        <v>11</v>
      </c>
      <c r="C225" s="11">
        <v>0.05</v>
      </c>
      <c r="D225" s="12">
        <f>E247</f>
        <v>7333.333333333333</v>
      </c>
      <c r="E225" s="12">
        <f>C225*D225</f>
        <v>366.66666666666669</v>
      </c>
    </row>
    <row r="226" spans="1:5" ht="18" customHeight="1" x14ac:dyDescent="0.3">
      <c r="A226" s="10"/>
      <c r="B226" s="10"/>
      <c r="C226" s="10"/>
      <c r="D226" s="12"/>
      <c r="E226" s="12"/>
    </row>
    <row r="227" spans="1:5" ht="18" customHeight="1" x14ac:dyDescent="0.3">
      <c r="A227" s="83" t="s">
        <v>12</v>
      </c>
      <c r="B227" s="84"/>
      <c r="C227" s="84"/>
      <c r="D227" s="84"/>
      <c r="E227" s="13">
        <f>SUM(E225:E225)</f>
        <v>366.66666666666669</v>
      </c>
    </row>
    <row r="228" spans="1:5" ht="18" customHeight="1" x14ac:dyDescent="0.3">
      <c r="A228" s="89" t="s">
        <v>13</v>
      </c>
      <c r="B228" s="90"/>
      <c r="C228" s="90"/>
      <c r="D228" s="90"/>
      <c r="E228" s="90"/>
    </row>
    <row r="229" spans="1:5" ht="18" customHeight="1" x14ac:dyDescent="0.3">
      <c r="A229" s="9" t="s">
        <v>6</v>
      </c>
      <c r="B229" s="9" t="s">
        <v>3</v>
      </c>
      <c r="C229" s="9" t="s">
        <v>14</v>
      </c>
      <c r="D229" s="9" t="s">
        <v>15</v>
      </c>
      <c r="E229" s="9" t="s">
        <v>9</v>
      </c>
    </row>
    <row r="230" spans="1:5" ht="18" customHeight="1" x14ac:dyDescent="0.3">
      <c r="A230" s="14" t="s">
        <v>114</v>
      </c>
      <c r="B230" s="10" t="s">
        <v>26</v>
      </c>
      <c r="C230" s="21">
        <v>0.35</v>
      </c>
      <c r="D230" s="12">
        <v>50000</v>
      </c>
      <c r="E230" s="12">
        <f>C230*D230</f>
        <v>17500</v>
      </c>
    </row>
    <row r="231" spans="1:5" ht="18" customHeight="1" x14ac:dyDescent="0.3">
      <c r="A231" s="14" t="s">
        <v>27</v>
      </c>
      <c r="B231" s="10" t="s">
        <v>26</v>
      </c>
      <c r="C231" s="21">
        <v>1</v>
      </c>
      <c r="D231" s="12">
        <v>9500</v>
      </c>
      <c r="E231" s="12">
        <f>C231*D231</f>
        <v>9500</v>
      </c>
    </row>
    <row r="232" spans="1:5" ht="18" customHeight="1" x14ac:dyDescent="0.3">
      <c r="A232" s="14" t="s">
        <v>28</v>
      </c>
      <c r="B232" s="10" t="s">
        <v>26</v>
      </c>
      <c r="C232" s="21">
        <v>1</v>
      </c>
      <c r="D232" s="12">
        <v>9000</v>
      </c>
      <c r="E232" s="12">
        <f>C232*D232</f>
        <v>9000</v>
      </c>
    </row>
    <row r="233" spans="1:5" ht="18" customHeight="1" x14ac:dyDescent="0.3">
      <c r="A233" s="14" t="s">
        <v>29</v>
      </c>
      <c r="B233" s="10" t="s">
        <v>26</v>
      </c>
      <c r="C233" s="15">
        <v>50</v>
      </c>
      <c r="D233" s="12">
        <v>40</v>
      </c>
      <c r="E233" s="12">
        <f>C233*D233</f>
        <v>2000</v>
      </c>
    </row>
    <row r="234" spans="1:5" ht="18" customHeight="1" x14ac:dyDescent="0.3">
      <c r="A234" s="14"/>
      <c r="B234" s="10"/>
      <c r="C234" s="16"/>
      <c r="D234" s="12"/>
      <c r="E234" s="12"/>
    </row>
    <row r="235" spans="1:5" ht="18" customHeight="1" x14ac:dyDescent="0.3">
      <c r="A235" s="17" t="s">
        <v>16</v>
      </c>
      <c r="B235" s="91"/>
      <c r="C235" s="88"/>
      <c r="D235" s="88"/>
      <c r="E235" s="12">
        <v>0</v>
      </c>
    </row>
    <row r="236" spans="1:5" ht="18" customHeight="1" x14ac:dyDescent="0.3">
      <c r="A236" s="17"/>
      <c r="B236" s="18"/>
      <c r="C236" s="19"/>
      <c r="D236" s="19"/>
      <c r="E236" s="12"/>
    </row>
    <row r="237" spans="1:5" ht="18" customHeight="1" x14ac:dyDescent="0.3">
      <c r="A237" s="83" t="s">
        <v>12</v>
      </c>
      <c r="B237" s="84"/>
      <c r="C237" s="84"/>
      <c r="D237" s="84"/>
      <c r="E237" s="13">
        <f>SUM(E230:E235)</f>
        <v>38000</v>
      </c>
    </row>
    <row r="238" spans="1:5" ht="18" customHeight="1" x14ac:dyDescent="0.3">
      <c r="A238" s="89" t="s">
        <v>17</v>
      </c>
      <c r="B238" s="90"/>
      <c r="C238" s="90"/>
      <c r="D238" s="90"/>
      <c r="E238" s="90"/>
    </row>
    <row r="239" spans="1:5" ht="18" customHeight="1" x14ac:dyDescent="0.3">
      <c r="A239" s="9" t="s">
        <v>6</v>
      </c>
      <c r="B239" s="9" t="s">
        <v>3</v>
      </c>
      <c r="C239" s="9" t="s">
        <v>7</v>
      </c>
      <c r="D239" s="9" t="s">
        <v>8</v>
      </c>
      <c r="E239" s="9" t="s">
        <v>9</v>
      </c>
    </row>
    <row r="240" spans="1:5" ht="18" customHeight="1" x14ac:dyDescent="0.3">
      <c r="A240" s="14" t="s">
        <v>18</v>
      </c>
      <c r="B240" s="10" t="s">
        <v>19</v>
      </c>
      <c r="C240" s="11">
        <v>2.5000000000000001E-2</v>
      </c>
      <c r="D240" s="12">
        <v>60000</v>
      </c>
      <c r="E240" s="12">
        <f>D240*C240</f>
        <v>1500</v>
      </c>
    </row>
    <row r="241" spans="1:5" ht="18" customHeight="1" x14ac:dyDescent="0.3">
      <c r="A241" s="14"/>
      <c r="B241" s="10"/>
      <c r="C241" s="11"/>
      <c r="D241" s="12"/>
      <c r="E241" s="12"/>
    </row>
    <row r="242" spans="1:5" ht="18" customHeight="1" x14ac:dyDescent="0.3">
      <c r="A242" s="83" t="s">
        <v>12</v>
      </c>
      <c r="B242" s="84"/>
      <c r="C242" s="84"/>
      <c r="D242" s="84"/>
      <c r="E242" s="13">
        <f>SUM(E240)</f>
        <v>1500</v>
      </c>
    </row>
    <row r="243" spans="1:5" ht="18" customHeight="1" x14ac:dyDescent="0.3">
      <c r="A243" s="89" t="s">
        <v>20</v>
      </c>
      <c r="B243" s="90"/>
      <c r="C243" s="90"/>
      <c r="D243" s="90"/>
      <c r="E243" s="90"/>
    </row>
    <row r="244" spans="1:5" ht="18" customHeight="1" x14ac:dyDescent="0.3">
      <c r="A244" s="9" t="s">
        <v>6</v>
      </c>
      <c r="B244" s="9" t="s">
        <v>3</v>
      </c>
      <c r="C244" s="9" t="s">
        <v>7</v>
      </c>
      <c r="D244" s="9" t="s">
        <v>21</v>
      </c>
      <c r="E244" s="9" t="s">
        <v>9</v>
      </c>
    </row>
    <row r="245" spans="1:5" ht="18" customHeight="1" x14ac:dyDescent="0.3">
      <c r="A245" s="14" t="s">
        <v>30</v>
      </c>
      <c r="B245" s="10" t="s">
        <v>19</v>
      </c>
      <c r="C245" s="11">
        <v>30</v>
      </c>
      <c r="D245" s="12">
        <v>220000</v>
      </c>
      <c r="E245" s="12">
        <f>D245/C245</f>
        <v>7333.333333333333</v>
      </c>
    </row>
    <row r="246" spans="1:5" ht="18" customHeight="1" x14ac:dyDescent="0.3">
      <c r="A246" s="14"/>
      <c r="B246" s="10"/>
      <c r="C246" s="11"/>
      <c r="D246" s="12"/>
      <c r="E246" s="12"/>
    </row>
    <row r="247" spans="1:5" ht="18" customHeight="1" x14ac:dyDescent="0.3">
      <c r="A247" s="83" t="s">
        <v>12</v>
      </c>
      <c r="B247" s="84"/>
      <c r="C247" s="84"/>
      <c r="D247" s="84"/>
      <c r="E247" s="13">
        <f>SUM(E245)</f>
        <v>7333.333333333333</v>
      </c>
    </row>
    <row r="248" spans="1:5" ht="18" customHeight="1" x14ac:dyDescent="0.3">
      <c r="A248" s="10"/>
      <c r="B248" s="19"/>
      <c r="C248" s="19"/>
      <c r="D248" s="19"/>
      <c r="E248" s="19"/>
    </row>
    <row r="249" spans="1:5" ht="18" customHeight="1" x14ac:dyDescent="0.3">
      <c r="A249" s="83" t="s">
        <v>23</v>
      </c>
      <c r="B249" s="84"/>
      <c r="C249" s="84"/>
      <c r="D249" s="84"/>
      <c r="E249" s="13">
        <f>SUM(E227,E237,E242,E247)</f>
        <v>47200</v>
      </c>
    </row>
    <row r="250" spans="1:5" ht="18" customHeight="1" x14ac:dyDescent="0.3">
      <c r="A250" s="2"/>
      <c r="B250" s="3"/>
      <c r="C250" s="3"/>
      <c r="D250" s="3"/>
      <c r="E250" s="3"/>
    </row>
    <row r="251" spans="1:5" ht="18" customHeight="1" x14ac:dyDescent="0.3">
      <c r="A251" s="2"/>
      <c r="B251" s="3"/>
      <c r="C251" s="3"/>
      <c r="D251" s="3"/>
      <c r="E251" s="3"/>
    </row>
  </sheetData>
  <mergeCells count="97">
    <mergeCell ref="A13:E13"/>
    <mergeCell ref="A1:E1"/>
    <mergeCell ref="A5:C5"/>
    <mergeCell ref="A6:C6"/>
    <mergeCell ref="A7:E7"/>
    <mergeCell ref="A12:D12"/>
    <mergeCell ref="A46:E46"/>
    <mergeCell ref="B20:D20"/>
    <mergeCell ref="A22:D22"/>
    <mergeCell ref="A23:E23"/>
    <mergeCell ref="A27:D27"/>
    <mergeCell ref="A28:E28"/>
    <mergeCell ref="A32:D32"/>
    <mergeCell ref="A34:D34"/>
    <mergeCell ref="A38:C38"/>
    <mergeCell ref="A39:C39"/>
    <mergeCell ref="A40:E40"/>
    <mergeCell ref="A45:D45"/>
    <mergeCell ref="A74:E74"/>
    <mergeCell ref="B49:D49"/>
    <mergeCell ref="A51:D51"/>
    <mergeCell ref="A52:E52"/>
    <mergeCell ref="A56:D56"/>
    <mergeCell ref="A57:E57"/>
    <mergeCell ref="A61:D61"/>
    <mergeCell ref="A63:D63"/>
    <mergeCell ref="A66:C66"/>
    <mergeCell ref="A67:C67"/>
    <mergeCell ref="A68:E68"/>
    <mergeCell ref="A73:D73"/>
    <mergeCell ref="A104:E104"/>
    <mergeCell ref="B79:D79"/>
    <mergeCell ref="A81:D81"/>
    <mergeCell ref="A82:E82"/>
    <mergeCell ref="A86:D86"/>
    <mergeCell ref="A87:E87"/>
    <mergeCell ref="A91:D91"/>
    <mergeCell ref="A93:D93"/>
    <mergeCell ref="A96:C96"/>
    <mergeCell ref="A97:C97"/>
    <mergeCell ref="A98:E98"/>
    <mergeCell ref="A103:D103"/>
    <mergeCell ref="A135:E135"/>
    <mergeCell ref="B109:D109"/>
    <mergeCell ref="A111:D111"/>
    <mergeCell ref="A112:E112"/>
    <mergeCell ref="A116:D116"/>
    <mergeCell ref="A117:E117"/>
    <mergeCell ref="A121:D121"/>
    <mergeCell ref="A123:D123"/>
    <mergeCell ref="A127:C127"/>
    <mergeCell ref="A128:C128"/>
    <mergeCell ref="A129:E129"/>
    <mergeCell ref="A134:D134"/>
    <mergeCell ref="A168:E168"/>
    <mergeCell ref="B140:D140"/>
    <mergeCell ref="A142:D142"/>
    <mergeCell ref="A143:E143"/>
    <mergeCell ref="A147:D147"/>
    <mergeCell ref="A148:E148"/>
    <mergeCell ref="A152:D152"/>
    <mergeCell ref="A154:D154"/>
    <mergeCell ref="A160:C160"/>
    <mergeCell ref="A161:C161"/>
    <mergeCell ref="A162:E162"/>
    <mergeCell ref="A167:D167"/>
    <mergeCell ref="A196:E196"/>
    <mergeCell ref="B171:D171"/>
    <mergeCell ref="A173:D173"/>
    <mergeCell ref="A174:E174"/>
    <mergeCell ref="A178:D178"/>
    <mergeCell ref="A179:E179"/>
    <mergeCell ref="A183:D183"/>
    <mergeCell ref="A185:D185"/>
    <mergeCell ref="A188:C188"/>
    <mergeCell ref="A189:C189"/>
    <mergeCell ref="A190:E190"/>
    <mergeCell ref="A195:D195"/>
    <mergeCell ref="A228:E228"/>
    <mergeCell ref="B204:D204"/>
    <mergeCell ref="A206:D206"/>
    <mergeCell ref="A207:E207"/>
    <mergeCell ref="A211:D211"/>
    <mergeCell ref="A212:E212"/>
    <mergeCell ref="A216:D216"/>
    <mergeCell ref="A218:D218"/>
    <mergeCell ref="A221:C221"/>
    <mergeCell ref="A222:C222"/>
    <mergeCell ref="A223:E223"/>
    <mergeCell ref="A227:D227"/>
    <mergeCell ref="A249:D249"/>
    <mergeCell ref="B235:D235"/>
    <mergeCell ref="A237:D237"/>
    <mergeCell ref="A238:E238"/>
    <mergeCell ref="A242:D242"/>
    <mergeCell ref="A243:E243"/>
    <mergeCell ref="A247:D247"/>
  </mergeCells>
  <pageMargins left="0.7" right="0.7" top="0.75" bottom="0.75" header="0" footer="0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90CA-8B52-487D-A213-229570DC24A5}">
  <dimension ref="A1:I284"/>
  <sheetViews>
    <sheetView topLeftCell="A269" zoomScale="85" zoomScaleNormal="85" workbookViewId="0">
      <selection activeCell="C266" sqref="C266"/>
    </sheetView>
  </sheetViews>
  <sheetFormatPr baseColWidth="10" defaultColWidth="14.44140625" defaultRowHeight="18" customHeight="1" x14ac:dyDescent="0.3"/>
  <cols>
    <col min="1" max="1" width="37.44140625" style="20" customWidth="1"/>
    <col min="2" max="2" width="12.109375" style="20" customWidth="1"/>
    <col min="3" max="5" width="18.6640625" style="20" customWidth="1"/>
    <col min="6" max="6" width="15.44140625" style="20" customWidth="1"/>
    <col min="7" max="7" width="20.77734375" style="20" customWidth="1"/>
    <col min="8" max="8" width="15.21875" style="20" customWidth="1"/>
    <col min="9" max="9" width="14.109375" style="20" customWidth="1"/>
    <col min="10" max="26" width="10.6640625" style="20" customWidth="1"/>
    <col min="27" max="16384" width="14.44140625" style="20"/>
  </cols>
  <sheetData>
    <row r="1" spans="1:7" s="1" customFormat="1" ht="25.05" customHeight="1" x14ac:dyDescent="0.3">
      <c r="A1" s="96" t="s">
        <v>77</v>
      </c>
      <c r="B1" s="97"/>
      <c r="C1" s="97"/>
      <c r="D1" s="97"/>
      <c r="E1" s="97"/>
    </row>
    <row r="2" spans="1:7" s="1" customFormat="1" ht="20.100000000000001" customHeight="1" x14ac:dyDescent="0.3">
      <c r="A2" s="2"/>
      <c r="B2" s="3"/>
      <c r="C2" s="3"/>
      <c r="D2" s="3"/>
      <c r="E2" s="3"/>
    </row>
    <row r="3" spans="1:7" s="1" customFormat="1" ht="20.100000000000001" customHeight="1" x14ac:dyDescent="0.3">
      <c r="A3" s="4" t="s">
        <v>121</v>
      </c>
      <c r="B3" s="5"/>
      <c r="C3" s="5"/>
      <c r="D3" s="5"/>
      <c r="E3" s="5"/>
      <c r="G3" s="44" t="s">
        <v>116</v>
      </c>
    </row>
    <row r="4" spans="1:7" s="1" customFormat="1" ht="20.100000000000001" customHeight="1" x14ac:dyDescent="0.3">
      <c r="A4" s="2"/>
      <c r="B4" s="3"/>
      <c r="C4" s="3"/>
      <c r="D4" s="3"/>
      <c r="E4" s="3"/>
    </row>
    <row r="5" spans="1:7" s="1" customFormat="1" ht="19.95" customHeight="1" x14ac:dyDescent="0.3">
      <c r="A5" s="99" t="s">
        <v>127</v>
      </c>
      <c r="B5" s="100"/>
      <c r="C5" s="100"/>
      <c r="D5" s="39" t="s">
        <v>1</v>
      </c>
      <c r="E5" s="39" t="s">
        <v>2</v>
      </c>
    </row>
    <row r="6" spans="1:7" s="1" customFormat="1" ht="20.100000000000001" customHeight="1" x14ac:dyDescent="0.3">
      <c r="A6" s="87"/>
      <c r="B6" s="88"/>
      <c r="C6" s="88"/>
      <c r="D6" s="8" t="s">
        <v>3</v>
      </c>
      <c r="E6" s="8" t="s">
        <v>4</v>
      </c>
    </row>
    <row r="7" spans="1:7" s="1" customFormat="1" ht="20.100000000000001" customHeight="1" x14ac:dyDescent="0.3">
      <c r="A7" s="89" t="s">
        <v>5</v>
      </c>
      <c r="B7" s="90"/>
      <c r="C7" s="90"/>
      <c r="D7" s="90"/>
      <c r="E7" s="90"/>
    </row>
    <row r="8" spans="1:7" s="1" customFormat="1" ht="20.100000000000001" customHeight="1" x14ac:dyDescent="0.3">
      <c r="A8" s="9" t="s">
        <v>6</v>
      </c>
      <c r="B8" s="9" t="s">
        <v>3</v>
      </c>
      <c r="C8" s="9" t="s">
        <v>7</v>
      </c>
      <c r="D8" s="9" t="s">
        <v>8</v>
      </c>
      <c r="E8" s="9" t="s">
        <v>9</v>
      </c>
    </row>
    <row r="9" spans="1:7" s="1" customFormat="1" ht="20.100000000000001" customHeight="1" x14ac:dyDescent="0.3">
      <c r="A9" s="14" t="s">
        <v>10</v>
      </c>
      <c r="B9" s="10" t="s">
        <v>11</v>
      </c>
      <c r="C9" s="11">
        <v>0.1</v>
      </c>
      <c r="D9" s="12">
        <f>E32</f>
        <v>2166.6666666666665</v>
      </c>
      <c r="E9" s="12">
        <f>C9*D9</f>
        <v>216.66666666666666</v>
      </c>
    </row>
    <row r="10" spans="1:7" s="1" customFormat="1" ht="20.100000000000001" customHeight="1" x14ac:dyDescent="0.3">
      <c r="A10" s="14" t="s">
        <v>84</v>
      </c>
      <c r="B10" s="10" t="s">
        <v>19</v>
      </c>
      <c r="C10" s="11">
        <v>1.4999999999999999E-2</v>
      </c>
      <c r="D10" s="12">
        <v>25000</v>
      </c>
      <c r="E10" s="12">
        <f>C10*D10</f>
        <v>375</v>
      </c>
      <c r="G10" s="40"/>
    </row>
    <row r="11" spans="1:7" s="1" customFormat="1" ht="20.100000000000001" customHeight="1" x14ac:dyDescent="0.3">
      <c r="A11" s="10"/>
      <c r="B11" s="10"/>
      <c r="C11" s="10"/>
      <c r="D11" s="12"/>
      <c r="E11" s="12"/>
    </row>
    <row r="12" spans="1:7" s="1" customFormat="1" ht="20.100000000000001" customHeight="1" x14ac:dyDescent="0.3">
      <c r="A12" s="83" t="s">
        <v>12</v>
      </c>
      <c r="B12" s="84"/>
      <c r="C12" s="84"/>
      <c r="D12" s="84"/>
      <c r="E12" s="13">
        <f>SUM(E9:E10)</f>
        <v>591.66666666666663</v>
      </c>
    </row>
    <row r="13" spans="1:7" s="1" customFormat="1" ht="20.100000000000001" customHeight="1" x14ac:dyDescent="0.3">
      <c r="A13" s="89" t="s">
        <v>13</v>
      </c>
      <c r="B13" s="90"/>
      <c r="C13" s="90"/>
      <c r="D13" s="90"/>
      <c r="E13" s="90"/>
    </row>
    <row r="14" spans="1:7" s="1" customFormat="1" ht="20.100000000000001" customHeight="1" x14ac:dyDescent="0.3">
      <c r="A14" s="9" t="s">
        <v>6</v>
      </c>
      <c r="B14" s="9" t="s">
        <v>3</v>
      </c>
      <c r="C14" s="9" t="s">
        <v>14</v>
      </c>
      <c r="D14" s="9" t="s">
        <v>15</v>
      </c>
      <c r="E14" s="9" t="s">
        <v>9</v>
      </c>
    </row>
    <row r="15" spans="1:7" s="1" customFormat="1" ht="20.100000000000001" customHeight="1" x14ac:dyDescent="0.3">
      <c r="A15" s="14" t="s">
        <v>122</v>
      </c>
      <c r="B15" s="10" t="s">
        <v>123</v>
      </c>
      <c r="C15" s="21">
        <v>0.04</v>
      </c>
      <c r="D15" s="12">
        <v>450000</v>
      </c>
      <c r="E15" s="12">
        <f>C15*D15</f>
        <v>18000</v>
      </c>
      <c r="G15" s="40"/>
    </row>
    <row r="16" spans="1:7" s="1" customFormat="1" ht="20.100000000000001" customHeight="1" x14ac:dyDescent="0.3">
      <c r="A16" s="14" t="s">
        <v>124</v>
      </c>
      <c r="B16" s="10" t="s">
        <v>26</v>
      </c>
      <c r="C16" s="16">
        <v>1E-3</v>
      </c>
      <c r="D16" s="12">
        <v>38000</v>
      </c>
      <c r="E16" s="12">
        <f>C16*D16</f>
        <v>38</v>
      </c>
      <c r="G16" s="40"/>
    </row>
    <row r="17" spans="1:7" s="1" customFormat="1" ht="20.100000000000001" customHeight="1" x14ac:dyDescent="0.3">
      <c r="A17" s="14" t="s">
        <v>125</v>
      </c>
      <c r="B17" s="10" t="s">
        <v>26</v>
      </c>
      <c r="C17" s="16">
        <v>1E-3</v>
      </c>
      <c r="D17" s="12">
        <v>10000</v>
      </c>
      <c r="E17" s="12">
        <f>C17*D17</f>
        <v>10</v>
      </c>
      <c r="G17" s="40"/>
    </row>
    <row r="18" spans="1:7" s="1" customFormat="1" ht="20.100000000000001" customHeight="1" x14ac:dyDescent="0.3">
      <c r="A18" s="14"/>
      <c r="B18" s="10"/>
      <c r="C18" s="16"/>
      <c r="D18" s="12"/>
      <c r="E18" s="12"/>
      <c r="G18" s="40"/>
    </row>
    <row r="19" spans="1:7" s="1" customFormat="1" ht="20.100000000000001" customHeight="1" x14ac:dyDescent="0.3">
      <c r="A19" s="14"/>
      <c r="B19" s="10"/>
      <c r="C19" s="15"/>
      <c r="D19" s="12"/>
      <c r="E19" s="12"/>
    </row>
    <row r="20" spans="1:7" s="1" customFormat="1" ht="20.100000000000001" customHeight="1" x14ac:dyDescent="0.3">
      <c r="A20" s="17" t="s">
        <v>16</v>
      </c>
      <c r="B20" s="91"/>
      <c r="C20" s="88"/>
      <c r="D20" s="88"/>
      <c r="E20" s="12">
        <f>SUM(E15:E19)*0.05</f>
        <v>902.40000000000009</v>
      </c>
    </row>
    <row r="21" spans="1:7" s="1" customFormat="1" ht="20.100000000000001" customHeight="1" x14ac:dyDescent="0.3">
      <c r="A21" s="17"/>
      <c r="B21" s="18"/>
      <c r="C21" s="19"/>
      <c r="D21" s="19"/>
      <c r="E21" s="12"/>
    </row>
    <row r="22" spans="1:7" s="1" customFormat="1" ht="20.100000000000001" customHeight="1" x14ac:dyDescent="0.3">
      <c r="A22" s="83" t="s">
        <v>12</v>
      </c>
      <c r="B22" s="84"/>
      <c r="C22" s="84"/>
      <c r="D22" s="84"/>
      <c r="E22" s="13">
        <f>SUM(E15:E20)</f>
        <v>18950.400000000001</v>
      </c>
    </row>
    <row r="23" spans="1:7" s="1" customFormat="1" ht="20.100000000000001" customHeight="1" x14ac:dyDescent="0.3">
      <c r="A23" s="89" t="s">
        <v>17</v>
      </c>
      <c r="B23" s="90"/>
      <c r="C23" s="90"/>
      <c r="D23" s="90"/>
      <c r="E23" s="90"/>
    </row>
    <row r="24" spans="1:7" s="1" customFormat="1" ht="20.100000000000001" customHeight="1" x14ac:dyDescent="0.3">
      <c r="A24" s="9" t="s">
        <v>6</v>
      </c>
      <c r="B24" s="9" t="s">
        <v>3</v>
      </c>
      <c r="C24" s="9" t="s">
        <v>7</v>
      </c>
      <c r="D24" s="9" t="s">
        <v>8</v>
      </c>
      <c r="E24" s="9" t="s">
        <v>9</v>
      </c>
    </row>
    <row r="25" spans="1:7" s="1" customFormat="1" ht="20.100000000000001" customHeight="1" x14ac:dyDescent="0.3">
      <c r="A25" s="14" t="s">
        <v>36</v>
      </c>
      <c r="B25" s="10" t="s">
        <v>19</v>
      </c>
      <c r="C25" s="11">
        <v>2.5000000000000001E-2</v>
      </c>
      <c r="D25" s="12">
        <v>25000</v>
      </c>
      <c r="E25" s="12">
        <f>D25*C25</f>
        <v>625</v>
      </c>
    </row>
    <row r="26" spans="1:7" s="1" customFormat="1" ht="20.100000000000001" customHeight="1" x14ac:dyDescent="0.3">
      <c r="A26" s="14"/>
      <c r="B26" s="10"/>
      <c r="C26" s="11"/>
      <c r="D26" s="12"/>
      <c r="E26" s="12"/>
    </row>
    <row r="27" spans="1:7" s="1" customFormat="1" ht="20.100000000000001" customHeight="1" x14ac:dyDescent="0.3">
      <c r="A27" s="83" t="s">
        <v>12</v>
      </c>
      <c r="B27" s="84"/>
      <c r="C27" s="84"/>
      <c r="D27" s="84"/>
      <c r="E27" s="13">
        <f>SUM(E25)</f>
        <v>625</v>
      </c>
    </row>
    <row r="28" spans="1:7" s="1" customFormat="1" ht="20.100000000000001" customHeight="1" x14ac:dyDescent="0.3">
      <c r="A28" s="89" t="s">
        <v>20</v>
      </c>
      <c r="B28" s="90"/>
      <c r="C28" s="90"/>
      <c r="D28" s="90"/>
      <c r="E28" s="90"/>
    </row>
    <row r="29" spans="1:7" s="1" customFormat="1" ht="20.100000000000001" customHeight="1" x14ac:dyDescent="0.3">
      <c r="A29" s="9" t="s">
        <v>6</v>
      </c>
      <c r="B29" s="9" t="s">
        <v>3</v>
      </c>
      <c r="C29" s="9" t="s">
        <v>7</v>
      </c>
      <c r="D29" s="9" t="s">
        <v>21</v>
      </c>
      <c r="E29" s="9" t="s">
        <v>9</v>
      </c>
    </row>
    <row r="30" spans="1:7" s="1" customFormat="1" ht="20.100000000000001" customHeight="1" x14ac:dyDescent="0.3">
      <c r="A30" s="14" t="s">
        <v>37</v>
      </c>
      <c r="B30" s="10" t="s">
        <v>19</v>
      </c>
      <c r="C30" s="11">
        <v>60</v>
      </c>
      <c r="D30" s="12">
        <v>130000</v>
      </c>
      <c r="E30" s="12">
        <f>D30/C30</f>
        <v>2166.6666666666665</v>
      </c>
      <c r="G30" s="49">
        <f>480/C30</f>
        <v>8</v>
      </c>
    </row>
    <row r="31" spans="1:7" s="1" customFormat="1" ht="20.100000000000001" customHeight="1" x14ac:dyDescent="0.3">
      <c r="A31" s="14"/>
      <c r="B31" s="10"/>
      <c r="C31" s="11"/>
      <c r="D31" s="12"/>
      <c r="E31" s="12"/>
    </row>
    <row r="32" spans="1:7" s="1" customFormat="1" ht="20.100000000000001" customHeight="1" x14ac:dyDescent="0.3">
      <c r="A32" s="83" t="s">
        <v>12</v>
      </c>
      <c r="B32" s="84"/>
      <c r="C32" s="84"/>
      <c r="D32" s="84"/>
      <c r="E32" s="13">
        <f>SUM(E30)</f>
        <v>2166.6666666666665</v>
      </c>
    </row>
    <row r="33" spans="1:6" s="1" customFormat="1" ht="20.100000000000001" customHeight="1" x14ac:dyDescent="0.3">
      <c r="A33" s="10"/>
      <c r="B33" s="19"/>
      <c r="C33" s="19"/>
      <c r="D33" s="19"/>
      <c r="E33" s="19"/>
    </row>
    <row r="34" spans="1:6" s="1" customFormat="1" ht="20.100000000000001" customHeight="1" x14ac:dyDescent="0.3">
      <c r="A34" s="83" t="s">
        <v>23</v>
      </c>
      <c r="B34" s="84"/>
      <c r="C34" s="84"/>
      <c r="D34" s="84"/>
      <c r="E34" s="13">
        <f>SUM(E12,E22,E27,E32)</f>
        <v>22333.733333333337</v>
      </c>
      <c r="F34" s="40"/>
    </row>
    <row r="35" spans="1:6" s="1" customFormat="1" ht="20.100000000000001" customHeight="1" x14ac:dyDescent="0.3">
      <c r="A35" s="2"/>
      <c r="B35" s="3"/>
      <c r="C35" s="3"/>
      <c r="D35" s="3"/>
      <c r="E35" s="3"/>
    </row>
    <row r="36" spans="1:6" s="1" customFormat="1" ht="20.100000000000001" customHeight="1" x14ac:dyDescent="0.3">
      <c r="A36" s="2"/>
      <c r="B36" s="3"/>
      <c r="C36" s="3"/>
      <c r="D36" s="3"/>
      <c r="E36" s="3"/>
    </row>
    <row r="37" spans="1:6" s="1" customFormat="1" ht="20.100000000000001" customHeight="1" x14ac:dyDescent="0.3">
      <c r="A37" s="37" t="s">
        <v>135</v>
      </c>
      <c r="B37" s="38"/>
      <c r="C37" s="38"/>
      <c r="D37" s="38"/>
      <c r="E37" s="42" t="s">
        <v>92</v>
      </c>
    </row>
    <row r="38" spans="1:6" s="1" customFormat="1" ht="20.100000000000001" customHeight="1" x14ac:dyDescent="0.3">
      <c r="A38" s="2"/>
      <c r="B38" s="3"/>
      <c r="C38" s="3"/>
      <c r="D38" s="3"/>
      <c r="E38" s="3"/>
    </row>
    <row r="39" spans="1:6" ht="18" customHeight="1" x14ac:dyDescent="0.3">
      <c r="A39" s="85" t="s">
        <v>136</v>
      </c>
      <c r="B39" s="85"/>
      <c r="C39" s="85"/>
      <c r="D39" s="7" t="s">
        <v>1</v>
      </c>
      <c r="E39" s="7"/>
    </row>
    <row r="40" spans="1:6" ht="18" customHeight="1" x14ac:dyDescent="0.3">
      <c r="A40" s="87"/>
      <c r="B40" s="87"/>
      <c r="C40" s="87"/>
      <c r="D40" s="8" t="s">
        <v>3</v>
      </c>
      <c r="E40" s="8" t="s">
        <v>4</v>
      </c>
    </row>
    <row r="41" spans="1:6" ht="18" customHeight="1" x14ac:dyDescent="0.3">
      <c r="A41" s="89" t="s">
        <v>5</v>
      </c>
      <c r="B41" s="89"/>
      <c r="C41" s="89"/>
      <c r="D41" s="89"/>
      <c r="E41" s="89"/>
    </row>
    <row r="42" spans="1:6" ht="18" customHeight="1" x14ac:dyDescent="0.3">
      <c r="A42" s="9" t="s">
        <v>6</v>
      </c>
      <c r="B42" s="9" t="s">
        <v>3</v>
      </c>
      <c r="C42" s="9" t="s">
        <v>7</v>
      </c>
      <c r="D42" s="9" t="s">
        <v>8</v>
      </c>
      <c r="E42" s="9" t="s">
        <v>9</v>
      </c>
    </row>
    <row r="43" spans="1:6" ht="18" customHeight="1" x14ac:dyDescent="0.3">
      <c r="A43" s="14" t="s">
        <v>10</v>
      </c>
      <c r="B43" s="10" t="s">
        <v>11</v>
      </c>
      <c r="C43" s="11">
        <v>0.05</v>
      </c>
      <c r="D43" s="12">
        <f>E63</f>
        <v>2000</v>
      </c>
      <c r="E43" s="12">
        <f>C43*D43</f>
        <v>100</v>
      </c>
    </row>
    <row r="44" spans="1:6" ht="18" customHeight="1" x14ac:dyDescent="0.3">
      <c r="A44" s="14" t="s">
        <v>84</v>
      </c>
      <c r="B44" s="10" t="s">
        <v>19</v>
      </c>
      <c r="C44" s="11">
        <v>1.4999999999999999E-2</v>
      </c>
      <c r="D44" s="12">
        <v>25000</v>
      </c>
      <c r="E44" s="12">
        <f>C44*D44</f>
        <v>375</v>
      </c>
    </row>
    <row r="45" spans="1:6" ht="18" customHeight="1" x14ac:dyDescent="0.3">
      <c r="A45" s="10"/>
      <c r="B45" s="10"/>
      <c r="C45" s="10"/>
      <c r="D45" s="12"/>
      <c r="E45" s="12"/>
    </row>
    <row r="46" spans="1:6" ht="18" customHeight="1" x14ac:dyDescent="0.3">
      <c r="A46" s="83" t="s">
        <v>12</v>
      </c>
      <c r="B46" s="83"/>
      <c r="C46" s="83"/>
      <c r="D46" s="83"/>
      <c r="E46" s="13">
        <f>SUM(E43:E44)</f>
        <v>475</v>
      </c>
    </row>
    <row r="47" spans="1:6" ht="18" customHeight="1" x14ac:dyDescent="0.3">
      <c r="A47" s="89" t="s">
        <v>13</v>
      </c>
      <c r="B47" s="89"/>
      <c r="C47" s="89"/>
      <c r="D47" s="89"/>
      <c r="E47" s="89"/>
    </row>
    <row r="48" spans="1:6" ht="18" customHeight="1" x14ac:dyDescent="0.3">
      <c r="A48" s="9" t="s">
        <v>6</v>
      </c>
      <c r="B48" s="9" t="s">
        <v>3</v>
      </c>
      <c r="C48" s="9" t="s">
        <v>14</v>
      </c>
      <c r="D48" s="9" t="s">
        <v>15</v>
      </c>
      <c r="E48" s="9" t="s">
        <v>9</v>
      </c>
    </row>
    <row r="49" spans="1:8" ht="18" customHeight="1" x14ac:dyDescent="0.3">
      <c r="A49" s="14" t="s">
        <v>137</v>
      </c>
      <c r="B49" s="10" t="s">
        <v>123</v>
      </c>
      <c r="C49" s="16">
        <v>1.6E-2</v>
      </c>
      <c r="D49" s="12">
        <v>574900</v>
      </c>
      <c r="E49" s="12">
        <f>C49*D49</f>
        <v>9198.4</v>
      </c>
      <c r="G49" s="24">
        <f>D49/32</f>
        <v>17965.625</v>
      </c>
      <c r="H49" s="20">
        <f>19/32</f>
        <v>0.59375</v>
      </c>
    </row>
    <row r="50" spans="1:8" ht="18" customHeight="1" x14ac:dyDescent="0.3">
      <c r="A50" s="14"/>
      <c r="B50" s="10"/>
      <c r="C50" s="16"/>
      <c r="D50" s="12"/>
      <c r="E50" s="12"/>
    </row>
    <row r="51" spans="1:8" ht="18" customHeight="1" x14ac:dyDescent="0.3">
      <c r="A51" s="17" t="s">
        <v>16</v>
      </c>
      <c r="B51" s="91"/>
      <c r="C51" s="91"/>
      <c r="D51" s="91"/>
      <c r="E51" s="12">
        <v>0</v>
      </c>
    </row>
    <row r="52" spans="1:8" ht="18" customHeight="1" x14ac:dyDescent="0.3">
      <c r="A52" s="17"/>
      <c r="B52" s="18"/>
      <c r="C52" s="19"/>
      <c r="D52" s="19"/>
      <c r="E52" s="12"/>
    </row>
    <row r="53" spans="1:8" ht="18" customHeight="1" x14ac:dyDescent="0.3">
      <c r="A53" s="83" t="s">
        <v>12</v>
      </c>
      <c r="B53" s="83"/>
      <c r="C53" s="83"/>
      <c r="D53" s="83"/>
      <c r="E53" s="13">
        <f>SUM(E49:E51)</f>
        <v>9198.4</v>
      </c>
    </row>
    <row r="54" spans="1:8" ht="18" customHeight="1" x14ac:dyDescent="0.3">
      <c r="A54" s="89" t="s">
        <v>17</v>
      </c>
      <c r="B54" s="89"/>
      <c r="C54" s="89"/>
      <c r="D54" s="89"/>
      <c r="E54" s="89"/>
    </row>
    <row r="55" spans="1:8" ht="18" customHeight="1" x14ac:dyDescent="0.3">
      <c r="A55" s="9" t="s">
        <v>6</v>
      </c>
      <c r="B55" s="9" t="s">
        <v>3</v>
      </c>
      <c r="C55" s="9" t="s">
        <v>7</v>
      </c>
      <c r="D55" s="9" t="s">
        <v>8</v>
      </c>
      <c r="E55" s="9" t="s">
        <v>9</v>
      </c>
    </row>
    <row r="56" spans="1:8" ht="18" customHeight="1" x14ac:dyDescent="0.3">
      <c r="A56" s="14" t="s">
        <v>18</v>
      </c>
      <c r="B56" s="10" t="s">
        <v>19</v>
      </c>
      <c r="C56" s="11">
        <v>5.0000000000000001E-3</v>
      </c>
      <c r="D56" s="12">
        <v>25000</v>
      </c>
      <c r="E56" s="12">
        <f>D56*C56</f>
        <v>125</v>
      </c>
      <c r="G56" s="22"/>
    </row>
    <row r="57" spans="1:8" ht="18" customHeight="1" x14ac:dyDescent="0.3">
      <c r="A57" s="14"/>
      <c r="B57" s="10"/>
      <c r="C57" s="11"/>
      <c r="D57" s="12"/>
      <c r="E57" s="12"/>
    </row>
    <row r="58" spans="1:8" ht="18" customHeight="1" x14ac:dyDescent="0.3">
      <c r="A58" s="83" t="s">
        <v>12</v>
      </c>
      <c r="B58" s="83"/>
      <c r="C58" s="83"/>
      <c r="D58" s="83"/>
      <c r="E58" s="13">
        <f>SUM(E56)</f>
        <v>125</v>
      </c>
    </row>
    <row r="59" spans="1:8" ht="18" customHeight="1" x14ac:dyDescent="0.3">
      <c r="A59" s="89" t="s">
        <v>20</v>
      </c>
      <c r="B59" s="89"/>
      <c r="C59" s="89"/>
      <c r="D59" s="89"/>
      <c r="E59" s="89"/>
    </row>
    <row r="60" spans="1:8" ht="18" customHeight="1" x14ac:dyDescent="0.3">
      <c r="A60" s="9" t="s">
        <v>6</v>
      </c>
      <c r="B60" s="9" t="s">
        <v>3</v>
      </c>
      <c r="C60" s="9" t="s">
        <v>7</v>
      </c>
      <c r="D60" s="9" t="s">
        <v>21</v>
      </c>
      <c r="E60" s="9" t="s">
        <v>9</v>
      </c>
    </row>
    <row r="61" spans="1:8" ht="18" customHeight="1" x14ac:dyDescent="0.3">
      <c r="A61" s="14" t="s">
        <v>37</v>
      </c>
      <c r="B61" s="10" t="s">
        <v>19</v>
      </c>
      <c r="C61" s="11">
        <v>65</v>
      </c>
      <c r="D61" s="12">
        <v>130000</v>
      </c>
      <c r="E61" s="12">
        <f>D61/C61</f>
        <v>2000</v>
      </c>
      <c r="G61" s="20">
        <f>480/C61</f>
        <v>7.384615384615385</v>
      </c>
    </row>
    <row r="62" spans="1:8" ht="18" customHeight="1" x14ac:dyDescent="0.3">
      <c r="A62" s="14"/>
      <c r="B62" s="10"/>
      <c r="C62" s="11"/>
      <c r="D62" s="12"/>
      <c r="E62" s="12"/>
    </row>
    <row r="63" spans="1:8" ht="18" customHeight="1" x14ac:dyDescent="0.3">
      <c r="A63" s="83" t="s">
        <v>12</v>
      </c>
      <c r="B63" s="83"/>
      <c r="C63" s="83"/>
      <c r="D63" s="83"/>
      <c r="E63" s="13">
        <f>SUM(E61)</f>
        <v>2000</v>
      </c>
    </row>
    <row r="64" spans="1:8" ht="18" customHeight="1" x14ac:dyDescent="0.3">
      <c r="A64" s="10"/>
      <c r="B64" s="19"/>
      <c r="C64" s="19"/>
      <c r="D64" s="19"/>
      <c r="E64" s="19"/>
    </row>
    <row r="65" spans="1:7" ht="18" customHeight="1" x14ac:dyDescent="0.3">
      <c r="A65" s="83" t="s">
        <v>23</v>
      </c>
      <c r="B65" s="83"/>
      <c r="C65" s="83"/>
      <c r="D65" s="83"/>
      <c r="E65" s="13">
        <f>SUM(E46,E53,E58,E63)</f>
        <v>11798.4</v>
      </c>
    </row>
    <row r="68" spans="1:7" ht="18" customHeight="1" x14ac:dyDescent="0.3">
      <c r="A68" s="93" t="s">
        <v>88</v>
      </c>
      <c r="B68" s="93"/>
      <c r="C68" s="93"/>
      <c r="D68" s="23" t="s">
        <v>1</v>
      </c>
      <c r="E68" s="23"/>
    </row>
    <row r="69" spans="1:7" ht="18" customHeight="1" x14ac:dyDescent="0.3">
      <c r="A69" s="87"/>
      <c r="B69" s="87"/>
      <c r="C69" s="87"/>
      <c r="D69" s="8" t="s">
        <v>3</v>
      </c>
      <c r="E69" s="8" t="s">
        <v>4</v>
      </c>
    </row>
    <row r="70" spans="1:7" ht="18" customHeight="1" x14ac:dyDescent="0.3">
      <c r="A70" s="89" t="s">
        <v>5</v>
      </c>
      <c r="B70" s="89"/>
      <c r="C70" s="89"/>
      <c r="D70" s="89"/>
      <c r="E70" s="89"/>
    </row>
    <row r="71" spans="1:7" ht="18" customHeight="1" x14ac:dyDescent="0.3">
      <c r="A71" s="9" t="s">
        <v>6</v>
      </c>
      <c r="B71" s="9" t="s">
        <v>3</v>
      </c>
      <c r="C71" s="9" t="s">
        <v>7</v>
      </c>
      <c r="D71" s="9" t="s">
        <v>8</v>
      </c>
      <c r="E71" s="9" t="s">
        <v>9</v>
      </c>
    </row>
    <row r="72" spans="1:7" ht="18" customHeight="1" x14ac:dyDescent="0.3">
      <c r="A72" s="10" t="s">
        <v>10</v>
      </c>
      <c r="B72" s="10" t="s">
        <v>11</v>
      </c>
      <c r="C72" s="11">
        <v>0.8</v>
      </c>
      <c r="D72" s="12">
        <f>E93</f>
        <v>4777.7777777777774</v>
      </c>
      <c r="E72" s="12">
        <f>C72*D72</f>
        <v>3822.2222222222222</v>
      </c>
    </row>
    <row r="73" spans="1:7" ht="18" customHeight="1" x14ac:dyDescent="0.3">
      <c r="A73" s="14" t="s">
        <v>84</v>
      </c>
      <c r="B73" s="10" t="s">
        <v>19</v>
      </c>
      <c r="C73" s="11">
        <v>0.02</v>
      </c>
      <c r="D73" s="12">
        <v>25000</v>
      </c>
      <c r="E73" s="12">
        <f>C73*D73</f>
        <v>500</v>
      </c>
    </row>
    <row r="74" spans="1:7" ht="18" customHeight="1" x14ac:dyDescent="0.3">
      <c r="A74" s="10"/>
      <c r="B74" s="10"/>
      <c r="C74" s="10"/>
      <c r="D74" s="12"/>
      <c r="E74" s="12"/>
    </row>
    <row r="75" spans="1:7" ht="18" customHeight="1" x14ac:dyDescent="0.3">
      <c r="A75" s="83" t="s">
        <v>12</v>
      </c>
      <c r="B75" s="83"/>
      <c r="C75" s="83"/>
      <c r="D75" s="83"/>
      <c r="E75" s="13">
        <f>SUM(E72:E73)</f>
        <v>4322.2222222222226</v>
      </c>
    </row>
    <row r="76" spans="1:7" ht="18" customHeight="1" x14ac:dyDescent="0.3">
      <c r="A76" s="89" t="s">
        <v>13</v>
      </c>
      <c r="B76" s="89"/>
      <c r="C76" s="89"/>
      <c r="D76" s="89"/>
      <c r="E76" s="89"/>
    </row>
    <row r="77" spans="1:7" ht="18" customHeight="1" x14ac:dyDescent="0.3">
      <c r="A77" s="9" t="s">
        <v>6</v>
      </c>
      <c r="B77" s="9" t="s">
        <v>3</v>
      </c>
      <c r="C77" s="9" t="s">
        <v>14</v>
      </c>
      <c r="D77" s="9" t="s">
        <v>15</v>
      </c>
      <c r="E77" s="9" t="s">
        <v>9</v>
      </c>
      <c r="F77" s="24"/>
    </row>
    <row r="78" spans="1:7" ht="18" customHeight="1" x14ac:dyDescent="0.3">
      <c r="A78" s="14" t="s">
        <v>90</v>
      </c>
      <c r="B78" s="10" t="s">
        <v>89</v>
      </c>
      <c r="C78" s="16">
        <v>0.08</v>
      </c>
      <c r="D78" s="12">
        <v>42000</v>
      </c>
      <c r="E78" s="12">
        <f>C78*D78</f>
        <v>3360</v>
      </c>
      <c r="F78" s="24"/>
    </row>
    <row r="79" spans="1:7" ht="18" customHeight="1" x14ac:dyDescent="0.3">
      <c r="A79" s="14" t="s">
        <v>73</v>
      </c>
      <c r="B79" s="10" t="s">
        <v>41</v>
      </c>
      <c r="C79" s="16">
        <v>0.01</v>
      </c>
      <c r="D79" s="12">
        <v>32500</v>
      </c>
      <c r="E79" s="12">
        <f>C79*D79</f>
        <v>325</v>
      </c>
      <c r="G79" s="24"/>
    </row>
    <row r="80" spans="1:7" ht="18" customHeight="1" x14ac:dyDescent="0.3">
      <c r="A80" s="14"/>
      <c r="B80" s="10"/>
      <c r="C80" s="16"/>
      <c r="D80" s="12"/>
      <c r="E80" s="12"/>
    </row>
    <row r="81" spans="1:7" ht="18" customHeight="1" x14ac:dyDescent="0.3">
      <c r="A81" s="17" t="s">
        <v>35</v>
      </c>
      <c r="B81" s="91"/>
      <c r="C81" s="91"/>
      <c r="D81" s="91"/>
      <c r="E81" s="12">
        <f>E78*0.03</f>
        <v>100.8</v>
      </c>
    </row>
    <row r="82" spans="1:7" ht="18" customHeight="1" x14ac:dyDescent="0.3">
      <c r="A82" s="17"/>
      <c r="B82" s="18"/>
      <c r="C82" s="19"/>
      <c r="D82" s="19"/>
      <c r="E82" s="12"/>
    </row>
    <row r="83" spans="1:7" ht="18" customHeight="1" x14ac:dyDescent="0.3">
      <c r="A83" s="83" t="s">
        <v>12</v>
      </c>
      <c r="B83" s="83"/>
      <c r="C83" s="83"/>
      <c r="D83" s="83"/>
      <c r="E83" s="13">
        <f>SUM(E78:E81)</f>
        <v>3785.8</v>
      </c>
    </row>
    <row r="84" spans="1:7" ht="18" customHeight="1" x14ac:dyDescent="0.3">
      <c r="A84" s="89" t="s">
        <v>17</v>
      </c>
      <c r="B84" s="89"/>
      <c r="C84" s="89"/>
      <c r="D84" s="89"/>
      <c r="E84" s="89"/>
    </row>
    <row r="85" spans="1:7" ht="18" customHeight="1" x14ac:dyDescent="0.3">
      <c r="A85" s="9" t="s">
        <v>6</v>
      </c>
      <c r="B85" s="9" t="s">
        <v>3</v>
      </c>
      <c r="C85" s="9" t="s">
        <v>7</v>
      </c>
      <c r="D85" s="9" t="s">
        <v>8</v>
      </c>
      <c r="E85" s="9" t="s">
        <v>9</v>
      </c>
    </row>
    <row r="86" spans="1:7" ht="18" customHeight="1" x14ac:dyDescent="0.3">
      <c r="A86" s="14" t="s">
        <v>36</v>
      </c>
      <c r="B86" s="10" t="s">
        <v>19</v>
      </c>
      <c r="C86" s="11">
        <v>5.0000000000000001E-3</v>
      </c>
      <c r="D86" s="12">
        <v>60000</v>
      </c>
      <c r="E86" s="12">
        <f>D86*C86</f>
        <v>300</v>
      </c>
      <c r="F86" s="24"/>
      <c r="G86" s="24"/>
    </row>
    <row r="87" spans="1:7" ht="18" customHeight="1" x14ac:dyDescent="0.3">
      <c r="A87" s="14"/>
      <c r="B87" s="10"/>
      <c r="C87" s="11"/>
      <c r="D87" s="12"/>
      <c r="E87" s="12"/>
    </row>
    <row r="88" spans="1:7" ht="18" customHeight="1" x14ac:dyDescent="0.3">
      <c r="A88" s="83" t="s">
        <v>12</v>
      </c>
      <c r="B88" s="83"/>
      <c r="C88" s="83"/>
      <c r="D88" s="83"/>
      <c r="E88" s="13">
        <f>SUM(E86)</f>
        <v>300</v>
      </c>
    </row>
    <row r="89" spans="1:7" ht="18" customHeight="1" x14ac:dyDescent="0.3">
      <c r="A89" s="89" t="s">
        <v>20</v>
      </c>
      <c r="B89" s="89"/>
      <c r="C89" s="89"/>
      <c r="D89" s="89"/>
      <c r="E89" s="89"/>
    </row>
    <row r="90" spans="1:7" ht="18" customHeight="1" x14ac:dyDescent="0.3">
      <c r="A90" s="9" t="s">
        <v>6</v>
      </c>
      <c r="B90" s="9" t="s">
        <v>3</v>
      </c>
      <c r="C90" s="9" t="s">
        <v>7</v>
      </c>
      <c r="D90" s="9" t="s">
        <v>21</v>
      </c>
      <c r="E90" s="9" t="s">
        <v>9</v>
      </c>
    </row>
    <row r="91" spans="1:7" ht="18" customHeight="1" x14ac:dyDescent="0.3">
      <c r="A91" s="14" t="s">
        <v>30</v>
      </c>
      <c r="B91" s="10" t="s">
        <v>19</v>
      </c>
      <c r="C91" s="11">
        <v>45</v>
      </c>
      <c r="D91" s="12">
        <v>215000</v>
      </c>
      <c r="E91" s="12">
        <f>D91/C91</f>
        <v>4777.7777777777774</v>
      </c>
    </row>
    <row r="92" spans="1:7" ht="18" customHeight="1" x14ac:dyDescent="0.3">
      <c r="A92" s="14"/>
      <c r="B92" s="10"/>
      <c r="C92" s="11"/>
      <c r="D92" s="12"/>
      <c r="E92" s="12"/>
    </row>
    <row r="93" spans="1:7" ht="18" customHeight="1" x14ac:dyDescent="0.3">
      <c r="A93" s="83" t="s">
        <v>12</v>
      </c>
      <c r="B93" s="83"/>
      <c r="C93" s="83"/>
      <c r="D93" s="83"/>
      <c r="E93" s="13">
        <f>SUM(E91)</f>
        <v>4777.7777777777774</v>
      </c>
    </row>
    <row r="94" spans="1:7" ht="18" customHeight="1" x14ac:dyDescent="0.3">
      <c r="A94" s="10"/>
      <c r="B94" s="19"/>
      <c r="C94" s="19"/>
      <c r="D94" s="19"/>
      <c r="E94" s="19"/>
    </row>
    <row r="95" spans="1:7" ht="18" customHeight="1" x14ac:dyDescent="0.3">
      <c r="A95" s="83" t="s">
        <v>23</v>
      </c>
      <c r="B95" s="83"/>
      <c r="C95" s="83"/>
      <c r="D95" s="83"/>
      <c r="E95" s="13">
        <f>SUM(E75,E83,E88,E93)</f>
        <v>13185.8</v>
      </c>
    </row>
    <row r="97" spans="1:7" ht="18" customHeight="1" x14ac:dyDescent="0.3">
      <c r="B97" s="19"/>
      <c r="C97" s="19"/>
      <c r="D97" s="19"/>
      <c r="E97" s="19"/>
    </row>
    <row r="98" spans="1:7" ht="18" customHeight="1" x14ac:dyDescent="0.3">
      <c r="A98" s="98" t="s">
        <v>139</v>
      </c>
      <c r="B98" s="98"/>
      <c r="C98" s="98"/>
      <c r="D98" s="43" t="s">
        <v>1</v>
      </c>
      <c r="E98" s="43"/>
    </row>
    <row r="99" spans="1:7" ht="18" customHeight="1" x14ac:dyDescent="0.3">
      <c r="A99" s="87"/>
      <c r="B99" s="87"/>
      <c r="C99" s="87"/>
      <c r="D99" s="8" t="s">
        <v>3</v>
      </c>
      <c r="E99" s="8" t="s">
        <v>43</v>
      </c>
    </row>
    <row r="100" spans="1:7" ht="18" customHeight="1" x14ac:dyDescent="0.3">
      <c r="A100" s="89" t="s">
        <v>5</v>
      </c>
      <c r="B100" s="89"/>
      <c r="C100" s="89"/>
      <c r="D100" s="89"/>
      <c r="E100" s="89"/>
    </row>
    <row r="101" spans="1:7" ht="18" customHeight="1" x14ac:dyDescent="0.3">
      <c r="A101" s="9" t="s">
        <v>6</v>
      </c>
      <c r="B101" s="9" t="s">
        <v>3</v>
      </c>
      <c r="C101" s="9" t="s">
        <v>7</v>
      </c>
      <c r="D101" s="9" t="s">
        <v>8</v>
      </c>
      <c r="E101" s="9" t="s">
        <v>9</v>
      </c>
    </row>
    <row r="102" spans="1:7" ht="18" customHeight="1" x14ac:dyDescent="0.3">
      <c r="A102" s="14" t="s">
        <v>10</v>
      </c>
      <c r="B102" s="10" t="s">
        <v>11</v>
      </c>
      <c r="C102" s="11">
        <v>0.1</v>
      </c>
      <c r="D102" s="12">
        <f>E123</f>
        <v>3142.8571428571427</v>
      </c>
      <c r="E102" s="12">
        <f>C102*D102</f>
        <v>314.28571428571428</v>
      </c>
    </row>
    <row r="103" spans="1:7" ht="18" customHeight="1" x14ac:dyDescent="0.3">
      <c r="A103" s="14" t="s">
        <v>84</v>
      </c>
      <c r="B103" s="10" t="s">
        <v>19</v>
      </c>
      <c r="C103" s="11">
        <v>0.02</v>
      </c>
      <c r="D103" s="12">
        <v>25000</v>
      </c>
      <c r="E103" s="12">
        <f>C103*D103</f>
        <v>500</v>
      </c>
    </row>
    <row r="104" spans="1:7" ht="18" customHeight="1" x14ac:dyDescent="0.3">
      <c r="A104" s="10"/>
      <c r="B104" s="10"/>
      <c r="C104" s="10"/>
      <c r="D104" s="12"/>
      <c r="E104" s="12"/>
    </row>
    <row r="105" spans="1:7" ht="18" customHeight="1" x14ac:dyDescent="0.3">
      <c r="A105" s="83" t="s">
        <v>12</v>
      </c>
      <c r="B105" s="83"/>
      <c r="C105" s="83"/>
      <c r="D105" s="83"/>
      <c r="E105" s="13">
        <f>SUM(E102:E103)</f>
        <v>814.28571428571422</v>
      </c>
    </row>
    <row r="106" spans="1:7" ht="18" customHeight="1" x14ac:dyDescent="0.3">
      <c r="A106" s="89" t="s">
        <v>13</v>
      </c>
      <c r="B106" s="89"/>
      <c r="C106" s="89"/>
      <c r="D106" s="89"/>
      <c r="E106" s="89"/>
    </row>
    <row r="107" spans="1:7" ht="18" customHeight="1" x14ac:dyDescent="0.3">
      <c r="A107" s="9" t="s">
        <v>6</v>
      </c>
      <c r="B107" s="9" t="s">
        <v>3</v>
      </c>
      <c r="C107" s="9" t="s">
        <v>14</v>
      </c>
      <c r="D107" s="9" t="s">
        <v>15</v>
      </c>
      <c r="E107" s="9" t="s">
        <v>9</v>
      </c>
    </row>
    <row r="108" spans="1:7" ht="18" customHeight="1" x14ac:dyDescent="0.3">
      <c r="A108" s="14" t="s">
        <v>122</v>
      </c>
      <c r="B108" s="10" t="s">
        <v>123</v>
      </c>
      <c r="C108" s="16">
        <v>4.0000000000000001E-3</v>
      </c>
      <c r="D108" s="12">
        <v>450000</v>
      </c>
      <c r="E108" s="12">
        <f>C108*D108</f>
        <v>1800</v>
      </c>
      <c r="G108" s="20">
        <f>0.5*0.5*1</f>
        <v>0.25</v>
      </c>
    </row>
    <row r="109" spans="1:7" ht="18" customHeight="1" x14ac:dyDescent="0.3">
      <c r="A109" s="14" t="s">
        <v>124</v>
      </c>
      <c r="B109" s="10" t="s">
        <v>26</v>
      </c>
      <c r="C109" s="16">
        <v>1E-3</v>
      </c>
      <c r="D109" s="12">
        <v>38000</v>
      </c>
      <c r="E109" s="12">
        <f>C109*D109</f>
        <v>38</v>
      </c>
    </row>
    <row r="110" spans="1:7" ht="18" customHeight="1" x14ac:dyDescent="0.3">
      <c r="A110" s="14"/>
      <c r="B110" s="10"/>
      <c r="C110" s="16"/>
      <c r="D110" s="12"/>
      <c r="E110" s="12"/>
    </row>
    <row r="111" spans="1:7" ht="18" customHeight="1" x14ac:dyDescent="0.3">
      <c r="A111" s="17" t="s">
        <v>35</v>
      </c>
      <c r="B111" s="91"/>
      <c r="C111" s="91"/>
      <c r="D111" s="91"/>
      <c r="E111" s="12">
        <f>E108*0.03</f>
        <v>54</v>
      </c>
    </row>
    <row r="112" spans="1:7" ht="18" customHeight="1" x14ac:dyDescent="0.3">
      <c r="A112" s="17"/>
      <c r="B112" s="18"/>
      <c r="C112" s="19"/>
      <c r="D112" s="19"/>
      <c r="E112" s="12"/>
    </row>
    <row r="113" spans="1:7" ht="18" customHeight="1" x14ac:dyDescent="0.3">
      <c r="A113" s="83" t="s">
        <v>12</v>
      </c>
      <c r="B113" s="83"/>
      <c r="C113" s="83"/>
      <c r="D113" s="83"/>
      <c r="E113" s="13">
        <f>SUM(E108:E111)</f>
        <v>1892</v>
      </c>
    </row>
    <row r="114" spans="1:7" ht="18" customHeight="1" x14ac:dyDescent="0.3">
      <c r="A114" s="89" t="s">
        <v>17</v>
      </c>
      <c r="B114" s="89"/>
      <c r="C114" s="89"/>
      <c r="D114" s="89"/>
      <c r="E114" s="89"/>
    </row>
    <row r="115" spans="1:7" ht="18" customHeight="1" x14ac:dyDescent="0.3">
      <c r="A115" s="9" t="s">
        <v>6</v>
      </c>
      <c r="B115" s="9" t="s">
        <v>3</v>
      </c>
      <c r="C115" s="9" t="s">
        <v>7</v>
      </c>
      <c r="D115" s="9" t="s">
        <v>8</v>
      </c>
      <c r="E115" s="9" t="s">
        <v>9</v>
      </c>
    </row>
    <row r="116" spans="1:7" ht="18" customHeight="1" x14ac:dyDescent="0.3">
      <c r="A116" s="14" t="s">
        <v>36</v>
      </c>
      <c r="B116" s="10" t="s">
        <v>19</v>
      </c>
      <c r="C116" s="11">
        <v>1E-3</v>
      </c>
      <c r="D116" s="12">
        <v>45000</v>
      </c>
      <c r="E116" s="12">
        <f>D116*C116</f>
        <v>45</v>
      </c>
      <c r="G116" s="24"/>
    </row>
    <row r="117" spans="1:7" ht="18" customHeight="1" x14ac:dyDescent="0.3">
      <c r="A117" s="14"/>
      <c r="B117" s="10"/>
      <c r="C117" s="11"/>
      <c r="D117" s="12"/>
      <c r="E117" s="12"/>
    </row>
    <row r="118" spans="1:7" ht="18" customHeight="1" x14ac:dyDescent="0.3">
      <c r="A118" s="83" t="s">
        <v>12</v>
      </c>
      <c r="B118" s="83"/>
      <c r="C118" s="83"/>
      <c r="D118" s="83"/>
      <c r="E118" s="13">
        <f>SUM(E116)</f>
        <v>45</v>
      </c>
    </row>
    <row r="119" spans="1:7" ht="18" customHeight="1" x14ac:dyDescent="0.3">
      <c r="A119" s="89" t="s">
        <v>20</v>
      </c>
      <c r="B119" s="89"/>
      <c r="C119" s="89"/>
      <c r="D119" s="89"/>
      <c r="E119" s="89"/>
    </row>
    <row r="120" spans="1:7" ht="18" customHeight="1" x14ac:dyDescent="0.3">
      <c r="A120" s="9" t="s">
        <v>6</v>
      </c>
      <c r="B120" s="9" t="s">
        <v>3</v>
      </c>
      <c r="C120" s="9" t="s">
        <v>7</v>
      </c>
      <c r="D120" s="9" t="s">
        <v>21</v>
      </c>
      <c r="E120" s="9" t="s">
        <v>9</v>
      </c>
    </row>
    <row r="121" spans="1:7" ht="18" customHeight="1" x14ac:dyDescent="0.3">
      <c r="A121" s="14" t="s">
        <v>30</v>
      </c>
      <c r="B121" s="10" t="s">
        <v>19</v>
      </c>
      <c r="C121" s="11">
        <v>70</v>
      </c>
      <c r="D121" s="12">
        <v>220000</v>
      </c>
      <c r="E121" s="12">
        <f>D121/C121</f>
        <v>3142.8571428571427</v>
      </c>
      <c r="G121" s="20">
        <f>480/C121</f>
        <v>6.8571428571428568</v>
      </c>
    </row>
    <row r="122" spans="1:7" ht="18" customHeight="1" x14ac:dyDescent="0.3">
      <c r="A122" s="14"/>
      <c r="B122" s="10"/>
      <c r="C122" s="11"/>
      <c r="D122" s="12"/>
      <c r="E122" s="12"/>
    </row>
    <row r="123" spans="1:7" ht="18" customHeight="1" x14ac:dyDescent="0.3">
      <c r="A123" s="83" t="s">
        <v>12</v>
      </c>
      <c r="B123" s="83"/>
      <c r="C123" s="83"/>
      <c r="D123" s="83"/>
      <c r="E123" s="13">
        <f>SUM(E121)</f>
        <v>3142.8571428571427</v>
      </c>
    </row>
    <row r="124" spans="1:7" ht="18" customHeight="1" x14ac:dyDescent="0.3">
      <c r="A124" s="10"/>
      <c r="B124" s="19"/>
      <c r="C124" s="19"/>
      <c r="D124" s="19"/>
      <c r="E124" s="19"/>
    </row>
    <row r="125" spans="1:7" ht="18" customHeight="1" x14ac:dyDescent="0.3">
      <c r="A125" s="83" t="s">
        <v>23</v>
      </c>
      <c r="B125" s="83"/>
      <c r="C125" s="83"/>
      <c r="D125" s="83"/>
      <c r="E125" s="13">
        <f>SUM(E105,E113,E118,E123)</f>
        <v>5894.1428571428569</v>
      </c>
    </row>
    <row r="127" spans="1:7" ht="18" customHeight="1" x14ac:dyDescent="0.3">
      <c r="A127" s="2"/>
      <c r="B127" s="3"/>
      <c r="C127" s="3"/>
      <c r="D127" s="3"/>
      <c r="E127" s="3"/>
    </row>
    <row r="128" spans="1:7" ht="18" customHeight="1" x14ac:dyDescent="0.3">
      <c r="A128" s="98" t="s">
        <v>142</v>
      </c>
      <c r="B128" s="98"/>
      <c r="C128" s="98"/>
      <c r="D128" s="43" t="s">
        <v>1</v>
      </c>
      <c r="E128" s="43" t="s">
        <v>132</v>
      </c>
    </row>
    <row r="129" spans="1:7" ht="18" customHeight="1" x14ac:dyDescent="0.3">
      <c r="A129" s="87"/>
      <c r="B129" s="88"/>
      <c r="C129" s="88"/>
      <c r="D129" s="8" t="s">
        <v>3</v>
      </c>
      <c r="E129" s="8" t="s">
        <v>4</v>
      </c>
    </row>
    <row r="130" spans="1:7" ht="18" customHeight="1" x14ac:dyDescent="0.3">
      <c r="A130" s="89" t="s">
        <v>5</v>
      </c>
      <c r="B130" s="90"/>
      <c r="C130" s="90"/>
      <c r="D130" s="90"/>
      <c r="E130" s="90"/>
    </row>
    <row r="131" spans="1:7" ht="18" customHeight="1" x14ac:dyDescent="0.3">
      <c r="A131" s="9" t="s">
        <v>6</v>
      </c>
      <c r="B131" s="9" t="s">
        <v>3</v>
      </c>
      <c r="C131" s="9" t="s">
        <v>7</v>
      </c>
      <c r="D131" s="9" t="s">
        <v>8</v>
      </c>
      <c r="E131" s="9" t="s">
        <v>9</v>
      </c>
    </row>
    <row r="132" spans="1:7" ht="18" customHeight="1" x14ac:dyDescent="0.3">
      <c r="A132" s="14" t="s">
        <v>10</v>
      </c>
      <c r="B132" s="10" t="s">
        <v>11</v>
      </c>
      <c r="C132" s="11">
        <v>0.1</v>
      </c>
      <c r="D132" s="12">
        <f>E154</f>
        <v>2933.3333333333335</v>
      </c>
      <c r="E132" s="12">
        <f>C132*D132</f>
        <v>293.33333333333337</v>
      </c>
    </row>
    <row r="133" spans="1:7" ht="18" customHeight="1" x14ac:dyDescent="0.3">
      <c r="A133" s="14" t="s">
        <v>84</v>
      </c>
      <c r="B133" s="10" t="s">
        <v>19</v>
      </c>
      <c r="C133" s="11">
        <v>0.02</v>
      </c>
      <c r="D133" s="12">
        <v>25000</v>
      </c>
      <c r="E133" s="12">
        <f>C133*D133</f>
        <v>500</v>
      </c>
    </row>
    <row r="134" spans="1:7" ht="18" customHeight="1" x14ac:dyDescent="0.3">
      <c r="A134" s="10"/>
      <c r="B134" s="10"/>
      <c r="C134" s="10"/>
      <c r="D134" s="12"/>
      <c r="E134" s="12"/>
    </row>
    <row r="135" spans="1:7" ht="18" customHeight="1" x14ac:dyDescent="0.3">
      <c r="A135" s="83" t="s">
        <v>12</v>
      </c>
      <c r="B135" s="84"/>
      <c r="C135" s="84"/>
      <c r="D135" s="84"/>
      <c r="E135" s="13">
        <f>SUM(E132:E133)</f>
        <v>793.33333333333337</v>
      </c>
    </row>
    <row r="136" spans="1:7" ht="18" customHeight="1" x14ac:dyDescent="0.3">
      <c r="A136" s="89" t="s">
        <v>13</v>
      </c>
      <c r="B136" s="90"/>
      <c r="C136" s="90"/>
      <c r="D136" s="90"/>
      <c r="E136" s="90"/>
    </row>
    <row r="137" spans="1:7" ht="18" customHeight="1" x14ac:dyDescent="0.3">
      <c r="A137" s="9" t="s">
        <v>6</v>
      </c>
      <c r="B137" s="9" t="s">
        <v>3</v>
      </c>
      <c r="C137" s="9" t="s">
        <v>14</v>
      </c>
      <c r="D137" s="9" t="s">
        <v>15</v>
      </c>
      <c r="E137" s="9" t="s">
        <v>9</v>
      </c>
    </row>
    <row r="138" spans="1:7" ht="18" customHeight="1" x14ac:dyDescent="0.3">
      <c r="A138" s="14" t="s">
        <v>143</v>
      </c>
      <c r="B138" s="10" t="s">
        <v>4</v>
      </c>
      <c r="C138" s="16">
        <v>1.4999999999999999E-2</v>
      </c>
      <c r="D138" s="12">
        <v>350000</v>
      </c>
      <c r="E138" s="12">
        <f>C138*D138</f>
        <v>5250</v>
      </c>
      <c r="G138" s="20">
        <f>0.1*0.1*1</f>
        <v>1.0000000000000002E-2</v>
      </c>
    </row>
    <row r="139" spans="1:7" ht="18" customHeight="1" x14ac:dyDescent="0.3">
      <c r="A139" s="14" t="s">
        <v>124</v>
      </c>
      <c r="B139" s="10" t="s">
        <v>26</v>
      </c>
      <c r="C139" s="16">
        <v>1E-3</v>
      </c>
      <c r="D139" s="12">
        <v>38000</v>
      </c>
      <c r="E139" s="12">
        <f>C139*D139</f>
        <v>38</v>
      </c>
    </row>
    <row r="140" spans="1:7" ht="18" customHeight="1" x14ac:dyDescent="0.3">
      <c r="A140" s="14" t="s">
        <v>125</v>
      </c>
      <c r="B140" s="10" t="s">
        <v>26</v>
      </c>
      <c r="C140" s="16">
        <v>1E-3</v>
      </c>
      <c r="D140" s="12">
        <v>10000</v>
      </c>
      <c r="E140" s="12">
        <f>C140*D140</f>
        <v>10</v>
      </c>
    </row>
    <row r="141" spans="1:7" ht="18" customHeight="1" x14ac:dyDescent="0.3">
      <c r="A141" s="14"/>
      <c r="B141" s="10"/>
      <c r="C141" s="16"/>
      <c r="D141" s="12"/>
      <c r="E141" s="12"/>
    </row>
    <row r="142" spans="1:7" ht="18" customHeight="1" x14ac:dyDescent="0.3">
      <c r="A142" s="17" t="s">
        <v>46</v>
      </c>
      <c r="B142" s="91"/>
      <c r="C142" s="88"/>
      <c r="D142" s="88"/>
      <c r="E142" s="12">
        <f>SUM(E138:E141)*0.05</f>
        <v>264.90000000000003</v>
      </c>
    </row>
    <row r="143" spans="1:7" ht="18" customHeight="1" x14ac:dyDescent="0.3">
      <c r="A143" s="17"/>
      <c r="B143" s="18"/>
      <c r="C143" s="19"/>
      <c r="D143" s="19"/>
      <c r="E143" s="12"/>
    </row>
    <row r="144" spans="1:7" ht="18" customHeight="1" x14ac:dyDescent="0.3">
      <c r="A144" s="83" t="s">
        <v>12</v>
      </c>
      <c r="B144" s="84"/>
      <c r="C144" s="84"/>
      <c r="D144" s="84"/>
      <c r="E144" s="13">
        <f>SUM(E138:E142)</f>
        <v>5562.9</v>
      </c>
    </row>
    <row r="145" spans="1:5" ht="18" customHeight="1" x14ac:dyDescent="0.3">
      <c r="A145" s="89" t="s">
        <v>17</v>
      </c>
      <c r="B145" s="90"/>
      <c r="C145" s="90"/>
      <c r="D145" s="90"/>
      <c r="E145" s="90"/>
    </row>
    <row r="146" spans="1:5" ht="18" customHeight="1" x14ac:dyDescent="0.3">
      <c r="A146" s="9" t="s">
        <v>6</v>
      </c>
      <c r="B146" s="9" t="s">
        <v>3</v>
      </c>
      <c r="C146" s="9" t="s">
        <v>7</v>
      </c>
      <c r="D146" s="9" t="s">
        <v>8</v>
      </c>
      <c r="E146" s="9" t="s">
        <v>9</v>
      </c>
    </row>
    <row r="147" spans="1:5" ht="18" customHeight="1" x14ac:dyDescent="0.3">
      <c r="A147" s="14" t="s">
        <v>36</v>
      </c>
      <c r="B147" s="10" t="s">
        <v>19</v>
      </c>
      <c r="C147" s="11">
        <v>2.5000000000000001E-2</v>
      </c>
      <c r="D147" s="12">
        <v>45000</v>
      </c>
      <c r="E147" s="12">
        <f>D147*C147</f>
        <v>1125</v>
      </c>
    </row>
    <row r="148" spans="1:5" ht="18" customHeight="1" x14ac:dyDescent="0.3">
      <c r="A148" s="14"/>
      <c r="B148" s="10"/>
      <c r="C148" s="11"/>
      <c r="D148" s="12"/>
      <c r="E148" s="12"/>
    </row>
    <row r="149" spans="1:5" ht="18" customHeight="1" x14ac:dyDescent="0.3">
      <c r="A149" s="83" t="s">
        <v>12</v>
      </c>
      <c r="B149" s="84"/>
      <c r="C149" s="84"/>
      <c r="D149" s="84"/>
      <c r="E149" s="13">
        <f>SUM(E147)</f>
        <v>1125</v>
      </c>
    </row>
    <row r="150" spans="1:5" ht="18" customHeight="1" x14ac:dyDescent="0.3">
      <c r="A150" s="89" t="s">
        <v>20</v>
      </c>
      <c r="B150" s="90"/>
      <c r="C150" s="90"/>
      <c r="D150" s="90"/>
      <c r="E150" s="90"/>
    </row>
    <row r="151" spans="1:5" ht="18" customHeight="1" x14ac:dyDescent="0.3">
      <c r="A151" s="9" t="s">
        <v>6</v>
      </c>
      <c r="B151" s="9" t="s">
        <v>3</v>
      </c>
      <c r="C151" s="9" t="s">
        <v>7</v>
      </c>
      <c r="D151" s="9" t="s">
        <v>21</v>
      </c>
      <c r="E151" s="9" t="s">
        <v>9</v>
      </c>
    </row>
    <row r="152" spans="1:5" ht="18" customHeight="1" x14ac:dyDescent="0.3">
      <c r="A152" s="14" t="s">
        <v>30</v>
      </c>
      <c r="B152" s="10" t="s">
        <v>19</v>
      </c>
      <c r="C152" s="11">
        <v>75</v>
      </c>
      <c r="D152" s="12">
        <v>220000</v>
      </c>
      <c r="E152" s="12">
        <f>D152/C152</f>
        <v>2933.3333333333335</v>
      </c>
    </row>
    <row r="153" spans="1:5" ht="18" customHeight="1" x14ac:dyDescent="0.3">
      <c r="A153" s="14"/>
      <c r="B153" s="10"/>
      <c r="C153" s="11"/>
      <c r="D153" s="12"/>
      <c r="E153" s="12"/>
    </row>
    <row r="154" spans="1:5" ht="18" customHeight="1" x14ac:dyDescent="0.3">
      <c r="A154" s="83" t="s">
        <v>12</v>
      </c>
      <c r="B154" s="84"/>
      <c r="C154" s="84"/>
      <c r="D154" s="84"/>
      <c r="E154" s="13">
        <f>SUM(E152)</f>
        <v>2933.3333333333335</v>
      </c>
    </row>
    <row r="155" spans="1:5" ht="18" customHeight="1" x14ac:dyDescent="0.3">
      <c r="A155" s="10"/>
      <c r="B155" s="19"/>
      <c r="C155" s="19"/>
      <c r="D155" s="19"/>
      <c r="E155" s="19"/>
    </row>
    <row r="156" spans="1:5" ht="18" customHeight="1" x14ac:dyDescent="0.3">
      <c r="A156" s="83" t="s">
        <v>23</v>
      </c>
      <c r="B156" s="84"/>
      <c r="C156" s="84"/>
      <c r="D156" s="84"/>
      <c r="E156" s="13">
        <f>SUM(E135,E144,E149,E154)</f>
        <v>10414.566666666666</v>
      </c>
    </row>
    <row r="160" spans="1:5" ht="37.200000000000003" customHeight="1" x14ac:dyDescent="0.3">
      <c r="A160" s="101" t="s">
        <v>150</v>
      </c>
      <c r="B160" s="101"/>
      <c r="C160" s="101"/>
      <c r="D160" s="43" t="s">
        <v>1</v>
      </c>
      <c r="E160" s="43" t="s">
        <v>144</v>
      </c>
    </row>
    <row r="161" spans="1:7" ht="18" customHeight="1" x14ac:dyDescent="0.3">
      <c r="A161" s="87"/>
      <c r="B161" s="88"/>
      <c r="C161" s="88"/>
      <c r="D161" s="8" t="s">
        <v>3</v>
      </c>
      <c r="E161" s="8" t="s">
        <v>49</v>
      </c>
    </row>
    <row r="162" spans="1:7" ht="18" customHeight="1" x14ac:dyDescent="0.3">
      <c r="A162" s="89" t="s">
        <v>5</v>
      </c>
      <c r="B162" s="90"/>
      <c r="C162" s="90"/>
      <c r="D162" s="90"/>
      <c r="E162" s="90"/>
    </row>
    <row r="163" spans="1:7" ht="18" customHeight="1" x14ac:dyDescent="0.3">
      <c r="A163" s="9" t="s">
        <v>6</v>
      </c>
      <c r="B163" s="9" t="s">
        <v>3</v>
      </c>
      <c r="C163" s="9" t="s">
        <v>7</v>
      </c>
      <c r="D163" s="9" t="s">
        <v>8</v>
      </c>
      <c r="E163" s="9" t="s">
        <v>9</v>
      </c>
    </row>
    <row r="164" spans="1:7" ht="18" customHeight="1" x14ac:dyDescent="0.3">
      <c r="A164" s="14" t="s">
        <v>10</v>
      </c>
      <c r="B164" s="10" t="s">
        <v>11</v>
      </c>
      <c r="C164" s="11">
        <v>0.1</v>
      </c>
      <c r="D164" s="12">
        <f>E186</f>
        <v>65000</v>
      </c>
      <c r="E164" s="12">
        <f>C164*D164</f>
        <v>6500</v>
      </c>
    </row>
    <row r="165" spans="1:7" ht="18" customHeight="1" x14ac:dyDescent="0.3">
      <c r="A165" s="10"/>
      <c r="B165" s="10"/>
      <c r="C165" s="10"/>
      <c r="D165" s="12"/>
      <c r="E165" s="12"/>
    </row>
    <row r="166" spans="1:7" ht="18" customHeight="1" x14ac:dyDescent="0.3">
      <c r="A166" s="83" t="s">
        <v>12</v>
      </c>
      <c r="B166" s="84"/>
      <c r="C166" s="84"/>
      <c r="D166" s="84"/>
      <c r="E166" s="13">
        <f>SUM(E164:E164)</f>
        <v>6500</v>
      </c>
    </row>
    <row r="167" spans="1:7" ht="18" customHeight="1" x14ac:dyDescent="0.3">
      <c r="A167" s="89" t="s">
        <v>13</v>
      </c>
      <c r="B167" s="90"/>
      <c r="C167" s="90"/>
      <c r="D167" s="90"/>
      <c r="E167" s="90"/>
    </row>
    <row r="168" spans="1:7" ht="18" customHeight="1" x14ac:dyDescent="0.3">
      <c r="A168" s="9" t="s">
        <v>6</v>
      </c>
      <c r="B168" s="9" t="s">
        <v>3</v>
      </c>
      <c r="C168" s="9" t="s">
        <v>14</v>
      </c>
      <c r="D168" s="9" t="s">
        <v>15</v>
      </c>
      <c r="E168" s="9" t="s">
        <v>9</v>
      </c>
    </row>
    <row r="169" spans="1:7" ht="18" customHeight="1" x14ac:dyDescent="0.3">
      <c r="A169" s="14" t="s">
        <v>146</v>
      </c>
      <c r="B169" s="10" t="s">
        <v>41</v>
      </c>
      <c r="C169" s="16">
        <v>0.05</v>
      </c>
      <c r="D169" s="12">
        <v>140000</v>
      </c>
      <c r="E169" s="12">
        <f>C169*D169</f>
        <v>7000</v>
      </c>
    </row>
    <row r="170" spans="1:7" ht="18" customHeight="1" x14ac:dyDescent="0.3">
      <c r="A170" s="14" t="s">
        <v>151</v>
      </c>
      <c r="B170" s="10" t="s">
        <v>41</v>
      </c>
      <c r="C170" s="16">
        <v>2.5000000000000001E-2</v>
      </c>
      <c r="D170" s="12">
        <v>38000</v>
      </c>
      <c r="E170" s="12">
        <f>C170*D170</f>
        <v>950</v>
      </c>
    </row>
    <row r="171" spans="1:7" ht="18" customHeight="1" x14ac:dyDescent="0.3">
      <c r="A171" s="14" t="s">
        <v>124</v>
      </c>
      <c r="B171" s="10" t="s">
        <v>26</v>
      </c>
      <c r="C171" s="16">
        <v>1E-3</v>
      </c>
      <c r="D171" s="12">
        <v>15000</v>
      </c>
      <c r="E171" s="12">
        <f>C171*D171</f>
        <v>15</v>
      </c>
    </row>
    <row r="172" spans="1:7" ht="18" customHeight="1" x14ac:dyDescent="0.3">
      <c r="A172" s="14" t="s">
        <v>125</v>
      </c>
      <c r="B172" s="10" t="s">
        <v>26</v>
      </c>
      <c r="C172" s="16">
        <v>1E-3</v>
      </c>
      <c r="D172" s="12">
        <v>10000</v>
      </c>
      <c r="E172" s="12">
        <f>C172*D172</f>
        <v>10</v>
      </c>
    </row>
    <row r="173" spans="1:7" ht="18" customHeight="1" x14ac:dyDescent="0.3">
      <c r="A173" s="14"/>
      <c r="B173" s="10"/>
      <c r="C173" s="16"/>
      <c r="D173" s="12"/>
      <c r="E173" s="12"/>
    </row>
    <row r="174" spans="1:7" ht="18" customHeight="1" x14ac:dyDescent="0.3">
      <c r="A174" s="17" t="s">
        <v>46</v>
      </c>
      <c r="B174" s="91"/>
      <c r="C174" s="88"/>
      <c r="D174" s="88"/>
      <c r="E174" s="12">
        <f>SUM(E169:E173)*0.05</f>
        <v>398.75</v>
      </c>
    </row>
    <row r="175" spans="1:7" ht="18" customHeight="1" x14ac:dyDescent="0.3">
      <c r="A175" s="17"/>
      <c r="B175" s="18"/>
      <c r="C175" s="19"/>
      <c r="D175" s="19"/>
      <c r="E175" s="12"/>
    </row>
    <row r="176" spans="1:7" ht="18" customHeight="1" x14ac:dyDescent="0.3">
      <c r="A176" s="83" t="s">
        <v>12</v>
      </c>
      <c r="B176" s="84"/>
      <c r="C176" s="84"/>
      <c r="D176" s="84"/>
      <c r="E176" s="13">
        <f>SUM(E169:E174)</f>
        <v>8373.75</v>
      </c>
      <c r="G176" s="24">
        <f>E176/8</f>
        <v>1046.71875</v>
      </c>
    </row>
    <row r="177" spans="1:9" ht="18" customHeight="1" x14ac:dyDescent="0.3">
      <c r="A177" s="89" t="s">
        <v>17</v>
      </c>
      <c r="B177" s="90"/>
      <c r="C177" s="90"/>
      <c r="D177" s="90"/>
      <c r="E177" s="90"/>
    </row>
    <row r="178" spans="1:9" ht="18" customHeight="1" x14ac:dyDescent="0.3">
      <c r="A178" s="9" t="s">
        <v>6</v>
      </c>
      <c r="B178" s="9" t="s">
        <v>3</v>
      </c>
      <c r="C178" s="9" t="s">
        <v>7</v>
      </c>
      <c r="D178" s="9" t="s">
        <v>8</v>
      </c>
      <c r="E178" s="9" t="s">
        <v>9</v>
      </c>
    </row>
    <row r="179" spans="1:9" ht="18" customHeight="1" x14ac:dyDescent="0.3">
      <c r="A179" s="14" t="s">
        <v>36</v>
      </c>
      <c r="B179" s="10" t="s">
        <v>19</v>
      </c>
      <c r="C179" s="11">
        <v>2.5000000000000001E-2</v>
      </c>
      <c r="D179" s="12">
        <v>45000</v>
      </c>
      <c r="E179" s="12">
        <f>D179*C179</f>
        <v>1125</v>
      </c>
    </row>
    <row r="180" spans="1:9" ht="18" customHeight="1" x14ac:dyDescent="0.3">
      <c r="A180" s="14"/>
      <c r="B180" s="10"/>
      <c r="C180" s="11"/>
      <c r="D180" s="12"/>
      <c r="E180" s="12"/>
    </row>
    <row r="181" spans="1:9" ht="18" customHeight="1" x14ac:dyDescent="0.3">
      <c r="A181" s="83" t="s">
        <v>12</v>
      </c>
      <c r="B181" s="84"/>
      <c r="C181" s="84"/>
      <c r="D181" s="84"/>
      <c r="E181" s="13">
        <f>SUM(E179)</f>
        <v>1125</v>
      </c>
    </row>
    <row r="182" spans="1:9" ht="18" customHeight="1" x14ac:dyDescent="0.3">
      <c r="A182" s="89" t="s">
        <v>20</v>
      </c>
      <c r="B182" s="90"/>
      <c r="C182" s="90"/>
      <c r="D182" s="90"/>
      <c r="E182" s="90"/>
    </row>
    <row r="183" spans="1:9" ht="18" customHeight="1" x14ac:dyDescent="0.3">
      <c r="A183" s="9" t="s">
        <v>6</v>
      </c>
      <c r="B183" s="9" t="s">
        <v>3</v>
      </c>
      <c r="C183" s="9" t="s">
        <v>7</v>
      </c>
      <c r="D183" s="9" t="s">
        <v>21</v>
      </c>
      <c r="E183" s="9" t="s">
        <v>9</v>
      </c>
      <c r="G183" s="46"/>
    </row>
    <row r="184" spans="1:9" ht="18" customHeight="1" x14ac:dyDescent="0.3">
      <c r="A184" s="14" t="s">
        <v>37</v>
      </c>
      <c r="B184" s="10" t="s">
        <v>19</v>
      </c>
      <c r="C184" s="11">
        <v>2</v>
      </c>
      <c r="D184" s="12">
        <v>130000</v>
      </c>
      <c r="E184" s="12">
        <f>D184/C184</f>
        <v>65000</v>
      </c>
      <c r="G184" s="24">
        <f>E184/8</f>
        <v>8125</v>
      </c>
    </row>
    <row r="185" spans="1:9" ht="18" customHeight="1" x14ac:dyDescent="0.3">
      <c r="A185" s="14"/>
      <c r="B185" s="10"/>
      <c r="C185" s="11"/>
      <c r="D185" s="12"/>
      <c r="E185" s="12"/>
    </row>
    <row r="186" spans="1:9" ht="18" customHeight="1" x14ac:dyDescent="0.3">
      <c r="A186" s="83" t="s">
        <v>12</v>
      </c>
      <c r="B186" s="84"/>
      <c r="C186" s="84"/>
      <c r="D186" s="84"/>
      <c r="E186" s="13">
        <f>SUM(E184)</f>
        <v>65000</v>
      </c>
    </row>
    <row r="187" spans="1:9" ht="18" customHeight="1" x14ac:dyDescent="0.3">
      <c r="A187" s="10"/>
      <c r="B187" s="19"/>
      <c r="C187" s="19"/>
      <c r="D187" s="19"/>
      <c r="E187" s="19"/>
    </row>
    <row r="188" spans="1:9" ht="18" customHeight="1" x14ac:dyDescent="0.3">
      <c r="A188" s="83" t="s">
        <v>23</v>
      </c>
      <c r="B188" s="84"/>
      <c r="C188" s="84"/>
      <c r="D188" s="84"/>
      <c r="E188" s="13">
        <f>SUM(E166,E176,E181,E186)</f>
        <v>80998.75</v>
      </c>
      <c r="G188" s="53">
        <f>E188/8</f>
        <v>10124.84375</v>
      </c>
      <c r="H188" s="24"/>
      <c r="I188" s="24"/>
    </row>
    <row r="191" spans="1:9" ht="30.6" customHeight="1" x14ac:dyDescent="0.3">
      <c r="A191" s="101" t="s">
        <v>149</v>
      </c>
      <c r="B191" s="101"/>
      <c r="C191" s="101"/>
      <c r="D191" s="43" t="s">
        <v>1</v>
      </c>
      <c r="E191" s="43" t="s">
        <v>147</v>
      </c>
    </row>
    <row r="192" spans="1:9" ht="18" customHeight="1" x14ac:dyDescent="0.3">
      <c r="A192" s="87"/>
      <c r="B192" s="88"/>
      <c r="C192" s="88"/>
      <c r="D192" s="8" t="s">
        <v>3</v>
      </c>
      <c r="E192" s="8" t="s">
        <v>43</v>
      </c>
    </row>
    <row r="193" spans="1:5" ht="18" customHeight="1" x14ac:dyDescent="0.3">
      <c r="A193" s="89" t="s">
        <v>5</v>
      </c>
      <c r="B193" s="90"/>
      <c r="C193" s="90"/>
      <c r="D193" s="90"/>
      <c r="E193" s="90"/>
    </row>
    <row r="194" spans="1:5" ht="18" customHeight="1" x14ac:dyDescent="0.3">
      <c r="A194" s="9" t="s">
        <v>6</v>
      </c>
      <c r="B194" s="9" t="s">
        <v>3</v>
      </c>
      <c r="C194" s="9" t="s">
        <v>7</v>
      </c>
      <c r="D194" s="9" t="s">
        <v>8</v>
      </c>
      <c r="E194" s="9" t="s">
        <v>9</v>
      </c>
    </row>
    <row r="195" spans="1:5" ht="18" customHeight="1" x14ac:dyDescent="0.3">
      <c r="A195" s="14" t="s">
        <v>10</v>
      </c>
      <c r="B195" s="10" t="s">
        <v>11</v>
      </c>
      <c r="C195" s="11">
        <v>0.1</v>
      </c>
      <c r="D195" s="12">
        <f>E218</f>
        <v>3714.2857142857142</v>
      </c>
      <c r="E195" s="12">
        <f>C195*D195</f>
        <v>371.42857142857144</v>
      </c>
    </row>
    <row r="196" spans="1:5" ht="18" customHeight="1" x14ac:dyDescent="0.3">
      <c r="A196" s="10"/>
      <c r="B196" s="10"/>
      <c r="C196" s="10"/>
      <c r="D196" s="12"/>
      <c r="E196" s="12"/>
    </row>
    <row r="197" spans="1:5" ht="18" customHeight="1" x14ac:dyDescent="0.3">
      <c r="A197" s="83" t="s">
        <v>12</v>
      </c>
      <c r="B197" s="84"/>
      <c r="C197" s="84"/>
      <c r="D197" s="84"/>
      <c r="E197" s="13">
        <f>SUM(E195:E195)</f>
        <v>371.42857142857144</v>
      </c>
    </row>
    <row r="198" spans="1:5" ht="18" customHeight="1" x14ac:dyDescent="0.3">
      <c r="A198" s="89" t="s">
        <v>13</v>
      </c>
      <c r="B198" s="90"/>
      <c r="C198" s="90"/>
      <c r="D198" s="90"/>
      <c r="E198" s="90"/>
    </row>
    <row r="199" spans="1:5" ht="18" customHeight="1" x14ac:dyDescent="0.3">
      <c r="A199" s="9" t="s">
        <v>6</v>
      </c>
      <c r="B199" s="9" t="s">
        <v>3</v>
      </c>
      <c r="C199" s="9" t="s">
        <v>14</v>
      </c>
      <c r="D199" s="9" t="s">
        <v>15</v>
      </c>
      <c r="E199" s="9" t="s">
        <v>9</v>
      </c>
    </row>
    <row r="200" spans="1:5" ht="18" customHeight="1" x14ac:dyDescent="0.3">
      <c r="A200" s="14" t="s">
        <v>146</v>
      </c>
      <c r="B200" s="10" t="s">
        <v>4</v>
      </c>
      <c r="C200" s="16">
        <v>1.4999999999999999E-2</v>
      </c>
      <c r="D200" s="12">
        <v>200000</v>
      </c>
      <c r="E200" s="12">
        <f>C200*D200</f>
        <v>3000</v>
      </c>
    </row>
    <row r="201" spans="1:5" ht="18" customHeight="1" x14ac:dyDescent="0.3">
      <c r="A201" s="14" t="s">
        <v>151</v>
      </c>
      <c r="B201" s="10" t="s">
        <v>41</v>
      </c>
      <c r="C201" s="16">
        <v>0.02</v>
      </c>
      <c r="D201" s="12">
        <v>38000</v>
      </c>
      <c r="E201" s="12">
        <f>C201*D201</f>
        <v>760</v>
      </c>
    </row>
    <row r="202" spans="1:5" ht="18" customHeight="1" x14ac:dyDescent="0.3">
      <c r="A202" s="14" t="s">
        <v>124</v>
      </c>
      <c r="B202" s="10" t="s">
        <v>26</v>
      </c>
      <c r="C202" s="16">
        <v>1E-3</v>
      </c>
      <c r="D202" s="12">
        <v>15000</v>
      </c>
      <c r="E202" s="12">
        <f>C202*D202</f>
        <v>15</v>
      </c>
    </row>
    <row r="203" spans="1:5" ht="18" customHeight="1" x14ac:dyDescent="0.3">
      <c r="A203" s="14" t="s">
        <v>125</v>
      </c>
      <c r="B203" s="10" t="s">
        <v>26</v>
      </c>
      <c r="C203" s="16">
        <v>1E-3</v>
      </c>
      <c r="D203" s="12">
        <v>10000</v>
      </c>
      <c r="E203" s="12">
        <f>C203*D203</f>
        <v>10</v>
      </c>
    </row>
    <row r="204" spans="1:5" ht="18" customHeight="1" x14ac:dyDescent="0.3">
      <c r="A204" s="14" t="s">
        <v>152</v>
      </c>
      <c r="B204" s="10" t="s">
        <v>26</v>
      </c>
      <c r="C204" s="16">
        <v>0.3</v>
      </c>
      <c r="D204" s="12">
        <v>2800</v>
      </c>
      <c r="E204" s="12">
        <f>C204*D204</f>
        <v>840</v>
      </c>
    </row>
    <row r="205" spans="1:5" ht="18" customHeight="1" x14ac:dyDescent="0.3">
      <c r="A205" s="14"/>
      <c r="B205" s="10"/>
      <c r="C205" s="16"/>
      <c r="D205" s="12"/>
      <c r="E205" s="12"/>
    </row>
    <row r="206" spans="1:5" ht="18" customHeight="1" x14ac:dyDescent="0.3">
      <c r="A206" s="17" t="s">
        <v>46</v>
      </c>
      <c r="B206" s="91"/>
      <c r="C206" s="88"/>
      <c r="D206" s="88"/>
      <c r="E206" s="12">
        <f>SUM(E200:E205)*0.05</f>
        <v>231.25</v>
      </c>
    </row>
    <row r="207" spans="1:5" ht="18" customHeight="1" x14ac:dyDescent="0.3">
      <c r="A207" s="17"/>
      <c r="B207" s="18"/>
      <c r="C207" s="19"/>
      <c r="D207" s="19"/>
      <c r="E207" s="12"/>
    </row>
    <row r="208" spans="1:5" ht="18" customHeight="1" x14ac:dyDescent="0.3">
      <c r="A208" s="83" t="s">
        <v>12</v>
      </c>
      <c r="B208" s="84"/>
      <c r="C208" s="84"/>
      <c r="D208" s="84"/>
      <c r="E208" s="13">
        <f>SUM(E200:E206)</f>
        <v>4856.25</v>
      </c>
    </row>
    <row r="209" spans="1:8" ht="18" customHeight="1" x14ac:dyDescent="0.3">
      <c r="A209" s="89" t="s">
        <v>17</v>
      </c>
      <c r="B209" s="90"/>
      <c r="C209" s="90"/>
      <c r="D209" s="90"/>
      <c r="E209" s="90"/>
    </row>
    <row r="210" spans="1:8" ht="18" customHeight="1" x14ac:dyDescent="0.3">
      <c r="A210" s="9" t="s">
        <v>6</v>
      </c>
      <c r="B210" s="9" t="s">
        <v>3</v>
      </c>
      <c r="C210" s="9" t="s">
        <v>7</v>
      </c>
      <c r="D210" s="9" t="s">
        <v>8</v>
      </c>
      <c r="E210" s="9" t="s">
        <v>9</v>
      </c>
    </row>
    <row r="211" spans="1:8" ht="18" customHeight="1" x14ac:dyDescent="0.3">
      <c r="A211" s="14" t="s">
        <v>36</v>
      </c>
      <c r="B211" s="10" t="s">
        <v>19</v>
      </c>
      <c r="C211" s="11">
        <v>2.5000000000000001E-2</v>
      </c>
      <c r="D211" s="12">
        <v>45000</v>
      </c>
      <c r="E211" s="12">
        <f>D211*C211</f>
        <v>1125</v>
      </c>
    </row>
    <row r="212" spans="1:8" ht="18" customHeight="1" x14ac:dyDescent="0.3">
      <c r="A212" s="14"/>
      <c r="B212" s="10"/>
      <c r="C212" s="11"/>
      <c r="D212" s="12"/>
      <c r="E212" s="12"/>
    </row>
    <row r="213" spans="1:8" ht="18" customHeight="1" x14ac:dyDescent="0.3">
      <c r="A213" s="83" t="s">
        <v>12</v>
      </c>
      <c r="B213" s="84"/>
      <c r="C213" s="84"/>
      <c r="D213" s="84"/>
      <c r="E213" s="13">
        <f>SUM(E211)</f>
        <v>1125</v>
      </c>
    </row>
    <row r="214" spans="1:8" ht="18" customHeight="1" x14ac:dyDescent="0.3">
      <c r="A214" s="89" t="s">
        <v>20</v>
      </c>
      <c r="B214" s="90"/>
      <c r="C214" s="90"/>
      <c r="D214" s="90"/>
      <c r="E214" s="90"/>
    </row>
    <row r="215" spans="1:8" ht="18" customHeight="1" x14ac:dyDescent="0.3">
      <c r="A215" s="9" t="s">
        <v>6</v>
      </c>
      <c r="B215" s="9" t="s">
        <v>3</v>
      </c>
      <c r="C215" s="9" t="s">
        <v>7</v>
      </c>
      <c r="D215" s="9" t="s">
        <v>21</v>
      </c>
      <c r="E215" s="9" t="s">
        <v>9</v>
      </c>
    </row>
    <row r="216" spans="1:8" ht="18" customHeight="1" x14ac:dyDescent="0.3">
      <c r="A216" s="14" t="s">
        <v>37</v>
      </c>
      <c r="B216" s="10" t="s">
        <v>19</v>
      </c>
      <c r="C216" s="11">
        <v>35</v>
      </c>
      <c r="D216" s="12">
        <v>130000</v>
      </c>
      <c r="E216" s="12">
        <f>D216/C216</f>
        <v>3714.2857142857142</v>
      </c>
      <c r="H216" s="24"/>
    </row>
    <row r="217" spans="1:8" ht="18" customHeight="1" x14ac:dyDescent="0.3">
      <c r="A217" s="14"/>
      <c r="B217" s="10"/>
      <c r="C217" s="11"/>
      <c r="D217" s="12"/>
      <c r="E217" s="12"/>
    </row>
    <row r="218" spans="1:8" ht="18" customHeight="1" x14ac:dyDescent="0.3">
      <c r="A218" s="83" t="s">
        <v>12</v>
      </c>
      <c r="B218" s="84"/>
      <c r="C218" s="84"/>
      <c r="D218" s="84"/>
      <c r="E218" s="13">
        <f>SUM(E216)</f>
        <v>3714.2857142857142</v>
      </c>
    </row>
    <row r="219" spans="1:8" ht="18" customHeight="1" x14ac:dyDescent="0.3">
      <c r="A219" s="10"/>
      <c r="B219" s="19"/>
      <c r="C219" s="19"/>
      <c r="D219" s="19"/>
      <c r="E219" s="19"/>
    </row>
    <row r="220" spans="1:8" ht="18" customHeight="1" x14ac:dyDescent="0.3">
      <c r="A220" s="83" t="s">
        <v>23</v>
      </c>
      <c r="B220" s="84"/>
      <c r="C220" s="84"/>
      <c r="D220" s="84"/>
      <c r="E220" s="13">
        <f>SUM(E197,E208,E213,E218)</f>
        <v>10066.964285714286</v>
      </c>
      <c r="G220" s="24">
        <f>E220/4</f>
        <v>2516.7410714285716</v>
      </c>
      <c r="H220" s="24"/>
    </row>
    <row r="223" spans="1:8" ht="37.200000000000003" customHeight="1" x14ac:dyDescent="0.3">
      <c r="A223" s="101" t="s">
        <v>149</v>
      </c>
      <c r="B223" s="101"/>
      <c r="C223" s="101"/>
      <c r="D223" s="43" t="s">
        <v>1</v>
      </c>
      <c r="E223" s="43" t="s">
        <v>153</v>
      </c>
    </row>
    <row r="224" spans="1:8" ht="18" customHeight="1" x14ac:dyDescent="0.3">
      <c r="A224" s="87"/>
      <c r="B224" s="88"/>
      <c r="C224" s="88"/>
      <c r="D224" s="8" t="s">
        <v>3</v>
      </c>
      <c r="E224" s="8" t="s">
        <v>4</v>
      </c>
    </row>
    <row r="225" spans="1:5" ht="18" customHeight="1" x14ac:dyDescent="0.3">
      <c r="A225" s="89" t="s">
        <v>5</v>
      </c>
      <c r="B225" s="90"/>
      <c r="C225" s="90"/>
      <c r="D225" s="90"/>
      <c r="E225" s="90"/>
    </row>
    <row r="226" spans="1:5" ht="18" customHeight="1" x14ac:dyDescent="0.3">
      <c r="A226" s="9" t="s">
        <v>6</v>
      </c>
      <c r="B226" s="9" t="s">
        <v>3</v>
      </c>
      <c r="C226" s="9" t="s">
        <v>7</v>
      </c>
      <c r="D226" s="9" t="s">
        <v>8</v>
      </c>
      <c r="E226" s="9" t="s">
        <v>9</v>
      </c>
    </row>
    <row r="227" spans="1:5" ht="18" customHeight="1" x14ac:dyDescent="0.3">
      <c r="A227" s="14" t="s">
        <v>10</v>
      </c>
      <c r="B227" s="10" t="s">
        <v>11</v>
      </c>
      <c r="C227" s="11">
        <v>0.1</v>
      </c>
      <c r="D227" s="12">
        <f>E250</f>
        <v>5200</v>
      </c>
      <c r="E227" s="12">
        <f>C227*D227</f>
        <v>520</v>
      </c>
    </row>
    <row r="228" spans="1:5" ht="18" customHeight="1" x14ac:dyDescent="0.3">
      <c r="A228" s="10"/>
      <c r="B228" s="10"/>
      <c r="C228" s="10"/>
      <c r="D228" s="12"/>
      <c r="E228" s="12"/>
    </row>
    <row r="229" spans="1:5" ht="18" customHeight="1" x14ac:dyDescent="0.3">
      <c r="A229" s="83" t="s">
        <v>12</v>
      </c>
      <c r="B229" s="84"/>
      <c r="C229" s="84"/>
      <c r="D229" s="84"/>
      <c r="E229" s="13">
        <f>SUM(E227:E227)</f>
        <v>520</v>
      </c>
    </row>
    <row r="230" spans="1:5" ht="18" customHeight="1" x14ac:dyDescent="0.3">
      <c r="A230" s="89" t="s">
        <v>13</v>
      </c>
      <c r="B230" s="90"/>
      <c r="C230" s="90"/>
      <c r="D230" s="90"/>
      <c r="E230" s="90"/>
    </row>
    <row r="231" spans="1:5" ht="18" customHeight="1" x14ac:dyDescent="0.3">
      <c r="A231" s="9" t="s">
        <v>6</v>
      </c>
      <c r="B231" s="9" t="s">
        <v>3</v>
      </c>
      <c r="C231" s="9" t="s">
        <v>14</v>
      </c>
      <c r="D231" s="9" t="s">
        <v>15</v>
      </c>
      <c r="E231" s="9" t="s">
        <v>9</v>
      </c>
    </row>
    <row r="232" spans="1:5" ht="18" customHeight="1" x14ac:dyDescent="0.3">
      <c r="A232" s="14" t="s">
        <v>146</v>
      </c>
      <c r="B232" s="10" t="s">
        <v>4</v>
      </c>
      <c r="C232" s="16">
        <v>4.4999999999999998E-2</v>
      </c>
      <c r="D232" s="12">
        <v>200000</v>
      </c>
      <c r="E232" s="12">
        <f>C232*D232</f>
        <v>9000</v>
      </c>
    </row>
    <row r="233" spans="1:5" ht="18" customHeight="1" x14ac:dyDescent="0.3">
      <c r="A233" s="14" t="s">
        <v>151</v>
      </c>
      <c r="B233" s="10" t="s">
        <v>41</v>
      </c>
      <c r="C233" s="16">
        <v>0.02</v>
      </c>
      <c r="D233" s="12">
        <v>38000</v>
      </c>
      <c r="E233" s="12">
        <f>C233*D233</f>
        <v>760</v>
      </c>
    </row>
    <row r="234" spans="1:5" ht="18" customHeight="1" x14ac:dyDescent="0.3">
      <c r="A234" s="14" t="s">
        <v>124</v>
      </c>
      <c r="B234" s="10" t="s">
        <v>26</v>
      </c>
      <c r="C234" s="16">
        <v>1E-3</v>
      </c>
      <c r="D234" s="12">
        <v>15000</v>
      </c>
      <c r="E234" s="12">
        <f>C234*D234</f>
        <v>15</v>
      </c>
    </row>
    <row r="235" spans="1:5" ht="18" customHeight="1" x14ac:dyDescent="0.3">
      <c r="A235" s="14" t="s">
        <v>125</v>
      </c>
      <c r="B235" s="10" t="s">
        <v>26</v>
      </c>
      <c r="C235" s="16">
        <v>1E-3</v>
      </c>
      <c r="D235" s="12">
        <v>10000</v>
      </c>
      <c r="E235" s="12">
        <f>C235*D235</f>
        <v>10</v>
      </c>
    </row>
    <row r="236" spans="1:5" ht="18" customHeight="1" x14ac:dyDescent="0.3">
      <c r="A236" s="14" t="s">
        <v>152</v>
      </c>
      <c r="B236" s="10" t="s">
        <v>26</v>
      </c>
      <c r="C236" s="16">
        <v>0.3</v>
      </c>
      <c r="D236" s="12">
        <v>2800</v>
      </c>
      <c r="E236" s="12">
        <f>C236*D236</f>
        <v>840</v>
      </c>
    </row>
    <row r="237" spans="1:5" ht="18" customHeight="1" x14ac:dyDescent="0.3">
      <c r="A237" s="14"/>
      <c r="B237" s="10"/>
      <c r="C237" s="16"/>
      <c r="D237" s="12"/>
      <c r="E237" s="12"/>
    </row>
    <row r="238" spans="1:5" ht="18" customHeight="1" x14ac:dyDescent="0.3">
      <c r="A238" s="17" t="s">
        <v>46</v>
      </c>
      <c r="B238" s="91"/>
      <c r="C238" s="88"/>
      <c r="D238" s="88"/>
      <c r="E238" s="12">
        <f>SUM(E232:E237)*0.05</f>
        <v>531.25</v>
      </c>
    </row>
    <row r="239" spans="1:5" ht="18" customHeight="1" x14ac:dyDescent="0.3">
      <c r="A239" s="17"/>
      <c r="B239" s="18"/>
      <c r="C239" s="19"/>
      <c r="D239" s="19"/>
      <c r="E239" s="12"/>
    </row>
    <row r="240" spans="1:5" ht="18" customHeight="1" x14ac:dyDescent="0.3">
      <c r="A240" s="83" t="s">
        <v>12</v>
      </c>
      <c r="B240" s="84"/>
      <c r="C240" s="84"/>
      <c r="D240" s="84"/>
      <c r="E240" s="13">
        <f>SUM(E232:E238)</f>
        <v>11156.25</v>
      </c>
    </row>
    <row r="241" spans="1:7" ht="18" customHeight="1" x14ac:dyDescent="0.3">
      <c r="A241" s="89" t="s">
        <v>17</v>
      </c>
      <c r="B241" s="90"/>
      <c r="C241" s="90"/>
      <c r="D241" s="90"/>
      <c r="E241" s="90"/>
    </row>
    <row r="242" spans="1:7" ht="18" customHeight="1" x14ac:dyDescent="0.3">
      <c r="A242" s="9" t="s">
        <v>6</v>
      </c>
      <c r="B242" s="9" t="s">
        <v>3</v>
      </c>
      <c r="C242" s="9" t="s">
        <v>7</v>
      </c>
      <c r="D242" s="9" t="s">
        <v>8</v>
      </c>
      <c r="E242" s="9" t="s">
        <v>9</v>
      </c>
    </row>
    <row r="243" spans="1:7" ht="18" customHeight="1" x14ac:dyDescent="0.3">
      <c r="A243" s="14" t="s">
        <v>36</v>
      </c>
      <c r="B243" s="10" t="s">
        <v>19</v>
      </c>
      <c r="C243" s="11">
        <v>2.5000000000000001E-2</v>
      </c>
      <c r="D243" s="12">
        <v>45000</v>
      </c>
      <c r="E243" s="12">
        <f>D243*C243</f>
        <v>1125</v>
      </c>
    </row>
    <row r="244" spans="1:7" ht="18" customHeight="1" x14ac:dyDescent="0.3">
      <c r="A244" s="14"/>
      <c r="B244" s="10"/>
      <c r="C244" s="11"/>
      <c r="D244" s="12"/>
      <c r="E244" s="12"/>
    </row>
    <row r="245" spans="1:7" ht="18" customHeight="1" x14ac:dyDescent="0.3">
      <c r="A245" s="83" t="s">
        <v>12</v>
      </c>
      <c r="B245" s="84"/>
      <c r="C245" s="84"/>
      <c r="D245" s="84"/>
      <c r="E245" s="13">
        <f>SUM(E243)</f>
        <v>1125</v>
      </c>
    </row>
    <row r="246" spans="1:7" ht="18" customHeight="1" x14ac:dyDescent="0.3">
      <c r="A246" s="89" t="s">
        <v>20</v>
      </c>
      <c r="B246" s="90"/>
      <c r="C246" s="90"/>
      <c r="D246" s="90"/>
      <c r="E246" s="90"/>
    </row>
    <row r="247" spans="1:7" ht="18" customHeight="1" x14ac:dyDescent="0.3">
      <c r="A247" s="9" t="s">
        <v>6</v>
      </c>
      <c r="B247" s="9" t="s">
        <v>3</v>
      </c>
      <c r="C247" s="9" t="s">
        <v>7</v>
      </c>
      <c r="D247" s="9" t="s">
        <v>21</v>
      </c>
      <c r="E247" s="9" t="s">
        <v>9</v>
      </c>
    </row>
    <row r="248" spans="1:7" ht="18" customHeight="1" x14ac:dyDescent="0.3">
      <c r="A248" s="14" t="s">
        <v>37</v>
      </c>
      <c r="B248" s="10" t="s">
        <v>19</v>
      </c>
      <c r="C248" s="11">
        <v>25</v>
      </c>
      <c r="D248" s="12">
        <v>130000</v>
      </c>
      <c r="E248" s="12">
        <f>D248/C248</f>
        <v>5200</v>
      </c>
    </row>
    <row r="249" spans="1:7" ht="18" customHeight="1" x14ac:dyDescent="0.3">
      <c r="A249" s="14"/>
      <c r="B249" s="10"/>
      <c r="C249" s="11"/>
      <c r="D249" s="12"/>
      <c r="E249" s="12"/>
    </row>
    <row r="250" spans="1:7" ht="18" customHeight="1" x14ac:dyDescent="0.3">
      <c r="A250" s="83" t="s">
        <v>12</v>
      </c>
      <c r="B250" s="84"/>
      <c r="C250" s="84"/>
      <c r="D250" s="84"/>
      <c r="E250" s="13">
        <f>SUM(E248)</f>
        <v>5200</v>
      </c>
    </row>
    <row r="251" spans="1:7" ht="18" customHeight="1" x14ac:dyDescent="0.3">
      <c r="A251" s="10"/>
      <c r="B251" s="19"/>
      <c r="C251" s="19"/>
      <c r="D251" s="19"/>
      <c r="E251" s="19"/>
    </row>
    <row r="252" spans="1:7" ht="18" customHeight="1" x14ac:dyDescent="0.3">
      <c r="A252" s="83" t="s">
        <v>23</v>
      </c>
      <c r="B252" s="84"/>
      <c r="C252" s="84"/>
      <c r="D252" s="84"/>
      <c r="E252" s="13">
        <f>SUM(E229,E240,E245,E250)</f>
        <v>18001.25</v>
      </c>
      <c r="G252" s="20">
        <f>2.2+5</f>
        <v>7.2</v>
      </c>
    </row>
    <row r="253" spans="1:7" ht="18" customHeight="1" x14ac:dyDescent="0.3">
      <c r="A253" s="2"/>
      <c r="B253" s="3"/>
      <c r="C253" s="3"/>
      <c r="D253" s="3"/>
      <c r="E253" s="3"/>
      <c r="G253" s="24">
        <f>G220*G252</f>
        <v>18120.535714285717</v>
      </c>
    </row>
    <row r="254" spans="1:7" ht="18" customHeight="1" x14ac:dyDescent="0.3">
      <c r="A254" s="2"/>
      <c r="B254" s="3"/>
      <c r="C254" s="3"/>
      <c r="D254" s="3"/>
      <c r="E254" s="3"/>
    </row>
    <row r="255" spans="1:7" ht="18" customHeight="1" x14ac:dyDescent="0.3">
      <c r="A255" s="99" t="s">
        <v>156</v>
      </c>
      <c r="B255" s="100"/>
      <c r="C255" s="100"/>
      <c r="D255" s="39" t="s">
        <v>1</v>
      </c>
      <c r="E255" s="39" t="s">
        <v>155</v>
      </c>
    </row>
    <row r="256" spans="1:7" ht="18" customHeight="1" x14ac:dyDescent="0.3">
      <c r="A256" s="87"/>
      <c r="B256" s="88"/>
      <c r="C256" s="88"/>
      <c r="D256" s="8" t="s">
        <v>3</v>
      </c>
      <c r="E256" s="8" t="s">
        <v>4</v>
      </c>
    </row>
    <row r="257" spans="1:5" ht="18" customHeight="1" x14ac:dyDescent="0.3">
      <c r="A257" s="89" t="s">
        <v>5</v>
      </c>
      <c r="B257" s="90"/>
      <c r="C257" s="90"/>
      <c r="D257" s="90"/>
      <c r="E257" s="90"/>
    </row>
    <row r="258" spans="1:5" ht="18" customHeight="1" x14ac:dyDescent="0.3">
      <c r="A258" s="9" t="s">
        <v>6</v>
      </c>
      <c r="B258" s="9" t="s">
        <v>3</v>
      </c>
      <c r="C258" s="9" t="s">
        <v>7</v>
      </c>
      <c r="D258" s="9" t="s">
        <v>8</v>
      </c>
      <c r="E258" s="9" t="s">
        <v>9</v>
      </c>
    </row>
    <row r="259" spans="1:5" ht="18" customHeight="1" x14ac:dyDescent="0.3">
      <c r="A259" s="14" t="s">
        <v>10</v>
      </c>
      <c r="B259" s="10" t="s">
        <v>11</v>
      </c>
      <c r="C259" s="11">
        <v>0.1</v>
      </c>
      <c r="D259" s="12">
        <f>E282</f>
        <v>2888.8888888888887</v>
      </c>
      <c r="E259" s="12">
        <f>C259*D259</f>
        <v>288.88888888888886</v>
      </c>
    </row>
    <row r="260" spans="1:5" ht="18" customHeight="1" x14ac:dyDescent="0.3">
      <c r="A260" s="14" t="s">
        <v>84</v>
      </c>
      <c r="B260" s="10" t="s">
        <v>19</v>
      </c>
      <c r="C260" s="11">
        <v>1.4999999999999999E-2</v>
      </c>
      <c r="D260" s="12">
        <v>25000</v>
      </c>
      <c r="E260" s="12">
        <f>C260*D260</f>
        <v>375</v>
      </c>
    </row>
    <row r="261" spans="1:5" ht="18" customHeight="1" x14ac:dyDescent="0.3">
      <c r="A261" s="10"/>
      <c r="B261" s="10"/>
      <c r="C261" s="10"/>
      <c r="D261" s="12"/>
      <c r="E261" s="12"/>
    </row>
    <row r="262" spans="1:5" ht="18" customHeight="1" x14ac:dyDescent="0.3">
      <c r="A262" s="83" t="s">
        <v>12</v>
      </c>
      <c r="B262" s="84"/>
      <c r="C262" s="84"/>
      <c r="D262" s="84"/>
      <c r="E262" s="13">
        <f>SUM(E259:E260)</f>
        <v>663.88888888888891</v>
      </c>
    </row>
    <row r="263" spans="1:5" ht="18" customHeight="1" x14ac:dyDescent="0.3">
      <c r="A263" s="89" t="s">
        <v>13</v>
      </c>
      <c r="B263" s="90"/>
      <c r="C263" s="90"/>
      <c r="D263" s="90"/>
      <c r="E263" s="90"/>
    </row>
    <row r="264" spans="1:5" ht="18" customHeight="1" x14ac:dyDescent="0.3">
      <c r="A264" s="9" t="s">
        <v>6</v>
      </c>
      <c r="B264" s="9" t="s">
        <v>3</v>
      </c>
      <c r="C264" s="9" t="s">
        <v>14</v>
      </c>
      <c r="D264" s="9" t="s">
        <v>15</v>
      </c>
      <c r="E264" s="9" t="s">
        <v>9</v>
      </c>
    </row>
    <row r="265" spans="1:5" ht="18" customHeight="1" x14ac:dyDescent="0.3">
      <c r="A265" s="14" t="s">
        <v>157</v>
      </c>
      <c r="B265" s="10" t="s">
        <v>123</v>
      </c>
      <c r="C265" s="21">
        <v>6.6659999999999997E-2</v>
      </c>
      <c r="D265" s="12">
        <v>250000</v>
      </c>
      <c r="E265" s="12">
        <f>C265*D265</f>
        <v>16665</v>
      </c>
    </row>
    <row r="266" spans="1:5" ht="18" customHeight="1" x14ac:dyDescent="0.3">
      <c r="A266" s="14" t="s">
        <v>124</v>
      </c>
      <c r="B266" s="10" t="s">
        <v>26</v>
      </c>
      <c r="C266" s="16">
        <v>1E-3</v>
      </c>
      <c r="D266" s="12">
        <v>38000</v>
      </c>
      <c r="E266" s="12">
        <f>C266*D266</f>
        <v>38</v>
      </c>
    </row>
    <row r="267" spans="1:5" ht="18" customHeight="1" x14ac:dyDescent="0.3">
      <c r="A267" s="14" t="s">
        <v>125</v>
      </c>
      <c r="B267" s="10" t="s">
        <v>26</v>
      </c>
      <c r="C267" s="16">
        <v>1E-3</v>
      </c>
      <c r="D267" s="12">
        <v>10000</v>
      </c>
      <c r="E267" s="12">
        <f>C267*D267</f>
        <v>10</v>
      </c>
    </row>
    <row r="268" spans="1:5" ht="18" customHeight="1" x14ac:dyDescent="0.3">
      <c r="A268" s="14"/>
      <c r="B268" s="10"/>
      <c r="C268" s="16"/>
      <c r="D268" s="12"/>
      <c r="E268" s="12"/>
    </row>
    <row r="269" spans="1:5" ht="18" customHeight="1" x14ac:dyDescent="0.3">
      <c r="A269" s="14"/>
      <c r="B269" s="10"/>
      <c r="C269" s="15"/>
      <c r="D269" s="12"/>
      <c r="E269" s="12"/>
    </row>
    <row r="270" spans="1:5" ht="18" customHeight="1" x14ac:dyDescent="0.3">
      <c r="A270" s="17" t="s">
        <v>16</v>
      </c>
      <c r="B270" s="91"/>
      <c r="C270" s="88"/>
      <c r="D270" s="88"/>
      <c r="E270" s="12">
        <f>SUM(E265:E269)*0.05</f>
        <v>835.65000000000009</v>
      </c>
    </row>
    <row r="271" spans="1:5" ht="18" customHeight="1" x14ac:dyDescent="0.3">
      <c r="A271" s="17"/>
      <c r="B271" s="18"/>
      <c r="C271" s="19"/>
      <c r="D271" s="19"/>
      <c r="E271" s="12"/>
    </row>
    <row r="272" spans="1:5" ht="18" customHeight="1" x14ac:dyDescent="0.3">
      <c r="A272" s="83" t="s">
        <v>12</v>
      </c>
      <c r="B272" s="84"/>
      <c r="C272" s="84"/>
      <c r="D272" s="84"/>
      <c r="E272" s="13">
        <f>SUM(E265:E270)</f>
        <v>17548.650000000001</v>
      </c>
    </row>
    <row r="273" spans="1:5" ht="18" customHeight="1" x14ac:dyDescent="0.3">
      <c r="A273" s="89" t="s">
        <v>17</v>
      </c>
      <c r="B273" s="90"/>
      <c r="C273" s="90"/>
      <c r="D273" s="90"/>
      <c r="E273" s="90"/>
    </row>
    <row r="274" spans="1:5" ht="18" customHeight="1" x14ac:dyDescent="0.3">
      <c r="A274" s="9" t="s">
        <v>6</v>
      </c>
      <c r="B274" s="9" t="s">
        <v>3</v>
      </c>
      <c r="C274" s="9" t="s">
        <v>7</v>
      </c>
      <c r="D274" s="9" t="s">
        <v>8</v>
      </c>
      <c r="E274" s="9" t="s">
        <v>9</v>
      </c>
    </row>
    <row r="275" spans="1:5" ht="18" customHeight="1" x14ac:dyDescent="0.3">
      <c r="A275" s="14" t="s">
        <v>36</v>
      </c>
      <c r="B275" s="10" t="s">
        <v>19</v>
      </c>
      <c r="C275" s="11">
        <v>2.5000000000000001E-2</v>
      </c>
      <c r="D275" s="12">
        <v>25000</v>
      </c>
      <c r="E275" s="12">
        <f>D275*C275</f>
        <v>625</v>
      </c>
    </row>
    <row r="276" spans="1:5" ht="18" customHeight="1" x14ac:dyDescent="0.3">
      <c r="A276" s="14"/>
      <c r="B276" s="10"/>
      <c r="C276" s="11"/>
      <c r="D276" s="12"/>
      <c r="E276" s="12"/>
    </row>
    <row r="277" spans="1:5" ht="18" customHeight="1" x14ac:dyDescent="0.3">
      <c r="A277" s="83" t="s">
        <v>12</v>
      </c>
      <c r="B277" s="84"/>
      <c r="C277" s="84"/>
      <c r="D277" s="84"/>
      <c r="E277" s="13">
        <f>SUM(E275)</f>
        <v>625</v>
      </c>
    </row>
    <row r="278" spans="1:5" ht="18" customHeight="1" x14ac:dyDescent="0.3">
      <c r="A278" s="89" t="s">
        <v>20</v>
      </c>
      <c r="B278" s="90"/>
      <c r="C278" s="90"/>
      <c r="D278" s="90"/>
      <c r="E278" s="90"/>
    </row>
    <row r="279" spans="1:5" ht="18" customHeight="1" x14ac:dyDescent="0.3">
      <c r="A279" s="9" t="s">
        <v>6</v>
      </c>
      <c r="B279" s="9" t="s">
        <v>3</v>
      </c>
      <c r="C279" s="9" t="s">
        <v>7</v>
      </c>
      <c r="D279" s="9" t="s">
        <v>21</v>
      </c>
      <c r="E279" s="9" t="s">
        <v>9</v>
      </c>
    </row>
    <row r="280" spans="1:5" ht="18" customHeight="1" x14ac:dyDescent="0.3">
      <c r="A280" s="14" t="s">
        <v>37</v>
      </c>
      <c r="B280" s="10" t="s">
        <v>19</v>
      </c>
      <c r="C280" s="11">
        <v>45</v>
      </c>
      <c r="D280" s="12">
        <v>130000</v>
      </c>
      <c r="E280" s="12">
        <f>D280/C280</f>
        <v>2888.8888888888887</v>
      </c>
    </row>
    <row r="281" spans="1:5" ht="18" customHeight="1" x14ac:dyDescent="0.3">
      <c r="A281" s="14"/>
      <c r="B281" s="10"/>
      <c r="C281" s="11"/>
      <c r="D281" s="12"/>
      <c r="E281" s="12"/>
    </row>
    <row r="282" spans="1:5" ht="18" customHeight="1" x14ac:dyDescent="0.3">
      <c r="A282" s="83" t="s">
        <v>12</v>
      </c>
      <c r="B282" s="84"/>
      <c r="C282" s="84"/>
      <c r="D282" s="84"/>
      <c r="E282" s="13">
        <f>SUM(E280)</f>
        <v>2888.8888888888887</v>
      </c>
    </row>
    <row r="283" spans="1:5" ht="18" customHeight="1" x14ac:dyDescent="0.3">
      <c r="A283" s="10"/>
      <c r="B283" s="19"/>
      <c r="C283" s="19"/>
      <c r="D283" s="19"/>
      <c r="E283" s="19"/>
    </row>
    <row r="284" spans="1:5" ht="18" customHeight="1" x14ac:dyDescent="0.3">
      <c r="A284" s="83" t="s">
        <v>23</v>
      </c>
      <c r="B284" s="84"/>
      <c r="C284" s="84"/>
      <c r="D284" s="84"/>
      <c r="E284" s="13">
        <f>SUM(E262,E272,E277,E282)</f>
        <v>21726.427777777782</v>
      </c>
    </row>
  </sheetData>
  <mergeCells count="109">
    <mergeCell ref="B20:D20"/>
    <mergeCell ref="A22:D22"/>
    <mergeCell ref="A23:E23"/>
    <mergeCell ref="A27:D27"/>
    <mergeCell ref="A28:E28"/>
    <mergeCell ref="A32:D32"/>
    <mergeCell ref="A1:E1"/>
    <mergeCell ref="A5:C5"/>
    <mergeCell ref="A6:C6"/>
    <mergeCell ref="A7:E7"/>
    <mergeCell ref="A12:D12"/>
    <mergeCell ref="A13:E13"/>
    <mergeCell ref="B51:D51"/>
    <mergeCell ref="A53:D53"/>
    <mergeCell ref="A54:E54"/>
    <mergeCell ref="A58:D58"/>
    <mergeCell ref="A59:E59"/>
    <mergeCell ref="A63:D63"/>
    <mergeCell ref="A34:D34"/>
    <mergeCell ref="A39:C39"/>
    <mergeCell ref="A40:C40"/>
    <mergeCell ref="A41:E41"/>
    <mergeCell ref="A46:D46"/>
    <mergeCell ref="A47:E47"/>
    <mergeCell ref="B81:D81"/>
    <mergeCell ref="A83:D83"/>
    <mergeCell ref="A84:E84"/>
    <mergeCell ref="A88:D88"/>
    <mergeCell ref="A89:E89"/>
    <mergeCell ref="A93:D93"/>
    <mergeCell ref="A65:D65"/>
    <mergeCell ref="A68:C68"/>
    <mergeCell ref="A69:C69"/>
    <mergeCell ref="A70:E70"/>
    <mergeCell ref="A75:D75"/>
    <mergeCell ref="A76:E76"/>
    <mergeCell ref="B111:D111"/>
    <mergeCell ref="A113:D113"/>
    <mergeCell ref="A114:E114"/>
    <mergeCell ref="A118:D118"/>
    <mergeCell ref="A119:E119"/>
    <mergeCell ref="A123:D123"/>
    <mergeCell ref="A95:D95"/>
    <mergeCell ref="A98:C98"/>
    <mergeCell ref="A99:C99"/>
    <mergeCell ref="A100:E100"/>
    <mergeCell ref="A105:D105"/>
    <mergeCell ref="A106:E106"/>
    <mergeCell ref="A156:D156"/>
    <mergeCell ref="A167:E167"/>
    <mergeCell ref="B142:D142"/>
    <mergeCell ref="A144:D144"/>
    <mergeCell ref="A145:E145"/>
    <mergeCell ref="A149:D149"/>
    <mergeCell ref="A150:E150"/>
    <mergeCell ref="A154:D154"/>
    <mergeCell ref="A125:D125"/>
    <mergeCell ref="A128:C128"/>
    <mergeCell ref="A129:C129"/>
    <mergeCell ref="A130:E130"/>
    <mergeCell ref="A135:D135"/>
    <mergeCell ref="A136:E136"/>
    <mergeCell ref="A282:D282"/>
    <mergeCell ref="A284:D284"/>
    <mergeCell ref="A272:D272"/>
    <mergeCell ref="A273:E273"/>
    <mergeCell ref="A277:D277"/>
    <mergeCell ref="A278:E278"/>
    <mergeCell ref="A255:C255"/>
    <mergeCell ref="A256:C256"/>
    <mergeCell ref="A257:E257"/>
    <mergeCell ref="A181:D181"/>
    <mergeCell ref="A182:E182"/>
    <mergeCell ref="A186:D186"/>
    <mergeCell ref="A197:D197"/>
    <mergeCell ref="A198:E198"/>
    <mergeCell ref="B206:D206"/>
    <mergeCell ref="A160:C160"/>
    <mergeCell ref="A161:C161"/>
    <mergeCell ref="A162:E162"/>
    <mergeCell ref="A166:D166"/>
    <mergeCell ref="A191:C191"/>
    <mergeCell ref="A192:C192"/>
    <mergeCell ref="A193:E193"/>
    <mergeCell ref="A188:D188"/>
    <mergeCell ref="B174:D174"/>
    <mergeCell ref="A176:D176"/>
    <mergeCell ref="A177:E177"/>
    <mergeCell ref="A246:E246"/>
    <mergeCell ref="A250:D250"/>
    <mergeCell ref="A252:D252"/>
    <mergeCell ref="A262:D262"/>
    <mergeCell ref="A263:E263"/>
    <mergeCell ref="B270:D270"/>
    <mergeCell ref="A208:D208"/>
    <mergeCell ref="A209:E209"/>
    <mergeCell ref="A213:D213"/>
    <mergeCell ref="A214:E214"/>
    <mergeCell ref="A218:D218"/>
    <mergeCell ref="A220:D220"/>
    <mergeCell ref="B238:D238"/>
    <mergeCell ref="A240:D240"/>
    <mergeCell ref="A241:E241"/>
    <mergeCell ref="A245:D245"/>
    <mergeCell ref="A223:C223"/>
    <mergeCell ref="A224:C224"/>
    <mergeCell ref="A225:E225"/>
    <mergeCell ref="A229:D229"/>
    <mergeCell ref="A230:E230"/>
  </mergeCells>
  <pageMargins left="0.7" right="0.7" top="0.75" bottom="0.75" header="0" footer="0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FBC9-4FE0-4C20-9175-DFA78183894C}">
  <dimension ref="A1:G271"/>
  <sheetViews>
    <sheetView topLeftCell="A14" zoomScale="90" zoomScaleNormal="90" workbookViewId="0">
      <selection activeCell="K273" sqref="K273"/>
    </sheetView>
  </sheetViews>
  <sheetFormatPr baseColWidth="10" defaultColWidth="14.44140625" defaultRowHeight="18" customHeight="1" x14ac:dyDescent="0.3"/>
  <cols>
    <col min="1" max="1" width="37.44140625" style="20" customWidth="1"/>
    <col min="2" max="2" width="12.109375" style="20" customWidth="1"/>
    <col min="3" max="5" width="18.6640625" style="20" customWidth="1"/>
    <col min="6" max="6" width="15.44140625" style="20" customWidth="1"/>
    <col min="7" max="7" width="18.77734375" style="20" customWidth="1"/>
    <col min="8" max="8" width="11.44140625" style="20" customWidth="1"/>
    <col min="9" max="9" width="14.109375" style="20" customWidth="1"/>
    <col min="10" max="26" width="10.6640625" style="20" customWidth="1"/>
    <col min="27" max="16384" width="14.44140625" style="20"/>
  </cols>
  <sheetData>
    <row r="1" spans="1:5" s="1" customFormat="1" ht="25.05" customHeight="1" x14ac:dyDescent="0.3">
      <c r="A1" s="96" t="s">
        <v>77</v>
      </c>
      <c r="B1" s="97"/>
      <c r="C1" s="97"/>
      <c r="D1" s="97"/>
      <c r="E1" s="97"/>
    </row>
    <row r="2" spans="1:5" s="1" customFormat="1" ht="20.100000000000001" customHeight="1" x14ac:dyDescent="0.3">
      <c r="A2" s="2"/>
      <c r="B2" s="3"/>
      <c r="C2" s="3"/>
      <c r="D2" s="3"/>
      <c r="E2" s="3"/>
    </row>
    <row r="3" spans="1:5" s="1" customFormat="1" ht="37.200000000000003" customHeight="1" x14ac:dyDescent="0.3">
      <c r="A3" s="106" t="s">
        <v>170</v>
      </c>
      <c r="B3" s="106"/>
      <c r="C3" s="106"/>
      <c r="D3" s="106"/>
      <c r="E3" s="106"/>
    </row>
    <row r="4" spans="1:5" s="1" customFormat="1" ht="20.100000000000001" customHeight="1" x14ac:dyDescent="0.3">
      <c r="A4" s="2"/>
      <c r="B4" s="3"/>
      <c r="C4" s="3"/>
      <c r="D4" s="3"/>
      <c r="E4" s="3"/>
    </row>
    <row r="5" spans="1:5" s="1" customFormat="1" ht="27.6" customHeight="1" x14ac:dyDescent="0.3">
      <c r="A5" s="104" t="s">
        <v>171</v>
      </c>
      <c r="B5" s="105"/>
      <c r="C5" s="105"/>
      <c r="D5" s="7" t="s">
        <v>1</v>
      </c>
      <c r="E5" s="7" t="s">
        <v>158</v>
      </c>
    </row>
    <row r="6" spans="1:5" s="1" customFormat="1" ht="20.100000000000001" customHeight="1" x14ac:dyDescent="0.3">
      <c r="A6" s="87"/>
      <c r="B6" s="88"/>
      <c r="C6" s="88"/>
      <c r="D6" s="8" t="s">
        <v>3</v>
      </c>
      <c r="E6" s="8" t="s">
        <v>4</v>
      </c>
    </row>
    <row r="7" spans="1:5" s="1" customFormat="1" ht="20.100000000000001" customHeight="1" x14ac:dyDescent="0.3">
      <c r="A7" s="89" t="s">
        <v>5</v>
      </c>
      <c r="B7" s="90"/>
      <c r="C7" s="90"/>
      <c r="D7" s="90"/>
      <c r="E7" s="90"/>
    </row>
    <row r="8" spans="1:5" s="1" customFormat="1" ht="20.100000000000001" customHeight="1" x14ac:dyDescent="0.3">
      <c r="A8" s="9" t="s">
        <v>6</v>
      </c>
      <c r="B8" s="9" t="s">
        <v>3</v>
      </c>
      <c r="C8" s="9" t="s">
        <v>7</v>
      </c>
      <c r="D8" s="9" t="s">
        <v>8</v>
      </c>
      <c r="E8" s="9" t="s">
        <v>9</v>
      </c>
    </row>
    <row r="9" spans="1:5" s="1" customFormat="1" ht="20.100000000000001" customHeight="1" x14ac:dyDescent="0.3">
      <c r="A9" s="10" t="s">
        <v>10</v>
      </c>
      <c r="B9" s="10" t="s">
        <v>11</v>
      </c>
      <c r="C9" s="11">
        <v>0.1</v>
      </c>
      <c r="D9" s="12">
        <f>E30</f>
        <v>7333.333333333333</v>
      </c>
      <c r="E9" s="12">
        <f>C9*D9</f>
        <v>733.33333333333337</v>
      </c>
    </row>
    <row r="10" spans="1:5" s="1" customFormat="1" ht="20.100000000000001" customHeight="1" x14ac:dyDescent="0.3">
      <c r="A10" s="10"/>
      <c r="B10" s="10"/>
      <c r="C10" s="10"/>
      <c r="D10" s="12"/>
      <c r="E10" s="12"/>
    </row>
    <row r="11" spans="1:5" s="1" customFormat="1" ht="20.100000000000001" customHeight="1" x14ac:dyDescent="0.3">
      <c r="A11" s="83" t="s">
        <v>12</v>
      </c>
      <c r="B11" s="84"/>
      <c r="C11" s="84"/>
      <c r="D11" s="84"/>
      <c r="E11" s="13">
        <f>SUM(E9:E9)</f>
        <v>733.33333333333337</v>
      </c>
    </row>
    <row r="12" spans="1:5" s="1" customFormat="1" ht="20.100000000000001" customHeight="1" x14ac:dyDescent="0.3">
      <c r="A12" s="89" t="s">
        <v>13</v>
      </c>
      <c r="B12" s="90"/>
      <c r="C12" s="90"/>
      <c r="D12" s="90"/>
      <c r="E12" s="90"/>
    </row>
    <row r="13" spans="1:5" s="1" customFormat="1" ht="20.100000000000001" customHeight="1" x14ac:dyDescent="0.3">
      <c r="A13" s="9" t="s">
        <v>6</v>
      </c>
      <c r="B13" s="9" t="s">
        <v>3</v>
      </c>
      <c r="C13" s="9" t="s">
        <v>14</v>
      </c>
      <c r="D13" s="9" t="s">
        <v>15</v>
      </c>
      <c r="E13" s="9" t="s">
        <v>9</v>
      </c>
    </row>
    <row r="14" spans="1:5" s="1" customFormat="1" ht="20.100000000000001" customHeight="1" x14ac:dyDescent="0.3">
      <c r="A14" s="14" t="s">
        <v>167</v>
      </c>
      <c r="B14" s="10" t="s">
        <v>26</v>
      </c>
      <c r="C14" s="21">
        <v>0.5</v>
      </c>
      <c r="D14" s="12">
        <v>35000</v>
      </c>
      <c r="E14" s="12">
        <f>C14*D14</f>
        <v>17500</v>
      </c>
    </row>
    <row r="15" spans="1:5" s="1" customFormat="1" ht="20.100000000000001" customHeight="1" x14ac:dyDescent="0.3">
      <c r="A15" s="14" t="s">
        <v>168</v>
      </c>
      <c r="B15" s="10" t="s">
        <v>26</v>
      </c>
      <c r="C15" s="15">
        <v>4</v>
      </c>
      <c r="D15" s="12">
        <v>800</v>
      </c>
      <c r="E15" s="12">
        <f>C15*D15</f>
        <v>3200</v>
      </c>
    </row>
    <row r="16" spans="1:5" s="1" customFormat="1" ht="20.100000000000001" customHeight="1" x14ac:dyDescent="0.3">
      <c r="A16" s="14" t="s">
        <v>169</v>
      </c>
      <c r="B16" s="10" t="s">
        <v>26</v>
      </c>
      <c r="C16" s="15">
        <v>2</v>
      </c>
      <c r="D16" s="12">
        <v>1500</v>
      </c>
      <c r="E16" s="12">
        <f>C16*D16</f>
        <v>3000</v>
      </c>
    </row>
    <row r="17" spans="1:5" s="1" customFormat="1" ht="20.100000000000001" customHeight="1" x14ac:dyDescent="0.3">
      <c r="A17" s="14"/>
      <c r="B17" s="10"/>
      <c r="C17" s="15"/>
      <c r="D17" s="12"/>
      <c r="E17" s="12"/>
    </row>
    <row r="18" spans="1:5" s="1" customFormat="1" ht="19.8" customHeight="1" x14ac:dyDescent="0.3">
      <c r="A18" s="17" t="s">
        <v>16</v>
      </c>
      <c r="B18" s="91"/>
      <c r="C18" s="88"/>
      <c r="D18" s="88"/>
      <c r="E18" s="12">
        <f>SUM(E14:E14)*0.02</f>
        <v>350</v>
      </c>
    </row>
    <row r="19" spans="1:5" s="1" customFormat="1" ht="20.100000000000001" customHeight="1" x14ac:dyDescent="0.3">
      <c r="A19" s="17"/>
      <c r="B19" s="18"/>
      <c r="C19" s="19"/>
      <c r="D19" s="19"/>
      <c r="E19" s="12"/>
    </row>
    <row r="20" spans="1:5" s="1" customFormat="1" ht="20.100000000000001" customHeight="1" x14ac:dyDescent="0.3">
      <c r="A20" s="83" t="s">
        <v>12</v>
      </c>
      <c r="B20" s="84"/>
      <c r="C20" s="84"/>
      <c r="D20" s="84"/>
      <c r="E20" s="13">
        <f>SUM(E14:E18)</f>
        <v>24050</v>
      </c>
    </row>
    <row r="21" spans="1:5" s="1" customFormat="1" ht="20.100000000000001" customHeight="1" x14ac:dyDescent="0.3">
      <c r="A21" s="89" t="s">
        <v>17</v>
      </c>
      <c r="B21" s="90"/>
      <c r="C21" s="90"/>
      <c r="D21" s="90"/>
      <c r="E21" s="90"/>
    </row>
    <row r="22" spans="1:5" s="1" customFormat="1" ht="20.100000000000001" customHeight="1" x14ac:dyDescent="0.3">
      <c r="A22" s="9" t="s">
        <v>6</v>
      </c>
      <c r="B22" s="9" t="s">
        <v>3</v>
      </c>
      <c r="C22" s="9" t="s">
        <v>7</v>
      </c>
      <c r="D22" s="9" t="s">
        <v>8</v>
      </c>
      <c r="E22" s="9" t="s">
        <v>9</v>
      </c>
    </row>
    <row r="23" spans="1:5" s="1" customFormat="1" ht="20.100000000000001" customHeight="1" x14ac:dyDescent="0.3">
      <c r="A23" s="14" t="s">
        <v>18</v>
      </c>
      <c r="B23" s="10" t="s">
        <v>19</v>
      </c>
      <c r="C23" s="11">
        <v>2.5000000000000001E-2</v>
      </c>
      <c r="D23" s="12">
        <v>60000</v>
      </c>
      <c r="E23" s="12">
        <f>D23*C23</f>
        <v>1500</v>
      </c>
    </row>
    <row r="24" spans="1:5" s="1" customFormat="1" ht="20.100000000000001" customHeight="1" x14ac:dyDescent="0.3">
      <c r="A24" s="14"/>
      <c r="B24" s="10"/>
      <c r="C24" s="11"/>
      <c r="D24" s="12"/>
      <c r="E24" s="12"/>
    </row>
    <row r="25" spans="1:5" s="1" customFormat="1" ht="20.100000000000001" customHeight="1" x14ac:dyDescent="0.3">
      <c r="A25" s="83" t="s">
        <v>12</v>
      </c>
      <c r="B25" s="84"/>
      <c r="C25" s="84"/>
      <c r="D25" s="84"/>
      <c r="E25" s="13">
        <f>SUM(E23)</f>
        <v>1500</v>
      </c>
    </row>
    <row r="26" spans="1:5" s="1" customFormat="1" ht="20.100000000000001" customHeight="1" x14ac:dyDescent="0.3">
      <c r="A26" s="89" t="s">
        <v>20</v>
      </c>
      <c r="B26" s="90"/>
      <c r="C26" s="90"/>
      <c r="D26" s="90"/>
      <c r="E26" s="90"/>
    </row>
    <row r="27" spans="1:5" s="1" customFormat="1" ht="20.100000000000001" customHeight="1" x14ac:dyDescent="0.3">
      <c r="A27" s="9" t="s">
        <v>6</v>
      </c>
      <c r="B27" s="9" t="s">
        <v>3</v>
      </c>
      <c r="C27" s="9" t="s">
        <v>7</v>
      </c>
      <c r="D27" s="9" t="s">
        <v>21</v>
      </c>
      <c r="E27" s="9" t="s">
        <v>9</v>
      </c>
    </row>
    <row r="28" spans="1:5" s="1" customFormat="1" ht="20.100000000000001" customHeight="1" x14ac:dyDescent="0.3">
      <c r="A28" s="14" t="s">
        <v>30</v>
      </c>
      <c r="B28" s="10" t="s">
        <v>19</v>
      </c>
      <c r="C28" s="11">
        <v>30</v>
      </c>
      <c r="D28" s="12">
        <v>220000</v>
      </c>
      <c r="E28" s="12">
        <f>D28/C28</f>
        <v>7333.333333333333</v>
      </c>
    </row>
    <row r="29" spans="1:5" s="1" customFormat="1" ht="20.100000000000001" customHeight="1" x14ac:dyDescent="0.3">
      <c r="A29" s="14"/>
      <c r="B29" s="10"/>
      <c r="C29" s="11"/>
      <c r="D29" s="12"/>
      <c r="E29" s="12"/>
    </row>
    <row r="30" spans="1:5" s="1" customFormat="1" ht="20.100000000000001" customHeight="1" x14ac:dyDescent="0.3">
      <c r="A30" s="83" t="s">
        <v>12</v>
      </c>
      <c r="B30" s="84"/>
      <c r="C30" s="84"/>
      <c r="D30" s="84"/>
      <c r="E30" s="13">
        <f>SUM(E28)</f>
        <v>7333.333333333333</v>
      </c>
    </row>
    <row r="31" spans="1:5" s="1" customFormat="1" ht="20.100000000000001" customHeight="1" x14ac:dyDescent="0.3">
      <c r="A31" s="10"/>
      <c r="B31" s="19"/>
      <c r="C31" s="19"/>
      <c r="D31" s="19"/>
      <c r="E31" s="19"/>
    </row>
    <row r="32" spans="1:5" s="1" customFormat="1" ht="20.100000000000001" customHeight="1" x14ac:dyDescent="0.3">
      <c r="A32" s="83" t="s">
        <v>23</v>
      </c>
      <c r="B32" s="84"/>
      <c r="C32" s="84"/>
      <c r="D32" s="84"/>
      <c r="E32" s="13">
        <f>SUM(E11,E20,E25,E30)</f>
        <v>33616.666666666664</v>
      </c>
    </row>
    <row r="33" spans="1:5" s="1" customFormat="1" ht="20.100000000000001" customHeight="1" x14ac:dyDescent="0.3">
      <c r="A33" s="2"/>
      <c r="B33" s="3"/>
      <c r="C33" s="3"/>
      <c r="D33" s="3"/>
      <c r="E33" s="3"/>
    </row>
    <row r="34" spans="1:5" s="1" customFormat="1" ht="20.100000000000001" customHeight="1" x14ac:dyDescent="0.3">
      <c r="A34" s="2"/>
      <c r="B34" s="3"/>
      <c r="C34" s="3"/>
      <c r="D34" s="3"/>
      <c r="E34" s="3"/>
    </row>
    <row r="35" spans="1:5" ht="18" customHeight="1" x14ac:dyDescent="0.3">
      <c r="A35" s="85" t="s">
        <v>172</v>
      </c>
      <c r="B35" s="86"/>
      <c r="C35" s="86"/>
      <c r="D35" s="7" t="s">
        <v>1</v>
      </c>
      <c r="E35" s="7" t="s">
        <v>158</v>
      </c>
    </row>
    <row r="36" spans="1:5" ht="18" customHeight="1" x14ac:dyDescent="0.3">
      <c r="A36" s="87"/>
      <c r="B36" s="88"/>
      <c r="C36" s="88"/>
      <c r="D36" s="8" t="s">
        <v>3</v>
      </c>
      <c r="E36" s="8" t="s">
        <v>4</v>
      </c>
    </row>
    <row r="37" spans="1:5" ht="18" customHeight="1" x14ac:dyDescent="0.3">
      <c r="A37" s="89" t="s">
        <v>5</v>
      </c>
      <c r="B37" s="90"/>
      <c r="C37" s="90"/>
      <c r="D37" s="90"/>
      <c r="E37" s="90"/>
    </row>
    <row r="38" spans="1:5" ht="18" customHeight="1" x14ac:dyDescent="0.3">
      <c r="A38" s="9" t="s">
        <v>6</v>
      </c>
      <c r="B38" s="9" t="s">
        <v>3</v>
      </c>
      <c r="C38" s="9" t="s">
        <v>7</v>
      </c>
      <c r="D38" s="9" t="s">
        <v>8</v>
      </c>
      <c r="E38" s="9" t="s">
        <v>9</v>
      </c>
    </row>
    <row r="39" spans="1:5" ht="18" customHeight="1" x14ac:dyDescent="0.3">
      <c r="A39" s="10" t="s">
        <v>10</v>
      </c>
      <c r="B39" s="10" t="s">
        <v>11</v>
      </c>
      <c r="C39" s="11">
        <v>0.05</v>
      </c>
      <c r="D39" s="12">
        <f>E57</f>
        <v>7333.333333333333</v>
      </c>
      <c r="E39" s="12">
        <f>C39*D39</f>
        <v>366.66666666666669</v>
      </c>
    </row>
    <row r="40" spans="1:5" ht="18" customHeight="1" x14ac:dyDescent="0.3">
      <c r="A40" s="10"/>
      <c r="B40" s="10"/>
      <c r="C40" s="10"/>
      <c r="D40" s="12"/>
      <c r="E40" s="12"/>
    </row>
    <row r="41" spans="1:5" ht="18" customHeight="1" x14ac:dyDescent="0.3">
      <c r="A41" s="83" t="s">
        <v>12</v>
      </c>
      <c r="B41" s="84"/>
      <c r="C41" s="84"/>
      <c r="D41" s="84"/>
      <c r="E41" s="13">
        <f>SUM(E39:E39)</f>
        <v>366.66666666666669</v>
      </c>
    </row>
    <row r="42" spans="1:5" ht="18" customHeight="1" x14ac:dyDescent="0.3">
      <c r="A42" s="89" t="s">
        <v>13</v>
      </c>
      <c r="B42" s="90"/>
      <c r="C42" s="90"/>
      <c r="D42" s="90"/>
      <c r="E42" s="90"/>
    </row>
    <row r="43" spans="1:5" ht="18" customHeight="1" x14ac:dyDescent="0.3">
      <c r="A43" s="9" t="s">
        <v>6</v>
      </c>
      <c r="B43" s="9" t="s">
        <v>3</v>
      </c>
      <c r="C43" s="9" t="s">
        <v>14</v>
      </c>
      <c r="D43" s="9" t="s">
        <v>15</v>
      </c>
      <c r="E43" s="9" t="s">
        <v>9</v>
      </c>
    </row>
    <row r="44" spans="1:5" ht="18" customHeight="1" x14ac:dyDescent="0.3">
      <c r="A44" s="14"/>
      <c r="B44" s="10"/>
      <c r="C44" s="16"/>
      <c r="D44" s="12"/>
      <c r="E44" s="12"/>
    </row>
    <row r="45" spans="1:5" ht="18" customHeight="1" x14ac:dyDescent="0.3">
      <c r="A45" s="17" t="s">
        <v>16</v>
      </c>
      <c r="B45" s="91"/>
      <c r="C45" s="88"/>
      <c r="D45" s="88"/>
      <c r="E45" s="12">
        <v>0</v>
      </c>
    </row>
    <row r="46" spans="1:5" ht="18" customHeight="1" x14ac:dyDescent="0.3">
      <c r="A46" s="17"/>
      <c r="B46" s="18"/>
      <c r="C46" s="19"/>
      <c r="D46" s="19"/>
      <c r="E46" s="12"/>
    </row>
    <row r="47" spans="1:5" ht="18" customHeight="1" x14ac:dyDescent="0.3">
      <c r="A47" s="83" t="s">
        <v>12</v>
      </c>
      <c r="B47" s="84"/>
      <c r="C47" s="84"/>
      <c r="D47" s="84"/>
      <c r="E47" s="13">
        <f>SUM(E44:E45)</f>
        <v>0</v>
      </c>
    </row>
    <row r="48" spans="1:5" ht="18" customHeight="1" x14ac:dyDescent="0.3">
      <c r="A48" s="89" t="s">
        <v>17</v>
      </c>
      <c r="B48" s="90"/>
      <c r="C48" s="90"/>
      <c r="D48" s="90"/>
      <c r="E48" s="90"/>
    </row>
    <row r="49" spans="1:7" ht="18" customHeight="1" x14ac:dyDescent="0.3">
      <c r="A49" s="9" t="s">
        <v>6</v>
      </c>
      <c r="B49" s="9" t="s">
        <v>3</v>
      </c>
      <c r="C49" s="9" t="s">
        <v>7</v>
      </c>
      <c r="D49" s="9" t="s">
        <v>8</v>
      </c>
      <c r="E49" s="9" t="s">
        <v>9</v>
      </c>
    </row>
    <row r="50" spans="1:7" ht="18" customHeight="1" x14ac:dyDescent="0.3">
      <c r="A50" s="14" t="s">
        <v>18</v>
      </c>
      <c r="B50" s="10" t="s">
        <v>19</v>
      </c>
      <c r="C50" s="11">
        <v>0</v>
      </c>
      <c r="D50" s="12">
        <v>60000</v>
      </c>
      <c r="E50" s="12">
        <f>D50*C50</f>
        <v>0</v>
      </c>
      <c r="G50" s="22"/>
    </row>
    <row r="51" spans="1:7" ht="18" customHeight="1" x14ac:dyDescent="0.3">
      <c r="A51" s="14"/>
      <c r="B51" s="10"/>
      <c r="C51" s="11"/>
      <c r="D51" s="12"/>
      <c r="E51" s="12"/>
    </row>
    <row r="52" spans="1:7" ht="18" customHeight="1" x14ac:dyDescent="0.3">
      <c r="A52" s="83" t="s">
        <v>12</v>
      </c>
      <c r="B52" s="84"/>
      <c r="C52" s="84"/>
      <c r="D52" s="84"/>
      <c r="E52" s="13">
        <f>SUM(E50)</f>
        <v>0</v>
      </c>
    </row>
    <row r="53" spans="1:7" ht="18" customHeight="1" x14ac:dyDescent="0.3">
      <c r="A53" s="89" t="s">
        <v>20</v>
      </c>
      <c r="B53" s="90"/>
      <c r="C53" s="90"/>
      <c r="D53" s="90"/>
      <c r="E53" s="90"/>
    </row>
    <row r="54" spans="1:7" ht="18" customHeight="1" x14ac:dyDescent="0.3">
      <c r="A54" s="9" t="s">
        <v>6</v>
      </c>
      <c r="B54" s="9" t="s">
        <v>3</v>
      </c>
      <c r="C54" s="9" t="s">
        <v>7</v>
      </c>
      <c r="D54" s="9" t="s">
        <v>21</v>
      </c>
      <c r="E54" s="9" t="s">
        <v>9</v>
      </c>
    </row>
    <row r="55" spans="1:7" ht="18" customHeight="1" x14ac:dyDescent="0.3">
      <c r="A55" s="14" t="s">
        <v>30</v>
      </c>
      <c r="B55" s="10" t="s">
        <v>19</v>
      </c>
      <c r="C55" s="11">
        <v>30</v>
      </c>
      <c r="D55" s="12">
        <v>220000</v>
      </c>
      <c r="E55" s="12">
        <f>D55/C55</f>
        <v>7333.333333333333</v>
      </c>
    </row>
    <row r="56" spans="1:7" ht="18" customHeight="1" x14ac:dyDescent="0.3">
      <c r="A56" s="14"/>
      <c r="B56" s="10"/>
      <c r="C56" s="11"/>
      <c r="D56" s="12"/>
      <c r="E56" s="12"/>
    </row>
    <row r="57" spans="1:7" ht="18" customHeight="1" x14ac:dyDescent="0.3">
      <c r="A57" s="83" t="s">
        <v>12</v>
      </c>
      <c r="B57" s="84"/>
      <c r="C57" s="84"/>
      <c r="D57" s="84"/>
      <c r="E57" s="13">
        <f>SUM(E55)</f>
        <v>7333.333333333333</v>
      </c>
    </row>
    <row r="58" spans="1:7" ht="18" customHeight="1" x14ac:dyDescent="0.3">
      <c r="A58" s="10"/>
      <c r="B58" s="19"/>
      <c r="C58" s="19"/>
      <c r="D58" s="19"/>
      <c r="E58" s="19"/>
    </row>
    <row r="59" spans="1:7" ht="18" customHeight="1" x14ac:dyDescent="0.3">
      <c r="A59" s="83" t="s">
        <v>23</v>
      </c>
      <c r="B59" s="84"/>
      <c r="C59" s="84"/>
      <c r="D59" s="84"/>
      <c r="E59" s="13">
        <f>SUM(E41,E47,E52,E57)</f>
        <v>7700</v>
      </c>
    </row>
    <row r="62" spans="1:7" ht="18" customHeight="1" x14ac:dyDescent="0.3">
      <c r="A62" s="93" t="s">
        <v>178</v>
      </c>
      <c r="B62" s="93"/>
      <c r="C62" s="93"/>
      <c r="D62" s="23" t="s">
        <v>1</v>
      </c>
      <c r="E62" s="23" t="s">
        <v>158</v>
      </c>
    </row>
    <row r="63" spans="1:7" ht="18" customHeight="1" x14ac:dyDescent="0.3">
      <c r="A63" s="87"/>
      <c r="B63" s="87"/>
      <c r="C63" s="87"/>
      <c r="D63" s="8" t="s">
        <v>3</v>
      </c>
      <c r="E63" s="8" t="s">
        <v>4</v>
      </c>
    </row>
    <row r="64" spans="1:7" ht="18" customHeight="1" x14ac:dyDescent="0.3">
      <c r="A64" s="89" t="s">
        <v>5</v>
      </c>
      <c r="B64" s="89"/>
      <c r="C64" s="89"/>
      <c r="D64" s="89"/>
      <c r="E64" s="89"/>
    </row>
    <row r="65" spans="1:7" ht="18" customHeight="1" x14ac:dyDescent="0.3">
      <c r="A65" s="9" t="s">
        <v>6</v>
      </c>
      <c r="B65" s="9" t="s">
        <v>3</v>
      </c>
      <c r="C65" s="9" t="s">
        <v>7</v>
      </c>
      <c r="D65" s="9" t="s">
        <v>8</v>
      </c>
      <c r="E65" s="9" t="s">
        <v>9</v>
      </c>
    </row>
    <row r="66" spans="1:7" ht="18" customHeight="1" x14ac:dyDescent="0.3">
      <c r="A66" s="14" t="s">
        <v>10</v>
      </c>
      <c r="B66" s="10" t="s">
        <v>11</v>
      </c>
      <c r="C66" s="11">
        <v>0.8</v>
      </c>
      <c r="D66" s="12">
        <f>E88</f>
        <v>3714.2857142857142</v>
      </c>
      <c r="E66" s="12">
        <f>C66*D66</f>
        <v>2971.4285714285716</v>
      </c>
    </row>
    <row r="67" spans="1:7" ht="18" customHeight="1" x14ac:dyDescent="0.3">
      <c r="A67" s="14" t="s">
        <v>83</v>
      </c>
      <c r="B67" s="10" t="s">
        <v>19</v>
      </c>
      <c r="C67" s="11">
        <v>0.01</v>
      </c>
      <c r="D67" s="12">
        <v>15000</v>
      </c>
      <c r="E67" s="12">
        <f>C67*D67</f>
        <v>150</v>
      </c>
    </row>
    <row r="68" spans="1:7" ht="18" customHeight="1" x14ac:dyDescent="0.3">
      <c r="A68" s="14"/>
      <c r="B68" s="10"/>
      <c r="C68" s="11"/>
      <c r="D68" s="12"/>
      <c r="E68" s="12"/>
    </row>
    <row r="69" spans="1:7" ht="18" customHeight="1" x14ac:dyDescent="0.3">
      <c r="A69" s="83" t="s">
        <v>12</v>
      </c>
      <c r="B69" s="83"/>
      <c r="C69" s="83"/>
      <c r="D69" s="83"/>
      <c r="E69" s="13">
        <f>SUM(E66:E67)</f>
        <v>3121.4285714285716</v>
      </c>
    </row>
    <row r="70" spans="1:7" ht="18" customHeight="1" x14ac:dyDescent="0.3">
      <c r="A70" s="89" t="s">
        <v>13</v>
      </c>
      <c r="B70" s="89"/>
      <c r="C70" s="89"/>
      <c r="D70" s="89"/>
      <c r="E70" s="89"/>
    </row>
    <row r="71" spans="1:7" ht="18" customHeight="1" x14ac:dyDescent="0.3">
      <c r="A71" s="9" t="s">
        <v>6</v>
      </c>
      <c r="B71" s="9" t="s">
        <v>3</v>
      </c>
      <c r="C71" s="9" t="s">
        <v>14</v>
      </c>
      <c r="D71" s="9" t="s">
        <v>15</v>
      </c>
      <c r="E71" s="9" t="s">
        <v>9</v>
      </c>
      <c r="F71" s="24"/>
    </row>
    <row r="72" spans="1:7" ht="18" customHeight="1" x14ac:dyDescent="0.3">
      <c r="A72" s="14" t="s">
        <v>32</v>
      </c>
      <c r="B72" s="10" t="s">
        <v>33</v>
      </c>
      <c r="C72" s="16">
        <v>2.5000000000000001E-2</v>
      </c>
      <c r="D72" s="12">
        <v>160000</v>
      </c>
      <c r="E72" s="12">
        <f>C72*D72</f>
        <v>4000</v>
      </c>
      <c r="F72" s="24"/>
    </row>
    <row r="73" spans="1:7" ht="18" customHeight="1" x14ac:dyDescent="0.3">
      <c r="A73" s="14" t="s">
        <v>34</v>
      </c>
      <c r="B73" s="10" t="s">
        <v>4</v>
      </c>
      <c r="C73" s="16">
        <v>1.4999999999999999E-2</v>
      </c>
      <c r="D73" s="12">
        <v>100000</v>
      </c>
      <c r="E73" s="12">
        <f>C73*D73</f>
        <v>1500</v>
      </c>
      <c r="G73" s="24"/>
    </row>
    <row r="74" spans="1:7" ht="18" customHeight="1" x14ac:dyDescent="0.3">
      <c r="A74" s="14" t="s">
        <v>80</v>
      </c>
      <c r="B74" s="10" t="s">
        <v>41</v>
      </c>
      <c r="C74" s="21">
        <v>0.05</v>
      </c>
      <c r="D74" s="12">
        <v>35000</v>
      </c>
      <c r="E74" s="12">
        <f>C74*D74</f>
        <v>1750</v>
      </c>
      <c r="G74" s="24"/>
    </row>
    <row r="75" spans="1:7" ht="18" customHeight="1" x14ac:dyDescent="0.3">
      <c r="A75" s="14"/>
      <c r="B75" s="10"/>
      <c r="C75" s="16"/>
      <c r="D75" s="12"/>
      <c r="E75" s="12"/>
    </row>
    <row r="76" spans="1:7" ht="18" customHeight="1" x14ac:dyDescent="0.3">
      <c r="A76" s="17" t="s">
        <v>35</v>
      </c>
      <c r="B76" s="91"/>
      <c r="C76" s="91"/>
      <c r="D76" s="91"/>
      <c r="E76" s="12">
        <f>E72*0.03</f>
        <v>120</v>
      </c>
    </row>
    <row r="77" spans="1:7" ht="18" customHeight="1" x14ac:dyDescent="0.3">
      <c r="A77" s="17"/>
      <c r="B77" s="18"/>
      <c r="C77" s="19"/>
      <c r="D77" s="19"/>
      <c r="E77" s="12"/>
    </row>
    <row r="78" spans="1:7" ht="18" customHeight="1" x14ac:dyDescent="0.3">
      <c r="A78" s="83" t="s">
        <v>12</v>
      </c>
      <c r="B78" s="83"/>
      <c r="C78" s="83"/>
      <c r="D78" s="83"/>
      <c r="E78" s="13">
        <f>SUM(E72:E76)</f>
        <v>7370</v>
      </c>
    </row>
    <row r="79" spans="1:7" ht="18" customHeight="1" x14ac:dyDescent="0.3">
      <c r="A79" s="89" t="s">
        <v>17</v>
      </c>
      <c r="B79" s="89"/>
      <c r="C79" s="89"/>
      <c r="D79" s="89"/>
      <c r="E79" s="89"/>
    </row>
    <row r="80" spans="1:7" ht="18" customHeight="1" x14ac:dyDescent="0.3">
      <c r="A80" s="9" t="s">
        <v>6</v>
      </c>
      <c r="B80" s="9" t="s">
        <v>3</v>
      </c>
      <c r="C80" s="9" t="s">
        <v>7</v>
      </c>
      <c r="D80" s="9" t="s">
        <v>8</v>
      </c>
      <c r="E80" s="9" t="s">
        <v>9</v>
      </c>
    </row>
    <row r="81" spans="1:7" ht="18" customHeight="1" x14ac:dyDescent="0.3">
      <c r="A81" s="14" t="s">
        <v>36</v>
      </c>
      <c r="B81" s="10" t="s">
        <v>19</v>
      </c>
      <c r="C81" s="11">
        <v>2.5000000000000001E-2</v>
      </c>
      <c r="D81" s="12">
        <v>25000</v>
      </c>
      <c r="E81" s="12">
        <f>D81*C81</f>
        <v>625</v>
      </c>
      <c r="G81" s="24"/>
    </row>
    <row r="82" spans="1:7" ht="18" customHeight="1" x14ac:dyDescent="0.3">
      <c r="A82" s="14"/>
      <c r="B82" s="10"/>
      <c r="C82" s="11"/>
      <c r="D82" s="12"/>
      <c r="E82" s="12"/>
    </row>
    <row r="83" spans="1:7" ht="18" customHeight="1" x14ac:dyDescent="0.3">
      <c r="A83" s="83" t="s">
        <v>12</v>
      </c>
      <c r="B83" s="83"/>
      <c r="C83" s="83"/>
      <c r="D83" s="83"/>
      <c r="E83" s="13">
        <f>SUM(E81)</f>
        <v>625</v>
      </c>
    </row>
    <row r="84" spans="1:7" ht="18" customHeight="1" x14ac:dyDescent="0.3">
      <c r="A84" s="89" t="s">
        <v>20</v>
      </c>
      <c r="B84" s="89"/>
      <c r="C84" s="89"/>
      <c r="D84" s="89"/>
      <c r="E84" s="89"/>
    </row>
    <row r="85" spans="1:7" ht="18" customHeight="1" x14ac:dyDescent="0.3">
      <c r="A85" s="9" t="s">
        <v>6</v>
      </c>
      <c r="B85" s="9" t="s">
        <v>3</v>
      </c>
      <c r="C85" s="9" t="s">
        <v>7</v>
      </c>
      <c r="D85" s="9" t="s">
        <v>21</v>
      </c>
      <c r="E85" s="9" t="s">
        <v>9</v>
      </c>
    </row>
    <row r="86" spans="1:7" ht="18" customHeight="1" x14ac:dyDescent="0.3">
      <c r="A86" s="14" t="s">
        <v>37</v>
      </c>
      <c r="B86" s="10" t="s">
        <v>19</v>
      </c>
      <c r="C86" s="11">
        <v>35</v>
      </c>
      <c r="D86" s="12">
        <v>130000</v>
      </c>
      <c r="E86" s="12">
        <f>D86/C86</f>
        <v>3714.2857142857142</v>
      </c>
    </row>
    <row r="87" spans="1:7" ht="18" customHeight="1" x14ac:dyDescent="0.3">
      <c r="A87" s="14"/>
      <c r="B87" s="10"/>
      <c r="C87" s="11"/>
      <c r="D87" s="12"/>
      <c r="E87" s="12"/>
    </row>
    <row r="88" spans="1:7" ht="18" customHeight="1" x14ac:dyDescent="0.3">
      <c r="A88" s="83" t="s">
        <v>12</v>
      </c>
      <c r="B88" s="83"/>
      <c r="C88" s="83"/>
      <c r="D88" s="83"/>
      <c r="E88" s="13">
        <f>SUM(E86)</f>
        <v>3714.2857142857142</v>
      </c>
    </row>
    <row r="89" spans="1:7" ht="18" customHeight="1" x14ac:dyDescent="0.3">
      <c r="A89" s="10"/>
      <c r="B89" s="19"/>
      <c r="C89" s="19"/>
      <c r="D89" s="19"/>
      <c r="E89" s="19"/>
    </row>
    <row r="90" spans="1:7" ht="18" customHeight="1" x14ac:dyDescent="0.3">
      <c r="A90" s="83" t="s">
        <v>23</v>
      </c>
      <c r="B90" s="83"/>
      <c r="C90" s="83"/>
      <c r="D90" s="83"/>
      <c r="E90" s="13">
        <f>SUM(E69,E78,E83,E88)</f>
        <v>14830.714285714286</v>
      </c>
    </row>
    <row r="92" spans="1:7" ht="18" customHeight="1" x14ac:dyDescent="0.3">
      <c r="B92" s="19"/>
      <c r="C92" s="19"/>
      <c r="D92" s="19"/>
      <c r="E92" s="19"/>
    </row>
    <row r="93" spans="1:7" ht="18" customHeight="1" x14ac:dyDescent="0.3">
      <c r="A93" s="99" t="s">
        <v>156</v>
      </c>
      <c r="B93" s="100"/>
      <c r="C93" s="100"/>
      <c r="D93" s="39" t="s">
        <v>1</v>
      </c>
      <c r="E93" s="39" t="s">
        <v>158</v>
      </c>
    </row>
    <row r="94" spans="1:7" ht="18" customHeight="1" x14ac:dyDescent="0.3">
      <c r="A94" s="87"/>
      <c r="B94" s="88"/>
      <c r="C94" s="88"/>
      <c r="D94" s="8" t="s">
        <v>3</v>
      </c>
      <c r="E94" s="8" t="s">
        <v>4</v>
      </c>
    </row>
    <row r="95" spans="1:7" ht="18" customHeight="1" x14ac:dyDescent="0.3">
      <c r="A95" s="89" t="s">
        <v>5</v>
      </c>
      <c r="B95" s="90"/>
      <c r="C95" s="90"/>
      <c r="D95" s="90"/>
      <c r="E95" s="90"/>
    </row>
    <row r="96" spans="1:7" ht="18" customHeight="1" x14ac:dyDescent="0.3">
      <c r="A96" s="9" t="s">
        <v>6</v>
      </c>
      <c r="B96" s="9" t="s">
        <v>3</v>
      </c>
      <c r="C96" s="9" t="s">
        <v>7</v>
      </c>
      <c r="D96" s="9" t="s">
        <v>8</v>
      </c>
      <c r="E96" s="9" t="s">
        <v>9</v>
      </c>
    </row>
    <row r="97" spans="1:7" ht="18" customHeight="1" x14ac:dyDescent="0.3">
      <c r="A97" s="14" t="s">
        <v>10</v>
      </c>
      <c r="B97" s="10" t="s">
        <v>11</v>
      </c>
      <c r="C97" s="11">
        <v>0.1</v>
      </c>
      <c r="D97" s="12">
        <f>E120</f>
        <v>2888.8888888888887</v>
      </c>
      <c r="E97" s="12">
        <f>C97*D97</f>
        <v>288.88888888888886</v>
      </c>
    </row>
    <row r="98" spans="1:7" ht="18" customHeight="1" x14ac:dyDescent="0.3">
      <c r="A98" s="14" t="s">
        <v>84</v>
      </c>
      <c r="B98" s="10" t="s">
        <v>19</v>
      </c>
      <c r="C98" s="11">
        <v>1.4999999999999999E-2</v>
      </c>
      <c r="D98" s="12">
        <v>25000</v>
      </c>
      <c r="E98" s="12">
        <f>C98*D98</f>
        <v>375</v>
      </c>
    </row>
    <row r="99" spans="1:7" ht="18" customHeight="1" x14ac:dyDescent="0.3">
      <c r="A99" s="10"/>
      <c r="B99" s="10"/>
      <c r="C99" s="10"/>
      <c r="D99" s="12"/>
      <c r="E99" s="12"/>
    </row>
    <row r="100" spans="1:7" ht="18" customHeight="1" x14ac:dyDescent="0.3">
      <c r="A100" s="83" t="s">
        <v>12</v>
      </c>
      <c r="B100" s="84"/>
      <c r="C100" s="84"/>
      <c r="D100" s="84"/>
      <c r="E100" s="13">
        <f>SUM(E97:E98)</f>
        <v>663.88888888888891</v>
      </c>
    </row>
    <row r="101" spans="1:7" ht="18" customHeight="1" x14ac:dyDescent="0.3">
      <c r="A101" s="89" t="s">
        <v>13</v>
      </c>
      <c r="B101" s="90"/>
      <c r="C101" s="90"/>
      <c r="D101" s="90"/>
      <c r="E101" s="90"/>
    </row>
    <row r="102" spans="1:7" ht="18" customHeight="1" x14ac:dyDescent="0.3">
      <c r="A102" s="9" t="s">
        <v>6</v>
      </c>
      <c r="B102" s="9" t="s">
        <v>3</v>
      </c>
      <c r="C102" s="9" t="s">
        <v>14</v>
      </c>
      <c r="D102" s="9" t="s">
        <v>15</v>
      </c>
      <c r="E102" s="9" t="s">
        <v>9</v>
      </c>
    </row>
    <row r="103" spans="1:7" ht="18" customHeight="1" x14ac:dyDescent="0.3">
      <c r="A103" s="14" t="s">
        <v>157</v>
      </c>
      <c r="B103" s="10" t="s">
        <v>123</v>
      </c>
      <c r="C103" s="21">
        <v>0.04</v>
      </c>
      <c r="D103" s="12">
        <v>250000</v>
      </c>
      <c r="E103" s="12">
        <f>C103*D103</f>
        <v>10000</v>
      </c>
    </row>
    <row r="104" spans="1:7" ht="18" customHeight="1" x14ac:dyDescent="0.3">
      <c r="A104" s="14" t="s">
        <v>124</v>
      </c>
      <c r="B104" s="10" t="s">
        <v>26</v>
      </c>
      <c r="C104" s="16">
        <v>1E-3</v>
      </c>
      <c r="D104" s="12">
        <v>38000</v>
      </c>
      <c r="E104" s="12">
        <f>C104*D104</f>
        <v>38</v>
      </c>
    </row>
    <row r="105" spans="1:7" ht="18" customHeight="1" x14ac:dyDescent="0.3">
      <c r="A105" s="14" t="s">
        <v>125</v>
      </c>
      <c r="B105" s="10" t="s">
        <v>26</v>
      </c>
      <c r="C105" s="16">
        <v>1E-3</v>
      </c>
      <c r="D105" s="12">
        <v>10000</v>
      </c>
      <c r="E105" s="12">
        <f>C105*D105</f>
        <v>10</v>
      </c>
    </row>
    <row r="106" spans="1:7" ht="18" customHeight="1" x14ac:dyDescent="0.3">
      <c r="A106" s="14"/>
      <c r="B106" s="10"/>
      <c r="C106" s="16"/>
      <c r="D106" s="12"/>
      <c r="E106" s="12"/>
    </row>
    <row r="107" spans="1:7" ht="18" customHeight="1" x14ac:dyDescent="0.3">
      <c r="A107" s="14"/>
      <c r="B107" s="10"/>
      <c r="C107" s="15"/>
      <c r="D107" s="12"/>
      <c r="E107" s="12"/>
    </row>
    <row r="108" spans="1:7" ht="18" customHeight="1" x14ac:dyDescent="0.3">
      <c r="A108" s="17" t="s">
        <v>16</v>
      </c>
      <c r="B108" s="91"/>
      <c r="C108" s="88"/>
      <c r="D108" s="88"/>
      <c r="E108" s="12">
        <f>SUM(E103:E107)*0.05</f>
        <v>502.40000000000003</v>
      </c>
    </row>
    <row r="109" spans="1:7" ht="18" customHeight="1" x14ac:dyDescent="0.3">
      <c r="A109" s="17"/>
      <c r="B109" s="18"/>
      <c r="C109" s="19"/>
      <c r="D109" s="19"/>
      <c r="E109" s="12"/>
    </row>
    <row r="110" spans="1:7" ht="18" customHeight="1" x14ac:dyDescent="0.3">
      <c r="A110" s="83" t="s">
        <v>12</v>
      </c>
      <c r="B110" s="84"/>
      <c r="C110" s="84"/>
      <c r="D110" s="84"/>
      <c r="E110" s="13">
        <f>SUM(E103:E108)</f>
        <v>10550.4</v>
      </c>
      <c r="G110" s="24"/>
    </row>
    <row r="111" spans="1:7" ht="18" customHeight="1" x14ac:dyDescent="0.3">
      <c r="A111" s="89" t="s">
        <v>17</v>
      </c>
      <c r="B111" s="90"/>
      <c r="C111" s="90"/>
      <c r="D111" s="90"/>
      <c r="E111" s="90"/>
    </row>
    <row r="112" spans="1:7" ht="18" customHeight="1" x14ac:dyDescent="0.3">
      <c r="A112" s="9" t="s">
        <v>6</v>
      </c>
      <c r="B112" s="9" t="s">
        <v>3</v>
      </c>
      <c r="C112" s="9" t="s">
        <v>7</v>
      </c>
      <c r="D112" s="9" t="s">
        <v>8</v>
      </c>
      <c r="E112" s="9" t="s">
        <v>9</v>
      </c>
    </row>
    <row r="113" spans="1:5" ht="18" customHeight="1" x14ac:dyDescent="0.3">
      <c r="A113" s="14" t="s">
        <v>36</v>
      </c>
      <c r="B113" s="10" t="s">
        <v>19</v>
      </c>
      <c r="C113" s="11">
        <v>2.5000000000000001E-2</v>
      </c>
      <c r="D113" s="12">
        <v>25000</v>
      </c>
      <c r="E113" s="12">
        <f>D113*C113</f>
        <v>625</v>
      </c>
    </row>
    <row r="114" spans="1:5" ht="18" customHeight="1" x14ac:dyDescent="0.3">
      <c r="A114" s="14"/>
      <c r="B114" s="10"/>
      <c r="C114" s="11"/>
      <c r="D114" s="12"/>
      <c r="E114" s="12"/>
    </row>
    <row r="115" spans="1:5" ht="18" customHeight="1" x14ac:dyDescent="0.3">
      <c r="A115" s="83" t="s">
        <v>12</v>
      </c>
      <c r="B115" s="84"/>
      <c r="C115" s="84"/>
      <c r="D115" s="84"/>
      <c r="E115" s="13">
        <f>SUM(E113)</f>
        <v>625</v>
      </c>
    </row>
    <row r="116" spans="1:5" ht="18" customHeight="1" x14ac:dyDescent="0.3">
      <c r="A116" s="89" t="s">
        <v>20</v>
      </c>
      <c r="B116" s="90"/>
      <c r="C116" s="90"/>
      <c r="D116" s="90"/>
      <c r="E116" s="90"/>
    </row>
    <row r="117" spans="1:5" ht="18" customHeight="1" x14ac:dyDescent="0.3">
      <c r="A117" s="9" t="s">
        <v>6</v>
      </c>
      <c r="B117" s="9" t="s">
        <v>3</v>
      </c>
      <c r="C117" s="9" t="s">
        <v>7</v>
      </c>
      <c r="D117" s="9" t="s">
        <v>21</v>
      </c>
      <c r="E117" s="9" t="s">
        <v>9</v>
      </c>
    </row>
    <row r="118" spans="1:5" ht="18" customHeight="1" x14ac:dyDescent="0.3">
      <c r="A118" s="14" t="s">
        <v>37</v>
      </c>
      <c r="B118" s="10" t="s">
        <v>19</v>
      </c>
      <c r="C118" s="11">
        <v>45</v>
      </c>
      <c r="D118" s="12">
        <v>130000</v>
      </c>
      <c r="E118" s="12">
        <f>D118/C118</f>
        <v>2888.8888888888887</v>
      </c>
    </row>
    <row r="119" spans="1:5" ht="18" customHeight="1" x14ac:dyDescent="0.3">
      <c r="A119" s="14"/>
      <c r="B119" s="10"/>
      <c r="C119" s="11"/>
      <c r="D119" s="12"/>
      <c r="E119" s="12"/>
    </row>
    <row r="120" spans="1:5" ht="18" customHeight="1" x14ac:dyDescent="0.3">
      <c r="A120" s="83" t="s">
        <v>12</v>
      </c>
      <c r="B120" s="84"/>
      <c r="C120" s="84"/>
      <c r="D120" s="84"/>
      <c r="E120" s="13">
        <f>SUM(E118)</f>
        <v>2888.8888888888887</v>
      </c>
    </row>
    <row r="121" spans="1:5" ht="18" customHeight="1" x14ac:dyDescent="0.3">
      <c r="A121" s="10"/>
      <c r="B121" s="19"/>
      <c r="C121" s="19"/>
      <c r="D121" s="19"/>
      <c r="E121" s="19"/>
    </row>
    <row r="122" spans="1:5" ht="18" customHeight="1" x14ac:dyDescent="0.3">
      <c r="A122" s="83" t="s">
        <v>23</v>
      </c>
      <c r="B122" s="84"/>
      <c r="C122" s="84"/>
      <c r="D122" s="84"/>
      <c r="E122" s="13">
        <f>SUM(E100,E110,E115,E120)</f>
        <v>14728.177777777777</v>
      </c>
    </row>
    <row r="125" spans="1:5" ht="18" customHeight="1" x14ac:dyDescent="0.3">
      <c r="A125" s="93" t="s">
        <v>184</v>
      </c>
      <c r="B125" s="93"/>
      <c r="C125" s="93"/>
      <c r="D125" s="23" t="s">
        <v>1</v>
      </c>
      <c r="E125" s="23" t="s">
        <v>183</v>
      </c>
    </row>
    <row r="126" spans="1:5" ht="18" customHeight="1" x14ac:dyDescent="0.3">
      <c r="A126" s="87"/>
      <c r="B126" s="88"/>
      <c r="C126" s="88"/>
      <c r="D126" s="8" t="s">
        <v>3</v>
      </c>
      <c r="E126" s="8" t="s">
        <v>4</v>
      </c>
    </row>
    <row r="127" spans="1:5" ht="18" customHeight="1" x14ac:dyDescent="0.3">
      <c r="A127" s="89" t="s">
        <v>5</v>
      </c>
      <c r="B127" s="90"/>
      <c r="C127" s="90"/>
      <c r="D127" s="90"/>
      <c r="E127" s="90"/>
    </row>
    <row r="128" spans="1:5" ht="18" customHeight="1" x14ac:dyDescent="0.3">
      <c r="A128" s="9" t="s">
        <v>6</v>
      </c>
      <c r="B128" s="9" t="s">
        <v>3</v>
      </c>
      <c r="C128" s="9" t="s">
        <v>7</v>
      </c>
      <c r="D128" s="9" t="s">
        <v>8</v>
      </c>
      <c r="E128" s="9" t="s">
        <v>9</v>
      </c>
    </row>
    <row r="129" spans="1:5" ht="18" customHeight="1" x14ac:dyDescent="0.3">
      <c r="A129" s="10" t="s">
        <v>10</v>
      </c>
      <c r="B129" s="10" t="s">
        <v>11</v>
      </c>
      <c r="C129" s="11">
        <v>0.1</v>
      </c>
      <c r="D129" s="12">
        <f>E149</f>
        <v>3250</v>
      </c>
      <c r="E129" s="12">
        <f>C129*D129</f>
        <v>325</v>
      </c>
    </row>
    <row r="130" spans="1:5" ht="18" customHeight="1" x14ac:dyDescent="0.3">
      <c r="A130" s="10"/>
      <c r="B130" s="10"/>
      <c r="C130" s="10"/>
      <c r="D130" s="12"/>
      <c r="E130" s="12"/>
    </row>
    <row r="131" spans="1:5" ht="18" customHeight="1" x14ac:dyDescent="0.3">
      <c r="A131" s="83" t="s">
        <v>12</v>
      </c>
      <c r="B131" s="84"/>
      <c r="C131" s="84"/>
      <c r="D131" s="84"/>
      <c r="E131" s="13">
        <f>SUM(E129:E129)</f>
        <v>325</v>
      </c>
    </row>
    <row r="132" spans="1:5" ht="18" customHeight="1" x14ac:dyDescent="0.3">
      <c r="A132" s="89" t="s">
        <v>13</v>
      </c>
      <c r="B132" s="90"/>
      <c r="C132" s="90"/>
      <c r="D132" s="90"/>
      <c r="E132" s="90"/>
    </row>
    <row r="133" spans="1:5" ht="18" customHeight="1" x14ac:dyDescent="0.3">
      <c r="A133" s="9" t="s">
        <v>6</v>
      </c>
      <c r="B133" s="9" t="s">
        <v>3</v>
      </c>
      <c r="C133" s="9" t="s">
        <v>14</v>
      </c>
      <c r="D133" s="9" t="s">
        <v>15</v>
      </c>
      <c r="E133" s="9" t="s">
        <v>9</v>
      </c>
    </row>
    <row r="134" spans="1:5" ht="18" customHeight="1" x14ac:dyDescent="0.3">
      <c r="A134" s="14" t="s">
        <v>62</v>
      </c>
      <c r="B134" s="10" t="s">
        <v>4</v>
      </c>
      <c r="C134" s="16">
        <v>0.2</v>
      </c>
      <c r="D134" s="12">
        <v>28000</v>
      </c>
      <c r="E134" s="12">
        <f>C134*D134</f>
        <v>5600</v>
      </c>
    </row>
    <row r="135" spans="1:5" ht="18" customHeight="1" x14ac:dyDescent="0.3">
      <c r="A135" s="14" t="s">
        <v>64</v>
      </c>
      <c r="B135" s="10" t="s">
        <v>63</v>
      </c>
      <c r="C135" s="16">
        <v>0.1</v>
      </c>
      <c r="D135" s="12">
        <v>15000</v>
      </c>
      <c r="E135" s="12">
        <f>C135*D135</f>
        <v>1500</v>
      </c>
    </row>
    <row r="136" spans="1:5" ht="18" customHeight="1" x14ac:dyDescent="0.3">
      <c r="A136" s="14"/>
      <c r="B136" s="10"/>
      <c r="C136" s="16"/>
      <c r="D136" s="12"/>
      <c r="E136" s="12"/>
    </row>
    <row r="137" spans="1:5" ht="18" customHeight="1" x14ac:dyDescent="0.3">
      <c r="A137" s="26" t="s">
        <v>46</v>
      </c>
      <c r="B137" s="92"/>
      <c r="C137" s="88"/>
      <c r="D137" s="88"/>
      <c r="E137" s="27">
        <f>(E134+E135)*0.05</f>
        <v>355</v>
      </c>
    </row>
    <row r="138" spans="1:5" ht="18" customHeight="1" x14ac:dyDescent="0.3">
      <c r="A138" s="26"/>
      <c r="B138" s="28"/>
      <c r="C138" s="19"/>
      <c r="D138" s="19"/>
      <c r="E138" s="27"/>
    </row>
    <row r="139" spans="1:5" ht="18" customHeight="1" x14ac:dyDescent="0.3">
      <c r="A139" s="83" t="s">
        <v>12</v>
      </c>
      <c r="B139" s="84"/>
      <c r="C139" s="84"/>
      <c r="D139" s="84"/>
      <c r="E139" s="13">
        <f>SUM(E134:E137)</f>
        <v>7455</v>
      </c>
    </row>
    <row r="140" spans="1:5" ht="18" customHeight="1" x14ac:dyDescent="0.3">
      <c r="A140" s="89" t="s">
        <v>17</v>
      </c>
      <c r="B140" s="90"/>
      <c r="C140" s="90"/>
      <c r="D140" s="90"/>
      <c r="E140" s="90"/>
    </row>
    <row r="141" spans="1:5" ht="18" customHeight="1" x14ac:dyDescent="0.3">
      <c r="A141" s="9" t="s">
        <v>6</v>
      </c>
      <c r="B141" s="9" t="s">
        <v>3</v>
      </c>
      <c r="C141" s="9" t="s">
        <v>7</v>
      </c>
      <c r="D141" s="9" t="s">
        <v>8</v>
      </c>
      <c r="E141" s="9" t="s">
        <v>9</v>
      </c>
    </row>
    <row r="142" spans="1:5" ht="18" customHeight="1" x14ac:dyDescent="0.3">
      <c r="A142" s="14" t="s">
        <v>36</v>
      </c>
      <c r="B142" s="10" t="s">
        <v>19</v>
      </c>
      <c r="C142" s="11">
        <v>2.5000000000000001E-2</v>
      </c>
      <c r="D142" s="12">
        <v>45000</v>
      </c>
      <c r="E142" s="12">
        <f>D142*C142</f>
        <v>1125</v>
      </c>
    </row>
    <row r="143" spans="1:5" ht="18" customHeight="1" x14ac:dyDescent="0.3">
      <c r="A143" s="14"/>
      <c r="B143" s="10"/>
      <c r="C143" s="11"/>
      <c r="D143" s="12"/>
      <c r="E143" s="12"/>
    </row>
    <row r="144" spans="1:5" ht="18" customHeight="1" x14ac:dyDescent="0.3">
      <c r="A144" s="83" t="s">
        <v>12</v>
      </c>
      <c r="B144" s="84"/>
      <c r="C144" s="84"/>
      <c r="D144" s="84"/>
      <c r="E144" s="13">
        <f>SUM(E142)</f>
        <v>1125</v>
      </c>
    </row>
    <row r="145" spans="1:5" ht="18" customHeight="1" x14ac:dyDescent="0.3">
      <c r="A145" s="89" t="s">
        <v>20</v>
      </c>
      <c r="B145" s="90"/>
      <c r="C145" s="90"/>
      <c r="D145" s="90"/>
      <c r="E145" s="90"/>
    </row>
    <row r="146" spans="1:5" ht="18" customHeight="1" x14ac:dyDescent="0.3">
      <c r="A146" s="9" t="s">
        <v>6</v>
      </c>
      <c r="B146" s="9" t="s">
        <v>3</v>
      </c>
      <c r="C146" s="9" t="s">
        <v>7</v>
      </c>
      <c r="D146" s="9" t="s">
        <v>21</v>
      </c>
      <c r="E146" s="9" t="s">
        <v>9</v>
      </c>
    </row>
    <row r="147" spans="1:5" ht="18" customHeight="1" x14ac:dyDescent="0.3">
      <c r="A147" s="14" t="s">
        <v>30</v>
      </c>
      <c r="B147" s="10" t="s">
        <v>19</v>
      </c>
      <c r="C147" s="11">
        <v>40</v>
      </c>
      <c r="D147" s="12">
        <v>130000</v>
      </c>
      <c r="E147" s="12">
        <f>D147/C147</f>
        <v>3250</v>
      </c>
    </row>
    <row r="148" spans="1:5" ht="18" customHeight="1" x14ac:dyDescent="0.3">
      <c r="A148" s="14"/>
      <c r="B148" s="10"/>
      <c r="C148" s="11"/>
      <c r="D148" s="12"/>
      <c r="E148" s="12"/>
    </row>
    <row r="149" spans="1:5" ht="18" customHeight="1" x14ac:dyDescent="0.3">
      <c r="A149" s="83" t="s">
        <v>12</v>
      </c>
      <c r="B149" s="84"/>
      <c r="C149" s="84"/>
      <c r="D149" s="84"/>
      <c r="E149" s="13">
        <f>SUM(E147)</f>
        <v>3250</v>
      </c>
    </row>
    <row r="150" spans="1:5" ht="18" customHeight="1" x14ac:dyDescent="0.3">
      <c r="A150" s="10"/>
      <c r="B150" s="19"/>
      <c r="C150" s="19"/>
      <c r="D150" s="19"/>
      <c r="E150" s="19"/>
    </row>
    <row r="151" spans="1:5" ht="18" customHeight="1" x14ac:dyDescent="0.3">
      <c r="A151" s="83" t="s">
        <v>23</v>
      </c>
      <c r="B151" s="84"/>
      <c r="C151" s="84"/>
      <c r="D151" s="84"/>
      <c r="E151" s="13">
        <f>SUM(E131,E139,E144,E149)</f>
        <v>12155</v>
      </c>
    </row>
    <row r="154" spans="1:5" ht="18" customHeight="1" x14ac:dyDescent="0.3">
      <c r="A154" s="85" t="s">
        <v>185</v>
      </c>
      <c r="B154" s="86"/>
      <c r="C154" s="86"/>
      <c r="D154" s="7" t="s">
        <v>1</v>
      </c>
      <c r="E154" s="7" t="s">
        <v>183</v>
      </c>
    </row>
    <row r="155" spans="1:5" ht="18" customHeight="1" x14ac:dyDescent="0.3">
      <c r="A155" s="87"/>
      <c r="B155" s="88"/>
      <c r="C155" s="88"/>
      <c r="D155" s="8" t="s">
        <v>3</v>
      </c>
      <c r="E155" s="8" t="s">
        <v>49</v>
      </c>
    </row>
    <row r="156" spans="1:5" ht="18" customHeight="1" x14ac:dyDescent="0.3">
      <c r="A156" s="89" t="s">
        <v>5</v>
      </c>
      <c r="B156" s="90"/>
      <c r="C156" s="90"/>
      <c r="D156" s="90"/>
      <c r="E156" s="90"/>
    </row>
    <row r="157" spans="1:5" ht="18" customHeight="1" x14ac:dyDescent="0.3">
      <c r="A157" s="9" t="s">
        <v>6</v>
      </c>
      <c r="B157" s="9" t="s">
        <v>3</v>
      </c>
      <c r="C157" s="9" t="s">
        <v>7</v>
      </c>
      <c r="D157" s="9" t="s">
        <v>8</v>
      </c>
      <c r="E157" s="9" t="s">
        <v>9</v>
      </c>
    </row>
    <row r="158" spans="1:5" ht="18" customHeight="1" x14ac:dyDescent="0.3">
      <c r="A158" s="10" t="s">
        <v>10</v>
      </c>
      <c r="B158" s="10" t="s">
        <v>11</v>
      </c>
      <c r="C158" s="11">
        <v>0.1</v>
      </c>
      <c r="D158" s="12">
        <f>E177</f>
        <v>1857.1428571428571</v>
      </c>
      <c r="E158" s="12">
        <f>C158*D158</f>
        <v>185.71428571428572</v>
      </c>
    </row>
    <row r="159" spans="1:5" ht="18" customHeight="1" x14ac:dyDescent="0.3">
      <c r="A159" s="10"/>
      <c r="B159" s="10"/>
      <c r="C159" s="10"/>
      <c r="D159" s="12"/>
      <c r="E159" s="12"/>
    </row>
    <row r="160" spans="1:5" ht="18" customHeight="1" x14ac:dyDescent="0.3">
      <c r="A160" s="83" t="s">
        <v>12</v>
      </c>
      <c r="B160" s="84"/>
      <c r="C160" s="84"/>
      <c r="D160" s="84"/>
      <c r="E160" s="13">
        <f>SUM(E158:E158)</f>
        <v>185.71428571428572</v>
      </c>
    </row>
    <row r="161" spans="1:5" ht="18" customHeight="1" x14ac:dyDescent="0.3">
      <c r="A161" s="89" t="s">
        <v>13</v>
      </c>
      <c r="B161" s="90"/>
      <c r="C161" s="90"/>
      <c r="D161" s="90"/>
      <c r="E161" s="90"/>
    </row>
    <row r="162" spans="1:5" ht="18" customHeight="1" x14ac:dyDescent="0.3">
      <c r="A162" s="9" t="s">
        <v>6</v>
      </c>
      <c r="B162" s="9" t="s">
        <v>3</v>
      </c>
      <c r="C162" s="9" t="s">
        <v>14</v>
      </c>
      <c r="D162" s="9" t="s">
        <v>15</v>
      </c>
      <c r="E162" s="9" t="s">
        <v>9</v>
      </c>
    </row>
    <row r="163" spans="1:5" ht="18" customHeight="1" x14ac:dyDescent="0.3">
      <c r="A163" s="14" t="s">
        <v>186</v>
      </c>
      <c r="B163" s="10" t="s">
        <v>51</v>
      </c>
      <c r="C163" s="25">
        <v>0.15</v>
      </c>
      <c r="D163" s="12">
        <v>23000</v>
      </c>
      <c r="E163" s="12">
        <f>C163*D163</f>
        <v>3450</v>
      </c>
    </row>
    <row r="164" spans="1:5" ht="18" customHeight="1" x14ac:dyDescent="0.3">
      <c r="A164" s="14"/>
      <c r="B164" s="10"/>
      <c r="C164" s="16"/>
      <c r="D164" s="12"/>
      <c r="E164" s="12"/>
    </row>
    <row r="165" spans="1:5" ht="18" customHeight="1" x14ac:dyDescent="0.3">
      <c r="A165" s="17" t="s">
        <v>16</v>
      </c>
      <c r="B165" s="91"/>
      <c r="C165" s="88"/>
      <c r="D165" s="88"/>
      <c r="E165" s="12">
        <f>SUM(E163:E164)*0.02</f>
        <v>69</v>
      </c>
    </row>
    <row r="166" spans="1:5" ht="18" customHeight="1" x14ac:dyDescent="0.3">
      <c r="A166" s="17"/>
      <c r="B166" s="18"/>
      <c r="C166" s="19"/>
      <c r="D166" s="19"/>
      <c r="E166" s="12"/>
    </row>
    <row r="167" spans="1:5" ht="18" customHeight="1" x14ac:dyDescent="0.3">
      <c r="A167" s="83" t="s">
        <v>12</v>
      </c>
      <c r="B167" s="84"/>
      <c r="C167" s="84"/>
      <c r="D167" s="84"/>
      <c r="E167" s="13">
        <f>SUM(E163:E165)</f>
        <v>3519</v>
      </c>
    </row>
    <row r="168" spans="1:5" ht="18" customHeight="1" x14ac:dyDescent="0.3">
      <c r="A168" s="89" t="s">
        <v>17</v>
      </c>
      <c r="B168" s="90"/>
      <c r="C168" s="90"/>
      <c r="D168" s="90"/>
      <c r="E168" s="90"/>
    </row>
    <row r="169" spans="1:5" ht="18" customHeight="1" x14ac:dyDescent="0.3">
      <c r="A169" s="9" t="s">
        <v>6</v>
      </c>
      <c r="B169" s="9" t="s">
        <v>3</v>
      </c>
      <c r="C169" s="9" t="s">
        <v>7</v>
      </c>
      <c r="D169" s="9" t="s">
        <v>8</v>
      </c>
      <c r="E169" s="9" t="s">
        <v>9</v>
      </c>
    </row>
    <row r="170" spans="1:5" ht="18" customHeight="1" x14ac:dyDescent="0.3">
      <c r="A170" s="14" t="s">
        <v>18</v>
      </c>
      <c r="B170" s="10" t="s">
        <v>19</v>
      </c>
      <c r="C170" s="11">
        <v>0.02</v>
      </c>
      <c r="D170" s="12">
        <v>45000</v>
      </c>
      <c r="E170" s="12">
        <f>D170*C170</f>
        <v>900</v>
      </c>
    </row>
    <row r="171" spans="1:5" ht="18" customHeight="1" x14ac:dyDescent="0.3">
      <c r="A171" s="14"/>
      <c r="B171" s="10"/>
      <c r="C171" s="11"/>
      <c r="D171" s="12"/>
      <c r="E171" s="12"/>
    </row>
    <row r="172" spans="1:5" ht="18" customHeight="1" x14ac:dyDescent="0.3">
      <c r="A172" s="83" t="s">
        <v>12</v>
      </c>
      <c r="B172" s="84"/>
      <c r="C172" s="84"/>
      <c r="D172" s="84"/>
      <c r="E172" s="13">
        <f>SUM(E170)</f>
        <v>900</v>
      </c>
    </row>
    <row r="173" spans="1:5" ht="18" customHeight="1" x14ac:dyDescent="0.3">
      <c r="A173" s="89" t="s">
        <v>20</v>
      </c>
      <c r="B173" s="90"/>
      <c r="C173" s="90"/>
      <c r="D173" s="90"/>
      <c r="E173" s="90"/>
    </row>
    <row r="174" spans="1:5" ht="18" customHeight="1" x14ac:dyDescent="0.3">
      <c r="A174" s="9" t="s">
        <v>6</v>
      </c>
      <c r="B174" s="9" t="s">
        <v>3</v>
      </c>
      <c r="C174" s="9" t="s">
        <v>7</v>
      </c>
      <c r="D174" s="9" t="s">
        <v>21</v>
      </c>
      <c r="E174" s="9" t="s">
        <v>9</v>
      </c>
    </row>
    <row r="175" spans="1:5" ht="18" customHeight="1" x14ac:dyDescent="0.3">
      <c r="A175" s="14" t="s">
        <v>22</v>
      </c>
      <c r="B175" s="10" t="s">
        <v>19</v>
      </c>
      <c r="C175" s="11">
        <v>70</v>
      </c>
      <c r="D175" s="12">
        <v>130000</v>
      </c>
      <c r="E175" s="12">
        <f>D175/C175</f>
        <v>1857.1428571428571</v>
      </c>
    </row>
    <row r="176" spans="1:5" ht="18" customHeight="1" x14ac:dyDescent="0.3">
      <c r="A176" s="14"/>
      <c r="B176" s="10"/>
      <c r="C176" s="11"/>
      <c r="D176" s="12"/>
      <c r="E176" s="12"/>
    </row>
    <row r="177" spans="1:5" ht="18" customHeight="1" x14ac:dyDescent="0.3">
      <c r="A177" s="83" t="s">
        <v>12</v>
      </c>
      <c r="B177" s="84"/>
      <c r="C177" s="84"/>
      <c r="D177" s="84"/>
      <c r="E177" s="13">
        <f>SUM(E175)</f>
        <v>1857.1428571428571</v>
      </c>
    </row>
    <row r="178" spans="1:5" ht="18" customHeight="1" x14ac:dyDescent="0.3">
      <c r="A178" s="10"/>
      <c r="B178" s="19"/>
      <c r="C178" s="19"/>
      <c r="D178" s="19"/>
      <c r="E178" s="19"/>
    </row>
    <row r="179" spans="1:5" ht="18" customHeight="1" x14ac:dyDescent="0.3">
      <c r="A179" s="83" t="s">
        <v>23</v>
      </c>
      <c r="B179" s="84"/>
      <c r="C179" s="84"/>
      <c r="D179" s="84"/>
      <c r="E179" s="13">
        <f>SUM(E160,E167,E172,E177)</f>
        <v>6461.8571428571431</v>
      </c>
    </row>
    <row r="182" spans="1:5" ht="18" customHeight="1" x14ac:dyDescent="0.3">
      <c r="A182" s="94" t="s">
        <v>189</v>
      </c>
      <c r="B182" s="95"/>
      <c r="C182" s="95"/>
      <c r="D182" s="39" t="s">
        <v>1</v>
      </c>
      <c r="E182" s="39" t="s">
        <v>187</v>
      </c>
    </row>
    <row r="183" spans="1:5" ht="18" customHeight="1" x14ac:dyDescent="0.3">
      <c r="A183" s="87"/>
      <c r="B183" s="88"/>
      <c r="C183" s="88"/>
      <c r="D183" s="8" t="s">
        <v>3</v>
      </c>
      <c r="E183" s="8" t="s">
        <v>43</v>
      </c>
    </row>
    <row r="184" spans="1:5" ht="18" customHeight="1" x14ac:dyDescent="0.3">
      <c r="A184" s="89" t="s">
        <v>5</v>
      </c>
      <c r="B184" s="90"/>
      <c r="C184" s="90"/>
      <c r="D184" s="90"/>
      <c r="E184" s="90"/>
    </row>
    <row r="185" spans="1:5" ht="18" customHeight="1" x14ac:dyDescent="0.3">
      <c r="A185" s="9" t="s">
        <v>6</v>
      </c>
      <c r="B185" s="9" t="s">
        <v>3</v>
      </c>
      <c r="C185" s="9" t="s">
        <v>7</v>
      </c>
      <c r="D185" s="9" t="s">
        <v>8</v>
      </c>
      <c r="E185" s="9" t="s">
        <v>9</v>
      </c>
    </row>
    <row r="186" spans="1:5" ht="18" customHeight="1" x14ac:dyDescent="0.3">
      <c r="A186" s="14" t="s">
        <v>10</v>
      </c>
      <c r="B186" s="10" t="s">
        <v>11</v>
      </c>
      <c r="C186" s="11">
        <v>0.1</v>
      </c>
      <c r="D186" s="12">
        <f>E207</f>
        <v>2166.6666666666665</v>
      </c>
      <c r="E186" s="12">
        <f>C186*D186</f>
        <v>216.66666666666666</v>
      </c>
    </row>
    <row r="187" spans="1:5" ht="18" customHeight="1" x14ac:dyDescent="0.3">
      <c r="A187" s="14" t="s">
        <v>84</v>
      </c>
      <c r="B187" s="10" t="s">
        <v>19</v>
      </c>
      <c r="C187" s="11">
        <v>1.4999999999999999E-2</v>
      </c>
      <c r="D187" s="12">
        <v>25000</v>
      </c>
      <c r="E187" s="12">
        <f>C187*D187</f>
        <v>375</v>
      </c>
    </row>
    <row r="188" spans="1:5" ht="18" customHeight="1" x14ac:dyDescent="0.3">
      <c r="A188" s="10"/>
      <c r="B188" s="10"/>
      <c r="C188" s="10"/>
      <c r="D188" s="12"/>
      <c r="E188" s="12"/>
    </row>
    <row r="189" spans="1:5" ht="18" customHeight="1" x14ac:dyDescent="0.3">
      <c r="A189" s="83" t="s">
        <v>12</v>
      </c>
      <c r="B189" s="84"/>
      <c r="C189" s="84"/>
      <c r="D189" s="84"/>
      <c r="E189" s="13">
        <f>SUM(E186:E187)</f>
        <v>591.66666666666663</v>
      </c>
    </row>
    <row r="190" spans="1:5" ht="18" customHeight="1" x14ac:dyDescent="0.3">
      <c r="A190" s="89" t="s">
        <v>13</v>
      </c>
      <c r="B190" s="90"/>
      <c r="C190" s="90"/>
      <c r="D190" s="90"/>
      <c r="E190" s="90"/>
    </row>
    <row r="191" spans="1:5" ht="18" customHeight="1" x14ac:dyDescent="0.3">
      <c r="A191" s="9" t="s">
        <v>6</v>
      </c>
      <c r="B191" s="9" t="s">
        <v>3</v>
      </c>
      <c r="C191" s="9" t="s">
        <v>14</v>
      </c>
      <c r="D191" s="9" t="s">
        <v>15</v>
      </c>
      <c r="E191" s="9" t="s">
        <v>9</v>
      </c>
    </row>
    <row r="192" spans="1:5" ht="18" customHeight="1" x14ac:dyDescent="0.3">
      <c r="A192" s="14" t="s">
        <v>186</v>
      </c>
      <c r="B192" s="10" t="s">
        <v>51</v>
      </c>
      <c r="C192" s="21">
        <v>0.15</v>
      </c>
      <c r="D192" s="12">
        <v>23000</v>
      </c>
      <c r="E192" s="12">
        <f>C192*D192</f>
        <v>3450</v>
      </c>
    </row>
    <row r="193" spans="1:5" ht="18" customHeight="1" x14ac:dyDescent="0.3">
      <c r="A193" s="14" t="s">
        <v>190</v>
      </c>
      <c r="B193" s="10" t="s">
        <v>26</v>
      </c>
      <c r="C193" s="21">
        <v>0.05</v>
      </c>
      <c r="D193" s="12">
        <v>5000</v>
      </c>
      <c r="E193" s="12">
        <f>C193*D193</f>
        <v>250</v>
      </c>
    </row>
    <row r="194" spans="1:5" ht="18" customHeight="1" x14ac:dyDescent="0.3">
      <c r="A194" s="14"/>
      <c r="B194" s="10"/>
      <c r="C194" s="16"/>
      <c r="D194" s="12"/>
      <c r="E194" s="12"/>
    </row>
    <row r="195" spans="1:5" ht="18" customHeight="1" x14ac:dyDescent="0.3">
      <c r="A195" s="17" t="s">
        <v>16</v>
      </c>
      <c r="B195" s="91"/>
      <c r="C195" s="88"/>
      <c r="D195" s="88"/>
      <c r="E195" s="12">
        <f>SUM(E192:E194)*0.05</f>
        <v>185</v>
      </c>
    </row>
    <row r="196" spans="1:5" ht="18" customHeight="1" x14ac:dyDescent="0.3">
      <c r="A196" s="17"/>
      <c r="B196" s="18"/>
      <c r="C196" s="19"/>
      <c r="D196" s="19"/>
      <c r="E196" s="12"/>
    </row>
    <row r="197" spans="1:5" ht="18" customHeight="1" x14ac:dyDescent="0.3">
      <c r="A197" s="83" t="s">
        <v>12</v>
      </c>
      <c r="B197" s="84"/>
      <c r="C197" s="84"/>
      <c r="D197" s="84"/>
      <c r="E197" s="13">
        <f>SUM(E192:E195)</f>
        <v>3885</v>
      </c>
    </row>
    <row r="198" spans="1:5" ht="18" customHeight="1" x14ac:dyDescent="0.3">
      <c r="A198" s="89" t="s">
        <v>17</v>
      </c>
      <c r="B198" s="90"/>
      <c r="C198" s="90"/>
      <c r="D198" s="90"/>
      <c r="E198" s="90"/>
    </row>
    <row r="199" spans="1:5" ht="18" customHeight="1" x14ac:dyDescent="0.3">
      <c r="A199" s="9" t="s">
        <v>6</v>
      </c>
      <c r="B199" s="9" t="s">
        <v>3</v>
      </c>
      <c r="C199" s="9" t="s">
        <v>7</v>
      </c>
      <c r="D199" s="9" t="s">
        <v>8</v>
      </c>
      <c r="E199" s="9" t="s">
        <v>9</v>
      </c>
    </row>
    <row r="200" spans="1:5" ht="18" customHeight="1" x14ac:dyDescent="0.3">
      <c r="A200" s="14" t="s">
        <v>18</v>
      </c>
      <c r="B200" s="10" t="s">
        <v>19</v>
      </c>
      <c r="C200" s="11">
        <v>0.02</v>
      </c>
      <c r="D200" s="12">
        <v>45000</v>
      </c>
      <c r="E200" s="12">
        <f>D200*C200</f>
        <v>900</v>
      </c>
    </row>
    <row r="201" spans="1:5" ht="18" customHeight="1" x14ac:dyDescent="0.3">
      <c r="A201" s="14"/>
      <c r="B201" s="10"/>
      <c r="C201" s="11"/>
      <c r="D201" s="12"/>
      <c r="E201" s="12"/>
    </row>
    <row r="202" spans="1:5" ht="18" customHeight="1" x14ac:dyDescent="0.3">
      <c r="A202" s="83" t="s">
        <v>12</v>
      </c>
      <c r="B202" s="84"/>
      <c r="C202" s="84"/>
      <c r="D202" s="84"/>
      <c r="E202" s="13">
        <f>SUM(E200)</f>
        <v>900</v>
      </c>
    </row>
    <row r="203" spans="1:5" ht="18" customHeight="1" x14ac:dyDescent="0.3">
      <c r="A203" s="89" t="s">
        <v>20</v>
      </c>
      <c r="B203" s="90"/>
      <c r="C203" s="90"/>
      <c r="D203" s="90"/>
      <c r="E203" s="90"/>
    </row>
    <row r="204" spans="1:5" ht="18" customHeight="1" x14ac:dyDescent="0.3">
      <c r="A204" s="9" t="s">
        <v>6</v>
      </c>
      <c r="B204" s="9" t="s">
        <v>3</v>
      </c>
      <c r="C204" s="9" t="s">
        <v>7</v>
      </c>
      <c r="D204" s="9" t="s">
        <v>21</v>
      </c>
      <c r="E204" s="9" t="s">
        <v>9</v>
      </c>
    </row>
    <row r="205" spans="1:5" ht="18" customHeight="1" x14ac:dyDescent="0.3">
      <c r="A205" s="14" t="s">
        <v>22</v>
      </c>
      <c r="B205" s="10" t="s">
        <v>19</v>
      </c>
      <c r="C205" s="11">
        <v>60</v>
      </c>
      <c r="D205" s="12">
        <v>130000</v>
      </c>
      <c r="E205" s="12">
        <f>D205/C205</f>
        <v>2166.6666666666665</v>
      </c>
    </row>
    <row r="206" spans="1:5" ht="18" customHeight="1" x14ac:dyDescent="0.3">
      <c r="A206" s="14"/>
      <c r="B206" s="10"/>
      <c r="C206" s="11"/>
      <c r="D206" s="12"/>
      <c r="E206" s="12"/>
    </row>
    <row r="207" spans="1:5" ht="18" customHeight="1" x14ac:dyDescent="0.3">
      <c r="A207" s="83" t="s">
        <v>12</v>
      </c>
      <c r="B207" s="84"/>
      <c r="C207" s="84"/>
      <c r="D207" s="84"/>
      <c r="E207" s="13">
        <f>SUM(E205)</f>
        <v>2166.6666666666665</v>
      </c>
    </row>
    <row r="208" spans="1:5" ht="18" customHeight="1" x14ac:dyDescent="0.3">
      <c r="A208" s="10"/>
      <c r="B208" s="19"/>
      <c r="C208" s="19"/>
      <c r="D208" s="19"/>
      <c r="E208" s="19"/>
    </row>
    <row r="209" spans="1:5" ht="18" customHeight="1" x14ac:dyDescent="0.3">
      <c r="A209" s="83" t="s">
        <v>23</v>
      </c>
      <c r="B209" s="84"/>
      <c r="C209" s="84"/>
      <c r="D209" s="84"/>
      <c r="E209" s="13">
        <f>SUM(E189,E197,E202,E207)</f>
        <v>7543.3333333333339</v>
      </c>
    </row>
    <row r="212" spans="1:5" ht="18" customHeight="1" x14ac:dyDescent="0.3">
      <c r="A212" s="103" t="s">
        <v>192</v>
      </c>
      <c r="B212" s="103"/>
      <c r="C212" s="103"/>
      <c r="D212" s="103"/>
      <c r="E212" s="103"/>
    </row>
    <row r="214" spans="1:5" ht="18" customHeight="1" x14ac:dyDescent="0.3">
      <c r="A214" s="102" t="s">
        <v>196</v>
      </c>
      <c r="B214" s="90"/>
      <c r="C214" s="90"/>
      <c r="D214" s="62" t="s">
        <v>1</v>
      </c>
      <c r="E214" s="62" t="s">
        <v>191</v>
      </c>
    </row>
    <row r="215" spans="1:5" ht="18" customHeight="1" x14ac:dyDescent="0.3">
      <c r="A215" s="87"/>
      <c r="B215" s="88"/>
      <c r="C215" s="88"/>
      <c r="D215" s="8" t="s">
        <v>3</v>
      </c>
      <c r="E215" s="8" t="s">
        <v>43</v>
      </c>
    </row>
    <row r="216" spans="1:5" ht="18" customHeight="1" x14ac:dyDescent="0.3">
      <c r="A216" s="89" t="s">
        <v>5</v>
      </c>
      <c r="B216" s="90"/>
      <c r="C216" s="90"/>
      <c r="D216" s="90"/>
      <c r="E216" s="90"/>
    </row>
    <row r="217" spans="1:5" ht="18" customHeight="1" x14ac:dyDescent="0.3">
      <c r="A217" s="9" t="s">
        <v>6</v>
      </c>
      <c r="B217" s="9" t="s">
        <v>3</v>
      </c>
      <c r="C217" s="9" t="s">
        <v>7</v>
      </c>
      <c r="D217" s="9" t="s">
        <v>8</v>
      </c>
      <c r="E217" s="9" t="s">
        <v>9</v>
      </c>
    </row>
    <row r="218" spans="1:5" ht="18" customHeight="1" x14ac:dyDescent="0.3">
      <c r="A218" s="14" t="s">
        <v>10</v>
      </c>
      <c r="B218" s="10" t="s">
        <v>11</v>
      </c>
      <c r="C218" s="11">
        <v>0.1</v>
      </c>
      <c r="D218" s="12">
        <f>E237</f>
        <v>3250</v>
      </c>
      <c r="E218" s="12">
        <f>C218*D218</f>
        <v>325</v>
      </c>
    </row>
    <row r="219" spans="1:5" ht="18" customHeight="1" x14ac:dyDescent="0.3">
      <c r="A219" s="14" t="s">
        <v>84</v>
      </c>
      <c r="B219" s="10" t="s">
        <v>19</v>
      </c>
      <c r="C219" s="11">
        <v>1.4999999999999999E-2</v>
      </c>
      <c r="D219" s="12">
        <v>25000</v>
      </c>
      <c r="E219" s="12">
        <f>C219*D219</f>
        <v>375</v>
      </c>
    </row>
    <row r="220" spans="1:5" ht="18" customHeight="1" x14ac:dyDescent="0.3">
      <c r="A220" s="10"/>
      <c r="B220" s="10"/>
      <c r="C220" s="10"/>
      <c r="D220" s="12"/>
      <c r="E220" s="12"/>
    </row>
    <row r="221" spans="1:5" ht="18" customHeight="1" x14ac:dyDescent="0.3">
      <c r="A221" s="83" t="s">
        <v>12</v>
      </c>
      <c r="B221" s="84"/>
      <c r="C221" s="84"/>
      <c r="D221" s="84"/>
      <c r="E221" s="13">
        <f>SUM(E218:E218)</f>
        <v>325</v>
      </c>
    </row>
    <row r="222" spans="1:5" ht="18" customHeight="1" x14ac:dyDescent="0.3">
      <c r="A222" s="89" t="s">
        <v>13</v>
      </c>
      <c r="B222" s="90"/>
      <c r="C222" s="90"/>
      <c r="D222" s="90"/>
      <c r="E222" s="90"/>
    </row>
    <row r="223" spans="1:5" ht="18" customHeight="1" x14ac:dyDescent="0.3">
      <c r="A223" s="9" t="s">
        <v>6</v>
      </c>
      <c r="B223" s="9" t="s">
        <v>3</v>
      </c>
      <c r="C223" s="9" t="s">
        <v>14</v>
      </c>
      <c r="D223" s="9" t="s">
        <v>15</v>
      </c>
      <c r="E223" s="9" t="s">
        <v>9</v>
      </c>
    </row>
    <row r="224" spans="1:5" ht="18" customHeight="1" x14ac:dyDescent="0.3">
      <c r="A224" s="14"/>
      <c r="B224" s="10"/>
      <c r="C224" s="16"/>
      <c r="D224" s="12"/>
      <c r="E224" s="12"/>
    </row>
    <row r="225" spans="1:5" ht="18" customHeight="1" x14ac:dyDescent="0.3">
      <c r="A225" s="17" t="s">
        <v>16</v>
      </c>
      <c r="B225" s="91"/>
      <c r="C225" s="88"/>
      <c r="D225" s="88"/>
      <c r="E225" s="12">
        <v>0</v>
      </c>
    </row>
    <row r="226" spans="1:5" ht="18" customHeight="1" x14ac:dyDescent="0.3">
      <c r="A226" s="17"/>
      <c r="B226" s="18"/>
      <c r="C226" s="19"/>
      <c r="D226" s="19"/>
      <c r="E226" s="12"/>
    </row>
    <row r="227" spans="1:5" ht="18" customHeight="1" x14ac:dyDescent="0.3">
      <c r="A227" s="83" t="s">
        <v>12</v>
      </c>
      <c r="B227" s="84"/>
      <c r="C227" s="84"/>
      <c r="D227" s="84"/>
      <c r="E227" s="13">
        <f>SUM(E224:E225)</f>
        <v>0</v>
      </c>
    </row>
    <row r="228" spans="1:5" ht="18" customHeight="1" x14ac:dyDescent="0.3">
      <c r="A228" s="89" t="s">
        <v>17</v>
      </c>
      <c r="B228" s="90"/>
      <c r="C228" s="90"/>
      <c r="D228" s="90"/>
      <c r="E228" s="90"/>
    </row>
    <row r="229" spans="1:5" ht="18" customHeight="1" x14ac:dyDescent="0.3">
      <c r="A229" s="9" t="s">
        <v>6</v>
      </c>
      <c r="B229" s="9" t="s">
        <v>3</v>
      </c>
      <c r="C229" s="9" t="s">
        <v>7</v>
      </c>
      <c r="D229" s="9" t="s">
        <v>8</v>
      </c>
      <c r="E229" s="9" t="s">
        <v>9</v>
      </c>
    </row>
    <row r="230" spans="1:5" ht="18" customHeight="1" x14ac:dyDescent="0.3">
      <c r="A230" s="14" t="s">
        <v>18</v>
      </c>
      <c r="B230" s="10" t="s">
        <v>19</v>
      </c>
      <c r="C230" s="11">
        <v>0.02</v>
      </c>
      <c r="D230" s="12">
        <v>45000</v>
      </c>
      <c r="E230" s="12">
        <f>D230*C230</f>
        <v>900</v>
      </c>
    </row>
    <row r="231" spans="1:5" ht="18" customHeight="1" x14ac:dyDescent="0.3">
      <c r="A231" s="14"/>
      <c r="B231" s="10"/>
      <c r="C231" s="11"/>
      <c r="D231" s="12"/>
      <c r="E231" s="12"/>
    </row>
    <row r="232" spans="1:5" ht="18" customHeight="1" x14ac:dyDescent="0.3">
      <c r="A232" s="83" t="s">
        <v>12</v>
      </c>
      <c r="B232" s="84"/>
      <c r="C232" s="84"/>
      <c r="D232" s="84"/>
      <c r="E232" s="13">
        <f>SUM(E230)</f>
        <v>900</v>
      </c>
    </row>
    <row r="233" spans="1:5" ht="18" customHeight="1" x14ac:dyDescent="0.3">
      <c r="A233" s="89" t="s">
        <v>20</v>
      </c>
      <c r="B233" s="90"/>
      <c r="C233" s="90"/>
      <c r="D233" s="90"/>
      <c r="E233" s="90"/>
    </row>
    <row r="234" spans="1:5" ht="18" customHeight="1" x14ac:dyDescent="0.3">
      <c r="A234" s="9" t="s">
        <v>6</v>
      </c>
      <c r="B234" s="9" t="s">
        <v>3</v>
      </c>
      <c r="C234" s="9" t="s">
        <v>7</v>
      </c>
      <c r="D234" s="9" t="s">
        <v>21</v>
      </c>
      <c r="E234" s="9" t="s">
        <v>9</v>
      </c>
    </row>
    <row r="235" spans="1:5" ht="18" customHeight="1" x14ac:dyDescent="0.3">
      <c r="A235" s="14" t="s">
        <v>22</v>
      </c>
      <c r="B235" s="10" t="s">
        <v>19</v>
      </c>
      <c r="C235" s="11">
        <v>40</v>
      </c>
      <c r="D235" s="12">
        <v>130000</v>
      </c>
      <c r="E235" s="12">
        <f>D235/C235</f>
        <v>3250</v>
      </c>
    </row>
    <row r="236" spans="1:5" ht="18" customHeight="1" x14ac:dyDescent="0.3">
      <c r="A236" s="14"/>
      <c r="B236" s="10"/>
      <c r="C236" s="11"/>
      <c r="D236" s="12"/>
      <c r="E236" s="12"/>
    </row>
    <row r="237" spans="1:5" ht="18" customHeight="1" x14ac:dyDescent="0.3">
      <c r="A237" s="83" t="s">
        <v>12</v>
      </c>
      <c r="B237" s="84"/>
      <c r="C237" s="84"/>
      <c r="D237" s="84"/>
      <c r="E237" s="13">
        <f>SUM(E235)</f>
        <v>3250</v>
      </c>
    </row>
    <row r="238" spans="1:5" ht="18" customHeight="1" x14ac:dyDescent="0.3">
      <c r="A238" s="10"/>
      <c r="B238" s="19"/>
      <c r="C238" s="19"/>
      <c r="D238" s="19"/>
      <c r="E238" s="19"/>
    </row>
    <row r="239" spans="1:5" ht="18" customHeight="1" x14ac:dyDescent="0.3">
      <c r="A239" s="83" t="s">
        <v>23</v>
      </c>
      <c r="B239" s="84"/>
      <c r="C239" s="84"/>
      <c r="D239" s="84"/>
      <c r="E239" s="13">
        <f>SUM(E221,E227,E232,E237)</f>
        <v>4475</v>
      </c>
    </row>
    <row r="241" spans="1:5" ht="18" customHeight="1" x14ac:dyDescent="0.3">
      <c r="A241" s="2"/>
      <c r="B241" s="3"/>
      <c r="C241" s="3"/>
      <c r="D241" s="3"/>
      <c r="E241" s="3"/>
    </row>
    <row r="242" spans="1:5" ht="18" customHeight="1" x14ac:dyDescent="0.3">
      <c r="A242" s="102" t="s">
        <v>195</v>
      </c>
      <c r="B242" s="90"/>
      <c r="C242" s="90"/>
      <c r="D242" s="62" t="s">
        <v>1</v>
      </c>
      <c r="E242" s="62" t="s">
        <v>191</v>
      </c>
    </row>
    <row r="243" spans="1:5" ht="18" customHeight="1" x14ac:dyDescent="0.3">
      <c r="A243" s="87"/>
      <c r="B243" s="88"/>
      <c r="C243" s="88"/>
      <c r="D243" s="8" t="s">
        <v>3</v>
      </c>
      <c r="E243" s="8" t="s">
        <v>43</v>
      </c>
    </row>
    <row r="244" spans="1:5" ht="18" customHeight="1" x14ac:dyDescent="0.3">
      <c r="A244" s="89" t="s">
        <v>5</v>
      </c>
      <c r="B244" s="90"/>
      <c r="C244" s="90"/>
      <c r="D244" s="90"/>
      <c r="E244" s="90"/>
    </row>
    <row r="245" spans="1:5" ht="18" customHeight="1" x14ac:dyDescent="0.3">
      <c r="A245" s="9" t="s">
        <v>6</v>
      </c>
      <c r="B245" s="9" t="s">
        <v>3</v>
      </c>
      <c r="C245" s="9" t="s">
        <v>7</v>
      </c>
      <c r="D245" s="9" t="s">
        <v>8</v>
      </c>
      <c r="E245" s="9" t="s">
        <v>9</v>
      </c>
    </row>
    <row r="246" spans="1:5" ht="18" customHeight="1" x14ac:dyDescent="0.3">
      <c r="A246" s="14" t="s">
        <v>10</v>
      </c>
      <c r="B246" s="10" t="s">
        <v>11</v>
      </c>
      <c r="C246" s="11">
        <v>0.1</v>
      </c>
      <c r="D246" s="12">
        <f>E269</f>
        <v>13000</v>
      </c>
      <c r="E246" s="12">
        <f>C246*D246</f>
        <v>1300</v>
      </c>
    </row>
    <row r="247" spans="1:5" ht="18" customHeight="1" x14ac:dyDescent="0.3">
      <c r="A247" s="14" t="s">
        <v>84</v>
      </c>
      <c r="B247" s="10" t="s">
        <v>19</v>
      </c>
      <c r="C247" s="11">
        <v>1.4999999999999999E-2</v>
      </c>
      <c r="D247" s="12">
        <v>25000</v>
      </c>
      <c r="E247" s="12">
        <f>C247*D247</f>
        <v>375</v>
      </c>
    </row>
    <row r="248" spans="1:5" ht="18" customHeight="1" x14ac:dyDescent="0.3">
      <c r="A248" s="10"/>
      <c r="B248" s="10"/>
      <c r="C248" s="10"/>
      <c r="D248" s="12"/>
      <c r="E248" s="12"/>
    </row>
    <row r="249" spans="1:5" ht="18" customHeight="1" x14ac:dyDescent="0.3">
      <c r="A249" s="83" t="s">
        <v>12</v>
      </c>
      <c r="B249" s="84"/>
      <c r="C249" s="84"/>
      <c r="D249" s="84"/>
      <c r="E249" s="13">
        <f>SUM(E246:E246)</f>
        <v>1300</v>
      </c>
    </row>
    <row r="250" spans="1:5" ht="18" customHeight="1" x14ac:dyDescent="0.3">
      <c r="A250" s="89" t="s">
        <v>13</v>
      </c>
      <c r="B250" s="90"/>
      <c r="C250" s="90"/>
      <c r="D250" s="90"/>
      <c r="E250" s="90"/>
    </row>
    <row r="251" spans="1:5" ht="18" customHeight="1" x14ac:dyDescent="0.3">
      <c r="A251" s="9" t="s">
        <v>6</v>
      </c>
      <c r="B251" s="9" t="s">
        <v>3</v>
      </c>
      <c r="C251" s="9" t="s">
        <v>14</v>
      </c>
      <c r="D251" s="9" t="s">
        <v>15</v>
      </c>
      <c r="E251" s="9" t="s">
        <v>9</v>
      </c>
    </row>
    <row r="252" spans="1:5" ht="18" customHeight="1" x14ac:dyDescent="0.3">
      <c r="A252" s="14" t="s">
        <v>197</v>
      </c>
      <c r="B252" s="10" t="s">
        <v>4</v>
      </c>
      <c r="C252" s="16">
        <v>0.25</v>
      </c>
      <c r="D252" s="12">
        <v>42000</v>
      </c>
      <c r="E252" s="12">
        <f>C252*D252</f>
        <v>10500</v>
      </c>
    </row>
    <row r="253" spans="1:5" ht="18" customHeight="1" x14ac:dyDescent="0.3">
      <c r="A253" s="14" t="s">
        <v>186</v>
      </c>
      <c r="B253" s="10" t="s">
        <v>51</v>
      </c>
      <c r="C253" s="21">
        <v>0.15</v>
      </c>
      <c r="D253" s="12">
        <v>23000</v>
      </c>
      <c r="E253" s="12">
        <f>C253*D253</f>
        <v>3450</v>
      </c>
    </row>
    <row r="254" spans="1:5" ht="18" customHeight="1" x14ac:dyDescent="0.3">
      <c r="A254" s="14" t="s">
        <v>198</v>
      </c>
      <c r="B254" s="10" t="s">
        <v>63</v>
      </c>
      <c r="C254" s="21">
        <v>1</v>
      </c>
      <c r="D254" s="12">
        <v>2000</v>
      </c>
      <c r="E254" s="12">
        <f>C254*D254</f>
        <v>2000</v>
      </c>
    </row>
    <row r="255" spans="1:5" ht="18" customHeight="1" x14ac:dyDescent="0.3">
      <c r="A255" s="14" t="s">
        <v>122</v>
      </c>
      <c r="B255" s="10" t="s">
        <v>123</v>
      </c>
      <c r="C255" s="21">
        <v>0.01</v>
      </c>
      <c r="D255" s="12">
        <v>450000</v>
      </c>
      <c r="E255" s="12">
        <f>C255*D255</f>
        <v>4500</v>
      </c>
    </row>
    <row r="256" spans="1:5" ht="18" customHeight="1" x14ac:dyDescent="0.3">
      <c r="A256" s="14"/>
      <c r="B256" s="10"/>
      <c r="C256" s="16"/>
      <c r="D256" s="12"/>
      <c r="E256" s="12"/>
    </row>
    <row r="257" spans="1:5" ht="18" customHeight="1" x14ac:dyDescent="0.3">
      <c r="A257" s="17" t="s">
        <v>16</v>
      </c>
      <c r="B257" s="91"/>
      <c r="C257" s="88"/>
      <c r="D257" s="88"/>
      <c r="E257" s="12">
        <v>0</v>
      </c>
    </row>
    <row r="258" spans="1:5" ht="18" customHeight="1" x14ac:dyDescent="0.3">
      <c r="A258" s="17"/>
      <c r="B258" s="18"/>
      <c r="C258" s="19"/>
      <c r="D258" s="19"/>
      <c r="E258" s="12"/>
    </row>
    <row r="259" spans="1:5" ht="18" customHeight="1" x14ac:dyDescent="0.3">
      <c r="A259" s="83" t="s">
        <v>12</v>
      </c>
      <c r="B259" s="84"/>
      <c r="C259" s="84"/>
      <c r="D259" s="84"/>
      <c r="E259" s="13">
        <f>SUM(E252:E257)</f>
        <v>20450</v>
      </c>
    </row>
    <row r="260" spans="1:5" ht="18" customHeight="1" x14ac:dyDescent="0.3">
      <c r="A260" s="89" t="s">
        <v>17</v>
      </c>
      <c r="B260" s="90"/>
      <c r="C260" s="90"/>
      <c r="D260" s="90"/>
      <c r="E260" s="90"/>
    </row>
    <row r="261" spans="1:5" ht="18" customHeight="1" x14ac:dyDescent="0.3">
      <c r="A261" s="9" t="s">
        <v>6</v>
      </c>
      <c r="B261" s="9" t="s">
        <v>3</v>
      </c>
      <c r="C261" s="9" t="s">
        <v>7</v>
      </c>
      <c r="D261" s="9" t="s">
        <v>8</v>
      </c>
      <c r="E261" s="9" t="s">
        <v>9</v>
      </c>
    </row>
    <row r="262" spans="1:5" ht="18" customHeight="1" x14ac:dyDescent="0.3">
      <c r="A262" s="14" t="s">
        <v>18</v>
      </c>
      <c r="B262" s="10" t="s">
        <v>19</v>
      </c>
      <c r="C262" s="11">
        <v>0.02</v>
      </c>
      <c r="D262" s="12">
        <v>45000</v>
      </c>
      <c r="E262" s="12">
        <f>D262*C262</f>
        <v>900</v>
      </c>
    </row>
    <row r="263" spans="1:5" ht="18" customHeight="1" x14ac:dyDescent="0.3">
      <c r="A263" s="14"/>
      <c r="B263" s="10"/>
      <c r="C263" s="11"/>
      <c r="D263" s="12"/>
      <c r="E263" s="12"/>
    </row>
    <row r="264" spans="1:5" ht="18" customHeight="1" x14ac:dyDescent="0.3">
      <c r="A264" s="83" t="s">
        <v>12</v>
      </c>
      <c r="B264" s="84"/>
      <c r="C264" s="84"/>
      <c r="D264" s="84"/>
      <c r="E264" s="13">
        <f>SUM(E262)</f>
        <v>900</v>
      </c>
    </row>
    <row r="265" spans="1:5" ht="18" customHeight="1" x14ac:dyDescent="0.3">
      <c r="A265" s="89" t="s">
        <v>20</v>
      </c>
      <c r="B265" s="90"/>
      <c r="C265" s="90"/>
      <c r="D265" s="90"/>
      <c r="E265" s="90"/>
    </row>
    <row r="266" spans="1:5" ht="18" customHeight="1" x14ac:dyDescent="0.3">
      <c r="A266" s="9" t="s">
        <v>6</v>
      </c>
      <c r="B266" s="9" t="s">
        <v>3</v>
      </c>
      <c r="C266" s="9" t="s">
        <v>7</v>
      </c>
      <c r="D266" s="9" t="s">
        <v>21</v>
      </c>
      <c r="E266" s="9" t="s">
        <v>9</v>
      </c>
    </row>
    <row r="267" spans="1:5" ht="18" customHeight="1" x14ac:dyDescent="0.3">
      <c r="A267" s="14" t="s">
        <v>22</v>
      </c>
      <c r="B267" s="10" t="s">
        <v>19</v>
      </c>
      <c r="C267" s="11">
        <v>10</v>
      </c>
      <c r="D267" s="12">
        <v>130000</v>
      </c>
      <c r="E267" s="12">
        <f>D267/C267</f>
        <v>13000</v>
      </c>
    </row>
    <row r="268" spans="1:5" ht="18" customHeight="1" x14ac:dyDescent="0.3">
      <c r="A268" s="14"/>
      <c r="B268" s="10"/>
      <c r="C268" s="11"/>
      <c r="D268" s="12"/>
      <c r="E268" s="12"/>
    </row>
    <row r="269" spans="1:5" ht="18" customHeight="1" x14ac:dyDescent="0.3">
      <c r="A269" s="83" t="s">
        <v>12</v>
      </c>
      <c r="B269" s="84"/>
      <c r="C269" s="84"/>
      <c r="D269" s="84"/>
      <c r="E269" s="13">
        <f>SUM(E267)</f>
        <v>13000</v>
      </c>
    </row>
    <row r="270" spans="1:5" ht="18" customHeight="1" x14ac:dyDescent="0.3">
      <c r="A270" s="10"/>
      <c r="B270" s="19"/>
      <c r="C270" s="19"/>
      <c r="D270" s="19"/>
      <c r="E270" s="19"/>
    </row>
    <row r="271" spans="1:5" ht="18" customHeight="1" x14ac:dyDescent="0.3">
      <c r="A271" s="83" t="s">
        <v>23</v>
      </c>
      <c r="B271" s="84"/>
      <c r="C271" s="84"/>
      <c r="D271" s="84"/>
      <c r="E271" s="13">
        <f>SUM(E249,E259,E264,E269)</f>
        <v>35650</v>
      </c>
    </row>
  </sheetData>
  <mergeCells count="111">
    <mergeCell ref="B18:D18"/>
    <mergeCell ref="A20:D20"/>
    <mergeCell ref="A21:E21"/>
    <mergeCell ref="A25:D25"/>
    <mergeCell ref="A26:E26"/>
    <mergeCell ref="A30:D30"/>
    <mergeCell ref="A1:E1"/>
    <mergeCell ref="A5:C5"/>
    <mergeCell ref="A6:C6"/>
    <mergeCell ref="A7:E7"/>
    <mergeCell ref="A11:D11"/>
    <mergeCell ref="A12:E12"/>
    <mergeCell ref="A3:E3"/>
    <mergeCell ref="B45:D45"/>
    <mergeCell ref="A47:D47"/>
    <mergeCell ref="A48:E48"/>
    <mergeCell ref="A52:D52"/>
    <mergeCell ref="A53:E53"/>
    <mergeCell ref="A57:D57"/>
    <mergeCell ref="A32:D32"/>
    <mergeCell ref="A35:C35"/>
    <mergeCell ref="A36:C36"/>
    <mergeCell ref="A37:E37"/>
    <mergeCell ref="A41:D41"/>
    <mergeCell ref="A42:E42"/>
    <mergeCell ref="B76:D76"/>
    <mergeCell ref="A78:D78"/>
    <mergeCell ref="A79:E79"/>
    <mergeCell ref="A83:D83"/>
    <mergeCell ref="A84:E84"/>
    <mergeCell ref="A88:D88"/>
    <mergeCell ref="A59:D59"/>
    <mergeCell ref="A62:C62"/>
    <mergeCell ref="A63:C63"/>
    <mergeCell ref="A64:E64"/>
    <mergeCell ref="A69:D69"/>
    <mergeCell ref="A70:E70"/>
    <mergeCell ref="A125:C125"/>
    <mergeCell ref="A126:C126"/>
    <mergeCell ref="A127:E127"/>
    <mergeCell ref="A131:D131"/>
    <mergeCell ref="A132:E132"/>
    <mergeCell ref="A120:D120"/>
    <mergeCell ref="A122:D122"/>
    <mergeCell ref="A90:D90"/>
    <mergeCell ref="A93:C93"/>
    <mergeCell ref="A94:C94"/>
    <mergeCell ref="A95:E95"/>
    <mergeCell ref="A100:D100"/>
    <mergeCell ref="A151:D151"/>
    <mergeCell ref="A154:C154"/>
    <mergeCell ref="A155:C155"/>
    <mergeCell ref="A156:E156"/>
    <mergeCell ref="A160:D160"/>
    <mergeCell ref="A161:E161"/>
    <mergeCell ref="B137:D137"/>
    <mergeCell ref="A139:D139"/>
    <mergeCell ref="A140:E140"/>
    <mergeCell ref="A144:D144"/>
    <mergeCell ref="A145:E145"/>
    <mergeCell ref="A149:D149"/>
    <mergeCell ref="A179:D179"/>
    <mergeCell ref="A182:C182"/>
    <mergeCell ref="A183:C183"/>
    <mergeCell ref="A184:E184"/>
    <mergeCell ref="A189:D189"/>
    <mergeCell ref="A190:E190"/>
    <mergeCell ref="B165:D165"/>
    <mergeCell ref="A167:D167"/>
    <mergeCell ref="A168:E168"/>
    <mergeCell ref="A172:D172"/>
    <mergeCell ref="A173:E173"/>
    <mergeCell ref="A177:D177"/>
    <mergeCell ref="A237:D237"/>
    <mergeCell ref="A209:D209"/>
    <mergeCell ref="A214:C214"/>
    <mergeCell ref="A215:C215"/>
    <mergeCell ref="A216:E216"/>
    <mergeCell ref="A221:D221"/>
    <mergeCell ref="A222:E222"/>
    <mergeCell ref="A212:E212"/>
    <mergeCell ref="B195:D195"/>
    <mergeCell ref="A197:D197"/>
    <mergeCell ref="A198:E198"/>
    <mergeCell ref="A202:D202"/>
    <mergeCell ref="A203:E203"/>
    <mergeCell ref="A207:D207"/>
    <mergeCell ref="A271:D271"/>
    <mergeCell ref="B257:D257"/>
    <mergeCell ref="A259:D259"/>
    <mergeCell ref="A260:E260"/>
    <mergeCell ref="A264:D264"/>
    <mergeCell ref="A265:E265"/>
    <mergeCell ref="A269:D269"/>
    <mergeCell ref="A101:E101"/>
    <mergeCell ref="B108:D108"/>
    <mergeCell ref="A110:D110"/>
    <mergeCell ref="A111:E111"/>
    <mergeCell ref="A115:D115"/>
    <mergeCell ref="A116:E116"/>
    <mergeCell ref="A239:D239"/>
    <mergeCell ref="A242:C242"/>
    <mergeCell ref="A243:C243"/>
    <mergeCell ref="A244:E244"/>
    <mergeCell ref="A249:D249"/>
    <mergeCell ref="A250:E250"/>
    <mergeCell ref="B225:D225"/>
    <mergeCell ref="A227:D227"/>
    <mergeCell ref="A228:E228"/>
    <mergeCell ref="A232:D232"/>
    <mergeCell ref="A233:E233"/>
  </mergeCells>
  <pageMargins left="0.7" right="0.7" top="0.75" bottom="0.75" header="0" footer="0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3774-1EF7-4EA0-9810-E1168BFAAC44}">
  <dimension ref="A1:G82"/>
  <sheetViews>
    <sheetView topLeftCell="A27" zoomScale="90" zoomScaleNormal="90" workbookViewId="0">
      <selection activeCell="G57" sqref="G57"/>
    </sheetView>
  </sheetViews>
  <sheetFormatPr baseColWidth="10" defaultColWidth="14.44140625" defaultRowHeight="18" customHeight="1" x14ac:dyDescent="0.3"/>
  <cols>
    <col min="1" max="1" width="13.88671875" style="20" customWidth="1"/>
    <col min="2" max="2" width="56.109375" style="20" customWidth="1"/>
    <col min="3" max="5" width="18.6640625" style="20" customWidth="1"/>
    <col min="6" max="6" width="15.44140625" style="20" customWidth="1"/>
    <col min="7" max="7" width="18.77734375" style="20" customWidth="1"/>
    <col min="8" max="8" width="11.44140625" style="20" customWidth="1"/>
    <col min="9" max="9" width="14.109375" style="20" customWidth="1"/>
    <col min="10" max="26" width="10.6640625" style="20" customWidth="1"/>
    <col min="27" max="16384" width="14.44140625" style="20"/>
  </cols>
  <sheetData>
    <row r="1" spans="1:6" ht="20.100000000000001" customHeight="1" x14ac:dyDescent="0.3">
      <c r="A1" s="96" t="s">
        <v>77</v>
      </c>
      <c r="B1" s="97"/>
      <c r="C1" s="97"/>
      <c r="D1" s="6"/>
      <c r="E1" s="6"/>
    </row>
    <row r="2" spans="1:6" ht="20.100000000000001" customHeight="1" x14ac:dyDescent="0.3">
      <c r="A2" s="29"/>
      <c r="B2" s="19"/>
      <c r="C2" s="19"/>
      <c r="D2" s="19"/>
      <c r="E2" s="19"/>
    </row>
    <row r="3" spans="1:6" ht="20.100000000000001" customHeight="1" x14ac:dyDescent="0.3">
      <c r="A3" s="52" t="s">
        <v>1</v>
      </c>
      <c r="B3" s="52" t="s">
        <v>6</v>
      </c>
      <c r="C3" s="50"/>
      <c r="D3" s="51">
        <v>0.05</v>
      </c>
      <c r="E3" s="51">
        <v>0.1</v>
      </c>
    </row>
    <row r="4" spans="1:6" ht="20.100000000000001" customHeight="1" x14ac:dyDescent="0.3">
      <c r="A4" s="35" t="s">
        <v>212</v>
      </c>
      <c r="B4" s="36" t="s">
        <v>211</v>
      </c>
      <c r="C4" s="32">
        <v>4900000</v>
      </c>
      <c r="D4" s="32">
        <f>C4*1.05</f>
        <v>5145000</v>
      </c>
      <c r="E4" s="32">
        <f>C4*1.1</f>
        <v>5390000</v>
      </c>
    </row>
    <row r="5" spans="1:6" ht="20.100000000000001" customHeight="1" x14ac:dyDescent="0.3"/>
    <row r="6" spans="1:6" ht="20.100000000000001" customHeight="1" x14ac:dyDescent="0.3">
      <c r="A6" s="35" t="s">
        <v>213</v>
      </c>
      <c r="B6" s="36" t="s">
        <v>214</v>
      </c>
      <c r="C6" s="32">
        <v>550000</v>
      </c>
      <c r="D6" s="32">
        <f>C6*1.05</f>
        <v>577500</v>
      </c>
      <c r="E6" s="32">
        <f>C6*1.1</f>
        <v>605000</v>
      </c>
    </row>
    <row r="7" spans="1:6" ht="20.100000000000001" customHeight="1" x14ac:dyDescent="0.3">
      <c r="A7" s="29"/>
      <c r="B7" s="19"/>
      <c r="C7" s="19"/>
      <c r="D7" s="19"/>
      <c r="E7" s="19"/>
    </row>
    <row r="8" spans="1:6" ht="20.100000000000001" customHeight="1" x14ac:dyDescent="0.3">
      <c r="A8" s="33" t="s">
        <v>1</v>
      </c>
      <c r="B8" s="33" t="s">
        <v>6</v>
      </c>
      <c r="C8" s="33" t="s">
        <v>61</v>
      </c>
      <c r="D8" s="41">
        <v>0.05</v>
      </c>
      <c r="E8" s="41">
        <v>0.1</v>
      </c>
    </row>
    <row r="9" spans="1:6" ht="20.100000000000001" customHeight="1" x14ac:dyDescent="0.3">
      <c r="A9" s="35" t="s">
        <v>91</v>
      </c>
      <c r="B9" s="36" t="s">
        <v>120</v>
      </c>
      <c r="C9" s="32">
        <f>'APU II'!E33</f>
        <v>3021.666666666667</v>
      </c>
      <c r="D9" s="32">
        <f>C9*1.05</f>
        <v>3172.7500000000005</v>
      </c>
      <c r="E9" s="32">
        <f>C9*1.1</f>
        <v>3323.8333333333339</v>
      </c>
    </row>
    <row r="10" spans="1:6" ht="20.100000000000001" customHeight="1" x14ac:dyDescent="0.3">
      <c r="A10" s="47"/>
      <c r="B10" s="47"/>
      <c r="C10" s="47"/>
      <c r="D10" s="48"/>
      <c r="E10" s="48"/>
    </row>
    <row r="11" spans="1:6" ht="20.399999999999999" customHeight="1" x14ac:dyDescent="0.3">
      <c r="A11" s="35" t="s">
        <v>92</v>
      </c>
      <c r="B11" s="36" t="s">
        <v>86</v>
      </c>
      <c r="C11" s="32">
        <f>SUM(C12:C15)</f>
        <v>53794.450549450543</v>
      </c>
      <c r="D11" s="32">
        <f>SUM(D12:D14)</f>
        <v>56484.173076923078</v>
      </c>
      <c r="E11" s="32">
        <f>SUM(E12:E14)</f>
        <v>62132.590384615396</v>
      </c>
      <c r="F11" s="34"/>
    </row>
    <row r="12" spans="1:6" ht="20.100000000000001" customHeight="1" x14ac:dyDescent="0.3">
      <c r="A12" s="10" t="s">
        <v>99</v>
      </c>
      <c r="B12" s="14" t="s">
        <v>96</v>
      </c>
      <c r="C12" s="30">
        <f>'APU II'!E62</f>
        <v>1142.3076923076924</v>
      </c>
      <c r="D12" s="30">
        <f>C12*1.05</f>
        <v>1199.4230769230771</v>
      </c>
      <c r="E12" s="30">
        <f>D12*1.1</f>
        <v>1319.365384615385</v>
      </c>
    </row>
    <row r="13" spans="1:6" ht="20.100000000000001" customHeight="1" x14ac:dyDescent="0.3">
      <c r="A13" s="10" t="s">
        <v>100</v>
      </c>
      <c r="B13" s="14" t="s">
        <v>95</v>
      </c>
      <c r="C13" s="31">
        <f>'APU II'!E92</f>
        <v>16508.142857142855</v>
      </c>
      <c r="D13" s="30">
        <f t="shared" ref="D13:D14" si="0">C13*1.05</f>
        <v>17333.55</v>
      </c>
      <c r="E13" s="30">
        <f t="shared" ref="E13:E14" si="1">D13*1.1</f>
        <v>19066.905000000002</v>
      </c>
    </row>
    <row r="14" spans="1:6" ht="20.100000000000001" customHeight="1" x14ac:dyDescent="0.3">
      <c r="A14" s="10" t="s">
        <v>101</v>
      </c>
      <c r="B14" s="14" t="s">
        <v>98</v>
      </c>
      <c r="C14" s="31">
        <f>'APU II'!E122</f>
        <v>36144</v>
      </c>
      <c r="D14" s="30">
        <f t="shared" si="0"/>
        <v>37951.200000000004</v>
      </c>
      <c r="E14" s="30">
        <f t="shared" si="1"/>
        <v>41746.320000000007</v>
      </c>
    </row>
    <row r="15" spans="1:6" ht="20.100000000000001" customHeight="1" x14ac:dyDescent="0.3">
      <c r="A15" s="10"/>
      <c r="B15" s="14"/>
      <c r="C15" s="31">
        <v>0</v>
      </c>
      <c r="D15" s="31"/>
      <c r="E15" s="31"/>
    </row>
    <row r="16" spans="1:6" ht="19.95" customHeight="1" x14ac:dyDescent="0.3">
      <c r="A16" s="35" t="s">
        <v>93</v>
      </c>
      <c r="B16" s="36" t="s">
        <v>103</v>
      </c>
      <c r="C16" s="32">
        <f>'APU II'!E154</f>
        <v>34908.75</v>
      </c>
      <c r="D16" s="32">
        <f>C16*1.05</f>
        <v>36654.1875</v>
      </c>
      <c r="E16" s="32">
        <f>C16*1.1</f>
        <v>38399.625</v>
      </c>
      <c r="F16" s="34"/>
    </row>
    <row r="17" spans="1:7" ht="19.95" customHeight="1" x14ac:dyDescent="0.3">
      <c r="A17" s="10"/>
      <c r="B17" s="14" t="s">
        <v>200</v>
      </c>
      <c r="C17" s="30">
        <v>0</v>
      </c>
      <c r="D17" s="30">
        <f>C17*1.05</f>
        <v>0</v>
      </c>
      <c r="E17" s="30">
        <f>C17*1.1</f>
        <v>0</v>
      </c>
    </row>
    <row r="18" spans="1:7" ht="19.95" customHeight="1" x14ac:dyDescent="0.3">
      <c r="A18" s="10"/>
      <c r="B18" s="14"/>
      <c r="C18" s="30"/>
      <c r="D18" s="30"/>
      <c r="E18" s="30"/>
    </row>
    <row r="19" spans="1:7" ht="19.95" customHeight="1" x14ac:dyDescent="0.3">
      <c r="A19" s="35" t="s">
        <v>94</v>
      </c>
      <c r="B19" s="36" t="s">
        <v>104</v>
      </c>
      <c r="C19" s="32">
        <f>SUM(C20:C21)</f>
        <v>88306.944444444438</v>
      </c>
      <c r="D19" s="32">
        <f t="shared" ref="D19:E19" si="2">SUM(D20:D21)</f>
        <v>92722.291666666672</v>
      </c>
      <c r="E19" s="32">
        <f t="shared" si="2"/>
        <v>97137.638888888891</v>
      </c>
    </row>
    <row r="20" spans="1:7" ht="19.95" customHeight="1" x14ac:dyDescent="0.3">
      <c r="A20" s="10" t="s">
        <v>106</v>
      </c>
      <c r="B20" s="14" t="s">
        <v>105</v>
      </c>
      <c r="C20" s="30">
        <f>'APU II'!E185</f>
        <v>13944.444444444445</v>
      </c>
      <c r="D20" s="30">
        <f>C20*1.05</f>
        <v>14641.666666666668</v>
      </c>
      <c r="E20" s="30">
        <f>C20*1.1</f>
        <v>15338.888888888891</v>
      </c>
      <c r="G20" s="34"/>
    </row>
    <row r="21" spans="1:7" ht="19.95" customHeight="1" x14ac:dyDescent="0.3">
      <c r="A21" s="10" t="s">
        <v>107</v>
      </c>
      <c r="B21" s="14" t="s">
        <v>110</v>
      </c>
      <c r="C21" s="31">
        <f>'APU II'!E218</f>
        <v>74362.5</v>
      </c>
      <c r="D21" s="30">
        <f>C21*1.05</f>
        <v>78080.625</v>
      </c>
      <c r="E21" s="30">
        <f>C21*1.1</f>
        <v>81798.75</v>
      </c>
    </row>
    <row r="22" spans="1:7" ht="19.95" customHeight="1" x14ac:dyDescent="0.3">
      <c r="A22" s="10"/>
      <c r="B22" s="14"/>
      <c r="C22" s="31"/>
      <c r="D22" s="31"/>
      <c r="E22" s="31"/>
    </row>
    <row r="23" spans="1:7" ht="19.2" customHeight="1" x14ac:dyDescent="0.3">
      <c r="A23" s="35" t="s">
        <v>117</v>
      </c>
      <c r="B23" s="36" t="s">
        <v>111</v>
      </c>
      <c r="C23" s="32">
        <f>SUM(C24:C25)</f>
        <v>54400</v>
      </c>
      <c r="D23" s="32">
        <f t="shared" ref="D23" si="3">SUM(D24:D25)</f>
        <v>57120</v>
      </c>
      <c r="E23" s="32">
        <f t="shared" ref="E23" si="4">SUM(E24:E25)</f>
        <v>59840.000000000007</v>
      </c>
      <c r="F23" s="34"/>
    </row>
    <row r="24" spans="1:7" ht="18" customHeight="1" x14ac:dyDescent="0.3">
      <c r="A24" s="10" t="s">
        <v>106</v>
      </c>
      <c r="B24" s="14" t="s">
        <v>115</v>
      </c>
      <c r="C24" s="30">
        <v>7200</v>
      </c>
      <c r="D24" s="30">
        <f>C24*1.05</f>
        <v>7560</v>
      </c>
      <c r="E24" s="30">
        <f>C24*1.1</f>
        <v>7920.0000000000009</v>
      </c>
      <c r="G24" s="34"/>
    </row>
    <row r="25" spans="1:7" ht="18" customHeight="1" x14ac:dyDescent="0.3">
      <c r="A25" s="10" t="s">
        <v>107</v>
      </c>
      <c r="B25" s="14" t="s">
        <v>110</v>
      </c>
      <c r="C25" s="31">
        <f>'APU II'!E249</f>
        <v>47200</v>
      </c>
      <c r="D25" s="30">
        <f>C25*1.05</f>
        <v>49560</v>
      </c>
      <c r="E25" s="30">
        <f>C25*1.1</f>
        <v>51920.000000000007</v>
      </c>
    </row>
    <row r="27" spans="1:7" ht="18" customHeight="1" x14ac:dyDescent="0.3">
      <c r="A27" s="52" t="s">
        <v>1</v>
      </c>
      <c r="B27" s="52" t="s">
        <v>6</v>
      </c>
      <c r="C27" s="50"/>
      <c r="D27" s="51">
        <v>0.05</v>
      </c>
      <c r="E27" s="51">
        <v>0.1</v>
      </c>
    </row>
    <row r="28" spans="1:7" ht="18" customHeight="1" x14ac:dyDescent="0.3">
      <c r="A28" s="35" t="s">
        <v>126</v>
      </c>
      <c r="B28" s="36" t="s">
        <v>128</v>
      </c>
      <c r="C28" s="32">
        <f>SUM(C29:C29)</f>
        <v>12883.733333333332</v>
      </c>
      <c r="D28" s="32">
        <f>SUM(D29:D29)</f>
        <v>13527.919999999998</v>
      </c>
      <c r="E28" s="32">
        <f>SUM(E29:E29)</f>
        <v>14172.106666666667</v>
      </c>
    </row>
    <row r="29" spans="1:7" ht="18" customHeight="1" x14ac:dyDescent="0.3">
      <c r="A29" s="10"/>
      <c r="B29" s="14" t="s">
        <v>128</v>
      </c>
      <c r="C29" s="30">
        <f>'APU III'!E34</f>
        <v>12883.733333333332</v>
      </c>
      <c r="D29" s="30">
        <f>C29*1.05</f>
        <v>13527.919999999998</v>
      </c>
      <c r="E29" s="30">
        <f>C29*1.1</f>
        <v>14172.106666666667</v>
      </c>
    </row>
    <row r="31" spans="1:7" ht="30" customHeight="1" x14ac:dyDescent="0.3">
      <c r="A31" s="35" t="s">
        <v>129</v>
      </c>
      <c r="B31" s="36" t="s">
        <v>133</v>
      </c>
      <c r="C31" s="32">
        <f>SUM(C32:C33)</f>
        <v>37867.933333333327</v>
      </c>
      <c r="D31" s="32">
        <f>SUM(D32:D33)</f>
        <v>39761.33</v>
      </c>
      <c r="E31" s="32">
        <f>SUM(E32:E33)</f>
        <v>41654.726666666669</v>
      </c>
    </row>
    <row r="32" spans="1:7" ht="18" customHeight="1" x14ac:dyDescent="0.3">
      <c r="B32" s="14" t="s">
        <v>134</v>
      </c>
      <c r="C32" s="30">
        <f>'APU IV'!E65+'APU IV'!E95</f>
        <v>24984.199999999997</v>
      </c>
      <c r="D32" s="30">
        <f>C32*1.05</f>
        <v>26233.41</v>
      </c>
      <c r="E32" s="30">
        <f>C32*1.1</f>
        <v>27482.62</v>
      </c>
    </row>
    <row r="33" spans="1:5" ht="18" customHeight="1" x14ac:dyDescent="0.3">
      <c r="B33" s="14" t="s">
        <v>128</v>
      </c>
      <c r="C33" s="30">
        <f>C29</f>
        <v>12883.733333333332</v>
      </c>
      <c r="D33" s="30">
        <f>C33*1.05</f>
        <v>13527.919999999998</v>
      </c>
      <c r="E33" s="30">
        <f>C33*1.1</f>
        <v>14172.106666666667</v>
      </c>
    </row>
    <row r="35" spans="1:5" ht="30" customHeight="1" x14ac:dyDescent="0.3">
      <c r="A35" s="35" t="s">
        <v>130</v>
      </c>
      <c r="B35" s="36" t="s">
        <v>166</v>
      </c>
      <c r="C35" s="32">
        <f>SUM(C36:C37)</f>
        <v>26069.533333333333</v>
      </c>
      <c r="D35" s="32">
        <f>SUM(D36:D37)</f>
        <v>27373.01</v>
      </c>
      <c r="E35" s="32">
        <f>SUM(E36:E37)</f>
        <v>28676.486666666668</v>
      </c>
    </row>
    <row r="36" spans="1:5" ht="18" customHeight="1" x14ac:dyDescent="0.3">
      <c r="B36" s="14" t="s">
        <v>138</v>
      </c>
      <c r="C36" s="30">
        <f>'APU IV'!E95</f>
        <v>13185.8</v>
      </c>
      <c r="D36" s="30">
        <f>C36*1.05</f>
        <v>13845.09</v>
      </c>
      <c r="E36" s="30">
        <f>C36*1.1</f>
        <v>14504.380000000001</v>
      </c>
    </row>
    <row r="37" spans="1:5" ht="18" customHeight="1" x14ac:dyDescent="0.3">
      <c r="B37" s="14" t="s">
        <v>128</v>
      </c>
      <c r="C37" s="30">
        <f>C29</f>
        <v>12883.733333333332</v>
      </c>
      <c r="D37" s="30">
        <f>C37*1.05</f>
        <v>13527.919999999998</v>
      </c>
      <c r="E37" s="30">
        <f>C37*1.1</f>
        <v>14172.106666666667</v>
      </c>
    </row>
    <row r="39" spans="1:5" ht="18" customHeight="1" x14ac:dyDescent="0.3">
      <c r="A39" s="35" t="s">
        <v>131</v>
      </c>
      <c r="B39" s="36" t="s">
        <v>140</v>
      </c>
      <c r="C39" s="32">
        <f>'APU IV'!E125</f>
        <v>5894.1428571428569</v>
      </c>
      <c r="D39" s="32">
        <f>C39*1.05</f>
        <v>6188.85</v>
      </c>
      <c r="E39" s="32">
        <f>C39*1.1</f>
        <v>6483.5571428571429</v>
      </c>
    </row>
    <row r="41" spans="1:5" ht="18" customHeight="1" x14ac:dyDescent="0.3">
      <c r="A41" s="57" t="s">
        <v>132</v>
      </c>
      <c r="B41" s="58" t="s">
        <v>141</v>
      </c>
      <c r="C41" s="59">
        <f>SUM(C42:C42)</f>
        <v>10414.566666666666</v>
      </c>
      <c r="D41" s="59">
        <f>SUM(D42:D42)</f>
        <v>10935.295</v>
      </c>
      <c r="E41" s="59">
        <f>SUM(E42:E42)</f>
        <v>11456.023333333333</v>
      </c>
    </row>
    <row r="42" spans="1:5" ht="18" customHeight="1" x14ac:dyDescent="0.3">
      <c r="A42" s="10"/>
      <c r="B42" s="14" t="s">
        <v>141</v>
      </c>
      <c r="C42" s="30">
        <f>'APU IV'!E156</f>
        <v>10414.566666666666</v>
      </c>
      <c r="D42" s="30">
        <f>C42*1.05</f>
        <v>10935.295</v>
      </c>
      <c r="E42" s="30">
        <f>C42*1.1</f>
        <v>11456.023333333333</v>
      </c>
    </row>
    <row r="44" spans="1:5" ht="18" customHeight="1" x14ac:dyDescent="0.3">
      <c r="A44" s="54" t="s">
        <v>144</v>
      </c>
      <c r="B44" s="55" t="s">
        <v>145</v>
      </c>
      <c r="C44" s="56">
        <f>SUM(C45:C45)</f>
        <v>80998.75</v>
      </c>
      <c r="D44" s="56">
        <f>SUM(D45:D45)</f>
        <v>85048.6875</v>
      </c>
      <c r="E44" s="56">
        <f>SUM(E45:E45)</f>
        <v>89098.625</v>
      </c>
    </row>
    <row r="45" spans="1:5" ht="18" customHeight="1" x14ac:dyDescent="0.3">
      <c r="A45" s="10"/>
      <c r="B45" s="14" t="s">
        <v>145</v>
      </c>
      <c r="C45" s="30">
        <f>'APU IV'!E188</f>
        <v>80998.75</v>
      </c>
      <c r="D45" s="30">
        <f>C45*1.05</f>
        <v>85048.6875</v>
      </c>
      <c r="E45" s="30">
        <f>C45*1.1</f>
        <v>89098.625</v>
      </c>
    </row>
    <row r="47" spans="1:5" ht="18" customHeight="1" x14ac:dyDescent="0.3">
      <c r="A47" s="54" t="s">
        <v>147</v>
      </c>
      <c r="B47" s="55" t="s">
        <v>148</v>
      </c>
      <c r="C47" s="56">
        <f>SUM(C48:C48)</f>
        <v>10066.964285714286</v>
      </c>
      <c r="D47" s="56">
        <f>SUM(D48:D48)</f>
        <v>10570.312500000002</v>
      </c>
      <c r="E47" s="56">
        <f>SUM(E48:E48)</f>
        <v>11073.660714285716</v>
      </c>
    </row>
    <row r="48" spans="1:5" ht="18" customHeight="1" x14ac:dyDescent="0.3">
      <c r="A48" s="10"/>
      <c r="B48" s="14" t="s">
        <v>148</v>
      </c>
      <c r="C48" s="30">
        <f>'APU IV'!E220</f>
        <v>10066.964285714286</v>
      </c>
      <c r="D48" s="30">
        <f>C48*1.05</f>
        <v>10570.312500000002</v>
      </c>
      <c r="E48" s="30">
        <f>C48*1.1</f>
        <v>11073.660714285716</v>
      </c>
    </row>
    <row r="50" spans="1:5" ht="18" customHeight="1" x14ac:dyDescent="0.3">
      <c r="A50" s="54" t="s">
        <v>153</v>
      </c>
      <c r="B50" s="55" t="s">
        <v>154</v>
      </c>
      <c r="C50" s="56">
        <f>SUM(C51:C51)</f>
        <v>18001.25</v>
      </c>
      <c r="D50" s="56">
        <f>SUM(D51:D51)</f>
        <v>18901.3125</v>
      </c>
      <c r="E50" s="56">
        <f>SUM(E51:E51)</f>
        <v>19801.375</v>
      </c>
    </row>
    <row r="51" spans="1:5" ht="18" customHeight="1" x14ac:dyDescent="0.3">
      <c r="A51" s="10"/>
      <c r="B51" s="14" t="s">
        <v>154</v>
      </c>
      <c r="C51" s="30">
        <f>'APU IV'!E252</f>
        <v>18001.25</v>
      </c>
      <c r="D51" s="30">
        <f>C51*1.05</f>
        <v>18901.3125</v>
      </c>
      <c r="E51" s="30">
        <f>C51*1.1</f>
        <v>19801.375</v>
      </c>
    </row>
    <row r="53" spans="1:5" ht="18" customHeight="1" x14ac:dyDescent="0.3">
      <c r="A53" s="54" t="s">
        <v>155</v>
      </c>
      <c r="B53" s="55" t="s">
        <v>269</v>
      </c>
      <c r="C53" s="56">
        <f>SUM(C54:C54)</f>
        <v>21726.427777777782</v>
      </c>
      <c r="D53" s="56">
        <f>SUM(D54:D54)</f>
        <v>22812.749166666672</v>
      </c>
      <c r="E53" s="56">
        <f>SUM(E54:E54)</f>
        <v>23899.070555555561</v>
      </c>
    </row>
    <row r="54" spans="1:5" ht="18" customHeight="1" x14ac:dyDescent="0.3">
      <c r="A54" s="10"/>
      <c r="B54" s="14" t="s">
        <v>148</v>
      </c>
      <c r="C54" s="30">
        <f>'APU IV'!E284</f>
        <v>21726.427777777782</v>
      </c>
      <c r="D54" s="30">
        <f>C54*1.05</f>
        <v>22812.749166666672</v>
      </c>
      <c r="E54" s="30">
        <f>C54*1.1</f>
        <v>23899.070555555561</v>
      </c>
    </row>
    <row r="56" spans="1:5" ht="18" customHeight="1" x14ac:dyDescent="0.3">
      <c r="A56" s="33" t="s">
        <v>1</v>
      </c>
      <c r="B56" s="33" t="s">
        <v>6</v>
      </c>
      <c r="C56" s="33" t="s">
        <v>61</v>
      </c>
      <c r="D56" s="41">
        <v>0.05</v>
      </c>
      <c r="E56" s="41">
        <v>0.1</v>
      </c>
    </row>
    <row r="57" spans="1:5" ht="18" customHeight="1" x14ac:dyDescent="0.3">
      <c r="A57" s="35" t="s">
        <v>158</v>
      </c>
      <c r="B57" s="36" t="s">
        <v>160</v>
      </c>
      <c r="C57" s="32">
        <f>SUM(C58:C63)</f>
        <v>83175.558730158722</v>
      </c>
      <c r="D57" s="32">
        <f>SUM(D58:D63)</f>
        <v>87334.33666666667</v>
      </c>
      <c r="E57" s="32">
        <f>SUM(E58:E63)</f>
        <v>96067.770333333348</v>
      </c>
    </row>
    <row r="58" spans="1:5" ht="18" customHeight="1" x14ac:dyDescent="0.3">
      <c r="A58" s="10" t="s">
        <v>159</v>
      </c>
      <c r="B58" s="14" t="s">
        <v>161</v>
      </c>
      <c r="C58" s="30">
        <f>'APU V'!E59</f>
        <v>7700</v>
      </c>
      <c r="D58" s="30">
        <f>C58*1.05</f>
        <v>8085</v>
      </c>
      <c r="E58" s="30">
        <f>D58*1.1</f>
        <v>8893.5</v>
      </c>
    </row>
    <row r="59" spans="1:5" ht="18" customHeight="1" x14ac:dyDescent="0.3">
      <c r="A59" s="10" t="s">
        <v>173</v>
      </c>
      <c r="B59" s="60" t="s">
        <v>162</v>
      </c>
      <c r="C59" s="61">
        <f>'APU V'!E32</f>
        <v>33616.666666666664</v>
      </c>
      <c r="D59" s="61">
        <f t="shared" ref="D59:D63" si="5">C59*1.05</f>
        <v>35297.5</v>
      </c>
      <c r="E59" s="61">
        <f t="shared" ref="E59:E63" si="6">D59*1.1</f>
        <v>38827.25</v>
      </c>
    </row>
    <row r="60" spans="1:5" ht="18" customHeight="1" x14ac:dyDescent="0.3">
      <c r="A60" s="10" t="s">
        <v>174</v>
      </c>
      <c r="B60" s="14" t="s">
        <v>163</v>
      </c>
      <c r="C60" s="30">
        <v>4400</v>
      </c>
      <c r="D60" s="30">
        <f t="shared" si="5"/>
        <v>4620</v>
      </c>
      <c r="E60" s="30">
        <f t="shared" si="6"/>
        <v>5082</v>
      </c>
    </row>
    <row r="61" spans="1:5" ht="18" customHeight="1" x14ac:dyDescent="0.3">
      <c r="A61" s="10" t="s">
        <v>175</v>
      </c>
      <c r="B61" s="14" t="s">
        <v>164</v>
      </c>
      <c r="C61" s="30">
        <v>7900</v>
      </c>
      <c r="D61" s="30">
        <f t="shared" si="5"/>
        <v>8295</v>
      </c>
      <c r="E61" s="30">
        <f t="shared" si="6"/>
        <v>9124.5</v>
      </c>
    </row>
    <row r="62" spans="1:5" ht="18" customHeight="1" x14ac:dyDescent="0.3">
      <c r="A62" s="10" t="s">
        <v>176</v>
      </c>
      <c r="B62" s="14" t="s">
        <v>165</v>
      </c>
      <c r="C62" s="30">
        <f>'APU V'!E90</f>
        <v>14830.714285714286</v>
      </c>
      <c r="D62" s="30">
        <f t="shared" si="5"/>
        <v>15572.250000000002</v>
      </c>
      <c r="E62" s="30">
        <f t="shared" si="6"/>
        <v>17129.475000000002</v>
      </c>
    </row>
    <row r="63" spans="1:5" ht="18" customHeight="1" x14ac:dyDescent="0.3">
      <c r="A63" s="10" t="s">
        <v>177</v>
      </c>
      <c r="B63" s="14" t="s">
        <v>180</v>
      </c>
      <c r="C63" s="30">
        <f>'APU V'!E122</f>
        <v>14728.177777777777</v>
      </c>
      <c r="D63" s="30">
        <f t="shared" si="5"/>
        <v>15464.586666666666</v>
      </c>
      <c r="E63" s="30">
        <f t="shared" si="6"/>
        <v>17011.045333333335</v>
      </c>
    </row>
    <row r="64" spans="1:5" ht="18" customHeight="1" x14ac:dyDescent="0.3">
      <c r="A64" s="10"/>
      <c r="B64" s="14"/>
      <c r="C64" s="31"/>
      <c r="D64" s="31"/>
      <c r="E64" s="31"/>
    </row>
    <row r="65" spans="1:5" ht="18" customHeight="1" x14ac:dyDescent="0.3">
      <c r="A65" s="35" t="s">
        <v>183</v>
      </c>
      <c r="B65" s="36" t="s">
        <v>179</v>
      </c>
      <c r="C65" s="32">
        <f>SUM(C66:C67)</f>
        <v>18616.857142857145</v>
      </c>
      <c r="D65" s="32">
        <f t="shared" ref="D65:E65" si="7">SUM(D66:D67)</f>
        <v>19547.7</v>
      </c>
      <c r="E65" s="32">
        <f t="shared" si="7"/>
        <v>21502.47</v>
      </c>
    </row>
    <row r="66" spans="1:5" ht="18" customHeight="1" x14ac:dyDescent="0.3">
      <c r="A66" s="10" t="s">
        <v>202</v>
      </c>
      <c r="B66" s="14" t="s">
        <v>181</v>
      </c>
      <c r="C66" s="30">
        <f>'APU V'!E151</f>
        <v>12155</v>
      </c>
      <c r="D66" s="30">
        <f t="shared" ref="D66:D67" si="8">C66*1.05</f>
        <v>12762.75</v>
      </c>
      <c r="E66" s="30">
        <f t="shared" ref="E66:E67" si="9">D66*1.1</f>
        <v>14039.025000000001</v>
      </c>
    </row>
    <row r="67" spans="1:5" ht="18" customHeight="1" x14ac:dyDescent="0.3">
      <c r="A67" s="10" t="s">
        <v>203</v>
      </c>
      <c r="B67" s="14" t="s">
        <v>182</v>
      </c>
      <c r="C67" s="30">
        <f>'APU V'!E179</f>
        <v>6461.8571428571431</v>
      </c>
      <c r="D67" s="30">
        <f t="shared" si="8"/>
        <v>6784.9500000000007</v>
      </c>
      <c r="E67" s="30">
        <f t="shared" si="9"/>
        <v>7463.4450000000015</v>
      </c>
    </row>
    <row r="68" spans="1:5" ht="18" customHeight="1" x14ac:dyDescent="0.3">
      <c r="A68" s="10"/>
      <c r="B68" s="14"/>
      <c r="C68" s="30"/>
      <c r="D68" s="30"/>
      <c r="E68" s="30"/>
    </row>
    <row r="69" spans="1:5" ht="18" customHeight="1" x14ac:dyDescent="0.3">
      <c r="A69" s="35" t="s">
        <v>187</v>
      </c>
      <c r="B69" s="36" t="s">
        <v>188</v>
      </c>
      <c r="C69" s="32">
        <f>SUM(C70:C70)</f>
        <v>7543.3333333333339</v>
      </c>
      <c r="D69" s="32">
        <f>SUM(D70:D70)</f>
        <v>7920.5000000000009</v>
      </c>
      <c r="E69" s="32">
        <f>SUM(E70:E70)</f>
        <v>8297.6666666666679</v>
      </c>
    </row>
    <row r="70" spans="1:5" ht="18" customHeight="1" x14ac:dyDescent="0.3">
      <c r="A70" s="10" t="s">
        <v>187</v>
      </c>
      <c r="B70" s="14" t="s">
        <v>188</v>
      </c>
      <c r="C70" s="30">
        <f>'APU V'!E209</f>
        <v>7543.3333333333339</v>
      </c>
      <c r="D70" s="30">
        <f>C70*1.05</f>
        <v>7920.5000000000009</v>
      </c>
      <c r="E70" s="30">
        <f>C70*1.1</f>
        <v>8297.6666666666679</v>
      </c>
    </row>
    <row r="71" spans="1:5" ht="18" customHeight="1" x14ac:dyDescent="0.3">
      <c r="A71" s="10"/>
      <c r="B71" s="14"/>
      <c r="C71" s="31"/>
      <c r="D71" s="31"/>
      <c r="E71" s="31"/>
    </row>
    <row r="72" spans="1:5" ht="33.6" customHeight="1" x14ac:dyDescent="0.3">
      <c r="A72" s="35" t="s">
        <v>191</v>
      </c>
      <c r="B72" s="36" t="s">
        <v>192</v>
      </c>
      <c r="C72" s="32">
        <f>SUM(C73:C74)</f>
        <v>40125</v>
      </c>
      <c r="D72" s="32">
        <f t="shared" ref="D72:E72" si="10">SUM(D73:D74)</f>
        <v>42131.25</v>
      </c>
      <c r="E72" s="32">
        <f t="shared" si="10"/>
        <v>44137.5</v>
      </c>
    </row>
    <row r="73" spans="1:5" ht="18" customHeight="1" x14ac:dyDescent="0.3">
      <c r="A73" s="10" t="s">
        <v>204</v>
      </c>
      <c r="B73" s="14" t="s">
        <v>193</v>
      </c>
      <c r="C73" s="30">
        <f>'APU V'!E239</f>
        <v>4475</v>
      </c>
      <c r="D73" s="30">
        <f>C73*1.05</f>
        <v>4698.75</v>
      </c>
      <c r="E73" s="30">
        <f>C73*1.1</f>
        <v>4922.5</v>
      </c>
    </row>
    <row r="74" spans="1:5" ht="18" customHeight="1" x14ac:dyDescent="0.3">
      <c r="A74" s="10" t="s">
        <v>205</v>
      </c>
      <c r="B74" s="14" t="s">
        <v>194</v>
      </c>
      <c r="C74" s="31">
        <f>'APU V'!E271</f>
        <v>35650</v>
      </c>
      <c r="D74" s="30">
        <f>C74*1.05</f>
        <v>37432.5</v>
      </c>
      <c r="E74" s="30">
        <f>C74*1.1</f>
        <v>39215</v>
      </c>
    </row>
    <row r="76" spans="1:5" ht="35.4" customHeight="1" x14ac:dyDescent="0.3">
      <c r="A76" s="35" t="s">
        <v>201</v>
      </c>
      <c r="B76" s="36" t="s">
        <v>199</v>
      </c>
      <c r="C76" s="32">
        <f>SUM(C77:C77)</f>
        <v>34908.75</v>
      </c>
      <c r="D76" s="32">
        <f>SUM(D77:D77)</f>
        <v>36654.1875</v>
      </c>
      <c r="E76" s="32">
        <f>SUM(E77:E77)</f>
        <v>38399.625</v>
      </c>
    </row>
    <row r="77" spans="1:5" ht="18" customHeight="1" x14ac:dyDescent="0.3">
      <c r="A77" s="10"/>
      <c r="B77" s="14" t="s">
        <v>200</v>
      </c>
      <c r="C77" s="30">
        <f>C16</f>
        <v>34908.75</v>
      </c>
      <c r="D77" s="30">
        <f>C77*1.05</f>
        <v>36654.1875</v>
      </c>
      <c r="E77" s="30">
        <f>C77*1.1</f>
        <v>38399.625</v>
      </c>
    </row>
    <row r="79" spans="1:5" ht="31.2" customHeight="1" x14ac:dyDescent="0.3">
      <c r="A79" s="35" t="s">
        <v>208</v>
      </c>
      <c r="B79" s="36" t="s">
        <v>207</v>
      </c>
      <c r="C79" s="32">
        <f>SUM(C80:C80)</f>
        <v>115600</v>
      </c>
      <c r="D79" s="32">
        <f>SUM(D80:D80)</f>
        <v>121380</v>
      </c>
      <c r="E79" s="32">
        <f>SUM(E80:E80)</f>
        <v>127160.00000000001</v>
      </c>
    </row>
    <row r="80" spans="1:5" ht="18" customHeight="1" x14ac:dyDescent="0.3">
      <c r="A80" s="10"/>
      <c r="B80" s="14" t="s">
        <v>209</v>
      </c>
      <c r="C80" s="30">
        <v>115600</v>
      </c>
      <c r="D80" s="30">
        <f>C80*1.05</f>
        <v>121380</v>
      </c>
      <c r="E80" s="30">
        <f>C80*1.1</f>
        <v>127160.00000000001</v>
      </c>
    </row>
    <row r="82" spans="1:5" ht="18" customHeight="1" x14ac:dyDescent="0.3">
      <c r="A82" s="35" t="s">
        <v>208</v>
      </c>
      <c r="B82" s="36" t="s">
        <v>210</v>
      </c>
      <c r="C82" s="32">
        <v>2800000</v>
      </c>
      <c r="D82" s="32">
        <f>C82*1.05</f>
        <v>2940000</v>
      </c>
      <c r="E82" s="32">
        <f>C82*1.1</f>
        <v>3080000.0000000005</v>
      </c>
    </row>
  </sheetData>
  <mergeCells count="1">
    <mergeCell ref="A1:C1"/>
  </mergeCells>
  <phoneticPr fontId="11" type="noConversion"/>
  <pageMargins left="0.7" right="0.7" top="0.75" bottom="0.75" header="0" footer="0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5858-18EA-41B6-B9C0-E606E55E08C1}">
  <dimension ref="A1:K47"/>
  <sheetViews>
    <sheetView topLeftCell="A8" zoomScale="85" zoomScaleNormal="85" workbookViewId="0">
      <selection activeCell="F22" sqref="F22"/>
    </sheetView>
  </sheetViews>
  <sheetFormatPr baseColWidth="10" defaultColWidth="12.6640625" defaultRowHeight="13.8" x14ac:dyDescent="0.3"/>
  <cols>
    <col min="1" max="1" width="11.21875" style="79" customWidth="1"/>
    <col min="2" max="2" width="10.109375" style="79" customWidth="1"/>
    <col min="3" max="3" width="80.44140625" style="63" customWidth="1"/>
    <col min="4" max="4" width="14" style="63" customWidth="1"/>
    <col min="5" max="5" width="12.88671875" style="63" bestFit="1" customWidth="1"/>
    <col min="6" max="6" width="22.6640625" style="63" customWidth="1"/>
    <col min="7" max="7" width="23.33203125" style="63" customWidth="1"/>
    <col min="8" max="16384" width="12.6640625" style="63"/>
  </cols>
  <sheetData>
    <row r="1" spans="1:11" ht="20.399999999999999" x14ac:dyDescent="0.3">
      <c r="A1" s="114" t="s">
        <v>215</v>
      </c>
      <c r="B1" s="114"/>
      <c r="C1" s="114"/>
      <c r="D1" s="114"/>
      <c r="E1" s="114"/>
      <c r="F1" s="114"/>
      <c r="G1" s="114"/>
    </row>
    <row r="2" spans="1:11" x14ac:dyDescent="0.3">
      <c r="A2" s="115" t="s">
        <v>216</v>
      </c>
      <c r="B2" s="115"/>
      <c r="C2" s="115"/>
      <c r="D2" s="115"/>
      <c r="E2" s="115"/>
      <c r="F2" s="115"/>
      <c r="G2" s="115"/>
    </row>
    <row r="3" spans="1:11" x14ac:dyDescent="0.3">
      <c r="A3" s="116" t="s">
        <v>217</v>
      </c>
      <c r="B3" s="116"/>
      <c r="C3" s="116"/>
      <c r="D3" s="116"/>
      <c r="E3" s="116"/>
      <c r="F3" s="116"/>
      <c r="G3" s="116"/>
    </row>
    <row r="4" spans="1:11" x14ac:dyDescent="0.3">
      <c r="A4" s="117" t="s">
        <v>218</v>
      </c>
      <c r="B4" s="118"/>
      <c r="C4" s="119"/>
      <c r="D4" s="120" t="s">
        <v>219</v>
      </c>
      <c r="E4" s="121"/>
      <c r="F4" s="117" t="s">
        <v>220</v>
      </c>
      <c r="G4" s="119"/>
    </row>
    <row r="5" spans="1:11" x14ac:dyDescent="0.3">
      <c r="A5" s="117" t="s">
        <v>221</v>
      </c>
      <c r="B5" s="118"/>
      <c r="C5" s="119"/>
      <c r="D5" s="122"/>
      <c r="E5" s="123"/>
      <c r="F5" s="117" t="s">
        <v>222</v>
      </c>
      <c r="G5" s="119"/>
    </row>
    <row r="6" spans="1:11" x14ac:dyDescent="0.3">
      <c r="A6" s="117" t="s">
        <v>223</v>
      </c>
      <c r="B6" s="118"/>
      <c r="C6" s="119"/>
      <c r="D6" s="117" t="s">
        <v>224</v>
      </c>
      <c r="E6" s="119"/>
      <c r="F6" s="117" t="s">
        <v>225</v>
      </c>
      <c r="G6" s="119"/>
    </row>
    <row r="7" spans="1:11" x14ac:dyDescent="0.3">
      <c r="A7" s="107" t="s">
        <v>226</v>
      </c>
      <c r="B7" s="124"/>
      <c r="C7" s="124"/>
      <c r="D7" s="124"/>
      <c r="E7" s="124"/>
      <c r="F7" s="124"/>
      <c r="G7" s="108"/>
    </row>
    <row r="8" spans="1:11" x14ac:dyDescent="0.3">
      <c r="A8" s="64" t="s">
        <v>227</v>
      </c>
      <c r="B8" s="64" t="s">
        <v>228</v>
      </c>
      <c r="C8" s="64" t="s">
        <v>229</v>
      </c>
      <c r="D8" s="64" t="s">
        <v>230</v>
      </c>
      <c r="E8" s="64" t="s">
        <v>231</v>
      </c>
      <c r="F8" s="64" t="s">
        <v>232</v>
      </c>
      <c r="G8" s="64" t="s">
        <v>233</v>
      </c>
    </row>
    <row r="9" spans="1:11" x14ac:dyDescent="0.3">
      <c r="A9" s="65">
        <v>1</v>
      </c>
      <c r="B9" s="65"/>
      <c r="C9" s="66" t="s">
        <v>78</v>
      </c>
      <c r="D9" s="67"/>
      <c r="E9" s="67"/>
      <c r="F9" s="67"/>
      <c r="G9" s="68">
        <f>+G10+G11</f>
        <v>5722500</v>
      </c>
    </row>
    <row r="10" spans="1:11" x14ac:dyDescent="0.3">
      <c r="A10" s="64"/>
      <c r="B10" s="64" t="s">
        <v>212</v>
      </c>
      <c r="C10" s="67" t="s">
        <v>211</v>
      </c>
      <c r="D10" s="64" t="s">
        <v>234</v>
      </c>
      <c r="E10" s="69">
        <v>1</v>
      </c>
      <c r="F10" s="70">
        <f>'RESUMEN APU'!D4</f>
        <v>5145000</v>
      </c>
      <c r="G10" s="71">
        <f>+E10*F10</f>
        <v>5145000</v>
      </c>
    </row>
    <row r="11" spans="1:11" x14ac:dyDescent="0.3">
      <c r="A11" s="64"/>
      <c r="B11" s="64" t="s">
        <v>213</v>
      </c>
      <c r="C11" s="67" t="s">
        <v>235</v>
      </c>
      <c r="D11" s="64" t="s">
        <v>234</v>
      </c>
      <c r="E11" s="69">
        <v>1</v>
      </c>
      <c r="F11" s="70">
        <f>'RESUMEN APU'!D6</f>
        <v>577500</v>
      </c>
      <c r="G11" s="71">
        <f>+E11*F11</f>
        <v>577500</v>
      </c>
    </row>
    <row r="12" spans="1:11" x14ac:dyDescent="0.3">
      <c r="A12" s="65">
        <v>2</v>
      </c>
      <c r="B12" s="65"/>
      <c r="C12" s="66" t="s">
        <v>236</v>
      </c>
      <c r="D12" s="64"/>
      <c r="E12" s="69"/>
      <c r="F12" s="67"/>
      <c r="G12" s="68">
        <f>+G13+G14+G15+G16+G17</f>
        <v>111847009.274132</v>
      </c>
    </row>
    <row r="13" spans="1:11" x14ac:dyDescent="0.3">
      <c r="A13" s="64"/>
      <c r="B13" s="64" t="s">
        <v>91</v>
      </c>
      <c r="C13" s="72" t="s">
        <v>237</v>
      </c>
      <c r="D13" s="64" t="s">
        <v>4</v>
      </c>
      <c r="E13" s="73">
        <v>7304.6724999999997</v>
      </c>
      <c r="F13" s="70">
        <f>'RESUMEN APU'!D9</f>
        <v>3172.7500000000005</v>
      </c>
      <c r="G13" s="71">
        <f t="shared" ref="G13:G17" si="0">+E13*F13</f>
        <v>23175899.674375001</v>
      </c>
      <c r="H13" s="74"/>
    </row>
    <row r="14" spans="1:11" ht="27.6" x14ac:dyDescent="0.3">
      <c r="A14" s="64"/>
      <c r="B14" s="64" t="s">
        <v>92</v>
      </c>
      <c r="C14" s="72" t="s">
        <v>238</v>
      </c>
      <c r="D14" s="64" t="s">
        <v>4</v>
      </c>
      <c r="E14" s="73">
        <v>1205.1153900000004</v>
      </c>
      <c r="F14" s="70">
        <f>'RESUMEN APU'!D11</f>
        <v>56484.173076923078</v>
      </c>
      <c r="G14" s="71">
        <f t="shared" si="0"/>
        <v>68069946.266423672</v>
      </c>
      <c r="J14" s="107"/>
      <c r="K14" s="108"/>
    </row>
    <row r="15" spans="1:11" x14ac:dyDescent="0.3">
      <c r="A15" s="64"/>
      <c r="B15" s="64" t="s">
        <v>93</v>
      </c>
      <c r="C15" s="72" t="s">
        <v>239</v>
      </c>
      <c r="D15" s="64" t="s">
        <v>4</v>
      </c>
      <c r="E15" s="73">
        <v>90</v>
      </c>
      <c r="F15" s="70">
        <f>'RESUMEN APU'!D16</f>
        <v>36654.1875</v>
      </c>
      <c r="G15" s="71">
        <f t="shared" si="0"/>
        <v>3298876.875</v>
      </c>
    </row>
    <row r="16" spans="1:11" x14ac:dyDescent="0.3">
      <c r="A16" s="64"/>
      <c r="B16" s="64" t="s">
        <v>94</v>
      </c>
      <c r="C16" s="72" t="s">
        <v>240</v>
      </c>
      <c r="D16" s="64" t="s">
        <v>4</v>
      </c>
      <c r="E16" s="73">
        <v>125</v>
      </c>
      <c r="F16" s="70">
        <f>'RESUMEN APU'!D19</f>
        <v>92722.291666666672</v>
      </c>
      <c r="G16" s="71">
        <f t="shared" si="0"/>
        <v>11590286.458333334</v>
      </c>
    </row>
    <row r="17" spans="1:7" x14ac:dyDescent="0.3">
      <c r="A17" s="64"/>
      <c r="B17" s="64" t="s">
        <v>117</v>
      </c>
      <c r="C17" s="72" t="s">
        <v>241</v>
      </c>
      <c r="D17" s="64" t="s">
        <v>4</v>
      </c>
      <c r="E17" s="73">
        <v>100</v>
      </c>
      <c r="F17" s="70">
        <f>'RESUMEN APU'!D23</f>
        <v>57120</v>
      </c>
      <c r="G17" s="71">
        <f t="shared" si="0"/>
        <v>5712000</v>
      </c>
    </row>
    <row r="18" spans="1:7" x14ac:dyDescent="0.3">
      <c r="A18" s="65">
        <v>3</v>
      </c>
      <c r="B18" s="65"/>
      <c r="C18" s="66" t="s">
        <v>242</v>
      </c>
      <c r="D18" s="64"/>
      <c r="E18" s="73"/>
      <c r="F18" s="67"/>
      <c r="G18" s="68">
        <f>+G19+G24+G26</f>
        <v>171244649.08913833</v>
      </c>
    </row>
    <row r="19" spans="1:7" x14ac:dyDescent="0.3">
      <c r="A19" s="64"/>
      <c r="B19" s="112" t="s">
        <v>243</v>
      </c>
      <c r="C19" s="113"/>
      <c r="D19" s="64"/>
      <c r="E19" s="73"/>
      <c r="F19" s="67"/>
      <c r="G19" s="75">
        <f>+G20+G21+G22+G23</f>
        <v>81697916.80512999</v>
      </c>
    </row>
    <row r="20" spans="1:7" ht="27.6" x14ac:dyDescent="0.3">
      <c r="A20" s="64"/>
      <c r="B20" s="64" t="s">
        <v>126</v>
      </c>
      <c r="C20" s="72" t="s">
        <v>244</v>
      </c>
      <c r="D20" s="64" t="s">
        <v>4</v>
      </c>
      <c r="E20" s="73">
        <v>4629.4765000000007</v>
      </c>
      <c r="F20" s="70">
        <f>'RESUMEN APU'!D28</f>
        <v>13527.919999999998</v>
      </c>
      <c r="G20" s="71">
        <f t="shared" ref="G20:G23" si="1">+E20*F20</f>
        <v>62627187.733879998</v>
      </c>
    </row>
    <row r="21" spans="1:7" ht="27.6" x14ac:dyDescent="0.3">
      <c r="A21" s="64"/>
      <c r="B21" s="64" t="s">
        <v>129</v>
      </c>
      <c r="C21" s="72" t="s">
        <v>245</v>
      </c>
      <c r="D21" s="64" t="s">
        <v>4</v>
      </c>
      <c r="E21" s="73">
        <v>107.97500000000001</v>
      </c>
      <c r="F21" s="70">
        <f>'RESUMEN APU'!D31</f>
        <v>39761.33</v>
      </c>
      <c r="G21" s="71">
        <f t="shared" si="1"/>
        <v>4293229.6067500003</v>
      </c>
    </row>
    <row r="22" spans="1:7" ht="27.6" x14ac:dyDescent="0.3">
      <c r="A22" s="64"/>
      <c r="B22" s="64" t="s">
        <v>130</v>
      </c>
      <c r="C22" s="72" t="s">
        <v>246</v>
      </c>
      <c r="D22" s="64" t="s">
        <v>4</v>
      </c>
      <c r="E22" s="73">
        <v>455.29999999999995</v>
      </c>
      <c r="F22" s="70">
        <f>'RESUMEN APU'!D35</f>
        <v>27373.01</v>
      </c>
      <c r="G22" s="71">
        <f t="shared" si="1"/>
        <v>12462931.452999998</v>
      </c>
    </row>
    <row r="23" spans="1:7" ht="27.6" x14ac:dyDescent="0.3">
      <c r="A23" s="64"/>
      <c r="B23" s="64" t="s">
        <v>131</v>
      </c>
      <c r="C23" s="72" t="s">
        <v>247</v>
      </c>
      <c r="D23" s="64" t="s">
        <v>43</v>
      </c>
      <c r="E23" s="73">
        <v>373.99</v>
      </c>
      <c r="F23" s="70">
        <f>'RESUMEN APU'!D39</f>
        <v>6188.85</v>
      </c>
      <c r="G23" s="71">
        <f t="shared" si="1"/>
        <v>2314568.0115</v>
      </c>
    </row>
    <row r="24" spans="1:7" x14ac:dyDescent="0.3">
      <c r="A24" s="64"/>
      <c r="B24" s="112" t="s">
        <v>248</v>
      </c>
      <c r="C24" s="113"/>
      <c r="D24" s="64"/>
      <c r="E24" s="73"/>
      <c r="F24" s="67"/>
      <c r="G24" s="75">
        <f>+G25</f>
        <v>23594429.903800003</v>
      </c>
    </row>
    <row r="25" spans="1:7" ht="27.6" x14ac:dyDescent="0.3">
      <c r="A25" s="64"/>
      <c r="B25" s="64" t="s">
        <v>132</v>
      </c>
      <c r="C25" s="72" t="s">
        <v>249</v>
      </c>
      <c r="D25" s="64" t="s">
        <v>4</v>
      </c>
      <c r="E25" s="73">
        <v>2157.6400000000003</v>
      </c>
      <c r="F25" s="70">
        <f>'RESUMEN APU'!D41</f>
        <v>10935.295</v>
      </c>
      <c r="G25" s="71">
        <f>+E25*F25</f>
        <v>23594429.903800003</v>
      </c>
    </row>
    <row r="26" spans="1:7" x14ac:dyDescent="0.3">
      <c r="A26" s="64"/>
      <c r="B26" s="112" t="s">
        <v>250</v>
      </c>
      <c r="C26" s="113"/>
      <c r="D26" s="64"/>
      <c r="E26" s="73"/>
      <c r="F26" s="67"/>
      <c r="G26" s="75">
        <f>+G27+G28+G29+G30</f>
        <v>65952302.380208343</v>
      </c>
    </row>
    <row r="27" spans="1:7" ht="27.6" x14ac:dyDescent="0.3">
      <c r="A27" s="64"/>
      <c r="B27" s="64" t="s">
        <v>144</v>
      </c>
      <c r="C27" s="72" t="s">
        <v>251</v>
      </c>
      <c r="D27" s="64" t="s">
        <v>252</v>
      </c>
      <c r="E27" s="73">
        <v>92</v>
      </c>
      <c r="F27" s="70">
        <f>'RESUMEN APU'!D44</f>
        <v>85048.6875</v>
      </c>
      <c r="G27" s="71">
        <f t="shared" ref="G27:G30" si="2">+E27*F27</f>
        <v>7824479.25</v>
      </c>
    </row>
    <row r="28" spans="1:7" ht="27.6" x14ac:dyDescent="0.3">
      <c r="A28" s="64"/>
      <c r="B28" s="64" t="s">
        <v>147</v>
      </c>
      <c r="C28" s="72" t="s">
        <v>253</v>
      </c>
      <c r="D28" s="64" t="s">
        <v>43</v>
      </c>
      <c r="E28" s="73">
        <v>344.24999999999989</v>
      </c>
      <c r="F28" s="70">
        <f>'RESUMEN APU'!D47</f>
        <v>10570.312500000002</v>
      </c>
      <c r="G28" s="71">
        <f t="shared" si="2"/>
        <v>3638830.0781249995</v>
      </c>
    </row>
    <row r="29" spans="1:7" ht="27.6" x14ac:dyDescent="0.3">
      <c r="A29" s="64"/>
      <c r="B29" s="64" t="s">
        <v>153</v>
      </c>
      <c r="C29" s="72" t="s">
        <v>254</v>
      </c>
      <c r="D29" s="64" t="s">
        <v>4</v>
      </c>
      <c r="E29" s="73">
        <v>1306.25</v>
      </c>
      <c r="F29" s="70">
        <f>'RESUMEN APU'!D50</f>
        <v>18901.3125</v>
      </c>
      <c r="G29" s="71">
        <f t="shared" si="2"/>
        <v>24689839.453125</v>
      </c>
    </row>
    <row r="30" spans="1:7" x14ac:dyDescent="0.3">
      <c r="A30" s="64"/>
      <c r="B30" s="64" t="s">
        <v>155</v>
      </c>
      <c r="C30" s="72" t="s">
        <v>255</v>
      </c>
      <c r="D30" s="64" t="s">
        <v>4</v>
      </c>
      <c r="E30" s="73">
        <v>1306.25</v>
      </c>
      <c r="F30" s="70">
        <f>'RESUMEN APU'!D53</f>
        <v>22812.749166666672</v>
      </c>
      <c r="G30" s="71">
        <f t="shared" si="2"/>
        <v>29799153.59895834</v>
      </c>
    </row>
    <row r="31" spans="1:7" x14ac:dyDescent="0.3">
      <c r="A31" s="65">
        <v>4</v>
      </c>
      <c r="B31" s="65"/>
      <c r="C31" s="66" t="s">
        <v>256</v>
      </c>
      <c r="D31" s="64"/>
      <c r="E31" s="73"/>
      <c r="F31" s="67"/>
      <c r="G31" s="76">
        <f>+G32+G33+G34+G35+G36+G37</f>
        <v>253312361.8775354</v>
      </c>
    </row>
    <row r="32" spans="1:7" x14ac:dyDescent="0.3">
      <c r="A32" s="64"/>
      <c r="B32" s="64" t="s">
        <v>158</v>
      </c>
      <c r="C32" s="77" t="s">
        <v>257</v>
      </c>
      <c r="D32" s="64" t="s">
        <v>4</v>
      </c>
      <c r="E32" s="73">
        <v>1678.12</v>
      </c>
      <c r="F32" s="70">
        <f>'RESUMEN APU'!D57</f>
        <v>87334.33666666667</v>
      </c>
      <c r="G32" s="71">
        <f t="shared" ref="G32:G37" si="3">+E32*F32</f>
        <v>146557497.04706666</v>
      </c>
    </row>
    <row r="33" spans="1:7" x14ac:dyDescent="0.3">
      <c r="A33" s="64"/>
      <c r="B33" s="64" t="s">
        <v>183</v>
      </c>
      <c r="C33" s="72" t="s">
        <v>179</v>
      </c>
      <c r="D33" s="64" t="s">
        <v>43</v>
      </c>
      <c r="E33" s="73">
        <v>0</v>
      </c>
      <c r="F33" s="70">
        <f>'RESUMEN APU'!D65</f>
        <v>19547.7</v>
      </c>
      <c r="G33" s="71">
        <f t="shared" si="3"/>
        <v>0</v>
      </c>
    </row>
    <row r="34" spans="1:7" ht="27.6" x14ac:dyDescent="0.3">
      <c r="A34" s="64"/>
      <c r="B34" s="64" t="s">
        <v>187</v>
      </c>
      <c r="C34" s="72" t="s">
        <v>258</v>
      </c>
      <c r="D34" s="64" t="s">
        <v>43</v>
      </c>
      <c r="E34" s="73">
        <v>817.99400000000014</v>
      </c>
      <c r="F34" s="70">
        <f>'RESUMEN APU'!D69</f>
        <v>7920.5000000000009</v>
      </c>
      <c r="G34" s="71">
        <f t="shared" si="3"/>
        <v>6478921.4770000018</v>
      </c>
    </row>
    <row r="35" spans="1:7" ht="27.6" x14ac:dyDescent="0.3">
      <c r="A35" s="64"/>
      <c r="B35" s="64" t="s">
        <v>191</v>
      </c>
      <c r="C35" s="72" t="s">
        <v>192</v>
      </c>
      <c r="D35" s="64" t="s">
        <v>43</v>
      </c>
      <c r="E35" s="73">
        <v>1055.3</v>
      </c>
      <c r="F35" s="70">
        <f>'RESUMEN APU'!D72</f>
        <v>42131.25</v>
      </c>
      <c r="G35" s="71">
        <f t="shared" si="3"/>
        <v>44461108.125</v>
      </c>
    </row>
    <row r="36" spans="1:7" x14ac:dyDescent="0.3">
      <c r="A36" s="64"/>
      <c r="B36" s="64">
        <v>4.5</v>
      </c>
      <c r="C36" s="72" t="s">
        <v>199</v>
      </c>
      <c r="D36" s="64" t="s">
        <v>4</v>
      </c>
      <c r="E36" s="73">
        <v>290.86649999999997</v>
      </c>
      <c r="F36" s="70">
        <f>'RESUMEN APU'!D76</f>
        <v>36654.1875</v>
      </c>
      <c r="G36" s="71">
        <f t="shared" si="3"/>
        <v>10661475.22846875</v>
      </c>
    </row>
    <row r="37" spans="1:7" ht="27.6" x14ac:dyDescent="0.3">
      <c r="A37" s="64"/>
      <c r="B37" s="64">
        <v>4.5999999999999996</v>
      </c>
      <c r="C37" s="72" t="s">
        <v>207</v>
      </c>
      <c r="D37" s="64" t="s">
        <v>43</v>
      </c>
      <c r="E37" s="73">
        <v>372</v>
      </c>
      <c r="F37" s="70">
        <f>'RESUMEN APU'!D79</f>
        <v>121380</v>
      </c>
      <c r="G37" s="71">
        <f t="shared" si="3"/>
        <v>45153360</v>
      </c>
    </row>
    <row r="38" spans="1:7" x14ac:dyDescent="0.3">
      <c r="A38" s="65">
        <v>5</v>
      </c>
      <c r="B38" s="65"/>
      <c r="C38" s="66" t="s">
        <v>259</v>
      </c>
      <c r="D38" s="64"/>
      <c r="E38" s="73"/>
      <c r="F38" s="67"/>
      <c r="G38" s="76">
        <f>+G39</f>
        <v>0</v>
      </c>
    </row>
    <row r="39" spans="1:7" x14ac:dyDescent="0.3">
      <c r="A39" s="64"/>
      <c r="B39" s="64" t="s">
        <v>260</v>
      </c>
      <c r="C39" s="72" t="s">
        <v>210</v>
      </c>
      <c r="D39" s="64" t="s">
        <v>261</v>
      </c>
      <c r="E39" s="73">
        <v>0.8</v>
      </c>
      <c r="F39" s="67"/>
      <c r="G39" s="71">
        <f>+E39*F39</f>
        <v>0</v>
      </c>
    </row>
    <row r="40" spans="1:7" x14ac:dyDescent="0.3">
      <c r="A40" s="64"/>
      <c r="B40" s="64"/>
      <c r="C40" s="67"/>
      <c r="D40" s="109" t="s">
        <v>262</v>
      </c>
      <c r="E40" s="110"/>
      <c r="F40" s="111"/>
      <c r="G40" s="76">
        <f>+G9+G12+G18+G31+G38</f>
        <v>542126520.24080575</v>
      </c>
    </row>
    <row r="41" spans="1:7" x14ac:dyDescent="0.3">
      <c r="A41" s="64"/>
      <c r="B41" s="64"/>
      <c r="C41" s="67"/>
      <c r="D41" s="107" t="s">
        <v>263</v>
      </c>
      <c r="E41" s="108"/>
      <c r="F41" s="78">
        <v>0.08</v>
      </c>
      <c r="G41" s="71">
        <f>+$G$40*F41</f>
        <v>43370121.619264461</v>
      </c>
    </row>
    <row r="42" spans="1:7" x14ac:dyDescent="0.3">
      <c r="A42" s="64"/>
      <c r="B42" s="64"/>
      <c r="C42" s="67"/>
      <c r="D42" s="107" t="s">
        <v>264</v>
      </c>
      <c r="E42" s="108"/>
      <c r="F42" s="78">
        <v>0.03</v>
      </c>
      <c r="G42" s="71">
        <f t="shared" ref="G42:G43" si="4">+$G$40*F42</f>
        <v>16263795.607224172</v>
      </c>
    </row>
    <row r="43" spans="1:7" x14ac:dyDescent="0.3">
      <c r="A43" s="64"/>
      <c r="B43" s="64"/>
      <c r="C43" s="67"/>
      <c r="D43" s="107" t="s">
        <v>265</v>
      </c>
      <c r="E43" s="108"/>
      <c r="F43" s="78">
        <v>0.05</v>
      </c>
      <c r="G43" s="71">
        <f t="shared" si="4"/>
        <v>27106326.012040287</v>
      </c>
    </row>
    <row r="44" spans="1:7" x14ac:dyDescent="0.3">
      <c r="A44" s="64"/>
      <c r="B44" s="64"/>
      <c r="C44" s="67"/>
      <c r="D44" s="107" t="s">
        <v>266</v>
      </c>
      <c r="E44" s="108"/>
      <c r="F44" s="78">
        <v>0.19</v>
      </c>
      <c r="G44" s="71">
        <f>+G43*F44</f>
        <v>5150201.9422876546</v>
      </c>
    </row>
    <row r="45" spans="1:7" x14ac:dyDescent="0.3">
      <c r="A45" s="64"/>
      <c r="B45" s="64"/>
      <c r="C45" s="67"/>
      <c r="D45" s="109" t="s">
        <v>267</v>
      </c>
      <c r="E45" s="110"/>
      <c r="F45" s="111"/>
      <c r="G45" s="76">
        <f>+G40+G41+G42+G43+G44</f>
        <v>634016965.4216224</v>
      </c>
    </row>
    <row r="47" spans="1:7" x14ac:dyDescent="0.3">
      <c r="G47" s="80"/>
    </row>
  </sheetData>
  <mergeCells count="22"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  <mergeCell ref="J14:K14"/>
    <mergeCell ref="D44:E44"/>
    <mergeCell ref="D45:F45"/>
    <mergeCell ref="B24:C24"/>
    <mergeCell ref="B26:C26"/>
    <mergeCell ref="D40:F40"/>
    <mergeCell ref="D41:E41"/>
    <mergeCell ref="D42:E42"/>
    <mergeCell ref="D43:E43"/>
    <mergeCell ref="B19:C1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99A3-A599-4E4B-A469-389434354724}">
  <dimension ref="A1:K47"/>
  <sheetViews>
    <sheetView tabSelected="1" topLeftCell="A7" zoomScale="85" zoomScaleNormal="85" workbookViewId="0">
      <selection activeCell="F30" sqref="F30"/>
    </sheetView>
  </sheetViews>
  <sheetFormatPr baseColWidth="10" defaultColWidth="12.6640625" defaultRowHeight="13.8" x14ac:dyDescent="0.3"/>
  <cols>
    <col min="1" max="1" width="11.21875" style="79" customWidth="1"/>
    <col min="2" max="2" width="10.109375" style="79" customWidth="1"/>
    <col min="3" max="3" width="80.44140625" style="63" customWidth="1"/>
    <col min="4" max="4" width="14" style="63" customWidth="1"/>
    <col min="5" max="5" width="12.88671875" style="63" bestFit="1" customWidth="1"/>
    <col min="6" max="6" width="22.6640625" style="63" customWidth="1"/>
    <col min="7" max="7" width="23.33203125" style="63" customWidth="1"/>
    <col min="8" max="16384" width="12.6640625" style="63"/>
  </cols>
  <sheetData>
    <row r="1" spans="1:11" ht="20.399999999999999" x14ac:dyDescent="0.3">
      <c r="A1" s="125" t="s">
        <v>215</v>
      </c>
      <c r="B1" s="126"/>
      <c r="C1" s="126"/>
      <c r="D1" s="126"/>
      <c r="E1" s="126"/>
      <c r="F1" s="126"/>
      <c r="G1" s="127"/>
    </row>
    <row r="2" spans="1:11" x14ac:dyDescent="0.3">
      <c r="A2" s="107" t="s">
        <v>216</v>
      </c>
      <c r="B2" s="124"/>
      <c r="C2" s="124"/>
      <c r="D2" s="124"/>
      <c r="E2" s="124"/>
      <c r="F2" s="124"/>
      <c r="G2" s="108"/>
    </row>
    <row r="3" spans="1:11" x14ac:dyDescent="0.3">
      <c r="A3" s="128" t="s">
        <v>217</v>
      </c>
      <c r="B3" s="129"/>
      <c r="C3" s="129"/>
      <c r="D3" s="129"/>
      <c r="E3" s="129"/>
      <c r="F3" s="129"/>
      <c r="G3" s="130"/>
    </row>
    <row r="4" spans="1:11" x14ac:dyDescent="0.3">
      <c r="A4" s="117" t="s">
        <v>218</v>
      </c>
      <c r="B4" s="118"/>
      <c r="C4" s="119"/>
      <c r="D4" s="120" t="s">
        <v>219</v>
      </c>
      <c r="E4" s="121"/>
      <c r="F4" s="117" t="s">
        <v>220</v>
      </c>
      <c r="G4" s="119"/>
    </row>
    <row r="5" spans="1:11" x14ac:dyDescent="0.3">
      <c r="A5" s="117" t="s">
        <v>221</v>
      </c>
      <c r="B5" s="118"/>
      <c r="C5" s="119"/>
      <c r="D5" s="122"/>
      <c r="E5" s="123"/>
      <c r="F5" s="117" t="s">
        <v>222</v>
      </c>
      <c r="G5" s="119"/>
    </row>
    <row r="6" spans="1:11" x14ac:dyDescent="0.3">
      <c r="A6" s="117" t="s">
        <v>223</v>
      </c>
      <c r="B6" s="118"/>
      <c r="C6" s="119"/>
      <c r="D6" s="117" t="s">
        <v>224</v>
      </c>
      <c r="E6" s="119"/>
      <c r="F6" s="117" t="s">
        <v>225</v>
      </c>
      <c r="G6" s="119"/>
    </row>
    <row r="7" spans="1:11" x14ac:dyDescent="0.3">
      <c r="A7" s="107" t="s">
        <v>268</v>
      </c>
      <c r="B7" s="124"/>
      <c r="C7" s="124"/>
      <c r="D7" s="124"/>
      <c r="E7" s="124"/>
      <c r="F7" s="124"/>
      <c r="G7" s="108"/>
    </row>
    <row r="8" spans="1:11" x14ac:dyDescent="0.3">
      <c r="A8" s="64" t="s">
        <v>227</v>
      </c>
      <c r="B8" s="64" t="s">
        <v>228</v>
      </c>
      <c r="C8" s="64" t="s">
        <v>229</v>
      </c>
      <c r="D8" s="64" t="s">
        <v>230</v>
      </c>
      <c r="E8" s="64" t="s">
        <v>231</v>
      </c>
      <c r="F8" s="64" t="s">
        <v>232</v>
      </c>
      <c r="G8" s="64" t="s">
        <v>233</v>
      </c>
    </row>
    <row r="9" spans="1:11" x14ac:dyDescent="0.3">
      <c r="A9" s="65">
        <v>1</v>
      </c>
      <c r="B9" s="65"/>
      <c r="C9" s="66" t="s">
        <v>78</v>
      </c>
      <c r="D9" s="67"/>
      <c r="E9" s="67"/>
      <c r="F9" s="67"/>
      <c r="G9" s="68">
        <f>+G10+G11</f>
        <v>1800000</v>
      </c>
    </row>
    <row r="10" spans="1:11" x14ac:dyDescent="0.3">
      <c r="A10" s="64"/>
      <c r="B10" s="64" t="s">
        <v>212</v>
      </c>
      <c r="C10" s="67" t="s">
        <v>211</v>
      </c>
      <c r="D10" s="64" t="s">
        <v>234</v>
      </c>
      <c r="E10" s="69">
        <v>1</v>
      </c>
      <c r="F10" s="70">
        <v>1500000</v>
      </c>
      <c r="G10" s="71">
        <f>+E10*F10</f>
        <v>1500000</v>
      </c>
      <c r="H10" s="79" t="s">
        <v>270</v>
      </c>
    </row>
    <row r="11" spans="1:11" x14ac:dyDescent="0.3">
      <c r="A11" s="64"/>
      <c r="B11" s="64" t="s">
        <v>213</v>
      </c>
      <c r="C11" s="67" t="s">
        <v>235</v>
      </c>
      <c r="D11" s="64" t="s">
        <v>234</v>
      </c>
      <c r="E11" s="69">
        <v>1</v>
      </c>
      <c r="F11" s="70">
        <v>300000</v>
      </c>
      <c r="G11" s="71">
        <f>+E11*F11</f>
        <v>300000</v>
      </c>
      <c r="H11" s="79" t="s">
        <v>270</v>
      </c>
    </row>
    <row r="12" spans="1:11" x14ac:dyDescent="0.3">
      <c r="A12" s="65">
        <v>2</v>
      </c>
      <c r="B12" s="65"/>
      <c r="C12" s="66" t="s">
        <v>236</v>
      </c>
      <c r="D12" s="64"/>
      <c r="E12" s="69"/>
      <c r="F12" s="67"/>
      <c r="G12" s="68">
        <f>+G13+G14+G15+G16+G17</f>
        <v>95735144.550000012</v>
      </c>
      <c r="H12" s="79"/>
    </row>
    <row r="13" spans="1:11" x14ac:dyDescent="0.3">
      <c r="A13" s="64"/>
      <c r="B13" s="64" t="s">
        <v>91</v>
      </c>
      <c r="C13" s="72" t="s">
        <v>237</v>
      </c>
      <c r="D13" s="64" t="s">
        <v>4</v>
      </c>
      <c r="E13" s="73">
        <v>7304.6724999999997</v>
      </c>
      <c r="F13" s="70">
        <v>3200</v>
      </c>
      <c r="G13" s="71">
        <f t="shared" ref="G13:G17" si="0">+E13*F13</f>
        <v>23374952</v>
      </c>
      <c r="H13" s="81" t="s">
        <v>270</v>
      </c>
    </row>
    <row r="14" spans="1:11" ht="27.6" x14ac:dyDescent="0.3">
      <c r="A14" s="64"/>
      <c r="B14" s="64" t="s">
        <v>92</v>
      </c>
      <c r="C14" s="72" t="s">
        <v>238</v>
      </c>
      <c r="D14" s="64" t="s">
        <v>4</v>
      </c>
      <c r="E14" s="73">
        <v>1205.1153900000004</v>
      </c>
      <c r="F14" s="82">
        <v>45000</v>
      </c>
      <c r="G14" s="71">
        <f t="shared" si="0"/>
        <v>54230192.550000019</v>
      </c>
      <c r="H14" s="79" t="s">
        <v>270</v>
      </c>
      <c r="J14" s="107"/>
      <c r="K14" s="108"/>
    </row>
    <row r="15" spans="1:11" x14ac:dyDescent="0.3">
      <c r="A15" s="64"/>
      <c r="B15" s="64" t="s">
        <v>93</v>
      </c>
      <c r="C15" s="72" t="s">
        <v>239</v>
      </c>
      <c r="D15" s="64" t="s">
        <v>4</v>
      </c>
      <c r="E15" s="73">
        <v>90</v>
      </c>
      <c r="F15" s="70">
        <v>52000</v>
      </c>
      <c r="G15" s="71">
        <f t="shared" si="0"/>
        <v>4680000</v>
      </c>
      <c r="H15" s="79"/>
    </row>
    <row r="16" spans="1:11" x14ac:dyDescent="0.3">
      <c r="A16" s="64"/>
      <c r="B16" s="64" t="s">
        <v>94</v>
      </c>
      <c r="C16" s="72" t="s">
        <v>240</v>
      </c>
      <c r="D16" s="64" t="s">
        <v>4</v>
      </c>
      <c r="E16" s="73">
        <v>125</v>
      </c>
      <c r="F16" s="70">
        <v>74000</v>
      </c>
      <c r="G16" s="71">
        <f t="shared" si="0"/>
        <v>9250000</v>
      </c>
      <c r="H16" s="79"/>
      <c r="I16" s="63">
        <v>5000000</v>
      </c>
    </row>
    <row r="17" spans="1:8" x14ac:dyDescent="0.3">
      <c r="A17" s="64"/>
      <c r="B17" s="64" t="s">
        <v>117</v>
      </c>
      <c r="C17" s="72" t="s">
        <v>241</v>
      </c>
      <c r="D17" s="64" t="s">
        <v>4</v>
      </c>
      <c r="E17" s="73">
        <v>100</v>
      </c>
      <c r="F17" s="70">
        <v>42000</v>
      </c>
      <c r="G17" s="71">
        <f t="shared" si="0"/>
        <v>4200000</v>
      </c>
      <c r="H17" s="79"/>
    </row>
    <row r="18" spans="1:8" x14ac:dyDescent="0.3">
      <c r="A18" s="65">
        <v>3</v>
      </c>
      <c r="B18" s="65"/>
      <c r="C18" s="66" t="s">
        <v>242</v>
      </c>
      <c r="D18" s="64"/>
      <c r="E18" s="73"/>
      <c r="F18" s="67"/>
      <c r="G18" s="68">
        <f>+G19+G24+G26</f>
        <v>214594372.75</v>
      </c>
      <c r="H18" s="79"/>
    </row>
    <row r="19" spans="1:8" x14ac:dyDescent="0.3">
      <c r="A19" s="64"/>
      <c r="B19" s="112" t="s">
        <v>243</v>
      </c>
      <c r="C19" s="113"/>
      <c r="D19" s="64"/>
      <c r="E19" s="73"/>
      <c r="F19" s="67"/>
      <c r="G19" s="75">
        <f>+G20+G21+G22+G23</f>
        <v>99452617.750000015</v>
      </c>
      <c r="H19" s="79"/>
    </row>
    <row r="20" spans="1:8" ht="27.6" x14ac:dyDescent="0.3">
      <c r="A20" s="64"/>
      <c r="B20" s="64" t="s">
        <v>126</v>
      </c>
      <c r="C20" s="72" t="s">
        <v>244</v>
      </c>
      <c r="D20" s="64" t="s">
        <v>4</v>
      </c>
      <c r="E20" s="73">
        <v>4629.4765000000007</v>
      </c>
      <c r="F20" s="70">
        <v>17500</v>
      </c>
      <c r="G20" s="71">
        <f t="shared" ref="G20:G23" si="1">+E20*F20</f>
        <v>81015838.750000015</v>
      </c>
      <c r="H20" s="79"/>
    </row>
    <row r="21" spans="1:8" ht="27.6" x14ac:dyDescent="0.3">
      <c r="A21" s="64"/>
      <c r="B21" s="64" t="s">
        <v>129</v>
      </c>
      <c r="C21" s="72" t="s">
        <v>245</v>
      </c>
      <c r="D21" s="64" t="s">
        <v>4</v>
      </c>
      <c r="E21" s="73">
        <v>107.97500000000001</v>
      </c>
      <c r="F21" s="70">
        <v>28000</v>
      </c>
      <c r="G21" s="71">
        <f t="shared" si="1"/>
        <v>3023300.0000000005</v>
      </c>
      <c r="H21" s="79"/>
    </row>
    <row r="22" spans="1:8" ht="27.6" x14ac:dyDescent="0.3">
      <c r="A22" s="64"/>
      <c r="B22" s="64" t="s">
        <v>130</v>
      </c>
      <c r="C22" s="72" t="s">
        <v>246</v>
      </c>
      <c r="D22" s="64" t="s">
        <v>4</v>
      </c>
      <c r="E22" s="73">
        <v>455.29999999999995</v>
      </c>
      <c r="F22" s="70">
        <v>27200</v>
      </c>
      <c r="G22" s="71">
        <f t="shared" si="1"/>
        <v>12384159.999999998</v>
      </c>
      <c r="H22" s="79"/>
    </row>
    <row r="23" spans="1:8" ht="27.6" x14ac:dyDescent="0.3">
      <c r="A23" s="64"/>
      <c r="B23" s="64" t="s">
        <v>131</v>
      </c>
      <c r="C23" s="72" t="s">
        <v>247</v>
      </c>
      <c r="D23" s="64" t="s">
        <v>43</v>
      </c>
      <c r="E23" s="73">
        <v>373.99</v>
      </c>
      <c r="F23" s="70">
        <v>8100</v>
      </c>
      <c r="G23" s="71">
        <f t="shared" si="1"/>
        <v>3029319</v>
      </c>
      <c r="H23" s="79"/>
    </row>
    <row r="24" spans="1:8" x14ac:dyDescent="0.3">
      <c r="A24" s="64"/>
      <c r="B24" s="112" t="s">
        <v>248</v>
      </c>
      <c r="C24" s="113"/>
      <c r="D24" s="64"/>
      <c r="E24" s="73"/>
      <c r="F24" s="67"/>
      <c r="G24" s="75">
        <f>+G25</f>
        <v>25891680.000000004</v>
      </c>
      <c r="H24" s="79"/>
    </row>
    <row r="25" spans="1:8" ht="27.6" x14ac:dyDescent="0.3">
      <c r="A25" s="64"/>
      <c r="B25" s="64" t="s">
        <v>132</v>
      </c>
      <c r="C25" s="72" t="s">
        <v>249</v>
      </c>
      <c r="D25" s="64" t="s">
        <v>4</v>
      </c>
      <c r="E25" s="73">
        <v>2157.6400000000003</v>
      </c>
      <c r="F25" s="70">
        <v>12000</v>
      </c>
      <c r="G25" s="71">
        <f>+E25*F25</f>
        <v>25891680.000000004</v>
      </c>
      <c r="H25" s="79"/>
    </row>
    <row r="26" spans="1:8" x14ac:dyDescent="0.3">
      <c r="A26" s="64"/>
      <c r="B26" s="112" t="s">
        <v>250</v>
      </c>
      <c r="C26" s="113"/>
      <c r="D26" s="64"/>
      <c r="E26" s="73"/>
      <c r="F26" s="67"/>
      <c r="G26" s="75">
        <f>+G27+G28+G29+G30</f>
        <v>89250075</v>
      </c>
      <c r="H26" s="79"/>
    </row>
    <row r="27" spans="1:8" ht="27.6" x14ac:dyDescent="0.3">
      <c r="A27" s="64"/>
      <c r="B27" s="64" t="s">
        <v>144</v>
      </c>
      <c r="C27" s="72" t="s">
        <v>251</v>
      </c>
      <c r="D27" s="64" t="s">
        <v>252</v>
      </c>
      <c r="E27" s="73">
        <v>92</v>
      </c>
      <c r="F27" s="70">
        <v>121000</v>
      </c>
      <c r="G27" s="71">
        <f t="shared" ref="G27:G30" si="2">+E27*F27</f>
        <v>11132000</v>
      </c>
      <c r="H27" s="79"/>
    </row>
    <row r="28" spans="1:8" ht="27.6" x14ac:dyDescent="0.3">
      <c r="A28" s="64"/>
      <c r="B28" s="64" t="s">
        <v>147</v>
      </c>
      <c r="C28" s="72" t="s">
        <v>253</v>
      </c>
      <c r="D28" s="64" t="s">
        <v>43</v>
      </c>
      <c r="E28" s="73">
        <v>344.24999999999989</v>
      </c>
      <c r="F28" s="70">
        <v>22400</v>
      </c>
      <c r="G28" s="71">
        <f t="shared" si="2"/>
        <v>7711199.9999999972</v>
      </c>
      <c r="H28" s="79"/>
    </row>
    <row r="29" spans="1:8" ht="27.6" x14ac:dyDescent="0.3">
      <c r="A29" s="64"/>
      <c r="B29" s="64" t="s">
        <v>153</v>
      </c>
      <c r="C29" s="72" t="s">
        <v>254</v>
      </c>
      <c r="D29" s="64" t="s">
        <v>4</v>
      </c>
      <c r="E29" s="73">
        <v>1306.25</v>
      </c>
      <c r="F29" s="70">
        <v>24300</v>
      </c>
      <c r="G29" s="71">
        <f t="shared" si="2"/>
        <v>31741875</v>
      </c>
      <c r="H29" s="79"/>
    </row>
    <row r="30" spans="1:8" x14ac:dyDescent="0.3">
      <c r="A30" s="64"/>
      <c r="B30" s="64" t="s">
        <v>155</v>
      </c>
      <c r="C30" s="72" t="s">
        <v>255</v>
      </c>
      <c r="D30" s="64" t="s">
        <v>4</v>
      </c>
      <c r="E30" s="73">
        <v>1306.25</v>
      </c>
      <c r="F30" s="70">
        <v>29600</v>
      </c>
      <c r="G30" s="71">
        <f t="shared" si="2"/>
        <v>38665000</v>
      </c>
      <c r="H30" s="79"/>
    </row>
    <row r="31" spans="1:8" x14ac:dyDescent="0.3">
      <c r="A31" s="65">
        <v>4</v>
      </c>
      <c r="B31" s="65"/>
      <c r="C31" s="66" t="s">
        <v>256</v>
      </c>
      <c r="D31" s="64"/>
      <c r="E31" s="73"/>
      <c r="F31" s="67"/>
      <c r="G31" s="76">
        <f>+G32+G33+G34+G35+G36+G37</f>
        <v>281557006.80000001</v>
      </c>
      <c r="H31" s="79"/>
    </row>
    <row r="32" spans="1:8" x14ac:dyDescent="0.3">
      <c r="A32" s="64"/>
      <c r="B32" s="64" t="s">
        <v>158</v>
      </c>
      <c r="C32" s="77" t="s">
        <v>257</v>
      </c>
      <c r="D32" s="64" t="s">
        <v>4</v>
      </c>
      <c r="E32" s="73">
        <v>1678.12</v>
      </c>
      <c r="F32" s="70">
        <v>119000</v>
      </c>
      <c r="G32" s="71">
        <f t="shared" ref="G32:G37" si="3">+E32*F32</f>
        <v>199696280</v>
      </c>
      <c r="H32" s="79"/>
    </row>
    <row r="33" spans="1:8" x14ac:dyDescent="0.3">
      <c r="A33" s="64"/>
      <c r="B33" s="64" t="s">
        <v>183</v>
      </c>
      <c r="C33" s="72" t="s">
        <v>179</v>
      </c>
      <c r="D33" s="64" t="s">
        <v>43</v>
      </c>
      <c r="E33" s="73">
        <v>0</v>
      </c>
      <c r="F33" s="70">
        <v>11300</v>
      </c>
      <c r="G33" s="71">
        <f t="shared" si="3"/>
        <v>0</v>
      </c>
      <c r="H33" s="79"/>
    </row>
    <row r="34" spans="1:8" ht="27.6" x14ac:dyDescent="0.3">
      <c r="A34" s="64"/>
      <c r="B34" s="64" t="s">
        <v>187</v>
      </c>
      <c r="C34" s="72" t="s">
        <v>258</v>
      </c>
      <c r="D34" s="64" t="s">
        <v>43</v>
      </c>
      <c r="E34" s="73">
        <v>817.99400000000014</v>
      </c>
      <c r="F34" s="70">
        <v>5200</v>
      </c>
      <c r="G34" s="71">
        <f t="shared" si="3"/>
        <v>4253568.8000000007</v>
      </c>
      <c r="H34" s="79"/>
    </row>
    <row r="35" spans="1:8" ht="27.6" x14ac:dyDescent="0.3">
      <c r="A35" s="64"/>
      <c r="B35" s="64" t="s">
        <v>191</v>
      </c>
      <c r="C35" s="72" t="s">
        <v>192</v>
      </c>
      <c r="D35" s="64" t="s">
        <v>43</v>
      </c>
      <c r="E35" s="73">
        <v>1055.3</v>
      </c>
      <c r="F35" s="70">
        <v>37000</v>
      </c>
      <c r="G35" s="71">
        <f t="shared" si="3"/>
        <v>39046100</v>
      </c>
      <c r="H35" s="79"/>
    </row>
    <row r="36" spans="1:8" x14ac:dyDescent="0.3">
      <c r="A36" s="64"/>
      <c r="B36" s="64">
        <v>4.5</v>
      </c>
      <c r="C36" s="72" t="s">
        <v>199</v>
      </c>
      <c r="D36" s="64" t="s">
        <v>4</v>
      </c>
      <c r="E36" s="73">
        <v>290.86649999999997</v>
      </c>
      <c r="F36" s="70">
        <v>52000</v>
      </c>
      <c r="G36" s="71">
        <f t="shared" si="3"/>
        <v>15125057.999999998</v>
      </c>
      <c r="H36" s="79"/>
    </row>
    <row r="37" spans="1:8" ht="27.6" x14ac:dyDescent="0.3">
      <c r="A37" s="64"/>
      <c r="B37" s="64">
        <v>4.5999999999999996</v>
      </c>
      <c r="C37" s="72" t="s">
        <v>207</v>
      </c>
      <c r="D37" s="64" t="s">
        <v>43</v>
      </c>
      <c r="E37" s="73">
        <v>372</v>
      </c>
      <c r="F37" s="70">
        <v>63000</v>
      </c>
      <c r="G37" s="71">
        <f t="shared" si="3"/>
        <v>23436000</v>
      </c>
      <c r="H37" s="79"/>
    </row>
    <row r="38" spans="1:8" x14ac:dyDescent="0.3">
      <c r="A38" s="65">
        <v>5</v>
      </c>
      <c r="B38" s="65"/>
      <c r="C38" s="66" t="s">
        <v>259</v>
      </c>
      <c r="D38" s="64"/>
      <c r="E38" s="73"/>
      <c r="F38" s="67"/>
      <c r="G38" s="76">
        <f>+G39</f>
        <v>2300000</v>
      </c>
      <c r="H38" s="79"/>
    </row>
    <row r="39" spans="1:8" x14ac:dyDescent="0.3">
      <c r="A39" s="64"/>
      <c r="B39" s="64" t="s">
        <v>260</v>
      </c>
      <c r="C39" s="72" t="s">
        <v>210</v>
      </c>
      <c r="D39" s="64" t="s">
        <v>261</v>
      </c>
      <c r="E39" s="73">
        <v>1</v>
      </c>
      <c r="F39" s="67">
        <v>2300000</v>
      </c>
      <c r="G39" s="71">
        <f>+E39*F39</f>
        <v>2300000</v>
      </c>
      <c r="H39" s="79"/>
    </row>
    <row r="40" spans="1:8" x14ac:dyDescent="0.3">
      <c r="A40" s="64"/>
      <c r="B40" s="64"/>
      <c r="C40" s="67"/>
      <c r="D40" s="109" t="s">
        <v>262</v>
      </c>
      <c r="E40" s="110"/>
      <c r="F40" s="111"/>
      <c r="G40" s="76">
        <f>+G9+G12+G18+G31+G38</f>
        <v>595986524.10000002</v>
      </c>
    </row>
    <row r="41" spans="1:8" x14ac:dyDescent="0.3">
      <c r="A41" s="64"/>
      <c r="B41" s="64"/>
      <c r="C41" s="67"/>
      <c r="D41" s="107" t="s">
        <v>263</v>
      </c>
      <c r="E41" s="108"/>
      <c r="F41" s="78">
        <v>0.08</v>
      </c>
      <c r="G41" s="71">
        <f>+$G$40*F41</f>
        <v>47678921.928000003</v>
      </c>
    </row>
    <row r="42" spans="1:8" x14ac:dyDescent="0.3">
      <c r="A42" s="64"/>
      <c r="B42" s="64"/>
      <c r="C42" s="67"/>
      <c r="D42" s="107" t="s">
        <v>264</v>
      </c>
      <c r="E42" s="108"/>
      <c r="F42" s="78">
        <v>0.03</v>
      </c>
      <c r="G42" s="71">
        <f t="shared" ref="G42:G43" si="4">+$G$40*F42</f>
        <v>17879595.723000001</v>
      </c>
    </row>
    <row r="43" spans="1:8" x14ac:dyDescent="0.3">
      <c r="A43" s="64"/>
      <c r="B43" s="64"/>
      <c r="C43" s="67"/>
      <c r="D43" s="107" t="s">
        <v>265</v>
      </c>
      <c r="E43" s="108"/>
      <c r="F43" s="78">
        <v>0.05</v>
      </c>
      <c r="G43" s="71">
        <f t="shared" si="4"/>
        <v>29799326.205000002</v>
      </c>
    </row>
    <row r="44" spans="1:8" x14ac:dyDescent="0.3">
      <c r="A44" s="64"/>
      <c r="B44" s="64"/>
      <c r="C44" s="67"/>
      <c r="D44" s="107" t="s">
        <v>266</v>
      </c>
      <c r="E44" s="108"/>
      <c r="F44" s="78">
        <v>0.19</v>
      </c>
      <c r="G44" s="71">
        <f>+G43*F44</f>
        <v>5661871.9789500004</v>
      </c>
    </row>
    <row r="45" spans="1:8" x14ac:dyDescent="0.3">
      <c r="A45" s="64"/>
      <c r="B45" s="64"/>
      <c r="C45" s="67"/>
      <c r="D45" s="109" t="s">
        <v>267</v>
      </c>
      <c r="E45" s="110"/>
      <c r="F45" s="111"/>
      <c r="G45" s="76">
        <f>+G40+G41+G42+G43+G44</f>
        <v>697006239.93495011</v>
      </c>
    </row>
    <row r="47" spans="1:8" x14ac:dyDescent="0.3">
      <c r="G47" s="80"/>
    </row>
  </sheetData>
  <mergeCells count="22">
    <mergeCell ref="J14:K14"/>
    <mergeCell ref="D44:E44"/>
    <mergeCell ref="D45:F45"/>
    <mergeCell ref="B24:C24"/>
    <mergeCell ref="B26:C26"/>
    <mergeCell ref="D40:F40"/>
    <mergeCell ref="D41:E41"/>
    <mergeCell ref="D42:E42"/>
    <mergeCell ref="D43:E43"/>
    <mergeCell ref="B19:C19"/>
    <mergeCell ref="A1:G1"/>
    <mergeCell ref="A2:G2"/>
    <mergeCell ref="A3:G3"/>
    <mergeCell ref="A4:C4"/>
    <mergeCell ref="D4:E5"/>
    <mergeCell ref="F4:G4"/>
    <mergeCell ref="A5:C5"/>
    <mergeCell ref="F5:G5"/>
    <mergeCell ref="A6:C6"/>
    <mergeCell ref="D6:E6"/>
    <mergeCell ref="F6:G6"/>
    <mergeCell ref="A7:G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APU I</vt:lpstr>
      <vt:lpstr>APU II</vt:lpstr>
      <vt:lpstr>APU III</vt:lpstr>
      <vt:lpstr>APU IV</vt:lpstr>
      <vt:lpstr>APU V</vt:lpstr>
      <vt:lpstr>RESUMEN APU</vt:lpstr>
      <vt:lpstr>COTIZACIÓN</vt:lpstr>
      <vt:lpstr>COTIZACIÓN valores actualizados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PC</dc:creator>
  <cp:lastModifiedBy>Andrés Felipe Montoya Osorio</cp:lastModifiedBy>
  <dcterms:created xsi:type="dcterms:W3CDTF">2025-04-04T20:06:46Z</dcterms:created>
  <dcterms:modified xsi:type="dcterms:W3CDTF">2025-04-15T19:00:51Z</dcterms:modified>
</cp:coreProperties>
</file>