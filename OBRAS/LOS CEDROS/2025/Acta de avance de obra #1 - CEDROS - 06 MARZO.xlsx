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smontoyaosorio/Downloads/"/>
    </mc:Choice>
  </mc:AlternateContent>
  <xr:revisionPtr revIDLastSave="0" documentId="8_{AD0FAA6A-7A24-9545-8C75-364FC1FEA50B}" xr6:coauthVersionLast="47" xr6:coauthVersionMax="47" xr10:uidLastSave="{00000000-0000-0000-0000-000000000000}"/>
  <workbookProtection workbookAlgorithmName="SHA-512" workbookHashValue="FPZ7rbwtFY7f/ENtKNXCcaszE7GIisrTxrvjQZBUZibC2q6LtpT3DU1Q+AoivN6uEjA2bkotVwr9pT1tVJhDXQ==" workbookSaltValue="Cny34T+3nFLyG7LQ1lmQ4Q==" workbookSpinCount="100000" lockStructure="1"/>
  <bookViews>
    <workbookView xWindow="0" yWindow="660" windowWidth="29400" windowHeight="16980" tabRatio="839" activeTab="6" xr2:uid="{32E6358C-74EC-4324-BBF7-D167822776E0}"/>
  </bookViews>
  <sheets>
    <sheet name="acta 01 nov 5 2025" sheetId="35" r:id="rId1"/>
    <sheet name="acta 02 dic 15 2025" sheetId="36" r:id="rId2"/>
    <sheet name="acta 03 enero 21 2026" sheetId="37" r:id="rId3"/>
    <sheet name="Estado de la Obra" sheetId="34" r:id="rId4"/>
    <sheet name="CO" sheetId="1" r:id="rId5"/>
    <sheet name="CO SIF" sheetId="24" r:id="rId6"/>
    <sheet name="CO SIF 2" sheetId="28" r:id="rId7"/>
    <sheet name="Lavado" sheetId="5" r:id="rId8"/>
    <sheet name="Sellos" sheetId="25" r:id="rId9"/>
    <sheet name="Sicoplast" sheetId="26" r:id="rId10"/>
    <sheet name="Pintura" sheetId="27" r:id="rId11"/>
    <sheet name="Pasillos" sheetId="17" r:id="rId12"/>
  </sheets>
  <externalReferences>
    <externalReference r:id="rId13"/>
  </externalReferences>
  <definedNames>
    <definedName name="_xlnm.Print_Area" localSheetId="3">'Estado de la Obra'!$A$1:$H$27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1" i="35" l="1"/>
  <c r="J50" i="35"/>
  <c r="J49" i="35"/>
  <c r="G50" i="35"/>
  <c r="G48" i="35"/>
  <c r="G49" i="35"/>
  <c r="H33" i="35"/>
  <c r="H21" i="35"/>
  <c r="H11" i="35"/>
  <c r="G34" i="26"/>
  <c r="G34" i="25"/>
  <c r="H31" i="35" l="1"/>
  <c r="H28" i="35"/>
  <c r="H18" i="35"/>
  <c r="I18" i="35" s="1"/>
  <c r="G18" i="35"/>
  <c r="G30" i="35"/>
  <c r="I30" i="35"/>
  <c r="J30" i="35"/>
  <c r="Q40" i="27"/>
  <c r="I29" i="35"/>
  <c r="J29" i="35"/>
  <c r="G29" i="35"/>
  <c r="Q45" i="26"/>
  <c r="Q46" i="26"/>
  <c r="G35" i="35"/>
  <c r="O46" i="27"/>
  <c r="O45" i="27"/>
  <c r="O44" i="27"/>
  <c r="O7" i="17"/>
  <c r="S7" i="17" s="1"/>
  <c r="T7" i="17" s="1"/>
  <c r="O8" i="17"/>
  <c r="O9" i="17"/>
  <c r="O10" i="17"/>
  <c r="S10" i="17" s="1"/>
  <c r="T10" i="17" s="1"/>
  <c r="O11" i="17"/>
  <c r="O12" i="17"/>
  <c r="O13" i="17"/>
  <c r="O14" i="17"/>
  <c r="O15" i="17"/>
  <c r="O16" i="17"/>
  <c r="O17" i="17"/>
  <c r="O18" i="17"/>
  <c r="O19" i="17"/>
  <c r="O20" i="17"/>
  <c r="O6" i="17"/>
  <c r="M45" i="27"/>
  <c r="M46" i="27"/>
  <c r="M44" i="27"/>
  <c r="M45" i="26"/>
  <c r="M46" i="26"/>
  <c r="M44" i="26"/>
  <c r="S8" i="17"/>
  <c r="T8" i="17" s="1"/>
  <c r="S9" i="17"/>
  <c r="T9" i="17" s="1"/>
  <c r="S11" i="17"/>
  <c r="S12" i="17"/>
  <c r="T12" i="17" s="1"/>
  <c r="S6" i="17"/>
  <c r="T6" i="17" s="1"/>
  <c r="Q20" i="17"/>
  <c r="Q19" i="17"/>
  <c r="Q18" i="17"/>
  <c r="Q17" i="17"/>
  <c r="Q16" i="17"/>
  <c r="Q15" i="17"/>
  <c r="Q14" i="17"/>
  <c r="Q13" i="17"/>
  <c r="Q12" i="17"/>
  <c r="Q11" i="17"/>
  <c r="Q10" i="17"/>
  <c r="Q9" i="17"/>
  <c r="Q8" i="17"/>
  <c r="Q7" i="17"/>
  <c r="Q6" i="17"/>
  <c r="Q22" i="17" s="1"/>
  <c r="R22" i="17" s="1"/>
  <c r="T11" i="17"/>
  <c r="V24" i="17"/>
  <c r="N9" i="26"/>
  <c r="K45" i="26"/>
  <c r="M7" i="17"/>
  <c r="M8" i="17"/>
  <c r="M9" i="17"/>
  <c r="M10" i="17"/>
  <c r="M11" i="17"/>
  <c r="M12" i="17"/>
  <c r="M13" i="17"/>
  <c r="S13" i="17" s="1"/>
  <c r="T13" i="17" s="1"/>
  <c r="M14" i="17"/>
  <c r="M15" i="17"/>
  <c r="M16" i="17"/>
  <c r="M17" i="17"/>
  <c r="M18" i="17"/>
  <c r="M19" i="17"/>
  <c r="M20" i="17"/>
  <c r="M6" i="17"/>
  <c r="L45" i="27"/>
  <c r="D22" i="17"/>
  <c r="J18" i="35" l="1"/>
  <c r="S14" i="17"/>
  <c r="T14" i="17" s="1"/>
  <c r="O22" i="17"/>
  <c r="P22" i="17" s="1"/>
  <c r="O46" i="26"/>
  <c r="K46" i="26"/>
  <c r="I46" i="26"/>
  <c r="G46" i="26"/>
  <c r="E46" i="26"/>
  <c r="O45" i="26"/>
  <c r="E45" i="26"/>
  <c r="Q44" i="26"/>
  <c r="Q48" i="26" s="1"/>
  <c r="O44" i="26"/>
  <c r="O48" i="26" s="1"/>
  <c r="K44" i="26"/>
  <c r="I44" i="26"/>
  <c r="G44" i="26"/>
  <c r="E44" i="26"/>
  <c r="Q40" i="26"/>
  <c r="O40" i="26"/>
  <c r="M40" i="26"/>
  <c r="K40" i="26"/>
  <c r="I40" i="26"/>
  <c r="G40" i="26"/>
  <c r="E40" i="26"/>
  <c r="O39" i="26"/>
  <c r="O42" i="26" s="1"/>
  <c r="M39" i="26"/>
  <c r="M42" i="26" s="1"/>
  <c r="G39" i="26"/>
  <c r="G42" i="26" s="1"/>
  <c r="E39" i="26"/>
  <c r="G36" i="26"/>
  <c r="D36" i="26"/>
  <c r="Q34" i="26"/>
  <c r="Q36" i="26" s="1"/>
  <c r="R36" i="26" s="1"/>
  <c r="O34" i="26"/>
  <c r="O36" i="26" s="1"/>
  <c r="M34" i="26"/>
  <c r="M36" i="26" s="1"/>
  <c r="K34" i="26"/>
  <c r="K36" i="26" s="1"/>
  <c r="L36" i="26" s="1"/>
  <c r="I34" i="26"/>
  <c r="I36" i="26" s="1"/>
  <c r="J36" i="26" s="1"/>
  <c r="E34" i="26"/>
  <c r="E36" i="26" s="1"/>
  <c r="D31" i="26"/>
  <c r="Q29" i="26"/>
  <c r="O29" i="26"/>
  <c r="M29" i="26"/>
  <c r="K29" i="26"/>
  <c r="I29" i="26"/>
  <c r="G29" i="26"/>
  <c r="E29" i="26"/>
  <c r="Q28" i="26"/>
  <c r="O28" i="26"/>
  <c r="M28" i="26"/>
  <c r="K28" i="26"/>
  <c r="I28" i="26"/>
  <c r="G28" i="26"/>
  <c r="E28" i="26"/>
  <c r="Q27" i="26"/>
  <c r="O27" i="26"/>
  <c r="M27" i="26"/>
  <c r="K27" i="26"/>
  <c r="I27" i="26"/>
  <c r="G27" i="26"/>
  <c r="E27" i="26"/>
  <c r="Q26" i="26"/>
  <c r="O26" i="26"/>
  <c r="M26" i="26"/>
  <c r="K26" i="26"/>
  <c r="I26" i="26"/>
  <c r="G26" i="26"/>
  <c r="E26" i="26"/>
  <c r="Q25" i="26"/>
  <c r="O25" i="26"/>
  <c r="M25" i="26"/>
  <c r="K25" i="26"/>
  <c r="I25" i="26"/>
  <c r="G25" i="26"/>
  <c r="E25" i="26"/>
  <c r="D22" i="26"/>
  <c r="Q20" i="26"/>
  <c r="O20" i="26"/>
  <c r="M20" i="26"/>
  <c r="K20" i="26"/>
  <c r="I20" i="26"/>
  <c r="G20" i="26"/>
  <c r="E20" i="26"/>
  <c r="Q19" i="26"/>
  <c r="O19" i="26"/>
  <c r="O22" i="26" s="1"/>
  <c r="M19" i="26"/>
  <c r="M22" i="26" s="1"/>
  <c r="K19" i="26"/>
  <c r="I19" i="26"/>
  <c r="G19" i="26"/>
  <c r="E19" i="26"/>
  <c r="D16" i="26"/>
  <c r="Q14" i="26"/>
  <c r="Q16" i="26" s="1"/>
  <c r="R16" i="26" s="1"/>
  <c r="O14" i="26"/>
  <c r="O16" i="26" s="1"/>
  <c r="P16" i="26" s="1"/>
  <c r="M14" i="26"/>
  <c r="M16" i="26" s="1"/>
  <c r="K14" i="26"/>
  <c r="K16" i="26" s="1"/>
  <c r="L16" i="26" s="1"/>
  <c r="I14" i="26"/>
  <c r="I16" i="26" s="1"/>
  <c r="J16" i="26" s="1"/>
  <c r="G14" i="26"/>
  <c r="G16" i="26" s="1"/>
  <c r="H16" i="26" s="1"/>
  <c r="E14" i="26"/>
  <c r="D11" i="26"/>
  <c r="Q9" i="26"/>
  <c r="O9" i="26"/>
  <c r="M9" i="26"/>
  <c r="K9" i="26"/>
  <c r="I9" i="26"/>
  <c r="G9" i="26"/>
  <c r="E9" i="26"/>
  <c r="Q8" i="26"/>
  <c r="O8" i="26"/>
  <c r="M8" i="26"/>
  <c r="K8" i="26"/>
  <c r="I8" i="26"/>
  <c r="G8" i="26"/>
  <c r="E8" i="26"/>
  <c r="Q7" i="26"/>
  <c r="O7" i="26"/>
  <c r="M7" i="26"/>
  <c r="K7" i="26"/>
  <c r="I7" i="26"/>
  <c r="G7" i="26"/>
  <c r="E7" i="26"/>
  <c r="Q6" i="26"/>
  <c r="O6" i="26"/>
  <c r="M6" i="26"/>
  <c r="K6" i="26"/>
  <c r="I6" i="26"/>
  <c r="G6" i="26"/>
  <c r="E6" i="26"/>
  <c r="Q5" i="26"/>
  <c r="O5" i="26"/>
  <c r="M5" i="26"/>
  <c r="K5" i="26"/>
  <c r="I5" i="26"/>
  <c r="G5" i="26"/>
  <c r="E5" i="26"/>
  <c r="D39" i="25"/>
  <c r="Q46" i="25"/>
  <c r="O46" i="25"/>
  <c r="M46" i="25"/>
  <c r="K46" i="25"/>
  <c r="I46" i="25"/>
  <c r="G46" i="25"/>
  <c r="U46" i="25" s="1"/>
  <c r="V46" i="25" s="1"/>
  <c r="E46" i="25"/>
  <c r="Q45" i="25"/>
  <c r="O45" i="25"/>
  <c r="M45" i="25"/>
  <c r="E45" i="25"/>
  <c r="K45" i="25"/>
  <c r="Q44" i="25"/>
  <c r="O44" i="25"/>
  <c r="M44" i="25"/>
  <c r="M48" i="25" s="1"/>
  <c r="K44" i="25"/>
  <c r="I44" i="25"/>
  <c r="G44" i="25"/>
  <c r="E44" i="25"/>
  <c r="E48" i="25" s="1"/>
  <c r="Q40" i="25"/>
  <c r="O40" i="25"/>
  <c r="M40" i="25"/>
  <c r="K40" i="25"/>
  <c r="I40" i="25"/>
  <c r="G40" i="25"/>
  <c r="E40" i="25"/>
  <c r="U40" i="25" s="1"/>
  <c r="V40" i="25" s="1"/>
  <c r="O39" i="25"/>
  <c r="O42" i="25" s="1"/>
  <c r="M39" i="25"/>
  <c r="M42" i="25" s="1"/>
  <c r="G39" i="25"/>
  <c r="G42" i="25" s="1"/>
  <c r="E39" i="25"/>
  <c r="O36" i="25"/>
  <c r="P36" i="25" s="1"/>
  <c r="G36" i="25"/>
  <c r="D36" i="25"/>
  <c r="Q34" i="25"/>
  <c r="Q36" i="25" s="1"/>
  <c r="R36" i="25" s="1"/>
  <c r="O34" i="25"/>
  <c r="M34" i="25"/>
  <c r="M36" i="25" s="1"/>
  <c r="N36" i="25" s="1"/>
  <c r="K34" i="25"/>
  <c r="K36" i="25" s="1"/>
  <c r="L36" i="25" s="1"/>
  <c r="I34" i="25"/>
  <c r="I36" i="25" s="1"/>
  <c r="J36" i="25" s="1"/>
  <c r="E34" i="25"/>
  <c r="E36" i="25" s="1"/>
  <c r="F36" i="25" s="1"/>
  <c r="D31" i="25"/>
  <c r="Q29" i="25"/>
  <c r="O29" i="25"/>
  <c r="M29" i="25"/>
  <c r="K29" i="25"/>
  <c r="I29" i="25"/>
  <c r="G29" i="25"/>
  <c r="E29" i="25"/>
  <c r="Q28" i="25"/>
  <c r="O28" i="25"/>
  <c r="M28" i="25"/>
  <c r="K28" i="25"/>
  <c r="I28" i="25"/>
  <c r="G28" i="25"/>
  <c r="E28" i="25"/>
  <c r="Q27" i="25"/>
  <c r="O27" i="25"/>
  <c r="M27" i="25"/>
  <c r="K27" i="25"/>
  <c r="I27" i="25"/>
  <c r="G27" i="25"/>
  <c r="E27" i="25"/>
  <c r="Q26" i="25"/>
  <c r="O26" i="25"/>
  <c r="M26" i="25"/>
  <c r="K26" i="25"/>
  <c r="I26" i="25"/>
  <c r="G26" i="25"/>
  <c r="E26" i="25"/>
  <c r="Q25" i="25"/>
  <c r="Q31" i="25" s="1"/>
  <c r="R31" i="25" s="1"/>
  <c r="O25" i="25"/>
  <c r="M25" i="25"/>
  <c r="K25" i="25"/>
  <c r="I25" i="25"/>
  <c r="I31" i="25" s="1"/>
  <c r="J31" i="25" s="1"/>
  <c r="G25" i="25"/>
  <c r="E25" i="25"/>
  <c r="D22" i="25"/>
  <c r="Q20" i="25"/>
  <c r="O20" i="25"/>
  <c r="M20" i="25"/>
  <c r="K20" i="25"/>
  <c r="I20" i="25"/>
  <c r="G20" i="25"/>
  <c r="E20" i="25"/>
  <c r="Q19" i="25"/>
  <c r="Q22" i="25" s="1"/>
  <c r="R22" i="25" s="1"/>
  <c r="O19" i="25"/>
  <c r="O22" i="25" s="1"/>
  <c r="M19" i="25"/>
  <c r="M22" i="25" s="1"/>
  <c r="K19" i="25"/>
  <c r="I19" i="25"/>
  <c r="G19" i="25"/>
  <c r="G22" i="25" s="1"/>
  <c r="E19" i="25"/>
  <c r="O16" i="25"/>
  <c r="P16" i="25" s="1"/>
  <c r="D16" i="25"/>
  <c r="Q14" i="25"/>
  <c r="Q16" i="25" s="1"/>
  <c r="R16" i="25" s="1"/>
  <c r="O14" i="25"/>
  <c r="M14" i="25"/>
  <c r="M16" i="25" s="1"/>
  <c r="N16" i="25" s="1"/>
  <c r="K14" i="25"/>
  <c r="K16" i="25" s="1"/>
  <c r="L16" i="25" s="1"/>
  <c r="I14" i="25"/>
  <c r="I16" i="25" s="1"/>
  <c r="J16" i="25" s="1"/>
  <c r="G14" i="25"/>
  <c r="G16" i="25" s="1"/>
  <c r="H16" i="25" s="1"/>
  <c r="E14" i="25"/>
  <c r="D11" i="25"/>
  <c r="Q9" i="25"/>
  <c r="O9" i="25"/>
  <c r="M9" i="25"/>
  <c r="K9" i="25"/>
  <c r="I9" i="25"/>
  <c r="G9" i="25"/>
  <c r="E9" i="25"/>
  <c r="Q8" i="25"/>
  <c r="O8" i="25"/>
  <c r="M8" i="25"/>
  <c r="K8" i="25"/>
  <c r="I8" i="25"/>
  <c r="G8" i="25"/>
  <c r="E8" i="25"/>
  <c r="Q7" i="25"/>
  <c r="O7" i="25"/>
  <c r="M7" i="25"/>
  <c r="K7" i="25"/>
  <c r="I7" i="25"/>
  <c r="G7" i="25"/>
  <c r="E7" i="25"/>
  <c r="Q6" i="25"/>
  <c r="O6" i="25"/>
  <c r="M6" i="25"/>
  <c r="K6" i="25"/>
  <c r="I6" i="25"/>
  <c r="G6" i="25"/>
  <c r="E6" i="25"/>
  <c r="Q5" i="25"/>
  <c r="O5" i="25"/>
  <c r="M5" i="25"/>
  <c r="K5" i="25"/>
  <c r="I5" i="25"/>
  <c r="G5" i="25"/>
  <c r="E5" i="25"/>
  <c r="U5" i="25" s="1"/>
  <c r="H36" i="27"/>
  <c r="D39" i="27"/>
  <c r="H22" i="25" l="1"/>
  <c r="P22" i="25"/>
  <c r="G31" i="26"/>
  <c r="H31" i="26" s="1"/>
  <c r="O31" i="26"/>
  <c r="P31" i="26" s="1"/>
  <c r="U28" i="26"/>
  <c r="V28" i="26" s="1"/>
  <c r="G22" i="26"/>
  <c r="H22" i="26" s="1"/>
  <c r="P22" i="26"/>
  <c r="S20" i="26"/>
  <c r="T20" i="26" s="1"/>
  <c r="N16" i="26"/>
  <c r="U5" i="26"/>
  <c r="Q22" i="26"/>
  <c r="R22" i="26" s="1"/>
  <c r="U14" i="26"/>
  <c r="U6" i="26"/>
  <c r="V6" i="26" s="1"/>
  <c r="M48" i="26"/>
  <c r="M11" i="26"/>
  <c r="N11" i="26" s="1"/>
  <c r="U9" i="26"/>
  <c r="V9" i="26" s="1"/>
  <c r="K48" i="26"/>
  <c r="U46" i="26"/>
  <c r="V46" i="26" s="1"/>
  <c r="S46" i="26"/>
  <c r="T46" i="26" s="1"/>
  <c r="E48" i="26"/>
  <c r="U40" i="26"/>
  <c r="V40" i="26" s="1"/>
  <c r="N36" i="26"/>
  <c r="F36" i="26"/>
  <c r="S34" i="26"/>
  <c r="S36" i="26" s="1"/>
  <c r="T36" i="26" s="1"/>
  <c r="P36" i="26"/>
  <c r="H36" i="26"/>
  <c r="S29" i="26"/>
  <c r="T29" i="26" s="1"/>
  <c r="U29" i="26"/>
  <c r="V29" i="26" s="1"/>
  <c r="I31" i="26"/>
  <c r="J31" i="26" s="1"/>
  <c r="S27" i="26"/>
  <c r="T27" i="26" s="1"/>
  <c r="K31" i="26"/>
  <c r="L31" i="26" s="1"/>
  <c r="S26" i="26"/>
  <c r="T26" i="26" s="1"/>
  <c r="U27" i="26"/>
  <c r="V27" i="26" s="1"/>
  <c r="Q31" i="26"/>
  <c r="R31" i="26" s="1"/>
  <c r="E31" i="26"/>
  <c r="F31" i="26" s="1"/>
  <c r="M31" i="26"/>
  <c r="N31" i="26" s="1"/>
  <c r="I22" i="26"/>
  <c r="J22" i="26" s="1"/>
  <c r="K22" i="26"/>
  <c r="L22" i="26" s="1"/>
  <c r="U20" i="26"/>
  <c r="V20" i="26" s="1"/>
  <c r="U19" i="26"/>
  <c r="N22" i="26"/>
  <c r="S8" i="26"/>
  <c r="T8" i="26" s="1"/>
  <c r="K11" i="26"/>
  <c r="L11" i="26" s="1"/>
  <c r="S7" i="26"/>
  <c r="T7" i="26" s="1"/>
  <c r="I11" i="26"/>
  <c r="J11" i="26" s="1"/>
  <c r="Q11" i="26"/>
  <c r="R11" i="26" s="1"/>
  <c r="O11" i="26"/>
  <c r="P11" i="26" s="1"/>
  <c r="V5" i="26"/>
  <c r="V14" i="26"/>
  <c r="U16" i="26"/>
  <c r="V16" i="26" s="1"/>
  <c r="E42" i="26"/>
  <c r="V19" i="26"/>
  <c r="S6" i="26"/>
  <c r="T6" i="26" s="1"/>
  <c r="U8" i="26"/>
  <c r="V8" i="26" s="1"/>
  <c r="S25" i="26"/>
  <c r="S5" i="26"/>
  <c r="U7" i="26"/>
  <c r="V7" i="26" s="1"/>
  <c r="S9" i="26"/>
  <c r="T9" i="26" s="1"/>
  <c r="S14" i="26"/>
  <c r="S19" i="26"/>
  <c r="E22" i="26"/>
  <c r="F22" i="26" s="1"/>
  <c r="U26" i="26"/>
  <c r="V26" i="26" s="1"/>
  <c r="S28" i="26"/>
  <c r="T28" i="26" s="1"/>
  <c r="U34" i="26"/>
  <c r="I39" i="26"/>
  <c r="I42" i="26" s="1"/>
  <c r="Q39" i="26"/>
  <c r="Q42" i="26" s="1"/>
  <c r="S40" i="26"/>
  <c r="T40" i="26" s="1"/>
  <c r="D42" i="26"/>
  <c r="U44" i="26"/>
  <c r="G45" i="26"/>
  <c r="G48" i="26" s="1"/>
  <c r="G11" i="26"/>
  <c r="H11" i="26" s="1"/>
  <c r="E11" i="26"/>
  <c r="F11" i="26" s="1"/>
  <c r="E16" i="26"/>
  <c r="F16" i="26" s="1"/>
  <c r="U25" i="26"/>
  <c r="K39" i="26"/>
  <c r="K42" i="26" s="1"/>
  <c r="I45" i="26"/>
  <c r="I48" i="26" s="1"/>
  <c r="D48" i="26"/>
  <c r="S44" i="26"/>
  <c r="Q48" i="25"/>
  <c r="O48" i="25"/>
  <c r="S46" i="25"/>
  <c r="T46" i="25" s="1"/>
  <c r="S34" i="25"/>
  <c r="S36" i="25" s="1"/>
  <c r="T36" i="25" s="1"/>
  <c r="H36" i="25"/>
  <c r="S29" i="25"/>
  <c r="T29" i="25" s="1"/>
  <c r="U29" i="25"/>
  <c r="V29" i="25" s="1"/>
  <c r="G31" i="25"/>
  <c r="U28" i="25"/>
  <c r="V28" i="25" s="1"/>
  <c r="S27" i="25"/>
  <c r="T27" i="25" s="1"/>
  <c r="O31" i="25"/>
  <c r="P31" i="25" s="1"/>
  <c r="K31" i="25"/>
  <c r="L31" i="25" s="1"/>
  <c r="E31" i="25"/>
  <c r="F31" i="25" s="1"/>
  <c r="M31" i="25"/>
  <c r="N31" i="25" s="1"/>
  <c r="S26" i="25"/>
  <c r="T26" i="25" s="1"/>
  <c r="H31" i="25"/>
  <c r="K22" i="25"/>
  <c r="L22" i="25" s="1"/>
  <c r="I22" i="25"/>
  <c r="J22" i="25" s="1"/>
  <c r="S20" i="25"/>
  <c r="T20" i="25" s="1"/>
  <c r="U20" i="25"/>
  <c r="V20" i="25" s="1"/>
  <c r="U19" i="25"/>
  <c r="V19" i="25" s="1"/>
  <c r="N22" i="25"/>
  <c r="U14" i="25"/>
  <c r="V14" i="25" s="1"/>
  <c r="U9" i="25"/>
  <c r="V9" i="25" s="1"/>
  <c r="S8" i="25"/>
  <c r="T8" i="25" s="1"/>
  <c r="M11" i="25"/>
  <c r="N11" i="25" s="1"/>
  <c r="S7" i="25"/>
  <c r="T7" i="25" s="1"/>
  <c r="Q11" i="25"/>
  <c r="R11" i="25" s="1"/>
  <c r="S6" i="25"/>
  <c r="T6" i="25" s="1"/>
  <c r="I11" i="25"/>
  <c r="J11" i="25" s="1"/>
  <c r="U6" i="25"/>
  <c r="V6" i="25" s="1"/>
  <c r="O11" i="25"/>
  <c r="P11" i="25" s="1"/>
  <c r="P42" i="25"/>
  <c r="U22" i="25"/>
  <c r="V22" i="25" s="1"/>
  <c r="E42" i="25"/>
  <c r="K48" i="25"/>
  <c r="V5" i="25"/>
  <c r="K11" i="25"/>
  <c r="L11" i="25" s="1"/>
  <c r="S5" i="25"/>
  <c r="U7" i="25"/>
  <c r="V7" i="25" s="1"/>
  <c r="S9" i="25"/>
  <c r="T9" i="25" s="1"/>
  <c r="S14" i="25"/>
  <c r="S19" i="25"/>
  <c r="E22" i="25"/>
  <c r="F22" i="25" s="1"/>
  <c r="U26" i="25"/>
  <c r="V26" i="25" s="1"/>
  <c r="S28" i="25"/>
  <c r="T28" i="25" s="1"/>
  <c r="U34" i="25"/>
  <c r="I39" i="25"/>
  <c r="I42" i="25" s="1"/>
  <c r="J42" i="25" s="1"/>
  <c r="Q39" i="25"/>
  <c r="Q42" i="25" s="1"/>
  <c r="S40" i="25"/>
  <c r="T40" i="25" s="1"/>
  <c r="D42" i="25"/>
  <c r="N42" i="25" s="1"/>
  <c r="U44" i="25"/>
  <c r="G45" i="25"/>
  <c r="G48" i="25" s="1"/>
  <c r="H48" i="25" s="1"/>
  <c r="U8" i="25"/>
  <c r="V8" i="25" s="1"/>
  <c r="G11" i="25"/>
  <c r="H11" i="25" s="1"/>
  <c r="S25" i="25"/>
  <c r="U27" i="25"/>
  <c r="V27" i="25" s="1"/>
  <c r="E11" i="25"/>
  <c r="F11" i="25" s="1"/>
  <c r="E16" i="25"/>
  <c r="F16" i="25" s="1"/>
  <c r="U25" i="25"/>
  <c r="K39" i="25"/>
  <c r="K42" i="25" s="1"/>
  <c r="L42" i="25" s="1"/>
  <c r="I45" i="25"/>
  <c r="I48" i="25" s="1"/>
  <c r="D48" i="25"/>
  <c r="F48" i="25" s="1"/>
  <c r="S44" i="25"/>
  <c r="Q46" i="27"/>
  <c r="K46" i="27"/>
  <c r="I46" i="27"/>
  <c r="G46" i="27"/>
  <c r="E46" i="27"/>
  <c r="Q45" i="27"/>
  <c r="D45" i="27"/>
  <c r="Q44" i="27"/>
  <c r="K44" i="27"/>
  <c r="I44" i="27"/>
  <c r="G44" i="27"/>
  <c r="E44" i="27"/>
  <c r="D42" i="27"/>
  <c r="O40" i="27"/>
  <c r="M40" i="27"/>
  <c r="K40" i="27"/>
  <c r="I40" i="27"/>
  <c r="G40" i="27"/>
  <c r="E40" i="27"/>
  <c r="Q39" i="27"/>
  <c r="O39" i="27"/>
  <c r="M39" i="27"/>
  <c r="K39" i="27"/>
  <c r="I39" i="27"/>
  <c r="G39" i="27"/>
  <c r="E39" i="27"/>
  <c r="D36" i="27"/>
  <c r="G36" i="27"/>
  <c r="Q34" i="27"/>
  <c r="O34" i="27"/>
  <c r="M34" i="27"/>
  <c r="K34" i="27"/>
  <c r="I34" i="27"/>
  <c r="E34" i="27"/>
  <c r="Q29" i="27"/>
  <c r="O29" i="27"/>
  <c r="M29" i="27"/>
  <c r="K29" i="27"/>
  <c r="I29" i="27"/>
  <c r="G29" i="27"/>
  <c r="E29" i="27"/>
  <c r="Q28" i="27"/>
  <c r="O28" i="27"/>
  <c r="M28" i="27"/>
  <c r="K28" i="27"/>
  <c r="I28" i="27"/>
  <c r="G28" i="27"/>
  <c r="E28" i="27"/>
  <c r="D31" i="27"/>
  <c r="Q27" i="27"/>
  <c r="O27" i="27"/>
  <c r="M27" i="27"/>
  <c r="K27" i="27"/>
  <c r="I27" i="27"/>
  <c r="G27" i="27"/>
  <c r="E27" i="27"/>
  <c r="Q26" i="27"/>
  <c r="O26" i="27"/>
  <c r="M26" i="27"/>
  <c r="K26" i="27"/>
  <c r="I26" i="27"/>
  <c r="G26" i="27"/>
  <c r="E26" i="27"/>
  <c r="Q25" i="27"/>
  <c r="O25" i="27"/>
  <c r="M25" i="27"/>
  <c r="K25" i="27"/>
  <c r="I25" i="27"/>
  <c r="G25" i="27"/>
  <c r="E25" i="27"/>
  <c r="D22" i="27"/>
  <c r="Q20" i="27"/>
  <c r="O20" i="27"/>
  <c r="M20" i="27"/>
  <c r="K20" i="27"/>
  <c r="I20" i="27"/>
  <c r="G20" i="27"/>
  <c r="E20" i="27"/>
  <c r="Q19" i="27"/>
  <c r="O19" i="27"/>
  <c r="M19" i="27"/>
  <c r="K19" i="27"/>
  <c r="I19" i="27"/>
  <c r="G19" i="27"/>
  <c r="E19" i="27"/>
  <c r="D16" i="27"/>
  <c r="Q14" i="27"/>
  <c r="O14" i="27"/>
  <c r="M14" i="27"/>
  <c r="K14" i="27"/>
  <c r="I14" i="27"/>
  <c r="G14" i="27"/>
  <c r="E14" i="27"/>
  <c r="D11" i="27"/>
  <c r="Q9" i="27"/>
  <c r="O9" i="27"/>
  <c r="M9" i="27"/>
  <c r="K9" i="27"/>
  <c r="I9" i="27"/>
  <c r="G9" i="27"/>
  <c r="E9" i="27"/>
  <c r="Q8" i="27"/>
  <c r="O8" i="27"/>
  <c r="M8" i="27"/>
  <c r="K8" i="27"/>
  <c r="I8" i="27"/>
  <c r="G8" i="27"/>
  <c r="E8" i="27"/>
  <c r="Q7" i="27"/>
  <c r="O7" i="27"/>
  <c r="M7" i="27"/>
  <c r="K7" i="27"/>
  <c r="I7" i="27"/>
  <c r="G7" i="27"/>
  <c r="E7" i="27"/>
  <c r="Q6" i="27"/>
  <c r="O6" i="27"/>
  <c r="M6" i="27"/>
  <c r="K6" i="27"/>
  <c r="I6" i="27"/>
  <c r="G6" i="27"/>
  <c r="E6" i="27"/>
  <c r="Q5" i="27"/>
  <c r="O5" i="27"/>
  <c r="M5" i="27"/>
  <c r="K5" i="27"/>
  <c r="I5" i="27"/>
  <c r="G5" i="27"/>
  <c r="E5" i="27"/>
  <c r="G55" i="5"/>
  <c r="G53" i="5"/>
  <c r="E5" i="5"/>
  <c r="E6" i="5"/>
  <c r="E7" i="5"/>
  <c r="E8" i="5"/>
  <c r="E9" i="5"/>
  <c r="E10" i="5"/>
  <c r="E11" i="5"/>
  <c r="E12" i="5"/>
  <c r="E13" i="5"/>
  <c r="E14" i="5"/>
  <c r="E19" i="5"/>
  <c r="E20" i="5"/>
  <c r="E22" i="5"/>
  <c r="E25" i="5"/>
  <c r="E26" i="5"/>
  <c r="E27" i="5"/>
  <c r="E30" i="5" s="1"/>
  <c r="E28" i="5"/>
  <c r="E33" i="5"/>
  <c r="E34" i="5"/>
  <c r="E35" i="5"/>
  <c r="E36" i="5"/>
  <c r="E37" i="5"/>
  <c r="E38" i="5"/>
  <c r="E39" i="5"/>
  <c r="E40" i="5"/>
  <c r="E41" i="5"/>
  <c r="E42" i="5"/>
  <c r="E47" i="5"/>
  <c r="E50" i="5" s="1"/>
  <c r="E48" i="5"/>
  <c r="E53" i="5"/>
  <c r="E54" i="5"/>
  <c r="E58" i="5" s="1"/>
  <c r="E55" i="5"/>
  <c r="E56" i="5"/>
  <c r="E60" i="5"/>
  <c r="E61" i="5"/>
  <c r="E62" i="5"/>
  <c r="E63" i="5"/>
  <c r="E67" i="5" s="1"/>
  <c r="E64" i="5"/>
  <c r="E65" i="5"/>
  <c r="D62" i="5"/>
  <c r="D38" i="5"/>
  <c r="H48" i="26" l="1"/>
  <c r="T34" i="25"/>
  <c r="E16" i="5"/>
  <c r="T34" i="26"/>
  <c r="F48" i="26"/>
  <c r="P48" i="26"/>
  <c r="L48" i="26"/>
  <c r="J48" i="26"/>
  <c r="D50" i="26"/>
  <c r="R48" i="26"/>
  <c r="L42" i="26"/>
  <c r="U22" i="26"/>
  <c r="V22" i="26" s="1"/>
  <c r="U16" i="25"/>
  <c r="V16" i="25" s="1"/>
  <c r="S45" i="26"/>
  <c r="T45" i="26" s="1"/>
  <c r="U45" i="26"/>
  <c r="V45" i="26" s="1"/>
  <c r="S22" i="26"/>
  <c r="T19" i="26"/>
  <c r="P42" i="26"/>
  <c r="T44" i="26"/>
  <c r="V25" i="26"/>
  <c r="U31" i="26"/>
  <c r="V31" i="26" s="1"/>
  <c r="T14" i="26"/>
  <c r="S16" i="26"/>
  <c r="R42" i="26"/>
  <c r="H42" i="26"/>
  <c r="U39" i="26"/>
  <c r="N48" i="26"/>
  <c r="N42" i="26"/>
  <c r="U36" i="26"/>
  <c r="V36" i="26" s="1"/>
  <c r="V34" i="26"/>
  <c r="T5" i="26"/>
  <c r="S11" i="26"/>
  <c r="F42" i="26"/>
  <c r="S31" i="26"/>
  <c r="T25" i="26"/>
  <c r="V44" i="26"/>
  <c r="J42" i="26"/>
  <c r="S39" i="26"/>
  <c r="U11" i="26"/>
  <c r="U45" i="25"/>
  <c r="V45" i="25" s="1"/>
  <c r="S39" i="25"/>
  <c r="U36" i="25"/>
  <c r="V36" i="25" s="1"/>
  <c r="V34" i="25"/>
  <c r="S22" i="25"/>
  <c r="T19" i="25"/>
  <c r="T5" i="25"/>
  <c r="S11" i="25"/>
  <c r="H42" i="25"/>
  <c r="U11" i="25"/>
  <c r="P48" i="25"/>
  <c r="F42" i="25"/>
  <c r="S45" i="25"/>
  <c r="T45" i="25" s="1"/>
  <c r="S16" i="25"/>
  <c r="T14" i="25"/>
  <c r="L48" i="25"/>
  <c r="N48" i="25"/>
  <c r="U48" i="25"/>
  <c r="V48" i="25" s="1"/>
  <c r="V44" i="25"/>
  <c r="J48" i="25"/>
  <c r="D50" i="25"/>
  <c r="T44" i="25"/>
  <c r="V25" i="25"/>
  <c r="U31" i="25"/>
  <c r="V31" i="25" s="1"/>
  <c r="S31" i="25"/>
  <c r="T25" i="25"/>
  <c r="R42" i="25"/>
  <c r="R48" i="25"/>
  <c r="U39" i="25"/>
  <c r="G16" i="27"/>
  <c r="H16" i="27" s="1"/>
  <c r="O16" i="27"/>
  <c r="P16" i="27" s="1"/>
  <c r="K16" i="27"/>
  <c r="L16" i="27" s="1"/>
  <c r="I16" i="27"/>
  <c r="J16" i="27" s="1"/>
  <c r="Q16" i="27"/>
  <c r="R16" i="27" s="1"/>
  <c r="I22" i="27"/>
  <c r="J22" i="27" s="1"/>
  <c r="M11" i="27"/>
  <c r="N11" i="27" s="1"/>
  <c r="U28" i="27"/>
  <c r="V28" i="27" s="1"/>
  <c r="O36" i="27"/>
  <c r="P36" i="27" s="1"/>
  <c r="Q42" i="27"/>
  <c r="R42" i="27" s="1"/>
  <c r="U19" i="27"/>
  <c r="V19" i="27" s="1"/>
  <c r="I42" i="27"/>
  <c r="J42" i="27" s="1"/>
  <c r="U6" i="27"/>
  <c r="V6" i="27" s="1"/>
  <c r="U25" i="27"/>
  <c r="V25" i="27" s="1"/>
  <c r="S26" i="27"/>
  <c r="T26" i="27" s="1"/>
  <c r="S27" i="27"/>
  <c r="T27" i="27" s="1"/>
  <c r="K42" i="27"/>
  <c r="L42" i="27" s="1"/>
  <c r="Q11" i="27"/>
  <c r="R11" i="27" s="1"/>
  <c r="U8" i="27"/>
  <c r="V8" i="27" s="1"/>
  <c r="Q22" i="27"/>
  <c r="R22" i="27" s="1"/>
  <c r="S20" i="27"/>
  <c r="T20" i="27" s="1"/>
  <c r="M22" i="27"/>
  <c r="N22" i="27" s="1"/>
  <c r="E31" i="27"/>
  <c r="F31" i="27" s="1"/>
  <c r="S29" i="27"/>
  <c r="T29" i="27" s="1"/>
  <c r="I36" i="27"/>
  <c r="J36" i="27" s="1"/>
  <c r="Q36" i="27"/>
  <c r="R36" i="27" s="1"/>
  <c r="K36" i="27"/>
  <c r="L36" i="27" s="1"/>
  <c r="M42" i="27"/>
  <c r="N42" i="27" s="1"/>
  <c r="U40" i="27"/>
  <c r="V40" i="27" s="1"/>
  <c r="O48" i="27"/>
  <c r="I11" i="27"/>
  <c r="J11" i="27" s="1"/>
  <c r="S9" i="27"/>
  <c r="T9" i="27" s="1"/>
  <c r="K11" i="27"/>
  <c r="L11" i="27" s="1"/>
  <c r="M16" i="27"/>
  <c r="N16" i="27" s="1"/>
  <c r="S19" i="27"/>
  <c r="T19" i="27" s="1"/>
  <c r="S25" i="27"/>
  <c r="T25" i="27" s="1"/>
  <c r="G31" i="27"/>
  <c r="H31" i="27" s="1"/>
  <c r="S28" i="27"/>
  <c r="T28" i="27" s="1"/>
  <c r="G42" i="27"/>
  <c r="H42" i="27" s="1"/>
  <c r="O42" i="27"/>
  <c r="P42" i="27" s="1"/>
  <c r="S40" i="27"/>
  <c r="T40" i="27" s="1"/>
  <c r="Q48" i="27"/>
  <c r="S7" i="27"/>
  <c r="T7" i="27" s="1"/>
  <c r="S6" i="27"/>
  <c r="T6" i="27" s="1"/>
  <c r="U27" i="27"/>
  <c r="V27" i="27" s="1"/>
  <c r="M31" i="27"/>
  <c r="N31" i="27" s="1"/>
  <c r="M36" i="27"/>
  <c r="N36" i="27" s="1"/>
  <c r="S5" i="27"/>
  <c r="E16" i="27"/>
  <c r="F16" i="27" s="1"/>
  <c r="S14" i="27"/>
  <c r="E22" i="27"/>
  <c r="F22" i="27" s="1"/>
  <c r="S39" i="27"/>
  <c r="E42" i="27"/>
  <c r="F42" i="27" s="1"/>
  <c r="U39" i="27"/>
  <c r="G45" i="27"/>
  <c r="G48" i="27" s="1"/>
  <c r="D48" i="27"/>
  <c r="D50" i="27" s="1"/>
  <c r="E45" i="27"/>
  <c r="E48" i="27" s="1"/>
  <c r="K45" i="27"/>
  <c r="K48" i="27" s="1"/>
  <c r="I45" i="27"/>
  <c r="I48" i="27" s="1"/>
  <c r="G11" i="27"/>
  <c r="H11" i="27" s="1"/>
  <c r="O11" i="27"/>
  <c r="P11" i="27" s="1"/>
  <c r="E11" i="27"/>
  <c r="F11" i="27" s="1"/>
  <c r="O31" i="27"/>
  <c r="P31" i="27" s="1"/>
  <c r="U44" i="27"/>
  <c r="S8" i="27"/>
  <c r="T8" i="27" s="1"/>
  <c r="U14" i="27"/>
  <c r="K22" i="27"/>
  <c r="L22" i="27" s="1"/>
  <c r="Q31" i="27"/>
  <c r="R31" i="27" s="1"/>
  <c r="U34" i="27"/>
  <c r="G22" i="27"/>
  <c r="H22" i="27" s="1"/>
  <c r="O22" i="27"/>
  <c r="P22" i="27" s="1"/>
  <c r="S46" i="27"/>
  <c r="T46" i="27" s="1"/>
  <c r="U46" i="27"/>
  <c r="V46" i="27" s="1"/>
  <c r="U5" i="27"/>
  <c r="U7" i="27"/>
  <c r="V7" i="27" s="1"/>
  <c r="U9" i="27"/>
  <c r="V9" i="27" s="1"/>
  <c r="U20" i="27"/>
  <c r="V20" i="27" s="1"/>
  <c r="U26" i="27"/>
  <c r="V26" i="27" s="1"/>
  <c r="U29" i="27"/>
  <c r="V29" i="27" s="1"/>
  <c r="E36" i="27"/>
  <c r="F36" i="27" s="1"/>
  <c r="S34" i="27"/>
  <c r="M48" i="27"/>
  <c r="I31" i="27"/>
  <c r="J31" i="27" s="1"/>
  <c r="S44" i="27"/>
  <c r="K31" i="27"/>
  <c r="L31" i="27" s="1"/>
  <c r="E44" i="5"/>
  <c r="S48" i="26" l="1"/>
  <c r="T48" i="26" s="1"/>
  <c r="U48" i="26"/>
  <c r="V48" i="26" s="1"/>
  <c r="S12" i="26"/>
  <c r="T12" i="26" s="1"/>
  <c r="T11" i="26"/>
  <c r="T39" i="26"/>
  <c r="S42" i="26"/>
  <c r="T42" i="26" s="1"/>
  <c r="S17" i="26"/>
  <c r="T17" i="26" s="1"/>
  <c r="T16" i="26"/>
  <c r="T22" i="26"/>
  <c r="S23" i="26"/>
  <c r="T23" i="26" s="1"/>
  <c r="V11" i="26"/>
  <c r="U50" i="26"/>
  <c r="V50" i="26" s="1"/>
  <c r="T31" i="26"/>
  <c r="S32" i="26"/>
  <c r="T32" i="26" s="1"/>
  <c r="U42" i="26"/>
  <c r="V42" i="26" s="1"/>
  <c r="V39" i="26"/>
  <c r="T22" i="25"/>
  <c r="S23" i="25"/>
  <c r="T23" i="25" s="1"/>
  <c r="S12" i="25"/>
  <c r="T12" i="25" s="1"/>
  <c r="T11" i="25"/>
  <c r="U42" i="25"/>
  <c r="V42" i="25" s="1"/>
  <c r="V39" i="25"/>
  <c r="T31" i="25"/>
  <c r="S32" i="25"/>
  <c r="T32" i="25" s="1"/>
  <c r="S48" i="25"/>
  <c r="T48" i="25" s="1"/>
  <c r="T16" i="25"/>
  <c r="S17" i="25"/>
  <c r="T17" i="25" s="1"/>
  <c r="V11" i="25"/>
  <c r="U50" i="25"/>
  <c r="V50" i="25" s="1"/>
  <c r="T39" i="25"/>
  <c r="S42" i="25"/>
  <c r="T42" i="25" s="1"/>
  <c r="N48" i="27"/>
  <c r="J48" i="27"/>
  <c r="L48" i="27"/>
  <c r="H48" i="27"/>
  <c r="F48" i="27"/>
  <c r="P48" i="27"/>
  <c r="R48" i="27"/>
  <c r="S42" i="27"/>
  <c r="T42" i="27" s="1"/>
  <c r="T39" i="27"/>
  <c r="T14" i="27"/>
  <c r="S16" i="27"/>
  <c r="T44" i="27"/>
  <c r="V5" i="27"/>
  <c r="U11" i="27"/>
  <c r="U16" i="27"/>
  <c r="V16" i="27" s="1"/>
  <c r="V14" i="27"/>
  <c r="V44" i="27"/>
  <c r="U45" i="27"/>
  <c r="V45" i="27" s="1"/>
  <c r="S45" i="27"/>
  <c r="T45" i="27" s="1"/>
  <c r="T34" i="27"/>
  <c r="S36" i="27"/>
  <c r="T36" i="27" s="1"/>
  <c r="U36" i="27"/>
  <c r="V36" i="27" s="1"/>
  <c r="V34" i="27"/>
  <c r="V39" i="27"/>
  <c r="U42" i="27"/>
  <c r="V42" i="27" s="1"/>
  <c r="S22" i="27"/>
  <c r="S11" i="27"/>
  <c r="T5" i="27"/>
  <c r="U22" i="27"/>
  <c r="V22" i="27" s="1"/>
  <c r="S50" i="26" l="1"/>
  <c r="H14" i="35" s="1"/>
  <c r="S50" i="25"/>
  <c r="U48" i="27"/>
  <c r="V48" i="27" s="1"/>
  <c r="S31" i="27"/>
  <c r="S48" i="27"/>
  <c r="T48" i="27" s="1"/>
  <c r="T22" i="27"/>
  <c r="S23" i="27"/>
  <c r="T23" i="27" s="1"/>
  <c r="U31" i="27"/>
  <c r="V31" i="27" s="1"/>
  <c r="V11" i="27"/>
  <c r="T16" i="27"/>
  <c r="S17" i="27"/>
  <c r="T17" i="27" s="1"/>
  <c r="T11" i="27"/>
  <c r="S12" i="27"/>
  <c r="T12" i="27" s="1"/>
  <c r="T50" i="25" l="1"/>
  <c r="H35" i="35"/>
  <c r="T50" i="26"/>
  <c r="S51" i="26"/>
  <c r="T51" i="26" s="1"/>
  <c r="S51" i="25"/>
  <c r="T51" i="25" s="1"/>
  <c r="U50" i="27"/>
  <c r="V50" i="27" s="1"/>
  <c r="T31" i="27"/>
  <c r="S32" i="27"/>
  <c r="T32" i="27" s="1"/>
  <c r="S50" i="27"/>
  <c r="I35" i="35" l="1"/>
  <c r="J35" i="35"/>
  <c r="T50" i="27"/>
  <c r="S51" i="27"/>
  <c r="T51" i="27" s="1"/>
  <c r="Q65" i="5" l="1"/>
  <c r="O65" i="5"/>
  <c r="M65" i="5"/>
  <c r="I65" i="5"/>
  <c r="Q64" i="5"/>
  <c r="O64" i="5"/>
  <c r="M64" i="5"/>
  <c r="Q63" i="5"/>
  <c r="O63" i="5"/>
  <c r="M63" i="5"/>
  <c r="Q62" i="5"/>
  <c r="O62" i="5"/>
  <c r="M62" i="5"/>
  <c r="Q61" i="5"/>
  <c r="O61" i="5"/>
  <c r="M61" i="5"/>
  <c r="M60" i="5"/>
  <c r="Q56" i="5"/>
  <c r="O56" i="5"/>
  <c r="M56" i="5"/>
  <c r="Q55" i="5"/>
  <c r="O55" i="5"/>
  <c r="M55" i="5"/>
  <c r="Q54" i="5"/>
  <c r="O54" i="5"/>
  <c r="M54" i="5"/>
  <c r="G54" i="5"/>
  <c r="M53" i="5"/>
  <c r="O53" i="5"/>
  <c r="Q48" i="5"/>
  <c r="O48" i="5"/>
  <c r="G48" i="5"/>
  <c r="Q42" i="5"/>
  <c r="O42" i="5"/>
  <c r="Q40" i="5"/>
  <c r="O40" i="5"/>
  <c r="G40" i="5"/>
  <c r="Q39" i="5"/>
  <c r="Q38" i="5"/>
  <c r="O38" i="5"/>
  <c r="Q37" i="5"/>
  <c r="Q36" i="5"/>
  <c r="O36" i="5"/>
  <c r="O34" i="5"/>
  <c r="Q34" i="5"/>
  <c r="O58" i="5" l="1"/>
  <c r="M67" i="5"/>
  <c r="M58" i="5"/>
  <c r="G65" i="5"/>
  <c r="K65" i="5"/>
  <c r="I61" i="5"/>
  <c r="G62" i="5"/>
  <c r="K53" i="5"/>
  <c r="K54" i="5"/>
  <c r="I53" i="5"/>
  <c r="Q53" i="5"/>
  <c r="Q58" i="5" s="1"/>
  <c r="I54" i="5"/>
  <c r="I48" i="5"/>
  <c r="K48" i="5"/>
  <c r="M48" i="5"/>
  <c r="Q35" i="5"/>
  <c r="K39" i="5"/>
  <c r="M39" i="5"/>
  <c r="I40" i="5"/>
  <c r="G39" i="5"/>
  <c r="O39" i="5"/>
  <c r="K40" i="5"/>
  <c r="I39" i="5"/>
  <c r="M40" i="5"/>
  <c r="K37" i="5"/>
  <c r="M37" i="5"/>
  <c r="G37" i="5"/>
  <c r="O37" i="5"/>
  <c r="I37" i="5"/>
  <c r="I62" i="5" l="1"/>
  <c r="G61" i="5"/>
  <c r="K62" i="5"/>
  <c r="K61" i="5"/>
  <c r="U65" i="5"/>
  <c r="V65" i="5" s="1"/>
  <c r="S65" i="5"/>
  <c r="T65" i="5" s="1"/>
  <c r="S40" i="5"/>
  <c r="T40" i="5" s="1"/>
  <c r="U54" i="5"/>
  <c r="V54" i="5" s="1"/>
  <c r="S54" i="5"/>
  <c r="T54" i="5" s="1"/>
  <c r="U53" i="5"/>
  <c r="S53" i="5"/>
  <c r="S37" i="5"/>
  <c r="T37" i="5" s="1"/>
  <c r="S39" i="5"/>
  <c r="T39" i="5" s="1"/>
  <c r="U48" i="5"/>
  <c r="V48" i="5" s="1"/>
  <c r="S48" i="5"/>
  <c r="T48" i="5" s="1"/>
  <c r="U37" i="5"/>
  <c r="V37" i="5" s="1"/>
  <c r="U39" i="5"/>
  <c r="V39" i="5" s="1"/>
  <c r="U40" i="5"/>
  <c r="V40" i="5" s="1"/>
  <c r="G35" i="5"/>
  <c r="K35" i="5"/>
  <c r="I35" i="5"/>
  <c r="K36" i="5"/>
  <c r="O35" i="5"/>
  <c r="M35" i="5"/>
  <c r="M36" i="5"/>
  <c r="I36" i="5"/>
  <c r="G36" i="5"/>
  <c r="U61" i="5" l="1"/>
  <c r="V61" i="5" s="1"/>
  <c r="S62" i="5"/>
  <c r="T62" i="5" s="1"/>
  <c r="U62" i="5"/>
  <c r="V62" i="5" s="1"/>
  <c r="S61" i="5"/>
  <c r="T61" i="5" s="1"/>
  <c r="V53" i="5"/>
  <c r="T53" i="5"/>
  <c r="S35" i="5"/>
  <c r="T35" i="5" s="1"/>
  <c r="S36" i="5"/>
  <c r="T36" i="5" s="1"/>
  <c r="U35" i="5"/>
  <c r="V35" i="5" s="1"/>
  <c r="U36" i="5"/>
  <c r="V36" i="5" s="1"/>
  <c r="G2" i="24"/>
  <c r="L96" i="37"/>
  <c r="L94" i="37"/>
  <c r="Q49" i="37"/>
  <c r="Q47" i="37"/>
  <c r="Q46" i="37"/>
  <c r="Q45" i="37"/>
  <c r="Q44" i="37"/>
  <c r="Q43" i="37"/>
  <c r="Q42" i="37"/>
  <c r="Q40" i="37"/>
  <c r="Q39" i="37"/>
  <c r="Q37" i="37"/>
  <c r="Q36" i="37"/>
  <c r="Q33" i="37"/>
  <c r="Q32" i="37"/>
  <c r="Q30" i="37"/>
  <c r="Q29" i="37"/>
  <c r="Q26" i="37"/>
  <c r="Q19" i="37"/>
  <c r="Q18" i="37"/>
  <c r="L79" i="37" s="1"/>
  <c r="Q17" i="37"/>
  <c r="Q15" i="37"/>
  <c r="Q13" i="37"/>
  <c r="Q8" i="37"/>
  <c r="L89" i="37"/>
  <c r="L87" i="37"/>
  <c r="L82" i="37"/>
  <c r="L80" i="37"/>
  <c r="L75" i="37"/>
  <c r="L73" i="37"/>
  <c r="L66" i="37"/>
  <c r="L68" i="37"/>
  <c r="N16" i="37"/>
  <c r="N27" i="37"/>
  <c r="S62" i="37"/>
  <c r="S64" i="37" s="1"/>
  <c r="S63" i="37"/>
  <c r="N35" i="37"/>
  <c r="L86" i="37" l="1"/>
  <c r="L88" i="37"/>
  <c r="L90" i="37" s="1"/>
  <c r="L81" i="37"/>
  <c r="L83" i="37" s="1"/>
  <c r="N23" i="37" l="1"/>
  <c r="N24" i="37"/>
  <c r="N25" i="37"/>
  <c r="N22" i="37"/>
  <c r="S49" i="37" l="1"/>
  <c r="S48" i="37" s="1"/>
  <c r="P49" i="37"/>
  <c r="P48" i="37" s="1"/>
  <c r="O49" i="37"/>
  <c r="M49" i="37"/>
  <c r="M48" i="37" s="1"/>
  <c r="L49" i="37"/>
  <c r="J49" i="37"/>
  <c r="I49" i="37"/>
  <c r="G49" i="37"/>
  <c r="J48" i="37"/>
  <c r="G48" i="37"/>
  <c r="S47" i="37"/>
  <c r="P47" i="37"/>
  <c r="O47" i="37"/>
  <c r="M47" i="37"/>
  <c r="L47" i="37"/>
  <c r="J47" i="37"/>
  <c r="I47" i="37"/>
  <c r="G47" i="37"/>
  <c r="S46" i="37"/>
  <c r="P46" i="37"/>
  <c r="O46" i="37"/>
  <c r="M46" i="37"/>
  <c r="L46" i="37"/>
  <c r="J46" i="37"/>
  <c r="I46" i="37"/>
  <c r="G46" i="37"/>
  <c r="R45" i="37"/>
  <c r="P45" i="37"/>
  <c r="M45" i="37"/>
  <c r="L45" i="37"/>
  <c r="J45" i="37"/>
  <c r="I45" i="37"/>
  <c r="E45" i="37"/>
  <c r="O45" i="37" s="1"/>
  <c r="S44" i="37"/>
  <c r="P44" i="37"/>
  <c r="O44" i="37"/>
  <c r="M44" i="37"/>
  <c r="M41" i="37" s="1"/>
  <c r="L44" i="37"/>
  <c r="J44" i="37"/>
  <c r="J41" i="37" s="1"/>
  <c r="I44" i="37"/>
  <c r="G44" i="37"/>
  <c r="R43" i="37"/>
  <c r="P43" i="37"/>
  <c r="O43" i="37"/>
  <c r="M43" i="37"/>
  <c r="L43" i="37"/>
  <c r="J43" i="37"/>
  <c r="I43" i="37"/>
  <c r="G43" i="37"/>
  <c r="S42" i="37"/>
  <c r="P42" i="37"/>
  <c r="P41" i="37" s="1"/>
  <c r="O42" i="37"/>
  <c r="M42" i="37"/>
  <c r="L42" i="37"/>
  <c r="J42" i="37"/>
  <c r="I42" i="37"/>
  <c r="G42" i="37"/>
  <c r="R40" i="37"/>
  <c r="P40" i="37"/>
  <c r="O40" i="37"/>
  <c r="M40" i="37"/>
  <c r="L40" i="37"/>
  <c r="J40" i="37"/>
  <c r="I40" i="37"/>
  <c r="G40" i="37"/>
  <c r="S39" i="37"/>
  <c r="R39" i="37"/>
  <c r="P39" i="37"/>
  <c r="P38" i="37" s="1"/>
  <c r="O39" i="37"/>
  <c r="M39" i="37"/>
  <c r="M38" i="37" s="1"/>
  <c r="L39" i="37"/>
  <c r="J39" i="37"/>
  <c r="J38" i="37" s="1"/>
  <c r="I39" i="37"/>
  <c r="G39" i="37"/>
  <c r="G38" i="37" s="1"/>
  <c r="S37" i="37"/>
  <c r="R37" i="37"/>
  <c r="P37" i="37"/>
  <c r="O37" i="37"/>
  <c r="M37" i="37"/>
  <c r="L37" i="37"/>
  <c r="J37" i="37"/>
  <c r="I37" i="37"/>
  <c r="G37" i="37"/>
  <c r="G34" i="37" s="1"/>
  <c r="S36" i="37"/>
  <c r="R36" i="37"/>
  <c r="P36" i="37"/>
  <c r="O36" i="37"/>
  <c r="M36" i="37"/>
  <c r="L36" i="37"/>
  <c r="J36" i="37"/>
  <c r="J34" i="37" s="1"/>
  <c r="I36" i="37"/>
  <c r="G36" i="37"/>
  <c r="P35" i="37"/>
  <c r="P34" i="37" s="1"/>
  <c r="J35" i="37"/>
  <c r="I35" i="37"/>
  <c r="G35" i="37"/>
  <c r="S33" i="37"/>
  <c r="P33" i="37"/>
  <c r="O33" i="37"/>
  <c r="M33" i="37"/>
  <c r="L33" i="37"/>
  <c r="J33" i="37"/>
  <c r="I33" i="37"/>
  <c r="G33" i="37"/>
  <c r="S32" i="37"/>
  <c r="S31" i="37" s="1"/>
  <c r="P32" i="37"/>
  <c r="O32" i="37"/>
  <c r="M32" i="37"/>
  <c r="L32" i="37"/>
  <c r="J32" i="37"/>
  <c r="J31" i="37" s="1"/>
  <c r="I32" i="37"/>
  <c r="G32" i="37"/>
  <c r="G31" i="37" s="1"/>
  <c r="P31" i="37"/>
  <c r="M31" i="37"/>
  <c r="S30" i="37"/>
  <c r="P30" i="37"/>
  <c r="O30" i="37"/>
  <c r="M30" i="37"/>
  <c r="L30" i="37"/>
  <c r="J30" i="37"/>
  <c r="I30" i="37"/>
  <c r="G30" i="37"/>
  <c r="G28" i="37" s="1"/>
  <c r="S29" i="37"/>
  <c r="P29" i="37"/>
  <c r="P28" i="37" s="1"/>
  <c r="O29" i="37"/>
  <c r="M29" i="37"/>
  <c r="L29" i="37"/>
  <c r="J29" i="37"/>
  <c r="I29" i="37"/>
  <c r="G29" i="37"/>
  <c r="M28" i="37"/>
  <c r="J28" i="37"/>
  <c r="O27" i="37"/>
  <c r="J27" i="37"/>
  <c r="I27" i="37"/>
  <c r="G27" i="37"/>
  <c r="S26" i="37"/>
  <c r="P26" i="37"/>
  <c r="O26" i="37"/>
  <c r="M26" i="37"/>
  <c r="L26" i="37"/>
  <c r="J26" i="37"/>
  <c r="I26" i="37"/>
  <c r="G26" i="37"/>
  <c r="P25" i="37"/>
  <c r="J25" i="37"/>
  <c r="I25" i="37"/>
  <c r="G25" i="37"/>
  <c r="G21" i="37" s="1"/>
  <c r="P24" i="37"/>
  <c r="J24" i="37"/>
  <c r="I24" i="37"/>
  <c r="G24" i="37"/>
  <c r="J23" i="37"/>
  <c r="I23" i="37"/>
  <c r="G23" i="37"/>
  <c r="P22" i="37"/>
  <c r="J22" i="37"/>
  <c r="J21" i="37" s="1"/>
  <c r="J20" i="37" s="1"/>
  <c r="I22" i="37"/>
  <c r="G22" i="37"/>
  <c r="R19" i="37"/>
  <c r="P19" i="37"/>
  <c r="O19" i="37"/>
  <c r="M19" i="37"/>
  <c r="L19" i="37"/>
  <c r="J19" i="37"/>
  <c r="I19" i="37"/>
  <c r="G19" i="37"/>
  <c r="S18" i="37"/>
  <c r="R18" i="37"/>
  <c r="P18" i="37"/>
  <c r="O18" i="37"/>
  <c r="M18" i="37"/>
  <c r="L18" i="37"/>
  <c r="J18" i="37"/>
  <c r="I18" i="37"/>
  <c r="G18" i="37"/>
  <c r="S17" i="37"/>
  <c r="R17" i="37"/>
  <c r="P17" i="37"/>
  <c r="O17" i="37"/>
  <c r="M17" i="37"/>
  <c r="L17" i="37"/>
  <c r="J17" i="37"/>
  <c r="I17" i="37"/>
  <c r="G17" i="37"/>
  <c r="P16" i="37"/>
  <c r="K16" i="37"/>
  <c r="J16" i="37"/>
  <c r="E16" i="37"/>
  <c r="I16" i="37" s="1"/>
  <c r="S15" i="37"/>
  <c r="P15" i="37"/>
  <c r="O15" i="37"/>
  <c r="M15" i="37"/>
  <c r="L15" i="37"/>
  <c r="J15" i="37"/>
  <c r="J14" i="37" s="1"/>
  <c r="I15" i="37"/>
  <c r="G15" i="37"/>
  <c r="P13" i="37"/>
  <c r="O13" i="37"/>
  <c r="K13" i="37"/>
  <c r="L13" i="37" s="1"/>
  <c r="J13" i="37"/>
  <c r="J10" i="37" s="1"/>
  <c r="J9" i="37" s="1"/>
  <c r="I13" i="37"/>
  <c r="G13" i="37"/>
  <c r="G10" i="37" s="1"/>
  <c r="J12" i="37"/>
  <c r="I12" i="37"/>
  <c r="G12" i="37"/>
  <c r="J11" i="37"/>
  <c r="I11" i="37"/>
  <c r="G11" i="37"/>
  <c r="R8" i="37"/>
  <c r="P8" i="37"/>
  <c r="O8" i="37"/>
  <c r="M8" i="37"/>
  <c r="L8" i="37"/>
  <c r="J8" i="37"/>
  <c r="I8" i="37"/>
  <c r="G8" i="37"/>
  <c r="G6" i="37" s="1"/>
  <c r="Q7" i="37"/>
  <c r="R7" i="37" s="1"/>
  <c r="P7" i="37"/>
  <c r="P6" i="37" s="1"/>
  <c r="O7" i="37"/>
  <c r="M7" i="37"/>
  <c r="L7" i="37"/>
  <c r="J7" i="37"/>
  <c r="I7" i="37"/>
  <c r="G7" i="37"/>
  <c r="M6" i="37"/>
  <c r="J6" i="37"/>
  <c r="P49" i="36"/>
  <c r="P43" i="36"/>
  <c r="P44" i="36"/>
  <c r="P45" i="36"/>
  <c r="P46" i="36"/>
  <c r="P47" i="36"/>
  <c r="P42" i="36"/>
  <c r="P40" i="36"/>
  <c r="P39" i="36"/>
  <c r="P37" i="36"/>
  <c r="P36" i="36"/>
  <c r="P33" i="36"/>
  <c r="P32" i="36"/>
  <c r="P30" i="36"/>
  <c r="P29" i="36"/>
  <c r="P26" i="36"/>
  <c r="P17" i="36"/>
  <c r="P18" i="36"/>
  <c r="P19" i="36"/>
  <c r="P15" i="36"/>
  <c r="P13" i="36"/>
  <c r="P7" i="36"/>
  <c r="P8" i="36"/>
  <c r="O8" i="36"/>
  <c r="Q49" i="36"/>
  <c r="Q43" i="36"/>
  <c r="Q44" i="36"/>
  <c r="Q45" i="36"/>
  <c r="Q46" i="36"/>
  <c r="Q47" i="36"/>
  <c r="Q42" i="36"/>
  <c r="Q40" i="36"/>
  <c r="R40" i="36" s="1"/>
  <c r="Q39" i="36"/>
  <c r="Q36" i="36"/>
  <c r="Q37" i="36"/>
  <c r="Q33" i="36"/>
  <c r="Q32" i="36"/>
  <c r="S32" i="36" s="1"/>
  <c r="Q30" i="36"/>
  <c r="Q29" i="36"/>
  <c r="S29" i="36" s="1"/>
  <c r="Q26" i="36"/>
  <c r="Q17" i="36"/>
  <c r="Q18" i="36"/>
  <c r="Q19" i="36"/>
  <c r="Q15" i="36"/>
  <c r="S15" i="36" s="1"/>
  <c r="Q13" i="36"/>
  <c r="Q8" i="36"/>
  <c r="R8" i="36" s="1"/>
  <c r="Q7" i="36"/>
  <c r="O49" i="36"/>
  <c r="O43" i="36"/>
  <c r="O44" i="36"/>
  <c r="O45" i="36"/>
  <c r="O46" i="36"/>
  <c r="O47" i="36"/>
  <c r="O42" i="36"/>
  <c r="O40" i="36"/>
  <c r="O39" i="36"/>
  <c r="O36" i="36"/>
  <c r="O37" i="36"/>
  <c r="O33" i="36"/>
  <c r="O32" i="36"/>
  <c r="O30" i="36"/>
  <c r="O29" i="36"/>
  <c r="O26" i="36"/>
  <c r="O17" i="36"/>
  <c r="O18" i="36"/>
  <c r="O19" i="36"/>
  <c r="O15" i="36"/>
  <c r="O13" i="36"/>
  <c r="O7" i="36"/>
  <c r="N35" i="36"/>
  <c r="O35" i="36" s="1"/>
  <c r="N27" i="36"/>
  <c r="O27" i="36" s="1"/>
  <c r="N25" i="36"/>
  <c r="P25" i="36" s="1"/>
  <c r="N24" i="36"/>
  <c r="P24" i="36" s="1"/>
  <c r="N23" i="36"/>
  <c r="P23" i="36" s="1"/>
  <c r="N22" i="36"/>
  <c r="O22" i="36" s="1"/>
  <c r="N16" i="36"/>
  <c r="P16" i="36" s="1"/>
  <c r="N12" i="36"/>
  <c r="O12" i="36" s="1"/>
  <c r="N11" i="36"/>
  <c r="O11" i="36" s="1"/>
  <c r="D15" i="34"/>
  <c r="H23" i="34"/>
  <c r="H25" i="34"/>
  <c r="L15" i="34"/>
  <c r="L13" i="34"/>
  <c r="L11" i="34"/>
  <c r="K13" i="36"/>
  <c r="M13" i="36" s="1"/>
  <c r="M49" i="36"/>
  <c r="M48" i="36" s="1"/>
  <c r="M43" i="36"/>
  <c r="M44" i="36"/>
  <c r="M45" i="36"/>
  <c r="M46" i="36"/>
  <c r="M47" i="36"/>
  <c r="M42" i="36"/>
  <c r="M40" i="36"/>
  <c r="M39" i="36"/>
  <c r="M36" i="36"/>
  <c r="M37" i="36"/>
  <c r="M33" i="36"/>
  <c r="M32" i="36"/>
  <c r="M30" i="36"/>
  <c r="M29" i="36"/>
  <c r="M26" i="36"/>
  <c r="M17" i="36"/>
  <c r="M18" i="36"/>
  <c r="M19" i="36"/>
  <c r="M15" i="36"/>
  <c r="M8" i="36"/>
  <c r="M7" i="36"/>
  <c r="R29" i="36"/>
  <c r="R30" i="36"/>
  <c r="R33" i="36"/>
  <c r="S17" i="36"/>
  <c r="S18" i="36"/>
  <c r="R19" i="36"/>
  <c r="S26" i="36"/>
  <c r="S30" i="36"/>
  <c r="S33" i="36"/>
  <c r="S36" i="36"/>
  <c r="R37" i="36"/>
  <c r="R39" i="36"/>
  <c r="S42" i="36"/>
  <c r="R43" i="36"/>
  <c r="S44" i="36"/>
  <c r="S45" i="36"/>
  <c r="S46" i="36"/>
  <c r="R47" i="36"/>
  <c r="R49" i="36"/>
  <c r="S7" i="36"/>
  <c r="L8" i="36"/>
  <c r="L15" i="36"/>
  <c r="L17" i="36"/>
  <c r="L18" i="36"/>
  <c r="L19" i="36"/>
  <c r="L26" i="36"/>
  <c r="L29" i="36"/>
  <c r="L30" i="36"/>
  <c r="L32" i="36"/>
  <c r="L33" i="36"/>
  <c r="L36" i="36"/>
  <c r="L37" i="36"/>
  <c r="L39" i="36"/>
  <c r="L40" i="36"/>
  <c r="L42" i="36"/>
  <c r="L43" i="36"/>
  <c r="L44" i="36"/>
  <c r="L46" i="36"/>
  <c r="L47" i="36"/>
  <c r="L49" i="36"/>
  <c r="L7" i="36"/>
  <c r="J49" i="36"/>
  <c r="J48" i="36" s="1"/>
  <c r="I49" i="36"/>
  <c r="P48" i="36" s="1"/>
  <c r="G49" i="36"/>
  <c r="G48" i="36"/>
  <c r="J47" i="36"/>
  <c r="I47" i="36"/>
  <c r="G47" i="36"/>
  <c r="J46" i="36"/>
  <c r="I46" i="36"/>
  <c r="G46" i="36"/>
  <c r="J45" i="36"/>
  <c r="E45" i="36"/>
  <c r="I45" i="36" s="1"/>
  <c r="J44" i="36"/>
  <c r="I44" i="36"/>
  <c r="G44" i="36"/>
  <c r="J43" i="36"/>
  <c r="I43" i="36"/>
  <c r="G43" i="36"/>
  <c r="J42" i="36"/>
  <c r="I42" i="36"/>
  <c r="G42" i="36"/>
  <c r="J40" i="36"/>
  <c r="I40" i="36"/>
  <c r="G40" i="36"/>
  <c r="J39" i="36"/>
  <c r="I39" i="36"/>
  <c r="P38" i="36" s="1"/>
  <c r="G39" i="36"/>
  <c r="G38" i="36" s="1"/>
  <c r="J37" i="36"/>
  <c r="I37" i="36"/>
  <c r="G37" i="36"/>
  <c r="J36" i="36"/>
  <c r="I36" i="36"/>
  <c r="G36" i="36"/>
  <c r="J35" i="36"/>
  <c r="I35" i="36"/>
  <c r="G35" i="36"/>
  <c r="J33" i="36"/>
  <c r="I33" i="36"/>
  <c r="G33" i="36"/>
  <c r="J32" i="36"/>
  <c r="I32" i="36"/>
  <c r="G32" i="36"/>
  <c r="J30" i="36"/>
  <c r="I30" i="36"/>
  <c r="G30" i="36"/>
  <c r="J29" i="36"/>
  <c r="I29" i="36"/>
  <c r="G29" i="36"/>
  <c r="G28" i="36" s="1"/>
  <c r="J27" i="36"/>
  <c r="I27" i="36"/>
  <c r="G27" i="36"/>
  <c r="J26" i="36"/>
  <c r="I26" i="36"/>
  <c r="G26" i="36"/>
  <c r="J25" i="36"/>
  <c r="I25" i="36"/>
  <c r="G25" i="36"/>
  <c r="J24" i="36"/>
  <c r="I24" i="36"/>
  <c r="G24" i="36"/>
  <c r="J23" i="36"/>
  <c r="I23" i="36"/>
  <c r="G23" i="36"/>
  <c r="J22" i="36"/>
  <c r="I22" i="36"/>
  <c r="G22" i="36"/>
  <c r="J19" i="36"/>
  <c r="I19" i="36"/>
  <c r="G19" i="36"/>
  <c r="J18" i="36"/>
  <c r="I18" i="36"/>
  <c r="G18" i="36"/>
  <c r="J17" i="36"/>
  <c r="I17" i="36"/>
  <c r="G17" i="36"/>
  <c r="J16" i="36"/>
  <c r="E16" i="36"/>
  <c r="I16" i="36" s="1"/>
  <c r="J15" i="36"/>
  <c r="I15" i="36"/>
  <c r="G15" i="36"/>
  <c r="J13" i="36"/>
  <c r="I13" i="36"/>
  <c r="G13" i="36"/>
  <c r="J12" i="36"/>
  <c r="I12" i="36"/>
  <c r="G12" i="36"/>
  <c r="J11" i="36"/>
  <c r="I11" i="36"/>
  <c r="G11" i="36"/>
  <c r="J8" i="36"/>
  <c r="I8" i="36"/>
  <c r="G8" i="36"/>
  <c r="J7" i="36"/>
  <c r="I7" i="36"/>
  <c r="G7" i="36"/>
  <c r="J47" i="35"/>
  <c r="J46" i="35" s="1"/>
  <c r="I47" i="35"/>
  <c r="G47" i="35"/>
  <c r="G46" i="35" s="1"/>
  <c r="J45" i="35"/>
  <c r="I45" i="35"/>
  <c r="G45" i="35"/>
  <c r="J44" i="35"/>
  <c r="I44" i="35"/>
  <c r="G44" i="35"/>
  <c r="J43" i="35"/>
  <c r="E43" i="35"/>
  <c r="G43" i="35" s="1"/>
  <c r="J42" i="35"/>
  <c r="I42" i="35"/>
  <c r="G42" i="35"/>
  <c r="J41" i="35"/>
  <c r="I41" i="35"/>
  <c r="G41" i="35"/>
  <c r="J40" i="35"/>
  <c r="I40" i="35"/>
  <c r="G40" i="35"/>
  <c r="J38" i="35"/>
  <c r="I38" i="35"/>
  <c r="G38" i="35"/>
  <c r="J37" i="35"/>
  <c r="I37" i="35"/>
  <c r="G37" i="35"/>
  <c r="G34" i="35"/>
  <c r="J34" i="35"/>
  <c r="J33" i="35"/>
  <c r="I33" i="35"/>
  <c r="G33" i="35"/>
  <c r="G32" i="35" s="1"/>
  <c r="J31" i="35"/>
  <c r="I31" i="35"/>
  <c r="G31" i="35"/>
  <c r="J28" i="35"/>
  <c r="I28" i="35"/>
  <c r="G28" i="35"/>
  <c r="J26" i="35"/>
  <c r="I26" i="35"/>
  <c r="G26" i="35"/>
  <c r="J25" i="35"/>
  <c r="I25" i="35"/>
  <c r="G25" i="35"/>
  <c r="J24" i="35"/>
  <c r="I24" i="35"/>
  <c r="G24" i="35"/>
  <c r="J23" i="35"/>
  <c r="I23" i="35"/>
  <c r="G23" i="35"/>
  <c r="J22" i="35"/>
  <c r="I22" i="35"/>
  <c r="G22" i="35"/>
  <c r="J21" i="35"/>
  <c r="I21" i="35"/>
  <c r="G21" i="35"/>
  <c r="J17" i="35"/>
  <c r="I17" i="35"/>
  <c r="G17" i="35"/>
  <c r="J16" i="35"/>
  <c r="I16" i="35"/>
  <c r="G16" i="35"/>
  <c r="J15" i="35"/>
  <c r="I15" i="35"/>
  <c r="G15" i="35"/>
  <c r="J14" i="35"/>
  <c r="E14" i="35"/>
  <c r="I14" i="35" s="1"/>
  <c r="J13" i="35"/>
  <c r="I13" i="35"/>
  <c r="G13" i="35"/>
  <c r="J11" i="35"/>
  <c r="I11" i="35"/>
  <c r="G11" i="35"/>
  <c r="J8" i="35"/>
  <c r="I8" i="35"/>
  <c r="G8" i="35"/>
  <c r="J7" i="35"/>
  <c r="I7" i="35"/>
  <c r="G7" i="35"/>
  <c r="G36" i="35" l="1"/>
  <c r="G27" i="35"/>
  <c r="J32" i="35"/>
  <c r="J36" i="35"/>
  <c r="J6" i="35"/>
  <c r="G20" i="35"/>
  <c r="G10" i="35"/>
  <c r="J10" i="35"/>
  <c r="J12" i="35"/>
  <c r="J20" i="35"/>
  <c r="J19" i="35" s="1"/>
  <c r="J27" i="35"/>
  <c r="J39" i="35"/>
  <c r="O16" i="36"/>
  <c r="L16" i="37"/>
  <c r="Q16" i="37"/>
  <c r="L72" i="37" s="1"/>
  <c r="L74" i="37" s="1"/>
  <c r="L76" i="37" s="1"/>
  <c r="O25" i="36"/>
  <c r="G6" i="35"/>
  <c r="M16" i="37"/>
  <c r="M14" i="37" s="1"/>
  <c r="O24" i="36"/>
  <c r="O23" i="36"/>
  <c r="P27" i="37"/>
  <c r="P22" i="36"/>
  <c r="P27" i="36"/>
  <c r="O25" i="37"/>
  <c r="P35" i="36"/>
  <c r="P34" i="36" s="1"/>
  <c r="J50" i="37"/>
  <c r="G14" i="37"/>
  <c r="G9" i="37"/>
  <c r="G50" i="37"/>
  <c r="P14" i="37"/>
  <c r="G20" i="37"/>
  <c r="S28" i="37"/>
  <c r="G41" i="37"/>
  <c r="R42" i="37"/>
  <c r="S45" i="37"/>
  <c r="S19" i="37"/>
  <c r="S40" i="37"/>
  <c r="S38" i="37" s="1"/>
  <c r="R49" i="37"/>
  <c r="M13" i="37"/>
  <c r="R33" i="37"/>
  <c r="R47" i="37"/>
  <c r="O22" i="37"/>
  <c r="R44" i="37"/>
  <c r="R26" i="37"/>
  <c r="R15" i="37"/>
  <c r="G45" i="37"/>
  <c r="P23" i="37"/>
  <c r="O16" i="37"/>
  <c r="S7" i="37"/>
  <c r="O35" i="37"/>
  <c r="R46" i="37"/>
  <c r="R30" i="37"/>
  <c r="S8" i="37"/>
  <c r="S43" i="37"/>
  <c r="O24" i="37"/>
  <c r="O23" i="37"/>
  <c r="R29" i="37"/>
  <c r="G16" i="37"/>
  <c r="R32" i="37"/>
  <c r="P11" i="36"/>
  <c r="P12" i="36"/>
  <c r="P28" i="36"/>
  <c r="S8" i="36"/>
  <c r="S6" i="36" s="1"/>
  <c r="S40" i="36"/>
  <c r="R26" i="36"/>
  <c r="S47" i="36"/>
  <c r="P6" i="36"/>
  <c r="P31" i="36"/>
  <c r="R18" i="36"/>
  <c r="P41" i="36"/>
  <c r="P14" i="36"/>
  <c r="P21" i="36"/>
  <c r="S19" i="36"/>
  <c r="S37" i="36"/>
  <c r="S43" i="36"/>
  <c r="S49" i="36"/>
  <c r="S48" i="36" s="1"/>
  <c r="R44" i="36"/>
  <c r="R42" i="36"/>
  <c r="S28" i="36"/>
  <c r="J31" i="36"/>
  <c r="R36" i="36"/>
  <c r="R7" i="36"/>
  <c r="S39" i="36"/>
  <c r="G34" i="36"/>
  <c r="R17" i="36"/>
  <c r="R46" i="36"/>
  <c r="R15" i="36"/>
  <c r="R45" i="36"/>
  <c r="G31" i="36"/>
  <c r="R32" i="36"/>
  <c r="L13" i="36"/>
  <c r="S38" i="36"/>
  <c r="S31" i="36"/>
  <c r="M28" i="36"/>
  <c r="J38" i="36"/>
  <c r="G10" i="36"/>
  <c r="L45" i="36"/>
  <c r="M6" i="36"/>
  <c r="J6" i="36"/>
  <c r="M31" i="36"/>
  <c r="M38" i="36"/>
  <c r="M41" i="36"/>
  <c r="G6" i="36"/>
  <c r="J34" i="36"/>
  <c r="J41" i="36"/>
  <c r="J28" i="36"/>
  <c r="J21" i="36"/>
  <c r="G21" i="36"/>
  <c r="G20" i="36" s="1"/>
  <c r="J10" i="36"/>
  <c r="J14" i="36"/>
  <c r="G16" i="36"/>
  <c r="G14" i="36" s="1"/>
  <c r="G45" i="36"/>
  <c r="G41" i="36" s="1"/>
  <c r="G39" i="35"/>
  <c r="I43" i="35"/>
  <c r="G14" i="35"/>
  <c r="G12" i="35" s="1"/>
  <c r="J9" i="35" l="1"/>
  <c r="J48" i="35" s="1"/>
  <c r="G9" i="35"/>
  <c r="G19" i="35"/>
  <c r="S41" i="37"/>
  <c r="P21" i="37"/>
  <c r="P20" i="37" s="1"/>
  <c r="S16" i="37"/>
  <c r="S14" i="37" s="1"/>
  <c r="R16" i="37"/>
  <c r="G51" i="37"/>
  <c r="G54" i="37" s="1"/>
  <c r="G56" i="37" s="1"/>
  <c r="E62" i="37" s="1"/>
  <c r="E63" i="37" s="1"/>
  <c r="G52" i="37"/>
  <c r="G53" i="37"/>
  <c r="G55" i="37" s="1"/>
  <c r="S13" i="37"/>
  <c r="R13" i="37"/>
  <c r="S6" i="37"/>
  <c r="J51" i="37"/>
  <c r="J54" i="37" s="1"/>
  <c r="J52" i="37"/>
  <c r="J53" i="37"/>
  <c r="J55" i="37" s="1"/>
  <c r="P20" i="36"/>
  <c r="J20" i="36"/>
  <c r="P10" i="36"/>
  <c r="P9" i="36" s="1"/>
  <c r="S41" i="36"/>
  <c r="G9" i="36"/>
  <c r="K16" i="36"/>
  <c r="Q16" i="36" s="1"/>
  <c r="R13" i="36"/>
  <c r="S13" i="36"/>
  <c r="J9" i="36"/>
  <c r="J50" i="36" s="1"/>
  <c r="G50" i="36"/>
  <c r="J53" i="36"/>
  <c r="J55" i="36" s="1"/>
  <c r="J52" i="36"/>
  <c r="J51" i="36"/>
  <c r="E13" i="34" l="1"/>
  <c r="P50" i="36"/>
  <c r="P53" i="36" s="1"/>
  <c r="P55" i="36" s="1"/>
  <c r="J57" i="37"/>
  <c r="J56" i="37"/>
  <c r="J54" i="36"/>
  <c r="M16" i="36"/>
  <c r="M14" i="36" s="1"/>
  <c r="L16" i="36"/>
  <c r="J56" i="36"/>
  <c r="J57" i="36"/>
  <c r="G53" i="36"/>
  <c r="G55" i="36" s="1"/>
  <c r="G52" i="36"/>
  <c r="G51" i="36"/>
  <c r="E56" i="35" l="1"/>
  <c r="E57" i="35" s="1"/>
  <c r="P51" i="36"/>
  <c r="P52" i="36"/>
  <c r="J58" i="37"/>
  <c r="E64" i="37" s="1"/>
  <c r="E66" i="37"/>
  <c r="E67" i="37" s="1"/>
  <c r="J59" i="37"/>
  <c r="G54" i="36"/>
  <c r="G56" i="36" s="1"/>
  <c r="E62" i="36" s="1"/>
  <c r="E63" i="36" s="1"/>
  <c r="S16" i="36"/>
  <c r="S14" i="36" s="1"/>
  <c r="R16" i="36"/>
  <c r="E66" i="36"/>
  <c r="J58" i="36"/>
  <c r="E64" i="36" s="1"/>
  <c r="J59" i="36"/>
  <c r="P54" i="36" l="1"/>
  <c r="P56" i="36" s="1"/>
  <c r="D64" i="37"/>
  <c r="E65" i="37"/>
  <c r="J60" i="37"/>
  <c r="E67" i="36"/>
  <c r="D64" i="36"/>
  <c r="J60" i="36"/>
  <c r="E65" i="36"/>
  <c r="J52" i="35" l="1"/>
  <c r="E58" i="35" s="1"/>
  <c r="D58" i="35" s="1"/>
  <c r="P57" i="36"/>
  <c r="P59" i="36"/>
  <c r="P58" i="36"/>
  <c r="D13" i="34"/>
  <c r="J25" i="34"/>
  <c r="G25" i="34"/>
  <c r="F25" i="34"/>
  <c r="H29" i="34"/>
  <c r="F29" i="34"/>
  <c r="I27" i="34"/>
  <c r="J23" i="34"/>
  <c r="G23" i="34"/>
  <c r="F23" i="34"/>
  <c r="E60" i="35" l="1"/>
  <c r="E61" i="35" s="1"/>
  <c r="J53" i="35"/>
  <c r="J54" i="35" s="1"/>
  <c r="E59" i="35"/>
  <c r="P60" i="36"/>
  <c r="F13" i="34"/>
  <c r="G13" i="34"/>
  <c r="H13" i="34"/>
  <c r="J13" i="34" s="1"/>
  <c r="Q28" i="5" l="1"/>
  <c r="Q27" i="5"/>
  <c r="Q26" i="5"/>
  <c r="O28" i="5"/>
  <c r="O27" i="5"/>
  <c r="O26" i="5"/>
  <c r="K148" i="28" l="1"/>
  <c r="K149" i="28"/>
  <c r="K147" i="28"/>
  <c r="K134" i="28"/>
  <c r="K133" i="28"/>
  <c r="K132" i="28"/>
  <c r="K131" i="28"/>
  <c r="K125" i="28"/>
  <c r="K126" i="28"/>
  <c r="K124" i="28"/>
  <c r="K121" i="28"/>
  <c r="K120" i="28"/>
  <c r="K113" i="28"/>
  <c r="K112" i="28"/>
  <c r="K111" i="28"/>
  <c r="K101" i="28"/>
  <c r="K100" i="28"/>
  <c r="K99" i="28"/>
  <c r="K98" i="28"/>
  <c r="K97" i="28"/>
  <c r="K83" i="28"/>
  <c r="G88" i="28"/>
  <c r="G82" i="28"/>
  <c r="K90" i="28"/>
  <c r="K89" i="28"/>
  <c r="K88" i="28"/>
  <c r="K84" i="28"/>
  <c r="K82" i="28"/>
  <c r="K61" i="28"/>
  <c r="G59" i="28"/>
  <c r="K75" i="28"/>
  <c r="K76" i="28"/>
  <c r="K77" i="28"/>
  <c r="K74" i="28"/>
  <c r="K62" i="28"/>
  <c r="K60" i="28"/>
  <c r="K59" i="28"/>
  <c r="H191" i="28"/>
  <c r="I191" i="28"/>
  <c r="H192" i="28"/>
  <c r="I192" i="28"/>
  <c r="H193" i="28"/>
  <c r="I193" i="28"/>
  <c r="H194" i="28"/>
  <c r="I194" i="28"/>
  <c r="I190" i="28"/>
  <c r="H190" i="28"/>
  <c r="H195" i="28"/>
  <c r="F198" i="28"/>
  <c r="F201" i="28"/>
  <c r="E197" i="28"/>
  <c r="G197" i="28" s="1"/>
  <c r="E198" i="28"/>
  <c r="E202" i="28"/>
  <c r="G202" i="28" s="1"/>
  <c r="E201" i="28"/>
  <c r="E200" i="28"/>
  <c r="G200" i="28" s="1"/>
  <c r="E194" i="28"/>
  <c r="E193" i="28"/>
  <c r="G193" i="28" s="1"/>
  <c r="E204" i="28"/>
  <c r="G204" i="28" s="1"/>
  <c r="E203" i="28"/>
  <c r="G203" i="28" s="1"/>
  <c r="E195" i="28"/>
  <c r="G199" i="28"/>
  <c r="J193" i="28"/>
  <c r="J192" i="28"/>
  <c r="G194" i="28"/>
  <c r="J190" i="28"/>
  <c r="L191" i="28"/>
  <c r="M191" i="28"/>
  <c r="M192" i="28"/>
  <c r="K200" i="28"/>
  <c r="K198" i="28"/>
  <c r="K197" i="28"/>
  <c r="K196" i="28"/>
  <c r="K194" i="28"/>
  <c r="G190" i="28"/>
  <c r="M28" i="5"/>
  <c r="M26" i="5"/>
  <c r="M27" i="5"/>
  <c r="M25" i="5"/>
  <c r="M30" i="5" l="1"/>
  <c r="Q20" i="5"/>
  <c r="O20" i="5"/>
  <c r="M8" i="5"/>
  <c r="O8" i="5"/>
  <c r="Q8" i="5"/>
  <c r="Q5" i="5"/>
  <c r="O5" i="5"/>
  <c r="O6" i="5"/>
  <c r="Q6" i="5"/>
  <c r="M6" i="5"/>
  <c r="I6" i="5"/>
  <c r="K6" i="5"/>
  <c r="M5" i="5"/>
  <c r="G6" i="5"/>
  <c r="G198" i="28"/>
  <c r="G201" i="28"/>
  <c r="K20" i="5"/>
  <c r="G20" i="5"/>
  <c r="I20" i="5"/>
  <c r="M20" i="5"/>
  <c r="D22" i="5"/>
  <c r="F22" i="5" s="1"/>
  <c r="G56" i="5" l="1"/>
  <c r="I56" i="5"/>
  <c r="K56" i="5"/>
  <c r="S20" i="5"/>
  <c r="T20" i="5" s="1"/>
  <c r="S6" i="5"/>
  <c r="T6" i="5" s="1"/>
  <c r="U20" i="5"/>
  <c r="V20" i="5" s="1"/>
  <c r="U6" i="5"/>
  <c r="V6" i="5" s="1"/>
  <c r="K34" i="5"/>
  <c r="M34" i="5"/>
  <c r="G34" i="5"/>
  <c r="I34" i="5"/>
  <c r="K28" i="5"/>
  <c r="G28" i="5"/>
  <c r="I28" i="5"/>
  <c r="G26" i="5"/>
  <c r="I26" i="5"/>
  <c r="O19" i="5"/>
  <c r="O22" i="5" s="1"/>
  <c r="P22" i="5" s="1"/>
  <c r="Q19" i="5"/>
  <c r="Q22" i="5" s="1"/>
  <c r="R22" i="5" s="1"/>
  <c r="K26" i="5"/>
  <c r="G25" i="5"/>
  <c r="O25" i="5"/>
  <c r="O30" i="5" s="1"/>
  <c r="Q25" i="5"/>
  <c r="Q30" i="5" s="1"/>
  <c r="I25" i="5"/>
  <c r="K25" i="5"/>
  <c r="G42" i="5" l="1"/>
  <c r="O41" i="5"/>
  <c r="I42" i="5"/>
  <c r="G41" i="5"/>
  <c r="K41" i="5"/>
  <c r="S56" i="5"/>
  <c r="T56" i="5" s="1"/>
  <c r="U56" i="5"/>
  <c r="V56" i="5" s="1"/>
  <c r="G58" i="5"/>
  <c r="K55" i="5"/>
  <c r="K58" i="5" s="1"/>
  <c r="D58" i="5"/>
  <c r="F58" i="5" s="1"/>
  <c r="I55" i="5"/>
  <c r="I58" i="5" s="1"/>
  <c r="M42" i="5"/>
  <c r="S26" i="5"/>
  <c r="T26" i="5" s="1"/>
  <c r="S34" i="5"/>
  <c r="T34" i="5" s="1"/>
  <c r="M41" i="5"/>
  <c r="Q41" i="5"/>
  <c r="I41" i="5"/>
  <c r="S28" i="5"/>
  <c r="T28" i="5" s="1"/>
  <c r="S25" i="5"/>
  <c r="K42" i="5"/>
  <c r="U25" i="5"/>
  <c r="U26" i="5"/>
  <c r="V26" i="5" s="1"/>
  <c r="U34" i="5"/>
  <c r="V34" i="5" s="1"/>
  <c r="U28" i="5"/>
  <c r="V28" i="5" s="1"/>
  <c r="I33" i="5"/>
  <c r="K33" i="5"/>
  <c r="G33" i="5"/>
  <c r="M33" i="5"/>
  <c r="Q33" i="5"/>
  <c r="O33" i="5"/>
  <c r="J58" i="5" l="1"/>
  <c r="L58" i="5"/>
  <c r="H58" i="5"/>
  <c r="R58" i="5"/>
  <c r="N58" i="5"/>
  <c r="P58" i="5"/>
  <c r="O44" i="5"/>
  <c r="I64" i="5"/>
  <c r="K64" i="5"/>
  <c r="G64" i="5"/>
  <c r="I63" i="5"/>
  <c r="K63" i="5"/>
  <c r="G63" i="5"/>
  <c r="U41" i="5"/>
  <c r="V41" i="5" s="1"/>
  <c r="S41" i="5"/>
  <c r="T41" i="5" s="1"/>
  <c r="U42" i="5"/>
  <c r="V42" i="5" s="1"/>
  <c r="S55" i="5"/>
  <c r="S58" i="5" s="1"/>
  <c r="U55" i="5"/>
  <c r="Q44" i="5"/>
  <c r="S42" i="5"/>
  <c r="T42" i="5" s="1"/>
  <c r="S33" i="5"/>
  <c r="T25" i="5"/>
  <c r="U33" i="5"/>
  <c r="V25" i="5"/>
  <c r="K27" i="36"/>
  <c r="Q27" i="36" s="1"/>
  <c r="K27" i="37"/>
  <c r="Q27" i="37" s="1"/>
  <c r="E19" i="34"/>
  <c r="G19" i="34" s="1"/>
  <c r="S64" i="5" l="1"/>
  <c r="T64" i="5" s="1"/>
  <c r="U64" i="5"/>
  <c r="V64" i="5" s="1"/>
  <c r="S63" i="5"/>
  <c r="U63" i="5"/>
  <c r="V55" i="5"/>
  <c r="U58" i="5"/>
  <c r="V58" i="5" s="1"/>
  <c r="T55" i="5"/>
  <c r="T58" i="5"/>
  <c r="V33" i="5"/>
  <c r="T33" i="5"/>
  <c r="M27" i="37"/>
  <c r="L27" i="37"/>
  <c r="H19" i="34"/>
  <c r="J19" i="34" s="1"/>
  <c r="F19" i="34"/>
  <c r="M27" i="36"/>
  <c r="L27" i="36"/>
  <c r="G191" i="28"/>
  <c r="G195" i="28"/>
  <c r="G192" i="28"/>
  <c r="J195" i="28" s="1"/>
  <c r="K38" i="28"/>
  <c r="K36" i="28"/>
  <c r="K23" i="28"/>
  <c r="T63" i="5" l="1"/>
  <c r="V63" i="5"/>
  <c r="R27" i="37"/>
  <c r="S27" i="37"/>
  <c r="S27" i="36"/>
  <c r="R27" i="36"/>
  <c r="G205" i="28"/>
  <c r="K183" i="28"/>
  <c r="K182" i="28"/>
  <c r="K181" i="28"/>
  <c r="K180" i="28"/>
  <c r="K179" i="28"/>
  <c r="K178" i="28"/>
  <c r="K177" i="28"/>
  <c r="K176" i="28"/>
  <c r="K175" i="28"/>
  <c r="K174" i="28"/>
  <c r="K173" i="28"/>
  <c r="K172" i="28"/>
  <c r="K171" i="28"/>
  <c r="K170" i="28"/>
  <c r="K169" i="28"/>
  <c r="K168" i="28"/>
  <c r="K167" i="28"/>
  <c r="K166" i="28"/>
  <c r="K165" i="28"/>
  <c r="K164" i="28"/>
  <c r="K163" i="28"/>
  <c r="K162" i="28"/>
  <c r="K161" i="28"/>
  <c r="K160" i="28"/>
  <c r="K159" i="28"/>
  <c r="K158" i="28"/>
  <c r="K157" i="28"/>
  <c r="K156" i="28"/>
  <c r="K155" i="28"/>
  <c r="K154" i="28"/>
  <c r="L149" i="28"/>
  <c r="L148" i="28"/>
  <c r="L147" i="28"/>
  <c r="L146" i="28"/>
  <c r="L134" i="28"/>
  <c r="L133" i="28"/>
  <c r="L132" i="28"/>
  <c r="L126" i="28"/>
  <c r="L125" i="28"/>
  <c r="L124" i="28"/>
  <c r="L121" i="28"/>
  <c r="L120" i="28"/>
  <c r="L113" i="28"/>
  <c r="L112" i="28"/>
  <c r="L111" i="28"/>
  <c r="L101" i="28"/>
  <c r="L100" i="28"/>
  <c r="L99" i="28"/>
  <c r="L98" i="28"/>
  <c r="L97" i="28"/>
  <c r="L90" i="28"/>
  <c r="L89" i="28"/>
  <c r="L88" i="28"/>
  <c r="M88" i="28" s="1"/>
  <c r="L84" i="28"/>
  <c r="L83" i="28"/>
  <c r="M82" i="28" s="1"/>
  <c r="L82" i="28"/>
  <c r="L77" i="28"/>
  <c r="L76" i="28"/>
  <c r="L75" i="28"/>
  <c r="L74" i="28"/>
  <c r="L62" i="28"/>
  <c r="L61" i="28"/>
  <c r="M59" i="28" s="1"/>
  <c r="L60" i="28"/>
  <c r="K40" i="28"/>
  <c r="L40" i="28" s="1"/>
  <c r="L38" i="28"/>
  <c r="L36" i="28"/>
  <c r="L23" i="28"/>
  <c r="L7" i="28"/>
  <c r="E183" i="28"/>
  <c r="E182" i="28"/>
  <c r="E181" i="28"/>
  <c r="E180" i="28"/>
  <c r="E179" i="28"/>
  <c r="E178" i="28"/>
  <c r="E177" i="28"/>
  <c r="E176" i="28"/>
  <c r="E175" i="28"/>
  <c r="E174" i="28"/>
  <c r="E173" i="28"/>
  <c r="E172" i="28"/>
  <c r="E171" i="28"/>
  <c r="E170" i="28"/>
  <c r="E169" i="28"/>
  <c r="E168" i="28"/>
  <c r="E167" i="28"/>
  <c r="E166" i="28"/>
  <c r="E165" i="28"/>
  <c r="E164" i="28"/>
  <c r="E163" i="28"/>
  <c r="E162" i="28"/>
  <c r="E161" i="28"/>
  <c r="E160" i="28"/>
  <c r="E159" i="28"/>
  <c r="E158" i="28"/>
  <c r="E157" i="28"/>
  <c r="E156" i="28"/>
  <c r="E155" i="28"/>
  <c r="E154" i="28"/>
  <c r="E149" i="28"/>
  <c r="F149" i="28" s="1"/>
  <c r="E148" i="28"/>
  <c r="F148" i="28" s="1"/>
  <c r="E147" i="28"/>
  <c r="F147" i="28" s="1"/>
  <c r="F146" i="28"/>
  <c r="E145" i="28"/>
  <c r="F145" i="28" s="1"/>
  <c r="F144" i="28"/>
  <c r="F143" i="28"/>
  <c r="F142" i="28"/>
  <c r="F141" i="28"/>
  <c r="F140" i="28"/>
  <c r="F139" i="28"/>
  <c r="F138" i="28"/>
  <c r="F137" i="28"/>
  <c r="F136" i="28"/>
  <c r="F135" i="28"/>
  <c r="F134" i="28"/>
  <c r="F133" i="28"/>
  <c r="F132" i="28"/>
  <c r="E131" i="28"/>
  <c r="E126" i="28"/>
  <c r="F126" i="28" s="1"/>
  <c r="E125" i="28"/>
  <c r="F125" i="28" s="1"/>
  <c r="E124" i="28"/>
  <c r="F124" i="28" s="1"/>
  <c r="F123" i="28"/>
  <c r="F122" i="28"/>
  <c r="F121" i="28"/>
  <c r="F120" i="28"/>
  <c r="E119" i="28"/>
  <c r="F119" i="28" s="1"/>
  <c r="E118" i="28"/>
  <c r="F118" i="28" s="1"/>
  <c r="F117" i="28"/>
  <c r="E116" i="28"/>
  <c r="F116" i="28" s="1"/>
  <c r="F115" i="28"/>
  <c r="E114" i="28"/>
  <c r="F114" i="28" s="1"/>
  <c r="F113" i="28"/>
  <c r="E112" i="28"/>
  <c r="F112" i="28" s="1"/>
  <c r="F111" i="28"/>
  <c r="E110" i="28"/>
  <c r="F110" i="28" s="1"/>
  <c r="E109" i="28"/>
  <c r="F109" i="28" s="1"/>
  <c r="F108" i="28"/>
  <c r="F107" i="28"/>
  <c r="F106" i="28"/>
  <c r="F105" i="28"/>
  <c r="F104" i="28"/>
  <c r="F103" i="28"/>
  <c r="F102" i="28"/>
  <c r="F101" i="28"/>
  <c r="F100" i="28"/>
  <c r="F99" i="28"/>
  <c r="F98" i="28"/>
  <c r="F97" i="28"/>
  <c r="E96" i="28"/>
  <c r="F96" i="28" s="1"/>
  <c r="E95" i="28"/>
  <c r="F95" i="28" s="1"/>
  <c r="E94" i="28"/>
  <c r="F94" i="28" s="1"/>
  <c r="E93" i="28"/>
  <c r="F93" i="28" s="1"/>
  <c r="E92" i="28"/>
  <c r="F92" i="28" s="1"/>
  <c r="E91" i="28"/>
  <c r="F91" i="28" s="1"/>
  <c r="E90" i="28"/>
  <c r="F90" i="28" s="1"/>
  <c r="E89" i="28"/>
  <c r="F89" i="28" s="1"/>
  <c r="E88" i="28"/>
  <c r="F88" i="28" s="1"/>
  <c r="E87" i="28"/>
  <c r="F87" i="28" s="1"/>
  <c r="E86" i="28"/>
  <c r="F86" i="28" s="1"/>
  <c r="E85" i="28"/>
  <c r="E84" i="28"/>
  <c r="F84" i="28" s="1"/>
  <c r="E83" i="28"/>
  <c r="F83" i="28" s="1"/>
  <c r="E82" i="28"/>
  <c r="F82" i="28" s="1"/>
  <c r="E77" i="28"/>
  <c r="F77" i="28" s="1"/>
  <c r="E76" i="28"/>
  <c r="F76" i="28" s="1"/>
  <c r="E75" i="28"/>
  <c r="F75" i="28" s="1"/>
  <c r="F74" i="28"/>
  <c r="E73" i="28"/>
  <c r="F73" i="28" s="1"/>
  <c r="F72" i="28"/>
  <c r="F71" i="28"/>
  <c r="F70" i="28"/>
  <c r="F69" i="28"/>
  <c r="F68" i="28"/>
  <c r="F67" i="28"/>
  <c r="F66" i="28"/>
  <c r="F65" i="28"/>
  <c r="F64" i="28"/>
  <c r="F63" i="28"/>
  <c r="F62" i="28"/>
  <c r="F61" i="28"/>
  <c r="F60" i="28"/>
  <c r="E59" i="28"/>
  <c r="E54" i="28"/>
  <c r="E53" i="28"/>
  <c r="E52" i="28"/>
  <c r="E51" i="28"/>
  <c r="F51" i="28" s="1"/>
  <c r="E50" i="28"/>
  <c r="E49" i="28"/>
  <c r="F49" i="28" s="1"/>
  <c r="E48" i="28"/>
  <c r="F48" i="28" s="1"/>
  <c r="E47" i="28"/>
  <c r="E46" i="28"/>
  <c r="F46" i="28" s="1"/>
  <c r="E45" i="28"/>
  <c r="F44" i="28"/>
  <c r="E43" i="28"/>
  <c r="F43" i="28" s="1"/>
  <c r="F42" i="28"/>
  <c r="E41" i="28"/>
  <c r="F41" i="28" s="1"/>
  <c r="F40" i="28"/>
  <c r="E39" i="28"/>
  <c r="F39" i="28" s="1"/>
  <c r="F38" i="28"/>
  <c r="E37" i="28"/>
  <c r="F36" i="28"/>
  <c r="E35" i="28"/>
  <c r="F34" i="28"/>
  <c r="F33" i="28"/>
  <c r="E32" i="28"/>
  <c r="F32" i="28" s="1"/>
  <c r="F31" i="28"/>
  <c r="F30" i="28"/>
  <c r="E29" i="28"/>
  <c r="F29" i="28" s="1"/>
  <c r="F28" i="28"/>
  <c r="F27" i="28"/>
  <c r="E26" i="28"/>
  <c r="F26" i="28" s="1"/>
  <c r="F25" i="28"/>
  <c r="F24" i="28"/>
  <c r="E23" i="28"/>
  <c r="E22" i="28"/>
  <c r="F21" i="28"/>
  <c r="E20" i="28"/>
  <c r="F20" i="28" s="1"/>
  <c r="E19" i="28"/>
  <c r="F19" i="28" s="1"/>
  <c r="E18" i="28"/>
  <c r="F18" i="28" s="1"/>
  <c r="E17" i="28"/>
  <c r="F17" i="28" s="1"/>
  <c r="E16" i="28"/>
  <c r="F16" i="28" s="1"/>
  <c r="E15" i="28"/>
  <c r="F15" i="28" s="1"/>
  <c r="E14" i="28"/>
  <c r="F14" i="28" s="1"/>
  <c r="E13" i="28"/>
  <c r="F13" i="28" s="1"/>
  <c r="E12" i="28"/>
  <c r="F12" i="28" s="1"/>
  <c r="G12" i="28" s="1"/>
  <c r="E11" i="28"/>
  <c r="F11" i="28" s="1"/>
  <c r="E10" i="28"/>
  <c r="F10" i="28" s="1"/>
  <c r="E9" i="28"/>
  <c r="F9" i="28" s="1"/>
  <c r="E8" i="28"/>
  <c r="F8" i="28" s="1"/>
  <c r="F7" i="28"/>
  <c r="E126" i="24"/>
  <c r="F126" i="24" s="1"/>
  <c r="E125" i="24"/>
  <c r="F125" i="24" s="1"/>
  <c r="E124" i="24"/>
  <c r="F124" i="24" s="1"/>
  <c r="E54" i="24"/>
  <c r="M19" i="5"/>
  <c r="M22" i="5" s="1"/>
  <c r="N22" i="5" s="1"/>
  <c r="D16" i="5" l="1"/>
  <c r="F16" i="5" s="1"/>
  <c r="M14" i="5"/>
  <c r="O14" i="5"/>
  <c r="Q14" i="5"/>
  <c r="Q9" i="5"/>
  <c r="M9" i="5"/>
  <c r="O9" i="5"/>
  <c r="Q11" i="5"/>
  <c r="M11" i="5"/>
  <c r="O11" i="5"/>
  <c r="Q13" i="5"/>
  <c r="O13" i="5"/>
  <c r="M13" i="5"/>
  <c r="O12" i="5"/>
  <c r="Q12" i="5"/>
  <c r="M12" i="5"/>
  <c r="M10" i="5"/>
  <c r="O10" i="5"/>
  <c r="Q10" i="5"/>
  <c r="M7" i="5"/>
  <c r="O7" i="5"/>
  <c r="Q7" i="5"/>
  <c r="D30" i="5"/>
  <c r="F30" i="5" s="1"/>
  <c r="K10" i="5"/>
  <c r="I10" i="5"/>
  <c r="G10" i="5"/>
  <c r="G8" i="5"/>
  <c r="K8" i="5"/>
  <c r="I8" i="5"/>
  <c r="I14" i="5"/>
  <c r="G14" i="5"/>
  <c r="K14" i="5"/>
  <c r="I12" i="5"/>
  <c r="G12" i="5"/>
  <c r="K12" i="5"/>
  <c r="F35" i="28"/>
  <c r="K24" i="28"/>
  <c r="L24" i="28" s="1"/>
  <c r="F23" i="28"/>
  <c r="K21" i="28"/>
  <c r="L21" i="28" s="1"/>
  <c r="K8" i="28"/>
  <c r="L8" i="28" s="1"/>
  <c r="F50" i="28"/>
  <c r="K48" i="28"/>
  <c r="L48" i="28" s="1"/>
  <c r="F22" i="28"/>
  <c r="G21" i="28" s="1"/>
  <c r="K22" i="28"/>
  <c r="L22" i="28" s="1"/>
  <c r="F54" i="28"/>
  <c r="K54" i="28"/>
  <c r="L54" i="28" s="1"/>
  <c r="K12" i="28"/>
  <c r="L12" i="28" s="1"/>
  <c r="M12" i="28" s="1"/>
  <c r="F53" i="28"/>
  <c r="K53" i="28"/>
  <c r="L53" i="28" s="1"/>
  <c r="M47" i="28" s="1"/>
  <c r="F45" i="28"/>
  <c r="G36" i="28" s="1"/>
  <c r="K39" i="28"/>
  <c r="L39" i="28" s="1"/>
  <c r="K13" i="28"/>
  <c r="L13" i="28" s="1"/>
  <c r="K14" i="28"/>
  <c r="L14" i="28" s="1"/>
  <c r="F52" i="28"/>
  <c r="K52" i="28"/>
  <c r="L52" i="28" s="1"/>
  <c r="F37" i="28"/>
  <c r="K37" i="28"/>
  <c r="L37" i="28" s="1"/>
  <c r="F47" i="28"/>
  <c r="K47" i="28"/>
  <c r="L47" i="28" s="1"/>
  <c r="K19" i="5"/>
  <c r="K22" i="5" s="1"/>
  <c r="L22" i="5" s="1"/>
  <c r="M36" i="28"/>
  <c r="K185" i="28"/>
  <c r="E78" i="28"/>
  <c r="K78" i="28"/>
  <c r="E150" i="28"/>
  <c r="E127" i="28"/>
  <c r="E185" i="28"/>
  <c r="K150" i="28"/>
  <c r="L127" i="28"/>
  <c r="L59" i="28"/>
  <c r="L78" i="28" s="1"/>
  <c r="K127" i="28"/>
  <c r="L131" i="28"/>
  <c r="L150" i="28" s="1"/>
  <c r="F85" i="28"/>
  <c r="F127" i="28" s="1"/>
  <c r="F59" i="28"/>
  <c r="F78" i="28" s="1"/>
  <c r="F131" i="28"/>
  <c r="F150" i="28" s="1"/>
  <c r="G19" i="5"/>
  <c r="G22" i="5" s="1"/>
  <c r="H22" i="5" s="1"/>
  <c r="I19" i="5"/>
  <c r="I22" i="5" s="1"/>
  <c r="J22" i="5" s="1"/>
  <c r="N30" i="5" l="1"/>
  <c r="R30" i="5"/>
  <c r="P30" i="5"/>
  <c r="Q16" i="5"/>
  <c r="R16" i="5" s="1"/>
  <c r="O16" i="5"/>
  <c r="P16" i="5" s="1"/>
  <c r="M16" i="5"/>
  <c r="N16" i="5" s="1"/>
  <c r="S19" i="5"/>
  <c r="S22" i="5" s="1"/>
  <c r="T22" i="5" s="1"/>
  <c r="S12" i="5"/>
  <c r="T12" i="5" s="1"/>
  <c r="S14" i="5"/>
  <c r="T14" i="5" s="1"/>
  <c r="S10" i="5"/>
  <c r="T10" i="5" s="1"/>
  <c r="S8" i="5"/>
  <c r="T8" i="5" s="1"/>
  <c r="D67" i="5"/>
  <c r="U14" i="5"/>
  <c r="V14" i="5" s="1"/>
  <c r="U10" i="5"/>
  <c r="V10" i="5" s="1"/>
  <c r="U8" i="5"/>
  <c r="V8" i="5" s="1"/>
  <c r="U12" i="5"/>
  <c r="V12" i="5" s="1"/>
  <c r="U19" i="5"/>
  <c r="K27" i="5"/>
  <c r="K30" i="5" s="1"/>
  <c r="L30" i="5" s="1"/>
  <c r="G27" i="5"/>
  <c r="G30" i="5" s="1"/>
  <c r="H30" i="5" s="1"/>
  <c r="I27" i="5"/>
  <c r="I30" i="5" s="1"/>
  <c r="J30" i="5" s="1"/>
  <c r="M21" i="28"/>
  <c r="G47" i="28"/>
  <c r="N67" i="5" l="1"/>
  <c r="F67" i="5"/>
  <c r="Q60" i="5"/>
  <c r="Q67" i="5" s="1"/>
  <c r="R67" i="5" s="1"/>
  <c r="O60" i="5"/>
  <c r="O67" i="5" s="1"/>
  <c r="P67" i="5" s="1"/>
  <c r="I60" i="5"/>
  <c r="I67" i="5" s="1"/>
  <c r="J67" i="5" s="1"/>
  <c r="G60" i="5"/>
  <c r="G67" i="5" s="1"/>
  <c r="H67" i="5" s="1"/>
  <c r="K60" i="5"/>
  <c r="K67" i="5" s="1"/>
  <c r="L67" i="5" s="1"/>
  <c r="V19" i="5"/>
  <c r="U22" i="5"/>
  <c r="V22" i="5" s="1"/>
  <c r="G38" i="5"/>
  <c r="G44" i="5" s="1"/>
  <c r="D44" i="5"/>
  <c r="F44" i="5" s="1"/>
  <c r="S27" i="5"/>
  <c r="T27" i="5" s="1"/>
  <c r="M38" i="5"/>
  <c r="M44" i="5" s="1"/>
  <c r="I38" i="5"/>
  <c r="I44" i="5" s="1"/>
  <c r="K38" i="5"/>
  <c r="K44" i="5" s="1"/>
  <c r="T19" i="5"/>
  <c r="Q47" i="5"/>
  <c r="Q50" i="5" s="1"/>
  <c r="D50" i="5"/>
  <c r="F50" i="5" s="1"/>
  <c r="G50" i="5"/>
  <c r="I47" i="5"/>
  <c r="I50" i="5" s="1"/>
  <c r="M47" i="5"/>
  <c r="M50" i="5" s="1"/>
  <c r="O47" i="5"/>
  <c r="O50" i="5" s="1"/>
  <c r="K47" i="5"/>
  <c r="K50" i="5" s="1"/>
  <c r="U27" i="5"/>
  <c r="N50" i="5" l="1"/>
  <c r="D69" i="5"/>
  <c r="S30" i="5"/>
  <c r="S31" i="5" s="1"/>
  <c r="T31" i="5" s="1"/>
  <c r="S60" i="5"/>
  <c r="U60" i="5"/>
  <c r="P50" i="5"/>
  <c r="J44" i="5"/>
  <c r="H44" i="5"/>
  <c r="N44" i="5"/>
  <c r="L44" i="5"/>
  <c r="J50" i="5"/>
  <c r="R50" i="5"/>
  <c r="L50" i="5"/>
  <c r="H50" i="5"/>
  <c r="P44" i="5"/>
  <c r="R44" i="5"/>
  <c r="S47" i="5"/>
  <c r="U38" i="5"/>
  <c r="U44" i="5" s="1"/>
  <c r="V44" i="5" s="1"/>
  <c r="S38" i="5"/>
  <c r="V27" i="5"/>
  <c r="U30" i="5"/>
  <c r="V30" i="5" s="1"/>
  <c r="S23" i="5"/>
  <c r="T23" i="5" s="1"/>
  <c r="U47" i="5"/>
  <c r="K12" i="36"/>
  <c r="Q12" i="36" s="1"/>
  <c r="F47" i="24"/>
  <c r="E47" i="24"/>
  <c r="G69" i="1"/>
  <c r="E50" i="24"/>
  <c r="F50" i="24"/>
  <c r="F44" i="24"/>
  <c r="F42" i="24"/>
  <c r="F40" i="24"/>
  <c r="F38" i="24"/>
  <c r="F36" i="24"/>
  <c r="E35" i="24"/>
  <c r="V47" i="5" l="1"/>
  <c r="U50" i="5"/>
  <c r="T47" i="5"/>
  <c r="S50" i="5"/>
  <c r="T50" i="5" s="1"/>
  <c r="V60" i="5"/>
  <c r="U67" i="5"/>
  <c r="V67" i="5" s="1"/>
  <c r="T60" i="5"/>
  <c r="S67" i="5"/>
  <c r="T67" i="5" s="1"/>
  <c r="T30" i="5"/>
  <c r="V50" i="5"/>
  <c r="T38" i="5"/>
  <c r="S44" i="5"/>
  <c r="V38" i="5"/>
  <c r="K12" i="37"/>
  <c r="M12" i="37" s="1"/>
  <c r="K11" i="36"/>
  <c r="M12" i="36"/>
  <c r="L12" i="36"/>
  <c r="S12" i="36"/>
  <c r="R12" i="36"/>
  <c r="Q295" i="1"/>
  <c r="P295" i="1"/>
  <c r="L12" i="37" l="1"/>
  <c r="T44" i="5"/>
  <c r="S45" i="5"/>
  <c r="T45" i="5" s="1"/>
  <c r="K11" i="37"/>
  <c r="M11" i="37" s="1"/>
  <c r="M10" i="37" s="1"/>
  <c r="M9" i="37" s="1"/>
  <c r="Q11" i="36"/>
  <c r="L11" i="36"/>
  <c r="M11" i="36"/>
  <c r="M10" i="36" s="1"/>
  <c r="M9" i="36" s="1"/>
  <c r="K7" i="5"/>
  <c r="K9" i="5"/>
  <c r="K11" i="5"/>
  <c r="K13" i="5"/>
  <c r="K5" i="5"/>
  <c r="G93" i="1"/>
  <c r="G94" i="1"/>
  <c r="G90" i="1"/>
  <c r="G92" i="1"/>
  <c r="G88" i="1"/>
  <c r="G89" i="1"/>
  <c r="G91" i="1"/>
  <c r="L11" i="37" l="1"/>
  <c r="K16" i="5"/>
  <c r="L16" i="5" s="1"/>
  <c r="R11" i="36"/>
  <c r="S11" i="36"/>
  <c r="S10" i="36" s="1"/>
  <c r="S9" i="36" s="1"/>
  <c r="E15" i="34" l="1"/>
  <c r="E46" i="24"/>
  <c r="F46" i="24" s="1"/>
  <c r="E183" i="24"/>
  <c r="E156" i="24"/>
  <c r="E159" i="24"/>
  <c r="E162" i="24"/>
  <c r="E165" i="24"/>
  <c r="E168" i="24"/>
  <c r="E171" i="24"/>
  <c r="E174" i="24"/>
  <c r="E177" i="24"/>
  <c r="E180" i="24"/>
  <c r="E75" i="24"/>
  <c r="K35" i="37" l="1"/>
  <c r="Q35" i="37" s="1"/>
  <c r="L93" i="37" s="1"/>
  <c r="L95" i="37" s="1"/>
  <c r="L97" i="37" s="1"/>
  <c r="G15" i="34"/>
  <c r="H15" i="34"/>
  <c r="J15" i="34" s="1"/>
  <c r="F15" i="34"/>
  <c r="E147" i="24"/>
  <c r="F147" i="24" s="1"/>
  <c r="F132" i="24"/>
  <c r="F133" i="24"/>
  <c r="F134" i="24"/>
  <c r="F135" i="24"/>
  <c r="F136" i="24"/>
  <c r="F137" i="24"/>
  <c r="F138" i="24"/>
  <c r="F139" i="24"/>
  <c r="F140" i="24"/>
  <c r="F141" i="24"/>
  <c r="F142" i="24"/>
  <c r="F143" i="24"/>
  <c r="F144" i="24"/>
  <c r="F146" i="24"/>
  <c r="F97" i="24"/>
  <c r="F98" i="24"/>
  <c r="F99" i="24"/>
  <c r="F100" i="24"/>
  <c r="F101" i="24"/>
  <c r="F102" i="24"/>
  <c r="F103" i="24"/>
  <c r="F104" i="24"/>
  <c r="F105" i="24"/>
  <c r="F106" i="24"/>
  <c r="F107" i="24"/>
  <c r="F108" i="24"/>
  <c r="F111" i="24"/>
  <c r="F113" i="24"/>
  <c r="F115" i="24"/>
  <c r="F117" i="24"/>
  <c r="F120" i="24"/>
  <c r="F121" i="24"/>
  <c r="F122" i="24"/>
  <c r="F123" i="24"/>
  <c r="F60" i="24"/>
  <c r="F61" i="24"/>
  <c r="F62" i="24"/>
  <c r="F63" i="24"/>
  <c r="F64" i="24"/>
  <c r="F65" i="24"/>
  <c r="F66" i="24"/>
  <c r="F67" i="24"/>
  <c r="F68" i="24"/>
  <c r="F69" i="24"/>
  <c r="F70" i="24"/>
  <c r="F71" i="24"/>
  <c r="F72" i="24"/>
  <c r="F74" i="24"/>
  <c r="F75" i="24"/>
  <c r="F21" i="24"/>
  <c r="F24" i="24"/>
  <c r="F25" i="24"/>
  <c r="F27" i="24"/>
  <c r="F28" i="24"/>
  <c r="F30" i="24"/>
  <c r="F31" i="24"/>
  <c r="F33" i="24"/>
  <c r="F34" i="24"/>
  <c r="E77" i="24"/>
  <c r="F77" i="24" s="1"/>
  <c r="E149" i="24"/>
  <c r="F149" i="24" s="1"/>
  <c r="F54" i="24"/>
  <c r="P223" i="1"/>
  <c r="R223" i="1" s="1"/>
  <c r="E110" i="24" s="1"/>
  <c r="F110" i="24" s="1"/>
  <c r="N222" i="1"/>
  <c r="R222" i="1" s="1"/>
  <c r="E109" i="24" s="1"/>
  <c r="F109" i="24" s="1"/>
  <c r="O221" i="1"/>
  <c r="R221" i="1" s="1"/>
  <c r="O220" i="1"/>
  <c r="R220" i="1" s="1"/>
  <c r="G219" i="1"/>
  <c r="O219" i="1" s="1"/>
  <c r="R219" i="1" s="1"/>
  <c r="E145" i="24" s="1"/>
  <c r="F145" i="24" s="1"/>
  <c r="G218" i="1"/>
  <c r="O218" i="1" s="1"/>
  <c r="R218" i="1" s="1"/>
  <c r="O217" i="1"/>
  <c r="R217" i="1" s="1"/>
  <c r="O216" i="1"/>
  <c r="R216" i="1" s="1"/>
  <c r="G215" i="1"/>
  <c r="O215" i="1" s="1"/>
  <c r="R215" i="1" s="1"/>
  <c r="G214" i="1"/>
  <c r="O214" i="1" s="1"/>
  <c r="R214" i="1" s="1"/>
  <c r="O213" i="1"/>
  <c r="R213" i="1" s="1"/>
  <c r="M213" i="1"/>
  <c r="O212" i="1"/>
  <c r="R212" i="1" s="1"/>
  <c r="O211" i="1"/>
  <c r="R211" i="1" s="1"/>
  <c r="G210" i="1"/>
  <c r="O210" i="1" s="1"/>
  <c r="R210" i="1" s="1"/>
  <c r="G209" i="1"/>
  <c r="O209" i="1" s="1"/>
  <c r="R209" i="1" s="1"/>
  <c r="O208" i="1"/>
  <c r="R208" i="1" s="1"/>
  <c r="O207" i="1"/>
  <c r="R207" i="1" s="1"/>
  <c r="G206" i="1"/>
  <c r="O206" i="1" s="1"/>
  <c r="R206" i="1" s="1"/>
  <c r="G205" i="1"/>
  <c r="O205" i="1" s="1"/>
  <c r="R205" i="1" s="1"/>
  <c r="O204" i="1"/>
  <c r="R204" i="1" s="1"/>
  <c r="M204" i="1"/>
  <c r="O203" i="1"/>
  <c r="R203" i="1" s="1"/>
  <c r="O202" i="1"/>
  <c r="R202" i="1" s="1"/>
  <c r="G201" i="1"/>
  <c r="O201" i="1" s="1"/>
  <c r="R201" i="1" s="1"/>
  <c r="G200" i="1"/>
  <c r="O200" i="1" s="1"/>
  <c r="R200" i="1" s="1"/>
  <c r="O199" i="1"/>
  <c r="R199" i="1" s="1"/>
  <c r="O198" i="1"/>
  <c r="R198" i="1" s="1"/>
  <c r="G197" i="1"/>
  <c r="O197" i="1" s="1"/>
  <c r="R197" i="1" s="1"/>
  <c r="G196" i="1"/>
  <c r="O196" i="1" s="1"/>
  <c r="R196" i="1" s="1"/>
  <c r="O195" i="1"/>
  <c r="R195" i="1" s="1"/>
  <c r="M195" i="1"/>
  <c r="O194" i="1"/>
  <c r="R194" i="1" s="1"/>
  <c r="M35" i="37" l="1"/>
  <c r="M34" i="37" s="1"/>
  <c r="L35" i="37"/>
  <c r="K35" i="36"/>
  <c r="Q35" i="36" s="1"/>
  <c r="G192" i="1"/>
  <c r="O192" i="1" s="1"/>
  <c r="R192" i="1" s="1"/>
  <c r="O193" i="1"/>
  <c r="R193" i="1" s="1"/>
  <c r="G191" i="1"/>
  <c r="O191" i="1" s="1"/>
  <c r="R191" i="1" s="1"/>
  <c r="O189" i="1"/>
  <c r="R189" i="1" s="1"/>
  <c r="G187" i="1"/>
  <c r="O187" i="1" s="1"/>
  <c r="R187" i="1" s="1"/>
  <c r="G188" i="1"/>
  <c r="O188" i="1" s="1"/>
  <c r="R188" i="1" s="1"/>
  <c r="O186" i="1"/>
  <c r="R186" i="1" s="1"/>
  <c r="G248" i="1"/>
  <c r="N248" i="1" s="1"/>
  <c r="R248" i="1" s="1"/>
  <c r="G247" i="1"/>
  <c r="N247" i="1" s="1"/>
  <c r="R247" i="1" s="1"/>
  <c r="P246" i="1"/>
  <c r="R246" i="1" s="1"/>
  <c r="N245" i="1"/>
  <c r="R245" i="1" s="1"/>
  <c r="O244" i="1"/>
  <c r="R244" i="1" s="1"/>
  <c r="P243" i="1"/>
  <c r="R243" i="1" s="1"/>
  <c r="O242" i="1"/>
  <c r="R242" i="1" s="1"/>
  <c r="N241" i="1"/>
  <c r="R241" i="1" s="1"/>
  <c r="O240" i="1"/>
  <c r="R240" i="1" s="1"/>
  <c r="N239" i="1"/>
  <c r="R239" i="1" s="1"/>
  <c r="O238" i="1"/>
  <c r="R238" i="1" s="1"/>
  <c r="Q237" i="1"/>
  <c r="R237" i="1" s="1"/>
  <c r="N236" i="1"/>
  <c r="R236" i="1" s="1"/>
  <c r="E119" i="24" s="1"/>
  <c r="F119" i="24" s="1"/>
  <c r="O235" i="1"/>
  <c r="R235" i="1" s="1"/>
  <c r="E118" i="24" s="1"/>
  <c r="F118" i="24" s="1"/>
  <c r="G234" i="1"/>
  <c r="N234" i="1" s="1"/>
  <c r="R234" i="1" s="1"/>
  <c r="N233" i="1"/>
  <c r="R233" i="1" s="1"/>
  <c r="O232" i="1"/>
  <c r="R232" i="1" s="1"/>
  <c r="E116" i="24" s="1"/>
  <c r="F116" i="24" s="1"/>
  <c r="G231" i="1"/>
  <c r="N231" i="1" s="1"/>
  <c r="R231" i="1" s="1"/>
  <c r="N230" i="1"/>
  <c r="R230" i="1" s="1"/>
  <c r="O229" i="1"/>
  <c r="R229" i="1" s="1"/>
  <c r="E114" i="24" s="1"/>
  <c r="F114" i="24" s="1"/>
  <c r="G228" i="1"/>
  <c r="P228" i="1" s="1"/>
  <c r="R228" i="1" s="1"/>
  <c r="P227" i="1"/>
  <c r="R227" i="1" s="1"/>
  <c r="O226" i="1"/>
  <c r="R226" i="1" s="1"/>
  <c r="E112" i="24" s="1"/>
  <c r="F112" i="24" s="1"/>
  <c r="G225" i="1"/>
  <c r="N225" i="1" s="1"/>
  <c r="R225" i="1" s="1"/>
  <c r="N224" i="1"/>
  <c r="R224" i="1" s="1"/>
  <c r="E148" i="24" s="1"/>
  <c r="F148" i="24" s="1"/>
  <c r="O190" i="1"/>
  <c r="R190" i="1" s="1"/>
  <c r="M186" i="1"/>
  <c r="N185" i="1"/>
  <c r="R185" i="1" s="1"/>
  <c r="E96" i="24" s="1"/>
  <c r="F96" i="24" s="1"/>
  <c r="N184" i="1"/>
  <c r="R184" i="1" s="1"/>
  <c r="E95" i="24" s="1"/>
  <c r="F95" i="24" s="1"/>
  <c r="N183" i="1"/>
  <c r="R183" i="1" s="1"/>
  <c r="E94" i="24" s="1"/>
  <c r="F94" i="24" s="1"/>
  <c r="N182" i="1"/>
  <c r="R182" i="1" s="1"/>
  <c r="E93" i="24" s="1"/>
  <c r="F93" i="24" s="1"/>
  <c r="N181" i="1"/>
  <c r="R181" i="1" s="1"/>
  <c r="E92" i="24" s="1"/>
  <c r="F92" i="24" s="1"/>
  <c r="N180" i="1"/>
  <c r="R180" i="1" s="1"/>
  <c r="E91" i="24" s="1"/>
  <c r="F91" i="24" s="1"/>
  <c r="P179" i="1"/>
  <c r="R179" i="1" s="1"/>
  <c r="E90" i="24" s="1"/>
  <c r="F90" i="24" s="1"/>
  <c r="N178" i="1"/>
  <c r="R178" i="1" s="1"/>
  <c r="E89" i="24" s="1"/>
  <c r="F89" i="24" s="1"/>
  <c r="N177" i="1"/>
  <c r="R177" i="1" s="1"/>
  <c r="E88" i="24" s="1"/>
  <c r="F88" i="24" s="1"/>
  <c r="N176" i="1"/>
  <c r="R176" i="1" s="1"/>
  <c r="E87" i="24" s="1"/>
  <c r="F87" i="24" s="1"/>
  <c r="N175" i="1"/>
  <c r="R175" i="1" s="1"/>
  <c r="E86" i="24" s="1"/>
  <c r="F86" i="24" s="1"/>
  <c r="O174" i="1"/>
  <c r="R174" i="1" s="1"/>
  <c r="N173" i="1"/>
  <c r="R173" i="1" s="1"/>
  <c r="E85" i="24" s="1"/>
  <c r="F85" i="24" s="1"/>
  <c r="O172" i="1"/>
  <c r="R172" i="1" s="1"/>
  <c r="P171" i="1"/>
  <c r="R171" i="1" s="1"/>
  <c r="E84" i="24" s="1"/>
  <c r="F84" i="24" s="1"/>
  <c r="O170" i="1"/>
  <c r="R170" i="1" s="1"/>
  <c r="E131" i="24" s="1"/>
  <c r="N169" i="1"/>
  <c r="R169" i="1" s="1"/>
  <c r="E83" i="24" s="1"/>
  <c r="F83" i="24" s="1"/>
  <c r="O168" i="1"/>
  <c r="K167" i="1"/>
  <c r="K166" i="1"/>
  <c r="K165" i="1"/>
  <c r="K164" i="1"/>
  <c r="K163" i="1"/>
  <c r="G163" i="1"/>
  <c r="N152" i="1"/>
  <c r="R152" i="1" s="1"/>
  <c r="E76" i="24" s="1"/>
  <c r="F76" i="24" s="1"/>
  <c r="N151" i="1"/>
  <c r="R151" i="1" s="1"/>
  <c r="G146" i="1"/>
  <c r="N146" i="1" s="1"/>
  <c r="R146" i="1" s="1"/>
  <c r="G145" i="1"/>
  <c r="O145" i="1" s="1"/>
  <c r="R145" i="1" s="1"/>
  <c r="R144" i="1"/>
  <c r="O143" i="1"/>
  <c r="R143" i="1" s="1"/>
  <c r="G142" i="1"/>
  <c r="O142" i="1" s="1"/>
  <c r="R142" i="1" s="1"/>
  <c r="G141" i="1"/>
  <c r="N141" i="1" s="1"/>
  <c r="R141" i="1" s="1"/>
  <c r="L140" i="1"/>
  <c r="K140" i="1"/>
  <c r="G140" i="1"/>
  <c r="G135" i="1"/>
  <c r="P135" i="1" s="1"/>
  <c r="R135" i="1" s="1"/>
  <c r="G134" i="1"/>
  <c r="O134" i="1" s="1"/>
  <c r="R134" i="1" s="1"/>
  <c r="R133" i="1"/>
  <c r="O132" i="1"/>
  <c r="R132" i="1" s="1"/>
  <c r="G131" i="1"/>
  <c r="O131" i="1" s="1"/>
  <c r="R131" i="1" s="1"/>
  <c r="G130" i="1"/>
  <c r="P130" i="1" s="1"/>
  <c r="R130" i="1" s="1"/>
  <c r="L129" i="1"/>
  <c r="K129" i="1"/>
  <c r="G129" i="1"/>
  <c r="N129" i="1" s="1"/>
  <c r="R129" i="1" s="1"/>
  <c r="G124" i="1"/>
  <c r="N124" i="1" s="1"/>
  <c r="R124" i="1" s="1"/>
  <c r="G123" i="1"/>
  <c r="O123" i="1" s="1"/>
  <c r="R123" i="1" s="1"/>
  <c r="R122" i="1"/>
  <c r="O121" i="1"/>
  <c r="R121" i="1" s="1"/>
  <c r="G120" i="1"/>
  <c r="O120" i="1" s="1"/>
  <c r="R120" i="1" s="1"/>
  <c r="G119" i="1"/>
  <c r="N119" i="1" s="1"/>
  <c r="R119" i="1" s="1"/>
  <c r="L118" i="1"/>
  <c r="K118" i="1"/>
  <c r="G118" i="1"/>
  <c r="G112" i="1"/>
  <c r="O112" i="1" s="1"/>
  <c r="R112" i="1" s="1"/>
  <c r="G109" i="1"/>
  <c r="O109" i="1" s="1"/>
  <c r="R109" i="1" s="1"/>
  <c r="G113" i="1"/>
  <c r="N113" i="1" s="1"/>
  <c r="R113" i="1" s="1"/>
  <c r="G108" i="1"/>
  <c r="O139" i="1"/>
  <c r="R139" i="1" s="1"/>
  <c r="R138" i="1"/>
  <c r="O137" i="1"/>
  <c r="R137" i="1" s="1"/>
  <c r="G136" i="1"/>
  <c r="O136" i="1" s="1"/>
  <c r="R136" i="1" s="1"/>
  <c r="O128" i="1"/>
  <c r="R128" i="1" s="1"/>
  <c r="R127" i="1"/>
  <c r="O126" i="1"/>
  <c r="R126" i="1" s="1"/>
  <c r="G125" i="1"/>
  <c r="O125" i="1" s="1"/>
  <c r="R125" i="1" s="1"/>
  <c r="O117" i="1"/>
  <c r="R117" i="1" s="1"/>
  <c r="R116" i="1"/>
  <c r="O115" i="1"/>
  <c r="R115" i="1" s="1"/>
  <c r="G114" i="1"/>
  <c r="O114" i="1" s="1"/>
  <c r="R114" i="1" s="1"/>
  <c r="G103" i="1"/>
  <c r="G79" i="1"/>
  <c r="N79" i="1" s="1"/>
  <c r="R79" i="1" s="1"/>
  <c r="E53" i="24" s="1"/>
  <c r="F53" i="24" s="1"/>
  <c r="G78" i="1"/>
  <c r="N78" i="1" s="1"/>
  <c r="R78" i="1" s="1"/>
  <c r="E52" i="24" s="1"/>
  <c r="F52" i="24" s="1"/>
  <c r="G65" i="1"/>
  <c r="N65" i="1" s="1"/>
  <c r="R65" i="1" s="1"/>
  <c r="G62" i="1"/>
  <c r="N62" i="1" s="1"/>
  <c r="R62" i="1" s="1"/>
  <c r="G59" i="1"/>
  <c r="P59" i="1" s="1"/>
  <c r="R59" i="1" s="1"/>
  <c r="G56" i="1"/>
  <c r="N56" i="1" s="1"/>
  <c r="R56" i="1" s="1"/>
  <c r="G52" i="1"/>
  <c r="P52" i="1" s="1"/>
  <c r="R52" i="1" s="1"/>
  <c r="G53" i="1"/>
  <c r="O53" i="1" s="1"/>
  <c r="R53" i="1" s="1"/>
  <c r="G48" i="1"/>
  <c r="O48" i="1" s="1"/>
  <c r="R48" i="1" s="1"/>
  <c r="O47" i="1"/>
  <c r="R47" i="1" s="1"/>
  <c r="G46" i="1"/>
  <c r="P46" i="1" s="1"/>
  <c r="R46" i="1" s="1"/>
  <c r="N45" i="1"/>
  <c r="R45" i="1" s="1"/>
  <c r="O44" i="1"/>
  <c r="R44" i="1" s="1"/>
  <c r="M44" i="1"/>
  <c r="G40" i="1"/>
  <c r="P40" i="1" s="1"/>
  <c r="R40" i="1" s="1"/>
  <c r="G42" i="1"/>
  <c r="O42" i="1" s="1"/>
  <c r="R42" i="1" s="1"/>
  <c r="G34" i="1"/>
  <c r="P34" i="1" s="1"/>
  <c r="R34" i="1" s="1"/>
  <c r="E26" i="24" s="1"/>
  <c r="F26" i="24" s="1"/>
  <c r="G36" i="1"/>
  <c r="O36" i="1" s="1"/>
  <c r="R36" i="1" s="1"/>
  <c r="R105" i="1"/>
  <c r="R111" i="1"/>
  <c r="Q149" i="1"/>
  <c r="R149" i="1" s="1"/>
  <c r="Q150" i="1"/>
  <c r="R150" i="1" s="1"/>
  <c r="Q148" i="1"/>
  <c r="R148" i="1" s="1"/>
  <c r="L107" i="1"/>
  <c r="K107" i="1"/>
  <c r="G107" i="1"/>
  <c r="O110" i="1"/>
  <c r="R110" i="1" s="1"/>
  <c r="O106" i="1"/>
  <c r="R106" i="1" s="1"/>
  <c r="O104" i="1"/>
  <c r="R104" i="1" s="1"/>
  <c r="O100" i="1"/>
  <c r="R100" i="1" s="1"/>
  <c r="L98" i="1"/>
  <c r="K98" i="1"/>
  <c r="G5" i="1"/>
  <c r="G98" i="1"/>
  <c r="S35" i="37" l="1"/>
  <c r="S34" i="37" s="1"/>
  <c r="R35" i="37"/>
  <c r="M35" i="36"/>
  <c r="M34" i="36" s="1"/>
  <c r="L35" i="36"/>
  <c r="F131" i="24"/>
  <c r="F150" i="24" s="1"/>
  <c r="E150" i="24"/>
  <c r="N140" i="1"/>
  <c r="R140" i="1" s="1"/>
  <c r="N163" i="1"/>
  <c r="R163" i="1" s="1"/>
  <c r="E82" i="24" s="1"/>
  <c r="O250" i="1"/>
  <c r="O255" i="1" s="1"/>
  <c r="Q250" i="1"/>
  <c r="Q255" i="1" s="1"/>
  <c r="P250" i="1"/>
  <c r="P255" i="1" s="1"/>
  <c r="R168" i="1"/>
  <c r="N118" i="1"/>
  <c r="R118" i="1" s="1"/>
  <c r="N108" i="1"/>
  <c r="R108" i="1" s="1"/>
  <c r="N107" i="1"/>
  <c r="R107" i="1" s="1"/>
  <c r="L154" i="1"/>
  <c r="G155" i="1"/>
  <c r="P147" i="1"/>
  <c r="R147" i="1" s="1"/>
  <c r="E73" i="24" s="1"/>
  <c r="F73" i="24" s="1"/>
  <c r="O103" i="1"/>
  <c r="R103" i="1" s="1"/>
  <c r="O102" i="1"/>
  <c r="R102" i="1" s="1"/>
  <c r="O101" i="1"/>
  <c r="R101" i="1" s="1"/>
  <c r="O99" i="1"/>
  <c r="R99" i="1" s="1"/>
  <c r="N98" i="1"/>
  <c r="R98" i="1" s="1"/>
  <c r="E59" i="24" s="1"/>
  <c r="G258" i="1"/>
  <c r="G259" i="1"/>
  <c r="N260" i="1"/>
  <c r="R260" i="1" s="1"/>
  <c r="G261" i="1"/>
  <c r="G262" i="1"/>
  <c r="N263" i="1"/>
  <c r="R263" i="1" s="1"/>
  <c r="G264" i="1"/>
  <c r="G265" i="1"/>
  <c r="N266" i="1"/>
  <c r="R266" i="1" s="1"/>
  <c r="G267" i="1"/>
  <c r="G268" i="1"/>
  <c r="N269" i="1"/>
  <c r="R269" i="1" s="1"/>
  <c r="G270" i="1"/>
  <c r="G271" i="1"/>
  <c r="N272" i="1"/>
  <c r="R272" i="1" s="1"/>
  <c r="G273" i="1"/>
  <c r="G274" i="1"/>
  <c r="N275" i="1"/>
  <c r="R275" i="1" s="1"/>
  <c r="G276" i="1"/>
  <c r="G277" i="1"/>
  <c r="N278" i="1"/>
  <c r="R278" i="1" s="1"/>
  <c r="G279" i="1"/>
  <c r="G280" i="1"/>
  <c r="N281" i="1"/>
  <c r="R281" i="1" s="1"/>
  <c r="G282" i="1"/>
  <c r="G283" i="1"/>
  <c r="N284" i="1"/>
  <c r="R284" i="1" s="1"/>
  <c r="G285" i="1"/>
  <c r="G286" i="1"/>
  <c r="N287" i="1"/>
  <c r="R287" i="1" s="1"/>
  <c r="O66" i="1"/>
  <c r="R66" i="1" s="1"/>
  <c r="E43" i="24" s="1"/>
  <c r="F43" i="24" s="1"/>
  <c r="O63" i="1"/>
  <c r="R63" i="1" s="1"/>
  <c r="E41" i="24" s="1"/>
  <c r="F41" i="24" s="1"/>
  <c r="O60" i="1"/>
  <c r="R60" i="1" s="1"/>
  <c r="E39" i="24" s="1"/>
  <c r="F39" i="24" s="1"/>
  <c r="S35" i="36" l="1"/>
  <c r="S34" i="36" s="1"/>
  <c r="R35" i="36"/>
  <c r="N285" i="1"/>
  <c r="R285" i="1" s="1"/>
  <c r="E181" i="24"/>
  <c r="N268" i="1"/>
  <c r="R268" i="1" s="1"/>
  <c r="E164" i="24"/>
  <c r="N265" i="1"/>
  <c r="R265" i="1" s="1"/>
  <c r="E161" i="24"/>
  <c r="N280" i="1"/>
  <c r="R280" i="1" s="1"/>
  <c r="E176" i="24"/>
  <c r="N264" i="1"/>
  <c r="R264" i="1" s="1"/>
  <c r="E160" i="24"/>
  <c r="N279" i="1"/>
  <c r="R279" i="1" s="1"/>
  <c r="E175" i="24"/>
  <c r="N262" i="1"/>
  <c r="R262" i="1" s="1"/>
  <c r="E158" i="24"/>
  <c r="N283" i="1"/>
  <c r="R283" i="1" s="1"/>
  <c r="E179" i="24"/>
  <c r="N267" i="1"/>
  <c r="R267" i="1" s="1"/>
  <c r="E163" i="24"/>
  <c r="N282" i="1"/>
  <c r="R282" i="1" s="1"/>
  <c r="E178" i="24"/>
  <c r="N277" i="1"/>
  <c r="R277" i="1" s="1"/>
  <c r="E173" i="24"/>
  <c r="N261" i="1"/>
  <c r="R261" i="1" s="1"/>
  <c r="E157" i="24"/>
  <c r="F82" i="24"/>
  <c r="F127" i="24" s="1"/>
  <c r="E127" i="24"/>
  <c r="N276" i="1"/>
  <c r="R276" i="1" s="1"/>
  <c r="E172" i="24"/>
  <c r="N259" i="1"/>
  <c r="R259" i="1" s="1"/>
  <c r="E155" i="24"/>
  <c r="N274" i="1"/>
  <c r="R274" i="1" s="1"/>
  <c r="E170" i="24"/>
  <c r="N258" i="1"/>
  <c r="R258" i="1" s="1"/>
  <c r="E154" i="24"/>
  <c r="N273" i="1"/>
  <c r="R273" i="1" s="1"/>
  <c r="E169" i="24"/>
  <c r="F59" i="24"/>
  <c r="F78" i="24" s="1"/>
  <c r="H78" i="24" s="1"/>
  <c r="E78" i="24"/>
  <c r="N271" i="1"/>
  <c r="R271" i="1" s="1"/>
  <c r="E167" i="24"/>
  <c r="N286" i="1"/>
  <c r="R286" i="1" s="1"/>
  <c r="E182" i="24"/>
  <c r="N270" i="1"/>
  <c r="R270" i="1" s="1"/>
  <c r="E166" i="24"/>
  <c r="N250" i="1"/>
  <c r="N251" i="1" s="1"/>
  <c r="R250" i="1"/>
  <c r="R252" i="1" s="1"/>
  <c r="R254" i="1" s="1"/>
  <c r="R255" i="1" s="1"/>
  <c r="R155" i="1"/>
  <c r="S155" i="1" s="1"/>
  <c r="Q155" i="1"/>
  <c r="Q160" i="1" s="1"/>
  <c r="P155" i="1"/>
  <c r="P160" i="1" s="1"/>
  <c r="G157" i="1"/>
  <c r="N155" i="1"/>
  <c r="O155" i="1"/>
  <c r="O160" i="1" s="1"/>
  <c r="N255" i="1" l="1"/>
  <c r="E185" i="24"/>
  <c r="N160" i="1"/>
  <c r="N156" i="1"/>
  <c r="A21" i="17"/>
  <c r="K9" i="17"/>
  <c r="K8" i="17"/>
  <c r="K7" i="17"/>
  <c r="K6" i="17"/>
  <c r="M22" i="17" l="1"/>
  <c r="K18" i="17"/>
  <c r="E18" i="17"/>
  <c r="G18" i="17"/>
  <c r="I18" i="17"/>
  <c r="S18" i="17" s="1"/>
  <c r="T18" i="17" s="1"/>
  <c r="E16" i="17"/>
  <c r="G16" i="17"/>
  <c r="K16" i="17"/>
  <c r="I16" i="17"/>
  <c r="S16" i="17" s="1"/>
  <c r="T16" i="17" s="1"/>
  <c r="E19" i="17"/>
  <c r="I19" i="17"/>
  <c r="S19" i="17" s="1"/>
  <c r="T19" i="17" s="1"/>
  <c r="G19" i="17"/>
  <c r="K19" i="17"/>
  <c r="E14" i="17"/>
  <c r="G14" i="17"/>
  <c r="I14" i="17"/>
  <c r="K14" i="17"/>
  <c r="E17" i="17"/>
  <c r="G17" i="17"/>
  <c r="I17" i="17"/>
  <c r="S17" i="17" s="1"/>
  <c r="T17" i="17" s="1"/>
  <c r="K17" i="17"/>
  <c r="G20" i="17"/>
  <c r="I20" i="17"/>
  <c r="E20" i="17"/>
  <c r="K20" i="17"/>
  <c r="S20" i="17" s="1"/>
  <c r="K15" i="17"/>
  <c r="E15" i="17"/>
  <c r="G15" i="17"/>
  <c r="I15" i="17"/>
  <c r="S15" i="17" s="1"/>
  <c r="T15" i="17" s="1"/>
  <c r="E12" i="17"/>
  <c r="I12" i="17"/>
  <c r="G12" i="17"/>
  <c r="K12" i="17"/>
  <c r="K13" i="17"/>
  <c r="G13" i="17"/>
  <c r="E13" i="17"/>
  <c r="I13" i="17"/>
  <c r="I7" i="17"/>
  <c r="G7" i="17"/>
  <c r="E7" i="17"/>
  <c r="I8" i="17"/>
  <c r="G8" i="17"/>
  <c r="E8" i="17"/>
  <c r="I9" i="17"/>
  <c r="G9" i="17"/>
  <c r="E9" i="17"/>
  <c r="K10" i="17"/>
  <c r="I10" i="17"/>
  <c r="G10" i="17"/>
  <c r="E10" i="17"/>
  <c r="I6" i="17"/>
  <c r="E6" i="17"/>
  <c r="G6" i="17"/>
  <c r="K11" i="17"/>
  <c r="I11" i="17"/>
  <c r="G11" i="17"/>
  <c r="E11" i="17"/>
  <c r="L156" i="1"/>
  <c r="T20" i="17" l="1"/>
  <c r="S22" i="17"/>
  <c r="N22" i="17"/>
  <c r="K22" i="17"/>
  <c r="L22" i="17" s="1"/>
  <c r="G22" i="17"/>
  <c r="H22" i="17" s="1"/>
  <c r="I22" i="17"/>
  <c r="J22" i="17" s="1"/>
  <c r="E22" i="17"/>
  <c r="F22" i="17" s="1"/>
  <c r="T22" i="17" l="1"/>
  <c r="S23" i="17"/>
  <c r="T23" i="17" s="1"/>
  <c r="Q54" i="1"/>
  <c r="R54" i="1" s="1"/>
  <c r="F35" i="24" s="1"/>
  <c r="Q68" i="1"/>
  <c r="O16" i="1"/>
  <c r="O14" i="1"/>
  <c r="R14" i="1" s="1"/>
  <c r="O12" i="1"/>
  <c r="O10" i="1"/>
  <c r="N11" i="1"/>
  <c r="R11" i="1" s="1"/>
  <c r="F7" i="24" s="1"/>
  <c r="N18" i="1"/>
  <c r="P13" i="1"/>
  <c r="R13" i="1" s="1"/>
  <c r="E8" i="24" s="1"/>
  <c r="N15" i="1"/>
  <c r="N17" i="1"/>
  <c r="P77" i="1"/>
  <c r="R77" i="1" s="1"/>
  <c r="N76" i="1"/>
  <c r="R76" i="1" s="1"/>
  <c r="E51" i="24" s="1"/>
  <c r="F51" i="24" s="1"/>
  <c r="O75" i="1"/>
  <c r="R75" i="1" s="1"/>
  <c r="P74" i="1"/>
  <c r="R74" i="1" s="1"/>
  <c r="O73" i="1"/>
  <c r="R73" i="1" s="1"/>
  <c r="N72" i="1"/>
  <c r="R72" i="1" s="1"/>
  <c r="E49" i="24" s="1"/>
  <c r="F49" i="24" s="1"/>
  <c r="O71" i="1"/>
  <c r="R71" i="1" s="1"/>
  <c r="N67" i="1"/>
  <c r="R67" i="1" s="1"/>
  <c r="N64" i="1"/>
  <c r="R64" i="1" s="1"/>
  <c r="N61" i="1"/>
  <c r="R61" i="1" s="1"/>
  <c r="P58" i="1"/>
  <c r="R58" i="1" s="1"/>
  <c r="O57" i="1"/>
  <c r="R57" i="1" s="1"/>
  <c r="E37" i="24" s="1"/>
  <c r="F37" i="24" s="1"/>
  <c r="N55" i="1"/>
  <c r="R55" i="1" s="1"/>
  <c r="N51" i="1"/>
  <c r="R51" i="1" s="1"/>
  <c r="O50" i="1"/>
  <c r="R50" i="1" s="1"/>
  <c r="M50" i="1"/>
  <c r="O49" i="1"/>
  <c r="R49" i="1" s="1"/>
  <c r="E32" i="24" s="1"/>
  <c r="F32" i="24" s="1"/>
  <c r="O43" i="1"/>
  <c r="R43" i="1" s="1"/>
  <c r="O41" i="1"/>
  <c r="R41" i="1" s="1"/>
  <c r="N39" i="1"/>
  <c r="R39" i="1" s="1"/>
  <c r="O38" i="1"/>
  <c r="R38" i="1" s="1"/>
  <c r="M38" i="1"/>
  <c r="O37" i="1"/>
  <c r="R37" i="1" s="1"/>
  <c r="E29" i="24" s="1"/>
  <c r="F29" i="24" s="1"/>
  <c r="O35" i="1"/>
  <c r="R35" i="1" s="1"/>
  <c r="P33" i="1"/>
  <c r="R33" i="1" s="1"/>
  <c r="P32" i="1"/>
  <c r="R32" i="1" s="1"/>
  <c r="M32" i="1"/>
  <c r="O31" i="1"/>
  <c r="N26" i="1"/>
  <c r="R26" i="1" s="1"/>
  <c r="E19" i="24" s="1"/>
  <c r="F19" i="24" s="1"/>
  <c r="N24" i="1"/>
  <c r="R24" i="1" s="1"/>
  <c r="E17" i="24" s="1"/>
  <c r="F17" i="24" s="1"/>
  <c r="N22" i="1"/>
  <c r="R22" i="1" s="1"/>
  <c r="E15" i="24" s="1"/>
  <c r="F15" i="24" s="1"/>
  <c r="N20" i="1"/>
  <c r="N27" i="1"/>
  <c r="N25" i="1"/>
  <c r="R25" i="1" s="1"/>
  <c r="E18" i="24" s="1"/>
  <c r="F18" i="24" s="1"/>
  <c r="N23" i="1"/>
  <c r="R23" i="1" s="1"/>
  <c r="E16" i="24" s="1"/>
  <c r="F16" i="24" s="1"/>
  <c r="P21" i="1"/>
  <c r="R21" i="1" s="1"/>
  <c r="E14" i="24" s="1"/>
  <c r="F14" i="24" s="1"/>
  <c r="N19" i="1"/>
  <c r="K9" i="1"/>
  <c r="K8" i="1"/>
  <c r="K7" i="1"/>
  <c r="K6" i="1"/>
  <c r="K5" i="1"/>
  <c r="O30" i="1"/>
  <c r="R30" i="1" s="1"/>
  <c r="N29" i="1"/>
  <c r="R29" i="1" s="1"/>
  <c r="E22" i="24" s="1"/>
  <c r="F22" i="24" s="1"/>
  <c r="E21" i="34" l="1"/>
  <c r="D31" i="17"/>
  <c r="D30" i="17"/>
  <c r="F8" i="24"/>
  <c r="R68" i="1"/>
  <c r="E45" i="24" s="1"/>
  <c r="F45" i="24" s="1"/>
  <c r="G81" i="1"/>
  <c r="R16" i="1"/>
  <c r="R15" i="1"/>
  <c r="R27" i="1"/>
  <c r="R20" i="1"/>
  <c r="R31" i="1"/>
  <c r="R17" i="1"/>
  <c r="R18" i="1"/>
  <c r="R19" i="1"/>
  <c r="R10" i="1"/>
  <c r="R12" i="1"/>
  <c r="Q81" i="1"/>
  <c r="Q86" i="1" s="1"/>
  <c r="N5" i="1"/>
  <c r="R5" i="1" s="1"/>
  <c r="E6" i="24" l="1"/>
  <c r="F6" i="24" s="1"/>
  <c r="E6" i="28"/>
  <c r="H21" i="34"/>
  <c r="J21" i="34" s="1"/>
  <c r="G21" i="34"/>
  <c r="F21" i="34"/>
  <c r="E23" i="24"/>
  <c r="F23" i="24" s="1"/>
  <c r="E20" i="24"/>
  <c r="F20" i="24" s="1"/>
  <c r="E12" i="24"/>
  <c r="F12" i="24" s="1"/>
  <c r="E11" i="24"/>
  <c r="F11" i="24" s="1"/>
  <c r="E10" i="24"/>
  <c r="F10" i="24" s="1"/>
  <c r="E13" i="24"/>
  <c r="F13" i="24" s="1"/>
  <c r="E9" i="24"/>
  <c r="K6" i="28" l="1"/>
  <c r="F6" i="28"/>
  <c r="E55" i="28"/>
  <c r="E151" i="28" s="1"/>
  <c r="E152" i="28" s="1"/>
  <c r="F9" i="24"/>
  <c r="G7" i="5"/>
  <c r="G11" i="5"/>
  <c r="G13" i="5"/>
  <c r="G5" i="5"/>
  <c r="G9" i="5"/>
  <c r="I9" i="5"/>
  <c r="I7" i="5"/>
  <c r="I13" i="5"/>
  <c r="I11" i="5"/>
  <c r="I5" i="5"/>
  <c r="G16" i="5" l="1"/>
  <c r="H16" i="5" s="1"/>
  <c r="I16" i="5"/>
  <c r="J16" i="5" s="1"/>
  <c r="S11" i="5"/>
  <c r="T11" i="5" s="1"/>
  <c r="S7" i="5"/>
  <c r="T7" i="5" s="1"/>
  <c r="S5" i="5"/>
  <c r="S13" i="5"/>
  <c r="T13" i="5" s="1"/>
  <c r="S9" i="5"/>
  <c r="T9" i="5" s="1"/>
  <c r="U13" i="5"/>
  <c r="V13" i="5" s="1"/>
  <c r="U7" i="5"/>
  <c r="V7" i="5" s="1"/>
  <c r="U11" i="5"/>
  <c r="V11" i="5" s="1"/>
  <c r="U5" i="5"/>
  <c r="U9" i="5"/>
  <c r="V9" i="5" s="1"/>
  <c r="F55" i="28"/>
  <c r="F151" i="28" s="1"/>
  <c r="F152" i="28" s="1"/>
  <c r="F3" i="28" s="1"/>
  <c r="G6" i="28"/>
  <c r="L6" i="28"/>
  <c r="K55" i="28"/>
  <c r="K151" i="28" s="1"/>
  <c r="K152" i="28" s="1"/>
  <c r="S16" i="5" l="1"/>
  <c r="T5" i="5"/>
  <c r="V5" i="5"/>
  <c r="U16" i="5"/>
  <c r="M6" i="28"/>
  <c r="L55" i="28"/>
  <c r="L151" i="28" s="1"/>
  <c r="L152" i="28" s="1"/>
  <c r="M28" i="1"/>
  <c r="O28" i="1"/>
  <c r="R28" i="1" s="1"/>
  <c r="S69" i="5" l="1"/>
  <c r="T69" i="5" s="1"/>
  <c r="V16" i="5"/>
  <c r="U69" i="5"/>
  <c r="V69" i="5" s="1"/>
  <c r="T16" i="5"/>
  <c r="S17" i="5"/>
  <c r="T17" i="5" s="1"/>
  <c r="N70" i="1"/>
  <c r="R70" i="1" s="1"/>
  <c r="E48" i="24" s="1"/>
  <c r="F48" i="24" s="1"/>
  <c r="E11" i="34" l="1"/>
  <c r="H11" i="34" s="1"/>
  <c r="J11" i="34" s="1"/>
  <c r="P81" i="1"/>
  <c r="P86" i="1" s="1"/>
  <c r="O69" i="1"/>
  <c r="R69" i="1" s="1"/>
  <c r="G11" i="34" l="1"/>
  <c r="F11" i="34"/>
  <c r="N12" i="37"/>
  <c r="Q12" i="37" s="1"/>
  <c r="N11" i="37"/>
  <c r="Q11" i="37" s="1"/>
  <c r="F55" i="24"/>
  <c r="F151" i="24" s="1"/>
  <c r="F152" i="24" s="1"/>
  <c r="O81" i="1"/>
  <c r="O86" i="1" s="1"/>
  <c r="N81" i="1"/>
  <c r="R81" i="1"/>
  <c r="S154" i="1" s="1"/>
  <c r="S156" i="1" s="1"/>
  <c r="O11" i="37" l="1"/>
  <c r="P11" i="37"/>
  <c r="P12" i="37"/>
  <c r="O12" i="37"/>
  <c r="N82" i="1"/>
  <c r="N86" i="1"/>
  <c r="R83" i="1"/>
  <c r="R85" i="1" s="1"/>
  <c r="R86" i="1" s="1"/>
  <c r="L82" i="1"/>
  <c r="S12" i="37" l="1"/>
  <c r="R12" i="37"/>
  <c r="S11" i="37"/>
  <c r="R11" i="37"/>
  <c r="P10" i="37"/>
  <c r="P9" i="37" s="1"/>
  <c r="P50" i="37" s="1"/>
  <c r="S10" i="37" l="1"/>
  <c r="S9" i="37" s="1"/>
  <c r="P52" i="37"/>
  <c r="P51" i="37"/>
  <c r="P53" i="37"/>
  <c r="P55" i="37" s="1"/>
  <c r="S70" i="5"/>
  <c r="T70" i="5" s="1"/>
  <c r="E17" i="34"/>
  <c r="G17" i="34" s="1"/>
  <c r="E55" i="24"/>
  <c r="E151" i="24" s="1"/>
  <c r="E152" i="24" s="1"/>
  <c r="P54" i="37" l="1"/>
  <c r="P57" i="37" s="1"/>
  <c r="F17" i="34"/>
  <c r="H17" i="34"/>
  <c r="J17" i="34" s="1"/>
  <c r="J27" i="34" s="1"/>
  <c r="E27" i="34" s="1"/>
  <c r="H27" i="34" s="1"/>
  <c r="P56" i="37" l="1"/>
  <c r="P58" i="37" s="1"/>
  <c r="F27" i="34"/>
  <c r="G27" i="34"/>
  <c r="P59" i="37" l="1"/>
  <c r="P60" i="37" s="1"/>
  <c r="K22" i="36"/>
  <c r="K22" i="37"/>
  <c r="Q22" i="37" s="1"/>
  <c r="K23" i="36"/>
  <c r="K23" i="37"/>
  <c r="Q23" i="37" s="1"/>
  <c r="K25" i="36"/>
  <c r="K25" i="37"/>
  <c r="Q25" i="37" s="1"/>
  <c r="K24" i="36"/>
  <c r="K24" i="37"/>
  <c r="Q24" i="37" s="1"/>
  <c r="L65" i="37" l="1"/>
  <c r="L67" i="37" s="1"/>
  <c r="L69" i="37" s="1"/>
  <c r="M24" i="37"/>
  <c r="L24" i="37"/>
  <c r="Q24" i="36"/>
  <c r="M24" i="36"/>
  <c r="L24" i="36"/>
  <c r="M25" i="37"/>
  <c r="L25" i="37"/>
  <c r="Q25" i="36"/>
  <c r="M25" i="36"/>
  <c r="L25" i="36"/>
  <c r="L23" i="37"/>
  <c r="M23" i="37"/>
  <c r="Q23" i="36"/>
  <c r="M23" i="36"/>
  <c r="L23" i="36"/>
  <c r="M22" i="37"/>
  <c r="L22" i="37"/>
  <c r="Q22" i="36"/>
  <c r="M22" i="36"/>
  <c r="L22" i="36"/>
  <c r="M21" i="37" l="1"/>
  <c r="M20" i="37" s="1"/>
  <c r="M50" i="37" s="1"/>
  <c r="R23" i="36"/>
  <c r="S23" i="36"/>
  <c r="S23" i="37"/>
  <c r="R23" i="37"/>
  <c r="S25" i="36"/>
  <c r="R25" i="36"/>
  <c r="M21" i="36"/>
  <c r="M20" i="36" s="1"/>
  <c r="M50" i="36" s="1"/>
  <c r="R25" i="37"/>
  <c r="S25" i="37"/>
  <c r="R22" i="36"/>
  <c r="S22" i="36"/>
  <c r="R22" i="37"/>
  <c r="S22" i="37"/>
  <c r="S24" i="36"/>
  <c r="R24" i="36"/>
  <c r="R24" i="37"/>
  <c r="S24" i="37"/>
  <c r="S21" i="37" l="1"/>
  <c r="S20" i="37" s="1"/>
  <c r="S50" i="37" s="1"/>
  <c r="S52" i="37" s="1"/>
  <c r="S21" i="36"/>
  <c r="S20" i="36" s="1"/>
  <c r="S50" i="36" s="1"/>
  <c r="M51" i="36"/>
  <c r="M52" i="36"/>
  <c r="M53" i="36"/>
  <c r="M55" i="36" s="1"/>
  <c r="M51" i="37"/>
  <c r="M52" i="37"/>
  <c r="M53" i="37"/>
  <c r="M55" i="37" s="1"/>
  <c r="S51" i="37" l="1"/>
  <c r="S53" i="37"/>
  <c r="S55" i="37" s="1"/>
  <c r="M54" i="37"/>
  <c r="M57" i="37" s="1"/>
  <c r="M54" i="36"/>
  <c r="M57" i="36" s="1"/>
  <c r="S51" i="36"/>
  <c r="S53" i="36"/>
  <c r="S55" i="36" s="1"/>
  <c r="S52" i="36"/>
  <c r="M56" i="36" l="1"/>
  <c r="M59" i="36" s="1"/>
  <c r="S54" i="37"/>
  <c r="S56" i="37" s="1"/>
  <c r="S58" i="37" s="1"/>
  <c r="M56" i="37"/>
  <c r="M58" i="37" s="1"/>
  <c r="S54" i="36"/>
  <c r="M58" i="36"/>
  <c r="S57" i="37" l="1"/>
  <c r="S59" i="37"/>
  <c r="M59" i="37"/>
  <c r="M60" i="37" s="1"/>
  <c r="M60" i="36"/>
  <c r="S57" i="36"/>
  <c r="S56" i="36"/>
  <c r="S60" i="37" l="1"/>
  <c r="T64" i="37" s="1"/>
  <c r="S59" i="36"/>
  <c r="S58" i="36"/>
  <c r="S66" i="37" l="1"/>
  <c r="T63" i="37"/>
  <c r="T62" i="37"/>
  <c r="S60" i="36"/>
</calcChain>
</file>

<file path=xl/sharedStrings.xml><?xml version="1.0" encoding="utf-8"?>
<sst xmlns="http://schemas.openxmlformats.org/spreadsheetml/2006/main" count="1857" uniqueCount="307">
  <si>
    <t>TOTAL M2 DE FACHADA CON DESCUENTOS</t>
  </si>
  <si>
    <t>TOTAL M2 DE FACHADA SIN DESCUENTOS</t>
  </si>
  <si>
    <t>ÁREA TOTAL
(BLANCA)</t>
  </si>
  <si>
    <t>DILATACIÓN
(ML)</t>
  </si>
  <si>
    <t>CARTERAS
(ML)</t>
  </si>
  <si>
    <t>TOTAL
(M2)</t>
  </si>
  <si>
    <t>CANTIDAD</t>
  </si>
  <si>
    <t>ANCHO</t>
  </si>
  <si>
    <t>ALTO</t>
  </si>
  <si>
    <t>DESCRIPCIÓN</t>
  </si>
  <si>
    <t>SECCIÓN</t>
  </si>
  <si>
    <t>DESCUENTOS</t>
  </si>
  <si>
    <t>DIMENSIONES</t>
  </si>
  <si>
    <t>ÁREA TOTAL
(GRIS)</t>
  </si>
  <si>
    <t>ÁREA TOTAL</t>
  </si>
  <si>
    <t>M2</t>
  </si>
  <si>
    <t>%</t>
  </si>
  <si>
    <t>Semana 01</t>
  </si>
  <si>
    <t>Semana 02</t>
  </si>
  <si>
    <t>Total Ejecutado</t>
  </si>
  <si>
    <t>EDIFICIO PANORAMIKA</t>
  </si>
  <si>
    <t>FACHADA</t>
  </si>
  <si>
    <t>SUR</t>
  </si>
  <si>
    <t>PISO</t>
  </si>
  <si>
    <t>Muro Blanco doble altura</t>
  </si>
  <si>
    <t>Muro gris</t>
  </si>
  <si>
    <t>ÁREA TOTAL
(SIGIND)</t>
  </si>
  <si>
    <t>Volumen blanco</t>
  </si>
  <si>
    <t>Muro blanco</t>
  </si>
  <si>
    <t>Lámina siding</t>
  </si>
  <si>
    <t>Muro balcón blanco</t>
  </si>
  <si>
    <t>Muros grises</t>
  </si>
  <si>
    <t>Parq</t>
  </si>
  <si>
    <t>Muro negro</t>
  </si>
  <si>
    <t>ÁREA TOTAL
(NEGRO)</t>
  </si>
  <si>
    <t>Descripción</t>
  </si>
  <si>
    <t xml:space="preserve">Pasillos </t>
  </si>
  <si>
    <t>Punto fijo</t>
  </si>
  <si>
    <t>Cielo rasos</t>
  </si>
  <si>
    <t>Zonas interiores</t>
  </si>
  <si>
    <t>TOTAL M2 DE MUROS Y CIELORASO</t>
  </si>
  <si>
    <t>Muro gris 1</t>
  </si>
  <si>
    <t>Muro gris 2</t>
  </si>
  <si>
    <t>Muro gris 3</t>
  </si>
  <si>
    <t>Muro gris 4</t>
  </si>
  <si>
    <t>PINTURA BLANCA</t>
  </si>
  <si>
    <t>PINTURA NEGRA</t>
  </si>
  <si>
    <t>PINTURA AMARILLA</t>
  </si>
  <si>
    <t>PINTURA GRIS</t>
  </si>
  <si>
    <t>FACHADA SUR</t>
  </si>
  <si>
    <t>Muro blanco (Borde placa y carteras)</t>
  </si>
  <si>
    <t>Lámina Siding  (Borde placa y carteras)</t>
  </si>
  <si>
    <t>Sótanos</t>
  </si>
  <si>
    <t>Muro negro 1</t>
  </si>
  <si>
    <t>Muro negro 2</t>
  </si>
  <si>
    <t>Muro negro 3</t>
  </si>
  <si>
    <t>Muro internos balcón gris</t>
  </si>
  <si>
    <t>Volumen siding</t>
  </si>
  <si>
    <t>Muro internos balcón siding</t>
  </si>
  <si>
    <t>Muro internos balcón blanco</t>
  </si>
  <si>
    <t>Carteras vano ventana blanco</t>
  </si>
  <si>
    <t>Carteras vano ventana siding</t>
  </si>
  <si>
    <t>Todos</t>
  </si>
  <si>
    <t>Alfajía en volumenes de fachada</t>
  </si>
  <si>
    <t>General</t>
  </si>
  <si>
    <t>Cielorasos en volumenes de fachada</t>
  </si>
  <si>
    <t>Sotanos</t>
  </si>
  <si>
    <t>FACHADA ESTE</t>
  </si>
  <si>
    <t>Muros gris</t>
  </si>
  <si>
    <t>Muro placa blanco</t>
  </si>
  <si>
    <t>Muro placa siding</t>
  </si>
  <si>
    <t xml:space="preserve">Muros gris </t>
  </si>
  <si>
    <t>Muros blancos</t>
  </si>
  <si>
    <t xml:space="preserve">Lámina Siding </t>
  </si>
  <si>
    <t>FACHADA OESTE</t>
  </si>
  <si>
    <t>FACHADA NORTE</t>
  </si>
  <si>
    <t xml:space="preserve">Muro negro </t>
  </si>
  <si>
    <t>Cielorasos en balcones</t>
  </si>
  <si>
    <t>TOTAL M2 INTERIORES</t>
  </si>
  <si>
    <t>Cieloraso en fachada</t>
  </si>
  <si>
    <t>Semana 03</t>
  </si>
  <si>
    <t>Semana 04</t>
  </si>
  <si>
    <t>Fachada General</t>
  </si>
  <si>
    <t>Fachada doble altura</t>
  </si>
  <si>
    <t>Láminas Siding</t>
  </si>
  <si>
    <t>ML</t>
  </si>
  <si>
    <t>Sección</t>
  </si>
  <si>
    <t>Fachada</t>
  </si>
  <si>
    <t>Piso</t>
  </si>
  <si>
    <t>Semana 05</t>
  </si>
  <si>
    <t>Lavado de fachada</t>
  </si>
  <si>
    <t>Lavado de vidrios</t>
  </si>
  <si>
    <t>2.2</t>
  </si>
  <si>
    <t>2.1</t>
  </si>
  <si>
    <t>3.2</t>
  </si>
  <si>
    <t>3.1</t>
  </si>
  <si>
    <t>Cantidad</t>
  </si>
  <si>
    <t>Total M2 de Fachada</t>
  </si>
  <si>
    <t>Total de M2 Ejecutados</t>
  </si>
  <si>
    <t>Total M2 de Fachada General</t>
  </si>
  <si>
    <t>% ejecucion</t>
  </si>
  <si>
    <t>1.0</t>
  </si>
  <si>
    <t>1.1</t>
  </si>
  <si>
    <t>1.2</t>
  </si>
  <si>
    <t>Campamento</t>
  </si>
  <si>
    <t>Limpieza de carpinteria en aluminio (Ventanas, marcos, pasamanos y balcones)</t>
  </si>
  <si>
    <t>Pintura gris basalto koraza (parqueaderos)</t>
  </si>
  <si>
    <t>Pintura para interiores blanca tipo 1 viniltex ultralavable a dos manos</t>
  </si>
  <si>
    <t>Pintura para interiores cieloraso tipo 3 icolatex pintuco a dos manos</t>
  </si>
  <si>
    <t>GLB</t>
  </si>
  <si>
    <t>3.3</t>
  </si>
  <si>
    <t>4.1</t>
  </si>
  <si>
    <t>4.2</t>
  </si>
  <si>
    <t>4.3</t>
  </si>
  <si>
    <t>Suministro e instalación de cortagoteras en aluminio</t>
  </si>
  <si>
    <t>5.1</t>
  </si>
  <si>
    <t>5.2</t>
  </si>
  <si>
    <t>Media caña en concreto incluye impermeabilizado</t>
  </si>
  <si>
    <t>6.1</t>
  </si>
  <si>
    <t>6.2</t>
  </si>
  <si>
    <t>6.3</t>
  </si>
  <si>
    <t>6.4</t>
  </si>
  <si>
    <t>6.5</t>
  </si>
  <si>
    <t>6.6</t>
  </si>
  <si>
    <t>7.1</t>
  </si>
  <si>
    <t>Administracion</t>
  </si>
  <si>
    <t>Imprevistos</t>
  </si>
  <si>
    <t>Utilidad</t>
  </si>
  <si>
    <t>IVA/U</t>
  </si>
  <si>
    <t>La cantidad que se encuentra consignada en el acta #1 respecto a los M2 de pintura en pasillos corresponde al 70% de la cantidad ejecutada a la fecha.</t>
  </si>
  <si>
    <t>Semana 06</t>
  </si>
  <si>
    <t>Semana 07</t>
  </si>
  <si>
    <t>Vr Esta Acta</t>
  </si>
  <si>
    <t>Saldo por Amortizar</t>
  </si>
  <si>
    <t>Vr Amortizacion Anticipo esta acta</t>
  </si>
  <si>
    <t>Valor Anticipo</t>
  </si>
  <si>
    <t>Valor Contrato</t>
  </si>
  <si>
    <t>Total Desembolso</t>
  </si>
  <si>
    <t>retegarantia</t>
  </si>
  <si>
    <t>amortizac anticipo</t>
  </si>
  <si>
    <t>retefuente</t>
  </si>
  <si>
    <t>Total Vr. Acta</t>
  </si>
  <si>
    <t>TOTAL PROPUESTA</t>
  </si>
  <si>
    <t>TOTAL SIN IVA</t>
  </si>
  <si>
    <t>Imprev.</t>
  </si>
  <si>
    <t>Admon</t>
  </si>
  <si>
    <t>T. directos</t>
  </si>
  <si>
    <t>TOTALES DIRECTOS</t>
  </si>
  <si>
    <t>Aprobado: Ing. Luis Fernando Márquez Jaramillo-Interventoria</t>
  </si>
  <si>
    <t>Aseo y Retiro de Escombros</t>
  </si>
  <si>
    <t>Aseo General y Retiro de Escombros</t>
  </si>
  <si>
    <t>Gl</t>
  </si>
  <si>
    <t>Reemplazo de Pasto Sintetico por Enchape</t>
  </si>
  <si>
    <t>UN</t>
  </si>
  <si>
    <t>Suministro e Instalacion de Anclajes Certificados</t>
  </si>
  <si>
    <t>Suministro e Instalacion de Alfajia en Lamina Galvanizada</t>
  </si>
  <si>
    <t>Desmonte y Suministro e Instalacion de Teja Translucida</t>
  </si>
  <si>
    <t>Impermeabilizacion de Placa de Concreto en Terraza</t>
  </si>
  <si>
    <t>Recorrido General de Cubierta Principal en UPVC</t>
  </si>
  <si>
    <t>CUBIERTA</t>
  </si>
  <si>
    <t>Acondicionamiento de Acceso a Terraza</t>
  </si>
  <si>
    <t>VARIOS</t>
  </si>
  <si>
    <t>Desmonte y vuelta a instalar de vidrio templado de cerramiento en terraza y Jacuzzi</t>
  </si>
  <si>
    <t>Resellado Perimetral de Elementos Vidriados en Fachada</t>
  </si>
  <si>
    <t>CARPINTERIA EN ALUMINIO y Vidrio</t>
  </si>
  <si>
    <t>Pintura para Cielorrasos Interiores Tipo Viniltex Advanced de Pintuco Color Blanco</t>
  </si>
  <si>
    <t>3.3.2</t>
  </si>
  <si>
    <t>Pintura para Muros Interiores  tipo 1 viniltex advanced de pintuco color blanco</t>
  </si>
  <si>
    <t>3.3.1</t>
  </si>
  <si>
    <t>Pintura Tipo Viniltex Advanced de Pintuco en Interiores</t>
  </si>
  <si>
    <t>Pintura Pintulux 3 en 1 en carpinteria metalica de soporte y de guia de teja translucida</t>
  </si>
  <si>
    <t>3.2.2</t>
  </si>
  <si>
    <t>Pintura Pintulux 3 en 1 (carpinteria metalica parqueaderos)</t>
  </si>
  <si>
    <t>3.2.1</t>
  </si>
  <si>
    <t>Pintura Tipo Pintulux 3 en 1 sobre Elementos Metalicos</t>
  </si>
  <si>
    <t>Pintura sobre alfajías Tipo Koraza Proteccion Sol y Lluvia Impermeabilizante</t>
  </si>
  <si>
    <t>3.1.6</t>
  </si>
  <si>
    <t>3.1.5</t>
  </si>
  <si>
    <t>Pintura Tipo Koraza Proteccion Sol y Lluvia Impermeabilizante sobre lamina tipo siding  (color madera cedro)</t>
  </si>
  <si>
    <t>3.1.4</t>
  </si>
  <si>
    <t>Pintura negra para exteriores tipo Koraza Proteccion Sol y Lluvia Impermeabilizante</t>
  </si>
  <si>
    <t>3.1.3</t>
  </si>
  <si>
    <t>Pintura gris para exteriores tipo Koraza Proteccion Sol y Lluvia Impermeabilizante</t>
  </si>
  <si>
    <t>3.1.2</t>
  </si>
  <si>
    <t>Pintura blanca para exteriores tipo Koraza Proteccion Sol y Lluvia Impermeabilizante</t>
  </si>
  <si>
    <t>3.1.1</t>
  </si>
  <si>
    <t>Pintura Tipo Koraza para Exteriores</t>
  </si>
  <si>
    <t>PINTURA</t>
  </si>
  <si>
    <t xml:space="preserve">Retiro y Sustitución de láminas de Drywall en mal estado, interiores y exteriores </t>
  </si>
  <si>
    <t>2.2.5</t>
  </si>
  <si>
    <t>Retiro y Sustitucion de laminas de superboard tipo Siding Color Madera</t>
  </si>
  <si>
    <t>2.2.4</t>
  </si>
  <si>
    <t>Retiro y Sustitucion de laminas de Superboard en mal estado</t>
  </si>
  <si>
    <t>2.2.3</t>
  </si>
  <si>
    <t>Suministro y Reposición de graniplast - silcoplast deteriorado</t>
  </si>
  <si>
    <t>2.2.2</t>
  </si>
  <si>
    <t>Suministro y Reposicion de mortero quemado o desprendido</t>
  </si>
  <si>
    <t>2.2.1</t>
  </si>
  <si>
    <t>REPARACIONES Y TRATAMIENTOS ESPECIALES en Fachada</t>
  </si>
  <si>
    <t xml:space="preserve">Limpieza de fachadas internas </t>
  </si>
  <si>
    <t>2.1.3</t>
  </si>
  <si>
    <t>2.1.2</t>
  </si>
  <si>
    <t>Lavado de Fachadas Externas (blanco, gris, negro, color madera)</t>
  </si>
  <si>
    <t>2.1.1</t>
  </si>
  <si>
    <t>LAVADO Y LIMPIEZA</t>
  </si>
  <si>
    <t>PREPARACION DE SUPERFICIES</t>
  </si>
  <si>
    <t>Señalizacion y Seguridad</t>
  </si>
  <si>
    <t>PRELIMINARES</t>
  </si>
  <si>
    <t>Valor Total</t>
  </si>
  <si>
    <t>% avance</t>
  </si>
  <si>
    <t>VALOR DIRECTO ACTIVIDAD</t>
  </si>
  <si>
    <t>VR UNITARIO</t>
  </si>
  <si>
    <t>UNIDAD</t>
  </si>
  <si>
    <t>DESCRIPCION</t>
  </si>
  <si>
    <t>ITEMS</t>
  </si>
  <si>
    <t>CAPT</t>
  </si>
  <si>
    <t>sept 22 a noviembre 5 de 2025</t>
  </si>
  <si>
    <t>Acta 01- Periodo del</t>
  </si>
  <si>
    <t>PNK-001-2025</t>
  </si>
  <si>
    <t>Contratista: Freshouse SAS</t>
  </si>
  <si>
    <t>INTERVENTOR: Ing. Luis Fernando Márquez Jaramillo</t>
  </si>
  <si>
    <t>Contratante: Edificio Panoramika PH</t>
  </si>
  <si>
    <t>ACTA 01 DE AVANCE DE OBRA-EDIF PANORAMIKA</t>
  </si>
  <si>
    <t>Acta 02- Periodo del</t>
  </si>
  <si>
    <t>Estado de obra - Actividades ejecutadas</t>
  </si>
  <si>
    <t>UM</t>
  </si>
  <si>
    <t>Cantidas 
Ejecutada</t>
  </si>
  <si>
    <t>Cantidad Restante</t>
  </si>
  <si>
    <t>Porcentaje 
restante</t>
  </si>
  <si>
    <t>Lavado de superficie de fachada</t>
  </si>
  <si>
    <t>Aplicación de pintura en superficie de fachada</t>
  </si>
  <si>
    <t>Und</t>
  </si>
  <si>
    <t>Aplicación de pintura en pasillos</t>
  </si>
  <si>
    <t>UND</t>
  </si>
  <si>
    <t>Estado General de la Obra</t>
  </si>
  <si>
    <t xml:space="preserve">Plantilla </t>
  </si>
  <si>
    <t>Aplicación de sicoplast en superficie de fachada</t>
  </si>
  <si>
    <t>Aplicación de pintura en alfajías</t>
  </si>
  <si>
    <t>Puntos de anclaje</t>
  </si>
  <si>
    <t>Mantenimiento de cubiertas</t>
  </si>
  <si>
    <t>Total Ejecutado
Acta 01</t>
  </si>
  <si>
    <t>Acumulado de actas</t>
  </si>
  <si>
    <t>nov 06 a dic 05 de 2025</t>
  </si>
  <si>
    <t xml:space="preserve">Periodo de Ejecucion: </t>
  </si>
  <si>
    <t xml:space="preserve">Edificio Panoramika </t>
  </si>
  <si>
    <t>Aplicación de sello en ventanas, volumenes y dilataciones</t>
  </si>
  <si>
    <t>Semana #</t>
  </si>
  <si>
    <t>Acta 03- Periodo del</t>
  </si>
  <si>
    <t>dic 06 a enero 19 de 2025</t>
  </si>
  <si>
    <t>sept 22 a enero 19 de 2026</t>
  </si>
  <si>
    <t xml:space="preserve">  FECHA: 19/01/2026</t>
  </si>
  <si>
    <t xml:space="preserve">  FECHA: 21/01/2026</t>
  </si>
  <si>
    <t>contrato</t>
  </si>
  <si>
    <t>real en obra</t>
  </si>
  <si>
    <t>diferencia</t>
  </si>
  <si>
    <t>vr diferencia</t>
  </si>
  <si>
    <t>KORAZA EXTERIORES</t>
  </si>
  <si>
    <t>GRANIPLAST-SILCOPLAST</t>
  </si>
  <si>
    <t>SUPERBOARD NORMAL</t>
  </si>
  <si>
    <t>SUPERBOARD SIDING</t>
  </si>
  <si>
    <t>SELLADO VENTANERIA</t>
  </si>
  <si>
    <t>ACTA 03 DE AVANCE DE OBRA-EDIF PANORAMIKA</t>
  </si>
  <si>
    <t>ACTA 01 DE AVANCE DE OBRA-PARQUE RESIDENCIAL LOS CEDROS</t>
  </si>
  <si>
    <t>Contratante: Parque residencial Los Cedros</t>
  </si>
  <si>
    <t xml:space="preserve">  FECHA: 04/03/2026</t>
  </si>
  <si>
    <t>A</t>
  </si>
  <si>
    <t>ENE 15 - 17</t>
  </si>
  <si>
    <t>B</t>
  </si>
  <si>
    <t>C</t>
  </si>
  <si>
    <t>D</t>
  </si>
  <si>
    <t>E</t>
  </si>
  <si>
    <t>ENE 26 - 31</t>
  </si>
  <si>
    <t>ENE 19 - 24</t>
  </si>
  <si>
    <t>FEB 02-07</t>
  </si>
  <si>
    <t>FEB 09-14</t>
  </si>
  <si>
    <t>FEB 16 - 21</t>
  </si>
  <si>
    <t>FEB 23 - 28</t>
  </si>
  <si>
    <t>F</t>
  </si>
  <si>
    <t>PUNTO FIJO</t>
  </si>
  <si>
    <t>1 DERECHA</t>
  </si>
  <si>
    <t>CARACOL</t>
  </si>
  <si>
    <t>1 IZQUIERDA</t>
  </si>
  <si>
    <t>CEDROS - LAVADO DE FACHADA</t>
  </si>
  <si>
    <t>CEDROS - PINTURA DE FACHADA</t>
  </si>
  <si>
    <t>Pintura de fachada</t>
  </si>
  <si>
    <t>CEDROS - SELLO PERIMETRAL</t>
  </si>
  <si>
    <t xml:space="preserve">SELLO PERIMETRAL </t>
  </si>
  <si>
    <t>CEDROS - GRANIPLAST DE FACHADA</t>
  </si>
  <si>
    <t>Graniplast fachada</t>
  </si>
  <si>
    <t xml:space="preserve"> CEDROS - INTERVENCIÓN DE ZONAS INTERIORES</t>
  </si>
  <si>
    <t>FEB 16-21</t>
  </si>
  <si>
    <t>FEB 23-28</t>
  </si>
  <si>
    <t>TOTAL EJECUTADO</t>
  </si>
  <si>
    <t>Suministro y Aplicación de Pintura tipo 3 en 1, en puertas de los 
apartamentos (estan incluidas las de los exteriores, porteria
motobombas)</t>
  </si>
  <si>
    <t>3.2.3</t>
  </si>
  <si>
    <t>Suministro y Aplicación de Pintuco Fill sobre las cubiertas de los parqueaderos</t>
  </si>
  <si>
    <t>Pintura Pintulux 3 en 1 estructura metalica parqueaderos</t>
  </si>
  <si>
    <t>3.2.4</t>
  </si>
  <si>
    <t>Suministro y Aplicación de Pintura para Barandas Metalicas en areas exteriores: gimnasio, pasillos, cuarto de acueducto, piscina</t>
  </si>
  <si>
    <t>2.2.6</t>
  </si>
  <si>
    <t>Suministro e Instalacion de Cortagoteras en Balcones y Accesos a los bloques de aptos</t>
  </si>
  <si>
    <t>Suministro y Aplicación de Pintura para exteriores, tipo Koraza, sobre superficies de Fachadas y Muros Externos de los bloques de apartamentos</t>
  </si>
  <si>
    <t>Suministro y Aplicación de Pintura tipo Vinilo en areas comunes internas de los bloques de aptos: paredes y cielos rasos</t>
  </si>
  <si>
    <t>Retiro y Reposicion de sello perimetral en elementos vidriados de los 
bloque de apartamentos (30% DEL TOTAL)</t>
  </si>
  <si>
    <t>Periodo de Ejecucion: 15/01/2026 a 28/02/3026</t>
  </si>
  <si>
    <t>TOTAL DIRECTOS</t>
  </si>
  <si>
    <t>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</si>
</sst>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"/>
    <numFmt numFmtId="165" formatCode="0.0%"/>
    <numFmt numFmtId="166" formatCode="[$-F800]dddd\,\ mmmm\ dd\,\ yyyy"/>
    <numFmt numFmtId="167" formatCode="_-&quot;$&quot;\ * #,##0_-;\-&quot;$&quot;\ * #,##0_-;_-&quot;$&quot;\ * &quot;-&quot;??_-;_-@_-"/>
    <numFmt numFmtId="168" formatCode="_-* #,##0.00000_-;\-* #,##0.00000_-;_-* &quot;-&quot;??_-;_-@_-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0"/>
      <name val="Arial Narrow"/>
      <family val="2"/>
    </font>
    <font>
      <sz val="11"/>
      <color theme="1"/>
      <name val="Arial Narrow"/>
      <family val="2"/>
    </font>
    <font>
      <b/>
      <sz val="11"/>
      <color theme="0"/>
      <name val="Arial Narrow"/>
      <family val="2"/>
    </font>
    <font>
      <b/>
      <sz val="11"/>
      <color theme="1"/>
      <name val="Arial Narrow"/>
      <family val="2"/>
    </font>
    <font>
      <sz val="11"/>
      <color rgb="FFC00000"/>
      <name val="Arial Narrow"/>
      <family val="2"/>
    </font>
    <font>
      <b/>
      <sz val="11"/>
      <color rgb="FFC00000"/>
      <name val="Arial Narrow"/>
      <family val="2"/>
    </font>
    <font>
      <sz val="11"/>
      <color rgb="FF0070C0"/>
      <name val="Arial Narrow"/>
      <family val="2"/>
    </font>
    <font>
      <b/>
      <sz val="11"/>
      <color rgb="FF0070C0"/>
      <name val="Arial Narrow"/>
      <family val="2"/>
    </font>
    <font>
      <sz val="8"/>
      <name val="Calibri"/>
      <family val="2"/>
      <scheme val="minor"/>
    </font>
    <font>
      <b/>
      <sz val="22"/>
      <color theme="0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1"/>
      <color rgb="FF000000"/>
      <name val="Arial Narrow"/>
      <family val="2"/>
    </font>
    <font>
      <sz val="36"/>
      <color theme="1"/>
      <name val="Arial Narrow"/>
      <family val="2"/>
    </font>
    <font>
      <b/>
      <sz val="11"/>
      <color rgb="FF000000"/>
      <name val="Arial Narrow"/>
      <family val="2"/>
    </font>
    <font>
      <sz val="11"/>
      <name val="Arial Narrow"/>
      <family val="2"/>
    </font>
    <font>
      <sz val="11"/>
      <color rgb="FFFF0000"/>
      <name val="Arial Narrow"/>
      <family val="2"/>
    </font>
    <font>
      <b/>
      <sz val="11"/>
      <color theme="1"/>
      <name val="Calibri"/>
      <family val="2"/>
      <scheme val="minor"/>
    </font>
    <font>
      <sz val="16"/>
      <color theme="1"/>
      <name val="Arial Narrow"/>
      <family val="2"/>
    </font>
    <font>
      <sz val="14"/>
      <color theme="1"/>
      <name val="Arial Narrow"/>
      <family val="2"/>
    </font>
    <font>
      <b/>
      <sz val="16"/>
      <color theme="1"/>
      <name val="Arial Narrow"/>
      <family val="2"/>
    </font>
    <font>
      <b/>
      <sz val="12"/>
      <color theme="0"/>
      <name val="Arial Narrow"/>
      <family val="2"/>
    </font>
    <font>
      <b/>
      <sz val="14"/>
      <color theme="0"/>
      <name val="Arial Narrow"/>
      <family val="2"/>
    </font>
    <font>
      <b/>
      <sz val="14"/>
      <name val="Arial Narrow"/>
      <family val="2"/>
    </font>
    <font>
      <sz val="12"/>
      <name val="Arial Narrow"/>
      <family val="2"/>
    </font>
    <font>
      <sz val="14"/>
      <name val="Arial Narrow"/>
      <family val="2"/>
    </font>
    <font>
      <b/>
      <sz val="14"/>
      <color rgb="FF0070C0"/>
      <name val="Arial Narrow"/>
      <family val="2"/>
    </font>
    <font>
      <b/>
      <sz val="14"/>
      <color rgb="FFFF7B89"/>
      <name val="Arial Narrow"/>
      <family val="2"/>
    </font>
    <font>
      <b/>
      <sz val="14"/>
      <color theme="1"/>
      <name val="Arial Narrow"/>
      <family val="2"/>
    </font>
    <font>
      <b/>
      <sz val="20"/>
      <color theme="0"/>
      <name val="Calibri Light"/>
      <family val="2"/>
      <scheme val="major"/>
    </font>
    <font>
      <sz val="36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1"/>
      <color theme="0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sz val="11"/>
      <name val="Calibri Light"/>
      <family val="2"/>
      <scheme val="major"/>
    </font>
    <font>
      <sz val="11"/>
      <color rgb="FFFF0000"/>
      <name val="Calibri Light"/>
      <family val="2"/>
      <scheme val="major"/>
    </font>
    <font>
      <b/>
      <sz val="11"/>
      <name val="Arial Narrow"/>
      <family val="2"/>
    </font>
  </fonts>
  <fills count="21">
    <fill>
      <patternFill patternType="none"/>
    </fill>
    <fill>
      <patternFill patternType="gray125"/>
    </fill>
    <fill>
      <patternFill patternType="solid">
        <fgColor rgb="FF447684"/>
        <bgColor indexed="64"/>
      </patternFill>
    </fill>
    <fill>
      <patternFill patternType="solid">
        <fgColor rgb="FFFFA86D"/>
        <bgColor indexed="64"/>
      </patternFill>
    </fill>
    <fill>
      <patternFill patternType="solid">
        <fgColor rgb="FFFF7B89"/>
        <bgColor indexed="64"/>
      </patternFill>
    </fill>
    <fill>
      <patternFill patternType="solid">
        <fgColor rgb="FFA7C9D2"/>
        <bgColor indexed="64"/>
      </patternFill>
    </fill>
    <fill>
      <patternFill patternType="solid">
        <fgColor rgb="FF5C9BAC"/>
        <bgColor indexed="64"/>
      </patternFill>
    </fill>
    <fill>
      <patternFill patternType="solid">
        <fgColor rgb="FFEEEBEE"/>
        <bgColor indexed="64"/>
      </patternFill>
    </fill>
    <fill>
      <patternFill patternType="solid">
        <fgColor rgb="FFD6E6EA"/>
        <bgColor indexed="64"/>
      </patternFill>
    </fill>
    <fill>
      <patternFill patternType="solid">
        <fgColor rgb="FFFFB9C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ABCCD5"/>
        <bgColor indexed="64"/>
      </patternFill>
    </fill>
    <fill>
      <patternFill patternType="solid">
        <fgColor rgb="FF5292A4"/>
        <bgColor indexed="64"/>
      </patternFill>
    </fill>
    <fill>
      <patternFill patternType="solid">
        <fgColor rgb="FF315761"/>
        <bgColor indexed="64"/>
      </patternFill>
    </fill>
    <fill>
      <patternFill patternType="solid">
        <fgColor rgb="FFC7DDE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19">
    <xf numFmtId="0" fontId="0" fillId="0" borderId="0" xfId="0"/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2" fontId="3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2" fontId="4" fillId="2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 indent="1"/>
    </xf>
    <xf numFmtId="0" fontId="4" fillId="2" borderId="0" xfId="0" applyFont="1" applyFill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9" fontId="3" fillId="0" borderId="0" xfId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44" fontId="3" fillId="0" borderId="0" xfId="0" applyNumberFormat="1" applyFont="1" applyAlignment="1">
      <alignment horizontal="center" vertical="center"/>
    </xf>
    <xf numFmtId="44" fontId="3" fillId="0" borderId="0" xfId="2" applyFont="1" applyAlignment="1">
      <alignment vertical="center"/>
    </xf>
    <xf numFmtId="1" fontId="3" fillId="0" borderId="0" xfId="1" applyNumberFormat="1" applyFont="1" applyAlignment="1">
      <alignment horizontal="center" vertical="center"/>
    </xf>
    <xf numFmtId="2" fontId="5" fillId="0" borderId="0" xfId="1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2" fontId="3" fillId="4" borderId="0" xfId="0" applyNumberFormat="1" applyFont="1" applyFill="1" applyAlignment="1">
      <alignment horizontal="center" vertical="center"/>
    </xf>
    <xf numFmtId="2" fontId="5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vertical="center"/>
    </xf>
    <xf numFmtId="0" fontId="3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vertical="center"/>
    </xf>
    <xf numFmtId="2" fontId="3" fillId="6" borderId="0" xfId="0" applyNumberFormat="1" applyFont="1" applyFill="1" applyAlignment="1">
      <alignment horizontal="center" vertical="center"/>
    </xf>
    <xf numFmtId="2" fontId="5" fillId="6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vertical="center" wrapText="1"/>
    </xf>
    <xf numFmtId="2" fontId="4" fillId="4" borderId="0" xfId="0" applyNumberFormat="1" applyFont="1" applyFill="1" applyAlignment="1">
      <alignment horizontal="center" vertical="center"/>
    </xf>
    <xf numFmtId="165" fontId="3" fillId="0" borderId="0" xfId="1" applyNumberFormat="1" applyFont="1" applyAlignment="1">
      <alignment vertical="center"/>
    </xf>
    <xf numFmtId="0" fontId="4" fillId="7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2" fontId="3" fillId="8" borderId="0" xfId="0" applyNumberFormat="1" applyFont="1" applyFill="1" applyAlignment="1">
      <alignment horizontal="center" vertical="center"/>
    </xf>
    <xf numFmtId="9" fontId="3" fillId="8" borderId="0" xfId="1" applyFont="1" applyFill="1" applyAlignment="1">
      <alignment horizontal="center" vertical="center"/>
    </xf>
    <xf numFmtId="2" fontId="3" fillId="7" borderId="0" xfId="0" applyNumberFormat="1" applyFont="1" applyFill="1" applyAlignment="1">
      <alignment horizontal="center" vertical="center"/>
    </xf>
    <xf numFmtId="2" fontId="5" fillId="5" borderId="0" xfId="0" applyNumberFormat="1" applyFont="1" applyFill="1" applyAlignment="1">
      <alignment horizontal="center" vertical="center"/>
    </xf>
    <xf numFmtId="10" fontId="5" fillId="5" borderId="0" xfId="1" applyNumberFormat="1" applyFont="1" applyFill="1" applyAlignment="1">
      <alignment horizontal="center" vertical="center"/>
    </xf>
    <xf numFmtId="10" fontId="4" fillId="2" borderId="0" xfId="1" applyNumberFormat="1" applyFont="1" applyFill="1" applyAlignment="1">
      <alignment horizontal="center" vertical="center"/>
    </xf>
    <xf numFmtId="2" fontId="5" fillId="9" borderId="0" xfId="0" applyNumberFormat="1" applyFont="1" applyFill="1" applyAlignment="1">
      <alignment horizontal="center" vertical="center"/>
    </xf>
    <xf numFmtId="10" fontId="5" fillId="9" borderId="0" xfId="0" applyNumberFormat="1" applyFont="1" applyFill="1" applyAlignment="1">
      <alignment horizontal="center" vertical="center"/>
    </xf>
    <xf numFmtId="2" fontId="4" fillId="2" borderId="0" xfId="1" applyNumberFormat="1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8" borderId="0" xfId="0" applyFont="1" applyFill="1" applyAlignment="1">
      <alignment vertical="center"/>
    </xf>
    <xf numFmtId="166" fontId="3" fillId="0" borderId="0" xfId="0" applyNumberFormat="1" applyFont="1" applyAlignment="1">
      <alignment vertical="center"/>
    </xf>
    <xf numFmtId="2" fontId="5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2" fontId="3" fillId="0" borderId="0" xfId="1" applyNumberFormat="1" applyFont="1" applyAlignment="1">
      <alignment horizontal="center" vertical="center"/>
    </xf>
    <xf numFmtId="10" fontId="4" fillId="4" borderId="0" xfId="1" applyNumberFormat="1" applyFont="1" applyFill="1" applyAlignment="1">
      <alignment horizontal="center" vertical="center"/>
    </xf>
    <xf numFmtId="0" fontId="4" fillId="4" borderId="0" xfId="0" applyFont="1" applyFill="1" applyAlignment="1">
      <alignment vertical="center" wrapText="1"/>
    </xf>
    <xf numFmtId="0" fontId="3" fillId="7" borderId="0" xfId="0" applyFont="1" applyFill="1" applyAlignment="1">
      <alignment horizontal="center" vertical="center"/>
    </xf>
    <xf numFmtId="0" fontId="3" fillId="7" borderId="0" xfId="0" applyFont="1" applyFill="1" applyAlignment="1">
      <alignment vertical="center"/>
    </xf>
    <xf numFmtId="164" fontId="5" fillId="0" borderId="0" xfId="0" applyNumberFormat="1" applyFont="1" applyAlignment="1">
      <alignment horizontal="center" vertical="center"/>
    </xf>
    <xf numFmtId="9" fontId="5" fillId="0" borderId="0" xfId="1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14" fillId="0" borderId="1" xfId="0" applyFont="1" applyBorder="1" applyAlignment="1">
      <alignment vertical="center" wrapText="1"/>
    </xf>
    <xf numFmtId="167" fontId="3" fillId="0" borderId="1" xfId="0" applyNumberFormat="1" applyFont="1" applyBorder="1" applyAlignment="1">
      <alignment horizontal="left" vertical="center" wrapText="1"/>
    </xf>
    <xf numFmtId="44" fontId="3" fillId="0" borderId="1" xfId="2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9" fontId="5" fillId="0" borderId="1" xfId="0" applyNumberFormat="1" applyFont="1" applyBorder="1" applyAlignment="1">
      <alignment horizontal="center" vertical="center"/>
    </xf>
    <xf numFmtId="44" fontId="3" fillId="0" borderId="1" xfId="2" applyFont="1" applyBorder="1" applyAlignment="1">
      <alignment vertical="center"/>
    </xf>
    <xf numFmtId="0" fontId="12" fillId="0" borderId="0" xfId="0" applyFont="1" applyAlignment="1">
      <alignment horizontal="left" vertical="center"/>
    </xf>
    <xf numFmtId="44" fontId="5" fillId="0" borderId="0" xfId="2" applyFont="1" applyAlignment="1">
      <alignment vertical="center" wrapText="1"/>
    </xf>
    <xf numFmtId="0" fontId="4" fillId="16" borderId="1" xfId="0" applyFont="1" applyFill="1" applyBorder="1" applyAlignment="1">
      <alignment horizontal="center" vertical="center" wrapText="1"/>
    </xf>
    <xf numFmtId="164" fontId="5" fillId="15" borderId="1" xfId="0" applyNumberFormat="1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vertical="center" wrapText="1"/>
    </xf>
    <xf numFmtId="167" fontId="5" fillId="15" borderId="1" xfId="0" applyNumberFormat="1" applyFont="1" applyFill="1" applyBorder="1" applyAlignment="1">
      <alignment horizontal="left" vertical="center" wrapText="1"/>
    </xf>
    <xf numFmtId="44" fontId="5" fillId="11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3" fontId="3" fillId="0" borderId="1" xfId="3" applyFont="1" applyFill="1" applyBorder="1" applyAlignment="1">
      <alignment vertical="center" wrapText="1"/>
    </xf>
    <xf numFmtId="9" fontId="3" fillId="0" borderId="1" xfId="1" applyFont="1" applyBorder="1" applyAlignment="1">
      <alignment vertical="center"/>
    </xf>
    <xf numFmtId="0" fontId="5" fillId="15" borderId="1" xfId="0" applyFont="1" applyFill="1" applyBorder="1" applyAlignment="1">
      <alignment horizontal="center" vertical="center" wrapText="1"/>
    </xf>
    <xf numFmtId="44" fontId="5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3" fillId="15" borderId="1" xfId="0" applyFont="1" applyFill="1" applyBorder="1" applyAlignment="1">
      <alignment vertical="center" wrapText="1"/>
    </xf>
    <xf numFmtId="43" fontId="5" fillId="15" borderId="1" xfId="0" applyNumberFormat="1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right" vertical="center"/>
    </xf>
    <xf numFmtId="164" fontId="5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vertical="center" wrapText="1"/>
    </xf>
    <xf numFmtId="43" fontId="3" fillId="15" borderId="1" xfId="3" applyFont="1" applyFill="1" applyBorder="1" applyAlignment="1">
      <alignment vertical="center" wrapText="1"/>
    </xf>
    <xf numFmtId="167" fontId="18" fillId="15" borderId="1" xfId="0" applyNumberFormat="1" applyFont="1" applyFill="1" applyBorder="1" applyAlignment="1">
      <alignment horizontal="left" vertical="center" wrapText="1"/>
    </xf>
    <xf numFmtId="167" fontId="4" fillId="0" borderId="1" xfId="0" applyNumberFormat="1" applyFont="1" applyBorder="1" applyAlignment="1">
      <alignment vertical="center"/>
    </xf>
    <xf numFmtId="44" fontId="5" fillId="12" borderId="1" xfId="0" applyNumberFormat="1" applyFont="1" applyFill="1" applyBorder="1" applyAlignment="1">
      <alignment horizontal="center" vertical="center"/>
    </xf>
    <xf numFmtId="9" fontId="3" fillId="0" borderId="1" xfId="1" applyFont="1" applyFill="1" applyBorder="1" applyAlignment="1">
      <alignment horizontal="center" vertical="center"/>
    </xf>
    <xf numFmtId="167" fontId="3" fillId="0" borderId="1" xfId="2" applyNumberFormat="1" applyFont="1" applyFill="1" applyBorder="1" applyAlignment="1">
      <alignment vertical="center"/>
    </xf>
    <xf numFmtId="9" fontId="5" fillId="13" borderId="1" xfId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7" fontId="5" fillId="12" borderId="1" xfId="0" applyNumberFormat="1" applyFont="1" applyFill="1" applyBorder="1" applyAlignment="1">
      <alignment vertical="center"/>
    </xf>
    <xf numFmtId="44" fontId="5" fillId="0" borderId="1" xfId="0" applyNumberFormat="1" applyFont="1" applyBorder="1" applyAlignment="1">
      <alignment vertical="center"/>
    </xf>
    <xf numFmtId="43" fontId="3" fillId="0" borderId="1" xfId="3" applyFont="1" applyBorder="1" applyAlignment="1">
      <alignment vertical="center"/>
    </xf>
    <xf numFmtId="44" fontId="3" fillId="13" borderId="1" xfId="2" applyFont="1" applyFill="1" applyBorder="1" applyAlignment="1">
      <alignment vertical="center"/>
    </xf>
    <xf numFmtId="44" fontId="3" fillId="0" borderId="1" xfId="0" applyNumberFormat="1" applyFont="1" applyBorder="1" applyAlignment="1">
      <alignment vertical="center"/>
    </xf>
    <xf numFmtId="44" fontId="5" fillId="14" borderId="1" xfId="0" applyNumberFormat="1" applyFont="1" applyFill="1" applyBorder="1" applyAlignment="1">
      <alignment vertical="center"/>
    </xf>
    <xf numFmtId="44" fontId="5" fillId="11" borderId="1" xfId="2" applyFont="1" applyFill="1" applyBorder="1" applyAlignment="1">
      <alignment vertical="center"/>
    </xf>
    <xf numFmtId="44" fontId="5" fillId="0" borderId="1" xfId="2" applyFont="1" applyFill="1" applyBorder="1" applyAlignment="1">
      <alignment vertical="center"/>
    </xf>
    <xf numFmtId="9" fontId="5" fillId="0" borderId="1" xfId="1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9" fontId="21" fillId="0" borderId="0" xfId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9" fontId="21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" fontId="21" fillId="0" borderId="0" xfId="0" applyNumberFormat="1" applyFont="1" applyAlignment="1">
      <alignment vertical="center"/>
    </xf>
    <xf numFmtId="1" fontId="21" fillId="0" borderId="0" xfId="0" applyNumberFormat="1" applyFont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 wrapText="1"/>
    </xf>
    <xf numFmtId="0" fontId="24" fillId="2" borderId="0" xfId="0" applyFont="1" applyFill="1" applyAlignment="1">
      <alignment horizontal="center" vertical="center"/>
    </xf>
    <xf numFmtId="0" fontId="25" fillId="5" borderId="0" xfId="0" applyFont="1" applyFill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1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left" vertical="center" wrapText="1"/>
    </xf>
    <xf numFmtId="0" fontId="27" fillId="0" borderId="0" xfId="2" applyNumberFormat="1" applyFont="1" applyFill="1" applyBorder="1" applyAlignment="1">
      <alignment horizontal="center" vertical="center"/>
    </xf>
    <xf numFmtId="2" fontId="28" fillId="0" borderId="0" xfId="2" applyNumberFormat="1" applyFont="1" applyFill="1" applyBorder="1" applyAlignment="1">
      <alignment horizontal="center" vertical="center"/>
    </xf>
    <xf numFmtId="1" fontId="21" fillId="0" borderId="0" xfId="2" applyNumberFormat="1" applyFont="1" applyFill="1" applyBorder="1" applyAlignment="1">
      <alignment horizontal="center" vertical="center"/>
    </xf>
    <xf numFmtId="9" fontId="29" fillId="0" borderId="0" xfId="1" applyFont="1" applyFill="1" applyBorder="1" applyAlignment="1">
      <alignment horizontal="center" vertical="center"/>
    </xf>
    <xf numFmtId="9" fontId="30" fillId="0" borderId="0" xfId="1" applyFont="1" applyFill="1" applyBorder="1" applyAlignment="1">
      <alignment horizontal="center" vertical="center"/>
    </xf>
    <xf numFmtId="9" fontId="12" fillId="0" borderId="0" xfId="1" applyFont="1" applyBorder="1" applyAlignment="1">
      <alignment horizontal="center" vertical="center"/>
    </xf>
    <xf numFmtId="1" fontId="28" fillId="0" borderId="0" xfId="2" applyNumberFormat="1" applyFont="1" applyFill="1" applyBorder="1" applyAlignment="1">
      <alignment horizontal="center" vertical="center"/>
    </xf>
    <xf numFmtId="9" fontId="12" fillId="0" borderId="0" xfId="1" applyFont="1" applyFill="1" applyBorder="1" applyAlignment="1">
      <alignment horizontal="center" vertical="center"/>
    </xf>
    <xf numFmtId="0" fontId="21" fillId="0" borderId="0" xfId="2" applyNumberFormat="1" applyFont="1" applyFill="1" applyBorder="1" applyAlignment="1">
      <alignment horizontal="center" vertical="center"/>
    </xf>
    <xf numFmtId="164" fontId="21" fillId="0" borderId="0" xfId="2" applyNumberFormat="1" applyFont="1" applyFill="1" applyBorder="1" applyAlignment="1">
      <alignment horizontal="center" vertical="center"/>
    </xf>
    <xf numFmtId="1" fontId="12" fillId="0" borderId="0" xfId="2" applyNumberFormat="1" applyFont="1" applyFill="1" applyBorder="1" applyAlignment="1">
      <alignment horizontal="center" vertical="center"/>
    </xf>
    <xf numFmtId="0" fontId="25" fillId="18" borderId="0" xfId="0" applyFont="1" applyFill="1" applyAlignment="1">
      <alignment horizontal="left" vertical="center" wrapText="1"/>
    </xf>
    <xf numFmtId="0" fontId="30" fillId="18" borderId="0" xfId="2" applyNumberFormat="1" applyFont="1" applyFill="1" applyBorder="1" applyAlignment="1">
      <alignment horizontal="center" vertical="center"/>
    </xf>
    <xf numFmtId="1" fontId="28" fillId="18" borderId="0" xfId="2" applyNumberFormat="1" applyFont="1" applyFill="1" applyBorder="1" applyAlignment="1">
      <alignment horizontal="center" vertical="center"/>
    </xf>
    <xf numFmtId="2" fontId="30" fillId="18" borderId="0" xfId="2" applyNumberFormat="1" applyFont="1" applyFill="1" applyBorder="1" applyAlignment="1">
      <alignment horizontal="center" vertical="center"/>
    </xf>
    <xf numFmtId="1" fontId="30" fillId="18" borderId="0" xfId="2" applyNumberFormat="1" applyFont="1" applyFill="1" applyBorder="1" applyAlignment="1">
      <alignment horizontal="center" vertical="center"/>
    </xf>
    <xf numFmtId="9" fontId="29" fillId="18" borderId="0" xfId="1" applyFont="1" applyFill="1" applyBorder="1" applyAlignment="1">
      <alignment horizontal="center" vertical="center"/>
    </xf>
    <xf numFmtId="1" fontId="30" fillId="0" borderId="0" xfId="2" applyNumberFormat="1" applyFont="1" applyFill="1" applyBorder="1" applyAlignment="1">
      <alignment horizontal="center" vertical="center"/>
    </xf>
    <xf numFmtId="1" fontId="12" fillId="7" borderId="0" xfId="0" applyNumberFormat="1" applyFont="1" applyFill="1" applyAlignment="1">
      <alignment horizontal="center" vertical="center"/>
    </xf>
    <xf numFmtId="0" fontId="21" fillId="7" borderId="0" xfId="0" applyFont="1" applyFill="1" applyAlignment="1">
      <alignment horizontal="left" vertical="center" wrapText="1"/>
    </xf>
    <xf numFmtId="0" fontId="21" fillId="7" borderId="0" xfId="2" applyNumberFormat="1" applyFont="1" applyFill="1" applyBorder="1" applyAlignment="1">
      <alignment horizontal="center" vertical="center"/>
    </xf>
    <xf numFmtId="1" fontId="21" fillId="7" borderId="0" xfId="2" applyNumberFormat="1" applyFont="1" applyFill="1" applyBorder="1" applyAlignment="1">
      <alignment horizontal="center" vertical="center"/>
    </xf>
    <xf numFmtId="1" fontId="12" fillId="7" borderId="0" xfId="2" applyNumberFormat="1" applyFont="1" applyFill="1" applyBorder="1" applyAlignment="1">
      <alignment horizontal="center" vertical="center"/>
    </xf>
    <xf numFmtId="10" fontId="12" fillId="0" borderId="0" xfId="1" applyNumberFormat="1" applyFont="1" applyBorder="1" applyAlignment="1">
      <alignment horizontal="center" vertical="center"/>
    </xf>
    <xf numFmtId="10" fontId="12" fillId="0" borderId="0" xfId="1" applyNumberFormat="1" applyFont="1" applyFill="1" applyBorder="1" applyAlignment="1">
      <alignment horizontal="center" vertical="center"/>
    </xf>
    <xf numFmtId="10" fontId="12" fillId="0" borderId="0" xfId="2" applyNumberFormat="1" applyFont="1" applyFill="1" applyBorder="1" applyAlignment="1">
      <alignment horizontal="center" vertical="center"/>
    </xf>
    <xf numFmtId="9" fontId="3" fillId="7" borderId="0" xfId="1" applyFont="1" applyFill="1" applyAlignment="1">
      <alignment horizontal="center" vertical="center"/>
    </xf>
    <xf numFmtId="0" fontId="19" fillId="0" borderId="1" xfId="0" applyFont="1" applyBorder="1" applyAlignment="1">
      <alignment horizontal="center"/>
    </xf>
    <xf numFmtId="0" fontId="34" fillId="16" borderId="1" xfId="0" applyFont="1" applyFill="1" applyBorder="1" applyAlignment="1">
      <alignment horizontal="center" vertical="center" wrapText="1"/>
    </xf>
    <xf numFmtId="0" fontId="19" fillId="11" borderId="1" xfId="0" applyFont="1" applyFill="1" applyBorder="1" applyAlignment="1">
      <alignment horizontal="center" vertical="center"/>
    </xf>
    <xf numFmtId="164" fontId="35" fillId="15" borderId="1" xfId="0" applyNumberFormat="1" applyFont="1" applyFill="1" applyBorder="1" applyAlignment="1">
      <alignment horizontal="center" vertical="center" wrapText="1"/>
    </xf>
    <xf numFmtId="0" fontId="35" fillId="15" borderId="1" xfId="0" applyFont="1" applyFill="1" applyBorder="1" applyAlignment="1">
      <alignment vertical="center" wrapText="1"/>
    </xf>
    <xf numFmtId="167" fontId="35" fillId="15" borderId="1" xfId="0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44" fontId="19" fillId="11" borderId="1" xfId="0" applyNumberFormat="1" applyFont="1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 wrapText="1"/>
    </xf>
    <xf numFmtId="0" fontId="37" fillId="0" borderId="1" xfId="0" applyFont="1" applyBorder="1" applyAlignment="1">
      <alignment vertical="center" wrapText="1"/>
    </xf>
    <xf numFmtId="43" fontId="36" fillId="0" borderId="1" xfId="3" applyFont="1" applyFill="1" applyBorder="1" applyAlignment="1">
      <alignment vertical="center" wrapText="1"/>
    </xf>
    <xf numFmtId="167" fontId="36" fillId="0" borderId="1" xfId="0" applyNumberFormat="1" applyFont="1" applyBorder="1" applyAlignment="1">
      <alignment horizontal="left" vertical="center" wrapText="1"/>
    </xf>
    <xf numFmtId="9" fontId="0" fillId="0" borderId="1" xfId="1" applyFont="1" applyBorder="1" applyAlignment="1">
      <alignment vertical="center"/>
    </xf>
    <xf numFmtId="44" fontId="0" fillId="0" borderId="1" xfId="2" applyFont="1" applyBorder="1" applyAlignment="1">
      <alignment vertical="center"/>
    </xf>
    <xf numFmtId="0" fontId="0" fillId="0" borderId="1" xfId="0" applyBorder="1"/>
    <xf numFmtId="0" fontId="35" fillId="15" borderId="1" xfId="0" applyFont="1" applyFill="1" applyBorder="1" applyAlignment="1">
      <alignment horizontal="center" vertical="center" wrapText="1"/>
    </xf>
    <xf numFmtId="43" fontId="0" fillId="0" borderId="1" xfId="3" applyFont="1" applyBorder="1"/>
    <xf numFmtId="44" fontId="19" fillId="0" borderId="1" xfId="0" applyNumberFormat="1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left" vertical="center" wrapText="1"/>
    </xf>
    <xf numFmtId="0" fontId="36" fillId="15" borderId="1" xfId="0" applyFont="1" applyFill="1" applyBorder="1" applyAlignment="1">
      <alignment vertical="center" wrapText="1"/>
    </xf>
    <xf numFmtId="43" fontId="35" fillId="15" borderId="1" xfId="0" applyNumberFormat="1" applyFont="1" applyFill="1" applyBorder="1" applyAlignment="1">
      <alignment vertical="center" wrapText="1"/>
    </xf>
    <xf numFmtId="0" fontId="36" fillId="0" borderId="1" xfId="0" applyFont="1" applyBorder="1" applyAlignment="1">
      <alignment horizontal="center" vertical="center"/>
    </xf>
    <xf numFmtId="164" fontId="35" fillId="0" borderId="1" xfId="0" applyNumberFormat="1" applyFont="1" applyBorder="1" applyAlignment="1">
      <alignment horizontal="center" vertical="center" wrapText="1"/>
    </xf>
    <xf numFmtId="0" fontId="39" fillId="0" borderId="1" xfId="0" applyFont="1" applyBorder="1" applyAlignment="1">
      <alignment vertical="center" wrapText="1"/>
    </xf>
    <xf numFmtId="43" fontId="36" fillId="15" borderId="1" xfId="3" applyFont="1" applyFill="1" applyBorder="1" applyAlignment="1">
      <alignment vertical="center" wrapText="1"/>
    </xf>
    <xf numFmtId="167" fontId="40" fillId="15" borderId="1" xfId="0" applyNumberFormat="1" applyFont="1" applyFill="1" applyBorder="1" applyAlignment="1">
      <alignment horizontal="left" vertical="center" wrapText="1"/>
    </xf>
    <xf numFmtId="44" fontId="19" fillId="12" borderId="1" xfId="0" applyNumberFormat="1" applyFont="1" applyFill="1" applyBorder="1" applyAlignment="1">
      <alignment horizontal="center" vertical="center"/>
    </xf>
    <xf numFmtId="9" fontId="36" fillId="0" borderId="1" xfId="1" applyFont="1" applyFill="1" applyBorder="1" applyAlignment="1">
      <alignment horizontal="center" vertical="center"/>
    </xf>
    <xf numFmtId="167" fontId="36" fillId="0" borderId="1" xfId="2" applyNumberFormat="1" applyFont="1" applyFill="1" applyBorder="1" applyAlignment="1">
      <alignment vertical="center"/>
    </xf>
    <xf numFmtId="0" fontId="19" fillId="12" borderId="1" xfId="0" applyFont="1" applyFill="1" applyBorder="1" applyAlignment="1">
      <alignment horizontal="center"/>
    </xf>
    <xf numFmtId="9" fontId="35" fillId="13" borderId="1" xfId="1" applyFont="1" applyFill="1" applyBorder="1" applyAlignment="1">
      <alignment horizontal="center" vertical="center"/>
    </xf>
    <xf numFmtId="44" fontId="0" fillId="13" borderId="1" xfId="2" applyFont="1" applyFill="1" applyBorder="1"/>
    <xf numFmtId="167" fontId="35" fillId="0" borderId="1" xfId="0" applyNumberFormat="1" applyFont="1" applyBorder="1" applyAlignment="1">
      <alignment vertical="center"/>
    </xf>
    <xf numFmtId="167" fontId="35" fillId="12" borderId="1" xfId="0" applyNumberFormat="1" applyFont="1" applyFill="1" applyBorder="1" applyAlignment="1">
      <alignment vertical="center"/>
    </xf>
    <xf numFmtId="9" fontId="19" fillId="0" borderId="1" xfId="0" applyNumberFormat="1" applyFont="1" applyBorder="1" applyAlignment="1">
      <alignment horizontal="center" vertical="center"/>
    </xf>
    <xf numFmtId="44" fontId="0" fillId="0" borderId="1" xfId="2" applyFont="1" applyFill="1" applyBorder="1"/>
    <xf numFmtId="44" fontId="19" fillId="11" borderId="1" xfId="2" applyFont="1" applyFill="1" applyBorder="1"/>
    <xf numFmtId="0" fontId="19" fillId="0" borderId="1" xfId="0" applyFont="1" applyBorder="1" applyAlignment="1">
      <alignment horizontal="center" vertical="center"/>
    </xf>
    <xf numFmtId="44" fontId="19" fillId="0" borderId="1" xfId="0" applyNumberFormat="1" applyFont="1" applyBorder="1" applyAlignment="1">
      <alignment vertical="center"/>
    </xf>
    <xf numFmtId="44" fontId="19" fillId="0" borderId="1" xfId="2" applyFont="1" applyFill="1" applyBorder="1"/>
    <xf numFmtId="9" fontId="19" fillId="0" borderId="1" xfId="1" applyFont="1" applyFill="1" applyBorder="1" applyAlignment="1">
      <alignment horizontal="center"/>
    </xf>
    <xf numFmtId="44" fontId="19" fillId="0" borderId="1" xfId="0" applyNumberFormat="1" applyFont="1" applyBorder="1"/>
    <xf numFmtId="2" fontId="3" fillId="0" borderId="1" xfId="0" applyNumberFormat="1" applyFont="1" applyBorder="1" applyAlignment="1">
      <alignment vertical="center"/>
    </xf>
    <xf numFmtId="0" fontId="5" fillId="5" borderId="1" xfId="0" applyFont="1" applyFill="1" applyBorder="1" applyAlignment="1">
      <alignment horizontal="center" vertical="center"/>
    </xf>
    <xf numFmtId="44" fontId="5" fillId="5" borderId="1" xfId="0" applyNumberFormat="1" applyFont="1" applyFill="1" applyBorder="1" applyAlignment="1">
      <alignment horizontal="center" vertical="center"/>
    </xf>
    <xf numFmtId="44" fontId="4" fillId="6" borderId="1" xfId="0" applyNumberFormat="1" applyFont="1" applyFill="1" applyBorder="1" applyAlignment="1">
      <alignment horizontal="center" vertical="center"/>
    </xf>
    <xf numFmtId="167" fontId="5" fillId="5" borderId="1" xfId="0" applyNumberFormat="1" applyFont="1" applyFill="1" applyBorder="1" applyAlignment="1">
      <alignment vertical="center"/>
    </xf>
    <xf numFmtId="9" fontId="5" fillId="7" borderId="1" xfId="1" applyFont="1" applyFill="1" applyBorder="1" applyAlignment="1">
      <alignment horizontal="center" vertical="center"/>
    </xf>
    <xf numFmtId="44" fontId="3" fillId="7" borderId="1" xfId="2" applyFont="1" applyFill="1" applyBorder="1" applyAlignment="1">
      <alignment vertical="center"/>
    </xf>
    <xf numFmtId="44" fontId="4" fillId="2" borderId="1" xfId="0" applyNumberFormat="1" applyFont="1" applyFill="1" applyBorder="1" applyAlignment="1">
      <alignment vertical="center"/>
    </xf>
    <xf numFmtId="44" fontId="5" fillId="5" borderId="1" xfId="2" applyFont="1" applyFill="1" applyBorder="1" applyAlignment="1">
      <alignment vertical="center"/>
    </xf>
    <xf numFmtId="2" fontId="41" fillId="7" borderId="0" xfId="0" applyNumberFormat="1" applyFont="1" applyFill="1" applyAlignment="1">
      <alignment horizontal="center" vertical="center"/>
    </xf>
    <xf numFmtId="10" fontId="12" fillId="0" borderId="0" xfId="0" applyNumberFormat="1" applyFont="1" applyAlignment="1">
      <alignment vertical="center"/>
    </xf>
    <xf numFmtId="10" fontId="30" fillId="0" borderId="0" xfId="1" applyNumberFormat="1" applyFont="1" applyFill="1" applyBorder="1" applyAlignment="1">
      <alignment horizontal="center" vertical="center"/>
    </xf>
    <xf numFmtId="10" fontId="30" fillId="18" borderId="0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9" fontId="20" fillId="0" borderId="0" xfId="1" applyFont="1" applyBorder="1" applyAlignment="1">
      <alignment horizontal="center" vertical="center"/>
    </xf>
    <xf numFmtId="0" fontId="20" fillId="0" borderId="0" xfId="1" applyNumberFormat="1" applyFont="1" applyBorder="1" applyAlignment="1">
      <alignment horizontal="center" vertical="center"/>
    </xf>
    <xf numFmtId="44" fontId="3" fillId="0" borderId="0" xfId="0" applyNumberFormat="1" applyFont="1" applyAlignment="1">
      <alignment vertical="center"/>
    </xf>
    <xf numFmtId="44" fontId="6" fillId="0" borderId="0" xfId="0" applyNumberFormat="1" applyFont="1" applyAlignment="1">
      <alignment vertical="center"/>
    </xf>
    <xf numFmtId="44" fontId="7" fillId="0" borderId="0" xfId="0" applyNumberFormat="1" applyFont="1" applyAlignment="1">
      <alignment vertical="center"/>
    </xf>
    <xf numFmtId="165" fontId="6" fillId="0" borderId="0" xfId="1" applyNumberFormat="1" applyFont="1" applyAlignment="1">
      <alignment vertical="center"/>
    </xf>
    <xf numFmtId="165" fontId="7" fillId="0" borderId="0" xfId="1" applyNumberFormat="1" applyFont="1" applyAlignment="1">
      <alignment vertical="center"/>
    </xf>
    <xf numFmtId="0" fontId="16" fillId="19" borderId="1" xfId="0" applyFont="1" applyFill="1" applyBorder="1" applyAlignment="1">
      <alignment horizontal="center" vertical="center" wrapText="1"/>
    </xf>
    <xf numFmtId="0" fontId="3" fillId="19" borderId="1" xfId="0" applyFont="1" applyFill="1" applyBorder="1" applyAlignment="1">
      <alignment horizontal="center" vertical="center" wrapText="1"/>
    </xf>
    <xf numFmtId="0" fontId="14" fillId="19" borderId="1" xfId="0" applyFont="1" applyFill="1" applyBorder="1" applyAlignment="1">
      <alignment vertical="center" wrapText="1"/>
    </xf>
    <xf numFmtId="0" fontId="14" fillId="19" borderId="1" xfId="0" applyFont="1" applyFill="1" applyBorder="1" applyAlignment="1">
      <alignment horizontal="center" vertical="center" wrapText="1"/>
    </xf>
    <xf numFmtId="43" fontId="3" fillId="19" borderId="1" xfId="3" applyFont="1" applyFill="1" applyBorder="1" applyAlignment="1">
      <alignment vertical="center" wrapText="1"/>
    </xf>
    <xf numFmtId="167" fontId="3" fillId="19" borderId="1" xfId="0" applyNumberFormat="1" applyFont="1" applyFill="1" applyBorder="1" applyAlignment="1">
      <alignment horizontal="left" vertical="center" wrapText="1"/>
    </xf>
    <xf numFmtId="43" fontId="3" fillId="19" borderId="1" xfId="3" applyFont="1" applyFill="1" applyBorder="1" applyAlignment="1">
      <alignment vertical="center"/>
    </xf>
    <xf numFmtId="9" fontId="3" fillId="19" borderId="1" xfId="1" applyFont="1" applyFill="1" applyBorder="1" applyAlignment="1">
      <alignment vertical="center"/>
    </xf>
    <xf numFmtId="44" fontId="5" fillId="19" borderId="1" xfId="0" applyNumberFormat="1" applyFont="1" applyFill="1" applyBorder="1" applyAlignment="1">
      <alignment horizontal="center" vertical="center"/>
    </xf>
    <xf numFmtId="44" fontId="3" fillId="19" borderId="1" xfId="2" applyFont="1" applyFill="1" applyBorder="1" applyAlignment="1">
      <alignment vertical="center"/>
    </xf>
    <xf numFmtId="0" fontId="3" fillId="19" borderId="0" xfId="0" applyFont="1" applyFill="1" applyAlignment="1">
      <alignment vertical="center"/>
    </xf>
    <xf numFmtId="0" fontId="3" fillId="20" borderId="1" xfId="0" applyFont="1" applyFill="1" applyBorder="1" applyAlignment="1">
      <alignment horizontal="center" vertical="center" wrapText="1"/>
    </xf>
    <xf numFmtId="0" fontId="14" fillId="20" borderId="1" xfId="0" applyFont="1" applyFill="1" applyBorder="1" applyAlignment="1">
      <alignment vertical="center" wrapText="1"/>
    </xf>
    <xf numFmtId="43" fontId="3" fillId="20" borderId="1" xfId="3" applyFont="1" applyFill="1" applyBorder="1" applyAlignment="1">
      <alignment vertical="center" wrapText="1"/>
    </xf>
    <xf numFmtId="167" fontId="3" fillId="20" borderId="1" xfId="0" applyNumberFormat="1" applyFont="1" applyFill="1" applyBorder="1" applyAlignment="1">
      <alignment horizontal="left" vertical="center" wrapText="1"/>
    </xf>
    <xf numFmtId="43" fontId="3" fillId="20" borderId="1" xfId="3" applyFont="1" applyFill="1" applyBorder="1" applyAlignment="1">
      <alignment vertical="center"/>
    </xf>
    <xf numFmtId="9" fontId="3" fillId="20" borderId="1" xfId="1" applyFont="1" applyFill="1" applyBorder="1" applyAlignment="1">
      <alignment vertical="center"/>
    </xf>
    <xf numFmtId="44" fontId="5" fillId="20" borderId="1" xfId="0" applyNumberFormat="1" applyFont="1" applyFill="1" applyBorder="1" applyAlignment="1">
      <alignment horizontal="center" vertical="center"/>
    </xf>
    <xf numFmtId="44" fontId="3" fillId="20" borderId="1" xfId="2" applyFont="1" applyFill="1" applyBorder="1" applyAlignment="1">
      <alignment vertical="center"/>
    </xf>
    <xf numFmtId="0" fontId="3" fillId="20" borderId="0" xfId="0" applyFont="1" applyFill="1" applyAlignment="1">
      <alignment vertical="center"/>
    </xf>
    <xf numFmtId="0" fontId="14" fillId="20" borderId="1" xfId="0" applyFont="1" applyFill="1" applyBorder="1" applyAlignment="1">
      <alignment horizontal="center" vertical="center" wrapText="1"/>
    </xf>
    <xf numFmtId="0" fontId="16" fillId="20" borderId="1" xfId="0" applyFont="1" applyFill="1" applyBorder="1" applyAlignment="1">
      <alignment horizontal="center" vertical="center" wrapText="1"/>
    </xf>
    <xf numFmtId="0" fontId="3" fillId="20" borderId="1" xfId="0" applyFont="1" applyFill="1" applyBorder="1" applyAlignment="1">
      <alignment horizontal="left" vertical="center" wrapText="1"/>
    </xf>
    <xf numFmtId="0" fontId="5" fillId="0" borderId="4" xfId="0" applyFont="1" applyBorder="1" applyAlignment="1">
      <alignment vertical="center"/>
    </xf>
    <xf numFmtId="43" fontId="3" fillId="0" borderId="5" xfId="3" applyFont="1" applyBorder="1" applyAlignment="1">
      <alignment vertical="center"/>
    </xf>
    <xf numFmtId="43" fontId="5" fillId="0" borderId="5" xfId="3" applyFont="1" applyBorder="1" applyAlignment="1">
      <alignment vertical="center"/>
    </xf>
    <xf numFmtId="44" fontId="3" fillId="0" borderId="6" xfId="2" applyFont="1" applyBorder="1" applyAlignment="1">
      <alignment vertical="center"/>
    </xf>
    <xf numFmtId="0" fontId="5" fillId="19" borderId="4" xfId="0" applyFont="1" applyFill="1" applyBorder="1" applyAlignment="1">
      <alignment vertical="center"/>
    </xf>
    <xf numFmtId="44" fontId="5" fillId="19" borderId="5" xfId="0" applyNumberFormat="1" applyFont="1" applyFill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5" fillId="19" borderId="9" xfId="0" applyFont="1" applyFill="1" applyBorder="1" applyAlignment="1">
      <alignment vertical="center"/>
    </xf>
    <xf numFmtId="44" fontId="5" fillId="19" borderId="10" xfId="0" applyNumberFormat="1" applyFont="1" applyFill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68" fontId="3" fillId="0" borderId="1" xfId="3" applyNumberFormat="1" applyFont="1" applyBorder="1" applyAlignment="1">
      <alignment vertical="center"/>
    </xf>
    <xf numFmtId="168" fontId="3" fillId="20" borderId="1" xfId="3" applyNumberFormat="1" applyFont="1" applyFill="1" applyBorder="1" applyAlignment="1">
      <alignment vertical="center"/>
    </xf>
    <xf numFmtId="0" fontId="4" fillId="4" borderId="0" xfId="0" applyFont="1" applyFill="1" applyAlignment="1">
      <alignment horizontal="center" vertical="center"/>
    </xf>
    <xf numFmtId="9" fontId="3" fillId="0" borderId="0" xfId="1" applyFont="1" applyFill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2" fontId="4" fillId="0" borderId="0" xfId="1" applyNumberFormat="1" applyFont="1" applyFill="1" applyAlignment="1">
      <alignment horizontal="center" vertical="center"/>
    </xf>
    <xf numFmtId="10" fontId="5" fillId="0" borderId="0" xfId="1" applyNumberFormat="1" applyFont="1" applyFill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0" fontId="4" fillId="0" borderId="0" xfId="1" applyNumberFormat="1" applyFont="1" applyFill="1" applyAlignment="1">
      <alignment horizontal="center" vertical="center"/>
    </xf>
    <xf numFmtId="0" fontId="31" fillId="17" borderId="1" xfId="0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0" fontId="19" fillId="11" borderId="1" xfId="0" applyFont="1" applyFill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19" fillId="12" borderId="1" xfId="0" applyFont="1" applyFill="1" applyBorder="1" applyAlignment="1">
      <alignment horizontal="center"/>
    </xf>
    <xf numFmtId="0" fontId="19" fillId="13" borderId="1" xfId="0" applyFont="1" applyFill="1" applyBorder="1" applyAlignment="1">
      <alignment horizontal="center" vertical="center"/>
    </xf>
    <xf numFmtId="0" fontId="36" fillId="0" borderId="1" xfId="0" applyFont="1" applyBorder="1" applyAlignment="1">
      <alignment horizontal="left"/>
    </xf>
    <xf numFmtId="0" fontId="5" fillId="11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43" fontId="4" fillId="0" borderId="1" xfId="3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19" borderId="4" xfId="0" applyFont="1" applyFill="1" applyBorder="1" applyAlignment="1">
      <alignment horizontal="center"/>
    </xf>
    <xf numFmtId="0" fontId="5" fillId="19" borderId="5" xfId="0" applyFont="1" applyFill="1" applyBorder="1" applyAlignment="1">
      <alignment horizontal="center"/>
    </xf>
    <xf numFmtId="0" fontId="5" fillId="19" borderId="2" xfId="0" applyFont="1" applyFill="1" applyBorder="1" applyAlignment="1">
      <alignment horizontal="center"/>
    </xf>
    <xf numFmtId="0" fontId="5" fillId="19" borderId="3" xfId="0" applyFont="1" applyFill="1" applyBorder="1" applyAlignment="1">
      <alignment horizontal="center"/>
    </xf>
    <xf numFmtId="166" fontId="21" fillId="0" borderId="0" xfId="1" applyNumberFormat="1" applyFont="1" applyBorder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17" fontId="4" fillId="6" borderId="0" xfId="0" applyNumberFormat="1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12" fillId="0" borderId="0" xfId="0" applyFont="1" applyAlignment="1">
      <alignment vertical="center" wrapText="1"/>
    </xf>
    <xf numFmtId="17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43" fontId="35" fillId="0" borderId="1" xfId="3" applyFont="1" applyFill="1" applyBorder="1" applyAlignment="1">
      <alignment horizontal="center" vertical="center"/>
    </xf>
    <xf numFmtId="43" fontId="0" fillId="0" borderId="1" xfId="3" applyFont="1" applyBorder="1" applyAlignment="1">
      <alignment vertical="center"/>
    </xf>
  </cellXfs>
  <cellStyles count="4">
    <cellStyle name="Millares" xfId="3" builtinId="3"/>
    <cellStyle name="Moneda" xfId="2" builtinId="4"/>
    <cellStyle name="Normal" xfId="0" builtinId="0"/>
    <cellStyle name="Porcentaje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447684"/>
      <color rgb="FFA7C9D2"/>
      <color rgb="FFEEEBEE"/>
      <color rgb="FFFF7B89"/>
      <color rgb="FF5C9BAC"/>
      <color rgb="FFD6E6EA"/>
      <color rgb="FFC5DBE1"/>
      <color rgb="FFFFB9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47</xdr:row>
      <xdr:rowOff>0</xdr:rowOff>
    </xdr:from>
    <xdr:to>
      <xdr:col>2</xdr:col>
      <xdr:colOff>1381125</xdr:colOff>
      <xdr:row>52</xdr:row>
      <xdr:rowOff>115451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550F306-67A6-4C9C-B49B-A3263E479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089380"/>
          <a:ext cx="2326005" cy="10298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49</xdr:row>
      <xdr:rowOff>0</xdr:rowOff>
    </xdr:from>
    <xdr:to>
      <xdr:col>2</xdr:col>
      <xdr:colOff>1421947</xdr:colOff>
      <xdr:row>54</xdr:row>
      <xdr:rowOff>153551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E49ED90-8A7F-4054-881C-FCFA276B3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089380"/>
          <a:ext cx="2326005" cy="10298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49</xdr:row>
      <xdr:rowOff>0</xdr:rowOff>
    </xdr:from>
    <xdr:to>
      <xdr:col>2</xdr:col>
      <xdr:colOff>1421947</xdr:colOff>
      <xdr:row>54</xdr:row>
      <xdr:rowOff>153551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D368C36-537C-4FD2-A9F0-89F69DA21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182600"/>
          <a:ext cx="2326005" cy="10298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1672318</xdr:colOff>
      <xdr:row>1</xdr:row>
      <xdr:rowOff>38100</xdr:rowOff>
    </xdr:from>
    <xdr:to>
      <xdr:col>7</xdr:col>
      <xdr:colOff>3483041</xdr:colOff>
      <xdr:row>4</xdr:row>
      <xdr:rowOff>72300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5AE8AF-0753-4332-AB68-8226090FD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12804" y="266700"/>
          <a:ext cx="1810723" cy="72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MI%20PC/Desktop/FRESHOUSE/PANORAMIKA/PREFACTIBILIDAD%20Y%20PROYECCI&#211;N%20DE%20OBRA/Balance%20General%20-%20Proyecto%20Edificio%20Panoramik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yección General"/>
      <sheetName val="Estado de la Obra"/>
      <sheetName val="Inventario Materiales"/>
      <sheetName val="Operarios"/>
      <sheetName val="Costo Real AB"/>
      <sheetName val="Prefactibilidad C"/>
    </sheetNames>
    <sheetDataSet>
      <sheetData sheetId="0"/>
      <sheetData sheetId="1"/>
      <sheetData sheetId="2">
        <row r="30">
          <cell r="W30">
            <v>17708500</v>
          </cell>
        </row>
      </sheetData>
      <sheetData sheetId="3">
        <row r="24">
          <cell r="BE24">
            <v>66144000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98BF5-369A-47A9-8780-6AE9347503DC}">
  <dimension ref="A1:J61"/>
  <sheetViews>
    <sheetView workbookViewId="0">
      <selection activeCell="K39" sqref="K39"/>
    </sheetView>
  </sheetViews>
  <sheetFormatPr baseColWidth="10" defaultRowHeight="15" x14ac:dyDescent="0.2"/>
  <cols>
    <col min="1" max="1" width="6.33203125" bestFit="1" customWidth="1"/>
    <col min="2" max="2" width="7.5" bestFit="1" customWidth="1"/>
    <col min="3" max="3" width="41.33203125" bestFit="1" customWidth="1"/>
    <col min="4" max="4" width="10.5" bestFit="1" customWidth="1"/>
    <col min="5" max="5" width="16.6640625" bestFit="1" customWidth="1"/>
    <col min="6" max="6" width="20" customWidth="1"/>
    <col min="7" max="7" width="18" bestFit="1" customWidth="1"/>
    <col min="8" max="8" width="17.33203125" bestFit="1" customWidth="1"/>
    <col min="9" max="9" width="9.1640625" bestFit="1" customWidth="1"/>
    <col min="10" max="10" width="16.6640625" bestFit="1" customWidth="1"/>
  </cols>
  <sheetData>
    <row r="1" spans="1:10" ht="26" x14ac:dyDescent="0.2">
      <c r="A1" s="275" t="s">
        <v>262</v>
      </c>
      <c r="B1" s="275"/>
      <c r="C1" s="275"/>
      <c r="D1" s="275"/>
      <c r="E1" s="275"/>
      <c r="F1" s="275"/>
      <c r="G1" s="275"/>
      <c r="H1" s="276"/>
      <c r="I1" s="276"/>
      <c r="J1" s="276"/>
    </row>
    <row r="2" spans="1:10" ht="16" x14ac:dyDescent="0.2">
      <c r="A2" s="277" t="s">
        <v>263</v>
      </c>
      <c r="B2" s="277"/>
      <c r="C2" s="277"/>
      <c r="D2" s="277" t="s">
        <v>220</v>
      </c>
      <c r="E2" s="277"/>
      <c r="F2" s="277"/>
      <c r="G2" s="277"/>
      <c r="H2" s="276"/>
      <c r="I2" s="276"/>
      <c r="J2" s="276"/>
    </row>
    <row r="3" spans="1:10" ht="15.75" customHeight="1" x14ac:dyDescent="0.2">
      <c r="A3" s="277" t="s">
        <v>219</v>
      </c>
      <c r="B3" s="277"/>
      <c r="C3" s="277"/>
      <c r="D3" s="277" t="s">
        <v>264</v>
      </c>
      <c r="E3" s="277"/>
      <c r="F3" s="277"/>
      <c r="G3" s="166" t="s">
        <v>218</v>
      </c>
      <c r="H3" s="278" t="s">
        <v>217</v>
      </c>
      <c r="I3" s="278"/>
      <c r="J3" s="278"/>
    </row>
    <row r="4" spans="1:10" ht="16" x14ac:dyDescent="0.2">
      <c r="A4" s="277" t="s">
        <v>304</v>
      </c>
      <c r="B4" s="277"/>
      <c r="C4" s="277"/>
      <c r="D4" s="277"/>
      <c r="E4" s="277"/>
      <c r="F4" s="277"/>
      <c r="G4" s="277"/>
      <c r="H4" s="281" t="s">
        <v>216</v>
      </c>
      <c r="I4" s="281"/>
      <c r="J4" s="281"/>
    </row>
    <row r="5" spans="1:10" ht="32" x14ac:dyDescent="0.2">
      <c r="A5" s="167" t="s">
        <v>215</v>
      </c>
      <c r="B5" s="167" t="s">
        <v>214</v>
      </c>
      <c r="C5" s="167" t="s">
        <v>213</v>
      </c>
      <c r="D5" s="167" t="s">
        <v>212</v>
      </c>
      <c r="E5" s="167" t="s">
        <v>6</v>
      </c>
      <c r="F5" s="167" t="s">
        <v>211</v>
      </c>
      <c r="G5" s="167" t="s">
        <v>210</v>
      </c>
      <c r="H5" s="168" t="s">
        <v>96</v>
      </c>
      <c r="I5" s="168" t="s">
        <v>209</v>
      </c>
      <c r="J5" s="168" t="s">
        <v>208</v>
      </c>
    </row>
    <row r="6" spans="1:10" ht="16" x14ac:dyDescent="0.2">
      <c r="A6" s="169" t="s">
        <v>101</v>
      </c>
      <c r="B6" s="170"/>
      <c r="C6" s="170" t="s">
        <v>207</v>
      </c>
      <c r="D6" s="170"/>
      <c r="E6" s="170"/>
      <c r="F6" s="170"/>
      <c r="G6" s="171">
        <f>+G7+G8</f>
        <v>1800000</v>
      </c>
      <c r="H6" s="172"/>
      <c r="I6" s="172"/>
      <c r="J6" s="173">
        <f>+J7+J8</f>
        <v>1602000</v>
      </c>
    </row>
    <row r="7" spans="1:10" ht="16" x14ac:dyDescent="0.2">
      <c r="A7" s="174"/>
      <c r="B7" s="174" t="s">
        <v>102</v>
      </c>
      <c r="C7" s="175" t="s">
        <v>104</v>
      </c>
      <c r="D7" s="174" t="s">
        <v>151</v>
      </c>
      <c r="E7" s="176">
        <v>1</v>
      </c>
      <c r="F7" s="177">
        <v>1500000</v>
      </c>
      <c r="G7" s="177">
        <f>F7*E7</f>
        <v>1500000</v>
      </c>
      <c r="H7" s="172">
        <v>1</v>
      </c>
      <c r="I7" s="178">
        <f>+H7/E7</f>
        <v>1</v>
      </c>
      <c r="J7" s="179">
        <f>+H7*F7</f>
        <v>1500000</v>
      </c>
    </row>
    <row r="8" spans="1:10" ht="16" x14ac:dyDescent="0.2">
      <c r="A8" s="174"/>
      <c r="B8" s="174" t="s">
        <v>103</v>
      </c>
      <c r="C8" s="175" t="s">
        <v>206</v>
      </c>
      <c r="D8" s="174" t="s">
        <v>151</v>
      </c>
      <c r="E8" s="176">
        <v>1</v>
      </c>
      <c r="F8" s="177">
        <v>300000</v>
      </c>
      <c r="G8" s="177">
        <f t="shared" ref="G8:G11" si="0">F8*E8</f>
        <v>300000</v>
      </c>
      <c r="H8" s="172">
        <v>0.34</v>
      </c>
      <c r="I8" s="178">
        <f>+H8/E8</f>
        <v>0.34</v>
      </c>
      <c r="J8" s="179">
        <f>+H8*F8</f>
        <v>102000.00000000001</v>
      </c>
    </row>
    <row r="9" spans="1:10" ht="16" x14ac:dyDescent="0.2">
      <c r="A9" s="169">
        <v>2</v>
      </c>
      <c r="B9" s="170"/>
      <c r="C9" s="170" t="s">
        <v>205</v>
      </c>
      <c r="D9" s="170"/>
      <c r="E9" s="170"/>
      <c r="F9" s="170"/>
      <c r="G9" s="171">
        <f>+G10+G12</f>
        <v>61681851.75</v>
      </c>
      <c r="H9" s="172"/>
      <c r="I9" s="180"/>
      <c r="J9" s="173">
        <f>+J10+J12</f>
        <v>8404871.5299999993</v>
      </c>
    </row>
    <row r="10" spans="1:10" ht="16" x14ac:dyDescent="0.2">
      <c r="A10" s="169"/>
      <c r="B10" s="181" t="s">
        <v>93</v>
      </c>
      <c r="C10" s="170" t="s">
        <v>204</v>
      </c>
      <c r="D10" s="170"/>
      <c r="E10" s="170"/>
      <c r="F10" s="170"/>
      <c r="G10" s="171">
        <f>+SUM(G11:G11)</f>
        <v>14562834</v>
      </c>
      <c r="H10" s="172"/>
      <c r="I10" s="180"/>
      <c r="J10" s="173">
        <f>+SUM(J11:J11)</f>
        <v>7052797.1799999997</v>
      </c>
    </row>
    <row r="11" spans="1:10" ht="32" x14ac:dyDescent="0.2">
      <c r="A11" s="174"/>
      <c r="B11" s="174" t="s">
        <v>203</v>
      </c>
      <c r="C11" s="175" t="s">
        <v>202</v>
      </c>
      <c r="D11" s="174" t="s">
        <v>15</v>
      </c>
      <c r="E11" s="176">
        <v>4629</v>
      </c>
      <c r="F11" s="177">
        <v>3146</v>
      </c>
      <c r="G11" s="177">
        <f t="shared" si="0"/>
        <v>14562834</v>
      </c>
      <c r="H11" s="318">
        <f>Lavado!S69</f>
        <v>2241.83</v>
      </c>
      <c r="I11" s="178">
        <f>+H11/E11</f>
        <v>0.48430114495571397</v>
      </c>
      <c r="J11" s="183">
        <f>+F11*H11</f>
        <v>7052797.1799999997</v>
      </c>
    </row>
    <row r="12" spans="1:10" ht="32" x14ac:dyDescent="0.2">
      <c r="A12" s="174"/>
      <c r="B12" s="181" t="s">
        <v>92</v>
      </c>
      <c r="C12" s="170" t="s">
        <v>198</v>
      </c>
      <c r="D12" s="170"/>
      <c r="E12" s="170"/>
      <c r="F12" s="170"/>
      <c r="G12" s="171">
        <f>SUM(G13:G17)</f>
        <v>47119017.75</v>
      </c>
      <c r="H12" s="318"/>
      <c r="I12" s="180"/>
      <c r="J12" s="173">
        <f>SUM(J13:J17)</f>
        <v>1352074.35</v>
      </c>
    </row>
    <row r="13" spans="1:10" ht="32" x14ac:dyDescent="0.2">
      <c r="A13" s="174"/>
      <c r="B13" s="174" t="s">
        <v>197</v>
      </c>
      <c r="C13" s="175" t="s">
        <v>196</v>
      </c>
      <c r="D13" s="174" t="s">
        <v>15</v>
      </c>
      <c r="E13" s="176">
        <v>40</v>
      </c>
      <c r="F13" s="177">
        <v>39400</v>
      </c>
      <c r="G13" s="177">
        <f t="shared" ref="G13:G18" si="1">F13*E13</f>
        <v>1576000</v>
      </c>
      <c r="H13" s="318">
        <v>0</v>
      </c>
      <c r="I13" s="178">
        <f t="shared" ref="I13:I17" si="2">+H13/E13</f>
        <v>0</v>
      </c>
      <c r="J13" s="183">
        <f t="shared" ref="J13:J17" si="3">+F13*H13</f>
        <v>0</v>
      </c>
    </row>
    <row r="14" spans="1:10" ht="32" x14ac:dyDescent="0.2">
      <c r="A14" s="174"/>
      <c r="B14" s="174" t="s">
        <v>195</v>
      </c>
      <c r="C14" s="175" t="s">
        <v>194</v>
      </c>
      <c r="D14" s="184" t="s">
        <v>15</v>
      </c>
      <c r="E14" s="176">
        <f>+SUM(E21:E23)*15%</f>
        <v>791.86350000000004</v>
      </c>
      <c r="F14" s="177">
        <v>36500</v>
      </c>
      <c r="G14" s="177">
        <f t="shared" si="1"/>
        <v>28903017.75</v>
      </c>
      <c r="H14" s="318">
        <f>Sicoplast!S50</f>
        <v>32.871900000000004</v>
      </c>
      <c r="I14" s="178">
        <f t="shared" si="2"/>
        <v>4.1512078786305973E-2</v>
      </c>
      <c r="J14" s="183">
        <f t="shared" si="3"/>
        <v>1199824.3500000001</v>
      </c>
    </row>
    <row r="15" spans="1:10" ht="32" x14ac:dyDescent="0.2">
      <c r="A15" s="185"/>
      <c r="B15" s="174" t="s">
        <v>193</v>
      </c>
      <c r="C15" s="186" t="s">
        <v>192</v>
      </c>
      <c r="D15" s="184" t="s">
        <v>15</v>
      </c>
      <c r="E15" s="176">
        <v>100</v>
      </c>
      <c r="F15" s="177">
        <v>87000</v>
      </c>
      <c r="G15" s="177">
        <f t="shared" si="1"/>
        <v>8700000</v>
      </c>
      <c r="H15" s="318">
        <v>1.75</v>
      </c>
      <c r="I15" s="178">
        <f t="shared" si="2"/>
        <v>1.7500000000000002E-2</v>
      </c>
      <c r="J15" s="183">
        <f t="shared" si="3"/>
        <v>152250</v>
      </c>
    </row>
    <row r="16" spans="1:10" ht="32" x14ac:dyDescent="0.2">
      <c r="A16" s="185"/>
      <c r="B16" s="174" t="s">
        <v>191</v>
      </c>
      <c r="C16" s="186" t="s">
        <v>190</v>
      </c>
      <c r="D16" s="184" t="s">
        <v>15</v>
      </c>
      <c r="E16" s="176">
        <v>60</v>
      </c>
      <c r="F16" s="177">
        <v>87000</v>
      </c>
      <c r="G16" s="177">
        <f t="shared" si="1"/>
        <v>5220000</v>
      </c>
      <c r="H16" s="318">
        <v>0</v>
      </c>
      <c r="I16" s="178">
        <f t="shared" si="2"/>
        <v>0</v>
      </c>
      <c r="J16" s="183">
        <f t="shared" si="3"/>
        <v>0</v>
      </c>
    </row>
    <row r="17" spans="1:10" ht="32" x14ac:dyDescent="0.2">
      <c r="A17" s="185"/>
      <c r="B17" s="174" t="s">
        <v>189</v>
      </c>
      <c r="C17" s="186" t="s">
        <v>188</v>
      </c>
      <c r="D17" s="184" t="s">
        <v>15</v>
      </c>
      <c r="E17" s="176">
        <v>40</v>
      </c>
      <c r="F17" s="177">
        <v>68000</v>
      </c>
      <c r="G17" s="177">
        <f t="shared" si="1"/>
        <v>2720000</v>
      </c>
      <c r="H17" s="318">
        <v>0</v>
      </c>
      <c r="I17" s="178">
        <f t="shared" si="2"/>
        <v>0</v>
      </c>
      <c r="J17" s="183">
        <f t="shared" si="3"/>
        <v>0</v>
      </c>
    </row>
    <row r="18" spans="1:10" ht="16" x14ac:dyDescent="0.2">
      <c r="A18" s="185"/>
      <c r="B18" s="174" t="s">
        <v>299</v>
      </c>
      <c r="C18" t="s">
        <v>300</v>
      </c>
      <c r="D18" s="184" t="s">
        <v>85</v>
      </c>
      <c r="E18" s="176">
        <v>1055.3</v>
      </c>
      <c r="F18" s="177">
        <v>28877</v>
      </c>
      <c r="G18" s="177">
        <f t="shared" si="1"/>
        <v>30473898.099999998</v>
      </c>
      <c r="H18" s="318">
        <f>14.5+16.2</f>
        <v>30.7</v>
      </c>
      <c r="I18" s="178">
        <f t="shared" ref="I18" si="4">+H18/E18</f>
        <v>2.9091253671941628E-2</v>
      </c>
      <c r="J18" s="183">
        <f t="shared" ref="J18" si="5">+F18*H18</f>
        <v>886523.9</v>
      </c>
    </row>
    <row r="19" spans="1:10" ht="16" x14ac:dyDescent="0.2">
      <c r="A19" s="169">
        <v>3</v>
      </c>
      <c r="B19" s="187"/>
      <c r="C19" s="170" t="s">
        <v>187</v>
      </c>
      <c r="D19" s="170"/>
      <c r="E19" s="188"/>
      <c r="F19" s="170"/>
      <c r="G19" s="171">
        <f>+G20+G27+G32</f>
        <v>182335405</v>
      </c>
      <c r="H19" s="318"/>
      <c r="I19" s="180"/>
      <c r="J19" s="173">
        <f>+J20+J27+J32</f>
        <v>34478535.457947999</v>
      </c>
    </row>
    <row r="20" spans="1:10" ht="16" x14ac:dyDescent="0.2">
      <c r="A20" s="169"/>
      <c r="B20" s="169" t="s">
        <v>95</v>
      </c>
      <c r="C20" s="170" t="s">
        <v>186</v>
      </c>
      <c r="D20" s="170"/>
      <c r="E20" s="188"/>
      <c r="F20" s="170"/>
      <c r="G20" s="171">
        <f>+SUM(G21:G26)</f>
        <v>107586123</v>
      </c>
      <c r="H20" s="318"/>
      <c r="I20" s="180"/>
      <c r="J20" s="173">
        <f>+SUM(J21:J26)</f>
        <v>20579022.957947999</v>
      </c>
    </row>
    <row r="21" spans="1:10" ht="16" x14ac:dyDescent="0.2">
      <c r="A21" s="185"/>
      <c r="B21" s="174" t="s">
        <v>185</v>
      </c>
      <c r="C21" t="s">
        <v>301</v>
      </c>
      <c r="D21" s="184" t="s">
        <v>15</v>
      </c>
      <c r="E21" s="176">
        <v>4629</v>
      </c>
      <c r="F21" s="177">
        <v>16692</v>
      </c>
      <c r="G21" s="177">
        <f t="shared" ref="G21:G33" si="6">F21*E21</f>
        <v>77267268</v>
      </c>
      <c r="H21" s="318">
        <f>Pintura!S50</f>
        <v>1232.8674189999999</v>
      </c>
      <c r="I21" s="178">
        <f t="shared" ref="I21:I26" si="7">+H21/E21</f>
        <v>0.26633558414344349</v>
      </c>
      <c r="J21" s="183">
        <f t="shared" ref="J21:J26" si="8">+F21*H21</f>
        <v>20579022.957947999</v>
      </c>
    </row>
    <row r="22" spans="1:10" ht="32" x14ac:dyDescent="0.2">
      <c r="A22" s="185"/>
      <c r="B22" s="174" t="s">
        <v>183</v>
      </c>
      <c r="C22" s="175" t="s">
        <v>182</v>
      </c>
      <c r="D22" s="184" t="s">
        <v>15</v>
      </c>
      <c r="E22" s="176">
        <v>467.17</v>
      </c>
      <c r="F22" s="177">
        <v>21000</v>
      </c>
      <c r="G22" s="177">
        <f t="shared" si="6"/>
        <v>9810570</v>
      </c>
      <c r="H22" s="318">
        <v>0</v>
      </c>
      <c r="I22" s="178">
        <f t="shared" si="7"/>
        <v>0</v>
      </c>
      <c r="J22" s="183">
        <f t="shared" si="8"/>
        <v>0</v>
      </c>
    </row>
    <row r="23" spans="1:10" ht="32" x14ac:dyDescent="0.2">
      <c r="A23" s="185"/>
      <c r="B23" s="174" t="s">
        <v>181</v>
      </c>
      <c r="C23" s="175" t="s">
        <v>180</v>
      </c>
      <c r="D23" s="184" t="s">
        <v>15</v>
      </c>
      <c r="E23" s="176">
        <v>182.92</v>
      </c>
      <c r="F23" s="177">
        <v>21000</v>
      </c>
      <c r="G23" s="177">
        <f t="shared" si="6"/>
        <v>3841319.9999999995</v>
      </c>
      <c r="H23" s="318">
        <v>0</v>
      </c>
      <c r="I23" s="178">
        <f t="shared" si="7"/>
        <v>0</v>
      </c>
      <c r="J23" s="183">
        <f t="shared" si="8"/>
        <v>0</v>
      </c>
    </row>
    <row r="24" spans="1:10" ht="48" x14ac:dyDescent="0.2">
      <c r="A24" s="185"/>
      <c r="B24" s="174" t="s">
        <v>179</v>
      </c>
      <c r="C24" s="175" t="s">
        <v>178</v>
      </c>
      <c r="D24" s="184" t="s">
        <v>15</v>
      </c>
      <c r="E24" s="176">
        <v>565.54</v>
      </c>
      <c r="F24" s="177">
        <v>17500</v>
      </c>
      <c r="G24" s="177">
        <f t="shared" si="6"/>
        <v>9896950</v>
      </c>
      <c r="H24" s="318">
        <v>0</v>
      </c>
      <c r="I24" s="178">
        <f t="shared" si="7"/>
        <v>0</v>
      </c>
      <c r="J24" s="183">
        <f t="shared" si="8"/>
        <v>0</v>
      </c>
    </row>
    <row r="25" spans="1:10" ht="16" x14ac:dyDescent="0.2">
      <c r="A25" s="185"/>
      <c r="B25" s="174" t="s">
        <v>177</v>
      </c>
      <c r="C25" s="175" t="s">
        <v>106</v>
      </c>
      <c r="D25" s="184" t="s">
        <v>15</v>
      </c>
      <c r="E25" s="176">
        <v>161.75</v>
      </c>
      <c r="F25" s="177">
        <v>17500</v>
      </c>
      <c r="G25" s="177">
        <f t="shared" si="6"/>
        <v>2830625</v>
      </c>
      <c r="H25" s="318"/>
      <c r="I25" s="178">
        <f t="shared" si="7"/>
        <v>0</v>
      </c>
      <c r="J25" s="183">
        <f t="shared" si="8"/>
        <v>0</v>
      </c>
    </row>
    <row r="26" spans="1:10" ht="32" x14ac:dyDescent="0.2">
      <c r="A26" s="185"/>
      <c r="B26" s="174" t="s">
        <v>176</v>
      </c>
      <c r="C26" s="175" t="s">
        <v>175</v>
      </c>
      <c r="D26" s="184" t="s">
        <v>85</v>
      </c>
      <c r="E26" s="176">
        <v>532.35</v>
      </c>
      <c r="F26" s="177">
        <v>7400</v>
      </c>
      <c r="G26" s="177">
        <f>F26*E26</f>
        <v>3939390</v>
      </c>
      <c r="H26" s="318">
        <v>0</v>
      </c>
      <c r="I26" s="178">
        <f t="shared" si="7"/>
        <v>0</v>
      </c>
      <c r="J26" s="183">
        <f t="shared" si="8"/>
        <v>0</v>
      </c>
    </row>
    <row r="27" spans="1:10" ht="32" x14ac:dyDescent="0.2">
      <c r="A27" s="185"/>
      <c r="B27" s="169" t="s">
        <v>94</v>
      </c>
      <c r="C27" s="170" t="s">
        <v>174</v>
      </c>
      <c r="D27" s="170"/>
      <c r="E27" s="188"/>
      <c r="F27" s="170"/>
      <c r="G27" s="171">
        <f>+SUM(G28:G31)</f>
        <v>52090282</v>
      </c>
      <c r="H27" s="318"/>
      <c r="I27" s="180"/>
      <c r="J27" s="173">
        <f>+SUM(J28:J31)</f>
        <v>8892692.5</v>
      </c>
    </row>
    <row r="28" spans="1:10" ht="32" x14ac:dyDescent="0.2">
      <c r="A28" s="185"/>
      <c r="B28" s="174" t="s">
        <v>173</v>
      </c>
      <c r="C28" s="175" t="s">
        <v>296</v>
      </c>
      <c r="D28" s="184" t="s">
        <v>15</v>
      </c>
      <c r="E28" s="176">
        <v>1306</v>
      </c>
      <c r="F28" s="177">
        <v>16717</v>
      </c>
      <c r="G28" s="177">
        <f t="shared" si="6"/>
        <v>21832402</v>
      </c>
      <c r="H28" s="318">
        <f>185.5+185.5</f>
        <v>371</v>
      </c>
      <c r="I28" s="178">
        <f t="shared" ref="I28:I31" si="9">+H28/E28</f>
        <v>0.28407350689127103</v>
      </c>
      <c r="J28" s="183">
        <f t="shared" ref="J28:J31" si="10">+F28*H28</f>
        <v>6202007</v>
      </c>
    </row>
    <row r="29" spans="1:10" ht="30.5" customHeight="1" x14ac:dyDescent="0.2">
      <c r="A29" s="185"/>
      <c r="B29" s="174" t="s">
        <v>171</v>
      </c>
      <c r="C29" t="s">
        <v>295</v>
      </c>
      <c r="D29" s="184" t="s">
        <v>15</v>
      </c>
      <c r="E29" s="176">
        <v>1306</v>
      </c>
      <c r="F29" s="177">
        <v>15125</v>
      </c>
      <c r="G29" s="177">
        <f t="shared" si="6"/>
        <v>19753250</v>
      </c>
      <c r="H29" s="318">
        <v>124.02</v>
      </c>
      <c r="I29" s="178">
        <f t="shared" ref="I29" si="11">+H29/E29</f>
        <v>9.4961715160796323E-2</v>
      </c>
      <c r="J29" s="183">
        <f t="shared" ref="J29" si="12">+F29*H29</f>
        <v>1875802.5</v>
      </c>
    </row>
    <row r="30" spans="1:10" ht="30.5" customHeight="1" x14ac:dyDescent="0.2">
      <c r="A30" s="185"/>
      <c r="B30" s="174" t="s">
        <v>294</v>
      </c>
      <c r="C30" t="s">
        <v>298</v>
      </c>
      <c r="D30" s="184" t="s">
        <v>85</v>
      </c>
      <c r="E30" s="176">
        <v>187</v>
      </c>
      <c r="F30" s="177">
        <v>19006</v>
      </c>
      <c r="G30" s="177">
        <f t="shared" ref="G30" si="13">F30*E30</f>
        <v>3554122</v>
      </c>
      <c r="H30" s="318">
        <v>23</v>
      </c>
      <c r="I30" s="178">
        <f t="shared" ref="I30" si="14">+H30/E30</f>
        <v>0.12299465240641712</v>
      </c>
      <c r="J30" s="183">
        <f t="shared" ref="J30" si="15">+F30*H30</f>
        <v>437138</v>
      </c>
    </row>
    <row r="31" spans="1:10" ht="80" x14ac:dyDescent="0.2">
      <c r="A31" s="185"/>
      <c r="B31" s="174" t="s">
        <v>297</v>
      </c>
      <c r="C31" s="175" t="s">
        <v>293</v>
      </c>
      <c r="D31" s="184" t="s">
        <v>233</v>
      </c>
      <c r="E31" s="176">
        <v>92</v>
      </c>
      <c r="F31" s="177">
        <v>75549</v>
      </c>
      <c r="G31" s="177">
        <f t="shared" si="6"/>
        <v>6950508</v>
      </c>
      <c r="H31" s="318">
        <f>1+1+3</f>
        <v>5</v>
      </c>
      <c r="I31" s="178">
        <f t="shared" si="9"/>
        <v>5.434782608695652E-2</v>
      </c>
      <c r="J31" s="183">
        <f t="shared" si="10"/>
        <v>377745</v>
      </c>
    </row>
    <row r="32" spans="1:10" ht="32" x14ac:dyDescent="0.2">
      <c r="A32" s="185"/>
      <c r="B32" s="169" t="s">
        <v>110</v>
      </c>
      <c r="C32" s="170" t="s">
        <v>169</v>
      </c>
      <c r="D32" s="170"/>
      <c r="E32" s="188"/>
      <c r="F32" s="170"/>
      <c r="G32" s="171">
        <f>+SUM(G33:G33)</f>
        <v>22659000</v>
      </c>
      <c r="H32" s="318"/>
      <c r="I32" s="180"/>
      <c r="J32" s="173">
        <f>+SUM(J33:J33)</f>
        <v>5006819.9999999991</v>
      </c>
    </row>
    <row r="33" spans="1:10" ht="16" x14ac:dyDescent="0.2">
      <c r="A33" s="185"/>
      <c r="B33" s="174" t="s">
        <v>168</v>
      </c>
      <c r="C33" t="s">
        <v>302</v>
      </c>
      <c r="D33" s="184" t="s">
        <v>15</v>
      </c>
      <c r="E33" s="176">
        <v>2158</v>
      </c>
      <c r="F33" s="177">
        <v>10500</v>
      </c>
      <c r="G33" s="177">
        <f t="shared" si="6"/>
        <v>22659000</v>
      </c>
      <c r="H33" s="318">
        <f>Pasillos!S22</f>
        <v>476.83999999999992</v>
      </c>
      <c r="I33" s="178">
        <f t="shared" ref="I33" si="16">+H33/E33</f>
        <v>0.2209638554216867</v>
      </c>
      <c r="J33" s="183">
        <f t="shared" ref="J33" si="17">+F33*H33</f>
        <v>5006819.9999999991</v>
      </c>
    </row>
    <row r="34" spans="1:10" ht="16" x14ac:dyDescent="0.2">
      <c r="A34" s="169">
        <v>4</v>
      </c>
      <c r="B34" s="187"/>
      <c r="C34" s="170" t="s">
        <v>164</v>
      </c>
      <c r="D34" s="170"/>
      <c r="E34" s="188"/>
      <c r="F34" s="170"/>
      <c r="G34" s="171">
        <f>+SUM(G35:G35)</f>
        <v>6020406.4000000004</v>
      </c>
      <c r="H34" s="318"/>
      <c r="I34" s="180"/>
      <c r="J34" s="173">
        <f>+SUM(J35:J35)</f>
        <v>6550252.7999999998</v>
      </c>
    </row>
    <row r="35" spans="1:10" ht="48" x14ac:dyDescent="0.2">
      <c r="A35" s="189"/>
      <c r="B35" s="189" t="s">
        <v>111</v>
      </c>
      <c r="C35" s="186" t="s">
        <v>303</v>
      </c>
      <c r="D35" s="184" t="s">
        <v>85</v>
      </c>
      <c r="E35" s="176">
        <v>817.99</v>
      </c>
      <c r="F35" s="177">
        <v>7360</v>
      </c>
      <c r="G35" s="177">
        <f>F35*E35</f>
        <v>6020406.4000000004</v>
      </c>
      <c r="H35" s="318">
        <f>Sellos!S50</f>
        <v>889.98</v>
      </c>
      <c r="I35" s="178">
        <f t="shared" ref="I35" si="18">+H35/E35</f>
        <v>1.0880084108607684</v>
      </c>
      <c r="J35" s="183">
        <f t="shared" ref="J35" si="19">+F35*H35</f>
        <v>6550252.7999999998</v>
      </c>
    </row>
    <row r="36" spans="1:10" ht="16" x14ac:dyDescent="0.2">
      <c r="A36" s="169">
        <v>5</v>
      </c>
      <c r="B36" s="187"/>
      <c r="C36" s="170" t="s">
        <v>161</v>
      </c>
      <c r="D36" s="170"/>
      <c r="E36" s="188"/>
      <c r="F36" s="170"/>
      <c r="G36" s="171">
        <f>++G37+G38</f>
        <v>5450000</v>
      </c>
      <c r="H36" s="318"/>
      <c r="I36" s="180"/>
      <c r="J36" s="173">
        <f>++J37+J38</f>
        <v>0</v>
      </c>
    </row>
    <row r="37" spans="1:10" ht="16" x14ac:dyDescent="0.2">
      <c r="A37" s="185"/>
      <c r="B37" s="184" t="s">
        <v>115</v>
      </c>
      <c r="C37" s="175" t="s">
        <v>117</v>
      </c>
      <c r="D37" s="184" t="s">
        <v>85</v>
      </c>
      <c r="E37" s="176">
        <v>30</v>
      </c>
      <c r="F37" s="177">
        <v>55000</v>
      </c>
      <c r="G37" s="177">
        <f>F37*E37</f>
        <v>1650000</v>
      </c>
      <c r="H37" s="318">
        <v>0</v>
      </c>
      <c r="I37" s="178">
        <f t="shared" ref="I37:I38" si="20">+H37/E37</f>
        <v>0</v>
      </c>
      <c r="J37" s="183">
        <f t="shared" ref="J37:J38" si="21">+F37*H37</f>
        <v>0</v>
      </c>
    </row>
    <row r="38" spans="1:10" ht="16" x14ac:dyDescent="0.2">
      <c r="A38" s="185"/>
      <c r="B38" s="184" t="s">
        <v>116</v>
      </c>
      <c r="C38" s="175" t="s">
        <v>160</v>
      </c>
      <c r="D38" s="184" t="s">
        <v>151</v>
      </c>
      <c r="E38" s="176">
        <v>1</v>
      </c>
      <c r="F38" s="177">
        <v>3800000</v>
      </c>
      <c r="G38" s="177">
        <f>F38*E38</f>
        <v>3800000</v>
      </c>
      <c r="H38" s="318">
        <v>0</v>
      </c>
      <c r="I38" s="178">
        <f t="shared" si="20"/>
        <v>0</v>
      </c>
      <c r="J38" s="183">
        <f t="shared" si="21"/>
        <v>0</v>
      </c>
    </row>
    <row r="39" spans="1:10" ht="16" x14ac:dyDescent="0.2">
      <c r="A39" s="169">
        <v>6</v>
      </c>
      <c r="B39" s="170"/>
      <c r="C39" s="170" t="s">
        <v>159</v>
      </c>
      <c r="D39" s="170"/>
      <c r="E39" s="170"/>
      <c r="F39" s="170"/>
      <c r="G39" s="171">
        <f>+SUM(G40:G45)</f>
        <v>33191143.521451756</v>
      </c>
      <c r="H39" s="318"/>
      <c r="I39" s="180"/>
      <c r="J39" s="173">
        <f>+SUM(J40:J45)</f>
        <v>0</v>
      </c>
    </row>
    <row r="40" spans="1:10" ht="16" x14ac:dyDescent="0.2">
      <c r="A40" s="190"/>
      <c r="B40" s="184" t="s">
        <v>118</v>
      </c>
      <c r="C40" s="175" t="s">
        <v>158</v>
      </c>
      <c r="D40" s="184" t="s">
        <v>15</v>
      </c>
      <c r="E40" s="176">
        <v>312</v>
      </c>
      <c r="F40" s="177">
        <v>25000</v>
      </c>
      <c r="G40" s="177">
        <f>+E40*F40</f>
        <v>7800000</v>
      </c>
      <c r="H40" s="318">
        <v>0</v>
      </c>
      <c r="I40" s="178">
        <f t="shared" ref="I40:I45" si="22">+H40/E40</f>
        <v>0</v>
      </c>
      <c r="J40" s="183">
        <f t="shared" ref="J40:J45" si="23">+F40*H40</f>
        <v>0</v>
      </c>
    </row>
    <row r="41" spans="1:10" ht="16" x14ac:dyDescent="0.2">
      <c r="A41" s="190"/>
      <c r="B41" s="184" t="s">
        <v>119</v>
      </c>
      <c r="C41" s="175" t="s">
        <v>157</v>
      </c>
      <c r="D41" s="184" t="s">
        <v>15</v>
      </c>
      <c r="E41" s="176">
        <v>113.32</v>
      </c>
      <c r="F41" s="177">
        <v>21964</v>
      </c>
      <c r="G41" s="177">
        <f t="shared" ref="G41:G45" si="24">+E41*F41</f>
        <v>2488960.48</v>
      </c>
      <c r="H41" s="318">
        <v>0</v>
      </c>
      <c r="I41" s="178">
        <f t="shared" si="22"/>
        <v>0</v>
      </c>
      <c r="J41" s="183">
        <f t="shared" si="23"/>
        <v>0</v>
      </c>
    </row>
    <row r="42" spans="1:10" ht="32" x14ac:dyDescent="0.2">
      <c r="A42" s="190"/>
      <c r="B42" s="184" t="s">
        <v>120</v>
      </c>
      <c r="C42" s="175" t="s">
        <v>156</v>
      </c>
      <c r="D42" s="184" t="s">
        <v>15</v>
      </c>
      <c r="E42" s="176">
        <v>115</v>
      </c>
      <c r="F42" s="177">
        <v>52750</v>
      </c>
      <c r="G42" s="177">
        <f t="shared" si="24"/>
        <v>6066250</v>
      </c>
      <c r="H42" s="318">
        <v>0</v>
      </c>
      <c r="I42" s="178">
        <f t="shared" si="22"/>
        <v>0</v>
      </c>
      <c r="J42" s="183">
        <f t="shared" si="23"/>
        <v>0</v>
      </c>
    </row>
    <row r="43" spans="1:10" ht="32" x14ac:dyDescent="0.2">
      <c r="A43" s="174"/>
      <c r="B43" s="184" t="s">
        <v>121</v>
      </c>
      <c r="C43" s="175" t="s">
        <v>155</v>
      </c>
      <c r="D43" s="184" t="s">
        <v>85</v>
      </c>
      <c r="E43" s="176">
        <f>24+24+42</f>
        <v>90</v>
      </c>
      <c r="F43" s="177">
        <v>45000</v>
      </c>
      <c r="G43" s="177">
        <f t="shared" si="24"/>
        <v>4050000</v>
      </c>
      <c r="H43" s="318">
        <v>0</v>
      </c>
      <c r="I43" s="178">
        <f t="shared" si="22"/>
        <v>0</v>
      </c>
      <c r="J43" s="183">
        <f t="shared" si="23"/>
        <v>0</v>
      </c>
    </row>
    <row r="44" spans="1:10" ht="16" x14ac:dyDescent="0.2">
      <c r="A44" s="174"/>
      <c r="B44" s="184" t="s">
        <v>122</v>
      </c>
      <c r="C44" s="175" t="s">
        <v>154</v>
      </c>
      <c r="D44" s="184" t="s">
        <v>153</v>
      </c>
      <c r="E44" s="176">
        <v>25</v>
      </c>
      <c r="F44" s="177">
        <v>405000</v>
      </c>
      <c r="G44" s="177">
        <f t="shared" si="24"/>
        <v>10125000</v>
      </c>
      <c r="H44" s="318">
        <v>0</v>
      </c>
      <c r="I44" s="178">
        <f t="shared" si="22"/>
        <v>0</v>
      </c>
      <c r="J44" s="183">
        <f t="shared" si="23"/>
        <v>0</v>
      </c>
    </row>
    <row r="45" spans="1:10" ht="16" x14ac:dyDescent="0.2">
      <c r="A45" s="174"/>
      <c r="B45" s="184" t="s">
        <v>123</v>
      </c>
      <c r="C45" s="191" t="s">
        <v>152</v>
      </c>
      <c r="D45" s="184" t="s">
        <v>151</v>
      </c>
      <c r="E45" s="176">
        <v>1</v>
      </c>
      <c r="F45" s="177">
        <v>2660933.041451755</v>
      </c>
      <c r="G45" s="177">
        <f t="shared" si="24"/>
        <v>2660933.041451755</v>
      </c>
      <c r="H45" s="318">
        <v>0</v>
      </c>
      <c r="I45" s="178">
        <f t="shared" si="22"/>
        <v>0</v>
      </c>
      <c r="J45" s="183">
        <f t="shared" si="23"/>
        <v>0</v>
      </c>
    </row>
    <row r="46" spans="1:10" ht="16" x14ac:dyDescent="0.2">
      <c r="A46" s="169">
        <v>7</v>
      </c>
      <c r="B46" s="170"/>
      <c r="C46" s="170" t="s">
        <v>150</v>
      </c>
      <c r="D46" s="170"/>
      <c r="E46" s="192"/>
      <c r="F46" s="193"/>
      <c r="G46" s="171">
        <f>+G47</f>
        <v>1000000</v>
      </c>
      <c r="H46" s="318"/>
      <c r="I46" s="180"/>
      <c r="J46" s="173">
        <f>+J47</f>
        <v>0</v>
      </c>
    </row>
    <row r="47" spans="1:10" ht="16" x14ac:dyDescent="0.2">
      <c r="A47" s="185"/>
      <c r="B47" s="184" t="s">
        <v>124</v>
      </c>
      <c r="C47" s="175" t="s">
        <v>149</v>
      </c>
      <c r="D47" s="184" t="s">
        <v>109</v>
      </c>
      <c r="E47" s="176">
        <v>1</v>
      </c>
      <c r="F47" s="177">
        <v>1000000</v>
      </c>
      <c r="G47" s="177">
        <f>F47*E47</f>
        <v>1000000</v>
      </c>
      <c r="H47" s="182">
        <v>0</v>
      </c>
      <c r="I47" s="178">
        <f t="shared" ref="I47" si="25">+H47/E47</f>
        <v>0</v>
      </c>
      <c r="J47" s="183">
        <f t="shared" ref="J47" si="26">+F47*H47</f>
        <v>0</v>
      </c>
    </row>
    <row r="48" spans="1:10" x14ac:dyDescent="0.2">
      <c r="A48" s="282" t="s">
        <v>148</v>
      </c>
      <c r="B48" s="282"/>
      <c r="C48" s="282"/>
      <c r="D48" s="317" t="s">
        <v>305</v>
      </c>
      <c r="E48" s="317"/>
      <c r="F48" s="317"/>
      <c r="G48" s="200">
        <f>+G6+G9+G19+G34+G36+G39+G46</f>
        <v>291478806.67145175</v>
      </c>
      <c r="H48" s="280" t="s">
        <v>146</v>
      </c>
      <c r="I48" s="280"/>
      <c r="J48" s="194">
        <f>+J6+J9+J19+J34+J36+J39+J46</f>
        <v>51035659.787947997</v>
      </c>
    </row>
    <row r="49" spans="1:10" x14ac:dyDescent="0.2">
      <c r="A49" s="282"/>
      <c r="B49" s="282"/>
      <c r="C49" s="282"/>
      <c r="D49" s="279" t="s">
        <v>306</v>
      </c>
      <c r="E49" s="279"/>
      <c r="F49" s="195">
        <v>0.19</v>
      </c>
      <c r="G49" s="196">
        <f>+G48*F49</f>
        <v>55380973.26757583</v>
      </c>
      <c r="H49" s="197" t="s">
        <v>306</v>
      </c>
      <c r="I49" s="198">
        <v>0.19</v>
      </c>
      <c r="J49" s="199">
        <f>J48*I49</f>
        <v>9696775.3597101197</v>
      </c>
    </row>
    <row r="50" spans="1:10" x14ac:dyDescent="0.2">
      <c r="A50" s="282"/>
      <c r="B50" s="282"/>
      <c r="C50" s="282"/>
      <c r="D50" s="279" t="s">
        <v>142</v>
      </c>
      <c r="E50" s="279"/>
      <c r="F50" s="279"/>
      <c r="G50" s="200">
        <f>G49+G48</f>
        <v>346859779.93902755</v>
      </c>
      <c r="H50" s="280" t="s">
        <v>141</v>
      </c>
      <c r="I50" s="280"/>
      <c r="J50" s="201">
        <f>J48+J49</f>
        <v>60732435.147658117</v>
      </c>
    </row>
    <row r="51" spans="1:10" x14ac:dyDescent="0.2">
      <c r="A51" s="282"/>
      <c r="B51" s="282"/>
      <c r="C51" s="282"/>
      <c r="H51" s="168" t="s">
        <v>140</v>
      </c>
      <c r="I51" s="202">
        <v>0.02</v>
      </c>
      <c r="J51" s="203">
        <f>J48*I51</f>
        <v>1020713.19575896</v>
      </c>
    </row>
    <row r="52" spans="1:10" x14ac:dyDescent="0.2">
      <c r="A52" s="282"/>
      <c r="B52" s="282"/>
      <c r="C52" s="282"/>
      <c r="H52" s="168" t="s">
        <v>139</v>
      </c>
      <c r="I52" s="202">
        <v>0.2</v>
      </c>
      <c r="J52" s="203">
        <f>+J50*I52</f>
        <v>12146487.029531624</v>
      </c>
    </row>
    <row r="53" spans="1:10" x14ac:dyDescent="0.2">
      <c r="A53" s="282"/>
      <c r="B53" s="282"/>
      <c r="C53" s="282"/>
      <c r="H53" s="168" t="s">
        <v>138</v>
      </c>
      <c r="I53" s="202">
        <v>0.1</v>
      </c>
      <c r="J53" s="203">
        <f>+J50*I53</f>
        <v>6073243.5147658121</v>
      </c>
    </row>
    <row r="54" spans="1:10" x14ac:dyDescent="0.2">
      <c r="A54" s="282"/>
      <c r="B54" s="282"/>
      <c r="C54" s="282"/>
      <c r="H54" s="278" t="s">
        <v>137</v>
      </c>
      <c r="I54" s="278"/>
      <c r="J54" s="204">
        <f>+J50-J51-J52-J53</f>
        <v>41491991.407601714</v>
      </c>
    </row>
    <row r="56" spans="1:10" x14ac:dyDescent="0.2">
      <c r="C56" s="205" t="s">
        <v>136</v>
      </c>
      <c r="D56" s="172"/>
      <c r="E56" s="206">
        <f>+G50</f>
        <v>346859779.93902755</v>
      </c>
    </row>
    <row r="57" spans="1:10" x14ac:dyDescent="0.2">
      <c r="C57" s="205" t="s">
        <v>135</v>
      </c>
      <c r="D57" s="180"/>
      <c r="E57" s="207">
        <f>+E56*20%</f>
        <v>69371955.987805516</v>
      </c>
    </row>
    <row r="58" spans="1:10" x14ac:dyDescent="0.2">
      <c r="C58" s="205" t="s">
        <v>134</v>
      </c>
      <c r="D58" s="208">
        <f>+E58/E57</f>
        <v>0.17509218035695553</v>
      </c>
      <c r="E58" s="209">
        <f>+J52</f>
        <v>12146487.029531624</v>
      </c>
    </row>
    <row r="59" spans="1:10" x14ac:dyDescent="0.2">
      <c r="C59" s="205" t="s">
        <v>133</v>
      </c>
      <c r="D59" s="180"/>
      <c r="E59" s="183">
        <f>+E57-E58</f>
        <v>57225468.958273888</v>
      </c>
    </row>
    <row r="60" spans="1:10" x14ac:dyDescent="0.2">
      <c r="C60" s="205" t="s">
        <v>132</v>
      </c>
      <c r="D60" s="180"/>
      <c r="E60" s="209">
        <f>+J50</f>
        <v>60732435.147658117</v>
      </c>
    </row>
    <row r="61" spans="1:10" x14ac:dyDescent="0.2">
      <c r="C61" s="205" t="s">
        <v>100</v>
      </c>
      <c r="D61" s="180"/>
      <c r="E61" s="208">
        <f>+E60/E56</f>
        <v>0.17509218035695553</v>
      </c>
    </row>
  </sheetData>
  <mergeCells count="16">
    <mergeCell ref="D49:E49"/>
    <mergeCell ref="D50:F50"/>
    <mergeCell ref="H50:I50"/>
    <mergeCell ref="H54:I54"/>
    <mergeCell ref="A4:G4"/>
    <mergeCell ref="H4:J4"/>
    <mergeCell ref="A48:C54"/>
    <mergeCell ref="D48:F48"/>
    <mergeCell ref="H48:I48"/>
    <mergeCell ref="A1:G1"/>
    <mergeCell ref="H1:J2"/>
    <mergeCell ref="A2:C2"/>
    <mergeCell ref="D2:G2"/>
    <mergeCell ref="A3:C3"/>
    <mergeCell ref="D3:F3"/>
    <mergeCell ref="H3:J3"/>
  </mergeCells>
  <phoneticPr fontId="10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545B8-3082-480E-B487-A38F9923FC9D}">
  <dimension ref="A1:S68"/>
  <sheetViews>
    <sheetView zoomScale="70" zoomScaleNormal="70" workbookViewId="0">
      <selection activeCell="AC40" sqref="AC40"/>
    </sheetView>
  </sheetViews>
  <sheetFormatPr baseColWidth="10" defaultColWidth="11.5" defaultRowHeight="14" x14ac:dyDescent="0.2"/>
  <cols>
    <col min="1" max="1" width="5.83203125" style="1" bestFit="1" customWidth="1"/>
    <col min="2" max="2" width="7.1640625" style="1" bestFit="1" customWidth="1"/>
    <col min="3" max="3" width="48.33203125" style="1" bestFit="1" customWidth="1"/>
    <col min="4" max="4" width="10.5" style="1" bestFit="1" customWidth="1"/>
    <col min="5" max="5" width="23.83203125" style="1" bestFit="1" customWidth="1"/>
    <col min="6" max="6" width="16.6640625" style="1" bestFit="1" customWidth="1"/>
    <col min="7" max="7" width="21" style="1" bestFit="1" customWidth="1"/>
    <col min="8" max="8" width="22.83203125" style="1" bestFit="1" customWidth="1"/>
    <col min="9" max="9" width="12.83203125" style="1" bestFit="1" customWidth="1"/>
    <col min="10" max="10" width="23.1640625" style="1" bestFit="1" customWidth="1"/>
    <col min="11" max="11" width="22.83203125" style="1" bestFit="1" customWidth="1"/>
    <col min="12" max="12" width="12.83203125" style="1" bestFit="1" customWidth="1"/>
    <col min="13" max="13" width="23.1640625" style="1" bestFit="1" customWidth="1"/>
    <col min="14" max="14" width="22.83203125" style="1" bestFit="1" customWidth="1"/>
    <col min="15" max="15" width="12.83203125" style="1" bestFit="1" customWidth="1"/>
    <col min="16" max="16" width="17.83203125" style="1" bestFit="1" customWidth="1"/>
    <col min="17" max="17" width="22.83203125" style="1" bestFit="1" customWidth="1"/>
    <col min="18" max="18" width="12.83203125" style="1" bestFit="1" customWidth="1"/>
    <col min="19" max="19" width="23.83203125" style="1" bestFit="1" customWidth="1"/>
    <col min="20" max="16384" width="11.5" style="1"/>
  </cols>
  <sheetData>
    <row r="1" spans="1:19" ht="25" x14ac:dyDescent="0.2">
      <c r="A1" s="285" t="s">
        <v>222</v>
      </c>
      <c r="B1" s="285"/>
      <c r="C1" s="285"/>
      <c r="D1" s="285"/>
      <c r="E1" s="285"/>
      <c r="F1" s="285"/>
      <c r="G1" s="285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</row>
    <row r="2" spans="1:19" ht="16" x14ac:dyDescent="0.2">
      <c r="A2" s="287" t="s">
        <v>221</v>
      </c>
      <c r="B2" s="287"/>
      <c r="C2" s="287"/>
      <c r="D2" s="287" t="s">
        <v>220</v>
      </c>
      <c r="E2" s="287"/>
      <c r="F2" s="287"/>
      <c r="G2" s="287"/>
      <c r="H2" s="286"/>
      <c r="I2" s="286"/>
      <c r="J2" s="286"/>
      <c r="K2" s="286"/>
      <c r="L2" s="286"/>
      <c r="M2" s="286"/>
      <c r="N2" s="286"/>
      <c r="O2" s="286"/>
      <c r="P2" s="286"/>
      <c r="Q2" s="286"/>
      <c r="R2" s="286"/>
      <c r="S2" s="286"/>
    </row>
    <row r="3" spans="1:19" ht="15.75" customHeight="1" x14ac:dyDescent="0.2">
      <c r="A3" s="287" t="s">
        <v>219</v>
      </c>
      <c r="B3" s="287"/>
      <c r="C3" s="287"/>
      <c r="D3" s="287" t="s">
        <v>250</v>
      </c>
      <c r="E3" s="287"/>
      <c r="F3" s="287"/>
      <c r="G3" s="116" t="s">
        <v>218</v>
      </c>
      <c r="H3" s="283" t="s">
        <v>217</v>
      </c>
      <c r="I3" s="283"/>
      <c r="J3" s="283"/>
      <c r="K3" s="283" t="s">
        <v>223</v>
      </c>
      <c r="L3" s="283"/>
      <c r="M3" s="283"/>
      <c r="N3" s="283" t="s">
        <v>247</v>
      </c>
      <c r="O3" s="283"/>
      <c r="P3" s="283"/>
      <c r="Q3" s="294" t="s">
        <v>241</v>
      </c>
      <c r="R3" s="294"/>
      <c r="S3" s="294"/>
    </row>
    <row r="4" spans="1:19" ht="16" x14ac:dyDescent="0.2">
      <c r="A4" s="287" t="s">
        <v>243</v>
      </c>
      <c r="B4" s="287"/>
      <c r="C4" s="287"/>
      <c r="D4" s="287"/>
      <c r="E4" s="287"/>
      <c r="F4" s="287"/>
      <c r="G4" s="287"/>
      <c r="H4" s="288" t="s">
        <v>216</v>
      </c>
      <c r="I4" s="288"/>
      <c r="J4" s="288"/>
      <c r="K4" s="288" t="s">
        <v>242</v>
      </c>
      <c r="L4" s="288"/>
      <c r="M4" s="288"/>
      <c r="N4" s="288" t="s">
        <v>248</v>
      </c>
      <c r="O4" s="288"/>
      <c r="P4" s="288"/>
      <c r="Q4" s="295" t="s">
        <v>249</v>
      </c>
      <c r="R4" s="295"/>
      <c r="S4" s="295"/>
    </row>
    <row r="5" spans="1:19" ht="30" x14ac:dyDescent="0.2">
      <c r="A5" s="80" t="s">
        <v>215</v>
      </c>
      <c r="B5" s="80" t="s">
        <v>214</v>
      </c>
      <c r="C5" s="80" t="s">
        <v>213</v>
      </c>
      <c r="D5" s="80" t="s">
        <v>212</v>
      </c>
      <c r="E5" s="80" t="s">
        <v>6</v>
      </c>
      <c r="F5" s="80" t="s">
        <v>211</v>
      </c>
      <c r="G5" s="80" t="s">
        <v>210</v>
      </c>
      <c r="H5" s="115" t="s">
        <v>96</v>
      </c>
      <c r="I5" s="115" t="s">
        <v>209</v>
      </c>
      <c r="J5" s="115" t="s">
        <v>208</v>
      </c>
      <c r="K5" s="115" t="s">
        <v>96</v>
      </c>
      <c r="L5" s="115" t="s">
        <v>209</v>
      </c>
      <c r="M5" s="115" t="s">
        <v>208</v>
      </c>
      <c r="N5" s="115" t="s">
        <v>96</v>
      </c>
      <c r="O5" s="115" t="s">
        <v>209</v>
      </c>
      <c r="P5" s="115" t="s">
        <v>208</v>
      </c>
      <c r="Q5" s="211" t="s">
        <v>96</v>
      </c>
      <c r="R5" s="211" t="s">
        <v>209</v>
      </c>
      <c r="S5" s="211" t="s">
        <v>208</v>
      </c>
    </row>
    <row r="6" spans="1:19" ht="15" x14ac:dyDescent="0.2">
      <c r="A6" s="81" t="s">
        <v>101</v>
      </c>
      <c r="B6" s="82"/>
      <c r="C6" s="82" t="s">
        <v>207</v>
      </c>
      <c r="D6" s="82"/>
      <c r="E6" s="82"/>
      <c r="F6" s="82"/>
      <c r="G6" s="83">
        <f>+G7+G8</f>
        <v>880000</v>
      </c>
      <c r="H6" s="73"/>
      <c r="I6" s="73"/>
      <c r="J6" s="84">
        <f>+J7+J8</f>
        <v>707500</v>
      </c>
      <c r="K6" s="73"/>
      <c r="L6" s="73"/>
      <c r="M6" s="84">
        <f>+M7+M8</f>
        <v>57500</v>
      </c>
      <c r="N6" s="73"/>
      <c r="O6" s="73"/>
      <c r="P6" s="84">
        <f>+P7+P8</f>
        <v>57500</v>
      </c>
      <c r="Q6" s="73"/>
      <c r="R6" s="73"/>
      <c r="S6" s="212">
        <f>+S7+S8</f>
        <v>822500</v>
      </c>
    </row>
    <row r="7" spans="1:19" ht="15" x14ac:dyDescent="0.2">
      <c r="A7" s="85"/>
      <c r="B7" s="85" t="s">
        <v>102</v>
      </c>
      <c r="C7" s="69" t="s">
        <v>104</v>
      </c>
      <c r="D7" s="85" t="s">
        <v>151</v>
      </c>
      <c r="E7" s="86">
        <v>1</v>
      </c>
      <c r="F7" s="70">
        <v>650000</v>
      </c>
      <c r="G7" s="70">
        <f>F7*E7</f>
        <v>650000</v>
      </c>
      <c r="H7" s="73">
        <v>1</v>
      </c>
      <c r="I7" s="87">
        <f>+H7/E7</f>
        <v>1</v>
      </c>
      <c r="J7" s="77">
        <f>+H7*F7</f>
        <v>650000</v>
      </c>
      <c r="K7" s="73">
        <v>0</v>
      </c>
      <c r="L7" s="87">
        <f>K7/E7</f>
        <v>0</v>
      </c>
      <c r="M7" s="77">
        <f>+K7*F7</f>
        <v>0</v>
      </c>
      <c r="N7" s="73">
        <v>0</v>
      </c>
      <c r="O7" s="87">
        <f>N7/E7</f>
        <v>0</v>
      </c>
      <c r="P7" s="77">
        <f>+N7*F7</f>
        <v>0</v>
      </c>
      <c r="Q7" s="73">
        <f>H7+K7+N7</f>
        <v>1</v>
      </c>
      <c r="R7" s="87">
        <f>Q7/E7</f>
        <v>1</v>
      </c>
      <c r="S7" s="77">
        <f>+Q7*F7</f>
        <v>650000</v>
      </c>
    </row>
    <row r="8" spans="1:19" ht="15" x14ac:dyDescent="0.2">
      <c r="A8" s="85"/>
      <c r="B8" s="85" t="s">
        <v>103</v>
      </c>
      <c r="C8" s="69" t="s">
        <v>206</v>
      </c>
      <c r="D8" s="85" t="s">
        <v>151</v>
      </c>
      <c r="E8" s="86">
        <v>1</v>
      </c>
      <c r="F8" s="70">
        <v>230000</v>
      </c>
      <c r="G8" s="70">
        <f t="shared" ref="G8:G13" si="0">F8*E8</f>
        <v>230000</v>
      </c>
      <c r="H8" s="73">
        <v>0.25</v>
      </c>
      <c r="I8" s="87">
        <f>+H8/E8</f>
        <v>0.25</v>
      </c>
      <c r="J8" s="77">
        <f>+H8*F8</f>
        <v>57500</v>
      </c>
      <c r="K8" s="73">
        <v>0.25</v>
      </c>
      <c r="L8" s="87">
        <f t="shared" ref="L8:L49" si="1">K8/E8</f>
        <v>0.25</v>
      </c>
      <c r="M8" s="77">
        <f>+K8*F8</f>
        <v>57500</v>
      </c>
      <c r="N8" s="73">
        <v>0.25</v>
      </c>
      <c r="O8" s="87">
        <f>N8/E8</f>
        <v>0.25</v>
      </c>
      <c r="P8" s="77">
        <f>+N8*F8</f>
        <v>57500</v>
      </c>
      <c r="Q8" s="73">
        <f>H8+K8+N8</f>
        <v>0.75</v>
      </c>
      <c r="R8" s="87">
        <f>Q8/E8</f>
        <v>0.75</v>
      </c>
      <c r="S8" s="77">
        <f>+Q8*F8</f>
        <v>172500</v>
      </c>
    </row>
    <row r="9" spans="1:19" ht="15" x14ac:dyDescent="0.2">
      <c r="A9" s="81">
        <v>2</v>
      </c>
      <c r="B9" s="82"/>
      <c r="C9" s="82" t="s">
        <v>205</v>
      </c>
      <c r="D9" s="82"/>
      <c r="E9" s="82"/>
      <c r="F9" s="82"/>
      <c r="G9" s="83">
        <f>+G10+G14</f>
        <v>56542255.25</v>
      </c>
      <c r="H9" s="73"/>
      <c r="I9" s="73"/>
      <c r="J9" s="84">
        <f>+J10+J14</f>
        <v>10058452.064999999</v>
      </c>
      <c r="K9" s="73"/>
      <c r="L9" s="87"/>
      <c r="M9" s="84" t="e">
        <f>+M10+M14</f>
        <v>#REF!</v>
      </c>
      <c r="N9" s="73"/>
      <c r="O9" s="87"/>
      <c r="P9" s="84">
        <f>+P10+P14</f>
        <v>0</v>
      </c>
      <c r="Q9" s="73"/>
      <c r="R9" s="87"/>
      <c r="S9" s="212" t="e">
        <f>+S10+S14</f>
        <v>#REF!</v>
      </c>
    </row>
    <row r="10" spans="1:19" ht="15" x14ac:dyDescent="0.2">
      <c r="A10" s="81"/>
      <c r="B10" s="88" t="s">
        <v>93</v>
      </c>
      <c r="C10" s="82" t="s">
        <v>204</v>
      </c>
      <c r="D10" s="82"/>
      <c r="E10" s="82"/>
      <c r="F10" s="82"/>
      <c r="G10" s="83">
        <f>+SUM(G11:G13)</f>
        <v>22197398</v>
      </c>
      <c r="H10" s="73"/>
      <c r="I10" s="73"/>
      <c r="J10" s="84">
        <f>+SUM(J11:J13)</f>
        <v>9529202.0649999995</v>
      </c>
      <c r="K10" s="73"/>
      <c r="L10" s="87"/>
      <c r="M10" s="84" t="e">
        <f>+SUM(M11:M13)</f>
        <v>#REF!</v>
      </c>
      <c r="N10" s="73"/>
      <c r="O10" s="87"/>
      <c r="P10" s="84">
        <f>+SUM(P11:P13)</f>
        <v>0</v>
      </c>
      <c r="Q10" s="73"/>
      <c r="R10" s="87"/>
      <c r="S10" s="212" t="e">
        <f>+SUM(S11:S13)</f>
        <v>#REF!</v>
      </c>
    </row>
    <row r="11" spans="1:19" ht="30" x14ac:dyDescent="0.2">
      <c r="A11" s="85"/>
      <c r="B11" s="85" t="s">
        <v>203</v>
      </c>
      <c r="C11" s="69" t="s">
        <v>202</v>
      </c>
      <c r="D11" s="85" t="s">
        <v>15</v>
      </c>
      <c r="E11" s="86">
        <v>2535.7399999999998</v>
      </c>
      <c r="F11" s="70">
        <v>3300</v>
      </c>
      <c r="G11" s="70">
        <f t="shared" si="0"/>
        <v>8367941.9999999991</v>
      </c>
      <c r="H11" s="107">
        <v>988.22934999999995</v>
      </c>
      <c r="I11" s="87">
        <f>+H11/E11</f>
        <v>0.38972029861105634</v>
      </c>
      <c r="J11" s="89">
        <f>+F11*H11</f>
        <v>3261156.855</v>
      </c>
      <c r="K11" s="107" t="e">
        <f>Lavado!#REF!</f>
        <v>#REF!</v>
      </c>
      <c r="L11" s="87" t="e">
        <f t="shared" si="1"/>
        <v>#REF!</v>
      </c>
      <c r="M11" s="77" t="e">
        <f>+K11*F11</f>
        <v>#REF!</v>
      </c>
      <c r="N11" s="107">
        <f>Lavado!X72</f>
        <v>0</v>
      </c>
      <c r="O11" s="87">
        <f>N11/E11</f>
        <v>0</v>
      </c>
      <c r="P11" s="77">
        <f>+N11*F11</f>
        <v>0</v>
      </c>
      <c r="Q11" s="210" t="e">
        <f>H11+K11+N11</f>
        <v>#REF!</v>
      </c>
      <c r="R11" s="87" t="e">
        <f>Q11/E11</f>
        <v>#REF!</v>
      </c>
      <c r="S11" s="77" t="e">
        <f>+Q11*F11</f>
        <v>#REF!</v>
      </c>
    </row>
    <row r="12" spans="1:19" ht="30" x14ac:dyDescent="0.2">
      <c r="A12" s="85"/>
      <c r="B12" s="85" t="s">
        <v>201</v>
      </c>
      <c r="C12" s="69" t="s">
        <v>105</v>
      </c>
      <c r="D12" s="85" t="s">
        <v>15</v>
      </c>
      <c r="E12" s="86">
        <v>1970.54</v>
      </c>
      <c r="F12" s="70">
        <v>3400</v>
      </c>
      <c r="G12" s="70">
        <f t="shared" si="0"/>
        <v>6699836</v>
      </c>
      <c r="H12" s="107">
        <v>686.73564999999996</v>
      </c>
      <c r="I12" s="87">
        <f t="shared" ref="I12:I13" si="2">+H12/E12</f>
        <v>0.3485012483887665</v>
      </c>
      <c r="J12" s="89">
        <f t="shared" ref="J12:J13" si="3">+F12*H12</f>
        <v>2334901.21</v>
      </c>
      <c r="K12" s="107" t="e">
        <f>Lavado!#REF!</f>
        <v>#REF!</v>
      </c>
      <c r="L12" s="87" t="e">
        <f t="shared" si="1"/>
        <v>#REF!</v>
      </c>
      <c r="M12" s="77" t="e">
        <f t="shared" ref="M12:M13" si="4">+K12*F12</f>
        <v>#REF!</v>
      </c>
      <c r="N12" s="107">
        <f>Lavado!X73</f>
        <v>0</v>
      </c>
      <c r="O12" s="87">
        <f t="shared" ref="O12:O19" si="5">N12/E12</f>
        <v>0</v>
      </c>
      <c r="P12" s="77">
        <f t="shared" ref="P12:P19" si="6">+N12*F12</f>
        <v>0</v>
      </c>
      <c r="Q12" s="210" t="e">
        <f t="shared" ref="Q12:Q19" si="7">H12+K12+N12</f>
        <v>#REF!</v>
      </c>
      <c r="R12" s="87" t="e">
        <f>Q12/E12</f>
        <v>#REF!</v>
      </c>
      <c r="S12" s="77" t="e">
        <f>+Q12*F12</f>
        <v>#REF!</v>
      </c>
    </row>
    <row r="13" spans="1:19" ht="15" x14ac:dyDescent="0.2">
      <c r="A13" s="85"/>
      <c r="B13" s="85" t="s">
        <v>200</v>
      </c>
      <c r="C13" s="69" t="s">
        <v>199</v>
      </c>
      <c r="D13" s="85" t="s">
        <v>15</v>
      </c>
      <c r="E13" s="86">
        <v>2640.6</v>
      </c>
      <c r="F13" s="70">
        <v>2700</v>
      </c>
      <c r="G13" s="70">
        <f t="shared" si="0"/>
        <v>7129620</v>
      </c>
      <c r="H13" s="107">
        <v>1456.7200000000003</v>
      </c>
      <c r="I13" s="87">
        <f t="shared" si="2"/>
        <v>0.55166250094675462</v>
      </c>
      <c r="J13" s="89">
        <f t="shared" si="3"/>
        <v>3933144.0000000005</v>
      </c>
      <c r="K13" s="107">
        <f>2640*0.4</f>
        <v>1056</v>
      </c>
      <c r="L13" s="87">
        <f t="shared" si="1"/>
        <v>0.39990911156555331</v>
      </c>
      <c r="M13" s="77">
        <f t="shared" si="4"/>
        <v>2851200</v>
      </c>
      <c r="N13" s="107">
        <v>0</v>
      </c>
      <c r="O13" s="87">
        <f t="shared" si="5"/>
        <v>0</v>
      </c>
      <c r="P13" s="77">
        <f t="shared" si="6"/>
        <v>0</v>
      </c>
      <c r="Q13" s="210">
        <f t="shared" si="7"/>
        <v>2512.7200000000003</v>
      </c>
      <c r="R13" s="87">
        <f>Q13/E13</f>
        <v>0.95157161251230793</v>
      </c>
      <c r="S13" s="77">
        <f>+Q13*F13</f>
        <v>6784344.0000000009</v>
      </c>
    </row>
    <row r="14" spans="1:19" ht="30" x14ac:dyDescent="0.2">
      <c r="A14" s="85"/>
      <c r="B14" s="88" t="s">
        <v>92</v>
      </c>
      <c r="C14" s="82" t="s">
        <v>198</v>
      </c>
      <c r="D14" s="82"/>
      <c r="E14" s="82"/>
      <c r="F14" s="82"/>
      <c r="G14" s="83">
        <f>SUM(G15:G19)</f>
        <v>34344857.25</v>
      </c>
      <c r="H14" s="107"/>
      <c r="I14" s="73"/>
      <c r="J14" s="84">
        <f>SUM(J15:J19)</f>
        <v>529250</v>
      </c>
      <c r="K14" s="107"/>
      <c r="L14" s="87"/>
      <c r="M14" s="84">
        <f>SUM(M15:M19)</f>
        <v>0</v>
      </c>
      <c r="N14" s="107"/>
      <c r="O14" s="87"/>
      <c r="P14" s="84">
        <f>SUM(P15:P19)</f>
        <v>0</v>
      </c>
      <c r="Q14" s="210"/>
      <c r="R14" s="87"/>
      <c r="S14" s="212">
        <f>SUM(S15:S19)</f>
        <v>529250</v>
      </c>
    </row>
    <row r="15" spans="1:19" ht="15" x14ac:dyDescent="0.2">
      <c r="A15" s="85"/>
      <c r="B15" s="85" t="s">
        <v>197</v>
      </c>
      <c r="C15" s="69" t="s">
        <v>196</v>
      </c>
      <c r="D15" s="85" t="s">
        <v>15</v>
      </c>
      <c r="E15" s="86">
        <v>40</v>
      </c>
      <c r="F15" s="70">
        <v>39400</v>
      </c>
      <c r="G15" s="70">
        <f>F15*E15</f>
        <v>1576000</v>
      </c>
      <c r="H15" s="107">
        <v>0</v>
      </c>
      <c r="I15" s="87">
        <f t="shared" ref="I15:I19" si="8">+H15/E15</f>
        <v>0</v>
      </c>
      <c r="J15" s="89">
        <f t="shared" ref="J15:J19" si="9">+F15*H15</f>
        <v>0</v>
      </c>
      <c r="K15" s="107">
        <v>0</v>
      </c>
      <c r="L15" s="87">
        <f t="shared" si="1"/>
        <v>0</v>
      </c>
      <c r="M15" s="77">
        <f>+K15*F15</f>
        <v>0</v>
      </c>
      <c r="N15" s="107">
        <v>0</v>
      </c>
      <c r="O15" s="87">
        <f t="shared" si="5"/>
        <v>0</v>
      </c>
      <c r="P15" s="77">
        <f t="shared" si="6"/>
        <v>0</v>
      </c>
      <c r="Q15" s="210">
        <f t="shared" si="7"/>
        <v>0</v>
      </c>
      <c r="R15" s="87">
        <f>Q15/E15</f>
        <v>0</v>
      </c>
      <c r="S15" s="77">
        <f>+Q15*F15</f>
        <v>0</v>
      </c>
    </row>
    <row r="16" spans="1:19" ht="15" x14ac:dyDescent="0.2">
      <c r="A16" s="85"/>
      <c r="B16" s="85" t="s">
        <v>195</v>
      </c>
      <c r="C16" s="69" t="s">
        <v>194</v>
      </c>
      <c r="D16" s="74" t="s">
        <v>15</v>
      </c>
      <c r="E16" s="86">
        <f>+SUM(E22:E24)*15%</f>
        <v>441.88650000000001</v>
      </c>
      <c r="F16" s="70">
        <v>36500</v>
      </c>
      <c r="G16" s="70">
        <f>F16*E16</f>
        <v>16128857.25</v>
      </c>
      <c r="H16" s="107">
        <v>14.5</v>
      </c>
      <c r="I16" s="87">
        <f t="shared" si="8"/>
        <v>3.2813856046745034E-2</v>
      </c>
      <c r="J16" s="89">
        <f t="shared" si="9"/>
        <v>529250</v>
      </c>
      <c r="K16" s="107">
        <f>Sicoplast!AA22</f>
        <v>0</v>
      </c>
      <c r="L16" s="87">
        <f t="shared" si="1"/>
        <v>0</v>
      </c>
      <c r="M16" s="77">
        <f t="shared" ref="M16:M19" si="10">+K16*F16</f>
        <v>0</v>
      </c>
      <c r="N16" s="107">
        <f>Sicoplast!AF22</f>
        <v>0</v>
      </c>
      <c r="O16" s="87">
        <f t="shared" si="5"/>
        <v>0</v>
      </c>
      <c r="P16" s="77">
        <f t="shared" si="6"/>
        <v>0</v>
      </c>
      <c r="Q16" s="210">
        <f t="shared" si="7"/>
        <v>14.5</v>
      </c>
      <c r="R16" s="87">
        <f>Q16/E16</f>
        <v>3.2813856046745034E-2</v>
      </c>
      <c r="S16" s="77">
        <f>+Q16*F16</f>
        <v>529250</v>
      </c>
    </row>
    <row r="17" spans="1:19" ht="15" x14ac:dyDescent="0.2">
      <c r="A17" s="90"/>
      <c r="B17" s="85" t="s">
        <v>193</v>
      </c>
      <c r="C17" s="75" t="s">
        <v>192</v>
      </c>
      <c r="D17" s="74" t="s">
        <v>15</v>
      </c>
      <c r="E17" s="86">
        <v>100</v>
      </c>
      <c r="F17" s="70">
        <v>87000</v>
      </c>
      <c r="G17" s="70">
        <f>F17*E17</f>
        <v>8700000</v>
      </c>
      <c r="H17" s="107">
        <v>0</v>
      </c>
      <c r="I17" s="87">
        <f t="shared" si="8"/>
        <v>0</v>
      </c>
      <c r="J17" s="89">
        <f t="shared" si="9"/>
        <v>0</v>
      </c>
      <c r="K17" s="107">
        <v>0</v>
      </c>
      <c r="L17" s="87">
        <f t="shared" si="1"/>
        <v>0</v>
      </c>
      <c r="M17" s="77">
        <f t="shared" si="10"/>
        <v>0</v>
      </c>
      <c r="N17" s="107">
        <v>0</v>
      </c>
      <c r="O17" s="87">
        <f t="shared" si="5"/>
        <v>0</v>
      </c>
      <c r="P17" s="77">
        <f t="shared" si="6"/>
        <v>0</v>
      </c>
      <c r="Q17" s="210">
        <f t="shared" si="7"/>
        <v>0</v>
      </c>
      <c r="R17" s="87">
        <f>Q17/E17</f>
        <v>0</v>
      </c>
      <c r="S17" s="77">
        <f>+Q17*F17</f>
        <v>0</v>
      </c>
    </row>
    <row r="18" spans="1:19" ht="30" x14ac:dyDescent="0.2">
      <c r="A18" s="90"/>
      <c r="B18" s="85" t="s">
        <v>191</v>
      </c>
      <c r="C18" s="75" t="s">
        <v>190</v>
      </c>
      <c r="D18" s="74" t="s">
        <v>15</v>
      </c>
      <c r="E18" s="86">
        <v>60</v>
      </c>
      <c r="F18" s="70">
        <v>87000</v>
      </c>
      <c r="G18" s="70">
        <f>F18*E18</f>
        <v>5220000</v>
      </c>
      <c r="H18" s="107">
        <v>0</v>
      </c>
      <c r="I18" s="87">
        <f t="shared" si="8"/>
        <v>0</v>
      </c>
      <c r="J18" s="89">
        <f t="shared" si="9"/>
        <v>0</v>
      </c>
      <c r="K18" s="107">
        <v>0</v>
      </c>
      <c r="L18" s="87">
        <f t="shared" si="1"/>
        <v>0</v>
      </c>
      <c r="M18" s="77">
        <f t="shared" si="10"/>
        <v>0</v>
      </c>
      <c r="N18" s="107">
        <v>0</v>
      </c>
      <c r="O18" s="87">
        <f t="shared" si="5"/>
        <v>0</v>
      </c>
      <c r="P18" s="77">
        <f t="shared" si="6"/>
        <v>0</v>
      </c>
      <c r="Q18" s="210">
        <f t="shared" si="7"/>
        <v>0</v>
      </c>
      <c r="R18" s="87">
        <f>Q18/E18</f>
        <v>0</v>
      </c>
      <c r="S18" s="77">
        <f>+Q18*F18</f>
        <v>0</v>
      </c>
    </row>
    <row r="19" spans="1:19" ht="30" x14ac:dyDescent="0.2">
      <c r="A19" s="90"/>
      <c r="B19" s="85" t="s">
        <v>189</v>
      </c>
      <c r="C19" s="75" t="s">
        <v>188</v>
      </c>
      <c r="D19" s="74" t="s">
        <v>15</v>
      </c>
      <c r="E19" s="86">
        <v>40</v>
      </c>
      <c r="F19" s="70">
        <v>68000</v>
      </c>
      <c r="G19" s="70">
        <f>F19*E19</f>
        <v>2720000</v>
      </c>
      <c r="H19" s="107">
        <v>0</v>
      </c>
      <c r="I19" s="87">
        <f t="shared" si="8"/>
        <v>0</v>
      </c>
      <c r="J19" s="89">
        <f t="shared" si="9"/>
        <v>0</v>
      </c>
      <c r="K19" s="107">
        <v>0</v>
      </c>
      <c r="L19" s="87">
        <f t="shared" si="1"/>
        <v>0</v>
      </c>
      <c r="M19" s="77">
        <f t="shared" si="10"/>
        <v>0</v>
      </c>
      <c r="N19" s="107">
        <v>0</v>
      </c>
      <c r="O19" s="87">
        <f t="shared" si="5"/>
        <v>0</v>
      </c>
      <c r="P19" s="77">
        <f t="shared" si="6"/>
        <v>0</v>
      </c>
      <c r="Q19" s="210">
        <f t="shared" si="7"/>
        <v>0</v>
      </c>
      <c r="R19" s="87">
        <f>Q19/E19</f>
        <v>0</v>
      </c>
      <c r="S19" s="77">
        <f>+Q19*F19</f>
        <v>0</v>
      </c>
    </row>
    <row r="20" spans="1:19" ht="15" x14ac:dyDescent="0.2">
      <c r="A20" s="81">
        <v>3</v>
      </c>
      <c r="B20" s="91"/>
      <c r="C20" s="82" t="s">
        <v>187</v>
      </c>
      <c r="D20" s="82"/>
      <c r="E20" s="92"/>
      <c r="F20" s="82"/>
      <c r="G20" s="83">
        <f>+G21+G28+G31</f>
        <v>130602942</v>
      </c>
      <c r="H20" s="107"/>
      <c r="I20" s="73"/>
      <c r="J20" s="84">
        <f>+J21+J28+J31</f>
        <v>33667857.148846</v>
      </c>
      <c r="K20" s="107"/>
      <c r="L20" s="87"/>
      <c r="M20" s="84" t="e">
        <f>+M21+M28+M31</f>
        <v>#REF!</v>
      </c>
      <c r="N20" s="107"/>
      <c r="O20" s="87"/>
      <c r="P20" s="84" t="e">
        <f>+P21+P28+P31</f>
        <v>#REF!</v>
      </c>
      <c r="Q20" s="210"/>
      <c r="R20" s="87"/>
      <c r="S20" s="212" t="e">
        <f>+S21+S28+S31</f>
        <v>#REF!</v>
      </c>
    </row>
    <row r="21" spans="1:19" ht="15" x14ac:dyDescent="0.2">
      <c r="A21" s="81"/>
      <c r="B21" s="81" t="s">
        <v>95</v>
      </c>
      <c r="C21" s="82" t="s">
        <v>186</v>
      </c>
      <c r="D21" s="82"/>
      <c r="E21" s="92"/>
      <c r="F21" s="82"/>
      <c r="G21" s="83">
        <f>+SUM(G22:G27)</f>
        <v>78531075</v>
      </c>
      <c r="H21" s="107"/>
      <c r="I21" s="73"/>
      <c r="J21" s="84">
        <f>+SUM(J22:J27)</f>
        <v>16187217.148846</v>
      </c>
      <c r="K21" s="107"/>
      <c r="L21" s="87"/>
      <c r="M21" s="84" t="e">
        <f>+SUM(M22:M27)</f>
        <v>#REF!</v>
      </c>
      <c r="N21" s="107"/>
      <c r="O21" s="87"/>
      <c r="P21" s="84" t="e">
        <f>+SUM(P22:P27)</f>
        <v>#REF!</v>
      </c>
      <c r="Q21" s="210"/>
      <c r="R21" s="87"/>
      <c r="S21" s="212" t="e">
        <f>+SUM(S22:S27)</f>
        <v>#REF!</v>
      </c>
    </row>
    <row r="22" spans="1:19" ht="30" x14ac:dyDescent="0.2">
      <c r="A22" s="90"/>
      <c r="B22" s="85" t="s">
        <v>185</v>
      </c>
      <c r="C22" s="69" t="s">
        <v>184</v>
      </c>
      <c r="D22" s="74" t="s">
        <v>15</v>
      </c>
      <c r="E22" s="86">
        <v>2295.8200000000002</v>
      </c>
      <c r="F22" s="70">
        <v>21000</v>
      </c>
      <c r="G22" s="70">
        <f t="shared" ref="G22:G33" si="11">F22*E22</f>
        <v>48212220</v>
      </c>
      <c r="H22" s="107">
        <v>471.33018257000003</v>
      </c>
      <c r="I22" s="87">
        <f t="shared" ref="I22:I27" si="12">+H22/E22</f>
        <v>0.2052992754527794</v>
      </c>
      <c r="J22" s="89">
        <f t="shared" ref="J22:J27" si="13">+F22*H22</f>
        <v>9897933.833970001</v>
      </c>
      <c r="K22" s="107" t="e">
        <f>Pintura!#REF!</f>
        <v>#REF!</v>
      </c>
      <c r="L22" s="87" t="e">
        <f t="shared" si="1"/>
        <v>#REF!</v>
      </c>
      <c r="M22" s="77" t="e">
        <f t="shared" ref="M22:M49" si="14">+K22*F22</f>
        <v>#REF!</v>
      </c>
      <c r="N22" s="107" t="e">
        <f>Pintura!#REF!</f>
        <v>#REF!</v>
      </c>
      <c r="O22" s="87" t="e">
        <f t="shared" ref="O22:O49" si="15">N22/E22</f>
        <v>#REF!</v>
      </c>
      <c r="P22" s="77" t="e">
        <f t="shared" ref="P22:P49" si="16">+N22*F22</f>
        <v>#REF!</v>
      </c>
      <c r="Q22" s="210" t="e">
        <f t="shared" ref="Q22:Q33" si="17">H22+K22+N22</f>
        <v>#REF!</v>
      </c>
      <c r="R22" s="87" t="e">
        <f t="shared" ref="R22:R27" si="18">Q22/E22</f>
        <v>#REF!</v>
      </c>
      <c r="S22" s="77" t="e">
        <f t="shared" ref="S22:S27" si="19">+Q22*F22</f>
        <v>#REF!</v>
      </c>
    </row>
    <row r="23" spans="1:19" ht="30" x14ac:dyDescent="0.2">
      <c r="A23" s="90"/>
      <c r="B23" s="85" t="s">
        <v>183</v>
      </c>
      <c r="C23" s="69" t="s">
        <v>182</v>
      </c>
      <c r="D23" s="74" t="s">
        <v>15</v>
      </c>
      <c r="E23" s="86">
        <v>467.17</v>
      </c>
      <c r="F23" s="70">
        <v>21000</v>
      </c>
      <c r="G23" s="70">
        <f t="shared" si="11"/>
        <v>9810570</v>
      </c>
      <c r="H23" s="107">
        <v>181.28083945</v>
      </c>
      <c r="I23" s="87">
        <f t="shared" si="12"/>
        <v>0.38804041237665088</v>
      </c>
      <c r="J23" s="89">
        <f t="shared" si="13"/>
        <v>3806897.6284500002</v>
      </c>
      <c r="K23" s="107" t="e">
        <f>Pintura!#REF!</f>
        <v>#REF!</v>
      </c>
      <c r="L23" s="87" t="e">
        <f t="shared" si="1"/>
        <v>#REF!</v>
      </c>
      <c r="M23" s="77" t="e">
        <f t="shared" si="14"/>
        <v>#REF!</v>
      </c>
      <c r="N23" s="107" t="e">
        <f>Pintura!#REF!</f>
        <v>#REF!</v>
      </c>
      <c r="O23" s="87" t="e">
        <f t="shared" si="15"/>
        <v>#REF!</v>
      </c>
      <c r="P23" s="77" t="e">
        <f t="shared" si="16"/>
        <v>#REF!</v>
      </c>
      <c r="Q23" s="210" t="e">
        <f t="shared" si="17"/>
        <v>#REF!</v>
      </c>
      <c r="R23" s="87" t="e">
        <f t="shared" si="18"/>
        <v>#REF!</v>
      </c>
      <c r="S23" s="77" t="e">
        <f t="shared" si="19"/>
        <v>#REF!</v>
      </c>
    </row>
    <row r="24" spans="1:19" ht="30" x14ac:dyDescent="0.2">
      <c r="A24" s="90"/>
      <c r="B24" s="85" t="s">
        <v>181</v>
      </c>
      <c r="C24" s="69" t="s">
        <v>180</v>
      </c>
      <c r="D24" s="74" t="s">
        <v>15</v>
      </c>
      <c r="E24" s="86">
        <v>182.92</v>
      </c>
      <c r="F24" s="70">
        <v>21000</v>
      </c>
      <c r="G24" s="70">
        <f t="shared" si="11"/>
        <v>3841319.9999999995</v>
      </c>
      <c r="H24" s="107">
        <v>14.502467156</v>
      </c>
      <c r="I24" s="87">
        <f t="shared" si="12"/>
        <v>7.9283113689044393E-2</v>
      </c>
      <c r="J24" s="89">
        <f t="shared" si="13"/>
        <v>304551.810276</v>
      </c>
      <c r="K24" s="107" t="e">
        <f>Pintura!#REF!</f>
        <v>#REF!</v>
      </c>
      <c r="L24" s="87" t="e">
        <f t="shared" si="1"/>
        <v>#REF!</v>
      </c>
      <c r="M24" s="77" t="e">
        <f t="shared" si="14"/>
        <v>#REF!</v>
      </c>
      <c r="N24" s="107" t="e">
        <f>Pintura!#REF!</f>
        <v>#REF!</v>
      </c>
      <c r="O24" s="87" t="e">
        <f t="shared" si="15"/>
        <v>#REF!</v>
      </c>
      <c r="P24" s="77" t="e">
        <f t="shared" si="16"/>
        <v>#REF!</v>
      </c>
      <c r="Q24" s="210" t="e">
        <f t="shared" si="17"/>
        <v>#REF!</v>
      </c>
      <c r="R24" s="87" t="e">
        <f t="shared" si="18"/>
        <v>#REF!</v>
      </c>
      <c r="S24" s="77" t="e">
        <f t="shared" si="19"/>
        <v>#REF!</v>
      </c>
    </row>
    <row r="25" spans="1:19" ht="30" x14ac:dyDescent="0.2">
      <c r="A25" s="90"/>
      <c r="B25" s="85" t="s">
        <v>179</v>
      </c>
      <c r="C25" s="69" t="s">
        <v>178</v>
      </c>
      <c r="D25" s="74" t="s">
        <v>15</v>
      </c>
      <c r="E25" s="86">
        <v>565.54</v>
      </c>
      <c r="F25" s="70">
        <v>17500</v>
      </c>
      <c r="G25" s="70">
        <f t="shared" si="11"/>
        <v>9896950</v>
      </c>
      <c r="H25" s="107">
        <v>72.512335780000001</v>
      </c>
      <c r="I25" s="87">
        <f t="shared" si="12"/>
        <v>0.12821787279414365</v>
      </c>
      <c r="J25" s="89">
        <f t="shared" si="13"/>
        <v>1268965.8761499999</v>
      </c>
      <c r="K25" s="107" t="e">
        <f>Pintura!#REF!</f>
        <v>#REF!</v>
      </c>
      <c r="L25" s="87" t="e">
        <f t="shared" si="1"/>
        <v>#REF!</v>
      </c>
      <c r="M25" s="77" t="e">
        <f t="shared" si="14"/>
        <v>#REF!</v>
      </c>
      <c r="N25" s="107" t="e">
        <f>Pintura!#REF!</f>
        <v>#REF!</v>
      </c>
      <c r="O25" s="87" t="e">
        <f t="shared" si="15"/>
        <v>#REF!</v>
      </c>
      <c r="P25" s="77" t="e">
        <f t="shared" si="16"/>
        <v>#REF!</v>
      </c>
      <c r="Q25" s="210" t="e">
        <f t="shared" si="17"/>
        <v>#REF!</v>
      </c>
      <c r="R25" s="87" t="e">
        <f t="shared" si="18"/>
        <v>#REF!</v>
      </c>
      <c r="S25" s="77" t="e">
        <f t="shared" si="19"/>
        <v>#REF!</v>
      </c>
    </row>
    <row r="26" spans="1:19" ht="15" x14ac:dyDescent="0.2">
      <c r="A26" s="90"/>
      <c r="B26" s="85" t="s">
        <v>177</v>
      </c>
      <c r="C26" s="69" t="s">
        <v>106</v>
      </c>
      <c r="D26" s="74" t="s">
        <v>15</v>
      </c>
      <c r="E26" s="86">
        <v>161.75</v>
      </c>
      <c r="F26" s="70">
        <v>17500</v>
      </c>
      <c r="G26" s="70">
        <f t="shared" si="11"/>
        <v>2830625</v>
      </c>
      <c r="H26" s="107">
        <v>0</v>
      </c>
      <c r="I26" s="87">
        <f t="shared" si="12"/>
        <v>0</v>
      </c>
      <c r="J26" s="89">
        <f t="shared" si="13"/>
        <v>0</v>
      </c>
      <c r="K26" s="107">
        <v>0</v>
      </c>
      <c r="L26" s="87">
        <f t="shared" si="1"/>
        <v>0</v>
      </c>
      <c r="M26" s="77">
        <f t="shared" si="14"/>
        <v>0</v>
      </c>
      <c r="N26" s="107">
        <v>0</v>
      </c>
      <c r="O26" s="87">
        <f t="shared" si="15"/>
        <v>0</v>
      </c>
      <c r="P26" s="77">
        <f t="shared" si="16"/>
        <v>0</v>
      </c>
      <c r="Q26" s="210">
        <f t="shared" si="17"/>
        <v>0</v>
      </c>
      <c r="R26" s="87">
        <f t="shared" si="18"/>
        <v>0</v>
      </c>
      <c r="S26" s="77">
        <f t="shared" si="19"/>
        <v>0</v>
      </c>
    </row>
    <row r="27" spans="1:19" ht="30" x14ac:dyDescent="0.2">
      <c r="A27" s="90"/>
      <c r="B27" s="85" t="s">
        <v>176</v>
      </c>
      <c r="C27" s="69" t="s">
        <v>175</v>
      </c>
      <c r="D27" s="74" t="s">
        <v>85</v>
      </c>
      <c r="E27" s="86">
        <v>532.35</v>
      </c>
      <c r="F27" s="70">
        <v>7400</v>
      </c>
      <c r="G27" s="70">
        <f>F27*E27</f>
        <v>3939390</v>
      </c>
      <c r="H27" s="107">
        <v>122.82</v>
      </c>
      <c r="I27" s="87">
        <f t="shared" si="12"/>
        <v>0.23071287686672301</v>
      </c>
      <c r="J27" s="89">
        <f t="shared" si="13"/>
        <v>908868</v>
      </c>
      <c r="K27" s="107" t="e">
        <f>Pintura!#REF!</f>
        <v>#REF!</v>
      </c>
      <c r="L27" s="87" t="e">
        <f t="shared" si="1"/>
        <v>#REF!</v>
      </c>
      <c r="M27" s="77" t="e">
        <f t="shared" si="14"/>
        <v>#REF!</v>
      </c>
      <c r="N27" s="107" t="e">
        <f>Pintura!#REF!</f>
        <v>#REF!</v>
      </c>
      <c r="O27" s="87" t="e">
        <f t="shared" si="15"/>
        <v>#REF!</v>
      </c>
      <c r="P27" s="77" t="e">
        <f t="shared" si="16"/>
        <v>#REF!</v>
      </c>
      <c r="Q27" s="210" t="e">
        <f t="shared" si="17"/>
        <v>#REF!</v>
      </c>
      <c r="R27" s="87" t="e">
        <f t="shared" si="18"/>
        <v>#REF!</v>
      </c>
      <c r="S27" s="77" t="e">
        <f t="shared" si="19"/>
        <v>#REF!</v>
      </c>
    </row>
    <row r="28" spans="1:19" ht="15" x14ac:dyDescent="0.2">
      <c r="A28" s="90"/>
      <c r="B28" s="81" t="s">
        <v>94</v>
      </c>
      <c r="C28" s="82" t="s">
        <v>174</v>
      </c>
      <c r="D28" s="82"/>
      <c r="E28" s="92"/>
      <c r="F28" s="82"/>
      <c r="G28" s="83">
        <f>+SUM(G29:G30)</f>
        <v>8043387</v>
      </c>
      <c r="H28" s="107"/>
      <c r="I28" s="73"/>
      <c r="J28" s="84">
        <f>+SUM(J29:J30)</f>
        <v>0</v>
      </c>
      <c r="K28" s="107"/>
      <c r="L28" s="87"/>
      <c r="M28" s="84">
        <f>+SUM(M29:M30)</f>
        <v>0</v>
      </c>
      <c r="N28" s="107"/>
      <c r="O28" s="87"/>
      <c r="P28" s="84">
        <f>+SUM(P29:P30)</f>
        <v>0</v>
      </c>
      <c r="Q28" s="73"/>
      <c r="R28" s="87"/>
      <c r="S28" s="212">
        <f>+SUM(S29:S30)</f>
        <v>0</v>
      </c>
    </row>
    <row r="29" spans="1:19" ht="15" x14ac:dyDescent="0.2">
      <c r="A29" s="90"/>
      <c r="B29" s="85" t="s">
        <v>173</v>
      </c>
      <c r="C29" s="69" t="s">
        <v>172</v>
      </c>
      <c r="D29" s="74" t="s">
        <v>15</v>
      </c>
      <c r="E29" s="86">
        <v>245.69</v>
      </c>
      <c r="F29" s="70">
        <v>22300</v>
      </c>
      <c r="G29" s="70">
        <f t="shared" si="11"/>
        <v>5478887</v>
      </c>
      <c r="H29" s="107">
        <v>0</v>
      </c>
      <c r="I29" s="87">
        <f t="shared" ref="I29:I30" si="20">+H29/E29</f>
        <v>0</v>
      </c>
      <c r="J29" s="89">
        <f t="shared" ref="J29:J30" si="21">+F29*H29</f>
        <v>0</v>
      </c>
      <c r="K29" s="107">
        <v>0</v>
      </c>
      <c r="L29" s="87">
        <f t="shared" si="1"/>
        <v>0</v>
      </c>
      <c r="M29" s="77">
        <f t="shared" si="14"/>
        <v>0</v>
      </c>
      <c r="N29" s="107">
        <v>0</v>
      </c>
      <c r="O29" s="87">
        <f t="shared" si="15"/>
        <v>0</v>
      </c>
      <c r="P29" s="77">
        <f t="shared" si="16"/>
        <v>0</v>
      </c>
      <c r="Q29" s="210">
        <f t="shared" si="17"/>
        <v>0</v>
      </c>
      <c r="R29" s="87">
        <f>Q29/E29</f>
        <v>0</v>
      </c>
      <c r="S29" s="77">
        <f>+Q29*F29</f>
        <v>0</v>
      </c>
    </row>
    <row r="30" spans="1:19" ht="30" x14ac:dyDescent="0.2">
      <c r="A30" s="90"/>
      <c r="B30" s="85" t="s">
        <v>171</v>
      </c>
      <c r="C30" s="69" t="s">
        <v>170</v>
      </c>
      <c r="D30" s="74" t="s">
        <v>15</v>
      </c>
      <c r="E30" s="86">
        <v>115</v>
      </c>
      <c r="F30" s="70">
        <v>22300</v>
      </c>
      <c r="G30" s="70">
        <f t="shared" si="11"/>
        <v>2564500</v>
      </c>
      <c r="H30" s="107">
        <v>0</v>
      </c>
      <c r="I30" s="87">
        <f t="shared" si="20"/>
        <v>0</v>
      </c>
      <c r="J30" s="89">
        <f t="shared" si="21"/>
        <v>0</v>
      </c>
      <c r="K30" s="107">
        <v>0</v>
      </c>
      <c r="L30" s="87">
        <f t="shared" si="1"/>
        <v>0</v>
      </c>
      <c r="M30" s="77">
        <f t="shared" si="14"/>
        <v>0</v>
      </c>
      <c r="N30" s="107">
        <v>0</v>
      </c>
      <c r="O30" s="87">
        <f t="shared" si="15"/>
        <v>0</v>
      </c>
      <c r="P30" s="77">
        <f t="shared" si="16"/>
        <v>0</v>
      </c>
      <c r="Q30" s="210">
        <f t="shared" si="17"/>
        <v>0</v>
      </c>
      <c r="R30" s="87">
        <f>Q30/E30</f>
        <v>0</v>
      </c>
      <c r="S30" s="77">
        <f>+Q30*F30</f>
        <v>0</v>
      </c>
    </row>
    <row r="31" spans="1:19" ht="15" x14ac:dyDescent="0.2">
      <c r="A31" s="90"/>
      <c r="B31" s="81" t="s">
        <v>110</v>
      </c>
      <c r="C31" s="82" t="s">
        <v>169</v>
      </c>
      <c r="D31" s="82"/>
      <c r="E31" s="92"/>
      <c r="F31" s="82"/>
      <c r="G31" s="83">
        <f>+SUM(G32:G33)</f>
        <v>44028480</v>
      </c>
      <c r="H31" s="107"/>
      <c r="I31" s="73"/>
      <c r="J31" s="84">
        <f>+SUM(J32:J33)</f>
        <v>17480640.000000004</v>
      </c>
      <c r="K31" s="107"/>
      <c r="L31" s="87"/>
      <c r="M31" s="84">
        <f>+SUM(M32:M33)</f>
        <v>8169599.9999999991</v>
      </c>
      <c r="N31" s="107"/>
      <c r="O31" s="87"/>
      <c r="P31" s="84">
        <f>+SUM(P32:P33)</f>
        <v>0</v>
      </c>
      <c r="Q31" s="73"/>
      <c r="R31" s="87"/>
      <c r="S31" s="212">
        <f>+SUM(S32:S33)</f>
        <v>25650240</v>
      </c>
    </row>
    <row r="32" spans="1:19" ht="30" x14ac:dyDescent="0.2">
      <c r="A32" s="90"/>
      <c r="B32" s="85" t="s">
        <v>168</v>
      </c>
      <c r="C32" s="69" t="s">
        <v>167</v>
      </c>
      <c r="D32" s="74" t="s">
        <v>15</v>
      </c>
      <c r="E32" s="86">
        <v>2640.6</v>
      </c>
      <c r="F32" s="70">
        <v>12000</v>
      </c>
      <c r="G32" s="70">
        <f t="shared" si="11"/>
        <v>31687200</v>
      </c>
      <c r="H32" s="107">
        <v>874.03200000000015</v>
      </c>
      <c r="I32" s="87">
        <f t="shared" ref="I32:I33" si="22">+H32/E32</f>
        <v>0.33099750056805277</v>
      </c>
      <c r="J32" s="89">
        <f t="shared" ref="J32:J33" si="23">+F32*H32</f>
        <v>10488384.000000002</v>
      </c>
      <c r="K32" s="107">
        <v>680.8</v>
      </c>
      <c r="L32" s="87">
        <f t="shared" si="1"/>
        <v>0.25782019238051956</v>
      </c>
      <c r="M32" s="77">
        <f t="shared" si="14"/>
        <v>8169599.9999999991</v>
      </c>
      <c r="N32" s="107">
        <v>0</v>
      </c>
      <c r="O32" s="87">
        <f t="shared" si="15"/>
        <v>0</v>
      </c>
      <c r="P32" s="77">
        <f t="shared" si="16"/>
        <v>0</v>
      </c>
      <c r="Q32" s="210">
        <f t="shared" si="17"/>
        <v>1554.8320000000001</v>
      </c>
      <c r="R32" s="87">
        <f>Q32/E32</f>
        <v>0.58881769294857234</v>
      </c>
      <c r="S32" s="77">
        <f>+Q32*F32</f>
        <v>18657984</v>
      </c>
    </row>
    <row r="33" spans="1:19" ht="30" x14ac:dyDescent="0.2">
      <c r="A33" s="90"/>
      <c r="B33" s="85" t="s">
        <v>166</v>
      </c>
      <c r="C33" s="69" t="s">
        <v>165</v>
      </c>
      <c r="D33" s="74" t="s">
        <v>15</v>
      </c>
      <c r="E33" s="86">
        <v>1028.44</v>
      </c>
      <c r="F33" s="70">
        <v>12000</v>
      </c>
      <c r="G33" s="70">
        <f t="shared" si="11"/>
        <v>12341280</v>
      </c>
      <c r="H33" s="107">
        <v>582.6880000000001</v>
      </c>
      <c r="I33" s="87">
        <f t="shared" si="22"/>
        <v>0.56657461786783869</v>
      </c>
      <c r="J33" s="89">
        <f t="shared" si="23"/>
        <v>6992256.0000000009</v>
      </c>
      <c r="K33" s="107">
        <v>0</v>
      </c>
      <c r="L33" s="87">
        <f t="shared" si="1"/>
        <v>0</v>
      </c>
      <c r="M33" s="77">
        <f t="shared" si="14"/>
        <v>0</v>
      </c>
      <c r="N33" s="107">
        <v>0</v>
      </c>
      <c r="O33" s="87">
        <f t="shared" si="15"/>
        <v>0</v>
      </c>
      <c r="P33" s="77">
        <f t="shared" si="16"/>
        <v>0</v>
      </c>
      <c r="Q33" s="210">
        <f t="shared" si="17"/>
        <v>582.6880000000001</v>
      </c>
      <c r="R33" s="87">
        <f>Q33/E33</f>
        <v>0.56657461786783869</v>
      </c>
      <c r="S33" s="77">
        <f>+Q33*F33</f>
        <v>6992256.0000000009</v>
      </c>
    </row>
    <row r="34" spans="1:19" ht="15" x14ac:dyDescent="0.2">
      <c r="A34" s="81">
        <v>4</v>
      </c>
      <c r="B34" s="91"/>
      <c r="C34" s="82" t="s">
        <v>164</v>
      </c>
      <c r="D34" s="82"/>
      <c r="E34" s="92"/>
      <c r="F34" s="82"/>
      <c r="G34" s="83">
        <f>+SUM(G35:G37)</f>
        <v>13115377</v>
      </c>
      <c r="H34" s="107"/>
      <c r="I34" s="73"/>
      <c r="J34" s="84">
        <f>+SUM(J35:J37)</f>
        <v>1869037.9999999998</v>
      </c>
      <c r="K34" s="107"/>
      <c r="L34" s="87"/>
      <c r="M34" s="84" t="e">
        <f>+SUM(M35:M37)</f>
        <v>#REF!</v>
      </c>
      <c r="N34" s="107"/>
      <c r="O34" s="87"/>
      <c r="P34" s="84" t="e">
        <f>+SUM(P35:P37)</f>
        <v>#REF!</v>
      </c>
      <c r="Q34" s="73"/>
      <c r="R34" s="87"/>
      <c r="S34" s="212" t="e">
        <f>+SUM(S35:S37)</f>
        <v>#REF!</v>
      </c>
    </row>
    <row r="35" spans="1:19" ht="15" x14ac:dyDescent="0.2">
      <c r="A35" s="72"/>
      <c r="B35" s="72" t="s">
        <v>111</v>
      </c>
      <c r="C35" s="75" t="s">
        <v>163</v>
      </c>
      <c r="D35" s="74" t="s">
        <v>85</v>
      </c>
      <c r="E35" s="86">
        <v>1610.82</v>
      </c>
      <c r="F35" s="70">
        <v>5700</v>
      </c>
      <c r="G35" s="70">
        <f>F35*E35</f>
        <v>9181674</v>
      </c>
      <c r="H35" s="107">
        <v>214.39999999999998</v>
      </c>
      <c r="I35" s="87">
        <f t="shared" ref="I35:I37" si="24">+H35/E35</f>
        <v>0.13309991184614048</v>
      </c>
      <c r="J35" s="89">
        <f t="shared" ref="J35:J37" si="25">+F35*H35</f>
        <v>1222079.9999999998</v>
      </c>
      <c r="K35" s="107" t="e">
        <f>Sellos!#REF!</f>
        <v>#REF!</v>
      </c>
      <c r="L35" s="87" t="e">
        <f t="shared" si="1"/>
        <v>#REF!</v>
      </c>
      <c r="M35" s="77" t="e">
        <f t="shared" si="14"/>
        <v>#REF!</v>
      </c>
      <c r="N35" s="107" t="e">
        <f>Sellos!#REF!</f>
        <v>#REF!</v>
      </c>
      <c r="O35" s="87" t="e">
        <f t="shared" si="15"/>
        <v>#REF!</v>
      </c>
      <c r="P35" s="77" t="e">
        <f t="shared" si="16"/>
        <v>#REF!</v>
      </c>
      <c r="Q35" s="73" t="e">
        <f>H35+K35</f>
        <v>#REF!</v>
      </c>
      <c r="R35" s="87" t="e">
        <f>Q35/E35</f>
        <v>#REF!</v>
      </c>
      <c r="S35" s="77" t="e">
        <f>+Q35*F35</f>
        <v>#REF!</v>
      </c>
    </row>
    <row r="36" spans="1:19" ht="30" x14ac:dyDescent="0.2">
      <c r="A36" s="90"/>
      <c r="B36" s="72" t="s">
        <v>112</v>
      </c>
      <c r="C36" s="93" t="s">
        <v>162</v>
      </c>
      <c r="D36" s="72" t="s">
        <v>15</v>
      </c>
      <c r="E36" s="94">
        <v>86.09</v>
      </c>
      <c r="F36" s="77">
        <v>16700</v>
      </c>
      <c r="G36" s="70">
        <f t="shared" ref="G36:G37" si="26">F36*E36</f>
        <v>1437703</v>
      </c>
      <c r="H36" s="107">
        <v>38.74</v>
      </c>
      <c r="I36" s="87">
        <f t="shared" si="24"/>
        <v>0.44999419212452085</v>
      </c>
      <c r="J36" s="89">
        <f t="shared" si="25"/>
        <v>646958</v>
      </c>
      <c r="K36" s="107">
        <v>0</v>
      </c>
      <c r="L36" s="87">
        <f t="shared" si="1"/>
        <v>0</v>
      </c>
      <c r="M36" s="77">
        <f t="shared" si="14"/>
        <v>0</v>
      </c>
      <c r="N36" s="107">
        <v>0</v>
      </c>
      <c r="O36" s="87">
        <f t="shared" si="15"/>
        <v>0</v>
      </c>
      <c r="P36" s="77">
        <f t="shared" si="16"/>
        <v>0</v>
      </c>
      <c r="Q36" s="73">
        <f t="shared" ref="Q36:Q49" si="27">H36+K36</f>
        <v>38.74</v>
      </c>
      <c r="R36" s="87">
        <f>Q36/E36</f>
        <v>0.44999419212452085</v>
      </c>
      <c r="S36" s="77">
        <f>+Q36*F36</f>
        <v>646958</v>
      </c>
    </row>
    <row r="37" spans="1:19" ht="15" x14ac:dyDescent="0.2">
      <c r="A37" s="90"/>
      <c r="B37" s="72" t="s">
        <v>113</v>
      </c>
      <c r="C37" s="75" t="s">
        <v>114</v>
      </c>
      <c r="D37" s="74" t="s">
        <v>85</v>
      </c>
      <c r="E37" s="86">
        <v>48</v>
      </c>
      <c r="F37" s="70">
        <v>52000</v>
      </c>
      <c r="G37" s="70">
        <f t="shared" si="26"/>
        <v>2496000</v>
      </c>
      <c r="H37" s="107">
        <v>0</v>
      </c>
      <c r="I37" s="87">
        <f t="shared" si="24"/>
        <v>0</v>
      </c>
      <c r="J37" s="89">
        <f t="shared" si="25"/>
        <v>0</v>
      </c>
      <c r="K37" s="107">
        <v>0</v>
      </c>
      <c r="L37" s="87">
        <f t="shared" si="1"/>
        <v>0</v>
      </c>
      <c r="M37" s="77">
        <f t="shared" si="14"/>
        <v>0</v>
      </c>
      <c r="N37" s="107">
        <v>0</v>
      </c>
      <c r="O37" s="87">
        <f t="shared" si="15"/>
        <v>0</v>
      </c>
      <c r="P37" s="77">
        <f t="shared" si="16"/>
        <v>0</v>
      </c>
      <c r="Q37" s="73">
        <f t="shared" si="27"/>
        <v>0</v>
      </c>
      <c r="R37" s="87">
        <f>Q37/E37</f>
        <v>0</v>
      </c>
      <c r="S37" s="77">
        <f>+Q37*F37</f>
        <v>0</v>
      </c>
    </row>
    <row r="38" spans="1:19" ht="15" x14ac:dyDescent="0.2">
      <c r="A38" s="81">
        <v>5</v>
      </c>
      <c r="B38" s="91"/>
      <c r="C38" s="82" t="s">
        <v>161</v>
      </c>
      <c r="D38" s="82"/>
      <c r="E38" s="92"/>
      <c r="F38" s="82"/>
      <c r="G38" s="83">
        <f>++G39+G40</f>
        <v>5450000</v>
      </c>
      <c r="H38" s="107"/>
      <c r="I38" s="73"/>
      <c r="J38" s="84">
        <f>++J39+J40</f>
        <v>0</v>
      </c>
      <c r="K38" s="107"/>
      <c r="L38" s="87"/>
      <c r="M38" s="84">
        <f>++M39+M40</f>
        <v>0</v>
      </c>
      <c r="N38" s="107"/>
      <c r="O38" s="87"/>
      <c r="P38" s="84">
        <f>++P39+P40</f>
        <v>0</v>
      </c>
      <c r="Q38" s="73"/>
      <c r="R38" s="87"/>
      <c r="S38" s="212">
        <f>++S39+S40</f>
        <v>0</v>
      </c>
    </row>
    <row r="39" spans="1:19" ht="15" x14ac:dyDescent="0.2">
      <c r="A39" s="90"/>
      <c r="B39" s="74" t="s">
        <v>115</v>
      </c>
      <c r="C39" s="69" t="s">
        <v>117</v>
      </c>
      <c r="D39" s="74" t="s">
        <v>85</v>
      </c>
      <c r="E39" s="86">
        <v>30</v>
      </c>
      <c r="F39" s="70">
        <v>55000</v>
      </c>
      <c r="G39" s="70">
        <f>F39*E39</f>
        <v>1650000</v>
      </c>
      <c r="H39" s="107">
        <v>0</v>
      </c>
      <c r="I39" s="87">
        <f t="shared" ref="I39:I40" si="28">+H39/E39</f>
        <v>0</v>
      </c>
      <c r="J39" s="89">
        <f t="shared" ref="J39:J40" si="29">+F39*H39</f>
        <v>0</v>
      </c>
      <c r="K39" s="107">
        <v>0</v>
      </c>
      <c r="L39" s="87">
        <f t="shared" si="1"/>
        <v>0</v>
      </c>
      <c r="M39" s="77">
        <f t="shared" si="14"/>
        <v>0</v>
      </c>
      <c r="N39" s="107">
        <v>0</v>
      </c>
      <c r="O39" s="87">
        <f t="shared" si="15"/>
        <v>0</v>
      </c>
      <c r="P39" s="77">
        <f t="shared" si="16"/>
        <v>0</v>
      </c>
      <c r="Q39" s="73">
        <f t="shared" si="27"/>
        <v>0</v>
      </c>
      <c r="R39" s="87">
        <f>Q39/E39</f>
        <v>0</v>
      </c>
      <c r="S39" s="77">
        <f>+Q39*F39</f>
        <v>0</v>
      </c>
    </row>
    <row r="40" spans="1:19" ht="15" x14ac:dyDescent="0.2">
      <c r="A40" s="90"/>
      <c r="B40" s="74" t="s">
        <v>116</v>
      </c>
      <c r="C40" s="69" t="s">
        <v>160</v>
      </c>
      <c r="D40" s="74" t="s">
        <v>151</v>
      </c>
      <c r="E40" s="86">
        <v>1</v>
      </c>
      <c r="F40" s="70">
        <v>3800000</v>
      </c>
      <c r="G40" s="70">
        <f>F40*E40</f>
        <v>3800000</v>
      </c>
      <c r="H40" s="107">
        <v>0</v>
      </c>
      <c r="I40" s="87">
        <f t="shared" si="28"/>
        <v>0</v>
      </c>
      <c r="J40" s="89">
        <f t="shared" si="29"/>
        <v>0</v>
      </c>
      <c r="K40" s="107">
        <v>0</v>
      </c>
      <c r="L40" s="87">
        <f t="shared" si="1"/>
        <v>0</v>
      </c>
      <c r="M40" s="77">
        <f t="shared" si="14"/>
        <v>0</v>
      </c>
      <c r="N40" s="107">
        <v>0</v>
      </c>
      <c r="O40" s="87">
        <f t="shared" si="15"/>
        <v>0</v>
      </c>
      <c r="P40" s="77">
        <f t="shared" si="16"/>
        <v>0</v>
      </c>
      <c r="Q40" s="73">
        <f t="shared" si="27"/>
        <v>0</v>
      </c>
      <c r="R40" s="87">
        <f>Q40/E40</f>
        <v>0</v>
      </c>
      <c r="S40" s="77">
        <f>+Q40*F40</f>
        <v>0</v>
      </c>
    </row>
    <row r="41" spans="1:19" ht="15" x14ac:dyDescent="0.2">
      <c r="A41" s="81">
        <v>6</v>
      </c>
      <c r="B41" s="82"/>
      <c r="C41" s="82" t="s">
        <v>159</v>
      </c>
      <c r="D41" s="82"/>
      <c r="E41" s="82"/>
      <c r="F41" s="82"/>
      <c r="G41" s="83">
        <f>+SUM(G42:G47)</f>
        <v>33191143.521451756</v>
      </c>
      <c r="H41" s="107"/>
      <c r="I41" s="73"/>
      <c r="J41" s="84">
        <f>+SUM(J42:J47)</f>
        <v>8100000</v>
      </c>
      <c r="K41" s="107"/>
      <c r="L41" s="87"/>
      <c r="M41" s="84">
        <f>+SUM(M42:M47)</f>
        <v>0</v>
      </c>
      <c r="N41" s="107"/>
      <c r="O41" s="87"/>
      <c r="P41" s="84">
        <f>+SUM(P42:P47)</f>
        <v>0</v>
      </c>
      <c r="Q41" s="73"/>
      <c r="R41" s="87"/>
      <c r="S41" s="212">
        <f>+SUM(S42:S47)</f>
        <v>8100000</v>
      </c>
    </row>
    <row r="42" spans="1:19" ht="15" x14ac:dyDescent="0.2">
      <c r="A42" s="95"/>
      <c r="B42" s="74" t="s">
        <v>118</v>
      </c>
      <c r="C42" s="69" t="s">
        <v>158</v>
      </c>
      <c r="D42" s="74" t="s">
        <v>15</v>
      </c>
      <c r="E42" s="86">
        <v>312</v>
      </c>
      <c r="F42" s="70">
        <v>25000</v>
      </c>
      <c r="G42" s="70">
        <f>+E42*F42</f>
        <v>7800000</v>
      </c>
      <c r="H42" s="107">
        <v>0</v>
      </c>
      <c r="I42" s="87">
        <f t="shared" ref="I42:I47" si="30">+H42/E42</f>
        <v>0</v>
      </c>
      <c r="J42" s="89">
        <f t="shared" ref="J42:J47" si="31">+F42*H42</f>
        <v>0</v>
      </c>
      <c r="K42" s="107">
        <v>0</v>
      </c>
      <c r="L42" s="87">
        <f t="shared" si="1"/>
        <v>0</v>
      </c>
      <c r="M42" s="77">
        <f t="shared" si="14"/>
        <v>0</v>
      </c>
      <c r="N42" s="107">
        <v>0</v>
      </c>
      <c r="O42" s="87">
        <f t="shared" si="15"/>
        <v>0</v>
      </c>
      <c r="P42" s="77">
        <f t="shared" si="16"/>
        <v>0</v>
      </c>
      <c r="Q42" s="73">
        <f t="shared" si="27"/>
        <v>0</v>
      </c>
      <c r="R42" s="87">
        <f t="shared" ref="R42:R47" si="32">Q42/E42</f>
        <v>0</v>
      </c>
      <c r="S42" s="77">
        <f t="shared" ref="S42:S47" si="33">+Q42*F42</f>
        <v>0</v>
      </c>
    </row>
    <row r="43" spans="1:19" ht="15" x14ac:dyDescent="0.2">
      <c r="A43" s="95"/>
      <c r="B43" s="74" t="s">
        <v>119</v>
      </c>
      <c r="C43" s="69" t="s">
        <v>157</v>
      </c>
      <c r="D43" s="74" t="s">
        <v>15</v>
      </c>
      <c r="E43" s="86">
        <v>113.32</v>
      </c>
      <c r="F43" s="70">
        <v>21964</v>
      </c>
      <c r="G43" s="70">
        <f t="shared" ref="G43:G47" si="34">+E43*F43</f>
        <v>2488960.48</v>
      </c>
      <c r="H43" s="107">
        <v>0</v>
      </c>
      <c r="I43" s="87">
        <f t="shared" si="30"/>
        <v>0</v>
      </c>
      <c r="J43" s="89">
        <f t="shared" si="31"/>
        <v>0</v>
      </c>
      <c r="K43" s="107">
        <v>0</v>
      </c>
      <c r="L43" s="87">
        <f t="shared" si="1"/>
        <v>0</v>
      </c>
      <c r="M43" s="77">
        <f t="shared" si="14"/>
        <v>0</v>
      </c>
      <c r="N43" s="107">
        <v>0</v>
      </c>
      <c r="O43" s="87">
        <f t="shared" si="15"/>
        <v>0</v>
      </c>
      <c r="P43" s="77">
        <f t="shared" si="16"/>
        <v>0</v>
      </c>
      <c r="Q43" s="73">
        <f t="shared" si="27"/>
        <v>0</v>
      </c>
      <c r="R43" s="87">
        <f t="shared" si="32"/>
        <v>0</v>
      </c>
      <c r="S43" s="77">
        <f t="shared" si="33"/>
        <v>0</v>
      </c>
    </row>
    <row r="44" spans="1:19" ht="15" x14ac:dyDescent="0.2">
      <c r="A44" s="95"/>
      <c r="B44" s="74" t="s">
        <v>120</v>
      </c>
      <c r="C44" s="69" t="s">
        <v>156</v>
      </c>
      <c r="D44" s="74" t="s">
        <v>15</v>
      </c>
      <c r="E44" s="86">
        <v>115</v>
      </c>
      <c r="F44" s="70">
        <v>52750</v>
      </c>
      <c r="G44" s="70">
        <f t="shared" si="34"/>
        <v>6066250</v>
      </c>
      <c r="H44" s="107">
        <v>0</v>
      </c>
      <c r="I44" s="87">
        <f t="shared" si="30"/>
        <v>0</v>
      </c>
      <c r="J44" s="89">
        <f t="shared" si="31"/>
        <v>0</v>
      </c>
      <c r="K44" s="107">
        <v>0</v>
      </c>
      <c r="L44" s="87">
        <f t="shared" si="1"/>
        <v>0</v>
      </c>
      <c r="M44" s="77">
        <f t="shared" si="14"/>
        <v>0</v>
      </c>
      <c r="N44" s="107">
        <v>0</v>
      </c>
      <c r="O44" s="87">
        <f t="shared" si="15"/>
        <v>0</v>
      </c>
      <c r="P44" s="77">
        <f t="shared" si="16"/>
        <v>0</v>
      </c>
      <c r="Q44" s="73">
        <f t="shared" si="27"/>
        <v>0</v>
      </c>
      <c r="R44" s="87">
        <f t="shared" si="32"/>
        <v>0</v>
      </c>
      <c r="S44" s="77">
        <f t="shared" si="33"/>
        <v>0</v>
      </c>
    </row>
    <row r="45" spans="1:19" ht="15" x14ac:dyDescent="0.2">
      <c r="A45" s="85"/>
      <c r="B45" s="74" t="s">
        <v>121</v>
      </c>
      <c r="C45" s="69" t="s">
        <v>155</v>
      </c>
      <c r="D45" s="74" t="s">
        <v>85</v>
      </c>
      <c r="E45" s="86">
        <f>24+24+42</f>
        <v>90</v>
      </c>
      <c r="F45" s="70">
        <v>45000</v>
      </c>
      <c r="G45" s="70">
        <f t="shared" si="34"/>
        <v>4050000</v>
      </c>
      <c r="H45" s="107">
        <v>0</v>
      </c>
      <c r="I45" s="87">
        <f t="shared" si="30"/>
        <v>0</v>
      </c>
      <c r="J45" s="89">
        <f t="shared" si="31"/>
        <v>0</v>
      </c>
      <c r="K45" s="107">
        <v>0</v>
      </c>
      <c r="L45" s="87">
        <f t="shared" si="1"/>
        <v>0</v>
      </c>
      <c r="M45" s="77">
        <f t="shared" si="14"/>
        <v>0</v>
      </c>
      <c r="N45" s="107">
        <v>0</v>
      </c>
      <c r="O45" s="87">
        <f t="shared" si="15"/>
        <v>0</v>
      </c>
      <c r="P45" s="77">
        <f t="shared" si="16"/>
        <v>0</v>
      </c>
      <c r="Q45" s="73">
        <f t="shared" si="27"/>
        <v>0</v>
      </c>
      <c r="R45" s="87">
        <f t="shared" si="32"/>
        <v>0</v>
      </c>
      <c r="S45" s="77">
        <f t="shared" si="33"/>
        <v>0</v>
      </c>
    </row>
    <row r="46" spans="1:19" ht="15" x14ac:dyDescent="0.2">
      <c r="A46" s="85"/>
      <c r="B46" s="74" t="s">
        <v>122</v>
      </c>
      <c r="C46" s="69" t="s">
        <v>154</v>
      </c>
      <c r="D46" s="74" t="s">
        <v>153</v>
      </c>
      <c r="E46" s="86">
        <v>25</v>
      </c>
      <c r="F46" s="70">
        <v>405000</v>
      </c>
      <c r="G46" s="70">
        <f t="shared" si="34"/>
        <v>10125000</v>
      </c>
      <c r="H46" s="107">
        <v>20</v>
      </c>
      <c r="I46" s="87">
        <f t="shared" si="30"/>
        <v>0.8</v>
      </c>
      <c r="J46" s="89">
        <f t="shared" si="31"/>
        <v>8100000</v>
      </c>
      <c r="K46" s="107">
        <v>0</v>
      </c>
      <c r="L46" s="87">
        <f t="shared" si="1"/>
        <v>0</v>
      </c>
      <c r="M46" s="77">
        <f t="shared" si="14"/>
        <v>0</v>
      </c>
      <c r="N46" s="107">
        <v>0</v>
      </c>
      <c r="O46" s="87">
        <f t="shared" si="15"/>
        <v>0</v>
      </c>
      <c r="P46" s="77">
        <f t="shared" si="16"/>
        <v>0</v>
      </c>
      <c r="Q46" s="73">
        <f t="shared" si="27"/>
        <v>20</v>
      </c>
      <c r="R46" s="87">
        <f t="shared" si="32"/>
        <v>0.8</v>
      </c>
      <c r="S46" s="77">
        <f t="shared" si="33"/>
        <v>8100000</v>
      </c>
    </row>
    <row r="47" spans="1:19" ht="15" x14ac:dyDescent="0.2">
      <c r="A47" s="85"/>
      <c r="B47" s="74" t="s">
        <v>123</v>
      </c>
      <c r="C47" s="96" t="s">
        <v>152</v>
      </c>
      <c r="D47" s="74" t="s">
        <v>151</v>
      </c>
      <c r="E47" s="86">
        <v>1</v>
      </c>
      <c r="F47" s="70">
        <v>2660933.041451755</v>
      </c>
      <c r="G47" s="70">
        <f t="shared" si="34"/>
        <v>2660933.041451755</v>
      </c>
      <c r="H47" s="107">
        <v>0</v>
      </c>
      <c r="I47" s="87">
        <f t="shared" si="30"/>
        <v>0</v>
      </c>
      <c r="J47" s="89">
        <f t="shared" si="31"/>
        <v>0</v>
      </c>
      <c r="K47" s="107">
        <v>0</v>
      </c>
      <c r="L47" s="87">
        <f t="shared" si="1"/>
        <v>0</v>
      </c>
      <c r="M47" s="77">
        <f t="shared" si="14"/>
        <v>0</v>
      </c>
      <c r="N47" s="107">
        <v>0</v>
      </c>
      <c r="O47" s="87">
        <f t="shared" si="15"/>
        <v>0</v>
      </c>
      <c r="P47" s="77">
        <f t="shared" si="16"/>
        <v>0</v>
      </c>
      <c r="Q47" s="73">
        <f t="shared" si="27"/>
        <v>0</v>
      </c>
      <c r="R47" s="87">
        <f t="shared" si="32"/>
        <v>0</v>
      </c>
      <c r="S47" s="77">
        <f t="shared" si="33"/>
        <v>0</v>
      </c>
    </row>
    <row r="48" spans="1:19" ht="15" x14ac:dyDescent="0.2">
      <c r="A48" s="81">
        <v>7</v>
      </c>
      <c r="B48" s="82"/>
      <c r="C48" s="82" t="s">
        <v>150</v>
      </c>
      <c r="D48" s="82"/>
      <c r="E48" s="97"/>
      <c r="F48" s="98"/>
      <c r="G48" s="83">
        <f>+G49</f>
        <v>1000000</v>
      </c>
      <c r="H48" s="107"/>
      <c r="I48" s="73"/>
      <c r="J48" s="84">
        <f>+J49</f>
        <v>0</v>
      </c>
      <c r="K48" s="107"/>
      <c r="L48" s="87"/>
      <c r="M48" s="84">
        <f>+M49</f>
        <v>0</v>
      </c>
      <c r="N48" s="107"/>
      <c r="O48" s="87"/>
      <c r="P48" s="84">
        <f>+P49</f>
        <v>0</v>
      </c>
      <c r="Q48" s="73"/>
      <c r="R48" s="87"/>
      <c r="S48" s="212">
        <f>+S49</f>
        <v>0</v>
      </c>
    </row>
    <row r="49" spans="1:19" ht="15" x14ac:dyDescent="0.2">
      <c r="A49" s="90"/>
      <c r="B49" s="74" t="s">
        <v>124</v>
      </c>
      <c r="C49" s="69" t="s">
        <v>149</v>
      </c>
      <c r="D49" s="74" t="s">
        <v>109</v>
      </c>
      <c r="E49" s="86">
        <v>1</v>
      </c>
      <c r="F49" s="70">
        <v>1000000</v>
      </c>
      <c r="G49" s="70">
        <f>F49*E49</f>
        <v>1000000</v>
      </c>
      <c r="H49" s="107">
        <v>0</v>
      </c>
      <c r="I49" s="87">
        <f t="shared" ref="I49" si="35">+H49/E49</f>
        <v>0</v>
      </c>
      <c r="J49" s="89">
        <f t="shared" ref="J49" si="36">+F49*H49</f>
        <v>0</v>
      </c>
      <c r="K49" s="107">
        <v>0</v>
      </c>
      <c r="L49" s="87">
        <f t="shared" si="1"/>
        <v>0</v>
      </c>
      <c r="M49" s="77">
        <f t="shared" si="14"/>
        <v>0</v>
      </c>
      <c r="N49" s="107">
        <v>0</v>
      </c>
      <c r="O49" s="87">
        <f t="shared" si="15"/>
        <v>0</v>
      </c>
      <c r="P49" s="77">
        <f t="shared" si="16"/>
        <v>0</v>
      </c>
      <c r="Q49" s="73">
        <f t="shared" si="27"/>
        <v>0</v>
      </c>
      <c r="R49" s="87">
        <f>Q49/E49</f>
        <v>0</v>
      </c>
      <c r="S49" s="77">
        <f>+Q49*F49</f>
        <v>0</v>
      </c>
    </row>
    <row r="50" spans="1:19" x14ac:dyDescent="0.2">
      <c r="A50" s="290" t="s">
        <v>148</v>
      </c>
      <c r="B50" s="290"/>
      <c r="C50" s="290"/>
      <c r="D50" s="291" t="s">
        <v>147</v>
      </c>
      <c r="E50" s="291"/>
      <c r="F50" s="291"/>
      <c r="G50" s="99">
        <f>+G6+G9+G20+G34+G38+G41+G48</f>
        <v>240781717.77145177</v>
      </c>
      <c r="H50" s="284" t="s">
        <v>146</v>
      </c>
      <c r="I50" s="284"/>
      <c r="J50" s="100">
        <f>+J6+J9+J20+J34+J38+J41+J48</f>
        <v>54402847.213845998</v>
      </c>
      <c r="K50" s="284" t="s">
        <v>146</v>
      </c>
      <c r="L50" s="284"/>
      <c r="M50" s="100" t="e">
        <f>+M6+M9+M20+M34+M38+M41+M48</f>
        <v>#REF!</v>
      </c>
      <c r="N50" s="284" t="s">
        <v>146</v>
      </c>
      <c r="O50" s="284"/>
      <c r="P50" s="100" t="e">
        <f>+P6+P9+P20+P34+P38+P41+P48</f>
        <v>#REF!</v>
      </c>
      <c r="Q50" s="296" t="s">
        <v>146</v>
      </c>
      <c r="R50" s="296"/>
      <c r="S50" s="213" t="e">
        <f>+S6+S9+S20+S34+S38+S41+S48</f>
        <v>#REF!</v>
      </c>
    </row>
    <row r="51" spans="1:19" x14ac:dyDescent="0.2">
      <c r="A51" s="290"/>
      <c r="B51" s="290"/>
      <c r="C51" s="290"/>
      <c r="D51" s="292" t="s">
        <v>125</v>
      </c>
      <c r="E51" s="292"/>
      <c r="F51" s="101">
        <v>0.1</v>
      </c>
      <c r="G51" s="102">
        <f>+$G$50*F51</f>
        <v>24078171.777145177</v>
      </c>
      <c r="H51" s="114" t="s">
        <v>145</v>
      </c>
      <c r="I51" s="103">
        <v>0.1</v>
      </c>
      <c r="J51" s="108">
        <f>+J50*I51</f>
        <v>5440284.7213845998</v>
      </c>
      <c r="K51" s="114" t="s">
        <v>145</v>
      </c>
      <c r="L51" s="103">
        <v>0.1</v>
      </c>
      <c r="M51" s="108" t="e">
        <f>+M50*L51</f>
        <v>#REF!</v>
      </c>
      <c r="N51" s="114" t="s">
        <v>145</v>
      </c>
      <c r="O51" s="103">
        <v>0.1</v>
      </c>
      <c r="P51" s="108" t="e">
        <f>+P50*O51</f>
        <v>#REF!</v>
      </c>
      <c r="Q51" s="211" t="s">
        <v>145</v>
      </c>
      <c r="R51" s="215">
        <v>0.1</v>
      </c>
      <c r="S51" s="216" t="e">
        <f>+S50*R51</f>
        <v>#REF!</v>
      </c>
    </row>
    <row r="52" spans="1:19" x14ac:dyDescent="0.2">
      <c r="A52" s="290"/>
      <c r="B52" s="290"/>
      <c r="C52" s="290"/>
      <c r="D52" s="292" t="s">
        <v>126</v>
      </c>
      <c r="E52" s="292"/>
      <c r="F52" s="101">
        <v>7.0000000000000007E-2</v>
      </c>
      <c r="G52" s="102">
        <f>+$G$50*F52</f>
        <v>16854720.244001627</v>
      </c>
      <c r="H52" s="114" t="s">
        <v>144</v>
      </c>
      <c r="I52" s="103">
        <v>7.0000000000000007E-2</v>
      </c>
      <c r="J52" s="108">
        <f>+J50*I52</f>
        <v>3808199.3049692204</v>
      </c>
      <c r="K52" s="114" t="s">
        <v>144</v>
      </c>
      <c r="L52" s="103">
        <v>7.0000000000000007E-2</v>
      </c>
      <c r="M52" s="108" t="e">
        <f>+M50*L52</f>
        <v>#REF!</v>
      </c>
      <c r="N52" s="114" t="s">
        <v>144</v>
      </c>
      <c r="O52" s="103">
        <v>7.0000000000000007E-2</v>
      </c>
      <c r="P52" s="108" t="e">
        <f>+P50*O52</f>
        <v>#REF!</v>
      </c>
      <c r="Q52" s="211" t="s">
        <v>144</v>
      </c>
      <c r="R52" s="215">
        <v>7.0000000000000007E-2</v>
      </c>
      <c r="S52" s="216" t="e">
        <f>+S50*R52</f>
        <v>#REF!</v>
      </c>
    </row>
    <row r="53" spans="1:19" x14ac:dyDescent="0.2">
      <c r="A53" s="290"/>
      <c r="B53" s="290"/>
      <c r="C53" s="290"/>
      <c r="D53" s="292" t="s">
        <v>127</v>
      </c>
      <c r="E53" s="292"/>
      <c r="F53" s="101">
        <v>0.05</v>
      </c>
      <c r="G53" s="102">
        <f>+$G$50*F53</f>
        <v>12039085.888572589</v>
      </c>
      <c r="H53" s="114" t="s">
        <v>127</v>
      </c>
      <c r="I53" s="103">
        <v>0.05</v>
      </c>
      <c r="J53" s="108">
        <f>+J50*I53</f>
        <v>2720142.3606922999</v>
      </c>
      <c r="K53" s="114" t="s">
        <v>127</v>
      </c>
      <c r="L53" s="103">
        <v>0.05</v>
      </c>
      <c r="M53" s="108" t="e">
        <f>+M50*L53</f>
        <v>#REF!</v>
      </c>
      <c r="N53" s="114" t="s">
        <v>127</v>
      </c>
      <c r="O53" s="103">
        <v>0.05</v>
      </c>
      <c r="P53" s="108" t="e">
        <f>+P50*O53</f>
        <v>#REF!</v>
      </c>
      <c r="Q53" s="211" t="s">
        <v>127</v>
      </c>
      <c r="R53" s="215">
        <v>0.05</v>
      </c>
      <c r="S53" s="216" t="e">
        <f>+S50*R53</f>
        <v>#REF!</v>
      </c>
    </row>
    <row r="54" spans="1:19" x14ac:dyDescent="0.2">
      <c r="A54" s="290"/>
      <c r="B54" s="290"/>
      <c r="C54" s="290"/>
      <c r="D54" s="292" t="s">
        <v>143</v>
      </c>
      <c r="E54" s="292"/>
      <c r="F54" s="292"/>
      <c r="G54" s="109">
        <f>+SUM(G50:G53)</f>
        <v>293753695.68117118</v>
      </c>
      <c r="H54" s="289" t="s">
        <v>143</v>
      </c>
      <c r="I54" s="289"/>
      <c r="J54" s="110">
        <f>+SUM(J50:J53)</f>
        <v>66371473.600892119</v>
      </c>
      <c r="K54" s="289" t="s">
        <v>143</v>
      </c>
      <c r="L54" s="289"/>
      <c r="M54" s="110" t="e">
        <f>+SUM(M50:M53)</f>
        <v>#REF!</v>
      </c>
      <c r="N54" s="289" t="s">
        <v>143</v>
      </c>
      <c r="O54" s="289"/>
      <c r="P54" s="110" t="e">
        <f>+SUM(P50:P53)</f>
        <v>#REF!</v>
      </c>
      <c r="Q54" s="294" t="s">
        <v>143</v>
      </c>
      <c r="R54" s="294"/>
      <c r="S54" s="217" t="e">
        <f>+SUM(S50:S53)</f>
        <v>#REF!</v>
      </c>
    </row>
    <row r="55" spans="1:19" x14ac:dyDescent="0.2">
      <c r="A55" s="290"/>
      <c r="B55" s="290"/>
      <c r="C55" s="290"/>
      <c r="D55" s="292" t="s">
        <v>128</v>
      </c>
      <c r="E55" s="292"/>
      <c r="F55" s="101">
        <v>0.19</v>
      </c>
      <c r="G55" s="102">
        <f>+G53*F55</f>
        <v>2287426.3188287918</v>
      </c>
      <c r="H55" s="114" t="s">
        <v>128</v>
      </c>
      <c r="I55" s="103">
        <v>0.19</v>
      </c>
      <c r="J55" s="108">
        <f>+J53*I55</f>
        <v>516827.048531537</v>
      </c>
      <c r="K55" s="114" t="s">
        <v>128</v>
      </c>
      <c r="L55" s="103">
        <v>0.19</v>
      </c>
      <c r="M55" s="108" t="e">
        <f>+M53*L55</f>
        <v>#REF!</v>
      </c>
      <c r="N55" s="114" t="s">
        <v>128</v>
      </c>
      <c r="O55" s="103">
        <v>0.19</v>
      </c>
      <c r="P55" s="108" t="e">
        <f>+P53*O55</f>
        <v>#REF!</v>
      </c>
      <c r="Q55" s="211" t="s">
        <v>128</v>
      </c>
      <c r="R55" s="215">
        <v>0.19</v>
      </c>
      <c r="S55" s="216" t="e">
        <f>+S53*R55</f>
        <v>#REF!</v>
      </c>
    </row>
    <row r="56" spans="1:19" x14ac:dyDescent="0.2">
      <c r="A56" s="290"/>
      <c r="B56" s="290"/>
      <c r="C56" s="290"/>
      <c r="D56" s="292" t="s">
        <v>142</v>
      </c>
      <c r="E56" s="292"/>
      <c r="F56" s="292"/>
      <c r="G56" s="104">
        <f>+G54+G55</f>
        <v>296041122</v>
      </c>
      <c r="H56" s="284" t="s">
        <v>141</v>
      </c>
      <c r="I56" s="284"/>
      <c r="J56" s="105">
        <f>+J54+J55</f>
        <v>66888300.649423659</v>
      </c>
      <c r="K56" s="284" t="s">
        <v>141</v>
      </c>
      <c r="L56" s="284"/>
      <c r="M56" s="105" t="e">
        <f>+M54+M55</f>
        <v>#REF!</v>
      </c>
      <c r="N56" s="284" t="s">
        <v>141</v>
      </c>
      <c r="O56" s="284"/>
      <c r="P56" s="105" t="e">
        <f>+P54+P55</f>
        <v>#REF!</v>
      </c>
      <c r="Q56" s="293" t="s">
        <v>141</v>
      </c>
      <c r="R56" s="293"/>
      <c r="S56" s="214" t="e">
        <f>+S54+S55</f>
        <v>#REF!</v>
      </c>
    </row>
    <row r="57" spans="1:19" x14ac:dyDescent="0.2">
      <c r="H57" s="115" t="s">
        <v>140</v>
      </c>
      <c r="I57" s="76">
        <v>0.02</v>
      </c>
      <c r="J57" s="71">
        <f>+J54*I57</f>
        <v>1327429.4720178423</v>
      </c>
      <c r="K57" s="115" t="s">
        <v>140</v>
      </c>
      <c r="L57" s="76">
        <v>0.02</v>
      </c>
      <c r="M57" s="71" t="e">
        <f>+M54*L57</f>
        <v>#REF!</v>
      </c>
      <c r="N57" s="115" t="s">
        <v>140</v>
      </c>
      <c r="O57" s="76">
        <v>0.02</v>
      </c>
      <c r="P57" s="71" t="e">
        <f>+P54*O57</f>
        <v>#REF!</v>
      </c>
      <c r="Q57" s="211" t="s">
        <v>140</v>
      </c>
      <c r="R57" s="76">
        <v>0.02</v>
      </c>
      <c r="S57" s="71" t="e">
        <f>+S54*R57</f>
        <v>#REF!</v>
      </c>
    </row>
    <row r="58" spans="1:19" x14ac:dyDescent="0.2">
      <c r="H58" s="115" t="s">
        <v>139</v>
      </c>
      <c r="I58" s="76">
        <v>0.2</v>
      </c>
      <c r="J58" s="71">
        <f>+J56*I58</f>
        <v>13377660.129884733</v>
      </c>
      <c r="K58" s="115" t="s">
        <v>139</v>
      </c>
      <c r="L58" s="76">
        <v>0.2</v>
      </c>
      <c r="M58" s="71" t="e">
        <f>+M56*L58</f>
        <v>#REF!</v>
      </c>
      <c r="N58" s="115" t="s">
        <v>139</v>
      </c>
      <c r="O58" s="76">
        <v>0.2</v>
      </c>
      <c r="P58" s="71" t="e">
        <f>+P56*O58</f>
        <v>#REF!</v>
      </c>
      <c r="Q58" s="211" t="s">
        <v>139</v>
      </c>
      <c r="R58" s="76">
        <v>0.2</v>
      </c>
      <c r="S58" s="71" t="e">
        <f>+S56*R58</f>
        <v>#REF!</v>
      </c>
    </row>
    <row r="59" spans="1:19" x14ac:dyDescent="0.2">
      <c r="H59" s="115" t="s">
        <v>138</v>
      </c>
      <c r="I59" s="76">
        <v>0.1</v>
      </c>
      <c r="J59" s="71">
        <f>+J56*I59</f>
        <v>6688830.0649423664</v>
      </c>
      <c r="K59" s="115" t="s">
        <v>138</v>
      </c>
      <c r="L59" s="76">
        <v>0.1</v>
      </c>
      <c r="M59" s="71" t="e">
        <f>+M56*L59</f>
        <v>#REF!</v>
      </c>
      <c r="N59" s="115" t="s">
        <v>138</v>
      </c>
      <c r="O59" s="76">
        <v>0.1</v>
      </c>
      <c r="P59" s="71" t="e">
        <f>+P56*O59</f>
        <v>#REF!</v>
      </c>
      <c r="Q59" s="211" t="s">
        <v>138</v>
      </c>
      <c r="R59" s="76">
        <v>0.1</v>
      </c>
      <c r="S59" s="71" t="e">
        <f>+S56*R59</f>
        <v>#REF!</v>
      </c>
    </row>
    <row r="60" spans="1:19" x14ac:dyDescent="0.2">
      <c r="H60" s="283" t="s">
        <v>137</v>
      </c>
      <c r="I60" s="283"/>
      <c r="J60" s="111">
        <f>+J56-J57-J58-J59</f>
        <v>45494380.982578717</v>
      </c>
      <c r="K60" s="283" t="s">
        <v>137</v>
      </c>
      <c r="L60" s="283"/>
      <c r="M60" s="111" t="e">
        <f>+M56-M57-M58-M59</f>
        <v>#REF!</v>
      </c>
      <c r="N60" s="283" t="s">
        <v>137</v>
      </c>
      <c r="O60" s="283"/>
      <c r="P60" s="111" t="e">
        <f>+P56-P57-P58-P59</f>
        <v>#REF!</v>
      </c>
      <c r="Q60" s="293" t="s">
        <v>137</v>
      </c>
      <c r="R60" s="293"/>
      <c r="S60" s="218" t="e">
        <f>+S56-S57-S58-S59</f>
        <v>#REF!</v>
      </c>
    </row>
    <row r="62" spans="1:19" x14ac:dyDescent="0.2">
      <c r="C62" s="116" t="s">
        <v>136</v>
      </c>
      <c r="D62" s="73"/>
      <c r="E62" s="106">
        <f>+G56</f>
        <v>296041122</v>
      </c>
    </row>
    <row r="63" spans="1:19" x14ac:dyDescent="0.2">
      <c r="C63" s="116" t="s">
        <v>135</v>
      </c>
      <c r="D63" s="73"/>
      <c r="E63" s="112">
        <f>+E62*20%</f>
        <v>59208224.400000006</v>
      </c>
    </row>
    <row r="64" spans="1:19" x14ac:dyDescent="0.2">
      <c r="C64" s="116" t="s">
        <v>134</v>
      </c>
      <c r="D64" s="113">
        <f>+E64/E63</f>
        <v>0.22594259945219253</v>
      </c>
      <c r="E64" s="106">
        <f>+J58</f>
        <v>13377660.129884733</v>
      </c>
    </row>
    <row r="65" spans="3:16" x14ac:dyDescent="0.2">
      <c r="C65" s="116" t="s">
        <v>133</v>
      </c>
      <c r="D65" s="73"/>
      <c r="E65" s="89">
        <f>+E63-E64</f>
        <v>45830564.270115271</v>
      </c>
    </row>
    <row r="66" spans="3:16" x14ac:dyDescent="0.2">
      <c r="C66" s="116" t="s">
        <v>132</v>
      </c>
      <c r="D66" s="73"/>
      <c r="E66" s="106">
        <f>+J56</f>
        <v>66888300.649423659</v>
      </c>
    </row>
    <row r="67" spans="3:16" x14ac:dyDescent="0.2">
      <c r="C67" s="116" t="s">
        <v>100</v>
      </c>
      <c r="D67" s="73"/>
      <c r="E67" s="113">
        <f>+E66/E62</f>
        <v>0.22594259945219253</v>
      </c>
    </row>
    <row r="68" spans="3:16" x14ac:dyDescent="0.2">
      <c r="M68" s="27"/>
      <c r="P68" s="27"/>
    </row>
  </sheetData>
  <mergeCells count="42">
    <mergeCell ref="Q56:R56"/>
    <mergeCell ref="Q60:R60"/>
    <mergeCell ref="N1:P2"/>
    <mergeCell ref="N3:P3"/>
    <mergeCell ref="N4:P4"/>
    <mergeCell ref="N50:O50"/>
    <mergeCell ref="N54:O54"/>
    <mergeCell ref="N56:O56"/>
    <mergeCell ref="Q1:S2"/>
    <mergeCell ref="Q3:S3"/>
    <mergeCell ref="Q4:S4"/>
    <mergeCell ref="Q50:R50"/>
    <mergeCell ref="Q54:R54"/>
    <mergeCell ref="N60:O60"/>
    <mergeCell ref="H4:J4"/>
    <mergeCell ref="A50:C56"/>
    <mergeCell ref="D50:F50"/>
    <mergeCell ref="H50:I50"/>
    <mergeCell ref="D51:E51"/>
    <mergeCell ref="D52:E52"/>
    <mergeCell ref="D53:E53"/>
    <mergeCell ref="D54:F54"/>
    <mergeCell ref="H54:I54"/>
    <mergeCell ref="D55:E55"/>
    <mergeCell ref="D56:F56"/>
    <mergeCell ref="H56:I56"/>
    <mergeCell ref="H60:I60"/>
    <mergeCell ref="K56:L56"/>
    <mergeCell ref="K60:L60"/>
    <mergeCell ref="A1:G1"/>
    <mergeCell ref="H1:J2"/>
    <mergeCell ref="A2:C2"/>
    <mergeCell ref="D2:G2"/>
    <mergeCell ref="A3:C3"/>
    <mergeCell ref="D3:F3"/>
    <mergeCell ref="H3:J3"/>
    <mergeCell ref="K1:M2"/>
    <mergeCell ref="K3:M3"/>
    <mergeCell ref="K4:M4"/>
    <mergeCell ref="K50:L50"/>
    <mergeCell ref="K54:L54"/>
    <mergeCell ref="A4:G4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91CAB-5CF2-4197-BEAC-65172631E339}">
  <dimension ref="A1:T97"/>
  <sheetViews>
    <sheetView zoomScale="70" zoomScaleNormal="70" workbookViewId="0">
      <pane xSplit="6" ySplit="2" topLeftCell="P30" activePane="bottomRight" state="frozen"/>
      <selection activeCell="AC40" sqref="AC40"/>
      <selection pane="topRight" activeCell="AC40" sqref="AC40"/>
      <selection pane="bottomLeft" activeCell="AC40" sqref="AC40"/>
      <selection pane="bottomRight" activeCell="AC40" sqref="AC40"/>
    </sheetView>
  </sheetViews>
  <sheetFormatPr baseColWidth="10" defaultColWidth="11.5" defaultRowHeight="14" x14ac:dyDescent="0.2"/>
  <cols>
    <col min="1" max="1" width="5.83203125" style="1" bestFit="1" customWidth="1"/>
    <col min="2" max="2" width="7.1640625" style="1" bestFit="1" customWidth="1"/>
    <col min="3" max="3" width="48.33203125" style="1" bestFit="1" customWidth="1"/>
    <col min="4" max="4" width="10.5" style="1" bestFit="1" customWidth="1"/>
    <col min="5" max="5" width="23.83203125" style="1" bestFit="1" customWidth="1"/>
    <col min="6" max="6" width="16.6640625" style="1" bestFit="1" customWidth="1"/>
    <col min="7" max="7" width="21" style="1" bestFit="1" customWidth="1"/>
    <col min="8" max="8" width="22.83203125" style="1" bestFit="1" customWidth="1"/>
    <col min="9" max="9" width="12.83203125" style="1" bestFit="1" customWidth="1"/>
    <col min="10" max="10" width="23.1640625" style="1" bestFit="1" customWidth="1"/>
    <col min="11" max="11" width="22.83203125" style="1" bestFit="1" customWidth="1"/>
    <col min="12" max="12" width="26.5" style="1" customWidth="1"/>
    <col min="13" max="13" width="23.1640625" style="1" bestFit="1" customWidth="1"/>
    <col min="14" max="14" width="22.83203125" style="1" bestFit="1" customWidth="1"/>
    <col min="15" max="15" width="12.83203125" style="1" bestFit="1" customWidth="1"/>
    <col min="16" max="16" width="23.1640625" style="1" bestFit="1" customWidth="1"/>
    <col min="17" max="17" width="22.83203125" style="1" bestFit="1" customWidth="1"/>
    <col min="18" max="18" width="12.83203125" style="1" bestFit="1" customWidth="1"/>
    <col min="19" max="19" width="24.33203125" style="1" bestFit="1" customWidth="1"/>
    <col min="20" max="20" width="8.83203125" style="1" bestFit="1" customWidth="1"/>
    <col min="21" max="16384" width="11.5" style="1"/>
  </cols>
  <sheetData>
    <row r="1" spans="1:19" ht="25" x14ac:dyDescent="0.2">
      <c r="A1" s="285" t="s">
        <v>261</v>
      </c>
      <c r="B1" s="285"/>
      <c r="C1" s="285"/>
      <c r="D1" s="285"/>
      <c r="E1" s="285"/>
      <c r="F1" s="285"/>
      <c r="G1" s="285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</row>
    <row r="2" spans="1:19" ht="16" x14ac:dyDescent="0.2">
      <c r="A2" s="287" t="s">
        <v>221</v>
      </c>
      <c r="B2" s="287"/>
      <c r="C2" s="287"/>
      <c r="D2" s="287" t="s">
        <v>220</v>
      </c>
      <c r="E2" s="287"/>
      <c r="F2" s="287"/>
      <c r="G2" s="287"/>
      <c r="H2" s="286"/>
      <c r="I2" s="286"/>
      <c r="J2" s="286"/>
      <c r="K2" s="286"/>
      <c r="L2" s="286"/>
      <c r="M2" s="286"/>
      <c r="N2" s="286"/>
      <c r="O2" s="286"/>
      <c r="P2" s="286"/>
      <c r="Q2" s="286"/>
      <c r="R2" s="286"/>
      <c r="S2" s="286"/>
    </row>
    <row r="3" spans="1:19" ht="15.75" customHeight="1" x14ac:dyDescent="0.2">
      <c r="A3" s="287" t="s">
        <v>219</v>
      </c>
      <c r="B3" s="287"/>
      <c r="C3" s="287"/>
      <c r="D3" s="287" t="s">
        <v>251</v>
      </c>
      <c r="E3" s="287"/>
      <c r="F3" s="287"/>
      <c r="G3" s="116" t="s">
        <v>218</v>
      </c>
      <c r="H3" s="283" t="s">
        <v>217</v>
      </c>
      <c r="I3" s="283"/>
      <c r="J3" s="283"/>
      <c r="K3" s="283" t="s">
        <v>223</v>
      </c>
      <c r="L3" s="283"/>
      <c r="M3" s="283"/>
      <c r="N3" s="283" t="s">
        <v>247</v>
      </c>
      <c r="O3" s="283"/>
      <c r="P3" s="283"/>
      <c r="Q3" s="294" t="s">
        <v>241</v>
      </c>
      <c r="R3" s="294"/>
      <c r="S3" s="294"/>
    </row>
    <row r="4" spans="1:19" ht="16" x14ac:dyDescent="0.2">
      <c r="A4" s="287" t="s">
        <v>243</v>
      </c>
      <c r="B4" s="287"/>
      <c r="C4" s="287"/>
      <c r="D4" s="287"/>
      <c r="E4" s="287"/>
      <c r="F4" s="287"/>
      <c r="G4" s="287"/>
      <c r="H4" s="288" t="s">
        <v>216</v>
      </c>
      <c r="I4" s="288"/>
      <c r="J4" s="288"/>
      <c r="K4" s="288" t="s">
        <v>242</v>
      </c>
      <c r="L4" s="288"/>
      <c r="M4" s="288"/>
      <c r="N4" s="288" t="s">
        <v>248</v>
      </c>
      <c r="O4" s="288"/>
      <c r="P4" s="288"/>
      <c r="Q4" s="295" t="s">
        <v>249</v>
      </c>
      <c r="R4" s="295"/>
      <c r="S4" s="295"/>
    </row>
    <row r="5" spans="1:19" ht="30" x14ac:dyDescent="0.2">
      <c r="A5" s="80" t="s">
        <v>215</v>
      </c>
      <c r="B5" s="80" t="s">
        <v>214</v>
      </c>
      <c r="C5" s="80" t="s">
        <v>213</v>
      </c>
      <c r="D5" s="80" t="s">
        <v>212</v>
      </c>
      <c r="E5" s="80" t="s">
        <v>6</v>
      </c>
      <c r="F5" s="80" t="s">
        <v>211</v>
      </c>
      <c r="G5" s="80" t="s">
        <v>210</v>
      </c>
      <c r="H5" s="115" t="s">
        <v>96</v>
      </c>
      <c r="I5" s="115" t="s">
        <v>209</v>
      </c>
      <c r="J5" s="115" t="s">
        <v>208</v>
      </c>
      <c r="K5" s="115" t="s">
        <v>96</v>
      </c>
      <c r="L5" s="115" t="s">
        <v>209</v>
      </c>
      <c r="M5" s="115" t="s">
        <v>208</v>
      </c>
      <c r="N5" s="115" t="s">
        <v>96</v>
      </c>
      <c r="O5" s="115" t="s">
        <v>209</v>
      </c>
      <c r="P5" s="115" t="s">
        <v>208</v>
      </c>
      <c r="Q5" s="211" t="s">
        <v>96</v>
      </c>
      <c r="R5" s="211" t="s">
        <v>209</v>
      </c>
      <c r="S5" s="211" t="s">
        <v>208</v>
      </c>
    </row>
    <row r="6" spans="1:19" ht="15" x14ac:dyDescent="0.2">
      <c r="A6" s="81" t="s">
        <v>101</v>
      </c>
      <c r="B6" s="82"/>
      <c r="C6" s="82" t="s">
        <v>207</v>
      </c>
      <c r="D6" s="82"/>
      <c r="E6" s="82"/>
      <c r="F6" s="82"/>
      <c r="G6" s="83">
        <f>+G7+G8</f>
        <v>880000</v>
      </c>
      <c r="H6" s="73"/>
      <c r="I6" s="73"/>
      <c r="J6" s="84">
        <f>+J7+J8</f>
        <v>707500</v>
      </c>
      <c r="K6" s="73"/>
      <c r="L6" s="73"/>
      <c r="M6" s="84">
        <f>+M7+M8</f>
        <v>57500</v>
      </c>
      <c r="N6" s="73"/>
      <c r="O6" s="73"/>
      <c r="P6" s="84">
        <f>+P7+P8</f>
        <v>57500</v>
      </c>
      <c r="Q6" s="73"/>
      <c r="R6" s="73"/>
      <c r="S6" s="212">
        <f>+S7+S8</f>
        <v>822500</v>
      </c>
    </row>
    <row r="7" spans="1:19" ht="15" x14ac:dyDescent="0.2">
      <c r="A7" s="85"/>
      <c r="B7" s="85" t="s">
        <v>102</v>
      </c>
      <c r="C7" s="69" t="s">
        <v>104</v>
      </c>
      <c r="D7" s="85" t="s">
        <v>151</v>
      </c>
      <c r="E7" s="86">
        <v>1</v>
      </c>
      <c r="F7" s="70">
        <v>650000</v>
      </c>
      <c r="G7" s="70">
        <f>F7*E7</f>
        <v>650000</v>
      </c>
      <c r="H7" s="73">
        <v>1</v>
      </c>
      <c r="I7" s="87">
        <f>+H7/E7</f>
        <v>1</v>
      </c>
      <c r="J7" s="77">
        <f>+H7*F7</f>
        <v>650000</v>
      </c>
      <c r="K7" s="73">
        <v>0</v>
      </c>
      <c r="L7" s="87">
        <f>K7/E7</f>
        <v>0</v>
      </c>
      <c r="M7" s="77">
        <f>+K7*F7</f>
        <v>0</v>
      </c>
      <c r="N7" s="73">
        <v>0</v>
      </c>
      <c r="O7" s="87">
        <f>N7/E7</f>
        <v>0</v>
      </c>
      <c r="P7" s="77">
        <f>+N7*F7</f>
        <v>0</v>
      </c>
      <c r="Q7" s="73">
        <f>H7+K7+N7</f>
        <v>1</v>
      </c>
      <c r="R7" s="87">
        <f>Q7/E7</f>
        <v>1</v>
      </c>
      <c r="S7" s="77">
        <f>+Q7*F7</f>
        <v>650000</v>
      </c>
    </row>
    <row r="8" spans="1:19" ht="15" x14ac:dyDescent="0.2">
      <c r="A8" s="85"/>
      <c r="B8" s="85" t="s">
        <v>103</v>
      </c>
      <c r="C8" s="69" t="s">
        <v>206</v>
      </c>
      <c r="D8" s="85" t="s">
        <v>151</v>
      </c>
      <c r="E8" s="86">
        <v>1</v>
      </c>
      <c r="F8" s="70">
        <v>230000</v>
      </c>
      <c r="G8" s="70">
        <f t="shared" ref="G8:G13" si="0">F8*E8</f>
        <v>230000</v>
      </c>
      <c r="H8" s="73">
        <v>0.25</v>
      </c>
      <c r="I8" s="87">
        <f>+H8/E8</f>
        <v>0.25</v>
      </c>
      <c r="J8" s="77">
        <f>+H8*F8</f>
        <v>57500</v>
      </c>
      <c r="K8" s="73">
        <v>0.25</v>
      </c>
      <c r="L8" s="87">
        <f t="shared" ref="L8:L49" si="1">K8/E8</f>
        <v>0.25</v>
      </c>
      <c r="M8" s="77">
        <f>+K8*F8</f>
        <v>57500</v>
      </c>
      <c r="N8" s="73">
        <v>0.25</v>
      </c>
      <c r="O8" s="87">
        <f>N8/E8</f>
        <v>0.25</v>
      </c>
      <c r="P8" s="77">
        <f>+N8*F8</f>
        <v>57500</v>
      </c>
      <c r="Q8" s="73">
        <f>H8+K8+N8</f>
        <v>0.75</v>
      </c>
      <c r="R8" s="87">
        <f>Q8/E8</f>
        <v>0.75</v>
      </c>
      <c r="S8" s="77">
        <f>+Q8*F8</f>
        <v>172500</v>
      </c>
    </row>
    <row r="9" spans="1:19" ht="15" x14ac:dyDescent="0.2">
      <c r="A9" s="81">
        <v>2</v>
      </c>
      <c r="B9" s="82"/>
      <c r="C9" s="82" t="s">
        <v>205</v>
      </c>
      <c r="D9" s="82"/>
      <c r="E9" s="82"/>
      <c r="F9" s="82"/>
      <c r="G9" s="83">
        <f>+G10+G14</f>
        <v>56542255.25</v>
      </c>
      <c r="H9" s="73"/>
      <c r="I9" s="73"/>
      <c r="J9" s="84">
        <f>+J10+J14</f>
        <v>10058452.064999999</v>
      </c>
      <c r="K9" s="73"/>
      <c r="L9" s="87"/>
      <c r="M9" s="84" t="e">
        <f>+M10+M14</f>
        <v>#REF!</v>
      </c>
      <c r="N9" s="73"/>
      <c r="O9" s="87"/>
      <c r="P9" s="84" t="e">
        <f>+P10+P14</f>
        <v>#REF!</v>
      </c>
      <c r="Q9" s="73"/>
      <c r="R9" s="87"/>
      <c r="S9" s="212" t="e">
        <f>+S10+S14</f>
        <v>#REF!</v>
      </c>
    </row>
    <row r="10" spans="1:19" ht="15" x14ac:dyDescent="0.2">
      <c r="A10" s="81"/>
      <c r="B10" s="88" t="s">
        <v>93</v>
      </c>
      <c r="C10" s="82" t="s">
        <v>204</v>
      </c>
      <c r="D10" s="82"/>
      <c r="E10" s="82"/>
      <c r="F10" s="82"/>
      <c r="G10" s="83">
        <f>+SUM(G11:G13)</f>
        <v>22197398</v>
      </c>
      <c r="H10" s="73"/>
      <c r="I10" s="73"/>
      <c r="J10" s="84">
        <f>+SUM(J11:J13)</f>
        <v>9529202.0649999995</v>
      </c>
      <c r="K10" s="73"/>
      <c r="L10" s="87"/>
      <c r="M10" s="84" t="e">
        <f>+SUM(M11:M13)</f>
        <v>#REF!</v>
      </c>
      <c r="N10" s="73"/>
      <c r="O10" s="87"/>
      <c r="P10" s="84" t="e">
        <f>+SUM(P11:P13)</f>
        <v>#REF!</v>
      </c>
      <c r="Q10" s="73"/>
      <c r="R10" s="87"/>
      <c r="S10" s="212" t="e">
        <f>+SUM(S11:S13)</f>
        <v>#REF!</v>
      </c>
    </row>
    <row r="11" spans="1:19" ht="30" x14ac:dyDescent="0.2">
      <c r="A11" s="85"/>
      <c r="B11" s="85" t="s">
        <v>203</v>
      </c>
      <c r="C11" s="69" t="s">
        <v>202</v>
      </c>
      <c r="D11" s="85" t="s">
        <v>15</v>
      </c>
      <c r="E11" s="86">
        <v>2535.7399999999998</v>
      </c>
      <c r="F11" s="70">
        <v>3300</v>
      </c>
      <c r="G11" s="70">
        <f t="shared" si="0"/>
        <v>8367941.9999999991</v>
      </c>
      <c r="H11" s="107">
        <v>988.22934999999995</v>
      </c>
      <c r="I11" s="87">
        <f>+H11/E11</f>
        <v>0.38972029861105634</v>
      </c>
      <c r="J11" s="89">
        <f>+F11*H11</f>
        <v>3261156.855</v>
      </c>
      <c r="K11" s="107" t="e">
        <f>Lavado!#REF!</f>
        <v>#REF!</v>
      </c>
      <c r="L11" s="87" t="e">
        <f t="shared" si="1"/>
        <v>#REF!</v>
      </c>
      <c r="M11" s="77" t="e">
        <f>+K11*F11</f>
        <v>#REF!</v>
      </c>
      <c r="N11" s="107" t="e">
        <f>Lavado!#REF!</f>
        <v>#REF!</v>
      </c>
      <c r="O11" s="87" t="e">
        <f>N11/E11</f>
        <v>#REF!</v>
      </c>
      <c r="P11" s="77" t="e">
        <f>+N11*F11</f>
        <v>#REF!</v>
      </c>
      <c r="Q11" s="73" t="e">
        <f t="shared" ref="Q11:Q13" si="2">H11+K11+N11</f>
        <v>#REF!</v>
      </c>
      <c r="R11" s="87" t="e">
        <f>Q11/E11</f>
        <v>#REF!</v>
      </c>
      <c r="S11" s="77" t="e">
        <f>+Q11*F11</f>
        <v>#REF!</v>
      </c>
    </row>
    <row r="12" spans="1:19" ht="30" x14ac:dyDescent="0.2">
      <c r="A12" s="85"/>
      <c r="B12" s="85" t="s">
        <v>201</v>
      </c>
      <c r="C12" s="69" t="s">
        <v>105</v>
      </c>
      <c r="D12" s="85" t="s">
        <v>15</v>
      </c>
      <c r="E12" s="86">
        <v>1970.54</v>
      </c>
      <c r="F12" s="70">
        <v>3400</v>
      </c>
      <c r="G12" s="70">
        <f t="shared" si="0"/>
        <v>6699836</v>
      </c>
      <c r="H12" s="107">
        <v>686.73564999999996</v>
      </c>
      <c r="I12" s="87">
        <f t="shared" ref="I12:I13" si="3">+H12/E12</f>
        <v>0.3485012483887665</v>
      </c>
      <c r="J12" s="89">
        <f t="shared" ref="J12:J13" si="4">+F12*H12</f>
        <v>2334901.21</v>
      </c>
      <c r="K12" s="107" t="e">
        <f>Lavado!#REF!</f>
        <v>#REF!</v>
      </c>
      <c r="L12" s="87" t="e">
        <f t="shared" si="1"/>
        <v>#REF!</v>
      </c>
      <c r="M12" s="77" t="e">
        <f t="shared" ref="M12:M13" si="5">+K12*F12</f>
        <v>#REF!</v>
      </c>
      <c r="N12" s="107" t="e">
        <f>Lavado!#REF!</f>
        <v>#REF!</v>
      </c>
      <c r="O12" s="87" t="e">
        <f t="shared" ref="O12:O19" si="6">N12/E12</f>
        <v>#REF!</v>
      </c>
      <c r="P12" s="77" t="e">
        <f t="shared" ref="P12:P19" si="7">+N12*F12</f>
        <v>#REF!</v>
      </c>
      <c r="Q12" s="73" t="e">
        <f t="shared" si="2"/>
        <v>#REF!</v>
      </c>
      <c r="R12" s="87" t="e">
        <f>Q12/E12</f>
        <v>#REF!</v>
      </c>
      <c r="S12" s="77" t="e">
        <f>+Q12*F12</f>
        <v>#REF!</v>
      </c>
    </row>
    <row r="13" spans="1:19" ht="15" x14ac:dyDescent="0.2">
      <c r="A13" s="85"/>
      <c r="B13" s="85" t="s">
        <v>200</v>
      </c>
      <c r="C13" s="69" t="s">
        <v>199</v>
      </c>
      <c r="D13" s="85" t="s">
        <v>15</v>
      </c>
      <c r="E13" s="86">
        <v>2640.6</v>
      </c>
      <c r="F13" s="70">
        <v>2700</v>
      </c>
      <c r="G13" s="70">
        <f t="shared" si="0"/>
        <v>7129620</v>
      </c>
      <c r="H13" s="107">
        <v>1456.7200000000003</v>
      </c>
      <c r="I13" s="87">
        <f t="shared" si="3"/>
        <v>0.55166250094675462</v>
      </c>
      <c r="J13" s="89">
        <f t="shared" si="4"/>
        <v>3933144.0000000005</v>
      </c>
      <c r="K13" s="107">
        <f>2640*0.4</f>
        <v>1056</v>
      </c>
      <c r="L13" s="87">
        <f t="shared" si="1"/>
        <v>0.39990911156555331</v>
      </c>
      <c r="M13" s="77">
        <f t="shared" si="5"/>
        <v>2851200</v>
      </c>
      <c r="N13" s="107">
        <v>0</v>
      </c>
      <c r="O13" s="87">
        <f t="shared" si="6"/>
        <v>0</v>
      </c>
      <c r="P13" s="77">
        <f t="shared" si="7"/>
        <v>0</v>
      </c>
      <c r="Q13" s="73">
        <f t="shared" si="2"/>
        <v>2512.7200000000003</v>
      </c>
      <c r="R13" s="87">
        <f>Q13/E13</f>
        <v>0.95157161251230793</v>
      </c>
      <c r="S13" s="77">
        <f>+Q13*F13</f>
        <v>6784344.0000000009</v>
      </c>
    </row>
    <row r="14" spans="1:19" ht="30" x14ac:dyDescent="0.2">
      <c r="A14" s="85"/>
      <c r="B14" s="88" t="s">
        <v>92</v>
      </c>
      <c r="C14" s="82" t="s">
        <v>198</v>
      </c>
      <c r="D14" s="82"/>
      <c r="E14" s="82"/>
      <c r="F14" s="82"/>
      <c r="G14" s="83">
        <f>SUM(G15:G19)</f>
        <v>34344857.25</v>
      </c>
      <c r="H14" s="107"/>
      <c r="I14" s="73"/>
      <c r="J14" s="84">
        <f>SUM(J15:J19)</f>
        <v>529250</v>
      </c>
      <c r="K14" s="107"/>
      <c r="L14" s="87"/>
      <c r="M14" s="84">
        <f>SUM(M15:M19)</f>
        <v>0</v>
      </c>
      <c r="N14" s="107"/>
      <c r="O14" s="87"/>
      <c r="P14" s="84">
        <f>SUM(P15:P19)</f>
        <v>0</v>
      </c>
      <c r="Q14" s="210"/>
      <c r="R14" s="87"/>
      <c r="S14" s="212">
        <f>SUM(S15:S19)</f>
        <v>529250</v>
      </c>
    </row>
    <row r="15" spans="1:19" s="250" customFormat="1" ht="15" x14ac:dyDescent="0.2">
      <c r="A15" s="242"/>
      <c r="B15" s="242" t="s">
        <v>197</v>
      </c>
      <c r="C15" s="243" t="s">
        <v>196</v>
      </c>
      <c r="D15" s="242" t="s">
        <v>15</v>
      </c>
      <c r="E15" s="244">
        <v>40</v>
      </c>
      <c r="F15" s="245">
        <v>39400</v>
      </c>
      <c r="G15" s="245">
        <f>F15*E15</f>
        <v>1576000</v>
      </c>
      <c r="H15" s="246">
        <v>0</v>
      </c>
      <c r="I15" s="247">
        <f t="shared" ref="I15:I19" si="8">+H15/E15</f>
        <v>0</v>
      </c>
      <c r="J15" s="248">
        <f t="shared" ref="J15:J19" si="9">+F15*H15</f>
        <v>0</v>
      </c>
      <c r="K15" s="246">
        <v>0</v>
      </c>
      <c r="L15" s="247">
        <f t="shared" si="1"/>
        <v>0</v>
      </c>
      <c r="M15" s="249">
        <f>+K15*F15</f>
        <v>0</v>
      </c>
      <c r="N15" s="246">
        <v>0</v>
      </c>
      <c r="O15" s="247">
        <f t="shared" si="6"/>
        <v>0</v>
      </c>
      <c r="P15" s="249">
        <f t="shared" si="7"/>
        <v>0</v>
      </c>
      <c r="Q15" s="73">
        <f t="shared" ref="Q15:Q19" si="10">H15+K15+N15</f>
        <v>0</v>
      </c>
      <c r="R15" s="247">
        <f>Q15/E15</f>
        <v>0</v>
      </c>
      <c r="S15" s="249">
        <f>+Q15*F15</f>
        <v>0</v>
      </c>
    </row>
    <row r="16" spans="1:19" s="250" customFormat="1" ht="15" x14ac:dyDescent="0.2">
      <c r="A16" s="242"/>
      <c r="B16" s="242" t="s">
        <v>195</v>
      </c>
      <c r="C16" s="243" t="s">
        <v>194</v>
      </c>
      <c r="D16" s="251" t="s">
        <v>15</v>
      </c>
      <c r="E16" s="244">
        <f>+SUM(E22:E24)*15%</f>
        <v>441.88650000000001</v>
      </c>
      <c r="F16" s="245">
        <v>36500</v>
      </c>
      <c r="G16" s="245">
        <f>F16*E16</f>
        <v>16128857.25</v>
      </c>
      <c r="H16" s="246">
        <v>14.5</v>
      </c>
      <c r="I16" s="247">
        <f t="shared" si="8"/>
        <v>3.2813856046745034E-2</v>
      </c>
      <c r="J16" s="248">
        <f t="shared" si="9"/>
        <v>529250</v>
      </c>
      <c r="K16" s="246">
        <f>Sicoplast!AA22</f>
        <v>0</v>
      </c>
      <c r="L16" s="247">
        <f t="shared" si="1"/>
        <v>0</v>
      </c>
      <c r="M16" s="249">
        <f t="shared" ref="M16:M19" si="11">+K16*F16</f>
        <v>0</v>
      </c>
      <c r="N16" s="266">
        <f>Sicoplast!AC36</f>
        <v>0</v>
      </c>
      <c r="O16" s="247">
        <f t="shared" si="6"/>
        <v>0</v>
      </c>
      <c r="P16" s="249">
        <f t="shared" si="7"/>
        <v>0</v>
      </c>
      <c r="Q16" s="73">
        <f t="shared" si="10"/>
        <v>14.5</v>
      </c>
      <c r="R16" s="247">
        <f>Q16/E16</f>
        <v>3.2813856046745034E-2</v>
      </c>
      <c r="S16" s="249">
        <f>+Q16*F16</f>
        <v>529250</v>
      </c>
    </row>
    <row r="17" spans="1:19" s="250" customFormat="1" ht="15" x14ac:dyDescent="0.2">
      <c r="A17" s="252"/>
      <c r="B17" s="242" t="s">
        <v>193</v>
      </c>
      <c r="C17" s="253" t="s">
        <v>192</v>
      </c>
      <c r="D17" s="251" t="s">
        <v>15</v>
      </c>
      <c r="E17" s="244">
        <v>100</v>
      </c>
      <c r="F17" s="245">
        <v>87000</v>
      </c>
      <c r="G17" s="245">
        <f>F17*E17</f>
        <v>8700000</v>
      </c>
      <c r="H17" s="246">
        <v>0</v>
      </c>
      <c r="I17" s="247">
        <f t="shared" si="8"/>
        <v>0</v>
      </c>
      <c r="J17" s="248">
        <f t="shared" si="9"/>
        <v>0</v>
      </c>
      <c r="K17" s="246">
        <v>0</v>
      </c>
      <c r="L17" s="247">
        <f t="shared" si="1"/>
        <v>0</v>
      </c>
      <c r="M17" s="249">
        <f t="shared" si="11"/>
        <v>0</v>
      </c>
      <c r="N17" s="246">
        <v>0</v>
      </c>
      <c r="O17" s="247">
        <f t="shared" si="6"/>
        <v>0</v>
      </c>
      <c r="P17" s="249">
        <f t="shared" si="7"/>
        <v>0</v>
      </c>
      <c r="Q17" s="73">
        <f t="shared" si="10"/>
        <v>0</v>
      </c>
      <c r="R17" s="247">
        <f>Q17/E17</f>
        <v>0</v>
      </c>
      <c r="S17" s="249">
        <f>+Q17*F17</f>
        <v>0</v>
      </c>
    </row>
    <row r="18" spans="1:19" s="250" customFormat="1" ht="30" x14ac:dyDescent="0.2">
      <c r="A18" s="252"/>
      <c r="B18" s="242" t="s">
        <v>191</v>
      </c>
      <c r="C18" s="253" t="s">
        <v>190</v>
      </c>
      <c r="D18" s="251" t="s">
        <v>15</v>
      </c>
      <c r="E18" s="244">
        <v>60</v>
      </c>
      <c r="F18" s="245">
        <v>87000</v>
      </c>
      <c r="G18" s="245">
        <f>F18*E18</f>
        <v>5220000</v>
      </c>
      <c r="H18" s="246">
        <v>0</v>
      </c>
      <c r="I18" s="247">
        <f t="shared" si="8"/>
        <v>0</v>
      </c>
      <c r="J18" s="248">
        <f t="shared" si="9"/>
        <v>0</v>
      </c>
      <c r="K18" s="246">
        <v>0</v>
      </c>
      <c r="L18" s="247">
        <f t="shared" si="1"/>
        <v>0</v>
      </c>
      <c r="M18" s="249">
        <f t="shared" si="11"/>
        <v>0</v>
      </c>
      <c r="N18" s="246">
        <v>0</v>
      </c>
      <c r="O18" s="247">
        <f t="shared" si="6"/>
        <v>0</v>
      </c>
      <c r="P18" s="249">
        <f t="shared" si="7"/>
        <v>0</v>
      </c>
      <c r="Q18" s="73">
        <f t="shared" si="10"/>
        <v>0</v>
      </c>
      <c r="R18" s="247">
        <f>Q18/E18</f>
        <v>0</v>
      </c>
      <c r="S18" s="249">
        <f>+Q18*F18</f>
        <v>0</v>
      </c>
    </row>
    <row r="19" spans="1:19" s="250" customFormat="1" ht="30" x14ac:dyDescent="0.2">
      <c r="A19" s="252"/>
      <c r="B19" s="242" t="s">
        <v>189</v>
      </c>
      <c r="C19" s="253" t="s">
        <v>188</v>
      </c>
      <c r="D19" s="251" t="s">
        <v>15</v>
      </c>
      <c r="E19" s="244">
        <v>40</v>
      </c>
      <c r="F19" s="245">
        <v>68000</v>
      </c>
      <c r="G19" s="245">
        <f>F19*E19</f>
        <v>2720000</v>
      </c>
      <c r="H19" s="246">
        <v>0</v>
      </c>
      <c r="I19" s="247">
        <f t="shared" si="8"/>
        <v>0</v>
      </c>
      <c r="J19" s="248">
        <f t="shared" si="9"/>
        <v>0</v>
      </c>
      <c r="K19" s="246">
        <v>0</v>
      </c>
      <c r="L19" s="247">
        <f t="shared" si="1"/>
        <v>0</v>
      </c>
      <c r="M19" s="249">
        <f t="shared" si="11"/>
        <v>0</v>
      </c>
      <c r="N19" s="246">
        <v>0</v>
      </c>
      <c r="O19" s="247">
        <f t="shared" si="6"/>
        <v>0</v>
      </c>
      <c r="P19" s="249">
        <f t="shared" si="7"/>
        <v>0</v>
      </c>
      <c r="Q19" s="73">
        <f t="shared" si="10"/>
        <v>0</v>
      </c>
      <c r="R19" s="247">
        <f>Q19/E19</f>
        <v>0</v>
      </c>
      <c r="S19" s="249">
        <f>+Q19*F19</f>
        <v>0</v>
      </c>
    </row>
    <row r="20" spans="1:19" ht="15" x14ac:dyDescent="0.2">
      <c r="A20" s="81">
        <v>3</v>
      </c>
      <c r="B20" s="91"/>
      <c r="C20" s="82" t="s">
        <v>187</v>
      </c>
      <c r="D20" s="82"/>
      <c r="E20" s="92"/>
      <c r="F20" s="82"/>
      <c r="G20" s="83">
        <f>+G21+G28+G31</f>
        <v>130602942</v>
      </c>
      <c r="H20" s="107"/>
      <c r="I20" s="73"/>
      <c r="J20" s="84">
        <f>+J21+J28+J31</f>
        <v>33667857.148846</v>
      </c>
      <c r="K20" s="107"/>
      <c r="L20" s="87"/>
      <c r="M20" s="84" t="e">
        <f>+M21+M28+M31</f>
        <v>#REF!</v>
      </c>
      <c r="N20" s="107"/>
      <c r="O20" s="87"/>
      <c r="P20" s="84" t="e">
        <f>+P21+P28+P31</f>
        <v>#REF!</v>
      </c>
      <c r="Q20" s="210"/>
      <c r="R20" s="87"/>
      <c r="S20" s="212" t="e">
        <f>+S21+S28+S31</f>
        <v>#REF!</v>
      </c>
    </row>
    <row r="21" spans="1:19" ht="15" x14ac:dyDescent="0.2">
      <c r="A21" s="81"/>
      <c r="B21" s="81" t="s">
        <v>95</v>
      </c>
      <c r="C21" s="82" t="s">
        <v>186</v>
      </c>
      <c r="D21" s="82"/>
      <c r="E21" s="92"/>
      <c r="F21" s="82"/>
      <c r="G21" s="83">
        <f>+SUM(G22:G27)</f>
        <v>78531075</v>
      </c>
      <c r="H21" s="107"/>
      <c r="I21" s="73"/>
      <c r="J21" s="84">
        <f>+SUM(J22:J27)</f>
        <v>16187217.148846</v>
      </c>
      <c r="K21" s="107"/>
      <c r="L21" s="87"/>
      <c r="M21" s="84" t="e">
        <f>+SUM(M22:M27)</f>
        <v>#REF!</v>
      </c>
      <c r="N21" s="107"/>
      <c r="O21" s="87"/>
      <c r="P21" s="84" t="e">
        <f>+SUM(P22:P27)</f>
        <v>#REF!</v>
      </c>
      <c r="Q21" s="210"/>
      <c r="R21" s="87"/>
      <c r="S21" s="212" t="e">
        <f>+SUM(S22:S27)</f>
        <v>#REF!</v>
      </c>
    </row>
    <row r="22" spans="1:19" ht="30" x14ac:dyDescent="0.2">
      <c r="A22" s="90"/>
      <c r="B22" s="85" t="s">
        <v>185</v>
      </c>
      <c r="C22" s="69" t="s">
        <v>184</v>
      </c>
      <c r="D22" s="74" t="s">
        <v>15</v>
      </c>
      <c r="E22" s="86">
        <v>2295.8200000000002</v>
      </c>
      <c r="F22" s="70">
        <v>21000</v>
      </c>
      <c r="G22" s="70">
        <f t="shared" ref="G22:G33" si="12">F22*E22</f>
        <v>48212220</v>
      </c>
      <c r="H22" s="107">
        <v>471.33018257000003</v>
      </c>
      <c r="I22" s="87">
        <f t="shared" ref="I22:I27" si="13">+H22/E22</f>
        <v>0.2052992754527794</v>
      </c>
      <c r="J22" s="89">
        <f t="shared" ref="J22:J27" si="14">+F22*H22</f>
        <v>9897933.833970001</v>
      </c>
      <c r="K22" s="107" t="e">
        <f>Pintura!#REF!</f>
        <v>#REF!</v>
      </c>
      <c r="L22" s="87" t="e">
        <f t="shared" si="1"/>
        <v>#REF!</v>
      </c>
      <c r="M22" s="77" t="e">
        <f t="shared" ref="M22:M49" si="15">+K22*F22</f>
        <v>#REF!</v>
      </c>
      <c r="N22" s="107" t="e">
        <f>Pintura!#REF!</f>
        <v>#REF!</v>
      </c>
      <c r="O22" s="87" t="e">
        <f t="shared" ref="O22:O49" si="16">N22/E22</f>
        <v>#REF!</v>
      </c>
      <c r="P22" s="77" t="e">
        <f t="shared" ref="P22:P49" si="17">+N22*F22</f>
        <v>#REF!</v>
      </c>
      <c r="Q22" s="73" t="e">
        <f t="shared" ref="Q22:Q27" si="18">H22+K22+N22</f>
        <v>#REF!</v>
      </c>
      <c r="R22" s="87" t="e">
        <f t="shared" ref="R22:R27" si="19">Q22/E22</f>
        <v>#REF!</v>
      </c>
      <c r="S22" s="77" t="e">
        <f t="shared" ref="S22:S27" si="20">+Q22*F22</f>
        <v>#REF!</v>
      </c>
    </row>
    <row r="23" spans="1:19" ht="30" x14ac:dyDescent="0.2">
      <c r="A23" s="90"/>
      <c r="B23" s="85" t="s">
        <v>183</v>
      </c>
      <c r="C23" s="69" t="s">
        <v>182</v>
      </c>
      <c r="D23" s="74" t="s">
        <v>15</v>
      </c>
      <c r="E23" s="86">
        <v>467.17</v>
      </c>
      <c r="F23" s="70">
        <v>21000</v>
      </c>
      <c r="G23" s="70">
        <f t="shared" si="12"/>
        <v>9810570</v>
      </c>
      <c r="H23" s="107">
        <v>181.28083945</v>
      </c>
      <c r="I23" s="87">
        <f t="shared" si="13"/>
        <v>0.38804041237665088</v>
      </c>
      <c r="J23" s="89">
        <f t="shared" si="14"/>
        <v>3806897.6284500002</v>
      </c>
      <c r="K23" s="107" t="e">
        <f>Pintura!#REF!</f>
        <v>#REF!</v>
      </c>
      <c r="L23" s="87" t="e">
        <f t="shared" si="1"/>
        <v>#REF!</v>
      </c>
      <c r="M23" s="77" t="e">
        <f t="shared" si="15"/>
        <v>#REF!</v>
      </c>
      <c r="N23" s="107" t="e">
        <f>Pintura!#REF!</f>
        <v>#REF!</v>
      </c>
      <c r="O23" s="87" t="e">
        <f t="shared" si="16"/>
        <v>#REF!</v>
      </c>
      <c r="P23" s="77" t="e">
        <f t="shared" si="17"/>
        <v>#REF!</v>
      </c>
      <c r="Q23" s="73" t="e">
        <f t="shared" si="18"/>
        <v>#REF!</v>
      </c>
      <c r="R23" s="87" t="e">
        <f t="shared" si="19"/>
        <v>#REF!</v>
      </c>
      <c r="S23" s="77" t="e">
        <f t="shared" si="20"/>
        <v>#REF!</v>
      </c>
    </row>
    <row r="24" spans="1:19" ht="30" x14ac:dyDescent="0.2">
      <c r="A24" s="90"/>
      <c r="B24" s="85" t="s">
        <v>181</v>
      </c>
      <c r="C24" s="69" t="s">
        <v>180</v>
      </c>
      <c r="D24" s="74" t="s">
        <v>15</v>
      </c>
      <c r="E24" s="86">
        <v>182.92</v>
      </c>
      <c r="F24" s="70">
        <v>21000</v>
      </c>
      <c r="G24" s="70">
        <f t="shared" si="12"/>
        <v>3841319.9999999995</v>
      </c>
      <c r="H24" s="107">
        <v>14.502467156</v>
      </c>
      <c r="I24" s="87">
        <f t="shared" si="13"/>
        <v>7.9283113689044393E-2</v>
      </c>
      <c r="J24" s="89">
        <f t="shared" si="14"/>
        <v>304551.810276</v>
      </c>
      <c r="K24" s="107" t="e">
        <f>Pintura!#REF!</f>
        <v>#REF!</v>
      </c>
      <c r="L24" s="87" t="e">
        <f t="shared" si="1"/>
        <v>#REF!</v>
      </c>
      <c r="M24" s="77" t="e">
        <f t="shared" si="15"/>
        <v>#REF!</v>
      </c>
      <c r="N24" s="107" t="e">
        <f>Pintura!#REF!</f>
        <v>#REF!</v>
      </c>
      <c r="O24" s="87" t="e">
        <f t="shared" si="16"/>
        <v>#REF!</v>
      </c>
      <c r="P24" s="77" t="e">
        <f t="shared" si="17"/>
        <v>#REF!</v>
      </c>
      <c r="Q24" s="73" t="e">
        <f t="shared" si="18"/>
        <v>#REF!</v>
      </c>
      <c r="R24" s="87" t="e">
        <f t="shared" si="19"/>
        <v>#REF!</v>
      </c>
      <c r="S24" s="77" t="e">
        <f t="shared" si="20"/>
        <v>#REF!</v>
      </c>
    </row>
    <row r="25" spans="1:19" ht="30" x14ac:dyDescent="0.2">
      <c r="A25" s="90"/>
      <c r="B25" s="85" t="s">
        <v>179</v>
      </c>
      <c r="C25" s="69" t="s">
        <v>178</v>
      </c>
      <c r="D25" s="74" t="s">
        <v>15</v>
      </c>
      <c r="E25" s="86">
        <v>565.54</v>
      </c>
      <c r="F25" s="70">
        <v>17500</v>
      </c>
      <c r="G25" s="70">
        <f t="shared" si="12"/>
        <v>9896950</v>
      </c>
      <c r="H25" s="107">
        <v>72.512335780000001</v>
      </c>
      <c r="I25" s="87">
        <f t="shared" si="13"/>
        <v>0.12821787279414365</v>
      </c>
      <c r="J25" s="89">
        <f t="shared" si="14"/>
        <v>1268965.8761499999</v>
      </c>
      <c r="K25" s="107" t="e">
        <f>Pintura!#REF!</f>
        <v>#REF!</v>
      </c>
      <c r="L25" s="87" t="e">
        <f t="shared" si="1"/>
        <v>#REF!</v>
      </c>
      <c r="M25" s="77" t="e">
        <f t="shared" si="15"/>
        <v>#REF!</v>
      </c>
      <c r="N25" s="107" t="e">
        <f>Pintura!#REF!</f>
        <v>#REF!</v>
      </c>
      <c r="O25" s="87" t="e">
        <f t="shared" si="16"/>
        <v>#REF!</v>
      </c>
      <c r="P25" s="77" t="e">
        <f t="shared" si="17"/>
        <v>#REF!</v>
      </c>
      <c r="Q25" s="73" t="e">
        <f t="shared" si="18"/>
        <v>#REF!</v>
      </c>
      <c r="R25" s="87" t="e">
        <f t="shared" si="19"/>
        <v>#REF!</v>
      </c>
      <c r="S25" s="77" t="e">
        <f t="shared" si="20"/>
        <v>#REF!</v>
      </c>
    </row>
    <row r="26" spans="1:19" ht="15" x14ac:dyDescent="0.2">
      <c r="A26" s="90"/>
      <c r="B26" s="85" t="s">
        <v>177</v>
      </c>
      <c r="C26" s="69" t="s">
        <v>106</v>
      </c>
      <c r="D26" s="74" t="s">
        <v>15</v>
      </c>
      <c r="E26" s="86">
        <v>161.75</v>
      </c>
      <c r="F26" s="70">
        <v>17500</v>
      </c>
      <c r="G26" s="70">
        <f t="shared" si="12"/>
        <v>2830625</v>
      </c>
      <c r="H26" s="107">
        <v>0</v>
      </c>
      <c r="I26" s="87">
        <f t="shared" si="13"/>
        <v>0</v>
      </c>
      <c r="J26" s="89">
        <f t="shared" si="14"/>
        <v>0</v>
      </c>
      <c r="K26" s="107">
        <v>0</v>
      </c>
      <c r="L26" s="87">
        <f t="shared" si="1"/>
        <v>0</v>
      </c>
      <c r="M26" s="77">
        <f t="shared" si="15"/>
        <v>0</v>
      </c>
      <c r="N26" s="107">
        <v>0</v>
      </c>
      <c r="O26" s="87">
        <f t="shared" si="16"/>
        <v>0</v>
      </c>
      <c r="P26" s="77">
        <f t="shared" si="17"/>
        <v>0</v>
      </c>
      <c r="Q26" s="73">
        <f t="shared" si="18"/>
        <v>0</v>
      </c>
      <c r="R26" s="87">
        <f t="shared" si="19"/>
        <v>0</v>
      </c>
      <c r="S26" s="77">
        <f t="shared" si="20"/>
        <v>0</v>
      </c>
    </row>
    <row r="27" spans="1:19" ht="30" x14ac:dyDescent="0.2">
      <c r="A27" s="90"/>
      <c r="B27" s="85" t="s">
        <v>176</v>
      </c>
      <c r="C27" s="69" t="s">
        <v>175</v>
      </c>
      <c r="D27" s="74" t="s">
        <v>85</v>
      </c>
      <c r="E27" s="86">
        <v>532.35</v>
      </c>
      <c r="F27" s="70">
        <v>7400</v>
      </c>
      <c r="G27" s="70">
        <f>F27*E27</f>
        <v>3939390</v>
      </c>
      <c r="H27" s="107">
        <v>122.82</v>
      </c>
      <c r="I27" s="87">
        <f t="shared" si="13"/>
        <v>0.23071287686672301</v>
      </c>
      <c r="J27" s="89">
        <f t="shared" si="14"/>
        <v>908868</v>
      </c>
      <c r="K27" s="107" t="e">
        <f>Pintura!#REF!</f>
        <v>#REF!</v>
      </c>
      <c r="L27" s="87" t="e">
        <f t="shared" si="1"/>
        <v>#REF!</v>
      </c>
      <c r="M27" s="77" t="e">
        <f t="shared" si="15"/>
        <v>#REF!</v>
      </c>
      <c r="N27" s="107" t="e">
        <f>Pintura!#REF!</f>
        <v>#REF!</v>
      </c>
      <c r="O27" s="87" t="e">
        <f t="shared" si="16"/>
        <v>#REF!</v>
      </c>
      <c r="P27" s="77" t="e">
        <f t="shared" si="17"/>
        <v>#REF!</v>
      </c>
      <c r="Q27" s="73" t="e">
        <f t="shared" si="18"/>
        <v>#REF!</v>
      </c>
      <c r="R27" s="87" t="e">
        <f t="shared" si="19"/>
        <v>#REF!</v>
      </c>
      <c r="S27" s="77" t="e">
        <f t="shared" si="20"/>
        <v>#REF!</v>
      </c>
    </row>
    <row r="28" spans="1:19" ht="15" x14ac:dyDescent="0.2">
      <c r="A28" s="90"/>
      <c r="B28" s="81" t="s">
        <v>94</v>
      </c>
      <c r="C28" s="82" t="s">
        <v>174</v>
      </c>
      <c r="D28" s="82"/>
      <c r="E28" s="92"/>
      <c r="F28" s="82"/>
      <c r="G28" s="83">
        <f>+SUM(G29:G30)</f>
        <v>8043387</v>
      </c>
      <c r="H28" s="107"/>
      <c r="I28" s="73"/>
      <c r="J28" s="84">
        <f>+SUM(J29:J30)</f>
        <v>0</v>
      </c>
      <c r="K28" s="107"/>
      <c r="L28" s="87"/>
      <c r="M28" s="84">
        <f>+SUM(M29:M30)</f>
        <v>0</v>
      </c>
      <c r="N28" s="107"/>
      <c r="O28" s="87"/>
      <c r="P28" s="84">
        <f>+SUM(P29:P30)</f>
        <v>0</v>
      </c>
      <c r="Q28" s="73"/>
      <c r="R28" s="87"/>
      <c r="S28" s="212">
        <f>+SUM(S29:S30)</f>
        <v>0</v>
      </c>
    </row>
    <row r="29" spans="1:19" ht="15" x14ac:dyDescent="0.2">
      <c r="A29" s="90"/>
      <c r="B29" s="85" t="s">
        <v>173</v>
      </c>
      <c r="C29" s="69" t="s">
        <v>172</v>
      </c>
      <c r="D29" s="74" t="s">
        <v>15</v>
      </c>
      <c r="E29" s="86">
        <v>245.69</v>
      </c>
      <c r="F29" s="70">
        <v>22300</v>
      </c>
      <c r="G29" s="70">
        <f t="shared" si="12"/>
        <v>5478887</v>
      </c>
      <c r="H29" s="107">
        <v>0</v>
      </c>
      <c r="I29" s="87">
        <f t="shared" ref="I29:I30" si="21">+H29/E29</f>
        <v>0</v>
      </c>
      <c r="J29" s="89">
        <f t="shared" ref="J29:J30" si="22">+F29*H29</f>
        <v>0</v>
      </c>
      <c r="K29" s="107">
        <v>0</v>
      </c>
      <c r="L29" s="87">
        <f t="shared" si="1"/>
        <v>0</v>
      </c>
      <c r="M29" s="77">
        <f t="shared" si="15"/>
        <v>0</v>
      </c>
      <c r="N29" s="107">
        <v>0</v>
      </c>
      <c r="O29" s="87">
        <f t="shared" si="16"/>
        <v>0</v>
      </c>
      <c r="P29" s="77">
        <f t="shared" si="17"/>
        <v>0</v>
      </c>
      <c r="Q29" s="73">
        <f t="shared" ref="Q29:Q30" si="23">H29+K29+N29</f>
        <v>0</v>
      </c>
      <c r="R29" s="87">
        <f>Q29/E29</f>
        <v>0</v>
      </c>
      <c r="S29" s="77">
        <f>+Q29*F29</f>
        <v>0</v>
      </c>
    </row>
    <row r="30" spans="1:19" ht="30" x14ac:dyDescent="0.2">
      <c r="A30" s="90"/>
      <c r="B30" s="85" t="s">
        <v>171</v>
      </c>
      <c r="C30" s="69" t="s">
        <v>170</v>
      </c>
      <c r="D30" s="74" t="s">
        <v>15</v>
      </c>
      <c r="E30" s="86">
        <v>115</v>
      </c>
      <c r="F30" s="70">
        <v>22300</v>
      </c>
      <c r="G30" s="70">
        <f t="shared" si="12"/>
        <v>2564500</v>
      </c>
      <c r="H30" s="107">
        <v>0</v>
      </c>
      <c r="I30" s="87">
        <f t="shared" si="21"/>
        <v>0</v>
      </c>
      <c r="J30" s="89">
        <f t="shared" si="22"/>
        <v>0</v>
      </c>
      <c r="K30" s="107">
        <v>0</v>
      </c>
      <c r="L30" s="87">
        <f t="shared" si="1"/>
        <v>0</v>
      </c>
      <c r="M30" s="77">
        <f t="shared" si="15"/>
        <v>0</v>
      </c>
      <c r="N30" s="107">
        <v>0</v>
      </c>
      <c r="O30" s="87">
        <f t="shared" si="16"/>
        <v>0</v>
      </c>
      <c r="P30" s="77">
        <f t="shared" si="17"/>
        <v>0</v>
      </c>
      <c r="Q30" s="73">
        <f t="shared" si="23"/>
        <v>0</v>
      </c>
      <c r="R30" s="87">
        <f>Q30/E30</f>
        <v>0</v>
      </c>
      <c r="S30" s="77">
        <f>+Q30*F30</f>
        <v>0</v>
      </c>
    </row>
    <row r="31" spans="1:19" ht="15" x14ac:dyDescent="0.2">
      <c r="A31" s="90"/>
      <c r="B31" s="81" t="s">
        <v>110</v>
      </c>
      <c r="C31" s="82" t="s">
        <v>169</v>
      </c>
      <c r="D31" s="82"/>
      <c r="E31" s="92"/>
      <c r="F31" s="82"/>
      <c r="G31" s="83">
        <f>+SUM(G32:G33)</f>
        <v>44028480</v>
      </c>
      <c r="H31" s="107"/>
      <c r="I31" s="73"/>
      <c r="J31" s="84">
        <f>+SUM(J32:J33)</f>
        <v>17480640.000000004</v>
      </c>
      <c r="K31" s="107"/>
      <c r="L31" s="87"/>
      <c r="M31" s="84">
        <f>+SUM(M32:M33)</f>
        <v>8169599.9999999991</v>
      </c>
      <c r="N31" s="107"/>
      <c r="O31" s="87"/>
      <c r="P31" s="84">
        <f>+SUM(P32:P33)</f>
        <v>0</v>
      </c>
      <c r="Q31" s="73"/>
      <c r="R31" s="87"/>
      <c r="S31" s="212">
        <f>+SUM(S32:S33)</f>
        <v>25650240</v>
      </c>
    </row>
    <row r="32" spans="1:19" s="241" customFormat="1" ht="30" x14ac:dyDescent="0.2">
      <c r="A32" s="231"/>
      <c r="B32" s="232" t="s">
        <v>168</v>
      </c>
      <c r="C32" s="233" t="s">
        <v>167</v>
      </c>
      <c r="D32" s="234" t="s">
        <v>15</v>
      </c>
      <c r="E32" s="235">
        <v>2640.6</v>
      </c>
      <c r="F32" s="236">
        <v>12000</v>
      </c>
      <c r="G32" s="236">
        <f t="shared" si="12"/>
        <v>31687200</v>
      </c>
      <c r="H32" s="237">
        <v>874.03200000000015</v>
      </c>
      <c r="I32" s="238">
        <f t="shared" ref="I32:I33" si="24">+H32/E32</f>
        <v>0.33099750056805277</v>
      </c>
      <c r="J32" s="239">
        <f t="shared" ref="J32:J33" si="25">+F32*H32</f>
        <v>10488384.000000002</v>
      </c>
      <c r="K32" s="237">
        <v>680.8</v>
      </c>
      <c r="L32" s="238">
        <f t="shared" si="1"/>
        <v>0.25782019238051956</v>
      </c>
      <c r="M32" s="240">
        <f t="shared" si="15"/>
        <v>8169599.9999999991</v>
      </c>
      <c r="N32" s="237">
        <v>0</v>
      </c>
      <c r="O32" s="238">
        <f t="shared" si="16"/>
        <v>0</v>
      </c>
      <c r="P32" s="240">
        <f t="shared" si="17"/>
        <v>0</v>
      </c>
      <c r="Q32" s="73">
        <f t="shared" ref="Q32:Q33" si="26">H32+K32+N32</f>
        <v>1554.8320000000001</v>
      </c>
      <c r="R32" s="238">
        <f>Q32/E32</f>
        <v>0.58881769294857234</v>
      </c>
      <c r="S32" s="240">
        <f>+Q32*F32</f>
        <v>18657984</v>
      </c>
    </row>
    <row r="33" spans="1:19" s="241" customFormat="1" ht="30" x14ac:dyDescent="0.2">
      <c r="A33" s="231"/>
      <c r="B33" s="232" t="s">
        <v>166</v>
      </c>
      <c r="C33" s="233" t="s">
        <v>165</v>
      </c>
      <c r="D33" s="234" t="s">
        <v>15</v>
      </c>
      <c r="E33" s="235">
        <v>1028.44</v>
      </c>
      <c r="F33" s="236">
        <v>12000</v>
      </c>
      <c r="G33" s="236">
        <f t="shared" si="12"/>
        <v>12341280</v>
      </c>
      <c r="H33" s="237">
        <v>582.6880000000001</v>
      </c>
      <c r="I33" s="238">
        <f t="shared" si="24"/>
        <v>0.56657461786783869</v>
      </c>
      <c r="J33" s="239">
        <f t="shared" si="25"/>
        <v>6992256.0000000009</v>
      </c>
      <c r="K33" s="237">
        <v>0</v>
      </c>
      <c r="L33" s="238">
        <f t="shared" si="1"/>
        <v>0</v>
      </c>
      <c r="M33" s="240">
        <f t="shared" si="15"/>
        <v>0</v>
      </c>
      <c r="N33" s="237">
        <v>0</v>
      </c>
      <c r="O33" s="238">
        <f t="shared" si="16"/>
        <v>0</v>
      </c>
      <c r="P33" s="240">
        <f t="shared" si="17"/>
        <v>0</v>
      </c>
      <c r="Q33" s="73">
        <f t="shared" si="26"/>
        <v>582.6880000000001</v>
      </c>
      <c r="R33" s="238">
        <f>Q33/E33</f>
        <v>0.56657461786783869</v>
      </c>
      <c r="S33" s="240">
        <f>+Q33*F33</f>
        <v>6992256.0000000009</v>
      </c>
    </row>
    <row r="34" spans="1:19" ht="15" x14ac:dyDescent="0.2">
      <c r="A34" s="81">
        <v>4</v>
      </c>
      <c r="B34" s="91"/>
      <c r="C34" s="82" t="s">
        <v>164</v>
      </c>
      <c r="D34" s="82"/>
      <c r="E34" s="92"/>
      <c r="F34" s="82"/>
      <c r="G34" s="83">
        <f>+SUM(G35:G37)</f>
        <v>13115377</v>
      </c>
      <c r="H34" s="107"/>
      <c r="I34" s="73"/>
      <c r="J34" s="84">
        <f>+SUM(J35:J37)</f>
        <v>1869037.9999999998</v>
      </c>
      <c r="K34" s="107"/>
      <c r="L34" s="87"/>
      <c r="M34" s="84" t="e">
        <f>+SUM(M35:M37)</f>
        <v>#REF!</v>
      </c>
      <c r="N34" s="107"/>
      <c r="O34" s="87"/>
      <c r="P34" s="84" t="e">
        <f>+SUM(P35:P37)</f>
        <v>#REF!</v>
      </c>
      <c r="Q34" s="73"/>
      <c r="R34" s="87"/>
      <c r="S34" s="212" t="e">
        <f>+SUM(S35:S37)</f>
        <v>#REF!</v>
      </c>
    </row>
    <row r="35" spans="1:19" ht="15" x14ac:dyDescent="0.2">
      <c r="A35" s="72"/>
      <c r="B35" s="72" t="s">
        <v>111</v>
      </c>
      <c r="C35" s="75" t="s">
        <v>163</v>
      </c>
      <c r="D35" s="74" t="s">
        <v>85</v>
      </c>
      <c r="E35" s="86">
        <v>1610.82</v>
      </c>
      <c r="F35" s="70">
        <v>5700</v>
      </c>
      <c r="G35" s="70">
        <f>F35*E35</f>
        <v>9181674</v>
      </c>
      <c r="H35" s="107">
        <v>214.39999999999998</v>
      </c>
      <c r="I35" s="87">
        <f t="shared" ref="I35:I37" si="27">+H35/E35</f>
        <v>0.13309991184614048</v>
      </c>
      <c r="J35" s="89">
        <f t="shared" ref="J35:J37" si="28">+F35*H35</f>
        <v>1222079.9999999998</v>
      </c>
      <c r="K35" s="107" t="e">
        <f>Sellos!#REF!</f>
        <v>#REF!</v>
      </c>
      <c r="L35" s="87" t="e">
        <f t="shared" si="1"/>
        <v>#REF!</v>
      </c>
      <c r="M35" s="77" t="e">
        <f t="shared" si="15"/>
        <v>#REF!</v>
      </c>
      <c r="N35" s="265" t="e">
        <f>Sellos!#REF!</f>
        <v>#REF!</v>
      </c>
      <c r="O35" s="87" t="e">
        <f t="shared" si="16"/>
        <v>#REF!</v>
      </c>
      <c r="P35" s="77" t="e">
        <f t="shared" si="17"/>
        <v>#REF!</v>
      </c>
      <c r="Q35" s="73" t="e">
        <f t="shared" ref="Q35:Q37" si="29">H35+K35+N35</f>
        <v>#REF!</v>
      </c>
      <c r="R35" s="87" t="e">
        <f>Q35/E35</f>
        <v>#REF!</v>
      </c>
      <c r="S35" s="77" t="e">
        <f>+Q35*F35</f>
        <v>#REF!</v>
      </c>
    </row>
    <row r="36" spans="1:19" ht="30" x14ac:dyDescent="0.2">
      <c r="A36" s="90"/>
      <c r="B36" s="72" t="s">
        <v>112</v>
      </c>
      <c r="C36" s="93" t="s">
        <v>162</v>
      </c>
      <c r="D36" s="72" t="s">
        <v>15</v>
      </c>
      <c r="E36" s="94">
        <v>86.09</v>
      </c>
      <c r="F36" s="77">
        <v>16700</v>
      </c>
      <c r="G36" s="70">
        <f t="shared" ref="G36:G37" si="30">F36*E36</f>
        <v>1437703</v>
      </c>
      <c r="H36" s="107">
        <v>38.74</v>
      </c>
      <c r="I36" s="87">
        <f t="shared" si="27"/>
        <v>0.44999419212452085</v>
      </c>
      <c r="J36" s="89">
        <f t="shared" si="28"/>
        <v>646958</v>
      </c>
      <c r="K36" s="107">
        <v>0</v>
      </c>
      <c r="L36" s="87">
        <f t="shared" si="1"/>
        <v>0</v>
      </c>
      <c r="M36" s="77">
        <f t="shared" si="15"/>
        <v>0</v>
      </c>
      <c r="N36" s="107">
        <v>0</v>
      </c>
      <c r="O36" s="87">
        <f t="shared" si="16"/>
        <v>0</v>
      </c>
      <c r="P36" s="77">
        <f t="shared" si="17"/>
        <v>0</v>
      </c>
      <c r="Q36" s="73">
        <f t="shared" si="29"/>
        <v>38.74</v>
      </c>
      <c r="R36" s="87">
        <f>Q36/E36</f>
        <v>0.44999419212452085</v>
      </c>
      <c r="S36" s="77">
        <f>+Q36*F36</f>
        <v>646958</v>
      </c>
    </row>
    <row r="37" spans="1:19" ht="15" x14ac:dyDescent="0.2">
      <c r="A37" s="90"/>
      <c r="B37" s="72" t="s">
        <v>113</v>
      </c>
      <c r="C37" s="75" t="s">
        <v>114</v>
      </c>
      <c r="D37" s="74" t="s">
        <v>85</v>
      </c>
      <c r="E37" s="86">
        <v>48</v>
      </c>
      <c r="F37" s="70">
        <v>52000</v>
      </c>
      <c r="G37" s="70">
        <f t="shared" si="30"/>
        <v>2496000</v>
      </c>
      <c r="H37" s="107">
        <v>0</v>
      </c>
      <c r="I37" s="87">
        <f t="shared" si="27"/>
        <v>0</v>
      </c>
      <c r="J37" s="89">
        <f t="shared" si="28"/>
        <v>0</v>
      </c>
      <c r="K37" s="107">
        <v>0</v>
      </c>
      <c r="L37" s="87">
        <f t="shared" si="1"/>
        <v>0</v>
      </c>
      <c r="M37" s="77">
        <f t="shared" si="15"/>
        <v>0</v>
      </c>
      <c r="N37" s="107">
        <v>0</v>
      </c>
      <c r="O37" s="87">
        <f t="shared" si="16"/>
        <v>0</v>
      </c>
      <c r="P37" s="77">
        <f t="shared" si="17"/>
        <v>0</v>
      </c>
      <c r="Q37" s="73">
        <f t="shared" si="29"/>
        <v>0</v>
      </c>
      <c r="R37" s="87">
        <f>Q37/E37</f>
        <v>0</v>
      </c>
      <c r="S37" s="77">
        <f>+Q37*F37</f>
        <v>0</v>
      </c>
    </row>
    <row r="38" spans="1:19" ht="15" x14ac:dyDescent="0.2">
      <c r="A38" s="81">
        <v>5</v>
      </c>
      <c r="B38" s="91"/>
      <c r="C38" s="82" t="s">
        <v>161</v>
      </c>
      <c r="D38" s="82"/>
      <c r="E38" s="92"/>
      <c r="F38" s="82"/>
      <c r="G38" s="83">
        <f>++G39+G40</f>
        <v>5450000</v>
      </c>
      <c r="H38" s="107"/>
      <c r="I38" s="73"/>
      <c r="J38" s="84">
        <f>++J39+J40</f>
        <v>0</v>
      </c>
      <c r="K38" s="107"/>
      <c r="L38" s="87"/>
      <c r="M38" s="84">
        <f>++M39+M40</f>
        <v>0</v>
      </c>
      <c r="N38" s="107"/>
      <c r="O38" s="87"/>
      <c r="P38" s="84">
        <f>++P39+P40</f>
        <v>0</v>
      </c>
      <c r="Q38" s="73"/>
      <c r="R38" s="87"/>
      <c r="S38" s="212">
        <f>++S39+S40</f>
        <v>0</v>
      </c>
    </row>
    <row r="39" spans="1:19" ht="15" x14ac:dyDescent="0.2">
      <c r="A39" s="90"/>
      <c r="B39" s="74" t="s">
        <v>115</v>
      </c>
      <c r="C39" s="69" t="s">
        <v>117</v>
      </c>
      <c r="D39" s="74" t="s">
        <v>85</v>
      </c>
      <c r="E39" s="86">
        <v>30</v>
      </c>
      <c r="F39" s="70">
        <v>55000</v>
      </c>
      <c r="G39" s="70">
        <f>F39*E39</f>
        <v>1650000</v>
      </c>
      <c r="H39" s="107">
        <v>0</v>
      </c>
      <c r="I39" s="87">
        <f t="shared" ref="I39:I40" si="31">+H39/E39</f>
        <v>0</v>
      </c>
      <c r="J39" s="89">
        <f t="shared" ref="J39:J40" si="32">+F39*H39</f>
        <v>0</v>
      </c>
      <c r="K39" s="107">
        <v>0</v>
      </c>
      <c r="L39" s="87">
        <f t="shared" si="1"/>
        <v>0</v>
      </c>
      <c r="M39" s="77">
        <f t="shared" si="15"/>
        <v>0</v>
      </c>
      <c r="N39" s="107">
        <v>0</v>
      </c>
      <c r="O39" s="87">
        <f t="shared" si="16"/>
        <v>0</v>
      </c>
      <c r="P39" s="77">
        <f t="shared" si="17"/>
        <v>0</v>
      </c>
      <c r="Q39" s="73">
        <f t="shared" ref="Q39:Q40" si="33">H39+K39+N39</f>
        <v>0</v>
      </c>
      <c r="R39" s="87">
        <f>Q39/E39</f>
        <v>0</v>
      </c>
      <c r="S39" s="77">
        <f>+Q39*F39</f>
        <v>0</v>
      </c>
    </row>
    <row r="40" spans="1:19" ht="15" x14ac:dyDescent="0.2">
      <c r="A40" s="90"/>
      <c r="B40" s="74" t="s">
        <v>116</v>
      </c>
      <c r="C40" s="69" t="s">
        <v>160</v>
      </c>
      <c r="D40" s="74" t="s">
        <v>151</v>
      </c>
      <c r="E40" s="86">
        <v>1</v>
      </c>
      <c r="F40" s="70">
        <v>3800000</v>
      </c>
      <c r="G40" s="70">
        <f>F40*E40</f>
        <v>3800000</v>
      </c>
      <c r="H40" s="107">
        <v>0</v>
      </c>
      <c r="I40" s="87">
        <f t="shared" si="31"/>
        <v>0</v>
      </c>
      <c r="J40" s="89">
        <f t="shared" si="32"/>
        <v>0</v>
      </c>
      <c r="K40" s="107">
        <v>0</v>
      </c>
      <c r="L40" s="87">
        <f t="shared" si="1"/>
        <v>0</v>
      </c>
      <c r="M40" s="77">
        <f t="shared" si="15"/>
        <v>0</v>
      </c>
      <c r="N40" s="107">
        <v>0</v>
      </c>
      <c r="O40" s="87">
        <f t="shared" si="16"/>
        <v>0</v>
      </c>
      <c r="P40" s="77">
        <f t="shared" si="17"/>
        <v>0</v>
      </c>
      <c r="Q40" s="73">
        <f t="shared" si="33"/>
        <v>0</v>
      </c>
      <c r="R40" s="87">
        <f>Q40/E40</f>
        <v>0</v>
      </c>
      <c r="S40" s="77">
        <f>+Q40*F40</f>
        <v>0</v>
      </c>
    </row>
    <row r="41" spans="1:19" ht="15" x14ac:dyDescent="0.2">
      <c r="A41" s="81">
        <v>6</v>
      </c>
      <c r="B41" s="82"/>
      <c r="C41" s="82" t="s">
        <v>159</v>
      </c>
      <c r="D41" s="82"/>
      <c r="E41" s="82"/>
      <c r="F41" s="82"/>
      <c r="G41" s="83">
        <f>+SUM(G42:G47)</f>
        <v>33191143.521451756</v>
      </c>
      <c r="H41" s="107"/>
      <c r="I41" s="73"/>
      <c r="J41" s="84">
        <f>+SUM(J42:J47)</f>
        <v>8100000</v>
      </c>
      <c r="K41" s="107"/>
      <c r="L41" s="87"/>
      <c r="M41" s="84">
        <f>+SUM(M42:M47)</f>
        <v>0</v>
      </c>
      <c r="N41" s="107"/>
      <c r="O41" s="87"/>
      <c r="P41" s="84">
        <f>+SUM(P42:P47)</f>
        <v>0</v>
      </c>
      <c r="Q41" s="73"/>
      <c r="R41" s="87"/>
      <c r="S41" s="212">
        <f>+SUM(S42:S47)</f>
        <v>8100000</v>
      </c>
    </row>
    <row r="42" spans="1:19" ht="15" x14ac:dyDescent="0.2">
      <c r="A42" s="95"/>
      <c r="B42" s="74" t="s">
        <v>118</v>
      </c>
      <c r="C42" s="69" t="s">
        <v>158</v>
      </c>
      <c r="D42" s="74" t="s">
        <v>15</v>
      </c>
      <c r="E42" s="86">
        <v>312</v>
      </c>
      <c r="F42" s="70">
        <v>25000</v>
      </c>
      <c r="G42" s="70">
        <f>+E42*F42</f>
        <v>7800000</v>
      </c>
      <c r="H42" s="107">
        <v>0</v>
      </c>
      <c r="I42" s="87">
        <f t="shared" ref="I42:I47" si="34">+H42/E42</f>
        <v>0</v>
      </c>
      <c r="J42" s="89">
        <f t="shared" ref="J42:J47" si="35">+F42*H42</f>
        <v>0</v>
      </c>
      <c r="K42" s="107">
        <v>0</v>
      </c>
      <c r="L42" s="87">
        <f t="shared" si="1"/>
        <v>0</v>
      </c>
      <c r="M42" s="77">
        <f t="shared" si="15"/>
        <v>0</v>
      </c>
      <c r="N42" s="107">
        <v>0</v>
      </c>
      <c r="O42" s="87">
        <f t="shared" si="16"/>
        <v>0</v>
      </c>
      <c r="P42" s="77">
        <f t="shared" si="17"/>
        <v>0</v>
      </c>
      <c r="Q42" s="73">
        <f t="shared" ref="Q42:Q47" si="36">H42+K42+N42</f>
        <v>0</v>
      </c>
      <c r="R42" s="87">
        <f t="shared" ref="R42:R47" si="37">Q42/E42</f>
        <v>0</v>
      </c>
      <c r="S42" s="77">
        <f t="shared" ref="S42:S47" si="38">+Q42*F42</f>
        <v>0</v>
      </c>
    </row>
    <row r="43" spans="1:19" ht="15" x14ac:dyDescent="0.2">
      <c r="A43" s="95"/>
      <c r="B43" s="74" t="s">
        <v>119</v>
      </c>
      <c r="C43" s="69" t="s">
        <v>157</v>
      </c>
      <c r="D43" s="74" t="s">
        <v>15</v>
      </c>
      <c r="E43" s="86">
        <v>113.32</v>
      </c>
      <c r="F43" s="70">
        <v>21964</v>
      </c>
      <c r="G43" s="70">
        <f t="shared" ref="G43:G47" si="39">+E43*F43</f>
        <v>2488960.48</v>
      </c>
      <c r="H43" s="107">
        <v>0</v>
      </c>
      <c r="I43" s="87">
        <f t="shared" si="34"/>
        <v>0</v>
      </c>
      <c r="J43" s="89">
        <f t="shared" si="35"/>
        <v>0</v>
      </c>
      <c r="K43" s="107">
        <v>0</v>
      </c>
      <c r="L43" s="87">
        <f t="shared" si="1"/>
        <v>0</v>
      </c>
      <c r="M43" s="77">
        <f t="shared" si="15"/>
        <v>0</v>
      </c>
      <c r="N43" s="107">
        <v>0</v>
      </c>
      <c r="O43" s="87">
        <f t="shared" si="16"/>
        <v>0</v>
      </c>
      <c r="P43" s="77">
        <f t="shared" si="17"/>
        <v>0</v>
      </c>
      <c r="Q43" s="73">
        <f t="shared" si="36"/>
        <v>0</v>
      </c>
      <c r="R43" s="87">
        <f t="shared" si="37"/>
        <v>0</v>
      </c>
      <c r="S43" s="77">
        <f t="shared" si="38"/>
        <v>0</v>
      </c>
    </row>
    <row r="44" spans="1:19" ht="15" x14ac:dyDescent="0.2">
      <c r="A44" s="95"/>
      <c r="B44" s="74" t="s">
        <v>120</v>
      </c>
      <c r="C44" s="69" t="s">
        <v>156</v>
      </c>
      <c r="D44" s="74" t="s">
        <v>15</v>
      </c>
      <c r="E44" s="86">
        <v>115</v>
      </c>
      <c r="F44" s="70">
        <v>52750</v>
      </c>
      <c r="G44" s="70">
        <f t="shared" si="39"/>
        <v>6066250</v>
      </c>
      <c r="H44" s="107">
        <v>0</v>
      </c>
      <c r="I44" s="87">
        <f t="shared" si="34"/>
        <v>0</v>
      </c>
      <c r="J44" s="89">
        <f t="shared" si="35"/>
        <v>0</v>
      </c>
      <c r="K44" s="107">
        <v>0</v>
      </c>
      <c r="L44" s="87">
        <f t="shared" si="1"/>
        <v>0</v>
      </c>
      <c r="M44" s="77">
        <f t="shared" si="15"/>
        <v>0</v>
      </c>
      <c r="N44" s="107">
        <v>0</v>
      </c>
      <c r="O44" s="87">
        <f t="shared" si="16"/>
        <v>0</v>
      </c>
      <c r="P44" s="77">
        <f t="shared" si="17"/>
        <v>0</v>
      </c>
      <c r="Q44" s="73">
        <f t="shared" si="36"/>
        <v>0</v>
      </c>
      <c r="R44" s="87">
        <f t="shared" si="37"/>
        <v>0</v>
      </c>
      <c r="S44" s="77">
        <f t="shared" si="38"/>
        <v>0</v>
      </c>
    </row>
    <row r="45" spans="1:19" ht="15" x14ac:dyDescent="0.2">
      <c r="A45" s="85"/>
      <c r="B45" s="74" t="s">
        <v>121</v>
      </c>
      <c r="C45" s="69" t="s">
        <v>155</v>
      </c>
      <c r="D45" s="74" t="s">
        <v>85</v>
      </c>
      <c r="E45" s="86">
        <f>24+24+42</f>
        <v>90</v>
      </c>
      <c r="F45" s="70">
        <v>45000</v>
      </c>
      <c r="G45" s="70">
        <f t="shared" si="39"/>
        <v>4050000</v>
      </c>
      <c r="H45" s="107">
        <v>0</v>
      </c>
      <c r="I45" s="87">
        <f t="shared" si="34"/>
        <v>0</v>
      </c>
      <c r="J45" s="89">
        <f t="shared" si="35"/>
        <v>0</v>
      </c>
      <c r="K45" s="107">
        <v>0</v>
      </c>
      <c r="L45" s="87">
        <f t="shared" si="1"/>
        <v>0</v>
      </c>
      <c r="M45" s="77">
        <f t="shared" si="15"/>
        <v>0</v>
      </c>
      <c r="N45" s="107">
        <v>0</v>
      </c>
      <c r="O45" s="87">
        <f t="shared" si="16"/>
        <v>0</v>
      </c>
      <c r="P45" s="77">
        <f t="shared" si="17"/>
        <v>0</v>
      </c>
      <c r="Q45" s="73">
        <f t="shared" si="36"/>
        <v>0</v>
      </c>
      <c r="R45" s="87">
        <f t="shared" si="37"/>
        <v>0</v>
      </c>
      <c r="S45" s="77">
        <f t="shared" si="38"/>
        <v>0</v>
      </c>
    </row>
    <row r="46" spans="1:19" ht="15" x14ac:dyDescent="0.2">
      <c r="A46" s="85"/>
      <c r="B46" s="74" t="s">
        <v>122</v>
      </c>
      <c r="C46" s="69" t="s">
        <v>154</v>
      </c>
      <c r="D46" s="74" t="s">
        <v>153</v>
      </c>
      <c r="E46" s="86">
        <v>25</v>
      </c>
      <c r="F46" s="70">
        <v>405000</v>
      </c>
      <c r="G46" s="70">
        <f t="shared" si="39"/>
        <v>10125000</v>
      </c>
      <c r="H46" s="107">
        <v>20</v>
      </c>
      <c r="I46" s="87">
        <f t="shared" si="34"/>
        <v>0.8</v>
      </c>
      <c r="J46" s="89">
        <f t="shared" si="35"/>
        <v>8100000</v>
      </c>
      <c r="K46" s="107">
        <v>0</v>
      </c>
      <c r="L46" s="87">
        <f t="shared" si="1"/>
        <v>0</v>
      </c>
      <c r="M46" s="77">
        <f t="shared" si="15"/>
        <v>0</v>
      </c>
      <c r="N46" s="107">
        <v>0</v>
      </c>
      <c r="O46" s="87">
        <f t="shared" si="16"/>
        <v>0</v>
      </c>
      <c r="P46" s="77">
        <f t="shared" si="17"/>
        <v>0</v>
      </c>
      <c r="Q46" s="73">
        <f t="shared" si="36"/>
        <v>20</v>
      </c>
      <c r="R46" s="87">
        <f t="shared" si="37"/>
        <v>0.8</v>
      </c>
      <c r="S46" s="77">
        <f t="shared" si="38"/>
        <v>8100000</v>
      </c>
    </row>
    <row r="47" spans="1:19" ht="15" x14ac:dyDescent="0.2">
      <c r="A47" s="85"/>
      <c r="B47" s="74" t="s">
        <v>123</v>
      </c>
      <c r="C47" s="96" t="s">
        <v>152</v>
      </c>
      <c r="D47" s="74" t="s">
        <v>151</v>
      </c>
      <c r="E47" s="86">
        <v>1</v>
      </c>
      <c r="F47" s="70">
        <v>2660933.041451755</v>
      </c>
      <c r="G47" s="70">
        <f t="shared" si="39"/>
        <v>2660933.041451755</v>
      </c>
      <c r="H47" s="107">
        <v>0</v>
      </c>
      <c r="I47" s="87">
        <f t="shared" si="34"/>
        <v>0</v>
      </c>
      <c r="J47" s="89">
        <f t="shared" si="35"/>
        <v>0</v>
      </c>
      <c r="K47" s="107">
        <v>0</v>
      </c>
      <c r="L47" s="87">
        <f t="shared" si="1"/>
        <v>0</v>
      </c>
      <c r="M47" s="77">
        <f t="shared" si="15"/>
        <v>0</v>
      </c>
      <c r="N47" s="107">
        <v>0</v>
      </c>
      <c r="O47" s="87">
        <f t="shared" si="16"/>
        <v>0</v>
      </c>
      <c r="P47" s="77">
        <f t="shared" si="17"/>
        <v>0</v>
      </c>
      <c r="Q47" s="73">
        <f t="shared" si="36"/>
        <v>0</v>
      </c>
      <c r="R47" s="87">
        <f t="shared" si="37"/>
        <v>0</v>
      </c>
      <c r="S47" s="77">
        <f t="shared" si="38"/>
        <v>0</v>
      </c>
    </row>
    <row r="48" spans="1:19" ht="15" x14ac:dyDescent="0.2">
      <c r="A48" s="81">
        <v>7</v>
      </c>
      <c r="B48" s="82"/>
      <c r="C48" s="82" t="s">
        <v>150</v>
      </c>
      <c r="D48" s="82"/>
      <c r="E48" s="97"/>
      <c r="F48" s="98"/>
      <c r="G48" s="83">
        <f>+G49</f>
        <v>1000000</v>
      </c>
      <c r="H48" s="107"/>
      <c r="I48" s="73"/>
      <c r="J48" s="84">
        <f>+J49</f>
        <v>0</v>
      </c>
      <c r="K48" s="107"/>
      <c r="L48" s="87"/>
      <c r="M48" s="84">
        <f>+M49</f>
        <v>0</v>
      </c>
      <c r="N48" s="107"/>
      <c r="O48" s="87"/>
      <c r="P48" s="84">
        <f>+P49</f>
        <v>0</v>
      </c>
      <c r="Q48" s="73"/>
      <c r="R48" s="87"/>
      <c r="S48" s="212">
        <f>+S49</f>
        <v>0</v>
      </c>
    </row>
    <row r="49" spans="1:20" ht="15" x14ac:dyDescent="0.2">
      <c r="A49" s="90"/>
      <c r="B49" s="74" t="s">
        <v>124</v>
      </c>
      <c r="C49" s="69" t="s">
        <v>149</v>
      </c>
      <c r="D49" s="74" t="s">
        <v>109</v>
      </c>
      <c r="E49" s="86">
        <v>1</v>
      </c>
      <c r="F49" s="70">
        <v>1000000</v>
      </c>
      <c r="G49" s="70">
        <f>F49*E49</f>
        <v>1000000</v>
      </c>
      <c r="H49" s="107">
        <v>0</v>
      </c>
      <c r="I49" s="87">
        <f t="shared" ref="I49" si="40">+H49/E49</f>
        <v>0</v>
      </c>
      <c r="J49" s="89">
        <f t="shared" ref="J49" si="41">+F49*H49</f>
        <v>0</v>
      </c>
      <c r="K49" s="107">
        <v>0</v>
      </c>
      <c r="L49" s="87">
        <f t="shared" si="1"/>
        <v>0</v>
      </c>
      <c r="M49" s="77">
        <f t="shared" si="15"/>
        <v>0</v>
      </c>
      <c r="N49" s="107">
        <v>0</v>
      </c>
      <c r="O49" s="87">
        <f t="shared" si="16"/>
        <v>0</v>
      </c>
      <c r="P49" s="77">
        <f t="shared" si="17"/>
        <v>0</v>
      </c>
      <c r="Q49" s="73">
        <f>H49+K49+N49</f>
        <v>0</v>
      </c>
      <c r="R49" s="87">
        <f>Q49/E49</f>
        <v>0</v>
      </c>
      <c r="S49" s="77">
        <f>+Q49*F49</f>
        <v>0</v>
      </c>
    </row>
    <row r="50" spans="1:20" x14ac:dyDescent="0.2">
      <c r="A50" s="290" t="s">
        <v>148</v>
      </c>
      <c r="B50" s="290"/>
      <c r="C50" s="290"/>
      <c r="D50" s="291" t="s">
        <v>147</v>
      </c>
      <c r="E50" s="291"/>
      <c r="F50" s="291"/>
      <c r="G50" s="99">
        <f>+G6+G9+G20+G34+G38+G41+G48</f>
        <v>240781717.77145177</v>
      </c>
      <c r="H50" s="284" t="s">
        <v>146</v>
      </c>
      <c r="I50" s="284"/>
      <c r="J50" s="100">
        <f>+J6+J9+J20+J34+J38+J41+J48</f>
        <v>54402847.213845998</v>
      </c>
      <c r="K50" s="284" t="s">
        <v>146</v>
      </c>
      <c r="L50" s="284"/>
      <c r="M50" s="100" t="e">
        <f>+M6+M9+M20+M34+M38+M41+M48</f>
        <v>#REF!</v>
      </c>
      <c r="N50" s="284" t="s">
        <v>146</v>
      </c>
      <c r="O50" s="284"/>
      <c r="P50" s="100" t="e">
        <f>+P6+P9+P20+P34+P38+P41+P48</f>
        <v>#REF!</v>
      </c>
      <c r="Q50" s="296" t="s">
        <v>146</v>
      </c>
      <c r="R50" s="296"/>
      <c r="S50" s="213" t="e">
        <f>+S6+S9+S20+S34+S38+S41+S48</f>
        <v>#REF!</v>
      </c>
    </row>
    <row r="51" spans="1:20" x14ac:dyDescent="0.2">
      <c r="A51" s="290"/>
      <c r="B51" s="290"/>
      <c r="C51" s="290"/>
      <c r="D51" s="292" t="s">
        <v>125</v>
      </c>
      <c r="E51" s="292"/>
      <c r="F51" s="101">
        <v>0.1</v>
      </c>
      <c r="G51" s="102">
        <f>+$G$50*F51</f>
        <v>24078171.777145177</v>
      </c>
      <c r="H51" s="114" t="s">
        <v>145</v>
      </c>
      <c r="I51" s="103">
        <v>0.1</v>
      </c>
      <c r="J51" s="108">
        <f>+J50*I51</f>
        <v>5440284.7213845998</v>
      </c>
      <c r="K51" s="114" t="s">
        <v>145</v>
      </c>
      <c r="L51" s="103">
        <v>0.1</v>
      </c>
      <c r="M51" s="108" t="e">
        <f>+M50*L51</f>
        <v>#REF!</v>
      </c>
      <c r="N51" s="114" t="s">
        <v>145</v>
      </c>
      <c r="O51" s="103">
        <v>0.1</v>
      </c>
      <c r="P51" s="108" t="e">
        <f>+P50*O51</f>
        <v>#REF!</v>
      </c>
      <c r="Q51" s="211" t="s">
        <v>145</v>
      </c>
      <c r="R51" s="215">
        <v>0.1</v>
      </c>
      <c r="S51" s="216" t="e">
        <f>+S50*R51</f>
        <v>#REF!</v>
      </c>
    </row>
    <row r="52" spans="1:20" x14ac:dyDescent="0.2">
      <c r="A52" s="290"/>
      <c r="B52" s="290"/>
      <c r="C52" s="290"/>
      <c r="D52" s="292" t="s">
        <v>126</v>
      </c>
      <c r="E52" s="292"/>
      <c r="F52" s="101">
        <v>7.0000000000000007E-2</v>
      </c>
      <c r="G52" s="102">
        <f>+$G$50*F52</f>
        <v>16854720.244001627</v>
      </c>
      <c r="H52" s="114" t="s">
        <v>144</v>
      </c>
      <c r="I52" s="103">
        <v>7.0000000000000007E-2</v>
      </c>
      <c r="J52" s="108">
        <f>+J50*I52</f>
        <v>3808199.3049692204</v>
      </c>
      <c r="K52" s="114" t="s">
        <v>144</v>
      </c>
      <c r="L52" s="103">
        <v>7.0000000000000007E-2</v>
      </c>
      <c r="M52" s="108" t="e">
        <f>+M50*L52</f>
        <v>#REF!</v>
      </c>
      <c r="N52" s="114" t="s">
        <v>144</v>
      </c>
      <c r="O52" s="103">
        <v>7.0000000000000007E-2</v>
      </c>
      <c r="P52" s="108" t="e">
        <f>+P50*O52</f>
        <v>#REF!</v>
      </c>
      <c r="Q52" s="211" t="s">
        <v>144</v>
      </c>
      <c r="R52" s="215">
        <v>7.0000000000000007E-2</v>
      </c>
      <c r="S52" s="216" t="e">
        <f>+S50*R52</f>
        <v>#REF!</v>
      </c>
    </row>
    <row r="53" spans="1:20" x14ac:dyDescent="0.2">
      <c r="A53" s="290"/>
      <c r="B53" s="290"/>
      <c r="C53" s="290"/>
      <c r="D53" s="292" t="s">
        <v>127</v>
      </c>
      <c r="E53" s="292"/>
      <c r="F53" s="101">
        <v>0.05</v>
      </c>
      <c r="G53" s="102">
        <f>+$G$50*F53</f>
        <v>12039085.888572589</v>
      </c>
      <c r="H53" s="114" t="s">
        <v>127</v>
      </c>
      <c r="I53" s="103">
        <v>0.05</v>
      </c>
      <c r="J53" s="108">
        <f>+J50*I53</f>
        <v>2720142.3606922999</v>
      </c>
      <c r="K53" s="114" t="s">
        <v>127</v>
      </c>
      <c r="L53" s="103">
        <v>0.05</v>
      </c>
      <c r="M53" s="108" t="e">
        <f>+M50*L53</f>
        <v>#REF!</v>
      </c>
      <c r="N53" s="114" t="s">
        <v>127</v>
      </c>
      <c r="O53" s="103">
        <v>0.05</v>
      </c>
      <c r="P53" s="108" t="e">
        <f>+P50*O53</f>
        <v>#REF!</v>
      </c>
      <c r="Q53" s="211" t="s">
        <v>127</v>
      </c>
      <c r="R53" s="215">
        <v>0.05</v>
      </c>
      <c r="S53" s="216" t="e">
        <f>+S50*R53</f>
        <v>#REF!</v>
      </c>
    </row>
    <row r="54" spans="1:20" x14ac:dyDescent="0.2">
      <c r="A54" s="290"/>
      <c r="B54" s="290"/>
      <c r="C54" s="290"/>
      <c r="D54" s="292" t="s">
        <v>143</v>
      </c>
      <c r="E54" s="292"/>
      <c r="F54" s="292"/>
      <c r="G54" s="109">
        <f>+SUM(G50:G53)</f>
        <v>293753695.68117118</v>
      </c>
      <c r="H54" s="289" t="s">
        <v>143</v>
      </c>
      <c r="I54" s="289"/>
      <c r="J54" s="110">
        <f>+SUM(J50:J53)</f>
        <v>66371473.600892119</v>
      </c>
      <c r="K54" s="289" t="s">
        <v>143</v>
      </c>
      <c r="L54" s="289"/>
      <c r="M54" s="110" t="e">
        <f>+SUM(M50:M53)</f>
        <v>#REF!</v>
      </c>
      <c r="N54" s="289" t="s">
        <v>143</v>
      </c>
      <c r="O54" s="289"/>
      <c r="P54" s="110" t="e">
        <f>+SUM(P50:P53)</f>
        <v>#REF!</v>
      </c>
      <c r="Q54" s="294" t="s">
        <v>143</v>
      </c>
      <c r="R54" s="294"/>
      <c r="S54" s="217" t="e">
        <f>+SUM(S50:S53)</f>
        <v>#REF!</v>
      </c>
    </row>
    <row r="55" spans="1:20" x14ac:dyDescent="0.2">
      <c r="A55" s="290"/>
      <c r="B55" s="290"/>
      <c r="C55" s="290"/>
      <c r="D55" s="292" t="s">
        <v>128</v>
      </c>
      <c r="E55" s="292"/>
      <c r="F55" s="101">
        <v>0.19</v>
      </c>
      <c r="G55" s="102">
        <f>+G53*F55</f>
        <v>2287426.3188287918</v>
      </c>
      <c r="H55" s="114" t="s">
        <v>128</v>
      </c>
      <c r="I55" s="103">
        <v>0.19</v>
      </c>
      <c r="J55" s="108">
        <f>+J53*I55</f>
        <v>516827.048531537</v>
      </c>
      <c r="K55" s="114" t="s">
        <v>128</v>
      </c>
      <c r="L55" s="103">
        <v>0.19</v>
      </c>
      <c r="M55" s="108" t="e">
        <f>+M53*L55</f>
        <v>#REF!</v>
      </c>
      <c r="N55" s="114" t="s">
        <v>128</v>
      </c>
      <c r="O55" s="103">
        <v>0.19</v>
      </c>
      <c r="P55" s="108" t="e">
        <f>+P53*O55</f>
        <v>#REF!</v>
      </c>
      <c r="Q55" s="211" t="s">
        <v>128</v>
      </c>
      <c r="R55" s="215">
        <v>0.19</v>
      </c>
      <c r="S55" s="216" t="e">
        <f>+S53*R55</f>
        <v>#REF!</v>
      </c>
    </row>
    <row r="56" spans="1:20" x14ac:dyDescent="0.2">
      <c r="A56" s="290"/>
      <c r="B56" s="290"/>
      <c r="C56" s="290"/>
      <c r="D56" s="292" t="s">
        <v>142</v>
      </c>
      <c r="E56" s="292"/>
      <c r="F56" s="292"/>
      <c r="G56" s="104">
        <f>+G54+G55</f>
        <v>296041122</v>
      </c>
      <c r="H56" s="284" t="s">
        <v>141</v>
      </c>
      <c r="I56" s="284"/>
      <c r="J56" s="105">
        <f>+J54+J55</f>
        <v>66888300.649423659</v>
      </c>
      <c r="K56" s="284" t="s">
        <v>141</v>
      </c>
      <c r="L56" s="284"/>
      <c r="M56" s="105" t="e">
        <f>+M54+M55</f>
        <v>#REF!</v>
      </c>
      <c r="N56" s="284" t="s">
        <v>141</v>
      </c>
      <c r="O56" s="284"/>
      <c r="P56" s="105" t="e">
        <f>+P54+P55</f>
        <v>#REF!</v>
      </c>
      <c r="Q56" s="293" t="s">
        <v>141</v>
      </c>
      <c r="R56" s="293"/>
      <c r="S56" s="214" t="e">
        <f>+S54+S55</f>
        <v>#REF!</v>
      </c>
    </row>
    <row r="57" spans="1:20" x14ac:dyDescent="0.2">
      <c r="H57" s="115" t="s">
        <v>140</v>
      </c>
      <c r="I57" s="76">
        <v>0.02</v>
      </c>
      <c r="J57" s="71">
        <f>+J54*I57</f>
        <v>1327429.4720178423</v>
      </c>
      <c r="K57" s="115" t="s">
        <v>140</v>
      </c>
      <c r="L57" s="76">
        <v>0.02</v>
      </c>
      <c r="M57" s="71" t="e">
        <f>+M54*L57</f>
        <v>#REF!</v>
      </c>
      <c r="N57" s="115" t="s">
        <v>140</v>
      </c>
      <c r="O57" s="76">
        <v>0.02</v>
      </c>
      <c r="P57" s="71" t="e">
        <f>+P54*O57</f>
        <v>#REF!</v>
      </c>
      <c r="Q57" s="211" t="s">
        <v>140</v>
      </c>
      <c r="R57" s="76">
        <v>0.02</v>
      </c>
      <c r="S57" s="71" t="e">
        <f>+S54*R57</f>
        <v>#REF!</v>
      </c>
    </row>
    <row r="58" spans="1:20" x14ac:dyDescent="0.2">
      <c r="H58" s="115" t="s">
        <v>139</v>
      </c>
      <c r="I58" s="76">
        <v>0.2</v>
      </c>
      <c r="J58" s="71">
        <f>+J56*I58</f>
        <v>13377660.129884733</v>
      </c>
      <c r="K58" s="115" t="s">
        <v>139</v>
      </c>
      <c r="L58" s="76">
        <v>0.2</v>
      </c>
      <c r="M58" s="71" t="e">
        <f>+M56*L58</f>
        <v>#REF!</v>
      </c>
      <c r="N58" s="115" t="s">
        <v>139</v>
      </c>
      <c r="O58" s="76">
        <v>0.2</v>
      </c>
      <c r="P58" s="71" t="e">
        <f>+P56*O58</f>
        <v>#REF!</v>
      </c>
      <c r="Q58" s="211" t="s">
        <v>139</v>
      </c>
      <c r="R58" s="76">
        <v>0.2</v>
      </c>
      <c r="S58" s="71" t="e">
        <f>+S56*R58</f>
        <v>#REF!</v>
      </c>
    </row>
    <row r="59" spans="1:20" x14ac:dyDescent="0.2">
      <c r="H59" s="115" t="s">
        <v>138</v>
      </c>
      <c r="I59" s="76">
        <v>0.1</v>
      </c>
      <c r="J59" s="71">
        <f>+J56*I59</f>
        <v>6688830.0649423664</v>
      </c>
      <c r="K59" s="115" t="s">
        <v>138</v>
      </c>
      <c r="L59" s="76">
        <v>0.1</v>
      </c>
      <c r="M59" s="71" t="e">
        <f>+M56*L59</f>
        <v>#REF!</v>
      </c>
      <c r="N59" s="115" t="s">
        <v>138</v>
      </c>
      <c r="O59" s="76">
        <v>0.1</v>
      </c>
      <c r="P59" s="71" t="e">
        <f>+P56*O59</f>
        <v>#REF!</v>
      </c>
      <c r="Q59" s="211" t="s">
        <v>138</v>
      </c>
      <c r="R59" s="76">
        <v>0.1</v>
      </c>
      <c r="S59" s="71" t="e">
        <f>+S56*R59</f>
        <v>#REF!</v>
      </c>
    </row>
    <row r="60" spans="1:20" x14ac:dyDescent="0.2">
      <c r="H60" s="283" t="s">
        <v>137</v>
      </c>
      <c r="I60" s="283"/>
      <c r="J60" s="111">
        <f>+J56-J57-J58-J59</f>
        <v>45494380.982578717</v>
      </c>
      <c r="K60" s="283" t="s">
        <v>137</v>
      </c>
      <c r="L60" s="283"/>
      <c r="M60" s="111" t="e">
        <f>+M56-M57-M58-M59</f>
        <v>#REF!</v>
      </c>
      <c r="N60" s="283" t="s">
        <v>137</v>
      </c>
      <c r="O60" s="283"/>
      <c r="P60" s="111" t="e">
        <f>+P56-P57-P58-P59</f>
        <v>#REF!</v>
      </c>
      <c r="Q60" s="293" t="s">
        <v>137</v>
      </c>
      <c r="R60" s="293"/>
      <c r="S60" s="218" t="e">
        <f>+S56-S57-S58-S59</f>
        <v>#REF!</v>
      </c>
    </row>
    <row r="62" spans="1:20" x14ac:dyDescent="0.2">
      <c r="C62" s="264" t="s">
        <v>136</v>
      </c>
      <c r="D62" s="73"/>
      <c r="E62" s="106">
        <f>+G56</f>
        <v>296041122</v>
      </c>
      <c r="M62" s="226"/>
      <c r="S62" s="227">
        <f>'[1]Inventario Materiales'!$W$30</f>
        <v>17708500</v>
      </c>
      <c r="T62" s="229" t="e">
        <f>S62/S60</f>
        <v>#REF!</v>
      </c>
    </row>
    <row r="63" spans="1:20" ht="15" thickBot="1" x14ac:dyDescent="0.25">
      <c r="C63" s="264" t="s">
        <v>135</v>
      </c>
      <c r="D63" s="73"/>
      <c r="E63" s="112">
        <f>+E62*20%</f>
        <v>59208224.400000006</v>
      </c>
      <c r="S63" s="227">
        <f>[1]Operarios!$BE$24</f>
        <v>66144000</v>
      </c>
      <c r="T63" s="229" t="e">
        <f>S63/S60</f>
        <v>#REF!</v>
      </c>
    </row>
    <row r="64" spans="1:20" x14ac:dyDescent="0.15">
      <c r="C64" s="264" t="s">
        <v>134</v>
      </c>
      <c r="D64" s="113">
        <f>+E64/E63</f>
        <v>0.22594259945219253</v>
      </c>
      <c r="E64" s="106">
        <f>+J58</f>
        <v>13377660.129884733</v>
      </c>
      <c r="K64" s="299" t="s">
        <v>256</v>
      </c>
      <c r="L64" s="300"/>
      <c r="S64" s="228">
        <f>SUM(S62:S63)</f>
        <v>83852500</v>
      </c>
      <c r="T64" s="230" t="e">
        <f>S64/S60</f>
        <v>#REF!</v>
      </c>
    </row>
    <row r="65" spans="3:19" x14ac:dyDescent="0.2">
      <c r="C65" s="264" t="s">
        <v>133</v>
      </c>
      <c r="D65" s="73"/>
      <c r="E65" s="89">
        <f>+E63-E64</f>
        <v>45830564.270115271</v>
      </c>
      <c r="K65" s="254" t="s">
        <v>253</v>
      </c>
      <c r="L65" s="255" t="e">
        <f>+Q22+Q23+Q24+Q25+Q26</f>
        <v>#REF!</v>
      </c>
    </row>
    <row r="66" spans="3:19" x14ac:dyDescent="0.2">
      <c r="C66" s="264" t="s">
        <v>132</v>
      </c>
      <c r="D66" s="73"/>
      <c r="E66" s="106">
        <f>+J56</f>
        <v>66888300.649423659</v>
      </c>
      <c r="K66" s="254" t="s">
        <v>252</v>
      </c>
      <c r="L66" s="255">
        <f>+E22+E23+E24+E25+E26</f>
        <v>3673.2000000000003</v>
      </c>
      <c r="S66" s="226" t="e">
        <f>S60-S64</f>
        <v>#REF!</v>
      </c>
    </row>
    <row r="67" spans="3:19" x14ac:dyDescent="0.2">
      <c r="C67" s="264" t="s">
        <v>100</v>
      </c>
      <c r="D67" s="73"/>
      <c r="E67" s="113">
        <f>+E66/E62</f>
        <v>0.22594259945219253</v>
      </c>
      <c r="K67" s="254" t="s">
        <v>254</v>
      </c>
      <c r="L67" s="256" t="e">
        <f>+L65-L66</f>
        <v>#REF!</v>
      </c>
    </row>
    <row r="68" spans="3:19" x14ac:dyDescent="0.2">
      <c r="K68" s="254" t="s">
        <v>211</v>
      </c>
      <c r="L68" s="257">
        <f>+F22</f>
        <v>21000</v>
      </c>
      <c r="M68" s="27"/>
      <c r="P68" s="27"/>
    </row>
    <row r="69" spans="3:19" x14ac:dyDescent="0.2">
      <c r="K69" s="258" t="s">
        <v>255</v>
      </c>
      <c r="L69" s="259" t="e">
        <f>+L67*L68</f>
        <v>#REF!</v>
      </c>
    </row>
    <row r="70" spans="3:19" x14ac:dyDescent="0.2">
      <c r="K70" s="260"/>
      <c r="L70" s="261"/>
    </row>
    <row r="71" spans="3:19" x14ac:dyDescent="0.15">
      <c r="K71" s="297" t="s">
        <v>257</v>
      </c>
      <c r="L71" s="298"/>
    </row>
    <row r="72" spans="3:19" x14ac:dyDescent="0.2">
      <c r="K72" s="254" t="s">
        <v>253</v>
      </c>
      <c r="L72" s="255">
        <f>+Q16</f>
        <v>14.5</v>
      </c>
    </row>
    <row r="73" spans="3:19" x14ac:dyDescent="0.2">
      <c r="K73" s="254" t="s">
        <v>252</v>
      </c>
      <c r="L73" s="255">
        <f>+E16</f>
        <v>441.88650000000001</v>
      </c>
    </row>
    <row r="74" spans="3:19" x14ac:dyDescent="0.2">
      <c r="K74" s="254" t="s">
        <v>254</v>
      </c>
      <c r="L74" s="256">
        <f>+L72-L73</f>
        <v>-427.38650000000001</v>
      </c>
    </row>
    <row r="75" spans="3:19" x14ac:dyDescent="0.2">
      <c r="K75" s="254" t="s">
        <v>211</v>
      </c>
      <c r="L75" s="257">
        <f>+F16</f>
        <v>36500</v>
      </c>
    </row>
    <row r="76" spans="3:19" x14ac:dyDescent="0.2">
      <c r="K76" s="258" t="s">
        <v>255</v>
      </c>
      <c r="L76" s="259">
        <f>+L74*L75</f>
        <v>-15599607.25</v>
      </c>
    </row>
    <row r="77" spans="3:19" x14ac:dyDescent="0.2">
      <c r="K77" s="260"/>
      <c r="L77" s="261"/>
    </row>
    <row r="78" spans="3:19" x14ac:dyDescent="0.15">
      <c r="K78" s="297" t="s">
        <v>258</v>
      </c>
      <c r="L78" s="298"/>
    </row>
    <row r="79" spans="3:19" x14ac:dyDescent="0.2">
      <c r="K79" s="254" t="s">
        <v>253</v>
      </c>
      <c r="L79" s="255">
        <f>+Q18</f>
        <v>0</v>
      </c>
    </row>
    <row r="80" spans="3:19" x14ac:dyDescent="0.2">
      <c r="K80" s="254" t="s">
        <v>252</v>
      </c>
      <c r="L80" s="255">
        <f>+E17</f>
        <v>100</v>
      </c>
    </row>
    <row r="81" spans="11:12" x14ac:dyDescent="0.2">
      <c r="K81" s="254" t="s">
        <v>254</v>
      </c>
      <c r="L81" s="256">
        <f>+L79-L80</f>
        <v>-100</v>
      </c>
    </row>
    <row r="82" spans="11:12" x14ac:dyDescent="0.2">
      <c r="K82" s="254" t="s">
        <v>211</v>
      </c>
      <c r="L82" s="257">
        <f>+F17</f>
        <v>87000</v>
      </c>
    </row>
    <row r="83" spans="11:12" x14ac:dyDescent="0.2">
      <c r="K83" s="258" t="s">
        <v>255</v>
      </c>
      <c r="L83" s="259">
        <f>+L81*L82</f>
        <v>-8700000</v>
      </c>
    </row>
    <row r="84" spans="11:12" x14ac:dyDescent="0.2">
      <c r="K84" s="260"/>
      <c r="L84" s="261"/>
    </row>
    <row r="85" spans="11:12" x14ac:dyDescent="0.15">
      <c r="K85" s="297" t="s">
        <v>259</v>
      </c>
      <c r="L85" s="298"/>
    </row>
    <row r="86" spans="11:12" x14ac:dyDescent="0.2">
      <c r="K86" s="254" t="s">
        <v>253</v>
      </c>
      <c r="L86" s="255">
        <f>+Q18</f>
        <v>0</v>
      </c>
    </row>
    <row r="87" spans="11:12" x14ac:dyDescent="0.2">
      <c r="K87" s="254" t="s">
        <v>252</v>
      </c>
      <c r="L87" s="255">
        <f>+E18</f>
        <v>60</v>
      </c>
    </row>
    <row r="88" spans="11:12" x14ac:dyDescent="0.2">
      <c r="K88" s="254" t="s">
        <v>254</v>
      </c>
      <c r="L88" s="256">
        <f>+L86-L87</f>
        <v>-60</v>
      </c>
    </row>
    <row r="89" spans="11:12" x14ac:dyDescent="0.2">
      <c r="K89" s="254" t="s">
        <v>211</v>
      </c>
      <c r="L89" s="257">
        <f>+F18</f>
        <v>87000</v>
      </c>
    </row>
    <row r="90" spans="11:12" x14ac:dyDescent="0.2">
      <c r="K90" s="258" t="s">
        <v>255</v>
      </c>
      <c r="L90" s="259">
        <f>+L88*L89</f>
        <v>-5220000</v>
      </c>
    </row>
    <row r="91" spans="11:12" x14ac:dyDescent="0.2">
      <c r="K91" s="260"/>
      <c r="L91" s="261"/>
    </row>
    <row r="92" spans="11:12" x14ac:dyDescent="0.15">
      <c r="K92" s="297" t="s">
        <v>260</v>
      </c>
      <c r="L92" s="298"/>
    </row>
    <row r="93" spans="11:12" x14ac:dyDescent="0.2">
      <c r="K93" s="254" t="s">
        <v>253</v>
      </c>
      <c r="L93" s="255" t="e">
        <f>+Q35</f>
        <v>#REF!</v>
      </c>
    </row>
    <row r="94" spans="11:12" x14ac:dyDescent="0.2">
      <c r="K94" s="254" t="s">
        <v>252</v>
      </c>
      <c r="L94" s="255">
        <f>+E35</f>
        <v>1610.82</v>
      </c>
    </row>
    <row r="95" spans="11:12" x14ac:dyDescent="0.2">
      <c r="K95" s="254" t="s">
        <v>254</v>
      </c>
      <c r="L95" s="256" t="e">
        <f>+L93-L94</f>
        <v>#REF!</v>
      </c>
    </row>
    <row r="96" spans="11:12" x14ac:dyDescent="0.2">
      <c r="K96" s="254" t="s">
        <v>211</v>
      </c>
      <c r="L96" s="257">
        <f>+F35</f>
        <v>5700</v>
      </c>
    </row>
    <row r="97" spans="11:12" ht="15" thickBot="1" x14ac:dyDescent="0.25">
      <c r="K97" s="262" t="s">
        <v>255</v>
      </c>
      <c r="L97" s="263" t="e">
        <f>+L95*L96</f>
        <v>#REF!</v>
      </c>
    </row>
  </sheetData>
  <mergeCells count="47">
    <mergeCell ref="Q3:S3"/>
    <mergeCell ref="A1:G1"/>
    <mergeCell ref="H1:J2"/>
    <mergeCell ref="K1:M2"/>
    <mergeCell ref="N1:P2"/>
    <mergeCell ref="Q1:S2"/>
    <mergeCell ref="A2:C2"/>
    <mergeCell ref="D2:G2"/>
    <mergeCell ref="A3:C3"/>
    <mergeCell ref="D3:F3"/>
    <mergeCell ref="H3:J3"/>
    <mergeCell ref="K3:M3"/>
    <mergeCell ref="N3:P3"/>
    <mergeCell ref="A50:C56"/>
    <mergeCell ref="D50:F50"/>
    <mergeCell ref="H50:I50"/>
    <mergeCell ref="K50:L50"/>
    <mergeCell ref="N50:O50"/>
    <mergeCell ref="A4:G4"/>
    <mergeCell ref="H4:J4"/>
    <mergeCell ref="K4:M4"/>
    <mergeCell ref="N4:P4"/>
    <mergeCell ref="Q4:S4"/>
    <mergeCell ref="Q50:R50"/>
    <mergeCell ref="D51:E51"/>
    <mergeCell ref="D52:E52"/>
    <mergeCell ref="D53:E53"/>
    <mergeCell ref="D54:F54"/>
    <mergeCell ref="H54:I54"/>
    <mergeCell ref="K54:L54"/>
    <mergeCell ref="N54:O54"/>
    <mergeCell ref="Q54:R54"/>
    <mergeCell ref="H60:I60"/>
    <mergeCell ref="K60:L60"/>
    <mergeCell ref="N60:O60"/>
    <mergeCell ref="Q60:R60"/>
    <mergeCell ref="D55:E55"/>
    <mergeCell ref="D56:F56"/>
    <mergeCell ref="H56:I56"/>
    <mergeCell ref="K56:L56"/>
    <mergeCell ref="N56:O56"/>
    <mergeCell ref="Q56:R56"/>
    <mergeCell ref="K92:L92"/>
    <mergeCell ref="K64:L64"/>
    <mergeCell ref="K71:L71"/>
    <mergeCell ref="K78:L78"/>
    <mergeCell ref="K85:L85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BABD6-74A5-4237-A57A-E7C43A656629}">
  <sheetPr>
    <tabColor rgb="FFFF7B89"/>
  </sheetPr>
  <dimension ref="A6:L36"/>
  <sheetViews>
    <sheetView view="pageBreakPreview" zoomScale="70" zoomScaleNormal="90" zoomScaleSheetLayoutView="70" workbookViewId="0">
      <pane xSplit="8" ySplit="9" topLeftCell="I10" activePane="bottomRight" state="frozen"/>
      <selection activeCell="AC40" sqref="AC40"/>
      <selection pane="topRight" activeCell="AC40" sqref="AC40"/>
      <selection pane="bottomLeft" activeCell="AC40" sqref="AC40"/>
      <selection pane="bottomRight" activeCell="G11" sqref="G11"/>
    </sheetView>
  </sheetViews>
  <sheetFormatPr baseColWidth="10" defaultColWidth="11.5" defaultRowHeight="18" x14ac:dyDescent="0.2"/>
  <cols>
    <col min="1" max="1" width="11.6640625" style="60" customWidth="1"/>
    <col min="2" max="2" width="37.6640625" style="120" customWidth="1"/>
    <col min="3" max="3" width="11.5" style="120"/>
    <col min="4" max="7" width="14.6640625" style="120" customWidth="1"/>
    <col min="8" max="8" width="53" style="120" customWidth="1"/>
    <col min="9" max="9" width="13.33203125" style="122" customWidth="1"/>
    <col min="10" max="10" width="15.33203125" style="122" bestFit="1" customWidth="1"/>
    <col min="11" max="16384" width="11.5" style="60"/>
  </cols>
  <sheetData>
    <row r="6" spans="1:12" ht="20" x14ac:dyDescent="0.2">
      <c r="A6" s="119" t="s">
        <v>224</v>
      </c>
      <c r="B6" s="223"/>
      <c r="C6" s="223"/>
      <c r="D6" s="223" t="s">
        <v>246</v>
      </c>
      <c r="E6" s="225">
        <v>14</v>
      </c>
      <c r="F6" s="301">
        <v>45677</v>
      </c>
      <c r="G6" s="301"/>
      <c r="H6" s="301"/>
    </row>
    <row r="7" spans="1:12" ht="20" x14ac:dyDescent="0.2">
      <c r="A7" s="123" t="s">
        <v>244</v>
      </c>
      <c r="B7" s="223"/>
      <c r="C7" s="223"/>
      <c r="D7" s="223"/>
      <c r="E7" s="224"/>
      <c r="F7" s="121"/>
      <c r="G7" s="124"/>
      <c r="H7" s="125"/>
    </row>
    <row r="8" spans="1:12" x14ac:dyDescent="0.2">
      <c r="D8" s="126"/>
      <c r="E8" s="126"/>
      <c r="F8" s="127"/>
      <c r="G8" s="127"/>
      <c r="H8" s="127"/>
      <c r="I8" s="128"/>
    </row>
    <row r="9" spans="1:12" ht="48" customHeight="1" x14ac:dyDescent="0.2">
      <c r="A9" s="129"/>
      <c r="B9" s="130" t="s">
        <v>35</v>
      </c>
      <c r="C9" s="131" t="s">
        <v>225</v>
      </c>
      <c r="D9" s="130" t="s">
        <v>96</v>
      </c>
      <c r="E9" s="130" t="s">
        <v>226</v>
      </c>
      <c r="F9" s="130" t="s">
        <v>227</v>
      </c>
      <c r="G9" s="130" t="s">
        <v>228</v>
      </c>
      <c r="H9" s="132" t="s">
        <v>16</v>
      </c>
    </row>
    <row r="10" spans="1:12" ht="5" customHeight="1" x14ac:dyDescent="0.2">
      <c r="A10" s="133"/>
      <c r="B10" s="134"/>
      <c r="C10" s="135"/>
      <c r="D10" s="134"/>
      <c r="E10" s="134"/>
      <c r="F10" s="134"/>
      <c r="G10" s="134"/>
      <c r="H10" s="136"/>
    </row>
    <row r="11" spans="1:12" ht="50" customHeight="1" x14ac:dyDescent="0.2">
      <c r="A11" s="137"/>
      <c r="B11" s="138" t="s">
        <v>229</v>
      </c>
      <c r="C11" s="139" t="s">
        <v>15</v>
      </c>
      <c r="D11" s="140">
        <v>4506.28</v>
      </c>
      <c r="E11" s="141">
        <f>Lavado!S69</f>
        <v>2241.83</v>
      </c>
      <c r="F11" s="141">
        <f>D11-E11</f>
        <v>2264.4499999999998</v>
      </c>
      <c r="G11" s="142">
        <f>1-(E11/D11)</f>
        <v>0.50250983072512145</v>
      </c>
      <c r="H11" s="221">
        <f>E11/D11</f>
        <v>0.4974901692748786</v>
      </c>
      <c r="I11" s="162">
        <v>0.15</v>
      </c>
      <c r="J11" s="144">
        <f>H11*I11</f>
        <v>7.4623525391231793E-2</v>
      </c>
      <c r="L11" s="220">
        <f>I11+I17+I15+I19</f>
        <v>0.64999999999999991</v>
      </c>
    </row>
    <row r="12" spans="1:12" ht="5" customHeight="1" x14ac:dyDescent="0.2">
      <c r="A12" s="137"/>
      <c r="B12" s="138"/>
      <c r="C12" s="139"/>
      <c r="D12" s="145"/>
      <c r="E12" s="141"/>
      <c r="F12" s="141"/>
      <c r="G12" s="142"/>
      <c r="H12" s="221"/>
      <c r="I12" s="144"/>
      <c r="J12" s="144"/>
    </row>
    <row r="13" spans="1:12" ht="50" customHeight="1" x14ac:dyDescent="0.2">
      <c r="A13" s="137"/>
      <c r="B13" s="138" t="s">
        <v>236</v>
      </c>
      <c r="C13" s="139" t="s">
        <v>15</v>
      </c>
      <c r="D13" s="140">
        <f>441.8865*0.35</f>
        <v>154.66027499999998</v>
      </c>
      <c r="E13" s="141">
        <f>Sicoplast!Y36+45</f>
        <v>45</v>
      </c>
      <c r="F13" s="141">
        <f t="shared" ref="F13:F21" si="0">D13-E13</f>
        <v>109.66027499999998</v>
      </c>
      <c r="G13" s="142">
        <f t="shared" ref="G13:G21" si="1">1-(E13/D13)</f>
        <v>0.70903970007812278</v>
      </c>
      <c r="H13" s="221">
        <f t="shared" ref="H13:H29" si="2">E13/D13</f>
        <v>0.29096029992187716</v>
      </c>
      <c r="I13" s="162">
        <v>7.4999999999999997E-2</v>
      </c>
      <c r="J13" s="144">
        <f>H13*I13</f>
        <v>2.1822022494140787E-2</v>
      </c>
      <c r="L13" s="220">
        <f>I21</f>
        <v>0.15</v>
      </c>
    </row>
    <row r="14" spans="1:12" ht="5" customHeight="1" x14ac:dyDescent="0.2">
      <c r="A14" s="137"/>
      <c r="B14" s="138"/>
      <c r="C14" s="139"/>
      <c r="D14" s="145"/>
      <c r="E14" s="141"/>
      <c r="F14" s="141"/>
      <c r="G14" s="142"/>
      <c r="H14" s="221"/>
      <c r="I14" s="162"/>
      <c r="J14" s="144"/>
    </row>
    <row r="15" spans="1:12" ht="50" customHeight="1" x14ac:dyDescent="0.2">
      <c r="A15" s="137"/>
      <c r="B15" s="138" t="s">
        <v>245</v>
      </c>
      <c r="C15" s="139" t="s">
        <v>15</v>
      </c>
      <c r="D15" s="145">
        <f>1610.82*0.6</f>
        <v>966.49199999999996</v>
      </c>
      <c r="E15" s="141" t="e">
        <f>Sellos!#REF!+Sellos!#REF!</f>
        <v>#REF!</v>
      </c>
      <c r="F15" s="141" t="e">
        <f t="shared" si="0"/>
        <v>#REF!</v>
      </c>
      <c r="G15" s="142" t="e">
        <f t="shared" si="1"/>
        <v>#REF!</v>
      </c>
      <c r="H15" s="221" t="e">
        <f t="shared" si="2"/>
        <v>#REF!</v>
      </c>
      <c r="I15" s="163">
        <v>0.1</v>
      </c>
      <c r="J15" s="144" t="e">
        <f>H15*I15</f>
        <v>#REF!</v>
      </c>
      <c r="L15" s="220">
        <f>L11+L13</f>
        <v>0.79999999999999993</v>
      </c>
    </row>
    <row r="16" spans="1:12" ht="5" customHeight="1" x14ac:dyDescent="0.2">
      <c r="A16" s="137"/>
      <c r="B16" s="138"/>
      <c r="C16" s="139"/>
      <c r="D16" s="145"/>
      <c r="E16" s="141"/>
      <c r="F16" s="141"/>
      <c r="G16" s="142"/>
      <c r="H16" s="221"/>
      <c r="I16" s="163"/>
      <c r="J16" s="144"/>
    </row>
    <row r="17" spans="1:10" ht="50" customHeight="1" x14ac:dyDescent="0.2">
      <c r="A17" s="137"/>
      <c r="B17" s="138" t="s">
        <v>230</v>
      </c>
      <c r="C17" s="139" t="s">
        <v>231</v>
      </c>
      <c r="D17" s="140">
        <v>3673.2000000000003</v>
      </c>
      <c r="E17" s="141" t="e">
        <f>Pintura!#REF!</f>
        <v>#REF!</v>
      </c>
      <c r="F17" s="141" t="e">
        <f t="shared" si="0"/>
        <v>#REF!</v>
      </c>
      <c r="G17" s="142" t="e">
        <f t="shared" si="1"/>
        <v>#REF!</v>
      </c>
      <c r="H17" s="221" t="e">
        <f t="shared" si="2"/>
        <v>#REF!</v>
      </c>
      <c r="I17" s="163">
        <v>0.3</v>
      </c>
      <c r="J17" s="144" t="e">
        <f>H17*I17</f>
        <v>#REF!</v>
      </c>
    </row>
    <row r="18" spans="1:10" ht="5" customHeight="1" x14ac:dyDescent="0.2">
      <c r="A18" s="137"/>
      <c r="B18" s="138"/>
      <c r="C18" s="139"/>
      <c r="D18" s="145"/>
      <c r="E18" s="141"/>
      <c r="F18" s="141"/>
      <c r="G18" s="142"/>
      <c r="H18" s="221"/>
      <c r="I18" s="163"/>
      <c r="J18" s="144"/>
    </row>
    <row r="19" spans="1:10" ht="50" customHeight="1" x14ac:dyDescent="0.2">
      <c r="A19" s="137"/>
      <c r="B19" s="138" t="s">
        <v>237</v>
      </c>
      <c r="C19" s="139" t="s">
        <v>85</v>
      </c>
      <c r="D19" s="145">
        <v>532.35</v>
      </c>
      <c r="E19" s="141" t="e">
        <f>Pintura!#REF!</f>
        <v>#REF!</v>
      </c>
      <c r="F19" s="141" t="e">
        <f t="shared" si="0"/>
        <v>#REF!</v>
      </c>
      <c r="G19" s="142" t="e">
        <f t="shared" si="1"/>
        <v>#REF!</v>
      </c>
      <c r="H19" s="221" t="e">
        <f t="shared" si="2"/>
        <v>#REF!</v>
      </c>
      <c r="I19" s="163">
        <v>0.1</v>
      </c>
      <c r="J19" s="144" t="e">
        <f>H19*I19</f>
        <v>#REF!</v>
      </c>
    </row>
    <row r="20" spans="1:10" ht="5" customHeight="1" x14ac:dyDescent="0.2">
      <c r="A20" s="137"/>
      <c r="B20" s="138"/>
      <c r="C20" s="139"/>
      <c r="D20" s="145"/>
      <c r="E20" s="141"/>
      <c r="F20" s="141"/>
      <c r="G20" s="142"/>
      <c r="H20" s="221"/>
      <c r="I20" s="163"/>
      <c r="J20" s="144"/>
    </row>
    <row r="21" spans="1:10" ht="50" customHeight="1" x14ac:dyDescent="0.2">
      <c r="A21" s="137"/>
      <c r="B21" s="138" t="s">
        <v>232</v>
      </c>
      <c r="C21" s="147" t="s">
        <v>15</v>
      </c>
      <c r="D21" s="145">
        <v>3669.04</v>
      </c>
      <c r="E21" s="148">
        <f>Pasillos!S22</f>
        <v>476.83999999999992</v>
      </c>
      <c r="F21" s="141">
        <f t="shared" si="0"/>
        <v>3192.2</v>
      </c>
      <c r="G21" s="142">
        <f t="shared" si="1"/>
        <v>0.8700368488760003</v>
      </c>
      <c r="H21" s="221">
        <f t="shared" si="2"/>
        <v>0.12996315112399973</v>
      </c>
      <c r="I21" s="163">
        <v>0.15</v>
      </c>
      <c r="J21" s="144">
        <f>H21*I21</f>
        <v>1.9494472668599959E-2</v>
      </c>
    </row>
    <row r="22" spans="1:10" ht="5" customHeight="1" x14ac:dyDescent="0.2">
      <c r="A22" s="137"/>
      <c r="B22" s="138"/>
      <c r="C22" s="139"/>
      <c r="D22" s="145"/>
      <c r="E22" s="141"/>
      <c r="F22" s="141"/>
      <c r="G22" s="142"/>
      <c r="H22" s="221"/>
      <c r="I22" s="163"/>
      <c r="J22" s="144"/>
    </row>
    <row r="23" spans="1:10" ht="50" customHeight="1" x14ac:dyDescent="0.2">
      <c r="A23" s="137"/>
      <c r="B23" s="138" t="s">
        <v>238</v>
      </c>
      <c r="C23" s="147" t="s">
        <v>233</v>
      </c>
      <c r="D23" s="145">
        <v>28</v>
      </c>
      <c r="E23" s="141">
        <v>20</v>
      </c>
      <c r="F23" s="141">
        <f t="shared" ref="F23" si="3">D23-E23</f>
        <v>8</v>
      </c>
      <c r="G23" s="142">
        <f t="shared" ref="G23" si="4">1-(E23/D23)</f>
        <v>0.2857142857142857</v>
      </c>
      <c r="H23" s="221">
        <f t="shared" si="2"/>
        <v>0.7142857142857143</v>
      </c>
      <c r="I23" s="163">
        <v>2.5000000000000001E-2</v>
      </c>
      <c r="J23" s="144">
        <f>H23*I23</f>
        <v>1.785714285714286E-2</v>
      </c>
    </row>
    <row r="24" spans="1:10" ht="5" customHeight="1" x14ac:dyDescent="0.2">
      <c r="A24" s="137"/>
      <c r="B24" s="138"/>
      <c r="C24" s="139"/>
      <c r="D24" s="145"/>
      <c r="E24" s="141"/>
      <c r="F24" s="141"/>
      <c r="G24" s="142"/>
      <c r="H24" s="221"/>
      <c r="I24" s="163"/>
      <c r="J24" s="144"/>
    </row>
    <row r="25" spans="1:10" ht="50" customHeight="1" x14ac:dyDescent="0.2">
      <c r="A25" s="137"/>
      <c r="B25" s="138" t="s">
        <v>239</v>
      </c>
      <c r="C25" s="147" t="s">
        <v>109</v>
      </c>
      <c r="D25" s="145">
        <v>1</v>
      </c>
      <c r="E25" s="141">
        <v>0</v>
      </c>
      <c r="F25" s="141">
        <f t="shared" ref="F25" si="5">D25-E25</f>
        <v>1</v>
      </c>
      <c r="G25" s="142">
        <f t="shared" ref="G25" si="6">1-(E25/D25)</f>
        <v>1</v>
      </c>
      <c r="H25" s="221">
        <f t="shared" si="2"/>
        <v>0</v>
      </c>
      <c r="I25" s="163">
        <v>0.1</v>
      </c>
      <c r="J25" s="144">
        <f>H25*I25</f>
        <v>0</v>
      </c>
    </row>
    <row r="26" spans="1:10" ht="50" customHeight="1" x14ac:dyDescent="0.2">
      <c r="A26" s="137"/>
      <c r="B26" s="138"/>
      <c r="C26" s="147"/>
      <c r="D26" s="145"/>
      <c r="E26" s="141"/>
      <c r="F26" s="141"/>
      <c r="G26" s="143"/>
      <c r="H26" s="221"/>
      <c r="I26" s="164"/>
    </row>
    <row r="27" spans="1:10" ht="50" customHeight="1" x14ac:dyDescent="0.2">
      <c r="A27" s="137"/>
      <c r="B27" s="150" t="s">
        <v>234</v>
      </c>
      <c r="C27" s="151" t="s">
        <v>109</v>
      </c>
      <c r="D27" s="152">
        <v>1</v>
      </c>
      <c r="E27" s="153" t="e">
        <f>J27</f>
        <v>#REF!</v>
      </c>
      <c r="F27" s="154" t="e">
        <f t="shared" ref="F27" si="7">D27-E27</f>
        <v>#REF!</v>
      </c>
      <c r="G27" s="155" t="e">
        <f t="shared" ref="G27" si="8">1-(E27/D27)</f>
        <v>#REF!</v>
      </c>
      <c r="H27" s="222" t="e">
        <f t="shared" si="2"/>
        <v>#REF!</v>
      </c>
      <c r="I27" s="163">
        <f>SUM(I11:I26)</f>
        <v>1</v>
      </c>
      <c r="J27" s="146" t="e">
        <f>SUM(J11:J26)</f>
        <v>#REF!</v>
      </c>
    </row>
    <row r="28" spans="1:10" ht="50" customHeight="1" x14ac:dyDescent="0.2">
      <c r="A28" s="137"/>
      <c r="B28" s="138"/>
      <c r="C28" s="147"/>
      <c r="D28" s="141"/>
      <c r="E28" s="141"/>
      <c r="F28" s="141"/>
      <c r="G28" s="143"/>
      <c r="H28" s="143"/>
      <c r="I28" s="149"/>
    </row>
    <row r="29" spans="1:10" ht="50" customHeight="1" x14ac:dyDescent="0.2">
      <c r="A29" s="137"/>
      <c r="B29" s="138" t="s">
        <v>235</v>
      </c>
      <c r="C29" s="147" t="s">
        <v>233</v>
      </c>
      <c r="D29" s="141">
        <v>1</v>
      </c>
      <c r="E29" s="141">
        <v>1</v>
      </c>
      <c r="F29" s="141">
        <f>D29-E29</f>
        <v>0</v>
      </c>
      <c r="G29" s="156">
        <v>1</v>
      </c>
      <c r="H29" s="143">
        <f t="shared" si="2"/>
        <v>1</v>
      </c>
      <c r="I29" s="60"/>
      <c r="J29" s="60"/>
    </row>
    <row r="30" spans="1:10" ht="25.25" customHeight="1" x14ac:dyDescent="0.2"/>
    <row r="31" spans="1:10" ht="25.25" customHeight="1" x14ac:dyDescent="0.2">
      <c r="A31" s="157"/>
      <c r="B31" s="158"/>
      <c r="C31" s="159"/>
      <c r="D31" s="160"/>
      <c r="E31" s="160"/>
      <c r="F31" s="160"/>
      <c r="G31" s="160"/>
      <c r="H31" s="160"/>
      <c r="I31" s="161"/>
    </row>
    <row r="32" spans="1:10" ht="20" customHeight="1" x14ac:dyDescent="0.2"/>
    <row r="33" spans="1:12" ht="20" customHeight="1" x14ac:dyDescent="0.2">
      <c r="A33" s="137"/>
      <c r="B33" s="138"/>
      <c r="C33" s="139"/>
      <c r="D33" s="141"/>
      <c r="E33" s="141"/>
      <c r="F33" s="141"/>
      <c r="G33" s="156"/>
      <c r="H33" s="143"/>
    </row>
    <row r="34" spans="1:12" ht="20" customHeight="1" x14ac:dyDescent="0.2">
      <c r="A34" s="137"/>
      <c r="B34" s="138"/>
      <c r="C34" s="139"/>
      <c r="D34" s="141"/>
      <c r="E34" s="141"/>
      <c r="F34" s="141"/>
      <c r="G34" s="156"/>
      <c r="H34" s="143"/>
    </row>
    <row r="35" spans="1:12" s="122" customFormat="1" ht="20" customHeight="1" x14ac:dyDescent="0.2">
      <c r="A35" s="128"/>
      <c r="B35" s="138"/>
      <c r="C35" s="139"/>
      <c r="D35" s="141"/>
      <c r="E35" s="141"/>
      <c r="F35" s="141"/>
      <c r="G35" s="156"/>
      <c r="H35" s="143"/>
      <c r="K35" s="60"/>
      <c r="L35" s="60"/>
    </row>
    <row r="36" spans="1:12" s="122" customFormat="1" x14ac:dyDescent="0.2">
      <c r="A36" s="128"/>
      <c r="B36" s="138"/>
      <c r="C36" s="147"/>
      <c r="D36" s="141"/>
      <c r="E36" s="141"/>
      <c r="F36" s="141"/>
      <c r="G36" s="156"/>
      <c r="H36" s="143"/>
      <c r="K36" s="60"/>
      <c r="L36" s="60"/>
    </row>
  </sheetData>
  <mergeCells count="1">
    <mergeCell ref="F6:H6"/>
  </mergeCells>
  <conditionalFormatting sqref="H27:H29 H11:H25">
    <cfRule type="top10" dxfId="1" priority="5" percent="1" bottom="1" rank="20"/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{0CDEB040-B1D2-49A0-AAE1-AF3D261FCB8D}</x14:id>
        </ext>
      </extLst>
    </cfRule>
  </conditionalFormatting>
  <conditionalFormatting sqref="H33:H36">
    <cfRule type="top10" dxfId="0" priority="7" percent="1" bottom="1" rank="20"/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{6439F454-4A81-419C-B9ED-5EFF7596D5E9}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scale="67" orientation="landscape" r:id="rId1"/>
  <headerFooter>
    <oddHeader>&amp;R&amp;G</oddHead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CDEB040-B1D2-49A0-AAE1-AF3D261FCB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H27:H29 H11:H25</xm:sqref>
        </x14:conditionalFormatting>
        <x14:conditionalFormatting xmlns:xm="http://schemas.microsoft.com/office/excel/2006/main">
          <x14:cfRule type="dataBar" id="{6439F454-4A81-419C-B9ED-5EFF7596D5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H33:H36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7635C-C29E-4F0A-84E9-B434B1582E61}">
  <sheetPr>
    <tabColor rgb="FF447684"/>
  </sheetPr>
  <dimension ref="A2:T299"/>
  <sheetViews>
    <sheetView topLeftCell="B1" zoomScale="80" zoomScaleNormal="80" workbookViewId="0">
      <pane xSplit="10" ySplit="4" topLeftCell="L5" activePane="bottomRight" state="frozen"/>
      <selection activeCell="AC40" sqref="AC40"/>
      <selection pane="topRight" activeCell="AC40" sqref="AC40"/>
      <selection pane="bottomLeft" activeCell="AC40" sqref="AC40"/>
      <selection pane="bottomRight" activeCell="H5" sqref="H5"/>
    </sheetView>
  </sheetViews>
  <sheetFormatPr baseColWidth="10" defaultColWidth="11.5" defaultRowHeight="14" x14ac:dyDescent="0.2"/>
  <cols>
    <col min="1" max="1" width="11.5" style="10"/>
    <col min="2" max="2" width="14.6640625" style="10" customWidth="1"/>
    <col min="3" max="3" width="11.5" style="10"/>
    <col min="4" max="4" width="31.5" style="1" customWidth="1"/>
    <col min="5" max="11" width="12.6640625" style="10" customWidth="1"/>
    <col min="12" max="18" width="15.6640625" style="10" customWidth="1"/>
    <col min="19" max="20" width="12.6640625" style="1" customWidth="1"/>
    <col min="21" max="16384" width="11.5" style="1"/>
  </cols>
  <sheetData>
    <row r="2" spans="1:19" ht="25.25" customHeight="1" x14ac:dyDescent="0.2">
      <c r="A2" s="302" t="s">
        <v>20</v>
      </c>
      <c r="B2" s="302"/>
      <c r="C2" s="302"/>
      <c r="D2" s="302"/>
      <c r="E2" s="302"/>
      <c r="F2" s="302"/>
      <c r="G2" s="302"/>
      <c r="H2" s="302"/>
      <c r="I2" s="302"/>
      <c r="J2" s="302"/>
      <c r="K2" s="302"/>
      <c r="L2" s="302"/>
      <c r="M2" s="302"/>
      <c r="N2" s="302"/>
      <c r="O2" s="22"/>
      <c r="P2" s="22"/>
      <c r="Q2" s="22"/>
      <c r="R2" s="22"/>
    </row>
    <row r="3" spans="1:19" ht="20" customHeight="1" x14ac:dyDescent="0.2">
      <c r="A3" s="2"/>
      <c r="B3" s="2"/>
      <c r="C3" s="2"/>
      <c r="D3" s="3"/>
      <c r="E3" s="303" t="s">
        <v>12</v>
      </c>
      <c r="F3" s="303"/>
      <c r="G3" s="303"/>
      <c r="H3" s="304" t="s">
        <v>11</v>
      </c>
      <c r="I3" s="304"/>
      <c r="J3" s="304"/>
      <c r="K3" s="304"/>
      <c r="L3" s="2"/>
      <c r="M3" s="2"/>
      <c r="N3" s="2"/>
      <c r="O3" s="2"/>
      <c r="P3" s="2"/>
      <c r="Q3" s="2"/>
      <c r="R3" s="2"/>
    </row>
    <row r="4" spans="1:19" ht="35" customHeight="1" x14ac:dyDescent="0.2">
      <c r="A4" s="2" t="s">
        <v>21</v>
      </c>
      <c r="B4" s="2" t="s">
        <v>10</v>
      </c>
      <c r="C4" s="2" t="s">
        <v>23</v>
      </c>
      <c r="D4" s="2" t="s">
        <v>9</v>
      </c>
      <c r="E4" s="2" t="s">
        <v>8</v>
      </c>
      <c r="F4" s="2" t="s">
        <v>7</v>
      </c>
      <c r="G4" s="4" t="s">
        <v>5</v>
      </c>
      <c r="H4" s="5" t="s">
        <v>8</v>
      </c>
      <c r="I4" s="5" t="s">
        <v>7</v>
      </c>
      <c r="J4" s="5" t="s">
        <v>6</v>
      </c>
      <c r="K4" s="6" t="s">
        <v>5</v>
      </c>
      <c r="L4" s="4" t="s">
        <v>4</v>
      </c>
      <c r="M4" s="4" t="s">
        <v>3</v>
      </c>
      <c r="N4" s="4" t="s">
        <v>2</v>
      </c>
      <c r="O4" s="4" t="s">
        <v>13</v>
      </c>
      <c r="P4" s="4" t="s">
        <v>26</v>
      </c>
      <c r="Q4" s="4" t="s">
        <v>34</v>
      </c>
      <c r="R4" s="4" t="s">
        <v>14</v>
      </c>
      <c r="S4" s="7"/>
    </row>
    <row r="5" spans="1:19" ht="20" customHeight="1" x14ac:dyDescent="0.2">
      <c r="A5" s="8" t="s">
        <v>22</v>
      </c>
      <c r="B5" s="8">
        <v>1</v>
      </c>
      <c r="C5" s="10">
        <v>10</v>
      </c>
      <c r="D5" s="1" t="s">
        <v>24</v>
      </c>
      <c r="E5" s="10">
        <v>6.2</v>
      </c>
      <c r="F5" s="10">
        <v>21.71</v>
      </c>
      <c r="G5" s="11">
        <f>E5*F5</f>
        <v>134.602</v>
      </c>
      <c r="H5" s="12">
        <v>4.0199999999999996</v>
      </c>
      <c r="I5" s="12"/>
      <c r="J5" s="12">
        <v>2</v>
      </c>
      <c r="K5" s="13">
        <f>(H5)*J5</f>
        <v>8.0399999999999991</v>
      </c>
      <c r="L5" s="14"/>
      <c r="M5" s="14"/>
      <c r="N5" s="11">
        <f>G5-(K5+K6+K7+K8+K9)</f>
        <v>112.852</v>
      </c>
      <c r="O5" s="11"/>
      <c r="P5" s="11"/>
      <c r="Q5" s="11"/>
      <c r="R5" s="11">
        <f t="shared" ref="R5" si="0">SUM(N5:Q5)</f>
        <v>112.852</v>
      </c>
    </row>
    <row r="6" spans="1:19" ht="20" customHeight="1" x14ac:dyDescent="0.2">
      <c r="A6" s="8"/>
      <c r="B6" s="8"/>
      <c r="G6" s="11"/>
      <c r="H6" s="12">
        <v>5.88</v>
      </c>
      <c r="I6" s="12"/>
      <c r="J6" s="12">
        <v>1</v>
      </c>
      <c r="K6" s="13">
        <f>(H6)*J6</f>
        <v>5.88</v>
      </c>
      <c r="L6" s="14"/>
      <c r="M6" s="14"/>
      <c r="N6" s="11"/>
      <c r="O6" s="11"/>
      <c r="P6" s="11"/>
      <c r="Q6" s="11"/>
      <c r="R6" s="11"/>
    </row>
    <row r="7" spans="1:19" ht="20" customHeight="1" x14ac:dyDescent="0.2">
      <c r="A7" s="8"/>
      <c r="B7" s="8"/>
      <c r="G7" s="11"/>
      <c r="H7" s="12">
        <v>2.16</v>
      </c>
      <c r="I7" s="12"/>
      <c r="J7" s="12">
        <v>2</v>
      </c>
      <c r="K7" s="13">
        <f>(H7)*J7</f>
        <v>4.32</v>
      </c>
      <c r="L7" s="14"/>
      <c r="M7" s="14"/>
      <c r="N7" s="11"/>
      <c r="O7" s="11"/>
      <c r="P7" s="11"/>
      <c r="Q7" s="11"/>
      <c r="R7" s="11"/>
    </row>
    <row r="8" spans="1:19" ht="20" customHeight="1" x14ac:dyDescent="0.2">
      <c r="B8" s="8"/>
      <c r="G8" s="11"/>
      <c r="H8" s="12">
        <v>2.15</v>
      </c>
      <c r="I8" s="12"/>
      <c r="J8" s="12">
        <v>1</v>
      </c>
      <c r="K8" s="13">
        <f>(H8)*J8</f>
        <v>2.15</v>
      </c>
      <c r="L8" s="14"/>
      <c r="M8" s="14"/>
      <c r="N8" s="11"/>
      <c r="O8" s="11"/>
      <c r="P8" s="11"/>
      <c r="Q8" s="11"/>
      <c r="R8" s="11"/>
    </row>
    <row r="9" spans="1:19" ht="20" customHeight="1" x14ac:dyDescent="0.2">
      <c r="B9" s="8"/>
      <c r="G9" s="11"/>
      <c r="H9" s="12">
        <v>1.36</v>
      </c>
      <c r="I9" s="12"/>
      <c r="J9" s="12">
        <v>1</v>
      </c>
      <c r="K9" s="13">
        <f>(H9)*J9</f>
        <v>1.36</v>
      </c>
      <c r="L9" s="14"/>
      <c r="M9" s="14"/>
      <c r="N9" s="11"/>
      <c r="O9" s="11"/>
      <c r="P9" s="11"/>
      <c r="Q9" s="11"/>
      <c r="R9" s="11"/>
    </row>
    <row r="10" spans="1:19" ht="20" customHeight="1" x14ac:dyDescent="0.2">
      <c r="B10" s="8"/>
      <c r="C10" s="10">
        <v>9</v>
      </c>
      <c r="D10" s="1" t="s">
        <v>25</v>
      </c>
      <c r="G10" s="11">
        <v>6.88</v>
      </c>
      <c r="H10" s="12"/>
      <c r="I10" s="12"/>
      <c r="J10" s="12"/>
      <c r="K10" s="13"/>
      <c r="L10" s="14"/>
      <c r="M10" s="14"/>
      <c r="N10" s="11"/>
      <c r="O10" s="11">
        <f>G10</f>
        <v>6.88</v>
      </c>
      <c r="P10" s="11"/>
      <c r="Q10" s="11"/>
      <c r="R10" s="11">
        <f t="shared" ref="R10:R78" si="1">SUM(N10:Q10)</f>
        <v>6.88</v>
      </c>
    </row>
    <row r="11" spans="1:19" ht="20" customHeight="1" x14ac:dyDescent="0.2">
      <c r="B11" s="8"/>
      <c r="C11" s="10">
        <v>8</v>
      </c>
      <c r="D11" s="1" t="s">
        <v>29</v>
      </c>
      <c r="G11" s="11">
        <v>12.6</v>
      </c>
      <c r="H11" s="12"/>
      <c r="I11" s="15"/>
      <c r="J11" s="12"/>
      <c r="K11" s="13">
        <v>8.1</v>
      </c>
      <c r="L11" s="14"/>
      <c r="M11" s="14"/>
      <c r="N11" s="11">
        <f>G11-K11</f>
        <v>4.5</v>
      </c>
      <c r="O11" s="11"/>
      <c r="R11" s="11">
        <f t="shared" si="1"/>
        <v>4.5</v>
      </c>
    </row>
    <row r="12" spans="1:19" ht="20" customHeight="1" x14ac:dyDescent="0.2">
      <c r="B12" s="8"/>
      <c r="C12" s="10">
        <v>7</v>
      </c>
      <c r="D12" s="1" t="s">
        <v>25</v>
      </c>
      <c r="G12" s="11">
        <v>6.88</v>
      </c>
      <c r="H12" s="12"/>
      <c r="I12" s="12"/>
      <c r="J12" s="12"/>
      <c r="K12" s="13"/>
      <c r="L12" s="14"/>
      <c r="M12" s="14"/>
      <c r="N12" s="11"/>
      <c r="O12" s="11">
        <f>G12</f>
        <v>6.88</v>
      </c>
      <c r="P12" s="11"/>
      <c r="Q12" s="11"/>
      <c r="R12" s="11">
        <f t="shared" si="1"/>
        <v>6.88</v>
      </c>
    </row>
    <row r="13" spans="1:19" ht="20" customHeight="1" x14ac:dyDescent="0.2">
      <c r="B13" s="8"/>
      <c r="C13" s="10">
        <v>6</v>
      </c>
      <c r="D13" s="1" t="s">
        <v>28</v>
      </c>
      <c r="G13" s="11">
        <v>12.6</v>
      </c>
      <c r="H13" s="12"/>
      <c r="I13" s="15"/>
      <c r="J13" s="12"/>
      <c r="K13" s="13"/>
      <c r="L13" s="14"/>
      <c r="M13" s="14"/>
      <c r="O13" s="11"/>
      <c r="P13" s="11">
        <f>G13</f>
        <v>12.6</v>
      </c>
      <c r="R13" s="11">
        <f t="shared" si="1"/>
        <v>12.6</v>
      </c>
    </row>
    <row r="14" spans="1:19" ht="20" customHeight="1" x14ac:dyDescent="0.2">
      <c r="B14" s="8"/>
      <c r="C14" s="10">
        <v>5</v>
      </c>
      <c r="D14" s="1" t="s">
        <v>25</v>
      </c>
      <c r="G14" s="11">
        <v>6.88</v>
      </c>
      <c r="H14" s="12"/>
      <c r="I14" s="12"/>
      <c r="J14" s="12"/>
      <c r="K14" s="13"/>
      <c r="L14" s="14"/>
      <c r="M14" s="14"/>
      <c r="N14" s="11"/>
      <c r="O14" s="11">
        <f>G14</f>
        <v>6.88</v>
      </c>
      <c r="P14" s="11"/>
      <c r="Q14" s="11"/>
      <c r="R14" s="11">
        <f t="shared" si="1"/>
        <v>6.88</v>
      </c>
    </row>
    <row r="15" spans="1:19" ht="20" customHeight="1" x14ac:dyDescent="0.2">
      <c r="B15" s="8"/>
      <c r="C15" s="10">
        <v>4</v>
      </c>
      <c r="D15" s="1" t="s">
        <v>28</v>
      </c>
      <c r="G15" s="11">
        <v>12.6</v>
      </c>
      <c r="H15" s="12"/>
      <c r="I15" s="15"/>
      <c r="J15" s="12"/>
      <c r="K15" s="13"/>
      <c r="L15" s="14"/>
      <c r="M15" s="14"/>
      <c r="N15" s="11">
        <f t="shared" ref="N15:N18" si="2">G15</f>
        <v>12.6</v>
      </c>
      <c r="O15" s="11"/>
      <c r="R15" s="11">
        <f t="shared" si="1"/>
        <v>12.6</v>
      </c>
    </row>
    <row r="16" spans="1:19" ht="20" customHeight="1" x14ac:dyDescent="0.2">
      <c r="B16" s="8"/>
      <c r="C16" s="10">
        <v>3</v>
      </c>
      <c r="D16" s="1" t="s">
        <v>25</v>
      </c>
      <c r="G16" s="11">
        <v>6.88</v>
      </c>
      <c r="H16" s="12"/>
      <c r="I16" s="12"/>
      <c r="J16" s="12"/>
      <c r="K16" s="13"/>
      <c r="L16" s="14"/>
      <c r="M16" s="14"/>
      <c r="N16" s="11"/>
      <c r="O16" s="11">
        <f>G16</f>
        <v>6.88</v>
      </c>
      <c r="P16" s="11"/>
      <c r="Q16" s="11"/>
      <c r="R16" s="11">
        <f t="shared" si="1"/>
        <v>6.88</v>
      </c>
    </row>
    <row r="17" spans="2:19" ht="20" customHeight="1" x14ac:dyDescent="0.2">
      <c r="B17" s="8"/>
      <c r="C17" s="10">
        <v>2</v>
      </c>
      <c r="D17" s="1" t="s">
        <v>28</v>
      </c>
      <c r="G17" s="11">
        <v>12.6</v>
      </c>
      <c r="H17" s="12"/>
      <c r="I17" s="15"/>
      <c r="J17" s="12"/>
      <c r="K17" s="13"/>
      <c r="L17" s="14"/>
      <c r="M17" s="14"/>
      <c r="N17" s="11">
        <f t="shared" si="2"/>
        <v>12.6</v>
      </c>
      <c r="O17" s="11"/>
      <c r="R17" s="11">
        <f t="shared" si="1"/>
        <v>12.6</v>
      </c>
      <c r="S17" s="7"/>
    </row>
    <row r="18" spans="2:19" ht="20" customHeight="1" x14ac:dyDescent="0.2">
      <c r="B18" s="8"/>
      <c r="C18" s="10">
        <v>1</v>
      </c>
      <c r="D18" s="1" t="s">
        <v>28</v>
      </c>
      <c r="G18" s="11">
        <v>7.5</v>
      </c>
      <c r="H18" s="12"/>
      <c r="I18" s="15"/>
      <c r="J18" s="12"/>
      <c r="K18" s="13"/>
      <c r="L18" s="14"/>
      <c r="M18" s="14"/>
      <c r="N18" s="11">
        <f t="shared" si="2"/>
        <v>7.5</v>
      </c>
      <c r="O18" s="11"/>
      <c r="R18" s="11">
        <f t="shared" si="1"/>
        <v>7.5</v>
      </c>
      <c r="S18" s="7"/>
    </row>
    <row r="19" spans="2:19" ht="20" customHeight="1" x14ac:dyDescent="0.2">
      <c r="B19" s="8">
        <v>2</v>
      </c>
      <c r="C19" s="10">
        <v>9</v>
      </c>
      <c r="D19" s="1" t="s">
        <v>28</v>
      </c>
      <c r="G19" s="11">
        <v>26.97</v>
      </c>
      <c r="H19" s="12"/>
      <c r="I19" s="15"/>
      <c r="J19" s="12"/>
      <c r="K19" s="13">
        <v>10.5</v>
      </c>
      <c r="L19" s="14"/>
      <c r="M19" s="14"/>
      <c r="N19" s="11">
        <f>G19-K19</f>
        <v>16.47</v>
      </c>
      <c r="O19" s="11"/>
      <c r="R19" s="11">
        <f t="shared" si="1"/>
        <v>16.47</v>
      </c>
    </row>
    <row r="20" spans="2:19" ht="20" customHeight="1" x14ac:dyDescent="0.2">
      <c r="B20" s="8"/>
      <c r="C20" s="10">
        <v>8</v>
      </c>
      <c r="D20" s="1" t="s">
        <v>30</v>
      </c>
      <c r="G20" s="11">
        <v>6.87</v>
      </c>
      <c r="H20" s="12"/>
      <c r="I20" s="15"/>
      <c r="J20" s="12"/>
      <c r="K20" s="13"/>
      <c r="L20" s="14"/>
      <c r="M20" s="14"/>
      <c r="N20" s="11">
        <f t="shared" ref="N20" si="3">G20-K20</f>
        <v>6.87</v>
      </c>
      <c r="O20" s="11"/>
      <c r="R20" s="11">
        <f t="shared" si="1"/>
        <v>6.87</v>
      </c>
    </row>
    <row r="21" spans="2:19" ht="20" customHeight="1" x14ac:dyDescent="0.2">
      <c r="B21" s="8"/>
      <c r="C21" s="10">
        <v>7</v>
      </c>
      <c r="D21" s="1" t="s">
        <v>29</v>
      </c>
      <c r="G21" s="11">
        <v>26.97</v>
      </c>
      <c r="H21" s="12"/>
      <c r="I21" s="15"/>
      <c r="J21" s="12"/>
      <c r="K21" s="13">
        <v>10.5</v>
      </c>
      <c r="L21" s="14"/>
      <c r="M21" s="14"/>
      <c r="N21" s="11"/>
      <c r="O21" s="11"/>
      <c r="P21" s="11">
        <f>G21-K21</f>
        <v>16.47</v>
      </c>
      <c r="Q21" s="11"/>
      <c r="R21" s="11">
        <f t="shared" si="1"/>
        <v>16.47</v>
      </c>
    </row>
    <row r="22" spans="2:19" ht="20" customHeight="1" x14ac:dyDescent="0.2">
      <c r="B22" s="8"/>
      <c r="C22" s="10">
        <v>6</v>
      </c>
      <c r="D22" s="1" t="s">
        <v>30</v>
      </c>
      <c r="G22" s="11">
        <v>6.87</v>
      </c>
      <c r="H22" s="12"/>
      <c r="I22" s="15"/>
      <c r="J22" s="12"/>
      <c r="K22" s="13"/>
      <c r="L22" s="14"/>
      <c r="M22" s="14"/>
      <c r="N22" s="11">
        <f t="shared" ref="N22" si="4">G22-K22</f>
        <v>6.87</v>
      </c>
      <c r="O22" s="11"/>
      <c r="R22" s="11">
        <f t="shared" si="1"/>
        <v>6.87</v>
      </c>
    </row>
    <row r="23" spans="2:19" ht="20" customHeight="1" x14ac:dyDescent="0.2">
      <c r="B23" s="8"/>
      <c r="C23" s="10">
        <v>5</v>
      </c>
      <c r="D23" s="1" t="s">
        <v>28</v>
      </c>
      <c r="G23" s="11">
        <v>26.97</v>
      </c>
      <c r="H23" s="12"/>
      <c r="I23" s="15"/>
      <c r="J23" s="12"/>
      <c r="K23" s="13">
        <v>10.5</v>
      </c>
      <c r="L23" s="14"/>
      <c r="M23" s="14"/>
      <c r="N23" s="11">
        <f>G23-K23</f>
        <v>16.47</v>
      </c>
      <c r="O23" s="11"/>
      <c r="R23" s="11">
        <f t="shared" si="1"/>
        <v>16.47</v>
      </c>
      <c r="S23" s="7"/>
    </row>
    <row r="24" spans="2:19" ht="20" customHeight="1" x14ac:dyDescent="0.2">
      <c r="B24" s="8"/>
      <c r="C24" s="10">
        <v>4</v>
      </c>
      <c r="D24" s="1" t="s">
        <v>30</v>
      </c>
      <c r="G24" s="11">
        <v>6.87</v>
      </c>
      <c r="H24" s="12"/>
      <c r="I24" s="15"/>
      <c r="J24" s="12"/>
      <c r="K24" s="13"/>
      <c r="L24" s="14"/>
      <c r="M24" s="14"/>
      <c r="N24" s="11">
        <f t="shared" ref="N24" si="5">G24-K24</f>
        <v>6.87</v>
      </c>
      <c r="O24" s="11"/>
      <c r="R24" s="11">
        <f t="shared" si="1"/>
        <v>6.87</v>
      </c>
    </row>
    <row r="25" spans="2:19" ht="20" customHeight="1" x14ac:dyDescent="0.2">
      <c r="B25" s="8"/>
      <c r="C25" s="10">
        <v>3</v>
      </c>
      <c r="D25" s="1" t="s">
        <v>28</v>
      </c>
      <c r="G25" s="11">
        <v>26.97</v>
      </c>
      <c r="H25" s="12"/>
      <c r="I25" s="15"/>
      <c r="J25" s="12"/>
      <c r="K25" s="13">
        <v>10.5</v>
      </c>
      <c r="L25" s="14"/>
      <c r="M25" s="14"/>
      <c r="N25" s="11">
        <f>G25-K25</f>
        <v>16.47</v>
      </c>
      <c r="O25" s="11"/>
      <c r="R25" s="11">
        <f t="shared" si="1"/>
        <v>16.47</v>
      </c>
      <c r="S25" s="7"/>
    </row>
    <row r="26" spans="2:19" ht="20" customHeight="1" x14ac:dyDescent="0.2">
      <c r="B26" s="8"/>
      <c r="C26" s="10">
        <v>2</v>
      </c>
      <c r="D26" s="1" t="s">
        <v>30</v>
      </c>
      <c r="G26" s="11">
        <v>6.87</v>
      </c>
      <c r="H26" s="12"/>
      <c r="I26" s="15"/>
      <c r="J26" s="12"/>
      <c r="K26" s="13"/>
      <c r="L26" s="14"/>
      <c r="M26" s="14"/>
      <c r="N26" s="11">
        <f t="shared" ref="N26" si="6">G26-K26</f>
        <v>6.87</v>
      </c>
      <c r="O26" s="11"/>
      <c r="R26" s="11">
        <f t="shared" si="1"/>
        <v>6.87</v>
      </c>
    </row>
    <row r="27" spans="2:19" ht="20" customHeight="1" x14ac:dyDescent="0.2">
      <c r="B27" s="8"/>
      <c r="C27" s="10">
        <v>1</v>
      </c>
      <c r="D27" s="1" t="s">
        <v>28</v>
      </c>
      <c r="G27" s="11">
        <v>26.97</v>
      </c>
      <c r="H27" s="12"/>
      <c r="I27" s="15"/>
      <c r="J27" s="12"/>
      <c r="K27" s="13">
        <v>10.5</v>
      </c>
      <c r="L27" s="14"/>
      <c r="M27" s="14"/>
      <c r="N27" s="11">
        <f>G27-K27</f>
        <v>16.47</v>
      </c>
      <c r="O27" s="11"/>
      <c r="R27" s="11">
        <f t="shared" si="1"/>
        <v>16.47</v>
      </c>
      <c r="S27" s="7"/>
    </row>
    <row r="28" spans="2:19" ht="20" customHeight="1" x14ac:dyDescent="0.2">
      <c r="B28" s="8">
        <v>3</v>
      </c>
      <c r="C28" s="10">
        <v>9</v>
      </c>
      <c r="D28" s="1" t="s">
        <v>25</v>
      </c>
      <c r="G28" s="11">
        <v>3.85</v>
      </c>
      <c r="H28" s="12"/>
      <c r="I28" s="15"/>
      <c r="J28" s="12"/>
      <c r="K28" s="13"/>
      <c r="L28" s="14"/>
      <c r="M28" s="14">
        <f>F28*10</f>
        <v>0</v>
      </c>
      <c r="O28" s="11">
        <f>G28-K28</f>
        <v>3.85</v>
      </c>
      <c r="R28" s="11">
        <f t="shared" si="1"/>
        <v>3.85</v>
      </c>
    </row>
    <row r="29" spans="2:19" ht="20" customHeight="1" x14ac:dyDescent="0.2">
      <c r="B29" s="8"/>
      <c r="D29" s="1" t="s">
        <v>27</v>
      </c>
      <c r="G29" s="11">
        <v>65.709999999999994</v>
      </c>
      <c r="H29" s="12"/>
      <c r="I29" s="15"/>
      <c r="J29" s="12"/>
      <c r="K29" s="13">
        <v>29</v>
      </c>
      <c r="L29" s="14"/>
      <c r="M29" s="14"/>
      <c r="N29" s="11">
        <f>G29-K29</f>
        <v>36.709999999999994</v>
      </c>
      <c r="O29" s="11"/>
      <c r="R29" s="11">
        <f t="shared" si="1"/>
        <v>36.709999999999994</v>
      </c>
    </row>
    <row r="30" spans="2:19" ht="20" customHeight="1" x14ac:dyDescent="0.2">
      <c r="B30" s="8"/>
      <c r="D30" s="1" t="s">
        <v>25</v>
      </c>
      <c r="G30" s="11">
        <v>2.4</v>
      </c>
      <c r="H30" s="12"/>
      <c r="I30" s="15"/>
      <c r="J30" s="12"/>
      <c r="K30" s="13"/>
      <c r="L30" s="14"/>
      <c r="M30" s="14"/>
      <c r="N30" s="11"/>
      <c r="O30" s="11">
        <f>G30-K30</f>
        <v>2.4</v>
      </c>
      <c r="R30" s="11">
        <f t="shared" si="1"/>
        <v>2.4</v>
      </c>
    </row>
    <row r="31" spans="2:19" ht="20" customHeight="1" x14ac:dyDescent="0.2">
      <c r="B31" s="8"/>
      <c r="C31" s="10">
        <v>8</v>
      </c>
      <c r="D31" s="1" t="s">
        <v>31</v>
      </c>
      <c r="G31" s="11">
        <v>5</v>
      </c>
      <c r="H31" s="12"/>
      <c r="I31" s="15"/>
      <c r="J31" s="12"/>
      <c r="K31" s="13"/>
      <c r="L31" s="14"/>
      <c r="M31" s="14"/>
      <c r="O31" s="11">
        <f>G31</f>
        <v>5</v>
      </c>
      <c r="R31" s="11">
        <f t="shared" si="1"/>
        <v>5</v>
      </c>
    </row>
    <row r="32" spans="2:19" ht="20" customHeight="1" x14ac:dyDescent="0.2">
      <c r="B32" s="8"/>
      <c r="C32" s="10">
        <v>7</v>
      </c>
      <c r="D32" s="1" t="s">
        <v>29</v>
      </c>
      <c r="G32" s="11">
        <v>3.85</v>
      </c>
      <c r="H32" s="12"/>
      <c r="I32" s="15"/>
      <c r="J32" s="12"/>
      <c r="K32" s="13"/>
      <c r="L32" s="14"/>
      <c r="M32" s="14">
        <f>F32*10</f>
        <v>0</v>
      </c>
      <c r="P32" s="11">
        <f>G32-K32</f>
        <v>3.85</v>
      </c>
      <c r="Q32" s="11"/>
      <c r="R32" s="11">
        <f t="shared" si="1"/>
        <v>3.85</v>
      </c>
    </row>
    <row r="33" spans="1:19" ht="20" customHeight="1" x14ac:dyDescent="0.2">
      <c r="B33" s="8"/>
      <c r="D33" s="1" t="s">
        <v>57</v>
      </c>
      <c r="G33" s="11">
        <v>65.709999999999994</v>
      </c>
      <c r="H33" s="12"/>
      <c r="I33" s="15"/>
      <c r="J33" s="12"/>
      <c r="K33" s="13">
        <v>29</v>
      </c>
      <c r="L33" s="14"/>
      <c r="M33" s="14"/>
      <c r="P33" s="11">
        <f>G33-K33</f>
        <v>36.709999999999994</v>
      </c>
      <c r="Q33" s="11"/>
      <c r="R33" s="11">
        <f t="shared" si="1"/>
        <v>36.709999999999994</v>
      </c>
    </row>
    <row r="34" spans="1:19" ht="20" customHeight="1" x14ac:dyDescent="0.2">
      <c r="B34" s="8"/>
      <c r="D34" s="1" t="s">
        <v>58</v>
      </c>
      <c r="E34" s="10">
        <v>2.5499999999999998</v>
      </c>
      <c r="F34" s="10">
        <v>2</v>
      </c>
      <c r="G34" s="11">
        <f>E34*F34</f>
        <v>5.0999999999999996</v>
      </c>
      <c r="H34" s="12"/>
      <c r="I34" s="15"/>
      <c r="J34" s="12"/>
      <c r="K34" s="13"/>
      <c r="L34" s="14"/>
      <c r="M34" s="14"/>
      <c r="N34" s="11"/>
      <c r="O34" s="1"/>
      <c r="P34" s="11">
        <f>G34-K34</f>
        <v>5.0999999999999996</v>
      </c>
      <c r="R34" s="11">
        <f t="shared" si="1"/>
        <v>5.0999999999999996</v>
      </c>
    </row>
    <row r="35" spans="1:19" ht="20" customHeight="1" x14ac:dyDescent="0.2">
      <c r="B35" s="8"/>
      <c r="D35" s="1" t="s">
        <v>25</v>
      </c>
      <c r="G35" s="11">
        <v>2.4</v>
      </c>
      <c r="H35" s="12"/>
      <c r="I35" s="15"/>
      <c r="J35" s="12"/>
      <c r="K35" s="13"/>
      <c r="L35" s="14"/>
      <c r="M35" s="14"/>
      <c r="N35" s="11"/>
      <c r="O35" s="11">
        <f>G35-K35</f>
        <v>2.4</v>
      </c>
      <c r="R35" s="11">
        <f t="shared" si="1"/>
        <v>2.4</v>
      </c>
    </row>
    <row r="36" spans="1:19" ht="20" customHeight="1" x14ac:dyDescent="0.2">
      <c r="B36" s="8"/>
      <c r="D36" s="1" t="s">
        <v>56</v>
      </c>
      <c r="E36" s="10">
        <v>2.5499999999999998</v>
      </c>
      <c r="F36" s="10">
        <v>2</v>
      </c>
      <c r="G36" s="11">
        <f>E36*F36</f>
        <v>5.0999999999999996</v>
      </c>
      <c r="H36" s="12"/>
      <c r="I36" s="15"/>
      <c r="J36" s="12"/>
      <c r="K36" s="13"/>
      <c r="L36" s="14"/>
      <c r="M36" s="14"/>
      <c r="N36" s="11"/>
      <c r="O36" s="11">
        <f>G36-K36</f>
        <v>5.0999999999999996</v>
      </c>
      <c r="R36" s="11">
        <f t="shared" si="1"/>
        <v>5.0999999999999996</v>
      </c>
    </row>
    <row r="37" spans="1:19" ht="20" customHeight="1" x14ac:dyDescent="0.2">
      <c r="B37" s="9"/>
      <c r="C37" s="10">
        <v>6</v>
      </c>
      <c r="D37" s="1" t="s">
        <v>31</v>
      </c>
      <c r="G37" s="11">
        <v>5</v>
      </c>
      <c r="H37" s="12"/>
      <c r="I37" s="15"/>
      <c r="J37" s="12"/>
      <c r="K37" s="13"/>
      <c r="L37" s="14"/>
      <c r="M37" s="14"/>
      <c r="O37" s="11">
        <f>G37</f>
        <v>5</v>
      </c>
      <c r="R37" s="11">
        <f t="shared" si="1"/>
        <v>5</v>
      </c>
      <c r="S37" s="7"/>
    </row>
    <row r="38" spans="1:19" ht="20" customHeight="1" x14ac:dyDescent="0.2">
      <c r="A38" s="8"/>
      <c r="B38" s="9"/>
      <c r="C38" s="10">
        <v>5</v>
      </c>
      <c r="D38" s="1" t="s">
        <v>25</v>
      </c>
      <c r="G38" s="11">
        <v>3.85</v>
      </c>
      <c r="H38" s="12"/>
      <c r="I38" s="15"/>
      <c r="J38" s="12"/>
      <c r="K38" s="13"/>
      <c r="L38" s="14"/>
      <c r="M38" s="14">
        <f>F38*10</f>
        <v>0</v>
      </c>
      <c r="O38" s="11">
        <f>G38-K38</f>
        <v>3.85</v>
      </c>
      <c r="R38" s="11">
        <f t="shared" si="1"/>
        <v>3.85</v>
      </c>
      <c r="S38" s="7"/>
    </row>
    <row r="39" spans="1:19" ht="20" customHeight="1" x14ac:dyDescent="0.2">
      <c r="A39" s="8"/>
      <c r="B39" s="9"/>
      <c r="D39" s="1" t="s">
        <v>27</v>
      </c>
      <c r="G39" s="11">
        <v>65.709999999999994</v>
      </c>
      <c r="H39" s="12"/>
      <c r="I39" s="15"/>
      <c r="J39" s="12"/>
      <c r="K39" s="13">
        <v>29</v>
      </c>
      <c r="L39" s="14"/>
      <c r="M39" s="14"/>
      <c r="N39" s="11">
        <f>G39-K39</f>
        <v>36.709999999999994</v>
      </c>
      <c r="O39" s="11"/>
      <c r="R39" s="11">
        <f t="shared" si="1"/>
        <v>36.709999999999994</v>
      </c>
      <c r="S39" s="7"/>
    </row>
    <row r="40" spans="1:19" ht="20" customHeight="1" x14ac:dyDescent="0.2">
      <c r="A40" s="8"/>
      <c r="B40" s="9"/>
      <c r="D40" s="1" t="s">
        <v>59</v>
      </c>
      <c r="E40" s="10">
        <v>2.5499999999999998</v>
      </c>
      <c r="F40" s="10">
        <v>2</v>
      </c>
      <c r="G40" s="11">
        <f>E40*F40</f>
        <v>5.0999999999999996</v>
      </c>
      <c r="H40" s="12"/>
      <c r="I40" s="15"/>
      <c r="J40" s="12"/>
      <c r="K40" s="13"/>
      <c r="L40" s="14"/>
      <c r="M40" s="14"/>
      <c r="N40" s="11"/>
      <c r="O40" s="1"/>
      <c r="P40" s="11">
        <f>G40-K40</f>
        <v>5.0999999999999996</v>
      </c>
      <c r="R40" s="11">
        <f t="shared" ref="R40" si="7">SUM(N40:Q40)</f>
        <v>5.0999999999999996</v>
      </c>
      <c r="S40" s="7"/>
    </row>
    <row r="41" spans="1:19" ht="20" customHeight="1" x14ac:dyDescent="0.2">
      <c r="A41" s="8"/>
      <c r="B41" s="9"/>
      <c r="D41" s="1" t="s">
        <v>25</v>
      </c>
      <c r="G41" s="11">
        <v>2.4</v>
      </c>
      <c r="H41" s="12"/>
      <c r="I41" s="15"/>
      <c r="J41" s="12"/>
      <c r="K41" s="13"/>
      <c r="L41" s="14"/>
      <c r="M41" s="14"/>
      <c r="N41" s="11"/>
      <c r="O41" s="11">
        <f>G41-K41</f>
        <v>2.4</v>
      </c>
      <c r="R41" s="11">
        <f t="shared" si="1"/>
        <v>2.4</v>
      </c>
      <c r="S41" s="7"/>
    </row>
    <row r="42" spans="1:19" ht="20" customHeight="1" x14ac:dyDescent="0.2">
      <c r="A42" s="8"/>
      <c r="B42" s="9"/>
      <c r="D42" s="1" t="s">
        <v>56</v>
      </c>
      <c r="E42" s="10">
        <v>2.5499999999999998</v>
      </c>
      <c r="F42" s="10">
        <v>2</v>
      </c>
      <c r="G42" s="11">
        <f>E42*F42</f>
        <v>5.0999999999999996</v>
      </c>
      <c r="H42" s="12"/>
      <c r="I42" s="15"/>
      <c r="J42" s="12"/>
      <c r="K42" s="13"/>
      <c r="L42" s="14"/>
      <c r="M42" s="14"/>
      <c r="N42" s="11"/>
      <c r="O42" s="11">
        <f>G42-K42</f>
        <v>5.0999999999999996</v>
      </c>
      <c r="R42" s="11">
        <f t="shared" ref="R42" si="8">SUM(N42:Q42)</f>
        <v>5.0999999999999996</v>
      </c>
      <c r="S42" s="7"/>
    </row>
    <row r="43" spans="1:19" ht="20" customHeight="1" x14ac:dyDescent="0.2">
      <c r="A43" s="8"/>
      <c r="B43" s="9"/>
      <c r="C43" s="10">
        <v>4</v>
      </c>
      <c r="D43" s="1" t="s">
        <v>31</v>
      </c>
      <c r="G43" s="11">
        <v>5</v>
      </c>
      <c r="H43" s="12"/>
      <c r="I43" s="15"/>
      <c r="J43" s="12"/>
      <c r="K43" s="13"/>
      <c r="L43" s="14"/>
      <c r="M43" s="14"/>
      <c r="O43" s="11">
        <f>G43</f>
        <v>5</v>
      </c>
      <c r="R43" s="11">
        <f t="shared" si="1"/>
        <v>5</v>
      </c>
      <c r="S43" s="7"/>
    </row>
    <row r="44" spans="1:19" ht="20" customHeight="1" x14ac:dyDescent="0.2">
      <c r="A44" s="8"/>
      <c r="B44" s="9"/>
      <c r="C44" s="10">
        <v>3</v>
      </c>
      <c r="D44" s="1" t="s">
        <v>25</v>
      </c>
      <c r="G44" s="11">
        <v>3.85</v>
      </c>
      <c r="H44" s="12"/>
      <c r="I44" s="15"/>
      <c r="J44" s="12"/>
      <c r="K44" s="13"/>
      <c r="L44" s="14"/>
      <c r="M44" s="14">
        <f>F44*10</f>
        <v>0</v>
      </c>
      <c r="O44" s="11">
        <f>G44-K44</f>
        <v>3.85</v>
      </c>
      <c r="R44" s="11">
        <f t="shared" ref="R44:R48" si="9">SUM(N44:Q44)</f>
        <v>3.85</v>
      </c>
      <c r="S44" s="7"/>
    </row>
    <row r="45" spans="1:19" ht="20" customHeight="1" x14ac:dyDescent="0.2">
      <c r="A45" s="8"/>
      <c r="B45" s="9"/>
      <c r="D45" s="1" t="s">
        <v>27</v>
      </c>
      <c r="G45" s="11">
        <v>65.709999999999994</v>
      </c>
      <c r="H45" s="12"/>
      <c r="I45" s="15"/>
      <c r="J45" s="12"/>
      <c r="K45" s="13">
        <v>29</v>
      </c>
      <c r="L45" s="14"/>
      <c r="M45" s="14"/>
      <c r="N45" s="11">
        <f>G45-K45</f>
        <v>36.709999999999994</v>
      </c>
      <c r="O45" s="11"/>
      <c r="R45" s="11">
        <f t="shared" si="9"/>
        <v>36.709999999999994</v>
      </c>
      <c r="S45" s="7"/>
    </row>
    <row r="46" spans="1:19" ht="20" customHeight="1" x14ac:dyDescent="0.2">
      <c r="A46" s="8"/>
      <c r="B46" s="9"/>
      <c r="D46" s="1" t="s">
        <v>59</v>
      </c>
      <c r="E46" s="10">
        <v>2.5499999999999998</v>
      </c>
      <c r="F46" s="10">
        <v>2</v>
      </c>
      <c r="G46" s="11">
        <f>E46*F46</f>
        <v>5.0999999999999996</v>
      </c>
      <c r="H46" s="12"/>
      <c r="I46" s="15"/>
      <c r="J46" s="12"/>
      <c r="K46" s="13"/>
      <c r="L46" s="14"/>
      <c r="M46" s="14"/>
      <c r="N46" s="11"/>
      <c r="O46" s="1"/>
      <c r="P46" s="11">
        <f>G46-K46</f>
        <v>5.0999999999999996</v>
      </c>
      <c r="R46" s="11">
        <f t="shared" si="9"/>
        <v>5.0999999999999996</v>
      </c>
      <c r="S46" s="7"/>
    </row>
    <row r="47" spans="1:19" ht="20" customHeight="1" x14ac:dyDescent="0.2">
      <c r="A47" s="8"/>
      <c r="B47" s="9"/>
      <c r="D47" s="1" t="s">
        <v>25</v>
      </c>
      <c r="G47" s="11">
        <v>2.4</v>
      </c>
      <c r="H47" s="12"/>
      <c r="I47" s="15"/>
      <c r="J47" s="12"/>
      <c r="K47" s="13"/>
      <c r="L47" s="14"/>
      <c r="M47" s="14"/>
      <c r="N47" s="11"/>
      <c r="O47" s="11">
        <f>G47-K47</f>
        <v>2.4</v>
      </c>
      <c r="R47" s="11">
        <f t="shared" si="9"/>
        <v>2.4</v>
      </c>
      <c r="S47" s="7"/>
    </row>
    <row r="48" spans="1:19" ht="20" customHeight="1" x14ac:dyDescent="0.2">
      <c r="A48" s="8"/>
      <c r="B48" s="9"/>
      <c r="D48" s="1" t="s">
        <v>56</v>
      </c>
      <c r="E48" s="10">
        <v>2.5499999999999998</v>
      </c>
      <c r="F48" s="10">
        <v>2</v>
      </c>
      <c r="G48" s="11">
        <f>E48*F48</f>
        <v>5.0999999999999996</v>
      </c>
      <c r="H48" s="12"/>
      <c r="I48" s="15"/>
      <c r="J48" s="12"/>
      <c r="K48" s="13"/>
      <c r="L48" s="14"/>
      <c r="M48" s="14"/>
      <c r="N48" s="11"/>
      <c r="O48" s="11">
        <f>G48-K48</f>
        <v>5.0999999999999996</v>
      </c>
      <c r="R48" s="11">
        <f t="shared" si="9"/>
        <v>5.0999999999999996</v>
      </c>
      <c r="S48" s="7"/>
    </row>
    <row r="49" spans="1:19" ht="20" customHeight="1" x14ac:dyDescent="0.2">
      <c r="A49" s="8"/>
      <c r="B49" s="9"/>
      <c r="C49" s="10">
        <v>2</v>
      </c>
      <c r="D49" s="1" t="s">
        <v>31</v>
      </c>
      <c r="G49" s="11">
        <v>5</v>
      </c>
      <c r="H49" s="12"/>
      <c r="I49" s="15"/>
      <c r="J49" s="12"/>
      <c r="K49" s="13"/>
      <c r="L49" s="14"/>
      <c r="M49" s="14"/>
      <c r="O49" s="11">
        <f>G49</f>
        <v>5</v>
      </c>
      <c r="R49" s="11">
        <f t="shared" si="1"/>
        <v>5</v>
      </c>
      <c r="S49" s="7"/>
    </row>
    <row r="50" spans="1:19" ht="20" customHeight="1" x14ac:dyDescent="0.2">
      <c r="A50" s="8"/>
      <c r="B50" s="9"/>
      <c r="C50" s="10">
        <v>1</v>
      </c>
      <c r="D50" s="1" t="s">
        <v>25</v>
      </c>
      <c r="G50" s="11">
        <v>3.85</v>
      </c>
      <c r="H50" s="12"/>
      <c r="I50" s="15"/>
      <c r="J50" s="12"/>
      <c r="K50" s="13"/>
      <c r="L50" s="14"/>
      <c r="M50" s="14">
        <f>F50*10</f>
        <v>0</v>
      </c>
      <c r="O50" s="11">
        <f>G50-K50</f>
        <v>3.85</v>
      </c>
      <c r="R50" s="11">
        <f t="shared" si="1"/>
        <v>3.85</v>
      </c>
      <c r="S50" s="7"/>
    </row>
    <row r="51" spans="1:19" ht="20" customHeight="1" x14ac:dyDescent="0.2">
      <c r="A51" s="8"/>
      <c r="B51" s="9"/>
      <c r="D51" s="1" t="s">
        <v>27</v>
      </c>
      <c r="G51" s="11">
        <v>65.709999999999994</v>
      </c>
      <c r="H51" s="12"/>
      <c r="I51" s="15"/>
      <c r="J51" s="12"/>
      <c r="K51" s="13">
        <v>29</v>
      </c>
      <c r="L51" s="14"/>
      <c r="M51" s="14"/>
      <c r="N51" s="11">
        <f>G51-K51</f>
        <v>36.709999999999994</v>
      </c>
      <c r="O51" s="11"/>
      <c r="R51" s="11">
        <f t="shared" si="1"/>
        <v>36.709999999999994</v>
      </c>
      <c r="S51" s="7"/>
    </row>
    <row r="52" spans="1:19" ht="20" customHeight="1" x14ac:dyDescent="0.2">
      <c r="A52" s="8"/>
      <c r="B52" s="9"/>
      <c r="D52" s="1" t="s">
        <v>59</v>
      </c>
      <c r="E52" s="10">
        <v>2.5499999999999998</v>
      </c>
      <c r="F52" s="10">
        <v>2</v>
      </c>
      <c r="G52" s="11">
        <f>E52*F52</f>
        <v>5.0999999999999996</v>
      </c>
      <c r="H52" s="12"/>
      <c r="I52" s="15"/>
      <c r="J52" s="12"/>
      <c r="K52" s="13"/>
      <c r="L52" s="14"/>
      <c r="M52" s="14"/>
      <c r="N52" s="11"/>
      <c r="O52" s="1"/>
      <c r="P52" s="11">
        <f>G52-K52</f>
        <v>5.0999999999999996</v>
      </c>
      <c r="R52" s="11">
        <f t="shared" si="1"/>
        <v>5.0999999999999996</v>
      </c>
      <c r="S52" s="7"/>
    </row>
    <row r="53" spans="1:19" ht="20" customHeight="1" x14ac:dyDescent="0.2">
      <c r="A53" s="8"/>
      <c r="B53" s="9"/>
      <c r="D53" s="1" t="s">
        <v>56</v>
      </c>
      <c r="E53" s="10">
        <v>2.5499999999999998</v>
      </c>
      <c r="F53" s="10">
        <v>2</v>
      </c>
      <c r="G53" s="11">
        <f>E53*F53</f>
        <v>5.0999999999999996</v>
      </c>
      <c r="H53" s="12"/>
      <c r="I53" s="15"/>
      <c r="J53" s="12"/>
      <c r="K53" s="13"/>
      <c r="L53" s="14"/>
      <c r="M53" s="14"/>
      <c r="N53" s="11"/>
      <c r="O53" s="11">
        <f>G53-K53</f>
        <v>5.0999999999999996</v>
      </c>
      <c r="R53" s="11">
        <f t="shared" si="1"/>
        <v>5.0999999999999996</v>
      </c>
      <c r="S53" s="7"/>
    </row>
    <row r="54" spans="1:19" ht="20" customHeight="1" x14ac:dyDescent="0.2">
      <c r="A54" s="8"/>
      <c r="B54" s="9"/>
      <c r="C54" s="10" t="s">
        <v>66</v>
      </c>
      <c r="D54" s="1" t="s">
        <v>33</v>
      </c>
      <c r="G54" s="11">
        <v>34</v>
      </c>
      <c r="H54" s="12"/>
      <c r="I54" s="15"/>
      <c r="J54" s="12"/>
      <c r="K54" s="13"/>
      <c r="L54" s="14"/>
      <c r="M54" s="14"/>
      <c r="N54" s="11"/>
      <c r="O54" s="11"/>
      <c r="Q54" s="11">
        <f>G54</f>
        <v>34</v>
      </c>
      <c r="R54" s="11">
        <f t="shared" si="1"/>
        <v>34</v>
      </c>
      <c r="S54" s="7"/>
    </row>
    <row r="55" spans="1:19" ht="20" customHeight="1" x14ac:dyDescent="0.2">
      <c r="A55" s="8"/>
      <c r="B55" s="8">
        <v>4</v>
      </c>
      <c r="C55" s="10">
        <v>9</v>
      </c>
      <c r="D55" s="1" t="s">
        <v>28</v>
      </c>
      <c r="G55" s="11">
        <v>26.73</v>
      </c>
      <c r="H55" s="12"/>
      <c r="I55" s="15"/>
      <c r="J55" s="12"/>
      <c r="K55" s="13">
        <v>4.2</v>
      </c>
      <c r="L55" s="14"/>
      <c r="M55" s="14"/>
      <c r="N55" s="11">
        <f>G55-K55</f>
        <v>22.53</v>
      </c>
      <c r="O55" s="11"/>
      <c r="R55" s="11">
        <f t="shared" si="1"/>
        <v>22.53</v>
      </c>
      <c r="S55" s="7"/>
    </row>
    <row r="56" spans="1:19" ht="20" customHeight="1" x14ac:dyDescent="0.2">
      <c r="A56" s="8"/>
      <c r="B56" s="8"/>
      <c r="D56" s="1" t="s">
        <v>60</v>
      </c>
      <c r="G56" s="11">
        <f>(2.35*2)+(1.85*2)</f>
        <v>8.4</v>
      </c>
      <c r="H56" s="12"/>
      <c r="I56" s="15"/>
      <c r="J56" s="12"/>
      <c r="K56" s="13"/>
      <c r="L56" s="14"/>
      <c r="M56" s="14"/>
      <c r="N56" s="11">
        <f>G56-K56</f>
        <v>8.4</v>
      </c>
      <c r="O56" s="11"/>
      <c r="R56" s="11">
        <f t="shared" si="1"/>
        <v>8.4</v>
      </c>
      <c r="S56" s="7"/>
    </row>
    <row r="57" spans="1:19" ht="20" customHeight="1" x14ac:dyDescent="0.2">
      <c r="A57" s="8"/>
      <c r="B57" s="8"/>
      <c r="C57" s="10">
        <v>8</v>
      </c>
      <c r="D57" s="1" t="s">
        <v>25</v>
      </c>
      <c r="G57" s="11">
        <v>10.62</v>
      </c>
      <c r="H57" s="12"/>
      <c r="I57" s="15"/>
      <c r="J57" s="12"/>
      <c r="K57" s="13">
        <v>5</v>
      </c>
      <c r="L57" s="14"/>
      <c r="M57" s="14"/>
      <c r="O57" s="11">
        <f>G57-K57</f>
        <v>5.6199999999999992</v>
      </c>
      <c r="R57" s="11">
        <f t="shared" si="1"/>
        <v>5.6199999999999992</v>
      </c>
      <c r="S57" s="7"/>
    </row>
    <row r="58" spans="1:19" ht="20" customHeight="1" x14ac:dyDescent="0.2">
      <c r="A58" s="8"/>
      <c r="B58" s="8"/>
      <c r="C58" s="10">
        <v>7</v>
      </c>
      <c r="D58" s="1" t="s">
        <v>29</v>
      </c>
      <c r="G58" s="11">
        <v>26.73</v>
      </c>
      <c r="H58" s="12"/>
      <c r="I58" s="15"/>
      <c r="J58" s="12"/>
      <c r="K58" s="13">
        <v>4.2</v>
      </c>
      <c r="L58" s="14"/>
      <c r="M58" s="14"/>
      <c r="O58" s="11"/>
      <c r="P58" s="11">
        <f>G58-K58</f>
        <v>22.53</v>
      </c>
      <c r="Q58" s="11"/>
      <c r="R58" s="11">
        <f t="shared" si="1"/>
        <v>22.53</v>
      </c>
      <c r="S58" s="7"/>
    </row>
    <row r="59" spans="1:19" ht="20" customHeight="1" x14ac:dyDescent="0.2">
      <c r="A59" s="8"/>
      <c r="B59" s="8"/>
      <c r="D59" s="1" t="s">
        <v>61</v>
      </c>
      <c r="G59" s="11">
        <f>(2.35*2)+(1.85*2)</f>
        <v>8.4</v>
      </c>
      <c r="H59" s="12"/>
      <c r="I59" s="15"/>
      <c r="J59" s="12"/>
      <c r="K59" s="13"/>
      <c r="L59" s="14"/>
      <c r="M59" s="14"/>
      <c r="N59" s="1"/>
      <c r="O59" s="11"/>
      <c r="P59" s="11">
        <f>G59-K59</f>
        <v>8.4</v>
      </c>
      <c r="R59" s="11">
        <f t="shared" si="1"/>
        <v>8.4</v>
      </c>
      <c r="S59" s="7"/>
    </row>
    <row r="60" spans="1:19" ht="20" customHeight="1" x14ac:dyDescent="0.2">
      <c r="A60" s="8"/>
      <c r="B60" s="8"/>
      <c r="C60" s="10">
        <v>6</v>
      </c>
      <c r="D60" s="1" t="s">
        <v>25</v>
      </c>
      <c r="G60" s="11">
        <v>10.62</v>
      </c>
      <c r="H60" s="12"/>
      <c r="I60" s="15"/>
      <c r="J60" s="12"/>
      <c r="K60" s="13">
        <v>5</v>
      </c>
      <c r="L60" s="14"/>
      <c r="M60" s="14"/>
      <c r="O60" s="11">
        <f>G60-K60</f>
        <v>5.6199999999999992</v>
      </c>
      <c r="R60" s="11">
        <f t="shared" si="1"/>
        <v>5.6199999999999992</v>
      </c>
      <c r="S60" s="7"/>
    </row>
    <row r="61" spans="1:19" ht="20" customHeight="1" x14ac:dyDescent="0.2">
      <c r="A61" s="8"/>
      <c r="B61" s="8"/>
      <c r="C61" s="10">
        <v>5</v>
      </c>
      <c r="D61" s="1" t="s">
        <v>28</v>
      </c>
      <c r="G61" s="11">
        <v>26.73</v>
      </c>
      <c r="H61" s="12"/>
      <c r="I61" s="15"/>
      <c r="J61" s="12"/>
      <c r="K61" s="13">
        <v>4.2</v>
      </c>
      <c r="L61" s="14"/>
      <c r="M61" s="14"/>
      <c r="N61" s="11">
        <f t="shared" ref="N61:N67" si="10">G61-K61</f>
        <v>22.53</v>
      </c>
      <c r="O61" s="11"/>
      <c r="R61" s="11">
        <f t="shared" si="1"/>
        <v>22.53</v>
      </c>
      <c r="S61" s="7"/>
    </row>
    <row r="62" spans="1:19" ht="20" customHeight="1" x14ac:dyDescent="0.2">
      <c r="A62" s="8"/>
      <c r="B62" s="8"/>
      <c r="D62" s="1" t="s">
        <v>60</v>
      </c>
      <c r="G62" s="11">
        <f>(2.35*2)+(1.85*2)</f>
        <v>8.4</v>
      </c>
      <c r="H62" s="12"/>
      <c r="I62" s="15"/>
      <c r="J62" s="12"/>
      <c r="K62" s="13"/>
      <c r="L62" s="14"/>
      <c r="M62" s="14"/>
      <c r="N62" s="11">
        <f>G62-K62</f>
        <v>8.4</v>
      </c>
      <c r="O62" s="11"/>
      <c r="R62" s="11">
        <f t="shared" ref="R62" si="11">SUM(N62:Q62)</f>
        <v>8.4</v>
      </c>
      <c r="S62" s="7"/>
    </row>
    <row r="63" spans="1:19" ht="20" customHeight="1" x14ac:dyDescent="0.2">
      <c r="A63" s="8"/>
      <c r="B63" s="8"/>
      <c r="C63" s="10">
        <v>4</v>
      </c>
      <c r="D63" s="1" t="s">
        <v>25</v>
      </c>
      <c r="G63" s="11">
        <v>10.62</v>
      </c>
      <c r="H63" s="12"/>
      <c r="I63" s="15"/>
      <c r="J63" s="12"/>
      <c r="K63" s="13">
        <v>5</v>
      </c>
      <c r="L63" s="14"/>
      <c r="M63" s="14"/>
      <c r="O63" s="11">
        <f>G63-K63</f>
        <v>5.6199999999999992</v>
      </c>
      <c r="R63" s="11">
        <f t="shared" si="1"/>
        <v>5.6199999999999992</v>
      </c>
      <c r="S63" s="7"/>
    </row>
    <row r="64" spans="1:19" ht="20" customHeight="1" x14ac:dyDescent="0.2">
      <c r="A64" s="8"/>
      <c r="B64" s="8"/>
      <c r="C64" s="10">
        <v>3</v>
      </c>
      <c r="D64" s="1" t="s">
        <v>28</v>
      </c>
      <c r="G64" s="11">
        <v>26.73</v>
      </c>
      <c r="H64" s="12"/>
      <c r="I64" s="15"/>
      <c r="J64" s="12"/>
      <c r="K64" s="13">
        <v>4.2</v>
      </c>
      <c r="L64" s="14"/>
      <c r="M64" s="14"/>
      <c r="N64" s="11">
        <f t="shared" si="10"/>
        <v>22.53</v>
      </c>
      <c r="O64" s="11"/>
      <c r="R64" s="11">
        <f t="shared" si="1"/>
        <v>22.53</v>
      </c>
      <c r="S64" s="7"/>
    </row>
    <row r="65" spans="1:20" ht="20" customHeight="1" x14ac:dyDescent="0.2">
      <c r="A65" s="8"/>
      <c r="B65" s="8"/>
      <c r="D65" s="1" t="s">
        <v>60</v>
      </c>
      <c r="G65" s="11">
        <f>(2.35*2)+(1.85*2)</f>
        <v>8.4</v>
      </c>
      <c r="H65" s="12"/>
      <c r="I65" s="15"/>
      <c r="J65" s="12"/>
      <c r="K65" s="13"/>
      <c r="L65" s="14"/>
      <c r="M65" s="14"/>
      <c r="N65" s="11">
        <f>G65-K65</f>
        <v>8.4</v>
      </c>
      <c r="O65" s="11"/>
      <c r="R65" s="11">
        <f t="shared" ref="R65" si="12">SUM(N65:Q65)</f>
        <v>8.4</v>
      </c>
      <c r="S65" s="7"/>
    </row>
    <row r="66" spans="1:20" ht="20" customHeight="1" x14ac:dyDescent="0.2">
      <c r="A66" s="8"/>
      <c r="B66" s="8"/>
      <c r="C66" s="10">
        <v>2</v>
      </c>
      <c r="D66" s="1" t="s">
        <v>25</v>
      </c>
      <c r="G66" s="11">
        <v>10.62</v>
      </c>
      <c r="H66" s="12"/>
      <c r="I66" s="15"/>
      <c r="J66" s="12"/>
      <c r="K66" s="13">
        <v>5</v>
      </c>
      <c r="L66" s="14"/>
      <c r="M66" s="14"/>
      <c r="O66" s="11">
        <f>G66-K66</f>
        <v>5.6199999999999992</v>
      </c>
      <c r="R66" s="11">
        <f t="shared" si="1"/>
        <v>5.6199999999999992</v>
      </c>
      <c r="S66" s="7"/>
    </row>
    <row r="67" spans="1:20" ht="20" customHeight="1" x14ac:dyDescent="0.2">
      <c r="A67" s="8"/>
      <c r="B67" s="8"/>
      <c r="C67" s="10">
        <v>1</v>
      </c>
      <c r="D67" s="1" t="s">
        <v>28</v>
      </c>
      <c r="G67" s="11">
        <v>26.73</v>
      </c>
      <c r="H67" s="12"/>
      <c r="I67" s="15"/>
      <c r="J67" s="12"/>
      <c r="K67" s="13">
        <v>4.2</v>
      </c>
      <c r="L67" s="14"/>
      <c r="M67" s="14"/>
      <c r="N67" s="11">
        <f t="shared" si="10"/>
        <v>22.53</v>
      </c>
      <c r="O67" s="11"/>
      <c r="R67" s="11">
        <f t="shared" si="1"/>
        <v>22.53</v>
      </c>
      <c r="S67" s="7"/>
      <c r="T67" s="7"/>
    </row>
    <row r="68" spans="1:20" ht="20" customHeight="1" x14ac:dyDescent="0.2">
      <c r="B68" s="8"/>
      <c r="C68" s="10" t="s">
        <v>32</v>
      </c>
      <c r="D68" s="1" t="s">
        <v>33</v>
      </c>
      <c r="G68" s="11">
        <v>42.78</v>
      </c>
      <c r="H68" s="12"/>
      <c r="I68" s="15"/>
      <c r="J68" s="12"/>
      <c r="K68" s="13"/>
      <c r="L68" s="14"/>
      <c r="M68" s="14"/>
      <c r="N68" s="11"/>
      <c r="O68" s="11"/>
      <c r="Q68" s="11">
        <f>G68</f>
        <v>42.78</v>
      </c>
      <c r="R68" s="11">
        <f t="shared" si="1"/>
        <v>42.78</v>
      </c>
      <c r="S68" s="7"/>
    </row>
    <row r="69" spans="1:20" ht="20" customHeight="1" x14ac:dyDescent="0.2">
      <c r="A69" s="8"/>
      <c r="B69" s="8">
        <v>5</v>
      </c>
      <c r="C69" s="10">
        <v>10</v>
      </c>
      <c r="D69" s="1" t="s">
        <v>28</v>
      </c>
      <c r="G69" s="11">
        <f>1.7*7.25</f>
        <v>12.324999999999999</v>
      </c>
      <c r="H69" s="1"/>
      <c r="I69" s="1"/>
      <c r="J69" s="1"/>
      <c r="K69" s="1"/>
      <c r="L69" s="14"/>
      <c r="M69" s="14"/>
      <c r="O69" s="11">
        <f>G69-K71</f>
        <v>12.324999999999999</v>
      </c>
      <c r="P69" s="11"/>
      <c r="Q69" s="11"/>
      <c r="R69" s="11">
        <f t="shared" si="1"/>
        <v>12.324999999999999</v>
      </c>
      <c r="S69" s="7"/>
    </row>
    <row r="70" spans="1:20" ht="20" customHeight="1" x14ac:dyDescent="0.2">
      <c r="A70" s="8"/>
      <c r="B70" s="9"/>
      <c r="C70" s="10">
        <v>8</v>
      </c>
      <c r="D70" s="1" t="s">
        <v>28</v>
      </c>
      <c r="G70" s="11">
        <v>6.34</v>
      </c>
      <c r="H70" s="12"/>
      <c r="I70" s="12"/>
      <c r="J70" s="12"/>
      <c r="K70" s="13"/>
      <c r="L70" s="14"/>
      <c r="M70" s="14"/>
      <c r="N70" s="11">
        <f t="shared" ref="N70" si="13">G70-K70</f>
        <v>6.34</v>
      </c>
      <c r="O70" s="11"/>
      <c r="P70" s="11"/>
      <c r="Q70" s="11"/>
      <c r="R70" s="11">
        <f t="shared" si="1"/>
        <v>6.34</v>
      </c>
      <c r="S70" s="7"/>
    </row>
    <row r="71" spans="1:20" ht="20" customHeight="1" x14ac:dyDescent="0.2">
      <c r="B71" s="9"/>
      <c r="C71" s="10">
        <v>7</v>
      </c>
      <c r="D71" s="1" t="s">
        <v>25</v>
      </c>
      <c r="G71" s="11">
        <v>3.85</v>
      </c>
      <c r="H71" s="1"/>
      <c r="I71" s="1"/>
      <c r="J71" s="1"/>
      <c r="K71" s="1"/>
      <c r="L71" s="14"/>
      <c r="M71" s="14"/>
      <c r="O71" s="11">
        <f>G71-K73</f>
        <v>3.85</v>
      </c>
      <c r="P71" s="11"/>
      <c r="Q71" s="11"/>
      <c r="R71" s="11">
        <f t="shared" si="1"/>
        <v>3.85</v>
      </c>
      <c r="S71" s="7"/>
    </row>
    <row r="72" spans="1:20" ht="20" customHeight="1" x14ac:dyDescent="0.2">
      <c r="B72" s="8"/>
      <c r="C72" s="10">
        <v>6</v>
      </c>
      <c r="D72" s="1" t="s">
        <v>28</v>
      </c>
      <c r="G72" s="11">
        <v>6.34</v>
      </c>
      <c r="H72" s="12"/>
      <c r="I72" s="12"/>
      <c r="J72" s="12"/>
      <c r="K72" s="13"/>
      <c r="L72" s="14"/>
      <c r="M72" s="14"/>
      <c r="N72" s="11">
        <f t="shared" ref="N72" si="14">G72-K72</f>
        <v>6.34</v>
      </c>
      <c r="O72" s="11"/>
      <c r="P72" s="11"/>
      <c r="Q72" s="11"/>
      <c r="R72" s="11">
        <f t="shared" si="1"/>
        <v>6.34</v>
      </c>
    </row>
    <row r="73" spans="1:20" ht="20" customHeight="1" x14ac:dyDescent="0.2">
      <c r="B73" s="8"/>
      <c r="C73" s="10">
        <v>5</v>
      </c>
      <c r="D73" s="1" t="s">
        <v>25</v>
      </c>
      <c r="G73" s="11">
        <v>3.85</v>
      </c>
      <c r="H73" s="1"/>
      <c r="I73" s="1"/>
      <c r="J73" s="1"/>
      <c r="K73" s="1"/>
      <c r="L73" s="14"/>
      <c r="M73" s="14"/>
      <c r="O73" s="11">
        <f>G73-K75</f>
        <v>3.85</v>
      </c>
      <c r="P73" s="11"/>
      <c r="Q73" s="11"/>
      <c r="R73" s="11">
        <f t="shared" si="1"/>
        <v>3.85</v>
      </c>
    </row>
    <row r="74" spans="1:20" ht="20" customHeight="1" x14ac:dyDescent="0.2">
      <c r="B74" s="8"/>
      <c r="C74" s="10">
        <v>4</v>
      </c>
      <c r="D74" s="1" t="s">
        <v>29</v>
      </c>
      <c r="G74" s="11">
        <v>6.34</v>
      </c>
      <c r="H74" s="12"/>
      <c r="I74" s="12"/>
      <c r="J74" s="12"/>
      <c r="K74" s="13"/>
      <c r="L74" s="14"/>
      <c r="M74" s="14"/>
      <c r="O74" s="11"/>
      <c r="P74" s="11">
        <f>G74-K74</f>
        <v>6.34</v>
      </c>
      <c r="Q74" s="11"/>
      <c r="R74" s="11">
        <f t="shared" si="1"/>
        <v>6.34</v>
      </c>
    </row>
    <row r="75" spans="1:20" ht="20" customHeight="1" x14ac:dyDescent="0.2">
      <c r="B75" s="8"/>
      <c r="C75" s="10">
        <v>3</v>
      </c>
      <c r="D75" s="1" t="s">
        <v>25</v>
      </c>
      <c r="G75" s="11">
        <v>3.85</v>
      </c>
      <c r="H75" s="1"/>
      <c r="I75" s="1"/>
      <c r="J75" s="1"/>
      <c r="K75" s="1"/>
      <c r="L75" s="14"/>
      <c r="M75" s="14"/>
      <c r="O75" s="11">
        <f>G75-K80</f>
        <v>3.85</v>
      </c>
      <c r="P75" s="11"/>
      <c r="Q75" s="11"/>
      <c r="R75" s="11">
        <f t="shared" si="1"/>
        <v>3.85</v>
      </c>
      <c r="S75" s="7"/>
    </row>
    <row r="76" spans="1:20" ht="20" customHeight="1" x14ac:dyDescent="0.2">
      <c r="B76" s="8"/>
      <c r="C76" s="10">
        <v>2</v>
      </c>
      <c r="D76" s="1" t="s">
        <v>28</v>
      </c>
      <c r="G76" s="11">
        <v>6.34</v>
      </c>
      <c r="H76" s="12"/>
      <c r="I76" s="12"/>
      <c r="J76" s="12"/>
      <c r="K76" s="13"/>
      <c r="L76" s="14"/>
      <c r="M76" s="14"/>
      <c r="N76" s="11">
        <f t="shared" ref="N76" si="15">G76-K76</f>
        <v>6.34</v>
      </c>
      <c r="O76" s="11"/>
      <c r="P76" s="11"/>
      <c r="Q76" s="11"/>
      <c r="R76" s="11">
        <f t="shared" si="1"/>
        <v>6.34</v>
      </c>
      <c r="S76" s="7"/>
    </row>
    <row r="77" spans="1:20" ht="20" customHeight="1" x14ac:dyDescent="0.2">
      <c r="B77" s="8"/>
      <c r="C77" s="10">
        <v>3</v>
      </c>
      <c r="D77" s="1" t="s">
        <v>29</v>
      </c>
      <c r="G77" s="11">
        <v>3.85</v>
      </c>
      <c r="H77" s="1"/>
      <c r="I77" s="1"/>
      <c r="J77" s="1"/>
      <c r="K77" s="1"/>
      <c r="L77" s="14"/>
      <c r="M77" s="14"/>
      <c r="O77" s="1"/>
      <c r="P77" s="11">
        <f>G77-K82</f>
        <v>3.85</v>
      </c>
      <c r="Q77" s="11"/>
      <c r="R77" s="11">
        <f t="shared" si="1"/>
        <v>3.85</v>
      </c>
      <c r="S77" s="7"/>
    </row>
    <row r="78" spans="1:20" ht="20" customHeight="1" x14ac:dyDescent="0.2">
      <c r="B78" s="8" t="s">
        <v>64</v>
      </c>
      <c r="C78" s="10" t="s">
        <v>62</v>
      </c>
      <c r="D78" s="1" t="s">
        <v>63</v>
      </c>
      <c r="G78" s="11">
        <f>13.5+17.5</f>
        <v>31</v>
      </c>
      <c r="H78" s="1"/>
      <c r="I78" s="1"/>
      <c r="J78" s="1"/>
      <c r="K78" s="1"/>
      <c r="L78" s="14"/>
      <c r="M78" s="14"/>
      <c r="N78" s="11">
        <f>G78</f>
        <v>31</v>
      </c>
      <c r="O78" s="1"/>
      <c r="P78" s="11"/>
      <c r="Q78" s="11"/>
      <c r="R78" s="11">
        <f t="shared" si="1"/>
        <v>31</v>
      </c>
      <c r="S78" s="7"/>
    </row>
    <row r="79" spans="1:20" ht="20" customHeight="1" x14ac:dyDescent="0.2">
      <c r="B79" s="8" t="s">
        <v>64</v>
      </c>
      <c r="C79" s="10" t="s">
        <v>62</v>
      </c>
      <c r="D79" s="1" t="s">
        <v>65</v>
      </c>
      <c r="G79" s="11">
        <f>13.5+17.5</f>
        <v>31</v>
      </c>
      <c r="H79" s="1"/>
      <c r="I79" s="1"/>
      <c r="J79" s="1"/>
      <c r="K79" s="1"/>
      <c r="L79" s="14"/>
      <c r="M79" s="14"/>
      <c r="N79" s="11">
        <f>G79</f>
        <v>31</v>
      </c>
      <c r="O79" s="1"/>
      <c r="P79" s="11"/>
      <c r="Q79" s="11"/>
      <c r="R79" s="11">
        <f t="shared" ref="R79" si="16">SUM(N79:Q79)</f>
        <v>31</v>
      </c>
      <c r="S79" s="7"/>
    </row>
    <row r="80" spans="1:20" ht="20" customHeight="1" x14ac:dyDescent="0.2">
      <c r="B80" s="8"/>
      <c r="G80" s="11"/>
      <c r="H80" s="12"/>
      <c r="I80" s="12"/>
      <c r="J80" s="12"/>
      <c r="K80" s="13"/>
      <c r="L80" s="16"/>
      <c r="M80" s="14"/>
      <c r="N80" s="11"/>
      <c r="O80" s="11"/>
      <c r="P80" s="11"/>
      <c r="Q80" s="11"/>
      <c r="R80" s="11"/>
      <c r="S80" s="7"/>
    </row>
    <row r="81" spans="3:20" ht="20" customHeight="1" x14ac:dyDescent="0.2">
      <c r="D81" s="3" t="s">
        <v>1</v>
      </c>
      <c r="E81" s="2"/>
      <c r="F81" s="2"/>
      <c r="G81" s="17">
        <f>SUM(G5:G80)-(Q68+Q54)</f>
        <v>1125.3669999999997</v>
      </c>
      <c r="I81" s="18"/>
      <c r="J81" s="19" t="s">
        <v>0</v>
      </c>
      <c r="K81" s="20"/>
      <c r="L81" s="2"/>
      <c r="M81" s="2"/>
      <c r="N81" s="17">
        <f>SUM(N5:N80)</f>
        <v>586.59199999999976</v>
      </c>
      <c r="O81" s="17">
        <f>SUM(O5:O80)</f>
        <v>139.27500000000001</v>
      </c>
      <c r="P81" s="17">
        <f>SUM(P5:P80)</f>
        <v>131.14999999999998</v>
      </c>
      <c r="Q81" s="17">
        <f>SUM(Q5:Q80)</f>
        <v>76.78</v>
      </c>
      <c r="R81" s="17">
        <f>SUM(R5:R80)</f>
        <v>933.79700000000014</v>
      </c>
    </row>
    <row r="82" spans="3:20" ht="20" customHeight="1" x14ac:dyDescent="0.2">
      <c r="D82" s="10"/>
      <c r="L82" s="13">
        <f>G81-R81</f>
        <v>191.5699999999996</v>
      </c>
      <c r="N82" s="21">
        <f>SUM(N81:Q81)</f>
        <v>933.79699999999968</v>
      </c>
    </row>
    <row r="83" spans="3:20" ht="20" customHeight="1" x14ac:dyDescent="0.2">
      <c r="G83" s="11"/>
      <c r="H83" s="11"/>
      <c r="R83" s="21">
        <f>R81*2</f>
        <v>1867.5940000000003</v>
      </c>
      <c r="S83" s="21"/>
    </row>
    <row r="84" spans="3:20" ht="20" customHeight="1" x14ac:dyDescent="0.2">
      <c r="O84" s="30"/>
      <c r="R84" s="10">
        <v>3511</v>
      </c>
      <c r="S84" s="10"/>
      <c r="T84" s="10"/>
    </row>
    <row r="85" spans="3:20" ht="38" customHeight="1" x14ac:dyDescent="0.2">
      <c r="G85" s="11"/>
      <c r="I85" s="11"/>
      <c r="J85" s="11"/>
      <c r="K85" s="11"/>
      <c r="L85" s="11"/>
      <c r="M85" s="11"/>
      <c r="N85" s="4" t="s">
        <v>45</v>
      </c>
      <c r="O85" s="4" t="s">
        <v>48</v>
      </c>
      <c r="P85" s="4" t="s">
        <v>47</v>
      </c>
      <c r="Q85" s="4" t="s">
        <v>46</v>
      </c>
      <c r="R85" s="11">
        <f>R84-R83</f>
        <v>1643.4059999999997</v>
      </c>
      <c r="S85" s="10"/>
      <c r="T85" s="10"/>
    </row>
    <row r="86" spans="3:20" ht="20" customHeight="1" x14ac:dyDescent="0.2">
      <c r="G86" s="11"/>
      <c r="H86" s="11"/>
      <c r="I86" s="30"/>
      <c r="J86" s="30"/>
      <c r="K86" s="30"/>
      <c r="L86" s="30"/>
      <c r="M86" s="30"/>
      <c r="N86" s="11">
        <f>N81/70</f>
        <v>8.3798857142857113</v>
      </c>
      <c r="O86" s="11">
        <f>O81/70</f>
        <v>1.9896428571428573</v>
      </c>
      <c r="P86" s="11">
        <f>P81/70</f>
        <v>1.8735714285714282</v>
      </c>
      <c r="Q86" s="11">
        <f>Q81/70</f>
        <v>1.096857142857143</v>
      </c>
      <c r="R86" s="10">
        <f>R85/2</f>
        <v>821.70299999999986</v>
      </c>
      <c r="S86" s="10"/>
      <c r="T86" s="10"/>
    </row>
    <row r="87" spans="3:20" ht="20" customHeight="1" x14ac:dyDescent="0.2">
      <c r="G87" s="11"/>
      <c r="H87" s="11"/>
      <c r="I87" s="30"/>
      <c r="J87" s="30"/>
      <c r="K87" s="30"/>
      <c r="L87" s="30"/>
      <c r="M87" s="30"/>
      <c r="N87" s="11"/>
      <c r="O87" s="11"/>
      <c r="P87" s="11"/>
      <c r="Q87" s="11"/>
      <c r="S87" s="10"/>
      <c r="T87" s="10"/>
    </row>
    <row r="88" spans="3:20" ht="20" customHeight="1" x14ac:dyDescent="0.2">
      <c r="C88" s="10">
        <v>1</v>
      </c>
      <c r="D88" s="1" t="s">
        <v>82</v>
      </c>
      <c r="E88" s="10">
        <v>37.85</v>
      </c>
      <c r="F88" s="10">
        <v>2.25</v>
      </c>
      <c r="G88" s="11">
        <f t="shared" ref="G88:G93" si="17">E88*F88</f>
        <v>85.162500000000009</v>
      </c>
      <c r="H88" s="11"/>
      <c r="I88" s="30"/>
      <c r="J88" s="30"/>
      <c r="K88" s="30"/>
      <c r="L88" s="30"/>
      <c r="M88" s="30"/>
      <c r="N88" s="11"/>
      <c r="O88" s="11"/>
      <c r="P88" s="11"/>
      <c r="Q88" s="11"/>
      <c r="S88" s="10"/>
      <c r="T88" s="10"/>
    </row>
    <row r="89" spans="3:20" ht="20" customHeight="1" x14ac:dyDescent="0.2">
      <c r="C89" s="10">
        <v>2</v>
      </c>
      <c r="D89" s="1" t="s">
        <v>82</v>
      </c>
      <c r="E89" s="10">
        <v>37.200000000000003</v>
      </c>
      <c r="F89" s="10">
        <v>6.75</v>
      </c>
      <c r="G89" s="11">
        <f t="shared" si="17"/>
        <v>251.10000000000002</v>
      </c>
      <c r="H89" s="11"/>
      <c r="I89" s="30"/>
      <c r="J89" s="30"/>
      <c r="K89" s="30"/>
      <c r="L89" s="30"/>
      <c r="M89" s="30"/>
      <c r="N89" s="11"/>
      <c r="O89" s="11"/>
      <c r="P89" s="11"/>
      <c r="Q89" s="11"/>
      <c r="S89" s="10"/>
      <c r="T89" s="10"/>
    </row>
    <row r="90" spans="3:20" ht="20" customHeight="1" x14ac:dyDescent="0.2">
      <c r="C90" s="10">
        <v>3</v>
      </c>
      <c r="D90" s="1" t="s">
        <v>82</v>
      </c>
      <c r="E90" s="10">
        <v>38.770000000000003</v>
      </c>
      <c r="F90" s="10">
        <v>18.2</v>
      </c>
      <c r="G90" s="11">
        <f t="shared" si="17"/>
        <v>705.61400000000003</v>
      </c>
      <c r="H90" s="11"/>
      <c r="I90" s="30"/>
      <c r="J90" s="30"/>
      <c r="K90" s="30"/>
      <c r="L90" s="30"/>
      <c r="M90" s="30"/>
      <c r="N90" s="11"/>
      <c r="O90" s="11"/>
      <c r="P90" s="11"/>
      <c r="Q90" s="11"/>
      <c r="S90" s="10"/>
      <c r="T90" s="10"/>
    </row>
    <row r="91" spans="3:20" ht="20" customHeight="1" x14ac:dyDescent="0.2">
      <c r="C91" s="10">
        <v>4</v>
      </c>
      <c r="D91" s="1" t="s">
        <v>82</v>
      </c>
      <c r="E91" s="10">
        <v>37.200000000000003</v>
      </c>
      <c r="F91" s="10">
        <v>6.75</v>
      </c>
      <c r="G91" s="11">
        <f t="shared" si="17"/>
        <v>251.10000000000002</v>
      </c>
      <c r="H91" s="11"/>
      <c r="I91" s="30"/>
      <c r="J91" s="30"/>
      <c r="K91" s="30"/>
      <c r="L91" s="30"/>
      <c r="M91" s="30"/>
      <c r="N91" s="11"/>
      <c r="O91" s="11"/>
      <c r="P91" s="11"/>
      <c r="Q91" s="11"/>
      <c r="S91" s="10"/>
      <c r="T91" s="10"/>
    </row>
    <row r="92" spans="3:20" ht="20" customHeight="1" x14ac:dyDescent="0.2">
      <c r="C92" s="10">
        <v>5</v>
      </c>
      <c r="D92" s="1" t="s">
        <v>82</v>
      </c>
      <c r="E92" s="10">
        <v>37.85</v>
      </c>
      <c r="F92" s="10">
        <v>2.25</v>
      </c>
      <c r="G92" s="11">
        <f t="shared" si="17"/>
        <v>85.162500000000009</v>
      </c>
      <c r="H92" s="11"/>
      <c r="I92" s="30"/>
      <c r="J92" s="30"/>
      <c r="K92" s="30"/>
      <c r="L92" s="30"/>
      <c r="M92" s="30"/>
      <c r="N92" s="11"/>
      <c r="O92" s="11"/>
      <c r="P92" s="11"/>
      <c r="Q92" s="11"/>
      <c r="S92" s="10"/>
      <c r="T92" s="10"/>
    </row>
    <row r="93" spans="3:20" ht="20" customHeight="1" x14ac:dyDescent="0.2">
      <c r="C93" s="10">
        <v>6</v>
      </c>
      <c r="D93" s="1" t="s">
        <v>83</v>
      </c>
      <c r="E93" s="10">
        <v>6.2</v>
      </c>
      <c r="F93" s="10">
        <v>21.7</v>
      </c>
      <c r="G93" s="11">
        <f t="shared" si="17"/>
        <v>134.54</v>
      </c>
      <c r="H93" s="11"/>
      <c r="I93" s="30"/>
      <c r="J93" s="30"/>
      <c r="K93" s="30"/>
      <c r="L93" s="30"/>
      <c r="M93" s="30"/>
      <c r="N93" s="11"/>
      <c r="O93" s="11"/>
      <c r="P93" s="11"/>
      <c r="Q93" s="11"/>
      <c r="S93" s="10"/>
      <c r="T93" s="10"/>
    </row>
    <row r="94" spans="3:20" ht="20" customHeight="1" x14ac:dyDescent="0.2">
      <c r="G94" s="11">
        <f>SUM(G88:G93)</f>
        <v>1512.6790000000001</v>
      </c>
      <c r="H94" s="11"/>
      <c r="I94" s="30"/>
      <c r="J94" s="30"/>
      <c r="K94" s="30"/>
      <c r="L94" s="30"/>
      <c r="M94" s="30"/>
      <c r="N94" s="11"/>
      <c r="O94" s="11"/>
      <c r="P94" s="11"/>
      <c r="Q94" s="11"/>
      <c r="S94" s="10"/>
      <c r="T94" s="10"/>
    </row>
    <row r="95" spans="3:20" ht="20" customHeight="1" x14ac:dyDescent="0.2">
      <c r="G95" s="11"/>
      <c r="H95" s="11"/>
      <c r="I95" s="30"/>
      <c r="J95" s="30"/>
      <c r="K95" s="30"/>
      <c r="L95" s="30"/>
      <c r="M95" s="30"/>
      <c r="N95" s="11"/>
      <c r="O95" s="11"/>
      <c r="P95" s="11"/>
      <c r="Q95" s="11"/>
      <c r="S95" s="10"/>
      <c r="T95" s="10"/>
    </row>
    <row r="96" spans="3:20" ht="20" customHeight="1" x14ac:dyDescent="0.2">
      <c r="G96" s="11"/>
      <c r="H96" s="11"/>
      <c r="K96" s="21"/>
      <c r="L96" s="21"/>
      <c r="M96" s="21"/>
      <c r="N96" s="11"/>
      <c r="O96" s="11"/>
      <c r="P96" s="11"/>
      <c r="Q96" s="11"/>
      <c r="R96" s="11"/>
    </row>
    <row r="97" spans="1:18" ht="20" customHeight="1" x14ac:dyDescent="0.2">
      <c r="B97" s="32"/>
      <c r="C97" s="32"/>
      <c r="D97" s="35" t="s">
        <v>49</v>
      </c>
      <c r="E97" s="32"/>
      <c r="F97" s="32"/>
      <c r="G97" s="33"/>
      <c r="H97" s="33"/>
      <c r="I97" s="32"/>
      <c r="J97" s="32"/>
      <c r="K97" s="34"/>
      <c r="L97" s="34"/>
      <c r="M97" s="34"/>
      <c r="N97" s="33"/>
      <c r="O97" s="33"/>
      <c r="P97" s="33"/>
      <c r="Q97" s="33"/>
      <c r="R97" s="33"/>
    </row>
    <row r="98" spans="1:18" ht="20" customHeight="1" x14ac:dyDescent="0.2">
      <c r="A98" s="8" t="s">
        <v>22</v>
      </c>
      <c r="B98" s="8">
        <v>6</v>
      </c>
      <c r="C98" s="10">
        <v>10</v>
      </c>
      <c r="D98" s="1" t="s">
        <v>24</v>
      </c>
      <c r="E98" s="10">
        <v>7.5</v>
      </c>
      <c r="F98" s="10">
        <v>24</v>
      </c>
      <c r="G98" s="11">
        <f>E98*F98</f>
        <v>180</v>
      </c>
      <c r="H98" s="12">
        <v>6</v>
      </c>
      <c r="I98" s="12">
        <v>22.5</v>
      </c>
      <c r="J98" s="12">
        <v>1</v>
      </c>
      <c r="K98" s="13">
        <f>(H98)*I98*J98</f>
        <v>135</v>
      </c>
      <c r="L98" s="14">
        <f>F98</f>
        <v>24</v>
      </c>
      <c r="M98" s="14"/>
      <c r="N98" s="11">
        <f>G98-K98</f>
        <v>45</v>
      </c>
      <c r="O98" s="11"/>
      <c r="P98" s="11"/>
      <c r="Q98" s="11"/>
      <c r="R98" s="11">
        <f t="shared" ref="R98:R113" si="18">SUM(N98:Q98)</f>
        <v>45</v>
      </c>
    </row>
    <row r="99" spans="1:18" ht="20" customHeight="1" x14ac:dyDescent="0.2">
      <c r="B99" s="8"/>
      <c r="D99" s="1" t="s">
        <v>41</v>
      </c>
      <c r="G99" s="11">
        <v>1</v>
      </c>
      <c r="H99" s="12"/>
      <c r="I99" s="12"/>
      <c r="J99" s="12"/>
      <c r="K99" s="13"/>
      <c r="L99" s="14"/>
      <c r="M99" s="14"/>
      <c r="N99" s="11"/>
      <c r="O99" s="11">
        <f>G99</f>
        <v>1</v>
      </c>
      <c r="P99" s="11"/>
      <c r="Q99" s="11"/>
      <c r="R99" s="11">
        <f t="shared" si="18"/>
        <v>1</v>
      </c>
    </row>
    <row r="100" spans="1:18" ht="20" customHeight="1" x14ac:dyDescent="0.2">
      <c r="B100" s="8"/>
      <c r="D100" s="1" t="s">
        <v>42</v>
      </c>
      <c r="G100" s="11">
        <v>10.57</v>
      </c>
      <c r="H100" s="12"/>
      <c r="I100" s="12"/>
      <c r="J100" s="12"/>
      <c r="K100" s="13"/>
      <c r="L100" s="14"/>
      <c r="M100" s="14"/>
      <c r="N100" s="11"/>
      <c r="O100" s="11">
        <f>G100</f>
        <v>10.57</v>
      </c>
      <c r="P100" s="11"/>
      <c r="Q100" s="11"/>
      <c r="R100" s="11">
        <f t="shared" si="18"/>
        <v>10.57</v>
      </c>
    </row>
    <row r="101" spans="1:18" ht="20" customHeight="1" x14ac:dyDescent="0.2">
      <c r="B101" s="8"/>
      <c r="D101" s="1" t="s">
        <v>43</v>
      </c>
      <c r="G101" s="11">
        <v>5.75</v>
      </c>
      <c r="H101" s="12"/>
      <c r="I101" s="15"/>
      <c r="J101" s="12"/>
      <c r="K101" s="13"/>
      <c r="L101" s="14"/>
      <c r="M101" s="14"/>
      <c r="O101" s="11">
        <f>G101-K101</f>
        <v>5.75</v>
      </c>
      <c r="R101" s="11">
        <f t="shared" si="18"/>
        <v>5.75</v>
      </c>
    </row>
    <row r="102" spans="1:18" ht="20" customHeight="1" x14ac:dyDescent="0.2">
      <c r="B102" s="8"/>
      <c r="D102" s="1" t="s">
        <v>44</v>
      </c>
      <c r="G102" s="11">
        <v>1</v>
      </c>
      <c r="H102" s="12"/>
      <c r="I102" s="12"/>
      <c r="J102" s="12"/>
      <c r="K102" s="13"/>
      <c r="L102" s="14"/>
      <c r="M102" s="14"/>
      <c r="N102" s="11"/>
      <c r="O102" s="11">
        <f>G102</f>
        <v>1</v>
      </c>
      <c r="P102" s="11"/>
      <c r="Q102" s="11"/>
      <c r="R102" s="11">
        <f t="shared" si="18"/>
        <v>1</v>
      </c>
    </row>
    <row r="103" spans="1:18" ht="20" customHeight="1" x14ac:dyDescent="0.2">
      <c r="B103" s="8"/>
      <c r="C103" s="10">
        <v>9</v>
      </c>
      <c r="D103" s="1" t="s">
        <v>41</v>
      </c>
      <c r="E103" s="10">
        <v>2.5499999999999998</v>
      </c>
      <c r="F103" s="10">
        <v>2.5</v>
      </c>
      <c r="G103" s="11">
        <f>E103*F103</f>
        <v>6.375</v>
      </c>
      <c r="H103" s="12"/>
      <c r="I103" s="15"/>
      <c r="J103" s="12"/>
      <c r="K103" s="13"/>
      <c r="L103" s="14"/>
      <c r="M103" s="14"/>
      <c r="O103" s="11">
        <f>G103</f>
        <v>6.375</v>
      </c>
      <c r="P103" s="1"/>
      <c r="R103" s="11">
        <f t="shared" si="18"/>
        <v>6.375</v>
      </c>
    </row>
    <row r="104" spans="1:18" ht="20" customHeight="1" x14ac:dyDescent="0.2">
      <c r="B104" s="8"/>
      <c r="D104" s="1" t="s">
        <v>42</v>
      </c>
      <c r="G104" s="11">
        <v>4.25</v>
      </c>
      <c r="H104" s="12"/>
      <c r="I104" s="15"/>
      <c r="J104" s="12"/>
      <c r="K104" s="13"/>
      <c r="L104" s="14"/>
      <c r="M104" s="14"/>
      <c r="O104" s="11">
        <f>G104</f>
        <v>4.25</v>
      </c>
      <c r="P104" s="11"/>
      <c r="R104" s="11">
        <f t="shared" si="18"/>
        <v>4.25</v>
      </c>
    </row>
    <row r="105" spans="1:18" ht="20" customHeight="1" x14ac:dyDescent="0.2">
      <c r="B105" s="8"/>
      <c r="D105" s="1" t="s">
        <v>43</v>
      </c>
      <c r="G105" s="11">
        <v>2.2999999999999998</v>
      </c>
      <c r="H105" s="12"/>
      <c r="I105" s="15"/>
      <c r="J105" s="12"/>
      <c r="K105" s="13"/>
      <c r="L105" s="14"/>
      <c r="M105" s="14"/>
      <c r="O105" s="11">
        <v>2.3199999999999998</v>
      </c>
      <c r="P105" s="11"/>
      <c r="R105" s="11">
        <f t="shared" si="18"/>
        <v>2.3199999999999998</v>
      </c>
    </row>
    <row r="106" spans="1:18" ht="20" customHeight="1" x14ac:dyDescent="0.2">
      <c r="B106" s="8"/>
      <c r="D106" s="1" t="s">
        <v>44</v>
      </c>
      <c r="G106" s="11">
        <v>1</v>
      </c>
      <c r="H106" s="12"/>
      <c r="I106" s="15"/>
      <c r="J106" s="12"/>
      <c r="K106" s="13"/>
      <c r="L106" s="14"/>
      <c r="M106" s="14"/>
      <c r="O106" s="11">
        <f>G106</f>
        <v>1</v>
      </c>
      <c r="P106" s="11"/>
      <c r="R106" s="11">
        <f t="shared" si="18"/>
        <v>1</v>
      </c>
    </row>
    <row r="107" spans="1:18" ht="20" customHeight="1" x14ac:dyDescent="0.2">
      <c r="B107" s="8"/>
      <c r="C107" s="10">
        <v>8</v>
      </c>
      <c r="D107" s="1" t="s">
        <v>50</v>
      </c>
      <c r="E107" s="10">
        <v>3.6</v>
      </c>
      <c r="F107" s="10">
        <v>24</v>
      </c>
      <c r="G107" s="11">
        <f>E107*F107</f>
        <v>86.4</v>
      </c>
      <c r="H107" s="12">
        <v>2.5</v>
      </c>
      <c r="I107" s="12">
        <v>22.5</v>
      </c>
      <c r="J107" s="12">
        <v>1</v>
      </c>
      <c r="K107" s="13">
        <f>(H107)*I107*J107</f>
        <v>56.25</v>
      </c>
      <c r="L107" s="14">
        <f>F107*2</f>
        <v>48</v>
      </c>
      <c r="M107" s="14"/>
      <c r="N107" s="11">
        <f>G107-K107</f>
        <v>30.150000000000006</v>
      </c>
      <c r="O107" s="11"/>
      <c r="P107" s="11"/>
      <c r="Q107" s="11"/>
      <c r="R107" s="11">
        <f t="shared" si="18"/>
        <v>30.150000000000006</v>
      </c>
    </row>
    <row r="108" spans="1:18" ht="20" customHeight="1" x14ac:dyDescent="0.2">
      <c r="B108" s="8"/>
      <c r="D108" s="1" t="s">
        <v>59</v>
      </c>
      <c r="E108" s="10">
        <v>2.5499999999999998</v>
      </c>
      <c r="F108" s="10">
        <v>2</v>
      </c>
      <c r="G108" s="11">
        <f>E108*F108</f>
        <v>5.0999999999999996</v>
      </c>
      <c r="H108" s="12"/>
      <c r="I108" s="15"/>
      <c r="J108" s="12"/>
      <c r="K108" s="13"/>
      <c r="L108" s="14"/>
      <c r="M108" s="14"/>
      <c r="N108" s="11">
        <f>G108-K108</f>
        <v>5.0999999999999996</v>
      </c>
      <c r="O108" s="11"/>
      <c r="R108" s="11">
        <f t="shared" ref="R108" si="19">SUM(N108:Q108)</f>
        <v>5.0999999999999996</v>
      </c>
    </row>
    <row r="109" spans="1:18" ht="20" customHeight="1" x14ac:dyDescent="0.2">
      <c r="B109" s="8"/>
      <c r="D109" s="1" t="s">
        <v>41</v>
      </c>
      <c r="E109" s="10">
        <v>2.5499999999999998</v>
      </c>
      <c r="F109" s="10">
        <v>2.5</v>
      </c>
      <c r="G109" s="11">
        <f>E109*F109</f>
        <v>6.375</v>
      </c>
      <c r="H109" s="12"/>
      <c r="I109" s="15"/>
      <c r="J109" s="12"/>
      <c r="K109" s="13"/>
      <c r="L109" s="14"/>
      <c r="M109" s="14"/>
      <c r="O109" s="11">
        <f>G109</f>
        <v>6.375</v>
      </c>
      <c r="P109" s="1"/>
      <c r="R109" s="11">
        <f t="shared" si="18"/>
        <v>6.375</v>
      </c>
    </row>
    <row r="110" spans="1:18" ht="20" customHeight="1" x14ac:dyDescent="0.2">
      <c r="B110" s="8"/>
      <c r="D110" s="1" t="s">
        <v>42</v>
      </c>
      <c r="G110" s="11">
        <v>4.25</v>
      </c>
      <c r="H110" s="12"/>
      <c r="I110" s="15"/>
      <c r="J110" s="12"/>
      <c r="K110" s="13"/>
      <c r="L110" s="14"/>
      <c r="M110" s="14"/>
      <c r="O110" s="11">
        <f>G110</f>
        <v>4.25</v>
      </c>
      <c r="P110" s="11"/>
      <c r="R110" s="11">
        <f t="shared" si="18"/>
        <v>4.25</v>
      </c>
    </row>
    <row r="111" spans="1:18" ht="20" customHeight="1" x14ac:dyDescent="0.2">
      <c r="B111" s="8"/>
      <c r="D111" s="1" t="s">
        <v>43</v>
      </c>
      <c r="G111" s="11">
        <v>2.2999999999999998</v>
      </c>
      <c r="H111" s="12"/>
      <c r="I111" s="15"/>
      <c r="J111" s="12"/>
      <c r="K111" s="13"/>
      <c r="L111" s="14"/>
      <c r="M111" s="14"/>
      <c r="O111" s="11">
        <v>2.3199999999999998</v>
      </c>
      <c r="P111" s="11"/>
      <c r="R111" s="11">
        <f t="shared" si="18"/>
        <v>2.3199999999999998</v>
      </c>
    </row>
    <row r="112" spans="1:18" ht="20" customHeight="1" x14ac:dyDescent="0.2">
      <c r="B112" s="8"/>
      <c r="D112" s="1" t="s">
        <v>44</v>
      </c>
      <c r="E112" s="10">
        <v>2.5499999999999998</v>
      </c>
      <c r="F112" s="10">
        <v>2.5</v>
      </c>
      <c r="G112" s="11">
        <f>E112*F112</f>
        <v>6.375</v>
      </c>
      <c r="H112" s="12"/>
      <c r="I112" s="15"/>
      <c r="J112" s="12"/>
      <c r="K112" s="13"/>
      <c r="L112" s="14"/>
      <c r="M112" s="14"/>
      <c r="O112" s="11">
        <f>G112</f>
        <v>6.375</v>
      </c>
      <c r="P112" s="11"/>
      <c r="R112" s="11">
        <f t="shared" si="18"/>
        <v>6.375</v>
      </c>
    </row>
    <row r="113" spans="2:18" ht="20" customHeight="1" x14ac:dyDescent="0.2">
      <c r="B113" s="8"/>
      <c r="D113" s="1" t="s">
        <v>59</v>
      </c>
      <c r="E113" s="10">
        <v>2.5499999999999998</v>
      </c>
      <c r="F113" s="10">
        <v>2</v>
      </c>
      <c r="G113" s="11">
        <f>E113*F113</f>
        <v>5.0999999999999996</v>
      </c>
      <c r="H113" s="12"/>
      <c r="I113" s="15"/>
      <c r="J113" s="12"/>
      <c r="K113" s="13"/>
      <c r="L113" s="14"/>
      <c r="M113" s="14"/>
      <c r="N113" s="11">
        <f>G113-K113</f>
        <v>5.0999999999999996</v>
      </c>
      <c r="O113" s="11"/>
      <c r="P113" s="11"/>
      <c r="R113" s="11">
        <f t="shared" si="18"/>
        <v>5.0999999999999996</v>
      </c>
    </row>
    <row r="114" spans="2:18" ht="20" customHeight="1" x14ac:dyDescent="0.2">
      <c r="B114" s="8"/>
      <c r="C114" s="10">
        <v>7</v>
      </c>
      <c r="D114" s="1" t="s">
        <v>41</v>
      </c>
      <c r="E114" s="10">
        <v>2.5499999999999998</v>
      </c>
      <c r="F114" s="10">
        <v>2.5</v>
      </c>
      <c r="G114" s="11">
        <f>E114*F114</f>
        <v>6.375</v>
      </c>
      <c r="H114" s="12"/>
      <c r="I114" s="15"/>
      <c r="J114" s="12"/>
      <c r="K114" s="13"/>
      <c r="L114" s="14"/>
      <c r="M114" s="14"/>
      <c r="O114" s="11">
        <f>G114</f>
        <v>6.375</v>
      </c>
      <c r="P114" s="1"/>
      <c r="R114" s="11">
        <f t="shared" ref="R114:R118" si="20">SUM(N114:Q114)</f>
        <v>6.375</v>
      </c>
    </row>
    <row r="115" spans="2:18" ht="20" customHeight="1" x14ac:dyDescent="0.2">
      <c r="B115" s="8"/>
      <c r="D115" s="1" t="s">
        <v>42</v>
      </c>
      <c r="G115" s="11">
        <v>4.25</v>
      </c>
      <c r="H115" s="12"/>
      <c r="I115" s="15"/>
      <c r="J115" s="12"/>
      <c r="K115" s="13"/>
      <c r="L115" s="14"/>
      <c r="M115" s="14"/>
      <c r="O115" s="11">
        <f>G115</f>
        <v>4.25</v>
      </c>
      <c r="P115" s="11"/>
      <c r="R115" s="11">
        <f t="shared" si="20"/>
        <v>4.25</v>
      </c>
    </row>
    <row r="116" spans="2:18" ht="20" customHeight="1" x14ac:dyDescent="0.2">
      <c r="B116" s="8"/>
      <c r="D116" s="1" t="s">
        <v>43</v>
      </c>
      <c r="G116" s="11">
        <v>2.2999999999999998</v>
      </c>
      <c r="H116" s="12"/>
      <c r="I116" s="15"/>
      <c r="J116" s="12"/>
      <c r="K116" s="13"/>
      <c r="L116" s="14"/>
      <c r="M116" s="14"/>
      <c r="O116" s="11">
        <v>2.3199999999999998</v>
      </c>
      <c r="P116" s="11"/>
      <c r="R116" s="11">
        <f t="shared" si="20"/>
        <v>2.3199999999999998</v>
      </c>
    </row>
    <row r="117" spans="2:18" ht="20" customHeight="1" x14ac:dyDescent="0.2">
      <c r="B117" s="8"/>
      <c r="D117" s="1" t="s">
        <v>44</v>
      </c>
      <c r="G117" s="11">
        <v>1</v>
      </c>
      <c r="H117" s="12"/>
      <c r="I117" s="15"/>
      <c r="J117" s="12"/>
      <c r="K117" s="13"/>
      <c r="L117" s="14"/>
      <c r="M117" s="14"/>
      <c r="O117" s="11">
        <f>G117</f>
        <v>1</v>
      </c>
      <c r="P117" s="11"/>
      <c r="R117" s="11">
        <f t="shared" si="20"/>
        <v>1</v>
      </c>
    </row>
    <row r="118" spans="2:18" ht="20" customHeight="1" x14ac:dyDescent="0.2">
      <c r="B118" s="8"/>
      <c r="C118" s="10">
        <v>6</v>
      </c>
      <c r="D118" s="1" t="s">
        <v>50</v>
      </c>
      <c r="E118" s="10">
        <v>3.6</v>
      </c>
      <c r="F118" s="10">
        <v>24</v>
      </c>
      <c r="G118" s="11">
        <f>E118*F118</f>
        <v>86.4</v>
      </c>
      <c r="H118" s="12">
        <v>2.5</v>
      </c>
      <c r="I118" s="12">
        <v>22.5</v>
      </c>
      <c r="J118" s="12">
        <v>1</v>
      </c>
      <c r="K118" s="13">
        <f>(H118)*I118*J118</f>
        <v>56.25</v>
      </c>
      <c r="L118" s="14">
        <f>F118*2</f>
        <v>48</v>
      </c>
      <c r="M118" s="14"/>
      <c r="N118" s="11">
        <f>G118-K118</f>
        <v>30.150000000000006</v>
      </c>
      <c r="O118" s="11"/>
      <c r="P118" s="11"/>
      <c r="Q118" s="11"/>
      <c r="R118" s="11">
        <f t="shared" si="20"/>
        <v>30.150000000000006</v>
      </c>
    </row>
    <row r="119" spans="2:18" ht="20" customHeight="1" x14ac:dyDescent="0.2">
      <c r="B119" s="8"/>
      <c r="D119" s="1" t="s">
        <v>59</v>
      </c>
      <c r="E119" s="10">
        <v>2.5499999999999998</v>
      </c>
      <c r="F119" s="10">
        <v>2</v>
      </c>
      <c r="G119" s="11">
        <f>E119*F119</f>
        <v>5.0999999999999996</v>
      </c>
      <c r="H119" s="12"/>
      <c r="I119" s="15"/>
      <c r="J119" s="12"/>
      <c r="K119" s="13"/>
      <c r="L119" s="14"/>
      <c r="M119" s="14"/>
      <c r="N119" s="11">
        <f>G119-K119</f>
        <v>5.0999999999999996</v>
      </c>
      <c r="O119" s="11"/>
      <c r="R119" s="11">
        <f t="shared" ref="R119" si="21">SUM(N119:Q119)</f>
        <v>5.0999999999999996</v>
      </c>
    </row>
    <row r="120" spans="2:18" ht="20" customHeight="1" x14ac:dyDescent="0.2">
      <c r="B120" s="8"/>
      <c r="D120" s="1" t="s">
        <v>41</v>
      </c>
      <c r="E120" s="10">
        <v>2.5499999999999998</v>
      </c>
      <c r="F120" s="10">
        <v>2.5</v>
      </c>
      <c r="G120" s="11">
        <f>E120*F120</f>
        <v>6.375</v>
      </c>
      <c r="H120" s="12"/>
      <c r="I120" s="15"/>
      <c r="J120" s="12"/>
      <c r="K120" s="13"/>
      <c r="L120" s="14"/>
      <c r="M120" s="14"/>
      <c r="O120" s="11">
        <f>G120</f>
        <v>6.375</v>
      </c>
      <c r="P120" s="1"/>
      <c r="R120" s="11">
        <f t="shared" ref="R120:R124" si="22">SUM(N120:Q120)</f>
        <v>6.375</v>
      </c>
    </row>
    <row r="121" spans="2:18" ht="20" customHeight="1" x14ac:dyDescent="0.2">
      <c r="B121" s="8"/>
      <c r="D121" s="1" t="s">
        <v>42</v>
      </c>
      <c r="G121" s="11">
        <v>4.25</v>
      </c>
      <c r="H121" s="12"/>
      <c r="I121" s="15"/>
      <c r="J121" s="12"/>
      <c r="K121" s="13"/>
      <c r="L121" s="14"/>
      <c r="M121" s="14"/>
      <c r="O121" s="11">
        <f>G121</f>
        <v>4.25</v>
      </c>
      <c r="P121" s="11"/>
      <c r="R121" s="11">
        <f t="shared" si="22"/>
        <v>4.25</v>
      </c>
    </row>
    <row r="122" spans="2:18" ht="20" customHeight="1" x14ac:dyDescent="0.2">
      <c r="B122" s="8"/>
      <c r="D122" s="1" t="s">
        <v>43</v>
      </c>
      <c r="G122" s="11">
        <v>2.2999999999999998</v>
      </c>
      <c r="H122" s="12"/>
      <c r="I122" s="15"/>
      <c r="J122" s="12"/>
      <c r="K122" s="13"/>
      <c r="L122" s="14"/>
      <c r="M122" s="14"/>
      <c r="O122" s="11">
        <v>2.3199999999999998</v>
      </c>
      <c r="P122" s="11"/>
      <c r="R122" s="11">
        <f t="shared" si="22"/>
        <v>2.3199999999999998</v>
      </c>
    </row>
    <row r="123" spans="2:18" ht="20" customHeight="1" x14ac:dyDescent="0.2">
      <c r="B123" s="8"/>
      <c r="D123" s="1" t="s">
        <v>44</v>
      </c>
      <c r="E123" s="10">
        <v>2.5499999999999998</v>
      </c>
      <c r="F123" s="10">
        <v>2.5</v>
      </c>
      <c r="G123" s="11">
        <f>E123*F123</f>
        <v>6.375</v>
      </c>
      <c r="H123" s="12"/>
      <c r="I123" s="15"/>
      <c r="J123" s="12"/>
      <c r="K123" s="13"/>
      <c r="L123" s="14"/>
      <c r="M123" s="14"/>
      <c r="O123" s="11">
        <f>G123</f>
        <v>6.375</v>
      </c>
      <c r="P123" s="11"/>
      <c r="R123" s="11">
        <f t="shared" si="22"/>
        <v>6.375</v>
      </c>
    </row>
    <row r="124" spans="2:18" ht="20" customHeight="1" x14ac:dyDescent="0.2">
      <c r="B124" s="8"/>
      <c r="D124" s="1" t="s">
        <v>59</v>
      </c>
      <c r="E124" s="10">
        <v>2.5499999999999998</v>
      </c>
      <c r="F124" s="10">
        <v>2</v>
      </c>
      <c r="G124" s="11">
        <f>E124*F124</f>
        <v>5.0999999999999996</v>
      </c>
      <c r="H124" s="12"/>
      <c r="I124" s="15"/>
      <c r="J124" s="12"/>
      <c r="K124" s="13"/>
      <c r="L124" s="14"/>
      <c r="M124" s="14"/>
      <c r="N124" s="11">
        <f>G124-K124</f>
        <v>5.0999999999999996</v>
      </c>
      <c r="O124" s="11"/>
      <c r="P124" s="11"/>
      <c r="R124" s="11">
        <f t="shared" si="22"/>
        <v>5.0999999999999996</v>
      </c>
    </row>
    <row r="125" spans="2:18" ht="20" customHeight="1" x14ac:dyDescent="0.2">
      <c r="B125" s="8"/>
      <c r="C125" s="10">
        <v>5</v>
      </c>
      <c r="D125" s="1" t="s">
        <v>41</v>
      </c>
      <c r="E125" s="10">
        <v>2.5499999999999998</v>
      </c>
      <c r="F125" s="10">
        <v>2.5</v>
      </c>
      <c r="G125" s="11">
        <f>E125*F125</f>
        <v>6.375</v>
      </c>
      <c r="H125" s="12"/>
      <c r="I125" s="15"/>
      <c r="J125" s="12"/>
      <c r="K125" s="13"/>
      <c r="L125" s="14"/>
      <c r="M125" s="14"/>
      <c r="O125" s="11">
        <f>G125</f>
        <v>6.375</v>
      </c>
      <c r="P125" s="1"/>
      <c r="R125" s="11">
        <f t="shared" ref="R125:R129" si="23">SUM(N125:Q125)</f>
        <v>6.375</v>
      </c>
    </row>
    <row r="126" spans="2:18" ht="20" customHeight="1" x14ac:dyDescent="0.2">
      <c r="B126" s="8"/>
      <c r="D126" s="1" t="s">
        <v>42</v>
      </c>
      <c r="G126" s="11">
        <v>4.25</v>
      </c>
      <c r="H126" s="12"/>
      <c r="I126" s="15"/>
      <c r="J126" s="12"/>
      <c r="K126" s="13"/>
      <c r="L126" s="14"/>
      <c r="M126" s="14"/>
      <c r="O126" s="11">
        <f>G126</f>
        <v>4.25</v>
      </c>
      <c r="P126" s="11"/>
      <c r="R126" s="11">
        <f t="shared" si="23"/>
        <v>4.25</v>
      </c>
    </row>
    <row r="127" spans="2:18" ht="20" customHeight="1" x14ac:dyDescent="0.2">
      <c r="B127" s="8"/>
      <c r="D127" s="1" t="s">
        <v>43</v>
      </c>
      <c r="G127" s="11">
        <v>2.2999999999999998</v>
      </c>
      <c r="H127" s="12"/>
      <c r="I127" s="15"/>
      <c r="J127" s="12"/>
      <c r="K127" s="13"/>
      <c r="L127" s="14"/>
      <c r="M127" s="14"/>
      <c r="O127" s="11">
        <v>2.3199999999999998</v>
      </c>
      <c r="P127" s="11"/>
      <c r="R127" s="11">
        <f t="shared" si="23"/>
        <v>2.3199999999999998</v>
      </c>
    </row>
    <row r="128" spans="2:18" ht="20" customHeight="1" x14ac:dyDescent="0.2">
      <c r="B128" s="8"/>
      <c r="D128" s="1" t="s">
        <v>44</v>
      </c>
      <c r="G128" s="11">
        <v>1</v>
      </c>
      <c r="H128" s="12"/>
      <c r="I128" s="15"/>
      <c r="J128" s="12"/>
      <c r="K128" s="13"/>
      <c r="L128" s="14"/>
      <c r="M128" s="14"/>
      <c r="O128" s="11">
        <f>G128</f>
        <v>1</v>
      </c>
      <c r="P128" s="11"/>
      <c r="R128" s="11">
        <f t="shared" si="23"/>
        <v>1</v>
      </c>
    </row>
    <row r="129" spans="2:18" ht="20" customHeight="1" x14ac:dyDescent="0.2">
      <c r="B129" s="8"/>
      <c r="C129" s="10">
        <v>4</v>
      </c>
      <c r="D129" s="1" t="s">
        <v>50</v>
      </c>
      <c r="E129" s="10">
        <v>3.6</v>
      </c>
      <c r="F129" s="10">
        <v>24</v>
      </c>
      <c r="G129" s="11">
        <f>E129*F129</f>
        <v>86.4</v>
      </c>
      <c r="H129" s="12">
        <v>2.5</v>
      </c>
      <c r="I129" s="12">
        <v>22.5</v>
      </c>
      <c r="J129" s="12">
        <v>1</v>
      </c>
      <c r="K129" s="13">
        <f>(H129)*I129*J129</f>
        <v>56.25</v>
      </c>
      <c r="L129" s="14">
        <f>F129*2</f>
        <v>48</v>
      </c>
      <c r="M129" s="14"/>
      <c r="N129" s="11">
        <f>G129-K129</f>
        <v>30.150000000000006</v>
      </c>
      <c r="O129" s="11"/>
      <c r="P129" s="11"/>
      <c r="Q129" s="11"/>
      <c r="R129" s="11">
        <f t="shared" si="23"/>
        <v>30.150000000000006</v>
      </c>
    </row>
    <row r="130" spans="2:18" ht="20" customHeight="1" x14ac:dyDescent="0.2">
      <c r="B130" s="8"/>
      <c r="D130" s="1" t="s">
        <v>58</v>
      </c>
      <c r="E130" s="10">
        <v>2.5499999999999998</v>
      </c>
      <c r="F130" s="10">
        <v>2</v>
      </c>
      <c r="G130" s="11">
        <f>E130*F130</f>
        <v>5.0999999999999996</v>
      </c>
      <c r="H130" s="12"/>
      <c r="I130" s="15"/>
      <c r="J130" s="12"/>
      <c r="K130" s="13"/>
      <c r="L130" s="14"/>
      <c r="M130" s="14"/>
      <c r="O130" s="11"/>
      <c r="P130" s="11">
        <f>G130-K130</f>
        <v>5.0999999999999996</v>
      </c>
      <c r="R130" s="11">
        <f>SUM(O130:Q130)</f>
        <v>5.0999999999999996</v>
      </c>
    </row>
    <row r="131" spans="2:18" ht="20" customHeight="1" x14ac:dyDescent="0.2">
      <c r="B131" s="8"/>
      <c r="D131" s="1" t="s">
        <v>41</v>
      </c>
      <c r="E131" s="10">
        <v>2.5499999999999998</v>
      </c>
      <c r="F131" s="10">
        <v>2.5</v>
      </c>
      <c r="G131" s="11">
        <f>E131*F131</f>
        <v>6.375</v>
      </c>
      <c r="H131" s="12"/>
      <c r="I131" s="15"/>
      <c r="J131" s="12"/>
      <c r="K131" s="13"/>
      <c r="L131" s="14"/>
      <c r="M131" s="14"/>
      <c r="O131" s="11">
        <f>G131</f>
        <v>6.375</v>
      </c>
      <c r="P131" s="1"/>
      <c r="R131" s="11">
        <f t="shared" ref="R131:R134" si="24">SUM(N131:Q131)</f>
        <v>6.375</v>
      </c>
    </row>
    <row r="132" spans="2:18" ht="20" customHeight="1" x14ac:dyDescent="0.2">
      <c r="B132" s="8"/>
      <c r="D132" s="1" t="s">
        <v>42</v>
      </c>
      <c r="G132" s="11">
        <v>4.25</v>
      </c>
      <c r="H132" s="12"/>
      <c r="I132" s="15"/>
      <c r="J132" s="12"/>
      <c r="K132" s="13"/>
      <c r="L132" s="14"/>
      <c r="M132" s="14"/>
      <c r="O132" s="11">
        <f>G132</f>
        <v>4.25</v>
      </c>
      <c r="P132" s="11"/>
      <c r="R132" s="11">
        <f t="shared" si="24"/>
        <v>4.25</v>
      </c>
    </row>
    <row r="133" spans="2:18" ht="20" customHeight="1" x14ac:dyDescent="0.2">
      <c r="B133" s="8"/>
      <c r="D133" s="1" t="s">
        <v>43</v>
      </c>
      <c r="G133" s="11">
        <v>2.2999999999999998</v>
      </c>
      <c r="H133" s="12"/>
      <c r="I133" s="15"/>
      <c r="J133" s="12"/>
      <c r="K133" s="13"/>
      <c r="L133" s="14"/>
      <c r="M133" s="14"/>
      <c r="O133" s="11">
        <v>2.3199999999999998</v>
      </c>
      <c r="P133" s="11"/>
      <c r="R133" s="11">
        <f t="shared" si="24"/>
        <v>2.3199999999999998</v>
      </c>
    </row>
    <row r="134" spans="2:18" ht="20" customHeight="1" x14ac:dyDescent="0.2">
      <c r="B134" s="8"/>
      <c r="D134" s="1" t="s">
        <v>44</v>
      </c>
      <c r="E134" s="10">
        <v>2.5499999999999998</v>
      </c>
      <c r="F134" s="10">
        <v>2.5</v>
      </c>
      <c r="G134" s="11">
        <f>E134*F134</f>
        <v>6.375</v>
      </c>
      <c r="H134" s="12"/>
      <c r="I134" s="15"/>
      <c r="J134" s="12"/>
      <c r="K134" s="13"/>
      <c r="L134" s="14"/>
      <c r="M134" s="14"/>
      <c r="O134" s="11">
        <f>G134</f>
        <v>6.375</v>
      </c>
      <c r="P134" s="11"/>
      <c r="R134" s="11">
        <f t="shared" si="24"/>
        <v>6.375</v>
      </c>
    </row>
    <row r="135" spans="2:18" ht="20" customHeight="1" x14ac:dyDescent="0.2">
      <c r="B135" s="8"/>
      <c r="D135" s="1" t="s">
        <v>58</v>
      </c>
      <c r="E135" s="10">
        <v>2.5499999999999998</v>
      </c>
      <c r="F135" s="10">
        <v>2</v>
      </c>
      <c r="G135" s="11">
        <f>E135*F135</f>
        <v>5.0999999999999996</v>
      </c>
      <c r="H135" s="12"/>
      <c r="I135" s="15"/>
      <c r="J135" s="12"/>
      <c r="K135" s="13"/>
      <c r="L135" s="14"/>
      <c r="M135" s="14"/>
      <c r="O135" s="11"/>
      <c r="P135" s="11">
        <f>G135-K135</f>
        <v>5.0999999999999996</v>
      </c>
      <c r="R135" s="11">
        <f>SUM(O135:Q135)</f>
        <v>5.0999999999999996</v>
      </c>
    </row>
    <row r="136" spans="2:18" ht="20" customHeight="1" x14ac:dyDescent="0.2">
      <c r="B136" s="8"/>
      <c r="C136" s="10">
        <v>3</v>
      </c>
      <c r="D136" s="1" t="s">
        <v>41</v>
      </c>
      <c r="E136" s="10">
        <v>2.5499999999999998</v>
      </c>
      <c r="F136" s="10">
        <v>2.5</v>
      </c>
      <c r="G136" s="11">
        <f>E136*F136</f>
        <v>6.375</v>
      </c>
      <c r="H136" s="12"/>
      <c r="I136" s="15"/>
      <c r="J136" s="12"/>
      <c r="K136" s="13"/>
      <c r="L136" s="14"/>
      <c r="M136" s="14"/>
      <c r="O136" s="11">
        <f>G136</f>
        <v>6.375</v>
      </c>
      <c r="P136" s="1"/>
      <c r="R136" s="11">
        <f t="shared" ref="R136:R140" si="25">SUM(N136:Q136)</f>
        <v>6.375</v>
      </c>
    </row>
    <row r="137" spans="2:18" ht="20" customHeight="1" x14ac:dyDescent="0.2">
      <c r="B137" s="8"/>
      <c r="D137" s="1" t="s">
        <v>42</v>
      </c>
      <c r="G137" s="11">
        <v>4.25</v>
      </c>
      <c r="H137" s="12"/>
      <c r="I137" s="15"/>
      <c r="J137" s="12"/>
      <c r="K137" s="13"/>
      <c r="L137" s="14"/>
      <c r="M137" s="14"/>
      <c r="O137" s="11">
        <f>G137</f>
        <v>4.25</v>
      </c>
      <c r="P137" s="11"/>
      <c r="R137" s="11">
        <f t="shared" si="25"/>
        <v>4.25</v>
      </c>
    </row>
    <row r="138" spans="2:18" ht="20" customHeight="1" x14ac:dyDescent="0.2">
      <c r="B138" s="8"/>
      <c r="D138" s="1" t="s">
        <v>43</v>
      </c>
      <c r="G138" s="11">
        <v>2.2999999999999998</v>
      </c>
      <c r="H138" s="12"/>
      <c r="I138" s="15"/>
      <c r="J138" s="12"/>
      <c r="K138" s="13"/>
      <c r="L138" s="14"/>
      <c r="M138" s="14"/>
      <c r="O138" s="11">
        <v>2.3199999999999998</v>
      </c>
      <c r="P138" s="11"/>
      <c r="R138" s="11">
        <f t="shared" si="25"/>
        <v>2.3199999999999998</v>
      </c>
    </row>
    <row r="139" spans="2:18" ht="20" customHeight="1" x14ac:dyDescent="0.2">
      <c r="B139" s="8"/>
      <c r="D139" s="1" t="s">
        <v>44</v>
      </c>
      <c r="G139" s="11">
        <v>1</v>
      </c>
      <c r="H139" s="12"/>
      <c r="I139" s="15"/>
      <c r="J139" s="12"/>
      <c r="K139" s="13"/>
      <c r="L139" s="14"/>
      <c r="M139" s="14"/>
      <c r="O139" s="11">
        <f>G139</f>
        <v>1</v>
      </c>
      <c r="P139" s="11"/>
      <c r="R139" s="11">
        <f t="shared" si="25"/>
        <v>1</v>
      </c>
    </row>
    <row r="140" spans="2:18" ht="20" customHeight="1" x14ac:dyDescent="0.2">
      <c r="B140" s="8"/>
      <c r="C140" s="10">
        <v>2</v>
      </c>
      <c r="D140" s="1" t="s">
        <v>50</v>
      </c>
      <c r="E140" s="10">
        <v>3.6</v>
      </c>
      <c r="F140" s="10">
        <v>24</v>
      </c>
      <c r="G140" s="11">
        <f>E140*F140</f>
        <v>86.4</v>
      </c>
      <c r="H140" s="12">
        <v>2.5</v>
      </c>
      <c r="I140" s="12">
        <v>22.5</v>
      </c>
      <c r="J140" s="12">
        <v>1</v>
      </c>
      <c r="K140" s="13">
        <f>(H140)*I140*J140</f>
        <v>56.25</v>
      </c>
      <c r="L140" s="14">
        <f>F140*2</f>
        <v>48</v>
      </c>
      <c r="M140" s="14"/>
      <c r="N140" s="11">
        <f>G140-K140</f>
        <v>30.150000000000006</v>
      </c>
      <c r="O140" s="11"/>
      <c r="P140" s="11"/>
      <c r="Q140" s="11"/>
      <c r="R140" s="11">
        <f t="shared" si="25"/>
        <v>30.150000000000006</v>
      </c>
    </row>
    <row r="141" spans="2:18" ht="20" customHeight="1" x14ac:dyDescent="0.2">
      <c r="B141" s="8"/>
      <c r="D141" s="1" t="s">
        <v>59</v>
      </c>
      <c r="E141" s="10">
        <v>2.5499999999999998</v>
      </c>
      <c r="F141" s="10">
        <v>2</v>
      </c>
      <c r="G141" s="11">
        <f>E141*F141</f>
        <v>5.0999999999999996</v>
      </c>
      <c r="H141" s="12"/>
      <c r="I141" s="15"/>
      <c r="J141" s="12"/>
      <c r="K141" s="13"/>
      <c r="L141" s="14"/>
      <c r="M141" s="14"/>
      <c r="N141" s="11">
        <f>G141-K141</f>
        <v>5.0999999999999996</v>
      </c>
      <c r="O141" s="11"/>
      <c r="R141" s="11">
        <f t="shared" ref="R141" si="26">SUM(N141:Q141)</f>
        <v>5.0999999999999996</v>
      </c>
    </row>
    <row r="142" spans="2:18" ht="20" customHeight="1" x14ac:dyDescent="0.2">
      <c r="B142" s="8"/>
      <c r="D142" s="1" t="s">
        <v>41</v>
      </c>
      <c r="E142" s="10">
        <v>2.5499999999999998</v>
      </c>
      <c r="F142" s="10">
        <v>2.5</v>
      </c>
      <c r="G142" s="11">
        <f>E142*F142</f>
        <v>6.375</v>
      </c>
      <c r="H142" s="12"/>
      <c r="I142" s="15"/>
      <c r="J142" s="12"/>
      <c r="K142" s="13"/>
      <c r="L142" s="14"/>
      <c r="M142" s="14"/>
      <c r="O142" s="11">
        <f>G142</f>
        <v>6.375</v>
      </c>
      <c r="P142" s="1"/>
      <c r="R142" s="11">
        <f t="shared" ref="R142:R146" si="27">SUM(N142:Q142)</f>
        <v>6.375</v>
      </c>
    </row>
    <row r="143" spans="2:18" ht="20" customHeight="1" x14ac:dyDescent="0.2">
      <c r="B143" s="8"/>
      <c r="D143" s="1" t="s">
        <v>42</v>
      </c>
      <c r="G143" s="11">
        <v>4.25</v>
      </c>
      <c r="H143" s="12"/>
      <c r="I143" s="15"/>
      <c r="J143" s="12"/>
      <c r="K143" s="13"/>
      <c r="L143" s="14"/>
      <c r="M143" s="14"/>
      <c r="O143" s="11">
        <f>G143</f>
        <v>4.25</v>
      </c>
      <c r="P143" s="11"/>
      <c r="R143" s="11">
        <f t="shared" si="27"/>
        <v>4.25</v>
      </c>
    </row>
    <row r="144" spans="2:18" ht="20" customHeight="1" x14ac:dyDescent="0.2">
      <c r="B144" s="8"/>
      <c r="D144" s="1" t="s">
        <v>43</v>
      </c>
      <c r="G144" s="11">
        <v>2.2999999999999998</v>
      </c>
      <c r="H144" s="12"/>
      <c r="I144" s="15"/>
      <c r="J144" s="12"/>
      <c r="K144" s="13"/>
      <c r="L144" s="14"/>
      <c r="M144" s="14"/>
      <c r="O144" s="11">
        <v>2.3199999999999998</v>
      </c>
      <c r="P144" s="11"/>
      <c r="R144" s="11">
        <f t="shared" si="27"/>
        <v>2.3199999999999998</v>
      </c>
    </row>
    <row r="145" spans="2:20" ht="20" customHeight="1" x14ac:dyDescent="0.2">
      <c r="B145" s="8"/>
      <c r="D145" s="1" t="s">
        <v>44</v>
      </c>
      <c r="E145" s="10">
        <v>2.5499999999999998</v>
      </c>
      <c r="F145" s="10">
        <v>2.5</v>
      </c>
      <c r="G145" s="11">
        <f>E145*F145</f>
        <v>6.375</v>
      </c>
      <c r="H145" s="12"/>
      <c r="I145" s="15"/>
      <c r="J145" s="12"/>
      <c r="K145" s="13"/>
      <c r="L145" s="14"/>
      <c r="M145" s="14"/>
      <c r="O145" s="11">
        <f>G145</f>
        <v>6.375</v>
      </c>
      <c r="P145" s="11"/>
      <c r="R145" s="11">
        <f t="shared" si="27"/>
        <v>6.375</v>
      </c>
    </row>
    <row r="146" spans="2:20" ht="20" customHeight="1" x14ac:dyDescent="0.2">
      <c r="B146" s="8"/>
      <c r="D146" s="1" t="s">
        <v>59</v>
      </c>
      <c r="E146" s="10">
        <v>2.5499999999999998</v>
      </c>
      <c r="F146" s="10">
        <v>2</v>
      </c>
      <c r="G146" s="11">
        <f>E146*F146</f>
        <v>5.0999999999999996</v>
      </c>
      <c r="H146" s="12"/>
      <c r="I146" s="15"/>
      <c r="J146" s="12"/>
      <c r="K146" s="13"/>
      <c r="L146" s="14"/>
      <c r="M146" s="14"/>
      <c r="N146" s="11">
        <f>G146-K146</f>
        <v>5.0999999999999996</v>
      </c>
      <c r="O146" s="11"/>
      <c r="P146" s="11"/>
      <c r="R146" s="11">
        <f t="shared" si="27"/>
        <v>5.0999999999999996</v>
      </c>
    </row>
    <row r="147" spans="2:20" ht="20" customHeight="1" x14ac:dyDescent="0.2">
      <c r="B147" s="8"/>
      <c r="C147" s="10">
        <v>1</v>
      </c>
      <c r="D147" s="1" t="s">
        <v>51</v>
      </c>
      <c r="G147" s="11">
        <v>39.42</v>
      </c>
      <c r="H147" s="12"/>
      <c r="I147" s="15"/>
      <c r="J147" s="12"/>
      <c r="K147" s="13"/>
      <c r="L147" s="14">
        <v>24</v>
      </c>
      <c r="M147" s="14"/>
      <c r="N147" s="1"/>
      <c r="O147" s="11"/>
      <c r="P147" s="11">
        <f>G147</f>
        <v>39.42</v>
      </c>
      <c r="R147" s="11">
        <f>SUM(O147:Q147)</f>
        <v>39.42</v>
      </c>
      <c r="S147" s="7"/>
    </row>
    <row r="148" spans="2:20" ht="20" customHeight="1" x14ac:dyDescent="0.2">
      <c r="B148" s="8"/>
      <c r="C148" s="10" t="s">
        <v>52</v>
      </c>
      <c r="D148" s="1" t="s">
        <v>53</v>
      </c>
      <c r="G148" s="11">
        <v>42.77</v>
      </c>
      <c r="H148" s="12"/>
      <c r="I148" s="15"/>
      <c r="J148" s="12"/>
      <c r="K148" s="13"/>
      <c r="L148" s="14">
        <v>24</v>
      </c>
      <c r="M148" s="14"/>
      <c r="N148" s="1"/>
      <c r="O148" s="11"/>
      <c r="Q148" s="11">
        <f>G148</f>
        <v>42.77</v>
      </c>
      <c r="R148" s="11">
        <f t="shared" ref="R148:R150" si="28">SUM(N148:Q148)</f>
        <v>42.77</v>
      </c>
      <c r="S148" s="7"/>
    </row>
    <row r="149" spans="2:20" ht="20" customHeight="1" x14ac:dyDescent="0.2">
      <c r="B149" s="8"/>
      <c r="D149" s="1" t="s">
        <v>54</v>
      </c>
      <c r="G149" s="11">
        <v>67.05</v>
      </c>
      <c r="H149" s="12"/>
      <c r="I149" s="15"/>
      <c r="J149" s="12"/>
      <c r="K149" s="13"/>
      <c r="L149" s="14"/>
      <c r="M149" s="14"/>
      <c r="N149" s="11"/>
      <c r="O149" s="11"/>
      <c r="Q149" s="11">
        <f t="shared" ref="Q149:Q150" si="29">G149</f>
        <v>67.05</v>
      </c>
      <c r="R149" s="11">
        <f t="shared" si="28"/>
        <v>67.05</v>
      </c>
      <c r="S149" s="7"/>
    </row>
    <row r="150" spans="2:20" ht="20" customHeight="1" x14ac:dyDescent="0.2">
      <c r="B150" s="8"/>
      <c r="D150" s="1" t="s">
        <v>55</v>
      </c>
      <c r="G150" s="11">
        <v>30.29</v>
      </c>
      <c r="H150" s="12"/>
      <c r="I150" s="15"/>
      <c r="J150" s="12"/>
      <c r="K150" s="13"/>
      <c r="L150" s="14"/>
      <c r="M150" s="14"/>
      <c r="N150" s="11"/>
      <c r="O150" s="11"/>
      <c r="Q150" s="11">
        <f t="shared" si="29"/>
        <v>30.29</v>
      </c>
      <c r="R150" s="11">
        <f t="shared" si="28"/>
        <v>30.29</v>
      </c>
      <c r="S150" s="7"/>
    </row>
    <row r="151" spans="2:20" ht="20" customHeight="1" x14ac:dyDescent="0.2">
      <c r="B151" s="8" t="s">
        <v>64</v>
      </c>
      <c r="C151" s="10" t="s">
        <v>62</v>
      </c>
      <c r="D151" s="1" t="s">
        <v>63</v>
      </c>
      <c r="G151" s="11">
        <v>27</v>
      </c>
      <c r="H151" s="1"/>
      <c r="I151" s="1"/>
      <c r="J151" s="1"/>
      <c r="K151" s="1"/>
      <c r="L151" s="14"/>
      <c r="M151" s="14"/>
      <c r="N151" s="11">
        <f>G151</f>
        <v>27</v>
      </c>
      <c r="O151" s="1"/>
      <c r="P151" s="11"/>
      <c r="Q151" s="11"/>
      <c r="R151" s="11">
        <f t="shared" ref="R151:R152" si="30">SUM(N151:Q151)</f>
        <v>27</v>
      </c>
      <c r="S151" s="7"/>
    </row>
    <row r="152" spans="2:20" ht="20" customHeight="1" x14ac:dyDescent="0.2">
      <c r="B152" s="8" t="s">
        <v>64</v>
      </c>
      <c r="C152" s="10" t="s">
        <v>62</v>
      </c>
      <c r="D152" s="1" t="s">
        <v>65</v>
      </c>
      <c r="G152" s="11">
        <v>27</v>
      </c>
      <c r="H152" s="1"/>
      <c r="I152" s="1"/>
      <c r="J152" s="1"/>
      <c r="K152" s="1"/>
      <c r="L152" s="14"/>
      <c r="M152" s="14"/>
      <c r="N152" s="11">
        <f>G152</f>
        <v>27</v>
      </c>
      <c r="O152" s="1"/>
      <c r="P152" s="11"/>
      <c r="Q152" s="11"/>
      <c r="R152" s="11">
        <f t="shared" si="30"/>
        <v>27</v>
      </c>
      <c r="S152" s="7"/>
    </row>
    <row r="153" spans="2:20" ht="20" customHeight="1" x14ac:dyDescent="0.2">
      <c r="B153" s="8"/>
      <c r="G153" s="11"/>
      <c r="H153" s="12"/>
      <c r="I153" s="15"/>
      <c r="J153" s="12"/>
      <c r="K153" s="13"/>
      <c r="L153" s="14"/>
      <c r="M153" s="14"/>
      <c r="N153" s="11"/>
      <c r="O153" s="11"/>
      <c r="R153" s="11"/>
      <c r="S153" s="7"/>
    </row>
    <row r="154" spans="2:20" ht="20" customHeight="1" x14ac:dyDescent="0.2">
      <c r="B154" s="8"/>
      <c r="G154" s="11"/>
      <c r="H154" s="12"/>
      <c r="I154" s="12"/>
      <c r="J154" s="12"/>
      <c r="K154" s="13"/>
      <c r="L154" s="16">
        <f>SUM(L98:L147)</f>
        <v>240</v>
      </c>
      <c r="M154" s="14"/>
      <c r="N154" s="11"/>
      <c r="O154" s="11"/>
      <c r="P154" s="11"/>
      <c r="Q154" s="11"/>
      <c r="R154" s="11"/>
      <c r="S154" s="7">
        <f>R81*2</f>
        <v>1867.5940000000003</v>
      </c>
    </row>
    <row r="155" spans="2:20" ht="20" customHeight="1" x14ac:dyDescent="0.2">
      <c r="D155" s="3" t="s">
        <v>1</v>
      </c>
      <c r="E155" s="2"/>
      <c r="F155" s="2"/>
      <c r="G155" s="17">
        <f>SUM(G98:G154)</f>
        <v>951.14999999999986</v>
      </c>
      <c r="I155" s="18"/>
      <c r="J155" s="19" t="s">
        <v>0</v>
      </c>
      <c r="K155" s="20"/>
      <c r="L155" s="2"/>
      <c r="M155" s="2"/>
      <c r="N155" s="17">
        <f>SUM(N98:N154)</f>
        <v>250.2</v>
      </c>
      <c r="O155" s="17">
        <f>SUM(O98:O154)</f>
        <v>151.37999999999997</v>
      </c>
      <c r="P155" s="17">
        <f>SUM(P98:P154)</f>
        <v>49.620000000000005</v>
      </c>
      <c r="Q155" s="17">
        <f>SUM(Q98:Q154)</f>
        <v>140.10999999999999</v>
      </c>
      <c r="R155" s="17">
        <f>SUM(R98:R154)</f>
        <v>591.31000000000006</v>
      </c>
      <c r="S155" s="1">
        <f>R155*2</f>
        <v>1182.6200000000001</v>
      </c>
    </row>
    <row r="156" spans="2:20" ht="20" customHeight="1" x14ac:dyDescent="0.2">
      <c r="D156" s="10"/>
      <c r="L156" s="13">
        <f>G155-R155</f>
        <v>359.8399999999998</v>
      </c>
      <c r="N156" s="21">
        <f>SUM(N155:Q155)</f>
        <v>591.30999999999995</v>
      </c>
      <c r="S156" s="7">
        <f>SUM(S154:S155)</f>
        <v>3050.2140000000004</v>
      </c>
    </row>
    <row r="157" spans="2:20" ht="20" customHeight="1" x14ac:dyDescent="0.2">
      <c r="G157" s="10">
        <f>G155*2</f>
        <v>1902.2999999999997</v>
      </c>
      <c r="H157" s="11"/>
      <c r="R157" s="21"/>
      <c r="S157" s="21"/>
    </row>
    <row r="158" spans="2:20" ht="20" customHeight="1" x14ac:dyDescent="0.2">
      <c r="O158" s="30"/>
      <c r="S158" s="10"/>
      <c r="T158" s="10"/>
    </row>
    <row r="159" spans="2:20" ht="38" customHeight="1" x14ac:dyDescent="0.2">
      <c r="G159" s="11"/>
      <c r="I159" s="11"/>
      <c r="J159" s="11"/>
      <c r="K159" s="11"/>
      <c r="L159" s="11"/>
      <c r="M159" s="11"/>
      <c r="N159" s="31" t="s">
        <v>45</v>
      </c>
      <c r="O159" s="31" t="s">
        <v>48</v>
      </c>
      <c r="P159" s="31" t="s">
        <v>47</v>
      </c>
      <c r="Q159" s="31" t="s">
        <v>46</v>
      </c>
      <c r="R159" s="11"/>
      <c r="S159" s="10"/>
      <c r="T159" s="10"/>
    </row>
    <row r="160" spans="2:20" ht="20" customHeight="1" x14ac:dyDescent="0.2">
      <c r="G160" s="11"/>
      <c r="H160" s="11"/>
      <c r="I160" s="30"/>
      <c r="J160" s="30"/>
      <c r="K160" s="30"/>
      <c r="L160" s="30"/>
      <c r="M160" s="30"/>
      <c r="N160" s="21">
        <f>N155/70</f>
        <v>3.5742857142857143</v>
      </c>
      <c r="O160" s="21">
        <f>O155/70</f>
        <v>2.1625714285714279</v>
      </c>
      <c r="P160" s="21">
        <f>P155/70</f>
        <v>0.70885714285714296</v>
      </c>
      <c r="Q160" s="21">
        <f>Q155/70</f>
        <v>2.0015714285714283</v>
      </c>
      <c r="S160" s="10"/>
      <c r="T160" s="10"/>
    </row>
    <row r="161" spans="1:19" ht="20" customHeight="1" x14ac:dyDescent="0.2">
      <c r="G161" s="11"/>
      <c r="H161" s="11"/>
      <c r="K161" s="21"/>
      <c r="L161" s="21"/>
      <c r="M161" s="21"/>
      <c r="N161" s="11"/>
      <c r="O161" s="11"/>
      <c r="P161" s="11"/>
      <c r="Q161" s="11"/>
      <c r="R161" s="11"/>
    </row>
    <row r="162" spans="1:19" ht="20" customHeight="1" x14ac:dyDescent="0.2">
      <c r="B162" s="36"/>
      <c r="C162" s="36"/>
      <c r="D162" s="37" t="s">
        <v>67</v>
      </c>
      <c r="E162" s="36"/>
      <c r="F162" s="36"/>
      <c r="G162" s="38"/>
      <c r="H162" s="38"/>
      <c r="I162" s="36"/>
      <c r="J162" s="36"/>
      <c r="K162" s="39"/>
      <c r="L162" s="39"/>
      <c r="M162" s="39"/>
      <c r="N162" s="38"/>
      <c r="O162" s="38"/>
      <c r="P162" s="38"/>
      <c r="Q162" s="38"/>
      <c r="R162" s="38"/>
    </row>
    <row r="163" spans="1:19" ht="20" customHeight="1" x14ac:dyDescent="0.2">
      <c r="A163" s="8" t="s">
        <v>22</v>
      </c>
      <c r="B163" s="8">
        <v>7</v>
      </c>
      <c r="C163" s="10">
        <v>10</v>
      </c>
      <c r="D163" s="1" t="s">
        <v>24</v>
      </c>
      <c r="E163" s="10">
        <v>6.2</v>
      </c>
      <c r="F163" s="10">
        <v>21.71</v>
      </c>
      <c r="G163" s="11">
        <f>E163*F163</f>
        <v>134.602</v>
      </c>
      <c r="H163" s="12">
        <v>4.0199999999999996</v>
      </c>
      <c r="I163" s="12"/>
      <c r="J163" s="12">
        <v>2</v>
      </c>
      <c r="K163" s="13">
        <f>(H163)*J163</f>
        <v>8.0399999999999991</v>
      </c>
      <c r="L163" s="14"/>
      <c r="M163" s="14"/>
      <c r="N163" s="11">
        <f>G163-(K163+K164+K165+K166+K167)</f>
        <v>112.852</v>
      </c>
      <c r="O163" s="11"/>
      <c r="P163" s="11"/>
      <c r="Q163" s="11"/>
      <c r="R163" s="11">
        <f t="shared" ref="R163" si="31">SUM(N163:Q163)</f>
        <v>112.852</v>
      </c>
    </row>
    <row r="164" spans="1:19" ht="20" customHeight="1" x14ac:dyDescent="0.2">
      <c r="A164" s="8"/>
      <c r="B164" s="8"/>
      <c r="G164" s="11"/>
      <c r="H164" s="12">
        <v>5.88</v>
      </c>
      <c r="I164" s="12"/>
      <c r="J164" s="12">
        <v>1</v>
      </c>
      <c r="K164" s="13">
        <f>(H164)*J164</f>
        <v>5.88</v>
      </c>
      <c r="L164" s="14"/>
      <c r="M164" s="14"/>
      <c r="N164" s="11"/>
      <c r="O164" s="11"/>
      <c r="P164" s="11"/>
      <c r="Q164" s="11"/>
      <c r="R164" s="11"/>
    </row>
    <row r="165" spans="1:19" ht="20" customHeight="1" x14ac:dyDescent="0.2">
      <c r="A165" s="8"/>
      <c r="B165" s="8"/>
      <c r="G165" s="11"/>
      <c r="H165" s="12">
        <v>2.16</v>
      </c>
      <c r="I165" s="12"/>
      <c r="J165" s="12">
        <v>2</v>
      </c>
      <c r="K165" s="13">
        <f>(H165)*J165</f>
        <v>4.32</v>
      </c>
      <c r="L165" s="14"/>
      <c r="M165" s="14"/>
      <c r="N165" s="11"/>
      <c r="O165" s="11"/>
      <c r="P165" s="11"/>
      <c r="Q165" s="11"/>
      <c r="R165" s="11"/>
    </row>
    <row r="166" spans="1:19" ht="20" customHeight="1" x14ac:dyDescent="0.2">
      <c r="B166" s="8"/>
      <c r="G166" s="11"/>
      <c r="H166" s="12">
        <v>2.15</v>
      </c>
      <c r="I166" s="12"/>
      <c r="J166" s="12">
        <v>1</v>
      </c>
      <c r="K166" s="13">
        <f>(H166)*J166</f>
        <v>2.15</v>
      </c>
      <c r="L166" s="14"/>
      <c r="M166" s="14"/>
      <c r="N166" s="11"/>
      <c r="O166" s="11"/>
      <c r="P166" s="11"/>
      <c r="Q166" s="11"/>
      <c r="R166" s="11"/>
    </row>
    <row r="167" spans="1:19" ht="20" customHeight="1" x14ac:dyDescent="0.2">
      <c r="B167" s="8"/>
      <c r="G167" s="11"/>
      <c r="H167" s="12">
        <v>1.36</v>
      </c>
      <c r="I167" s="12"/>
      <c r="J167" s="12">
        <v>1</v>
      </c>
      <c r="K167" s="13">
        <f>(H167)*J167</f>
        <v>1.36</v>
      </c>
      <c r="L167" s="14"/>
      <c r="M167" s="14"/>
      <c r="N167" s="11"/>
      <c r="O167" s="11"/>
      <c r="P167" s="11"/>
      <c r="Q167" s="11"/>
      <c r="R167" s="11"/>
    </row>
    <row r="168" spans="1:19" ht="20" customHeight="1" x14ac:dyDescent="0.2">
      <c r="B168" s="8"/>
      <c r="C168" s="10">
        <v>9</v>
      </c>
      <c r="D168" s="1" t="s">
        <v>25</v>
      </c>
      <c r="G168" s="11">
        <v>3.75</v>
      </c>
      <c r="H168" s="12"/>
      <c r="I168" s="12"/>
      <c r="J168" s="12"/>
      <c r="K168" s="13"/>
      <c r="L168" s="14"/>
      <c r="M168" s="14"/>
      <c r="N168" s="11"/>
      <c r="O168" s="11">
        <f>G168</f>
        <v>3.75</v>
      </c>
      <c r="P168" s="11"/>
      <c r="Q168" s="11"/>
      <c r="R168" s="11">
        <f t="shared" ref="R168:R242" si="32">SUM(N168:Q168)</f>
        <v>3.75</v>
      </c>
    </row>
    <row r="169" spans="1:19" ht="20" customHeight="1" x14ac:dyDescent="0.2">
      <c r="B169" s="8"/>
      <c r="C169" s="10">
        <v>8</v>
      </c>
      <c r="D169" s="1" t="s">
        <v>28</v>
      </c>
      <c r="G169" s="11">
        <v>6.5</v>
      </c>
      <c r="H169" s="12"/>
      <c r="I169" s="15"/>
      <c r="J169" s="12"/>
      <c r="K169" s="13"/>
      <c r="L169" s="14"/>
      <c r="M169" s="14"/>
      <c r="N169" s="11">
        <f>G169-K169</f>
        <v>6.5</v>
      </c>
      <c r="O169" s="11"/>
      <c r="R169" s="11">
        <f t="shared" si="32"/>
        <v>6.5</v>
      </c>
    </row>
    <row r="170" spans="1:19" ht="20" customHeight="1" x14ac:dyDescent="0.2">
      <c r="B170" s="8"/>
      <c r="C170" s="10">
        <v>7</v>
      </c>
      <c r="D170" s="1" t="s">
        <v>25</v>
      </c>
      <c r="G170" s="11">
        <v>3.75</v>
      </c>
      <c r="H170" s="12"/>
      <c r="I170" s="12"/>
      <c r="J170" s="12"/>
      <c r="K170" s="13"/>
      <c r="L170" s="14"/>
      <c r="M170" s="14"/>
      <c r="N170" s="11"/>
      <c r="O170" s="11">
        <f>G170</f>
        <v>3.75</v>
      </c>
      <c r="P170" s="11"/>
      <c r="Q170" s="11"/>
      <c r="R170" s="11">
        <f t="shared" si="32"/>
        <v>3.75</v>
      </c>
    </row>
    <row r="171" spans="1:19" ht="20" customHeight="1" x14ac:dyDescent="0.2">
      <c r="B171" s="8"/>
      <c r="C171" s="10">
        <v>6</v>
      </c>
      <c r="D171" s="1" t="s">
        <v>28</v>
      </c>
      <c r="G171" s="11">
        <v>6.5</v>
      </c>
      <c r="H171" s="12"/>
      <c r="I171" s="15"/>
      <c r="J171" s="12"/>
      <c r="K171" s="13"/>
      <c r="L171" s="14"/>
      <c r="M171" s="14"/>
      <c r="O171" s="11"/>
      <c r="P171" s="11">
        <f>G171</f>
        <v>6.5</v>
      </c>
      <c r="R171" s="11">
        <f t="shared" si="32"/>
        <v>6.5</v>
      </c>
    </row>
    <row r="172" spans="1:19" ht="20" customHeight="1" x14ac:dyDescent="0.2">
      <c r="B172" s="8"/>
      <c r="C172" s="10">
        <v>5</v>
      </c>
      <c r="D172" s="1" t="s">
        <v>25</v>
      </c>
      <c r="G172" s="11">
        <v>3.75</v>
      </c>
      <c r="H172" s="12"/>
      <c r="I172" s="12"/>
      <c r="J172" s="12"/>
      <c r="K172" s="13"/>
      <c r="L172" s="14"/>
      <c r="M172" s="14"/>
      <c r="N172" s="11"/>
      <c r="O172" s="11">
        <f>G172</f>
        <v>3.75</v>
      </c>
      <c r="P172" s="11"/>
      <c r="Q172" s="11"/>
      <c r="R172" s="11">
        <f t="shared" si="32"/>
        <v>3.75</v>
      </c>
    </row>
    <row r="173" spans="1:19" ht="20" customHeight="1" x14ac:dyDescent="0.2">
      <c r="B173" s="8"/>
      <c r="C173" s="10">
        <v>4</v>
      </c>
      <c r="D173" s="1" t="s">
        <v>29</v>
      </c>
      <c r="G173" s="11">
        <v>6.5</v>
      </c>
      <c r="H173" s="12"/>
      <c r="I173" s="15"/>
      <c r="J173" s="12"/>
      <c r="K173" s="13"/>
      <c r="L173" s="14"/>
      <c r="M173" s="14"/>
      <c r="N173" s="11">
        <f t="shared" ref="N173" si="33">G173</f>
        <v>6.5</v>
      </c>
      <c r="O173" s="11"/>
      <c r="R173" s="11">
        <f t="shared" si="32"/>
        <v>6.5</v>
      </c>
    </row>
    <row r="174" spans="1:19" ht="20" customHeight="1" x14ac:dyDescent="0.2">
      <c r="B174" s="8"/>
      <c r="C174" s="10">
        <v>3</v>
      </c>
      <c r="D174" s="1" t="s">
        <v>25</v>
      </c>
      <c r="G174" s="11">
        <v>3.75</v>
      </c>
      <c r="H174" s="12"/>
      <c r="I174" s="12"/>
      <c r="J174" s="12"/>
      <c r="K174" s="13"/>
      <c r="L174" s="14"/>
      <c r="M174" s="14"/>
      <c r="N174" s="11"/>
      <c r="O174" s="11">
        <f>G174</f>
        <v>3.75</v>
      </c>
      <c r="P174" s="11"/>
      <c r="Q174" s="11"/>
      <c r="R174" s="11">
        <f t="shared" si="32"/>
        <v>3.75</v>
      </c>
    </row>
    <row r="175" spans="1:19" ht="20" customHeight="1" x14ac:dyDescent="0.2">
      <c r="B175" s="8"/>
      <c r="C175" s="10">
        <v>2</v>
      </c>
      <c r="D175" s="1" t="s">
        <v>28</v>
      </c>
      <c r="G175" s="11">
        <v>6.5</v>
      </c>
      <c r="H175" s="12"/>
      <c r="I175" s="15"/>
      <c r="J175" s="12"/>
      <c r="K175" s="13"/>
      <c r="L175" s="14"/>
      <c r="M175" s="14"/>
      <c r="N175" s="11">
        <f t="shared" ref="N175:N176" si="34">G175</f>
        <v>6.5</v>
      </c>
      <c r="O175" s="11"/>
      <c r="R175" s="11">
        <f t="shared" si="32"/>
        <v>6.5</v>
      </c>
      <c r="S175" s="7"/>
    </row>
    <row r="176" spans="1:19" ht="20" customHeight="1" x14ac:dyDescent="0.2">
      <c r="B176" s="8"/>
      <c r="C176" s="10">
        <v>1</v>
      </c>
      <c r="D176" s="1" t="s">
        <v>28</v>
      </c>
      <c r="G176" s="11">
        <v>4.5</v>
      </c>
      <c r="H176" s="12"/>
      <c r="I176" s="15"/>
      <c r="J176" s="12"/>
      <c r="K176" s="13"/>
      <c r="L176" s="14"/>
      <c r="M176" s="14"/>
      <c r="N176" s="11">
        <f t="shared" si="34"/>
        <v>4.5</v>
      </c>
      <c r="O176" s="11"/>
      <c r="R176" s="11">
        <f t="shared" si="32"/>
        <v>4.5</v>
      </c>
      <c r="S176" s="7"/>
    </row>
    <row r="177" spans="2:19" ht="20" customHeight="1" x14ac:dyDescent="0.2">
      <c r="B177" s="8">
        <v>8</v>
      </c>
      <c r="C177" s="10">
        <v>9</v>
      </c>
      <c r="D177" s="1" t="s">
        <v>29</v>
      </c>
      <c r="G177" s="11">
        <v>26.97</v>
      </c>
      <c r="H177" s="12"/>
      <c r="I177" s="15"/>
      <c r="J177" s="12"/>
      <c r="K177" s="13">
        <v>10.5</v>
      </c>
      <c r="L177" s="14"/>
      <c r="M177" s="14"/>
      <c r="N177" s="11">
        <f>G177-K177</f>
        <v>16.47</v>
      </c>
      <c r="O177" s="11"/>
      <c r="R177" s="11">
        <f t="shared" si="32"/>
        <v>16.47</v>
      </c>
    </row>
    <row r="178" spans="2:19" ht="20" customHeight="1" x14ac:dyDescent="0.2">
      <c r="B178" s="8"/>
      <c r="C178" s="10">
        <v>8</v>
      </c>
      <c r="D178" s="1" t="s">
        <v>30</v>
      </c>
      <c r="G178" s="11">
        <v>6.87</v>
      </c>
      <c r="H178" s="12"/>
      <c r="I178" s="15"/>
      <c r="J178" s="12"/>
      <c r="K178" s="13"/>
      <c r="L178" s="14"/>
      <c r="M178" s="14"/>
      <c r="N178" s="11">
        <f t="shared" ref="N178" si="35">G178-K178</f>
        <v>6.87</v>
      </c>
      <c r="O178" s="11"/>
      <c r="R178" s="11">
        <f t="shared" si="32"/>
        <v>6.87</v>
      </c>
    </row>
    <row r="179" spans="2:19" ht="20" customHeight="1" x14ac:dyDescent="0.2">
      <c r="B179" s="8"/>
      <c r="C179" s="10">
        <v>7</v>
      </c>
      <c r="D179" s="1" t="s">
        <v>28</v>
      </c>
      <c r="G179" s="11">
        <v>26.97</v>
      </c>
      <c r="H179" s="12"/>
      <c r="I179" s="15"/>
      <c r="J179" s="12"/>
      <c r="K179" s="13">
        <v>10.5</v>
      </c>
      <c r="L179" s="14"/>
      <c r="M179" s="14"/>
      <c r="N179" s="11"/>
      <c r="O179" s="11"/>
      <c r="P179" s="11">
        <f>G179-K179</f>
        <v>16.47</v>
      </c>
      <c r="Q179" s="11"/>
      <c r="R179" s="11">
        <f t="shared" si="32"/>
        <v>16.47</v>
      </c>
    </row>
    <row r="180" spans="2:19" ht="20" customHeight="1" x14ac:dyDescent="0.2">
      <c r="B180" s="8"/>
      <c r="C180" s="10">
        <v>6</v>
      </c>
      <c r="D180" s="1" t="s">
        <v>30</v>
      </c>
      <c r="G180" s="11">
        <v>6.87</v>
      </c>
      <c r="H180" s="12"/>
      <c r="I180" s="15"/>
      <c r="J180" s="12"/>
      <c r="K180" s="13"/>
      <c r="L180" s="14"/>
      <c r="M180" s="14"/>
      <c r="N180" s="11">
        <f t="shared" ref="N180" si="36">G180-K180</f>
        <v>6.87</v>
      </c>
      <c r="O180" s="11"/>
      <c r="R180" s="11">
        <f t="shared" si="32"/>
        <v>6.87</v>
      </c>
    </row>
    <row r="181" spans="2:19" ht="20" customHeight="1" x14ac:dyDescent="0.2">
      <c r="B181" s="8"/>
      <c r="C181" s="10">
        <v>5</v>
      </c>
      <c r="D181" s="1" t="s">
        <v>28</v>
      </c>
      <c r="G181" s="11">
        <v>26.97</v>
      </c>
      <c r="H181" s="12"/>
      <c r="I181" s="15"/>
      <c r="J181" s="12"/>
      <c r="K181" s="13">
        <v>10.5</v>
      </c>
      <c r="L181" s="14"/>
      <c r="M181" s="14"/>
      <c r="N181" s="11">
        <f>G181-K181</f>
        <v>16.47</v>
      </c>
      <c r="O181" s="11"/>
      <c r="R181" s="11">
        <f t="shared" si="32"/>
        <v>16.47</v>
      </c>
      <c r="S181" s="7"/>
    </row>
    <row r="182" spans="2:19" ht="20" customHeight="1" x14ac:dyDescent="0.2">
      <c r="B182" s="8"/>
      <c r="C182" s="10">
        <v>4</v>
      </c>
      <c r="D182" s="1" t="s">
        <v>30</v>
      </c>
      <c r="G182" s="11">
        <v>6.87</v>
      </c>
      <c r="H182" s="12"/>
      <c r="I182" s="15"/>
      <c r="J182" s="12"/>
      <c r="K182" s="13"/>
      <c r="L182" s="14"/>
      <c r="M182" s="14"/>
      <c r="N182" s="11">
        <f t="shared" ref="N182" si="37">G182-K182</f>
        <v>6.87</v>
      </c>
      <c r="O182" s="11"/>
      <c r="R182" s="11">
        <f t="shared" si="32"/>
        <v>6.87</v>
      </c>
    </row>
    <row r="183" spans="2:19" ht="20" customHeight="1" x14ac:dyDescent="0.2">
      <c r="B183" s="8"/>
      <c r="C183" s="10">
        <v>3</v>
      </c>
      <c r="D183" s="1" t="s">
        <v>28</v>
      </c>
      <c r="G183" s="11">
        <v>26.97</v>
      </c>
      <c r="H183" s="12"/>
      <c r="I183" s="15"/>
      <c r="J183" s="12"/>
      <c r="K183" s="13">
        <v>10.5</v>
      </c>
      <c r="L183" s="14"/>
      <c r="M183" s="14"/>
      <c r="N183" s="11">
        <f>G183-K183</f>
        <v>16.47</v>
      </c>
      <c r="O183" s="11"/>
      <c r="R183" s="11">
        <f t="shared" si="32"/>
        <v>16.47</v>
      </c>
      <c r="S183" s="7"/>
    </row>
    <row r="184" spans="2:19" ht="20" customHeight="1" x14ac:dyDescent="0.2">
      <c r="B184" s="8"/>
      <c r="C184" s="10">
        <v>2</v>
      </c>
      <c r="D184" s="1" t="s">
        <v>30</v>
      </c>
      <c r="G184" s="11">
        <v>6.87</v>
      </c>
      <c r="H184" s="12"/>
      <c r="I184" s="15"/>
      <c r="J184" s="12"/>
      <c r="K184" s="13"/>
      <c r="L184" s="14"/>
      <c r="M184" s="14"/>
      <c r="N184" s="11">
        <f t="shared" ref="N184" si="38">G184-K184</f>
        <v>6.87</v>
      </c>
      <c r="O184" s="11"/>
      <c r="R184" s="11">
        <f t="shared" si="32"/>
        <v>6.87</v>
      </c>
    </row>
    <row r="185" spans="2:19" ht="20" customHeight="1" x14ac:dyDescent="0.2">
      <c r="B185" s="8"/>
      <c r="C185" s="10">
        <v>1</v>
      </c>
      <c r="D185" s="1" t="s">
        <v>29</v>
      </c>
      <c r="G185" s="11">
        <v>12</v>
      </c>
      <c r="H185" s="12"/>
      <c r="I185" s="15"/>
      <c r="J185" s="12"/>
      <c r="K185" s="13">
        <v>0</v>
      </c>
      <c r="L185" s="14"/>
      <c r="M185" s="14"/>
      <c r="N185" s="11">
        <f>G185-K185</f>
        <v>12</v>
      </c>
      <c r="O185" s="11"/>
      <c r="R185" s="11">
        <f t="shared" si="32"/>
        <v>12</v>
      </c>
      <c r="S185" s="7"/>
    </row>
    <row r="186" spans="2:19" ht="20" customHeight="1" x14ac:dyDescent="0.2">
      <c r="B186" s="8">
        <v>9</v>
      </c>
      <c r="C186" s="10">
        <v>9</v>
      </c>
      <c r="D186" s="1" t="s">
        <v>29</v>
      </c>
      <c r="G186" s="11">
        <v>37.5</v>
      </c>
      <c r="H186" s="12"/>
      <c r="I186" s="15"/>
      <c r="J186" s="12"/>
      <c r="K186" s="13"/>
      <c r="L186" s="14"/>
      <c r="M186" s="14">
        <f>F186*10</f>
        <v>0</v>
      </c>
      <c r="O186" s="11">
        <f>G186-K186</f>
        <v>37.5</v>
      </c>
      <c r="R186" s="11">
        <f t="shared" si="32"/>
        <v>37.5</v>
      </c>
    </row>
    <row r="187" spans="2:19" ht="20" customHeight="1" x14ac:dyDescent="0.2">
      <c r="B187" s="8"/>
      <c r="D187" s="1" t="s">
        <v>58</v>
      </c>
      <c r="E187" s="10">
        <v>2.5499999999999998</v>
      </c>
      <c r="F187" s="10">
        <v>2</v>
      </c>
      <c r="G187" s="11">
        <f>E187*F187</f>
        <v>5.0999999999999996</v>
      </c>
      <c r="H187" s="12"/>
      <c r="I187" s="15"/>
      <c r="J187" s="12"/>
      <c r="K187" s="13"/>
      <c r="L187" s="14"/>
      <c r="M187" s="14"/>
      <c r="N187" s="11"/>
      <c r="O187" s="11">
        <f>G187-K187</f>
        <v>5.0999999999999996</v>
      </c>
      <c r="R187" s="11">
        <f t="shared" si="32"/>
        <v>5.0999999999999996</v>
      </c>
    </row>
    <row r="188" spans="2:19" ht="20" customHeight="1" x14ac:dyDescent="0.2">
      <c r="B188" s="8"/>
      <c r="D188" s="1" t="s">
        <v>56</v>
      </c>
      <c r="E188" s="10">
        <v>2.5499999999999998</v>
      </c>
      <c r="F188" s="10">
        <v>2</v>
      </c>
      <c r="G188" s="11">
        <f>E188*F188</f>
        <v>5.0999999999999996</v>
      </c>
      <c r="H188" s="12"/>
      <c r="I188" s="15"/>
      <c r="J188" s="12"/>
      <c r="K188" s="13"/>
      <c r="L188" s="14"/>
      <c r="M188" s="14"/>
      <c r="N188" s="11"/>
      <c r="O188" s="11">
        <f>G188-K188</f>
        <v>5.0999999999999996</v>
      </c>
      <c r="R188" s="11">
        <f t="shared" ref="R188:R189" si="39">SUM(N188:Q188)</f>
        <v>5.0999999999999996</v>
      </c>
    </row>
    <row r="189" spans="2:19" ht="20" customHeight="1" x14ac:dyDescent="0.2">
      <c r="B189" s="8"/>
      <c r="D189" s="1" t="s">
        <v>25</v>
      </c>
      <c r="G189" s="11">
        <v>1.9</v>
      </c>
      <c r="H189" s="12"/>
      <c r="I189" s="15"/>
      <c r="J189" s="12"/>
      <c r="K189" s="13"/>
      <c r="L189" s="14"/>
      <c r="M189" s="14"/>
      <c r="N189" s="11"/>
      <c r="O189" s="11">
        <f>G189-K189</f>
        <v>1.9</v>
      </c>
      <c r="R189" s="11">
        <f t="shared" si="39"/>
        <v>1.9</v>
      </c>
    </row>
    <row r="190" spans="2:19" ht="20" customHeight="1" x14ac:dyDescent="0.2">
      <c r="B190" s="8"/>
      <c r="C190" s="10">
        <v>8</v>
      </c>
      <c r="D190" s="1" t="s">
        <v>68</v>
      </c>
      <c r="G190" s="11">
        <v>14.5</v>
      </c>
      <c r="H190" s="12"/>
      <c r="I190" s="15"/>
      <c r="J190" s="12"/>
      <c r="K190" s="13"/>
      <c r="L190" s="14"/>
      <c r="M190" s="14"/>
      <c r="O190" s="11">
        <f>G190</f>
        <v>14.5</v>
      </c>
      <c r="R190" s="11">
        <f t="shared" si="32"/>
        <v>14.5</v>
      </c>
    </row>
    <row r="191" spans="2:19" ht="20" customHeight="1" x14ac:dyDescent="0.2">
      <c r="B191" s="8"/>
      <c r="D191" s="1" t="s">
        <v>56</v>
      </c>
      <c r="E191" s="10">
        <v>2.5499999999999998</v>
      </c>
      <c r="F191" s="10">
        <v>2</v>
      </c>
      <c r="G191" s="11">
        <f>E191*F191</f>
        <v>5.0999999999999996</v>
      </c>
      <c r="H191" s="12"/>
      <c r="I191" s="15"/>
      <c r="J191" s="12"/>
      <c r="K191" s="13"/>
      <c r="L191" s="14"/>
      <c r="M191" s="14"/>
      <c r="N191" s="11"/>
      <c r="O191" s="11">
        <f t="shared" ref="O191:O198" si="40">G191-K191</f>
        <v>5.0999999999999996</v>
      </c>
      <c r="R191" s="11">
        <f t="shared" ref="R191:R192" si="41">SUM(N191:Q191)</f>
        <v>5.0999999999999996</v>
      </c>
    </row>
    <row r="192" spans="2:19" ht="20" customHeight="1" x14ac:dyDescent="0.2">
      <c r="B192" s="8"/>
      <c r="D192" s="1" t="s">
        <v>56</v>
      </c>
      <c r="E192" s="10">
        <v>2.5499999999999998</v>
      </c>
      <c r="F192" s="10">
        <v>2</v>
      </c>
      <c r="G192" s="11">
        <f>E192*F192</f>
        <v>5.0999999999999996</v>
      </c>
      <c r="H192" s="12"/>
      <c r="I192" s="15"/>
      <c r="J192" s="12"/>
      <c r="K192" s="13"/>
      <c r="L192" s="14"/>
      <c r="M192" s="14"/>
      <c r="N192" s="11"/>
      <c r="O192" s="11">
        <f t="shared" si="40"/>
        <v>5.0999999999999996</v>
      </c>
      <c r="R192" s="11">
        <f t="shared" si="41"/>
        <v>5.0999999999999996</v>
      </c>
    </row>
    <row r="193" spans="2:18" ht="20" customHeight="1" x14ac:dyDescent="0.2">
      <c r="B193" s="8"/>
      <c r="D193" s="1" t="s">
        <v>68</v>
      </c>
      <c r="G193" s="11">
        <v>1.9</v>
      </c>
      <c r="H193" s="12"/>
      <c r="I193" s="15"/>
      <c r="J193" s="12"/>
      <c r="K193" s="13"/>
      <c r="L193" s="14"/>
      <c r="M193" s="14"/>
      <c r="N193" s="11"/>
      <c r="O193" s="11">
        <f t="shared" si="40"/>
        <v>1.9</v>
      </c>
      <c r="R193" s="11">
        <f t="shared" ref="R193" si="42">SUM(N193:Q193)</f>
        <v>1.9</v>
      </c>
    </row>
    <row r="194" spans="2:18" ht="20" customHeight="1" x14ac:dyDescent="0.2">
      <c r="B194" s="8"/>
      <c r="D194" s="1" t="s">
        <v>68</v>
      </c>
      <c r="G194" s="11">
        <v>1.7</v>
      </c>
      <c r="H194" s="12"/>
      <c r="I194" s="15"/>
      <c r="J194" s="12"/>
      <c r="K194" s="13"/>
      <c r="L194" s="14"/>
      <c r="M194" s="14"/>
      <c r="N194" s="11"/>
      <c r="O194" s="11">
        <f t="shared" si="40"/>
        <v>1.7</v>
      </c>
      <c r="R194" s="11">
        <f t="shared" ref="R194:R202" si="43">SUM(N194:Q194)</f>
        <v>1.7</v>
      </c>
    </row>
    <row r="195" spans="2:18" ht="20" customHeight="1" x14ac:dyDescent="0.2">
      <c r="B195" s="8"/>
      <c r="C195" s="10">
        <v>7</v>
      </c>
      <c r="D195" s="1" t="s">
        <v>28</v>
      </c>
      <c r="G195" s="11">
        <v>37.5</v>
      </c>
      <c r="H195" s="12"/>
      <c r="I195" s="15"/>
      <c r="J195" s="12"/>
      <c r="K195" s="13"/>
      <c r="L195" s="14"/>
      <c r="M195" s="14">
        <f>F195*10</f>
        <v>0</v>
      </c>
      <c r="O195" s="11">
        <f t="shared" si="40"/>
        <v>37.5</v>
      </c>
      <c r="R195" s="11">
        <f t="shared" si="43"/>
        <v>37.5</v>
      </c>
    </row>
    <row r="196" spans="2:18" ht="20" customHeight="1" x14ac:dyDescent="0.2">
      <c r="B196" s="8"/>
      <c r="D196" s="1" t="s">
        <v>59</v>
      </c>
      <c r="E196" s="10">
        <v>2.5499999999999998</v>
      </c>
      <c r="F196" s="10">
        <v>2</v>
      </c>
      <c r="G196" s="11">
        <f>E196*F196</f>
        <v>5.0999999999999996</v>
      </c>
      <c r="H196" s="12"/>
      <c r="I196" s="15"/>
      <c r="J196" s="12"/>
      <c r="K196" s="13"/>
      <c r="L196" s="14"/>
      <c r="M196" s="14"/>
      <c r="N196" s="11"/>
      <c r="O196" s="11">
        <f t="shared" si="40"/>
        <v>5.0999999999999996</v>
      </c>
      <c r="R196" s="11">
        <f t="shared" si="43"/>
        <v>5.0999999999999996</v>
      </c>
    </row>
    <row r="197" spans="2:18" ht="20" customHeight="1" x14ac:dyDescent="0.2">
      <c r="B197" s="8"/>
      <c r="D197" s="1" t="s">
        <v>56</v>
      </c>
      <c r="E197" s="10">
        <v>2.5499999999999998</v>
      </c>
      <c r="F197" s="10">
        <v>2</v>
      </c>
      <c r="G197" s="11">
        <f>E197*F197</f>
        <v>5.0999999999999996</v>
      </c>
      <c r="H197" s="12"/>
      <c r="I197" s="15"/>
      <c r="J197" s="12"/>
      <c r="K197" s="13"/>
      <c r="L197" s="14"/>
      <c r="M197" s="14"/>
      <c r="N197" s="11"/>
      <c r="O197" s="11">
        <f t="shared" si="40"/>
        <v>5.0999999999999996</v>
      </c>
      <c r="R197" s="11">
        <f t="shared" si="43"/>
        <v>5.0999999999999996</v>
      </c>
    </row>
    <row r="198" spans="2:18" ht="20" customHeight="1" x14ac:dyDescent="0.2">
      <c r="B198" s="8"/>
      <c r="D198" s="1" t="s">
        <v>25</v>
      </c>
      <c r="G198" s="11">
        <v>1.9</v>
      </c>
      <c r="H198" s="12"/>
      <c r="I198" s="15"/>
      <c r="J198" s="12"/>
      <c r="K198" s="13"/>
      <c r="L198" s="14"/>
      <c r="M198" s="14"/>
      <c r="N198" s="11"/>
      <c r="O198" s="11">
        <f t="shared" si="40"/>
        <v>1.9</v>
      </c>
      <c r="R198" s="11">
        <f t="shared" si="43"/>
        <v>1.9</v>
      </c>
    </row>
    <row r="199" spans="2:18" ht="20" customHeight="1" x14ac:dyDescent="0.2">
      <c r="B199" s="8"/>
      <c r="C199" s="10">
        <v>6</v>
      </c>
      <c r="D199" s="1" t="s">
        <v>68</v>
      </c>
      <c r="G199" s="11">
        <v>14.5</v>
      </c>
      <c r="H199" s="12"/>
      <c r="I199" s="15"/>
      <c r="J199" s="12"/>
      <c r="K199" s="13"/>
      <c r="L199" s="14"/>
      <c r="M199" s="14"/>
      <c r="O199" s="11">
        <f>G199</f>
        <v>14.5</v>
      </c>
      <c r="R199" s="11">
        <f t="shared" si="43"/>
        <v>14.5</v>
      </c>
    </row>
    <row r="200" spans="2:18" ht="20" customHeight="1" x14ac:dyDescent="0.2">
      <c r="B200" s="8"/>
      <c r="D200" s="1" t="s">
        <v>56</v>
      </c>
      <c r="E200" s="10">
        <v>2.5499999999999998</v>
      </c>
      <c r="F200" s="10">
        <v>2</v>
      </c>
      <c r="G200" s="11">
        <f>E200*F200</f>
        <v>5.0999999999999996</v>
      </c>
      <c r="H200" s="12"/>
      <c r="I200" s="15"/>
      <c r="J200" s="12"/>
      <c r="K200" s="13"/>
      <c r="L200" s="14"/>
      <c r="M200" s="14"/>
      <c r="N200" s="11"/>
      <c r="O200" s="11">
        <f t="shared" ref="O200:O207" si="44">G200-K200</f>
        <v>5.0999999999999996</v>
      </c>
      <c r="R200" s="11">
        <f t="shared" si="43"/>
        <v>5.0999999999999996</v>
      </c>
    </row>
    <row r="201" spans="2:18" ht="20" customHeight="1" x14ac:dyDescent="0.2">
      <c r="B201" s="8"/>
      <c r="D201" s="1" t="s">
        <v>56</v>
      </c>
      <c r="E201" s="10">
        <v>2.5499999999999998</v>
      </c>
      <c r="F201" s="10">
        <v>2</v>
      </c>
      <c r="G201" s="11">
        <f>E201*F201</f>
        <v>5.0999999999999996</v>
      </c>
      <c r="H201" s="12"/>
      <c r="I201" s="15"/>
      <c r="J201" s="12"/>
      <c r="K201" s="13"/>
      <c r="L201" s="14"/>
      <c r="M201" s="14"/>
      <c r="N201" s="11"/>
      <c r="O201" s="11">
        <f t="shared" si="44"/>
        <v>5.0999999999999996</v>
      </c>
      <c r="R201" s="11">
        <f t="shared" si="43"/>
        <v>5.0999999999999996</v>
      </c>
    </row>
    <row r="202" spans="2:18" ht="20" customHeight="1" x14ac:dyDescent="0.2">
      <c r="B202" s="8"/>
      <c r="D202" s="1" t="s">
        <v>68</v>
      </c>
      <c r="G202" s="11">
        <v>1.9</v>
      </c>
      <c r="H202" s="12"/>
      <c r="I202" s="15"/>
      <c r="J202" s="12"/>
      <c r="K202" s="13"/>
      <c r="L202" s="14"/>
      <c r="M202" s="14"/>
      <c r="N202" s="11"/>
      <c r="O202" s="11">
        <f t="shared" si="44"/>
        <v>1.9</v>
      </c>
      <c r="R202" s="11">
        <f t="shared" si="43"/>
        <v>1.9</v>
      </c>
    </row>
    <row r="203" spans="2:18" ht="20" customHeight="1" x14ac:dyDescent="0.2">
      <c r="B203" s="8"/>
      <c r="D203" s="1" t="s">
        <v>68</v>
      </c>
      <c r="G203" s="11">
        <v>1.7</v>
      </c>
      <c r="H203" s="12"/>
      <c r="I203" s="15"/>
      <c r="J203" s="12"/>
      <c r="K203" s="13"/>
      <c r="L203" s="14"/>
      <c r="M203" s="14"/>
      <c r="N203" s="11"/>
      <c r="O203" s="11">
        <f t="shared" si="44"/>
        <v>1.7</v>
      </c>
      <c r="R203" s="11">
        <f t="shared" ref="R203:R211" si="45">SUM(N203:Q203)</f>
        <v>1.7</v>
      </c>
    </row>
    <row r="204" spans="2:18" ht="20" customHeight="1" x14ac:dyDescent="0.2">
      <c r="B204" s="8"/>
      <c r="C204" s="10">
        <v>5</v>
      </c>
      <c r="D204" s="1" t="s">
        <v>28</v>
      </c>
      <c r="G204" s="11">
        <v>37.5</v>
      </c>
      <c r="H204" s="12"/>
      <c r="I204" s="15"/>
      <c r="J204" s="12"/>
      <c r="K204" s="13"/>
      <c r="L204" s="14"/>
      <c r="M204" s="14">
        <f>F204*10</f>
        <v>0</v>
      </c>
      <c r="O204" s="11">
        <f t="shared" si="44"/>
        <v>37.5</v>
      </c>
      <c r="R204" s="11">
        <f t="shared" si="45"/>
        <v>37.5</v>
      </c>
    </row>
    <row r="205" spans="2:18" ht="20" customHeight="1" x14ac:dyDescent="0.2">
      <c r="B205" s="8"/>
      <c r="D205" s="1" t="s">
        <v>59</v>
      </c>
      <c r="E205" s="10">
        <v>2.5499999999999998</v>
      </c>
      <c r="F205" s="10">
        <v>2</v>
      </c>
      <c r="G205" s="11">
        <f>E205*F205</f>
        <v>5.0999999999999996</v>
      </c>
      <c r="H205" s="12"/>
      <c r="I205" s="15"/>
      <c r="J205" s="12"/>
      <c r="K205" s="13"/>
      <c r="L205" s="14"/>
      <c r="M205" s="14"/>
      <c r="N205" s="11"/>
      <c r="O205" s="11">
        <f t="shared" si="44"/>
        <v>5.0999999999999996</v>
      </c>
      <c r="R205" s="11">
        <f t="shared" si="45"/>
        <v>5.0999999999999996</v>
      </c>
    </row>
    <row r="206" spans="2:18" ht="20" customHeight="1" x14ac:dyDescent="0.2">
      <c r="B206" s="8"/>
      <c r="D206" s="1" t="s">
        <v>56</v>
      </c>
      <c r="E206" s="10">
        <v>2.5499999999999998</v>
      </c>
      <c r="F206" s="10">
        <v>2</v>
      </c>
      <c r="G206" s="11">
        <f>E206*F206</f>
        <v>5.0999999999999996</v>
      </c>
      <c r="H206" s="12"/>
      <c r="I206" s="15"/>
      <c r="J206" s="12"/>
      <c r="K206" s="13"/>
      <c r="L206" s="14"/>
      <c r="M206" s="14"/>
      <c r="N206" s="11"/>
      <c r="O206" s="11">
        <f t="shared" si="44"/>
        <v>5.0999999999999996</v>
      </c>
      <c r="R206" s="11">
        <f t="shared" si="45"/>
        <v>5.0999999999999996</v>
      </c>
    </row>
    <row r="207" spans="2:18" ht="20" customHeight="1" x14ac:dyDescent="0.2">
      <c r="B207" s="8"/>
      <c r="D207" s="1" t="s">
        <v>25</v>
      </c>
      <c r="G207" s="11">
        <v>1.9</v>
      </c>
      <c r="H207" s="12"/>
      <c r="I207" s="15"/>
      <c r="J207" s="12"/>
      <c r="K207" s="13"/>
      <c r="L207" s="14"/>
      <c r="M207" s="14"/>
      <c r="N207" s="11"/>
      <c r="O207" s="11">
        <f t="shared" si="44"/>
        <v>1.9</v>
      </c>
      <c r="R207" s="11">
        <f t="shared" si="45"/>
        <v>1.9</v>
      </c>
    </row>
    <row r="208" spans="2:18" ht="20" customHeight="1" x14ac:dyDescent="0.2">
      <c r="B208" s="8"/>
      <c r="C208" s="10">
        <v>4</v>
      </c>
      <c r="D208" s="1" t="s">
        <v>68</v>
      </c>
      <c r="G208" s="11">
        <v>14.5</v>
      </c>
      <c r="H208" s="12"/>
      <c r="I208" s="15"/>
      <c r="J208" s="12"/>
      <c r="K208" s="13"/>
      <c r="L208" s="14"/>
      <c r="M208" s="14"/>
      <c r="O208" s="11">
        <f>G208</f>
        <v>14.5</v>
      </c>
      <c r="R208" s="11">
        <f t="shared" si="45"/>
        <v>14.5</v>
      </c>
    </row>
    <row r="209" spans="1:19" ht="20" customHeight="1" x14ac:dyDescent="0.2">
      <c r="B209" s="8"/>
      <c r="D209" s="1" t="s">
        <v>56</v>
      </c>
      <c r="E209" s="10">
        <v>2.5499999999999998</v>
      </c>
      <c r="F209" s="10">
        <v>2</v>
      </c>
      <c r="G209" s="11">
        <f>E209*F209</f>
        <v>5.0999999999999996</v>
      </c>
      <c r="H209" s="12"/>
      <c r="I209" s="15"/>
      <c r="J209" s="12"/>
      <c r="K209" s="13"/>
      <c r="L209" s="14"/>
      <c r="M209" s="14"/>
      <c r="N209" s="11"/>
      <c r="O209" s="11">
        <f t="shared" ref="O209:O216" si="46">G209-K209</f>
        <v>5.0999999999999996</v>
      </c>
      <c r="R209" s="11">
        <f t="shared" si="45"/>
        <v>5.0999999999999996</v>
      </c>
    </row>
    <row r="210" spans="1:19" ht="20" customHeight="1" x14ac:dyDescent="0.2">
      <c r="B210" s="8"/>
      <c r="D210" s="1" t="s">
        <v>56</v>
      </c>
      <c r="E210" s="10">
        <v>2.5499999999999998</v>
      </c>
      <c r="F210" s="10">
        <v>2</v>
      </c>
      <c r="G210" s="11">
        <f>E210*F210</f>
        <v>5.0999999999999996</v>
      </c>
      <c r="H210" s="12"/>
      <c r="I210" s="15"/>
      <c r="J210" s="12"/>
      <c r="K210" s="13"/>
      <c r="L210" s="14"/>
      <c r="M210" s="14"/>
      <c r="N210" s="11"/>
      <c r="O210" s="11">
        <f t="shared" si="46"/>
        <v>5.0999999999999996</v>
      </c>
      <c r="R210" s="11">
        <f t="shared" si="45"/>
        <v>5.0999999999999996</v>
      </c>
    </row>
    <row r="211" spans="1:19" ht="20" customHeight="1" x14ac:dyDescent="0.2">
      <c r="B211" s="8"/>
      <c r="D211" s="1" t="s">
        <v>68</v>
      </c>
      <c r="G211" s="11">
        <v>1.9</v>
      </c>
      <c r="H211" s="12"/>
      <c r="I211" s="15"/>
      <c r="J211" s="12"/>
      <c r="K211" s="13"/>
      <c r="L211" s="14"/>
      <c r="M211" s="14"/>
      <c r="N211" s="11"/>
      <c r="O211" s="11">
        <f t="shared" si="46"/>
        <v>1.9</v>
      </c>
      <c r="R211" s="11">
        <f t="shared" si="45"/>
        <v>1.9</v>
      </c>
    </row>
    <row r="212" spans="1:19" ht="20" customHeight="1" x14ac:dyDescent="0.2">
      <c r="B212" s="8"/>
      <c r="D212" s="1" t="s">
        <v>68</v>
      </c>
      <c r="G212" s="11">
        <v>1.7</v>
      </c>
      <c r="H212" s="12"/>
      <c r="I212" s="15"/>
      <c r="J212" s="12"/>
      <c r="K212" s="13"/>
      <c r="L212" s="14"/>
      <c r="M212" s="14"/>
      <c r="N212" s="11"/>
      <c r="O212" s="11">
        <f t="shared" si="46"/>
        <v>1.7</v>
      </c>
      <c r="R212" s="11">
        <f t="shared" ref="R212:R220" si="47">SUM(N212:Q212)</f>
        <v>1.7</v>
      </c>
    </row>
    <row r="213" spans="1:19" ht="20" customHeight="1" x14ac:dyDescent="0.2">
      <c r="B213" s="8"/>
      <c r="C213" s="10">
        <v>3</v>
      </c>
      <c r="D213" s="1" t="s">
        <v>28</v>
      </c>
      <c r="G213" s="11">
        <v>37.5</v>
      </c>
      <c r="H213" s="12"/>
      <c r="I213" s="15"/>
      <c r="J213" s="12"/>
      <c r="K213" s="13"/>
      <c r="L213" s="14"/>
      <c r="M213" s="14">
        <f>F213*10</f>
        <v>0</v>
      </c>
      <c r="O213" s="11">
        <f t="shared" si="46"/>
        <v>37.5</v>
      </c>
      <c r="R213" s="11">
        <f t="shared" si="47"/>
        <v>37.5</v>
      </c>
    </row>
    <row r="214" spans="1:19" ht="20" customHeight="1" x14ac:dyDescent="0.2">
      <c r="B214" s="8"/>
      <c r="D214" s="1" t="s">
        <v>59</v>
      </c>
      <c r="E214" s="10">
        <v>2.5499999999999998</v>
      </c>
      <c r="F214" s="10">
        <v>2</v>
      </c>
      <c r="G214" s="11">
        <f>E214*F214</f>
        <v>5.0999999999999996</v>
      </c>
      <c r="H214" s="12"/>
      <c r="I214" s="15"/>
      <c r="J214" s="12"/>
      <c r="K214" s="13"/>
      <c r="L214" s="14"/>
      <c r="M214" s="14"/>
      <c r="N214" s="11"/>
      <c r="O214" s="11">
        <f t="shared" si="46"/>
        <v>5.0999999999999996</v>
      </c>
      <c r="R214" s="11">
        <f t="shared" si="47"/>
        <v>5.0999999999999996</v>
      </c>
    </row>
    <row r="215" spans="1:19" ht="20" customHeight="1" x14ac:dyDescent="0.2">
      <c r="B215" s="8"/>
      <c r="D215" s="1" t="s">
        <v>56</v>
      </c>
      <c r="E215" s="10">
        <v>2.5499999999999998</v>
      </c>
      <c r="F215" s="10">
        <v>2</v>
      </c>
      <c r="G215" s="11">
        <f>E215*F215</f>
        <v>5.0999999999999996</v>
      </c>
      <c r="H215" s="12"/>
      <c r="I215" s="15"/>
      <c r="J215" s="12"/>
      <c r="K215" s="13"/>
      <c r="L215" s="14"/>
      <c r="M215" s="14"/>
      <c r="N215" s="11"/>
      <c r="O215" s="11">
        <f t="shared" si="46"/>
        <v>5.0999999999999996</v>
      </c>
      <c r="R215" s="11">
        <f t="shared" si="47"/>
        <v>5.0999999999999996</v>
      </c>
    </row>
    <row r="216" spans="1:19" ht="20" customHeight="1" x14ac:dyDescent="0.2">
      <c r="B216" s="8"/>
      <c r="D216" s="1" t="s">
        <v>25</v>
      </c>
      <c r="G216" s="11">
        <v>1.9</v>
      </c>
      <c r="H216" s="12"/>
      <c r="I216" s="15"/>
      <c r="J216" s="12"/>
      <c r="K216" s="13"/>
      <c r="L216" s="14"/>
      <c r="M216" s="14"/>
      <c r="N216" s="11"/>
      <c r="O216" s="11">
        <f t="shared" si="46"/>
        <v>1.9</v>
      </c>
      <c r="R216" s="11">
        <f t="shared" si="47"/>
        <v>1.9</v>
      </c>
    </row>
    <row r="217" spans="1:19" ht="20" customHeight="1" x14ac:dyDescent="0.2">
      <c r="B217" s="8"/>
      <c r="C217" s="10">
        <v>2</v>
      </c>
      <c r="D217" s="1" t="s">
        <v>68</v>
      </c>
      <c r="G217" s="11">
        <v>14.5</v>
      </c>
      <c r="H217" s="12"/>
      <c r="I217" s="15"/>
      <c r="J217" s="12"/>
      <c r="K217" s="13"/>
      <c r="L217" s="14"/>
      <c r="M217" s="14"/>
      <c r="O217" s="11">
        <f>G217</f>
        <v>14.5</v>
      </c>
      <c r="R217" s="11">
        <f t="shared" si="47"/>
        <v>14.5</v>
      </c>
    </row>
    <row r="218" spans="1:19" ht="20" customHeight="1" x14ac:dyDescent="0.2">
      <c r="B218" s="8"/>
      <c r="D218" s="1" t="s">
        <v>56</v>
      </c>
      <c r="E218" s="10">
        <v>2.5499999999999998</v>
      </c>
      <c r="F218" s="10">
        <v>2</v>
      </c>
      <c r="G218" s="11">
        <f>E218*F218</f>
        <v>5.0999999999999996</v>
      </c>
      <c r="H218" s="12"/>
      <c r="I218" s="15"/>
      <c r="J218" s="12"/>
      <c r="K218" s="13"/>
      <c r="L218" s="14"/>
      <c r="M218" s="14"/>
      <c r="N218" s="11"/>
      <c r="O218" s="11">
        <f>G218-K218</f>
        <v>5.0999999999999996</v>
      </c>
      <c r="R218" s="11">
        <f t="shared" si="47"/>
        <v>5.0999999999999996</v>
      </c>
    </row>
    <row r="219" spans="1:19" ht="20" customHeight="1" x14ac:dyDescent="0.2">
      <c r="B219" s="8"/>
      <c r="D219" s="1" t="s">
        <v>56</v>
      </c>
      <c r="E219" s="10">
        <v>2.5499999999999998</v>
      </c>
      <c r="F219" s="10">
        <v>2</v>
      </c>
      <c r="G219" s="11">
        <f>E219*F219</f>
        <v>5.0999999999999996</v>
      </c>
      <c r="H219" s="12"/>
      <c r="I219" s="15"/>
      <c r="J219" s="12"/>
      <c r="K219" s="13"/>
      <c r="L219" s="14"/>
      <c r="M219" s="14"/>
      <c r="N219" s="11"/>
      <c r="O219" s="11">
        <f>G219-K219</f>
        <v>5.0999999999999996</v>
      </c>
      <c r="R219" s="11">
        <f t="shared" si="47"/>
        <v>5.0999999999999996</v>
      </c>
    </row>
    <row r="220" spans="1:19" ht="20" customHeight="1" x14ac:dyDescent="0.2">
      <c r="B220" s="8"/>
      <c r="D220" s="1" t="s">
        <v>68</v>
      </c>
      <c r="G220" s="11">
        <v>1.9</v>
      </c>
      <c r="H220" s="12"/>
      <c r="I220" s="15"/>
      <c r="J220" s="12"/>
      <c r="K220" s="13"/>
      <c r="L220" s="14"/>
      <c r="M220" s="14"/>
      <c r="N220" s="11"/>
      <c r="O220" s="11">
        <f>G220-K220</f>
        <v>1.9</v>
      </c>
      <c r="R220" s="11">
        <f t="shared" si="47"/>
        <v>1.9</v>
      </c>
    </row>
    <row r="221" spans="1:19" ht="20" customHeight="1" x14ac:dyDescent="0.2">
      <c r="B221" s="8"/>
      <c r="D221" s="1" t="s">
        <v>68</v>
      </c>
      <c r="G221" s="11">
        <v>1.7</v>
      </c>
      <c r="H221" s="12"/>
      <c r="I221" s="15"/>
      <c r="J221" s="12"/>
      <c r="K221" s="13"/>
      <c r="L221" s="14"/>
      <c r="M221" s="14"/>
      <c r="N221" s="11"/>
      <c r="O221" s="11">
        <f>G221-K221</f>
        <v>1.7</v>
      </c>
      <c r="R221" s="11">
        <f t="shared" ref="R221" si="48">SUM(N221:Q221)</f>
        <v>1.7</v>
      </c>
    </row>
    <row r="222" spans="1:19" ht="20" customHeight="1" x14ac:dyDescent="0.2">
      <c r="B222" s="8"/>
      <c r="C222" s="10">
        <v>1</v>
      </c>
      <c r="D222" s="1" t="s">
        <v>69</v>
      </c>
      <c r="G222" s="11">
        <v>8.1999999999999993</v>
      </c>
      <c r="H222" s="12"/>
      <c r="I222" s="15"/>
      <c r="J222" s="12"/>
      <c r="K222" s="13"/>
      <c r="L222" s="14"/>
      <c r="M222" s="14"/>
      <c r="N222" s="11">
        <f>G222</f>
        <v>8.1999999999999993</v>
      </c>
      <c r="O222" s="1"/>
      <c r="R222" s="11">
        <f>SUM(N222:Q222)</f>
        <v>8.1999999999999993</v>
      </c>
    </row>
    <row r="223" spans="1:19" ht="20" customHeight="1" x14ac:dyDescent="0.2">
      <c r="B223" s="8"/>
      <c r="D223" s="1" t="s">
        <v>70</v>
      </c>
      <c r="G223" s="11">
        <v>3.4</v>
      </c>
      <c r="H223" s="12"/>
      <c r="I223" s="15"/>
      <c r="J223" s="12"/>
      <c r="K223" s="13"/>
      <c r="L223" s="14"/>
      <c r="M223" s="14"/>
      <c r="O223" s="1"/>
      <c r="P223" s="11">
        <f>G223</f>
        <v>3.4</v>
      </c>
      <c r="R223" s="11">
        <f t="shared" ref="R223" si="49">SUM(N223:Q223)</f>
        <v>3.4</v>
      </c>
    </row>
    <row r="224" spans="1:19" ht="20" customHeight="1" x14ac:dyDescent="0.2">
      <c r="A224" s="8"/>
      <c r="B224" s="8">
        <v>10</v>
      </c>
      <c r="C224" s="10">
        <v>9</v>
      </c>
      <c r="D224" s="1" t="s">
        <v>28</v>
      </c>
      <c r="G224" s="11">
        <v>26.73</v>
      </c>
      <c r="H224" s="12"/>
      <c r="I224" s="15"/>
      <c r="J224" s="12"/>
      <c r="K224" s="13">
        <v>4.2</v>
      </c>
      <c r="L224" s="14"/>
      <c r="M224" s="14"/>
      <c r="N224" s="11">
        <f>G224-K224</f>
        <v>22.53</v>
      </c>
      <c r="O224" s="11"/>
      <c r="R224" s="11">
        <f t="shared" si="32"/>
        <v>22.53</v>
      </c>
      <c r="S224" s="7"/>
    </row>
    <row r="225" spans="1:20" ht="20" customHeight="1" x14ac:dyDescent="0.2">
      <c r="A225" s="8"/>
      <c r="B225" s="8"/>
      <c r="D225" s="1" t="s">
        <v>60</v>
      </c>
      <c r="G225" s="11">
        <f>(2.35*2)+(1.85*2)</f>
        <v>8.4</v>
      </c>
      <c r="H225" s="12"/>
      <c r="I225" s="15"/>
      <c r="J225" s="12"/>
      <c r="K225" s="13"/>
      <c r="L225" s="14"/>
      <c r="M225" s="14"/>
      <c r="N225" s="11">
        <f>G225-K225</f>
        <v>8.4</v>
      </c>
      <c r="O225" s="11"/>
      <c r="R225" s="11">
        <f t="shared" si="32"/>
        <v>8.4</v>
      </c>
      <c r="S225" s="7"/>
    </row>
    <row r="226" spans="1:20" ht="20" customHeight="1" x14ac:dyDescent="0.2">
      <c r="A226" s="8"/>
      <c r="B226" s="8"/>
      <c r="C226" s="10">
        <v>8</v>
      </c>
      <c r="D226" s="1" t="s">
        <v>25</v>
      </c>
      <c r="G226" s="11">
        <v>10.62</v>
      </c>
      <c r="H226" s="12"/>
      <c r="I226" s="15"/>
      <c r="J226" s="12"/>
      <c r="K226" s="13">
        <v>5</v>
      </c>
      <c r="L226" s="14"/>
      <c r="M226" s="14"/>
      <c r="O226" s="11">
        <f>G226-K226</f>
        <v>5.6199999999999992</v>
      </c>
      <c r="R226" s="11">
        <f t="shared" si="32"/>
        <v>5.6199999999999992</v>
      </c>
      <c r="S226" s="7"/>
    </row>
    <row r="227" spans="1:20" ht="20" customHeight="1" x14ac:dyDescent="0.2">
      <c r="A227" s="8"/>
      <c r="B227" s="8"/>
      <c r="C227" s="10">
        <v>7</v>
      </c>
      <c r="D227" s="1" t="s">
        <v>29</v>
      </c>
      <c r="G227" s="11">
        <v>26.73</v>
      </c>
      <c r="H227" s="12"/>
      <c r="I227" s="15"/>
      <c r="J227" s="12"/>
      <c r="K227" s="13">
        <v>4.2</v>
      </c>
      <c r="L227" s="14"/>
      <c r="M227" s="14"/>
      <c r="O227" s="11"/>
      <c r="P227" s="11">
        <f>G227-K227</f>
        <v>22.53</v>
      </c>
      <c r="Q227" s="11"/>
      <c r="R227" s="11">
        <f t="shared" si="32"/>
        <v>22.53</v>
      </c>
      <c r="S227" s="7"/>
    </row>
    <row r="228" spans="1:20" ht="20" customHeight="1" x14ac:dyDescent="0.2">
      <c r="A228" s="8"/>
      <c r="B228" s="8"/>
      <c r="D228" s="1" t="s">
        <v>61</v>
      </c>
      <c r="G228" s="11">
        <f>(2.35*2)+(1.85*2)</f>
        <v>8.4</v>
      </c>
      <c r="H228" s="12"/>
      <c r="I228" s="15"/>
      <c r="J228" s="12"/>
      <c r="K228" s="13"/>
      <c r="L228" s="14"/>
      <c r="M228" s="14"/>
      <c r="N228" s="1"/>
      <c r="O228" s="11"/>
      <c r="P228" s="11">
        <f>G228-K228</f>
        <v>8.4</v>
      </c>
      <c r="R228" s="11">
        <f t="shared" si="32"/>
        <v>8.4</v>
      </c>
      <c r="S228" s="7"/>
    </row>
    <row r="229" spans="1:20" ht="20" customHeight="1" x14ac:dyDescent="0.2">
      <c r="A229" s="8"/>
      <c r="B229" s="8"/>
      <c r="C229" s="10">
        <v>6</v>
      </c>
      <c r="D229" s="1" t="s">
        <v>25</v>
      </c>
      <c r="G229" s="11">
        <v>10.62</v>
      </c>
      <c r="H229" s="12"/>
      <c r="I229" s="15"/>
      <c r="J229" s="12"/>
      <c r="K229" s="13">
        <v>5</v>
      </c>
      <c r="L229" s="14"/>
      <c r="M229" s="14"/>
      <c r="O229" s="11">
        <f>G229-K229</f>
        <v>5.6199999999999992</v>
      </c>
      <c r="R229" s="11">
        <f t="shared" si="32"/>
        <v>5.6199999999999992</v>
      </c>
      <c r="S229" s="7"/>
    </row>
    <row r="230" spans="1:20" ht="20" customHeight="1" x14ac:dyDescent="0.2">
      <c r="A230" s="8"/>
      <c r="B230" s="8"/>
      <c r="C230" s="10">
        <v>5</v>
      </c>
      <c r="D230" s="1" t="s">
        <v>28</v>
      </c>
      <c r="G230" s="11">
        <v>26.73</v>
      </c>
      <c r="H230" s="12"/>
      <c r="I230" s="15"/>
      <c r="J230" s="12"/>
      <c r="K230" s="13">
        <v>4.2</v>
      </c>
      <c r="L230" s="14"/>
      <c r="M230" s="14"/>
      <c r="N230" s="11">
        <f t="shared" ref="N230" si="50">G230-K230</f>
        <v>22.53</v>
      </c>
      <c r="O230" s="11"/>
      <c r="R230" s="11">
        <f t="shared" si="32"/>
        <v>22.53</v>
      </c>
      <c r="S230" s="7"/>
    </row>
    <row r="231" spans="1:20" ht="20" customHeight="1" x14ac:dyDescent="0.2">
      <c r="A231" s="8"/>
      <c r="B231" s="8"/>
      <c r="D231" s="1" t="s">
        <v>60</v>
      </c>
      <c r="G231" s="11">
        <f>(2.35*2)+(1.85*2)</f>
        <v>8.4</v>
      </c>
      <c r="H231" s="12"/>
      <c r="I231" s="15"/>
      <c r="J231" s="12"/>
      <c r="K231" s="13"/>
      <c r="L231" s="14"/>
      <c r="M231" s="14"/>
      <c r="N231" s="11">
        <f>G231-K231</f>
        <v>8.4</v>
      </c>
      <c r="O231" s="11"/>
      <c r="R231" s="11">
        <f t="shared" si="32"/>
        <v>8.4</v>
      </c>
      <c r="S231" s="7"/>
    </row>
    <row r="232" spans="1:20" ht="20" customHeight="1" x14ac:dyDescent="0.2">
      <c r="A232" s="8"/>
      <c r="B232" s="8"/>
      <c r="C232" s="10">
        <v>4</v>
      </c>
      <c r="D232" s="1" t="s">
        <v>25</v>
      </c>
      <c r="G232" s="11">
        <v>10.62</v>
      </c>
      <c r="H232" s="12"/>
      <c r="I232" s="15"/>
      <c r="J232" s="12"/>
      <c r="K232" s="13">
        <v>5</v>
      </c>
      <c r="L232" s="14"/>
      <c r="M232" s="14"/>
      <c r="O232" s="11">
        <f>G232-K232</f>
        <v>5.6199999999999992</v>
      </c>
      <c r="R232" s="11">
        <f t="shared" si="32"/>
        <v>5.6199999999999992</v>
      </c>
      <c r="S232" s="7"/>
    </row>
    <row r="233" spans="1:20" ht="20" customHeight="1" x14ac:dyDescent="0.2">
      <c r="A233" s="8"/>
      <c r="B233" s="8"/>
      <c r="C233" s="10">
        <v>3</v>
      </c>
      <c r="D233" s="1" t="s">
        <v>28</v>
      </c>
      <c r="G233" s="11">
        <v>26.73</v>
      </c>
      <c r="H233" s="12"/>
      <c r="I233" s="15"/>
      <c r="J233" s="12"/>
      <c r="K233" s="13">
        <v>4.2</v>
      </c>
      <c r="L233" s="14"/>
      <c r="M233" s="14"/>
      <c r="N233" s="11">
        <f t="shared" ref="N233" si="51">G233-K233</f>
        <v>22.53</v>
      </c>
      <c r="O233" s="11"/>
      <c r="R233" s="11">
        <f t="shared" si="32"/>
        <v>22.53</v>
      </c>
      <c r="S233" s="7"/>
    </row>
    <row r="234" spans="1:20" ht="20" customHeight="1" x14ac:dyDescent="0.2">
      <c r="A234" s="8"/>
      <c r="B234" s="8"/>
      <c r="D234" s="1" t="s">
        <v>60</v>
      </c>
      <c r="G234" s="11">
        <f>(2.35*2)+(1.85*2)</f>
        <v>8.4</v>
      </c>
      <c r="H234" s="12"/>
      <c r="I234" s="15"/>
      <c r="J234" s="12"/>
      <c r="K234" s="13"/>
      <c r="L234" s="14"/>
      <c r="M234" s="14"/>
      <c r="N234" s="11">
        <f>G234-K234</f>
        <v>8.4</v>
      </c>
      <c r="O234" s="11"/>
      <c r="R234" s="11">
        <f t="shared" si="32"/>
        <v>8.4</v>
      </c>
      <c r="S234" s="7"/>
    </row>
    <row r="235" spans="1:20" ht="20" customHeight="1" x14ac:dyDescent="0.2">
      <c r="A235" s="8"/>
      <c r="B235" s="8"/>
      <c r="C235" s="10">
        <v>2</v>
      </c>
      <c r="D235" s="1" t="s">
        <v>25</v>
      </c>
      <c r="G235" s="11">
        <v>10.62</v>
      </c>
      <c r="H235" s="12"/>
      <c r="I235" s="15"/>
      <c r="J235" s="12"/>
      <c r="K235" s="13">
        <v>5</v>
      </c>
      <c r="L235" s="14"/>
      <c r="M235" s="14"/>
      <c r="O235" s="11">
        <f>G235-K235</f>
        <v>5.6199999999999992</v>
      </c>
      <c r="R235" s="11">
        <f t="shared" si="32"/>
        <v>5.6199999999999992</v>
      </c>
      <c r="S235" s="7"/>
    </row>
    <row r="236" spans="1:20" ht="20" customHeight="1" x14ac:dyDescent="0.2">
      <c r="A236" s="8"/>
      <c r="B236" s="8"/>
      <c r="C236" s="10">
        <v>1</v>
      </c>
      <c r="D236" s="1" t="s">
        <v>28</v>
      </c>
      <c r="G236" s="11">
        <v>26.73</v>
      </c>
      <c r="H236" s="12"/>
      <c r="I236" s="15"/>
      <c r="J236" s="12"/>
      <c r="K236" s="13">
        <v>4.2</v>
      </c>
      <c r="L236" s="14"/>
      <c r="M236" s="14"/>
      <c r="N236" s="11">
        <f t="shared" ref="N236" si="52">G236-K236</f>
        <v>22.53</v>
      </c>
      <c r="O236" s="11"/>
      <c r="R236" s="11">
        <f t="shared" si="32"/>
        <v>22.53</v>
      </c>
      <c r="S236" s="7"/>
      <c r="T236" s="7"/>
    </row>
    <row r="237" spans="1:20" ht="20" customHeight="1" x14ac:dyDescent="0.2">
      <c r="B237" s="8"/>
      <c r="C237" s="10" t="s">
        <v>32</v>
      </c>
      <c r="D237" s="1" t="s">
        <v>33</v>
      </c>
      <c r="G237" s="11">
        <v>42.78</v>
      </c>
      <c r="H237" s="12"/>
      <c r="I237" s="15"/>
      <c r="J237" s="12"/>
      <c r="K237" s="13"/>
      <c r="L237" s="14"/>
      <c r="M237" s="14"/>
      <c r="N237" s="11"/>
      <c r="O237" s="11"/>
      <c r="Q237" s="11">
        <f>G237</f>
        <v>42.78</v>
      </c>
      <c r="R237" s="11">
        <f t="shared" si="32"/>
        <v>42.78</v>
      </c>
      <c r="S237" s="7"/>
    </row>
    <row r="238" spans="1:20" ht="20" customHeight="1" x14ac:dyDescent="0.2">
      <c r="A238" s="8"/>
      <c r="B238" s="8">
        <v>11</v>
      </c>
      <c r="C238" s="10">
        <v>9</v>
      </c>
      <c r="D238" s="1" t="s">
        <v>25</v>
      </c>
      <c r="G238" s="11">
        <v>3.85</v>
      </c>
      <c r="H238" s="1"/>
      <c r="I238" s="1"/>
      <c r="J238" s="1"/>
      <c r="K238" s="1"/>
      <c r="L238" s="14"/>
      <c r="M238" s="14"/>
      <c r="O238" s="11">
        <f>G238-K240</f>
        <v>3.85</v>
      </c>
      <c r="P238" s="11"/>
      <c r="Q238" s="11"/>
      <c r="R238" s="11">
        <f t="shared" si="32"/>
        <v>3.85</v>
      </c>
      <c r="S238" s="7"/>
    </row>
    <row r="239" spans="1:20" ht="20" customHeight="1" x14ac:dyDescent="0.2">
      <c r="A239" s="8"/>
      <c r="B239" s="9"/>
      <c r="C239" s="10">
        <v>8</v>
      </c>
      <c r="D239" s="1" t="s">
        <v>28</v>
      </c>
      <c r="G239" s="11">
        <v>6.34</v>
      </c>
      <c r="H239" s="12"/>
      <c r="I239" s="12"/>
      <c r="J239" s="12"/>
      <c r="K239" s="13"/>
      <c r="L239" s="14"/>
      <c r="M239" s="14"/>
      <c r="N239" s="11">
        <f t="shared" ref="N239" si="53">G239-K239</f>
        <v>6.34</v>
      </c>
      <c r="O239" s="11"/>
      <c r="P239" s="11"/>
      <c r="Q239" s="11"/>
      <c r="R239" s="11">
        <f t="shared" si="32"/>
        <v>6.34</v>
      </c>
      <c r="S239" s="7"/>
    </row>
    <row r="240" spans="1:20" ht="20" customHeight="1" x14ac:dyDescent="0.2">
      <c r="B240" s="9"/>
      <c r="C240" s="10">
        <v>7</v>
      </c>
      <c r="D240" s="1" t="s">
        <v>25</v>
      </c>
      <c r="G240" s="11">
        <v>3.85</v>
      </c>
      <c r="H240" s="1"/>
      <c r="I240" s="1"/>
      <c r="J240" s="1"/>
      <c r="K240" s="1"/>
      <c r="L240" s="14"/>
      <c r="M240" s="14"/>
      <c r="O240" s="11">
        <f>G240-K242</f>
        <v>3.85</v>
      </c>
      <c r="P240" s="11"/>
      <c r="Q240" s="11"/>
      <c r="R240" s="11">
        <f t="shared" si="32"/>
        <v>3.85</v>
      </c>
      <c r="S240" s="7"/>
    </row>
    <row r="241" spans="2:20" ht="20" customHeight="1" x14ac:dyDescent="0.2">
      <c r="B241" s="8"/>
      <c r="C241" s="10">
        <v>6</v>
      </c>
      <c r="D241" s="1" t="s">
        <v>28</v>
      </c>
      <c r="G241" s="11">
        <v>6.34</v>
      </c>
      <c r="H241" s="12"/>
      <c r="I241" s="12"/>
      <c r="J241" s="12"/>
      <c r="K241" s="13"/>
      <c r="L241" s="14"/>
      <c r="M241" s="14"/>
      <c r="N241" s="11">
        <f t="shared" ref="N241" si="54">G241-K241</f>
        <v>6.34</v>
      </c>
      <c r="O241" s="11"/>
      <c r="P241" s="11"/>
      <c r="Q241" s="11"/>
      <c r="R241" s="11">
        <f t="shared" si="32"/>
        <v>6.34</v>
      </c>
    </row>
    <row r="242" spans="2:20" ht="20" customHeight="1" x14ac:dyDescent="0.2">
      <c r="B242" s="8"/>
      <c r="C242" s="10">
        <v>5</v>
      </c>
      <c r="D242" s="1" t="s">
        <v>25</v>
      </c>
      <c r="G242" s="11">
        <v>3.85</v>
      </c>
      <c r="H242" s="1"/>
      <c r="I242" s="1"/>
      <c r="J242" s="1"/>
      <c r="K242" s="1"/>
      <c r="L242" s="14"/>
      <c r="M242" s="14"/>
      <c r="O242" s="11">
        <f>G242-K244</f>
        <v>3.85</v>
      </c>
      <c r="P242" s="11"/>
      <c r="Q242" s="11"/>
      <c r="R242" s="11">
        <f t="shared" si="32"/>
        <v>3.85</v>
      </c>
    </row>
    <row r="243" spans="2:20" ht="20" customHeight="1" x14ac:dyDescent="0.2">
      <c r="B243" s="8"/>
      <c r="C243" s="10">
        <v>4</v>
      </c>
      <c r="D243" s="1" t="s">
        <v>29</v>
      </c>
      <c r="G243" s="11">
        <v>6.34</v>
      </c>
      <c r="H243" s="12"/>
      <c r="I243" s="12"/>
      <c r="J243" s="12"/>
      <c r="K243" s="13"/>
      <c r="L243" s="14"/>
      <c r="M243" s="14"/>
      <c r="O243" s="11"/>
      <c r="P243" s="11">
        <f>G243-K243</f>
        <v>6.34</v>
      </c>
      <c r="Q243" s="11"/>
      <c r="R243" s="11">
        <f t="shared" ref="R243:R248" si="55">SUM(N243:Q243)</f>
        <v>6.34</v>
      </c>
    </row>
    <row r="244" spans="2:20" ht="20" customHeight="1" x14ac:dyDescent="0.2">
      <c r="B244" s="8"/>
      <c r="C244" s="10">
        <v>3</v>
      </c>
      <c r="D244" s="1" t="s">
        <v>25</v>
      </c>
      <c r="G244" s="11">
        <v>3.85</v>
      </c>
      <c r="H244" s="1"/>
      <c r="I244" s="1"/>
      <c r="J244" s="1"/>
      <c r="K244" s="1"/>
      <c r="L244" s="14"/>
      <c r="M244" s="14"/>
      <c r="O244" s="11">
        <f>G244-K249</f>
        <v>3.85</v>
      </c>
      <c r="P244" s="11"/>
      <c r="Q244" s="11"/>
      <c r="R244" s="11">
        <f t="shared" si="55"/>
        <v>3.85</v>
      </c>
      <c r="S244" s="7"/>
    </row>
    <row r="245" spans="2:20" ht="20" customHeight="1" x14ac:dyDescent="0.2">
      <c r="B245" s="8"/>
      <c r="C245" s="10">
        <v>2</v>
      </c>
      <c r="D245" s="1" t="s">
        <v>28</v>
      </c>
      <c r="G245" s="11">
        <v>6.34</v>
      </c>
      <c r="H245" s="12"/>
      <c r="I245" s="12"/>
      <c r="J245" s="12"/>
      <c r="K245" s="13"/>
      <c r="L245" s="14"/>
      <c r="M245" s="14"/>
      <c r="N245" s="11">
        <f t="shared" ref="N245" si="56">G245-K245</f>
        <v>6.34</v>
      </c>
      <c r="O245" s="11"/>
      <c r="P245" s="11"/>
      <c r="Q245" s="11"/>
      <c r="R245" s="11">
        <f t="shared" si="55"/>
        <v>6.34</v>
      </c>
      <c r="S245" s="7"/>
    </row>
    <row r="246" spans="2:20" ht="20" customHeight="1" x14ac:dyDescent="0.2">
      <c r="B246" s="8"/>
      <c r="C246" s="10">
        <v>3</v>
      </c>
      <c r="D246" s="1" t="s">
        <v>29</v>
      </c>
      <c r="G246" s="11">
        <v>3.85</v>
      </c>
      <c r="H246" s="1"/>
      <c r="I246" s="1"/>
      <c r="J246" s="1"/>
      <c r="K246" s="1"/>
      <c r="L246" s="14"/>
      <c r="M246" s="14"/>
      <c r="O246" s="1"/>
      <c r="P246" s="11">
        <f>G246-K251</f>
        <v>3.85</v>
      </c>
      <c r="Q246" s="11"/>
      <c r="R246" s="11">
        <f t="shared" si="55"/>
        <v>3.85</v>
      </c>
      <c r="S246" s="7"/>
    </row>
    <row r="247" spans="2:20" ht="20" customHeight="1" x14ac:dyDescent="0.2">
      <c r="B247" s="8" t="s">
        <v>64</v>
      </c>
      <c r="C247" s="10" t="s">
        <v>62</v>
      </c>
      <c r="D247" s="1" t="s">
        <v>63</v>
      </c>
      <c r="G247" s="11">
        <f>13.5+17.5</f>
        <v>31</v>
      </c>
      <c r="H247" s="1"/>
      <c r="I247" s="1"/>
      <c r="J247" s="1"/>
      <c r="K247" s="1"/>
      <c r="L247" s="14"/>
      <c r="M247" s="14"/>
      <c r="N247" s="11">
        <f>G247</f>
        <v>31</v>
      </c>
      <c r="O247" s="1"/>
      <c r="P247" s="11"/>
      <c r="Q247" s="11"/>
      <c r="R247" s="11">
        <f t="shared" si="55"/>
        <v>31</v>
      </c>
      <c r="S247" s="7"/>
    </row>
    <row r="248" spans="2:20" ht="20" customHeight="1" x14ac:dyDescent="0.2">
      <c r="B248" s="8" t="s">
        <v>64</v>
      </c>
      <c r="C248" s="10" t="s">
        <v>62</v>
      </c>
      <c r="D248" s="1" t="s">
        <v>65</v>
      </c>
      <c r="G248" s="11">
        <f>13.5+17.5</f>
        <v>31</v>
      </c>
      <c r="H248" s="1"/>
      <c r="I248" s="1"/>
      <c r="J248" s="1"/>
      <c r="K248" s="1"/>
      <c r="L248" s="14"/>
      <c r="M248" s="14"/>
      <c r="N248" s="11">
        <f>G248</f>
        <v>31</v>
      </c>
      <c r="O248" s="1"/>
      <c r="P248" s="11"/>
      <c r="Q248" s="11"/>
      <c r="R248" s="11">
        <f t="shared" si="55"/>
        <v>31</v>
      </c>
      <c r="S248" s="7"/>
    </row>
    <row r="249" spans="2:20" ht="20" customHeight="1" x14ac:dyDescent="0.2">
      <c r="B249" s="8"/>
      <c r="G249" s="11"/>
      <c r="H249" s="12"/>
      <c r="I249" s="12"/>
      <c r="J249" s="12"/>
      <c r="K249" s="13"/>
      <c r="L249" s="16"/>
      <c r="M249" s="14"/>
      <c r="N249" s="11"/>
      <c r="O249" s="11"/>
      <c r="P249" s="11"/>
      <c r="Q249" s="11"/>
      <c r="R249" s="11"/>
      <c r="S249" s="7"/>
    </row>
    <row r="250" spans="2:20" ht="20" customHeight="1" x14ac:dyDescent="0.2">
      <c r="D250" s="3" t="s">
        <v>1</v>
      </c>
      <c r="E250" s="2"/>
      <c r="F250" s="2"/>
      <c r="G250" s="17"/>
      <c r="I250" s="18"/>
      <c r="J250" s="19" t="s">
        <v>0</v>
      </c>
      <c r="K250" s="20"/>
      <c r="L250" s="2"/>
      <c r="M250" s="2"/>
      <c r="N250" s="17">
        <f>SUM(N163:N249)</f>
        <v>430.28199999999975</v>
      </c>
      <c r="O250" s="17">
        <f>SUM(O163:O249)</f>
        <v>364.48000000000008</v>
      </c>
      <c r="P250" s="17">
        <f>SUM(P163:P249)</f>
        <v>67.489999999999995</v>
      </c>
      <c r="Q250" s="17">
        <f>SUM(Q163:Q249)</f>
        <v>42.78</v>
      </c>
      <c r="R250" s="17">
        <f>SUM(R163:R249)</f>
        <v>905.03200000000015</v>
      </c>
    </row>
    <row r="251" spans="2:20" ht="20" customHeight="1" x14ac:dyDescent="0.2">
      <c r="D251" s="10"/>
      <c r="L251" s="13"/>
      <c r="N251" s="21">
        <f>SUM(N250:Q250)</f>
        <v>905.03199999999981</v>
      </c>
    </row>
    <row r="252" spans="2:20" ht="20" customHeight="1" x14ac:dyDescent="0.2">
      <c r="H252" s="11"/>
      <c r="R252" s="21">
        <f>R250*2</f>
        <v>1810.0640000000003</v>
      </c>
      <c r="S252" s="21"/>
    </row>
    <row r="253" spans="2:20" ht="20" customHeight="1" x14ac:dyDescent="0.2">
      <c r="O253" s="30"/>
      <c r="R253" s="10">
        <v>3511</v>
      </c>
      <c r="S253" s="10"/>
      <c r="T253" s="10"/>
    </row>
    <row r="254" spans="2:20" ht="38" customHeight="1" x14ac:dyDescent="0.2">
      <c r="G254" s="11"/>
      <c r="I254" s="11"/>
      <c r="J254" s="11"/>
      <c r="K254" s="11"/>
      <c r="L254" s="11"/>
      <c r="M254" s="11"/>
      <c r="N254" s="4" t="s">
        <v>45</v>
      </c>
      <c r="O254" s="4" t="s">
        <v>48</v>
      </c>
      <c r="P254" s="4" t="s">
        <v>47</v>
      </c>
      <c r="Q254" s="4" t="s">
        <v>46</v>
      </c>
      <c r="R254" s="11">
        <f>R253-R252</f>
        <v>1700.9359999999997</v>
      </c>
      <c r="S254" s="10"/>
      <c r="T254" s="10"/>
    </row>
    <row r="255" spans="2:20" ht="20" customHeight="1" x14ac:dyDescent="0.2">
      <c r="G255" s="11"/>
      <c r="H255" s="11"/>
      <c r="I255" s="30"/>
      <c r="J255" s="30"/>
      <c r="K255" s="30"/>
      <c r="L255" s="30"/>
      <c r="M255" s="30"/>
      <c r="N255" s="11">
        <f>N250/70</f>
        <v>6.1468857142857107</v>
      </c>
      <c r="O255" s="11">
        <f>O250/70</f>
        <v>5.2068571428571442</v>
      </c>
      <c r="P255" s="11">
        <f>P250/70</f>
        <v>0.96414285714285708</v>
      </c>
      <c r="Q255" s="11">
        <f>Q250/70</f>
        <v>0.61114285714285721</v>
      </c>
      <c r="R255" s="10">
        <f>R254/2</f>
        <v>850.46799999999985</v>
      </c>
      <c r="S255" s="10"/>
      <c r="T255" s="10"/>
    </row>
    <row r="256" spans="2:20" ht="20" customHeight="1" x14ac:dyDescent="0.2">
      <c r="G256" s="11"/>
      <c r="H256" s="11"/>
      <c r="K256" s="21"/>
      <c r="L256" s="21"/>
      <c r="M256" s="21"/>
      <c r="N256" s="11"/>
      <c r="O256" s="11"/>
      <c r="P256" s="11"/>
      <c r="Q256" s="11"/>
      <c r="R256" s="11"/>
    </row>
    <row r="257" spans="2:18" ht="20" customHeight="1" x14ac:dyDescent="0.2">
      <c r="G257" s="11"/>
      <c r="H257" s="11"/>
      <c r="I257" s="23"/>
      <c r="J257" s="11"/>
      <c r="K257" s="11"/>
      <c r="L257" s="11"/>
      <c r="M257" s="11"/>
      <c r="N257" s="11"/>
      <c r="O257" s="11"/>
    </row>
    <row r="258" spans="2:18" ht="18" customHeight="1" x14ac:dyDescent="0.2">
      <c r="B258" s="8" t="s">
        <v>39</v>
      </c>
      <c r="C258" s="10">
        <v>10</v>
      </c>
      <c r="D258" s="1" t="s">
        <v>37</v>
      </c>
      <c r="G258" s="11">
        <f>264*0.1</f>
        <v>26.400000000000002</v>
      </c>
      <c r="H258" s="1"/>
      <c r="I258" s="1"/>
      <c r="J258" s="1"/>
      <c r="K258" s="1"/>
      <c r="L258" s="14"/>
      <c r="M258" s="14"/>
      <c r="N258" s="11">
        <f>G258-K261</f>
        <v>26.400000000000002</v>
      </c>
      <c r="O258" s="1"/>
      <c r="P258" s="11"/>
      <c r="Q258" s="11"/>
      <c r="R258" s="11">
        <f>N258+O258+P258</f>
        <v>26.400000000000002</v>
      </c>
    </row>
    <row r="259" spans="2:18" ht="18" customHeight="1" x14ac:dyDescent="0.2">
      <c r="B259" s="9"/>
      <c r="D259" s="1" t="s">
        <v>36</v>
      </c>
      <c r="G259" s="11">
        <f>264*0.9</f>
        <v>237.6</v>
      </c>
      <c r="H259" s="12"/>
      <c r="I259" s="12"/>
      <c r="J259" s="12"/>
      <c r="K259" s="13"/>
      <c r="L259" s="14"/>
      <c r="M259" s="14"/>
      <c r="N259" s="11">
        <f t="shared" ref="N259" si="57">G259-K259</f>
        <v>237.6</v>
      </c>
      <c r="O259" s="11"/>
      <c r="P259" s="11"/>
      <c r="Q259" s="11"/>
      <c r="R259" s="11">
        <f>N259+O259+P259</f>
        <v>237.6</v>
      </c>
    </row>
    <row r="260" spans="2:18" ht="18" customHeight="1" x14ac:dyDescent="0.2">
      <c r="B260" s="9"/>
      <c r="D260" s="1" t="s">
        <v>38</v>
      </c>
      <c r="G260" s="11">
        <v>102.8</v>
      </c>
      <c r="H260" s="12"/>
      <c r="I260" s="12"/>
      <c r="J260" s="12"/>
      <c r="K260" s="13"/>
      <c r="L260" s="14"/>
      <c r="M260" s="14"/>
      <c r="N260" s="11">
        <f>G260</f>
        <v>102.8</v>
      </c>
      <c r="O260" s="11"/>
      <c r="P260" s="11"/>
      <c r="Q260" s="11"/>
      <c r="R260" s="11">
        <f t="shared" ref="R260" si="58">N260+O260+P260</f>
        <v>102.8</v>
      </c>
    </row>
    <row r="261" spans="2:18" ht="18" customHeight="1" x14ac:dyDescent="0.2">
      <c r="B261" s="9"/>
      <c r="C261" s="10">
        <v>9</v>
      </c>
      <c r="D261" s="1" t="s">
        <v>37</v>
      </c>
      <c r="G261" s="11">
        <f>264*0.1</f>
        <v>26.400000000000002</v>
      </c>
      <c r="H261" s="1"/>
      <c r="I261" s="1"/>
      <c r="J261" s="1"/>
      <c r="K261" s="1"/>
      <c r="L261" s="14"/>
      <c r="M261" s="14"/>
      <c r="N261" s="11">
        <f>G261-K264</f>
        <v>26.400000000000002</v>
      </c>
      <c r="O261" s="1"/>
      <c r="P261" s="11"/>
      <c r="Q261" s="11"/>
      <c r="R261" s="11">
        <f>N261+O261+P261</f>
        <v>26.400000000000002</v>
      </c>
    </row>
    <row r="262" spans="2:18" ht="18" customHeight="1" x14ac:dyDescent="0.2">
      <c r="B262" s="8"/>
      <c r="D262" s="1" t="s">
        <v>36</v>
      </c>
      <c r="G262" s="11">
        <f>264*0.9</f>
        <v>237.6</v>
      </c>
      <c r="H262" s="12"/>
      <c r="I262" s="12"/>
      <c r="J262" s="12"/>
      <c r="K262" s="13"/>
      <c r="L262" s="14"/>
      <c r="M262" s="14"/>
      <c r="N262" s="11">
        <f t="shared" ref="N262" si="59">G262-K262</f>
        <v>237.6</v>
      </c>
      <c r="O262" s="11"/>
      <c r="P262" s="11"/>
      <c r="Q262" s="11"/>
      <c r="R262" s="11">
        <f>N262+O262+P262</f>
        <v>237.6</v>
      </c>
    </row>
    <row r="263" spans="2:18" ht="18" customHeight="1" x14ac:dyDescent="0.2">
      <c r="D263" s="1" t="s">
        <v>38</v>
      </c>
      <c r="G263" s="11">
        <v>102.8</v>
      </c>
      <c r="H263" s="12"/>
      <c r="I263" s="12"/>
      <c r="J263" s="12"/>
      <c r="K263" s="13"/>
      <c r="L263" s="14"/>
      <c r="M263" s="14"/>
      <c r="N263" s="11">
        <f>G263</f>
        <v>102.8</v>
      </c>
      <c r="O263" s="11"/>
      <c r="P263" s="11"/>
      <c r="Q263" s="11"/>
      <c r="R263" s="11">
        <f t="shared" ref="R263" si="60">N263+O263+P263</f>
        <v>102.8</v>
      </c>
    </row>
    <row r="264" spans="2:18" ht="18" customHeight="1" x14ac:dyDescent="0.2">
      <c r="C264" s="10">
        <v>8</v>
      </c>
      <c r="D264" s="1" t="s">
        <v>37</v>
      </c>
      <c r="G264" s="11">
        <f>264*0.1</f>
        <v>26.400000000000002</v>
      </c>
      <c r="H264" s="1"/>
      <c r="I264" s="1"/>
      <c r="J264" s="1"/>
      <c r="K264" s="1"/>
      <c r="L264" s="14"/>
      <c r="M264" s="14"/>
      <c r="N264" s="11">
        <f>G264-K267</f>
        <v>26.400000000000002</v>
      </c>
      <c r="O264" s="1"/>
      <c r="P264" s="11"/>
      <c r="Q264" s="11"/>
      <c r="R264" s="11">
        <f>N264+O264+P264</f>
        <v>26.400000000000002</v>
      </c>
    </row>
    <row r="265" spans="2:18" ht="18" customHeight="1" x14ac:dyDescent="0.2">
      <c r="D265" s="1" t="s">
        <v>36</v>
      </c>
      <c r="G265" s="11">
        <f>264*0.9</f>
        <v>237.6</v>
      </c>
      <c r="H265" s="12"/>
      <c r="I265" s="12"/>
      <c r="J265" s="12"/>
      <c r="K265" s="13"/>
      <c r="L265" s="14"/>
      <c r="M265" s="14"/>
      <c r="N265" s="11">
        <f t="shared" ref="N265" si="61">G265-K265</f>
        <v>237.6</v>
      </c>
      <c r="O265" s="11"/>
      <c r="P265" s="11"/>
      <c r="Q265" s="11"/>
      <c r="R265" s="11">
        <f>N265+O265+P265</f>
        <v>237.6</v>
      </c>
    </row>
    <row r="266" spans="2:18" ht="18" customHeight="1" x14ac:dyDescent="0.2">
      <c r="D266" s="1" t="s">
        <v>38</v>
      </c>
      <c r="G266" s="11">
        <v>102.8</v>
      </c>
      <c r="H266" s="12"/>
      <c r="I266" s="12"/>
      <c r="J266" s="12"/>
      <c r="K266" s="13"/>
      <c r="L266" s="14"/>
      <c r="M266" s="14"/>
      <c r="N266" s="11">
        <f>G266</f>
        <v>102.8</v>
      </c>
      <c r="O266" s="11"/>
      <c r="P266" s="11"/>
      <c r="Q266" s="11"/>
      <c r="R266" s="11">
        <f t="shared" ref="R266" si="62">N266+O266+P266</f>
        <v>102.8</v>
      </c>
    </row>
    <row r="267" spans="2:18" ht="18" customHeight="1" x14ac:dyDescent="0.2">
      <c r="C267" s="10">
        <v>7</v>
      </c>
      <c r="D267" s="1" t="s">
        <v>37</v>
      </c>
      <c r="G267" s="11">
        <f>264*0.1</f>
        <v>26.400000000000002</v>
      </c>
      <c r="H267" s="1"/>
      <c r="I267" s="1"/>
      <c r="J267" s="1"/>
      <c r="K267" s="1"/>
      <c r="L267" s="14"/>
      <c r="M267" s="14"/>
      <c r="N267" s="11">
        <f>G267-K270</f>
        <v>26.400000000000002</v>
      </c>
      <c r="O267" s="1"/>
      <c r="P267" s="11"/>
      <c r="Q267" s="11"/>
      <c r="R267" s="11">
        <f>N267+O267+P267</f>
        <v>26.400000000000002</v>
      </c>
    </row>
    <row r="268" spans="2:18" ht="18" customHeight="1" x14ac:dyDescent="0.2">
      <c r="D268" s="1" t="s">
        <v>36</v>
      </c>
      <c r="G268" s="11">
        <f>264*0.9</f>
        <v>237.6</v>
      </c>
      <c r="H268" s="12"/>
      <c r="I268" s="12"/>
      <c r="J268" s="12"/>
      <c r="K268" s="13"/>
      <c r="L268" s="14"/>
      <c r="M268" s="14"/>
      <c r="N268" s="11">
        <f t="shared" ref="N268" si="63">G268-K268</f>
        <v>237.6</v>
      </c>
      <c r="O268" s="11"/>
      <c r="P268" s="11"/>
      <c r="Q268" s="11"/>
      <c r="R268" s="11">
        <f>N268+O268+P268</f>
        <v>237.6</v>
      </c>
    </row>
    <row r="269" spans="2:18" ht="18" customHeight="1" x14ac:dyDescent="0.2">
      <c r="D269" s="1" t="s">
        <v>38</v>
      </c>
      <c r="G269" s="11">
        <v>102.8</v>
      </c>
      <c r="H269" s="12"/>
      <c r="I269" s="12"/>
      <c r="J269" s="12"/>
      <c r="K269" s="13"/>
      <c r="L269" s="14"/>
      <c r="M269" s="14"/>
      <c r="N269" s="11">
        <f>G269</f>
        <v>102.8</v>
      </c>
      <c r="O269" s="11"/>
      <c r="P269" s="11"/>
      <c r="Q269" s="11"/>
      <c r="R269" s="11">
        <f t="shared" ref="R269" si="64">N269+O269+P269</f>
        <v>102.8</v>
      </c>
    </row>
    <row r="270" spans="2:18" ht="18" customHeight="1" x14ac:dyDescent="0.2">
      <c r="C270" s="10">
        <v>6</v>
      </c>
      <c r="D270" s="1" t="s">
        <v>37</v>
      </c>
      <c r="G270" s="11">
        <f>264*0.1</f>
        <v>26.400000000000002</v>
      </c>
      <c r="H270" s="1"/>
      <c r="I270" s="1"/>
      <c r="J270" s="1"/>
      <c r="K270" s="1"/>
      <c r="L270" s="14"/>
      <c r="M270" s="14"/>
      <c r="N270" s="11">
        <f>G270-K273</f>
        <v>26.400000000000002</v>
      </c>
      <c r="O270" s="1"/>
      <c r="P270" s="11"/>
      <c r="Q270" s="11"/>
      <c r="R270" s="11">
        <f>N270+O270+P270</f>
        <v>26.400000000000002</v>
      </c>
    </row>
    <row r="271" spans="2:18" ht="18" customHeight="1" x14ac:dyDescent="0.2">
      <c r="D271" s="1" t="s">
        <v>36</v>
      </c>
      <c r="G271" s="11">
        <f>264*0.9</f>
        <v>237.6</v>
      </c>
      <c r="H271" s="12"/>
      <c r="I271" s="12"/>
      <c r="J271" s="12"/>
      <c r="K271" s="13"/>
      <c r="L271" s="14"/>
      <c r="M271" s="14"/>
      <c r="N271" s="11">
        <f t="shared" ref="N271" si="65">G271-K271</f>
        <v>237.6</v>
      </c>
      <c r="O271" s="11"/>
      <c r="P271" s="11"/>
      <c r="Q271" s="11"/>
      <c r="R271" s="11">
        <f>N271+O271+P271</f>
        <v>237.6</v>
      </c>
    </row>
    <row r="272" spans="2:18" ht="18" customHeight="1" x14ac:dyDescent="0.2">
      <c r="D272" s="1" t="s">
        <v>38</v>
      </c>
      <c r="G272" s="11">
        <v>102.8</v>
      </c>
      <c r="H272" s="12"/>
      <c r="I272" s="12"/>
      <c r="J272" s="12"/>
      <c r="K272" s="13"/>
      <c r="L272" s="14"/>
      <c r="M272" s="14"/>
      <c r="N272" s="11">
        <f>G272</f>
        <v>102.8</v>
      </c>
      <c r="O272" s="11"/>
      <c r="P272" s="11"/>
      <c r="Q272" s="11"/>
      <c r="R272" s="11">
        <f t="shared" ref="R272" si="66">N272+O272+P272</f>
        <v>102.8</v>
      </c>
    </row>
    <row r="273" spans="3:18" ht="18" customHeight="1" x14ac:dyDescent="0.2">
      <c r="C273" s="10">
        <v>5</v>
      </c>
      <c r="D273" s="1" t="s">
        <v>37</v>
      </c>
      <c r="G273" s="11">
        <f>264*0.1</f>
        <v>26.400000000000002</v>
      </c>
      <c r="H273" s="1"/>
      <c r="I273" s="1"/>
      <c r="J273" s="1"/>
      <c r="K273" s="1"/>
      <c r="L273" s="14"/>
      <c r="M273" s="14"/>
      <c r="N273" s="11">
        <f>G273-K276</f>
        <v>26.400000000000002</v>
      </c>
      <c r="O273" s="1"/>
      <c r="P273" s="11"/>
      <c r="Q273" s="11"/>
      <c r="R273" s="11">
        <f>N273+O273+P273</f>
        <v>26.400000000000002</v>
      </c>
    </row>
    <row r="274" spans="3:18" ht="18" customHeight="1" x14ac:dyDescent="0.2">
      <c r="D274" s="1" t="s">
        <v>36</v>
      </c>
      <c r="G274" s="11">
        <f>264*0.9</f>
        <v>237.6</v>
      </c>
      <c r="H274" s="12"/>
      <c r="I274" s="12"/>
      <c r="J274" s="12"/>
      <c r="K274" s="13"/>
      <c r="L274" s="14"/>
      <c r="M274" s="14"/>
      <c r="N274" s="11">
        <f t="shared" ref="N274" si="67">G274-K274</f>
        <v>237.6</v>
      </c>
      <c r="O274" s="11"/>
      <c r="P274" s="11"/>
      <c r="Q274" s="11"/>
      <c r="R274" s="11">
        <f>N274+O274+P274</f>
        <v>237.6</v>
      </c>
    </row>
    <row r="275" spans="3:18" ht="18" customHeight="1" x14ac:dyDescent="0.2">
      <c r="D275" s="1" t="s">
        <v>38</v>
      </c>
      <c r="G275" s="11">
        <v>102.8</v>
      </c>
      <c r="H275" s="12"/>
      <c r="I275" s="12"/>
      <c r="J275" s="12"/>
      <c r="K275" s="13"/>
      <c r="L275" s="14"/>
      <c r="M275" s="14"/>
      <c r="N275" s="11">
        <f>G275</f>
        <v>102.8</v>
      </c>
      <c r="O275" s="11"/>
      <c r="P275" s="11"/>
      <c r="Q275" s="11"/>
      <c r="R275" s="11">
        <f t="shared" ref="R275" si="68">N275+O275+P275</f>
        <v>102.8</v>
      </c>
    </row>
    <row r="276" spans="3:18" ht="18" customHeight="1" x14ac:dyDescent="0.2">
      <c r="C276" s="10">
        <v>4</v>
      </c>
      <c r="D276" s="1" t="s">
        <v>37</v>
      </c>
      <c r="G276" s="11">
        <f>264*0.1</f>
        <v>26.400000000000002</v>
      </c>
      <c r="H276" s="1"/>
      <c r="I276" s="1"/>
      <c r="J276" s="1"/>
      <c r="K276" s="1"/>
      <c r="L276" s="14"/>
      <c r="M276" s="14"/>
      <c r="N276" s="11">
        <f>G276-K279</f>
        <v>26.400000000000002</v>
      </c>
      <c r="O276" s="1"/>
      <c r="P276" s="11"/>
      <c r="Q276" s="11"/>
      <c r="R276" s="11">
        <f>N276+O276+P276</f>
        <v>26.400000000000002</v>
      </c>
    </row>
    <row r="277" spans="3:18" ht="18" customHeight="1" x14ac:dyDescent="0.2">
      <c r="D277" s="1" t="s">
        <v>36</v>
      </c>
      <c r="G277" s="11">
        <f>264*0.9</f>
        <v>237.6</v>
      </c>
      <c r="H277" s="12"/>
      <c r="I277" s="12"/>
      <c r="J277" s="12"/>
      <c r="K277" s="13"/>
      <c r="L277" s="14"/>
      <c r="M277" s="14"/>
      <c r="N277" s="11">
        <f t="shared" ref="N277" si="69">G277-K277</f>
        <v>237.6</v>
      </c>
      <c r="O277" s="11"/>
      <c r="P277" s="11"/>
      <c r="Q277" s="11"/>
      <c r="R277" s="11">
        <f>N277+O277+P277</f>
        <v>237.6</v>
      </c>
    </row>
    <row r="278" spans="3:18" ht="18" customHeight="1" x14ac:dyDescent="0.2">
      <c r="D278" s="1" t="s">
        <v>38</v>
      </c>
      <c r="G278" s="11">
        <v>102.8</v>
      </c>
      <c r="H278" s="12"/>
      <c r="I278" s="12"/>
      <c r="J278" s="12"/>
      <c r="K278" s="13"/>
      <c r="L278" s="14"/>
      <c r="M278" s="14"/>
      <c r="N278" s="11">
        <f>G278</f>
        <v>102.8</v>
      </c>
      <c r="O278" s="11"/>
      <c r="P278" s="11"/>
      <c r="Q278" s="11"/>
      <c r="R278" s="11">
        <f t="shared" ref="R278" si="70">N278+O278+P278</f>
        <v>102.8</v>
      </c>
    </row>
    <row r="279" spans="3:18" ht="18" customHeight="1" x14ac:dyDescent="0.2">
      <c r="C279" s="10">
        <v>3</v>
      </c>
      <c r="D279" s="1" t="s">
        <v>37</v>
      </c>
      <c r="G279" s="11">
        <f>264*0.1</f>
        <v>26.400000000000002</v>
      </c>
      <c r="H279" s="1"/>
      <c r="I279" s="1"/>
      <c r="J279" s="1"/>
      <c r="K279" s="1"/>
      <c r="L279" s="14"/>
      <c r="M279" s="14"/>
      <c r="N279" s="11">
        <f>G279-K282</f>
        <v>26.400000000000002</v>
      </c>
      <c r="O279" s="1"/>
      <c r="P279" s="11"/>
      <c r="Q279" s="11"/>
      <c r="R279" s="11">
        <f>N279+O279+P279</f>
        <v>26.400000000000002</v>
      </c>
    </row>
    <row r="280" spans="3:18" ht="18" customHeight="1" x14ac:dyDescent="0.2">
      <c r="D280" s="1" t="s">
        <v>36</v>
      </c>
      <c r="G280" s="11">
        <f>264*0.9</f>
        <v>237.6</v>
      </c>
      <c r="H280" s="12"/>
      <c r="I280" s="12"/>
      <c r="J280" s="12"/>
      <c r="K280" s="13"/>
      <c r="L280" s="14"/>
      <c r="M280" s="14"/>
      <c r="N280" s="11">
        <f t="shared" ref="N280" si="71">G280-K280</f>
        <v>237.6</v>
      </c>
      <c r="O280" s="11"/>
      <c r="P280" s="11"/>
      <c r="Q280" s="11"/>
      <c r="R280" s="11">
        <f>N280+O280+P280</f>
        <v>237.6</v>
      </c>
    </row>
    <row r="281" spans="3:18" ht="18" customHeight="1" x14ac:dyDescent="0.2">
      <c r="D281" s="1" t="s">
        <v>38</v>
      </c>
      <c r="G281" s="11">
        <v>102.8</v>
      </c>
      <c r="H281" s="12"/>
      <c r="I281" s="12"/>
      <c r="J281" s="12"/>
      <c r="K281" s="13"/>
      <c r="L281" s="14"/>
      <c r="M281" s="14"/>
      <c r="N281" s="11">
        <f>G281</f>
        <v>102.8</v>
      </c>
      <c r="O281" s="11"/>
      <c r="P281" s="11"/>
      <c r="Q281" s="11"/>
      <c r="R281" s="11">
        <f t="shared" ref="R281" si="72">N281+O281+P281</f>
        <v>102.8</v>
      </c>
    </row>
    <row r="282" spans="3:18" ht="18" customHeight="1" x14ac:dyDescent="0.2">
      <c r="C282" s="10">
        <v>2</v>
      </c>
      <c r="D282" s="1" t="s">
        <v>37</v>
      </c>
      <c r="G282" s="11">
        <f>264*0.1</f>
        <v>26.400000000000002</v>
      </c>
      <c r="H282" s="1"/>
      <c r="I282" s="1"/>
      <c r="J282" s="1"/>
      <c r="K282" s="1"/>
      <c r="L282" s="14"/>
      <c r="M282" s="14"/>
      <c r="N282" s="11">
        <f>G282-K285</f>
        <v>26.400000000000002</v>
      </c>
      <c r="O282" s="1"/>
      <c r="P282" s="11"/>
      <c r="Q282" s="11"/>
      <c r="R282" s="11">
        <f>N282+O282+P282</f>
        <v>26.400000000000002</v>
      </c>
    </row>
    <row r="283" spans="3:18" ht="18" customHeight="1" x14ac:dyDescent="0.2">
      <c r="D283" s="1" t="s">
        <v>36</v>
      </c>
      <c r="G283" s="11">
        <f>264*0.9</f>
        <v>237.6</v>
      </c>
      <c r="H283" s="12"/>
      <c r="I283" s="12"/>
      <c r="J283" s="12"/>
      <c r="K283" s="13"/>
      <c r="L283" s="14"/>
      <c r="M283" s="14"/>
      <c r="N283" s="11">
        <f t="shared" ref="N283" si="73">G283-K283</f>
        <v>237.6</v>
      </c>
      <c r="O283" s="11"/>
      <c r="P283" s="11"/>
      <c r="Q283" s="11"/>
      <c r="R283" s="11">
        <f>N283+O283+P283</f>
        <v>237.6</v>
      </c>
    </row>
    <row r="284" spans="3:18" ht="18" customHeight="1" x14ac:dyDescent="0.2">
      <c r="D284" s="1" t="s">
        <v>38</v>
      </c>
      <c r="G284" s="11">
        <v>102.8</v>
      </c>
      <c r="H284" s="12"/>
      <c r="I284" s="12"/>
      <c r="J284" s="12"/>
      <c r="K284" s="13"/>
      <c r="L284" s="14"/>
      <c r="M284" s="14"/>
      <c r="N284" s="11">
        <f>G284</f>
        <v>102.8</v>
      </c>
      <c r="O284" s="11"/>
      <c r="P284" s="11"/>
      <c r="Q284" s="11"/>
      <c r="R284" s="11">
        <f t="shared" ref="R284" si="74">N284+O284+P284</f>
        <v>102.8</v>
      </c>
    </row>
    <row r="285" spans="3:18" ht="18" customHeight="1" x14ac:dyDescent="0.2">
      <c r="C285" s="10">
        <v>1</v>
      </c>
      <c r="D285" s="1" t="s">
        <v>37</v>
      </c>
      <c r="G285" s="11">
        <f>264*0.1</f>
        <v>26.400000000000002</v>
      </c>
      <c r="H285" s="1"/>
      <c r="I285" s="1"/>
      <c r="J285" s="1"/>
      <c r="K285" s="1"/>
      <c r="L285" s="14"/>
      <c r="M285" s="14"/>
      <c r="N285" s="11">
        <f>G285-K288</f>
        <v>26.400000000000002</v>
      </c>
      <c r="O285" s="1"/>
      <c r="P285" s="11"/>
      <c r="Q285" s="11"/>
      <c r="R285" s="11">
        <f>N285+O285+P285</f>
        <v>26.400000000000002</v>
      </c>
    </row>
    <row r="286" spans="3:18" ht="18" customHeight="1" x14ac:dyDescent="0.2">
      <c r="D286" s="1" t="s">
        <v>36</v>
      </c>
      <c r="G286" s="11">
        <f>264*0.9</f>
        <v>237.6</v>
      </c>
      <c r="H286" s="12"/>
      <c r="I286" s="12"/>
      <c r="J286" s="12"/>
      <c r="K286" s="13"/>
      <c r="L286" s="14"/>
      <c r="M286" s="14"/>
      <c r="N286" s="11">
        <f t="shared" ref="N286" si="75">G286-K286</f>
        <v>237.6</v>
      </c>
      <c r="O286" s="11"/>
      <c r="P286" s="11"/>
      <c r="Q286" s="11"/>
      <c r="R286" s="11">
        <f>N286+O286+P286</f>
        <v>237.6</v>
      </c>
    </row>
    <row r="287" spans="3:18" ht="18" customHeight="1" x14ac:dyDescent="0.2">
      <c r="D287" s="1" t="s">
        <v>38</v>
      </c>
      <c r="G287" s="11">
        <v>102.8</v>
      </c>
      <c r="H287" s="12"/>
      <c r="I287" s="12"/>
      <c r="J287" s="12"/>
      <c r="K287" s="13"/>
      <c r="L287" s="14"/>
      <c r="M287" s="14"/>
      <c r="N287" s="11">
        <f>G287</f>
        <v>102.8</v>
      </c>
      <c r="O287" s="11"/>
      <c r="P287" s="11"/>
      <c r="Q287" s="11"/>
      <c r="R287" s="11">
        <f t="shared" ref="R287" si="76">N287+O287+P287</f>
        <v>102.8</v>
      </c>
    </row>
    <row r="288" spans="3:18" ht="18" customHeight="1" x14ac:dyDescent="0.2"/>
    <row r="289" spans="16:17" ht="18" customHeight="1" x14ac:dyDescent="0.2"/>
    <row r="290" spans="16:17" ht="18" customHeight="1" x14ac:dyDescent="0.2"/>
    <row r="291" spans="16:17" ht="18" customHeight="1" x14ac:dyDescent="0.2"/>
    <row r="292" spans="16:17" ht="18" customHeight="1" x14ac:dyDescent="0.2"/>
    <row r="293" spans="16:17" ht="18" customHeight="1" x14ac:dyDescent="0.2"/>
    <row r="294" spans="16:17" ht="18" customHeight="1" x14ac:dyDescent="0.2">
      <c r="P294" s="2" t="s">
        <v>15</v>
      </c>
      <c r="Q294" s="2" t="s">
        <v>84</v>
      </c>
    </row>
    <row r="295" spans="16:17" ht="18" customHeight="1" x14ac:dyDescent="0.2">
      <c r="P295" s="11">
        <f>P81+(P155*2)+P250</f>
        <v>297.88</v>
      </c>
      <c r="Q295" s="11">
        <f>P295/3</f>
        <v>99.293333333333337</v>
      </c>
    </row>
    <row r="296" spans="16:17" ht="18" customHeight="1" x14ac:dyDescent="0.2"/>
    <row r="297" spans="16:17" ht="18" customHeight="1" x14ac:dyDescent="0.2"/>
    <row r="298" spans="16:17" ht="18" customHeight="1" x14ac:dyDescent="0.2"/>
    <row r="299" spans="16:17" ht="18" customHeight="1" x14ac:dyDescent="0.2"/>
  </sheetData>
  <mergeCells count="3">
    <mergeCell ref="A2:N2"/>
    <mergeCell ref="E3:G3"/>
    <mergeCell ref="H3:K3"/>
  </mergeCells>
  <phoneticPr fontId="10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1372E-CBF0-4AA0-B5F8-930C96CA69DD}">
  <sheetPr>
    <tabColor rgb="FF447684"/>
  </sheetPr>
  <dimension ref="A1:H199"/>
  <sheetViews>
    <sheetView zoomScale="90" zoomScaleNormal="90" workbookViewId="0">
      <selection activeCell="I6" sqref="I6:I7"/>
    </sheetView>
  </sheetViews>
  <sheetFormatPr baseColWidth="10" defaultColWidth="11.5" defaultRowHeight="14" x14ac:dyDescent="0.2"/>
  <cols>
    <col min="1" max="1" width="11.5" style="10"/>
    <col min="2" max="2" width="14.6640625" style="10" customWidth="1"/>
    <col min="3" max="3" width="11.5" style="10"/>
    <col min="4" max="4" width="40.6640625" style="1" customWidth="1"/>
    <col min="5" max="5" width="15.6640625" style="10" customWidth="1"/>
    <col min="6" max="7" width="12.6640625" style="1" customWidth="1"/>
    <col min="8" max="8" width="11.5" style="1"/>
    <col min="9" max="9" width="26.83203125" style="1" customWidth="1"/>
    <col min="10" max="12" width="11.5" style="1"/>
    <col min="13" max="13" width="21.5" style="1" customWidth="1"/>
    <col min="14" max="16384" width="11.5" style="1"/>
  </cols>
  <sheetData>
    <row r="1" spans="1:8" x14ac:dyDescent="0.2">
      <c r="A1" s="305">
        <v>45969</v>
      </c>
      <c r="B1" s="305"/>
      <c r="C1" s="305"/>
    </row>
    <row r="2" spans="1:8" ht="25.25" customHeight="1" x14ac:dyDescent="0.2">
      <c r="A2" s="302" t="s">
        <v>20</v>
      </c>
      <c r="B2" s="302"/>
      <c r="C2" s="302"/>
      <c r="D2" s="302"/>
      <c r="E2" s="22"/>
      <c r="F2" s="42">
        <v>1.03</v>
      </c>
      <c r="G2" s="7">
        <f>F152</f>
        <v>3.8266300000000228</v>
      </c>
    </row>
    <row r="3" spans="1:8" ht="20" customHeight="1" x14ac:dyDescent="0.2">
      <c r="A3" s="2"/>
      <c r="B3" s="2"/>
      <c r="C3" s="2"/>
      <c r="D3" s="3"/>
      <c r="E3" s="2"/>
    </row>
    <row r="4" spans="1:8" ht="35" customHeight="1" x14ac:dyDescent="0.2">
      <c r="A4" s="2" t="s">
        <v>21</v>
      </c>
      <c r="B4" s="2" t="s">
        <v>10</v>
      </c>
      <c r="C4" s="2" t="s">
        <v>23</v>
      </c>
      <c r="D4" s="2" t="s">
        <v>9</v>
      </c>
      <c r="E4" s="4" t="s">
        <v>14</v>
      </c>
      <c r="F4" s="7"/>
    </row>
    <row r="5" spans="1:8" ht="18" customHeight="1" x14ac:dyDescent="0.2">
      <c r="A5" s="2"/>
      <c r="B5" s="36"/>
      <c r="C5" s="36"/>
      <c r="D5" s="37" t="s">
        <v>74</v>
      </c>
      <c r="E5" s="38"/>
      <c r="F5" s="7"/>
    </row>
    <row r="6" spans="1:8" ht="20" customHeight="1" x14ac:dyDescent="0.2">
      <c r="A6" s="8" t="s">
        <v>22</v>
      </c>
      <c r="B6" s="8">
        <v>1</v>
      </c>
      <c r="C6" s="10">
        <v>10</v>
      </c>
      <c r="D6" s="1" t="s">
        <v>24</v>
      </c>
      <c r="E6" s="11">
        <f>CO!R5</f>
        <v>112.852</v>
      </c>
      <c r="F6" s="11">
        <f>E6*$F$2</f>
        <v>116.23756</v>
      </c>
      <c r="G6" s="7"/>
    </row>
    <row r="7" spans="1:8" ht="20" customHeight="1" x14ac:dyDescent="0.2">
      <c r="B7" s="8"/>
      <c r="C7" s="10">
        <v>8</v>
      </c>
      <c r="D7" s="1" t="s">
        <v>29</v>
      </c>
      <c r="E7" s="11">
        <v>12.6</v>
      </c>
      <c r="F7" s="11">
        <f t="shared" ref="F7:F54" si="0">E7*$F$2</f>
        <v>12.978</v>
      </c>
      <c r="G7" s="7"/>
      <c r="H7" s="7"/>
    </row>
    <row r="8" spans="1:8" ht="20" customHeight="1" x14ac:dyDescent="0.2">
      <c r="B8" s="8"/>
      <c r="C8" s="10">
        <v>6</v>
      </c>
      <c r="D8" s="1" t="s">
        <v>28</v>
      </c>
      <c r="E8" s="11">
        <f>CO!R13</f>
        <v>12.6</v>
      </c>
      <c r="F8" s="11">
        <f t="shared" si="0"/>
        <v>12.978</v>
      </c>
    </row>
    <row r="9" spans="1:8" ht="20" customHeight="1" x14ac:dyDescent="0.2">
      <c r="B9" s="8"/>
      <c r="C9" s="10">
        <v>4</v>
      </c>
      <c r="D9" s="1" t="s">
        <v>28</v>
      </c>
      <c r="E9" s="11">
        <f>CO!R15</f>
        <v>12.6</v>
      </c>
      <c r="F9" s="11">
        <f t="shared" si="0"/>
        <v>12.978</v>
      </c>
    </row>
    <row r="10" spans="1:8" ht="20" customHeight="1" x14ac:dyDescent="0.2">
      <c r="B10" s="8"/>
      <c r="C10" s="10">
        <v>2</v>
      </c>
      <c r="D10" s="1" t="s">
        <v>28</v>
      </c>
      <c r="E10" s="11">
        <f>CO!R17</f>
        <v>12.6</v>
      </c>
      <c r="F10" s="11">
        <f t="shared" si="0"/>
        <v>12.978</v>
      </c>
    </row>
    <row r="11" spans="1:8" ht="20" customHeight="1" x14ac:dyDescent="0.2">
      <c r="B11" s="8"/>
      <c r="C11" s="10">
        <v>1</v>
      </c>
      <c r="D11" s="1" t="s">
        <v>28</v>
      </c>
      <c r="E11" s="11">
        <f>CO!R18</f>
        <v>7.5</v>
      </c>
      <c r="F11" s="11">
        <f t="shared" si="0"/>
        <v>7.7250000000000005</v>
      </c>
    </row>
    <row r="12" spans="1:8" ht="20" customHeight="1" x14ac:dyDescent="0.2">
      <c r="B12" s="55">
        <v>2</v>
      </c>
      <c r="C12" s="56">
        <v>9</v>
      </c>
      <c r="D12" s="57" t="s">
        <v>28</v>
      </c>
      <c r="E12" s="46">
        <f>CO!R19</f>
        <v>16.47</v>
      </c>
      <c r="F12" s="46">
        <f t="shared" si="0"/>
        <v>16.964099999999998</v>
      </c>
    </row>
    <row r="13" spans="1:8" ht="20" customHeight="1" x14ac:dyDescent="0.2">
      <c r="B13" s="55"/>
      <c r="C13" s="56">
        <v>8</v>
      </c>
      <c r="D13" s="57" t="s">
        <v>30</v>
      </c>
      <c r="E13" s="46">
        <f>CO!R20</f>
        <v>6.87</v>
      </c>
      <c r="F13" s="46">
        <f t="shared" si="0"/>
        <v>7.0761000000000003</v>
      </c>
    </row>
    <row r="14" spans="1:8" ht="20" customHeight="1" x14ac:dyDescent="0.2">
      <c r="B14" s="55"/>
      <c r="C14" s="56">
        <v>7</v>
      </c>
      <c r="D14" s="57" t="s">
        <v>29</v>
      </c>
      <c r="E14" s="46">
        <f>CO!R21</f>
        <v>16.47</v>
      </c>
      <c r="F14" s="46">
        <f t="shared" si="0"/>
        <v>16.964099999999998</v>
      </c>
    </row>
    <row r="15" spans="1:8" ht="20" customHeight="1" x14ac:dyDescent="0.2">
      <c r="B15" s="55"/>
      <c r="C15" s="56">
        <v>6</v>
      </c>
      <c r="D15" s="57" t="s">
        <v>30</v>
      </c>
      <c r="E15" s="46">
        <f>CO!R22</f>
        <v>6.87</v>
      </c>
      <c r="F15" s="46">
        <f t="shared" si="0"/>
        <v>7.0761000000000003</v>
      </c>
    </row>
    <row r="16" spans="1:8" ht="20" customHeight="1" x14ac:dyDescent="0.2">
      <c r="B16" s="55"/>
      <c r="C16" s="56">
        <v>5</v>
      </c>
      <c r="D16" s="57" t="s">
        <v>28</v>
      </c>
      <c r="E16" s="46">
        <f>CO!R23</f>
        <v>16.47</v>
      </c>
      <c r="F16" s="46">
        <f t="shared" si="0"/>
        <v>16.964099999999998</v>
      </c>
    </row>
    <row r="17" spans="1:6" ht="20" customHeight="1" x14ac:dyDescent="0.2">
      <c r="B17" s="55"/>
      <c r="C17" s="56">
        <v>4</v>
      </c>
      <c r="D17" s="57" t="s">
        <v>30</v>
      </c>
      <c r="E17" s="46">
        <f>CO!R24</f>
        <v>6.87</v>
      </c>
      <c r="F17" s="46">
        <f t="shared" si="0"/>
        <v>7.0761000000000003</v>
      </c>
    </row>
    <row r="18" spans="1:6" ht="20" customHeight="1" x14ac:dyDescent="0.2">
      <c r="B18" s="55"/>
      <c r="C18" s="56">
        <v>3</v>
      </c>
      <c r="D18" s="57" t="s">
        <v>28</v>
      </c>
      <c r="E18" s="46">
        <f>CO!R25</f>
        <v>16.47</v>
      </c>
      <c r="F18" s="46">
        <f t="shared" si="0"/>
        <v>16.964099999999998</v>
      </c>
    </row>
    <row r="19" spans="1:6" ht="20" customHeight="1" x14ac:dyDescent="0.2">
      <c r="B19" s="55"/>
      <c r="C19" s="56">
        <v>2</v>
      </c>
      <c r="D19" s="57" t="s">
        <v>30</v>
      </c>
      <c r="E19" s="46">
        <f>CO!R26</f>
        <v>6.87</v>
      </c>
      <c r="F19" s="46">
        <f t="shared" si="0"/>
        <v>7.0761000000000003</v>
      </c>
    </row>
    <row r="20" spans="1:6" ht="20" customHeight="1" x14ac:dyDescent="0.2">
      <c r="B20" s="55"/>
      <c r="C20" s="56">
        <v>1</v>
      </c>
      <c r="D20" s="57" t="s">
        <v>28</v>
      </c>
      <c r="E20" s="46">
        <f>CO!R27</f>
        <v>16.47</v>
      </c>
      <c r="F20" s="46">
        <f t="shared" si="0"/>
        <v>16.964099999999998</v>
      </c>
    </row>
    <row r="21" spans="1:6" ht="20" customHeight="1" x14ac:dyDescent="0.2">
      <c r="B21" s="8">
        <v>3</v>
      </c>
      <c r="C21" s="10">
        <v>9</v>
      </c>
      <c r="D21" s="1" t="s">
        <v>25</v>
      </c>
      <c r="E21" s="11">
        <v>6.25</v>
      </c>
      <c r="F21" s="11">
        <f t="shared" si="0"/>
        <v>6.4375</v>
      </c>
    </row>
    <row r="22" spans="1:6" ht="20" customHeight="1" x14ac:dyDescent="0.2">
      <c r="B22" s="8"/>
      <c r="D22" s="1" t="s">
        <v>27</v>
      </c>
      <c r="E22" s="11">
        <f>CO!R29</f>
        <v>36.709999999999994</v>
      </c>
      <c r="F22" s="11">
        <f t="shared" si="0"/>
        <v>37.811299999999996</v>
      </c>
    </row>
    <row r="23" spans="1:6" ht="20" customHeight="1" x14ac:dyDescent="0.2">
      <c r="B23" s="8"/>
      <c r="C23" s="10">
        <v>8</v>
      </c>
      <c r="D23" s="1" t="s">
        <v>31</v>
      </c>
      <c r="E23" s="11">
        <f>CO!R31</f>
        <v>5</v>
      </c>
      <c r="F23" s="11">
        <f t="shared" si="0"/>
        <v>5.15</v>
      </c>
    </row>
    <row r="24" spans="1:6" ht="20" customHeight="1" x14ac:dyDescent="0.2">
      <c r="B24" s="8"/>
      <c r="C24" s="10">
        <v>7</v>
      </c>
      <c r="D24" s="1" t="s">
        <v>29</v>
      </c>
      <c r="E24" s="11">
        <v>45.66</v>
      </c>
      <c r="F24" s="11">
        <f t="shared" si="0"/>
        <v>47.029799999999994</v>
      </c>
    </row>
    <row r="25" spans="1:6" ht="20" customHeight="1" x14ac:dyDescent="0.2">
      <c r="B25" s="8"/>
      <c r="D25" s="1" t="s">
        <v>68</v>
      </c>
      <c r="E25" s="11">
        <v>7.5</v>
      </c>
      <c r="F25" s="11">
        <f t="shared" si="0"/>
        <v>7.7250000000000005</v>
      </c>
    </row>
    <row r="26" spans="1:6" ht="20" customHeight="1" x14ac:dyDescent="0.2">
      <c r="B26" s="9"/>
      <c r="C26" s="10">
        <v>6</v>
      </c>
      <c r="D26" s="1" t="s">
        <v>31</v>
      </c>
      <c r="E26" s="11">
        <f>CO!R34</f>
        <v>5.0999999999999996</v>
      </c>
      <c r="F26" s="11">
        <f t="shared" si="0"/>
        <v>5.2530000000000001</v>
      </c>
    </row>
    <row r="27" spans="1:6" ht="20" customHeight="1" x14ac:dyDescent="0.2">
      <c r="A27" s="8"/>
      <c r="B27" s="9"/>
      <c r="C27" s="10">
        <v>5</v>
      </c>
      <c r="D27" s="1" t="s">
        <v>28</v>
      </c>
      <c r="E27" s="11">
        <v>45.66</v>
      </c>
      <c r="F27" s="11">
        <f t="shared" si="0"/>
        <v>47.029799999999994</v>
      </c>
    </row>
    <row r="28" spans="1:6" ht="20" customHeight="1" x14ac:dyDescent="0.2">
      <c r="A28" s="8"/>
      <c r="B28" s="9"/>
      <c r="D28" s="1" t="s">
        <v>68</v>
      </c>
      <c r="E28" s="11">
        <v>7.5</v>
      </c>
      <c r="F28" s="11">
        <f t="shared" si="0"/>
        <v>7.7250000000000005</v>
      </c>
    </row>
    <row r="29" spans="1:6" ht="20" customHeight="1" x14ac:dyDescent="0.2">
      <c r="A29" s="8"/>
      <c r="B29" s="9"/>
      <c r="C29" s="10">
        <v>4</v>
      </c>
      <c r="D29" s="1" t="s">
        <v>31</v>
      </c>
      <c r="E29" s="11">
        <f>CO!R37</f>
        <v>5</v>
      </c>
      <c r="F29" s="11">
        <f t="shared" si="0"/>
        <v>5.15</v>
      </c>
    </row>
    <row r="30" spans="1:6" ht="20" customHeight="1" x14ac:dyDescent="0.2">
      <c r="A30" s="8"/>
      <c r="B30" s="9"/>
      <c r="C30" s="10">
        <v>3</v>
      </c>
      <c r="D30" s="1" t="s">
        <v>28</v>
      </c>
      <c r="E30" s="11">
        <v>45.66</v>
      </c>
      <c r="F30" s="11">
        <f t="shared" si="0"/>
        <v>47.029799999999994</v>
      </c>
    </row>
    <row r="31" spans="1:6" ht="20" customHeight="1" x14ac:dyDescent="0.2">
      <c r="A31" s="8"/>
      <c r="B31" s="9"/>
      <c r="D31" s="1" t="s">
        <v>68</v>
      </c>
      <c r="E31" s="11">
        <v>7.5</v>
      </c>
      <c r="F31" s="11">
        <f t="shared" si="0"/>
        <v>7.7250000000000005</v>
      </c>
    </row>
    <row r="32" spans="1:6" ht="20" customHeight="1" x14ac:dyDescent="0.2">
      <c r="A32" s="8"/>
      <c r="B32" s="9"/>
      <c r="C32" s="10">
        <v>2</v>
      </c>
      <c r="D32" s="1" t="s">
        <v>31</v>
      </c>
      <c r="E32" s="11">
        <f>CO!R49</f>
        <v>5</v>
      </c>
      <c r="F32" s="11">
        <f t="shared" si="0"/>
        <v>5.15</v>
      </c>
    </row>
    <row r="33" spans="1:8" ht="20" customHeight="1" x14ac:dyDescent="0.2">
      <c r="A33" s="8"/>
      <c r="B33" s="9"/>
      <c r="C33" s="10">
        <v>1</v>
      </c>
      <c r="D33" s="1" t="s">
        <v>28</v>
      </c>
      <c r="E33" s="11">
        <v>45.66</v>
      </c>
      <c r="F33" s="11">
        <f t="shared" si="0"/>
        <v>47.029799999999994</v>
      </c>
    </row>
    <row r="34" spans="1:8" ht="20" customHeight="1" x14ac:dyDescent="0.2">
      <c r="A34" s="8"/>
      <c r="B34" s="9"/>
      <c r="D34" s="1" t="s">
        <v>68</v>
      </c>
      <c r="E34" s="11">
        <v>7.5</v>
      </c>
      <c r="F34" s="11">
        <f t="shared" si="0"/>
        <v>7.7250000000000005</v>
      </c>
    </row>
    <row r="35" spans="1:8" ht="20" customHeight="1" x14ac:dyDescent="0.2">
      <c r="A35" s="8"/>
      <c r="B35" s="9"/>
      <c r="C35" s="10" t="s">
        <v>66</v>
      </c>
      <c r="D35" s="1" t="s">
        <v>33</v>
      </c>
      <c r="E35" s="11">
        <f>CO!R54</f>
        <v>34</v>
      </c>
      <c r="F35" s="11">
        <f t="shared" si="0"/>
        <v>35.020000000000003</v>
      </c>
    </row>
    <row r="36" spans="1:8" ht="20" customHeight="1" x14ac:dyDescent="0.2">
      <c r="A36" s="8"/>
      <c r="B36" s="55">
        <v>4</v>
      </c>
      <c r="C36" s="56">
        <v>9</v>
      </c>
      <c r="D36" s="57" t="s">
        <v>28</v>
      </c>
      <c r="E36" s="46">
        <v>30.93</v>
      </c>
      <c r="F36" s="46">
        <f t="shared" si="0"/>
        <v>31.857900000000001</v>
      </c>
      <c r="G36" s="7"/>
      <c r="H36" s="7"/>
    </row>
    <row r="37" spans="1:8" ht="20" customHeight="1" x14ac:dyDescent="0.2">
      <c r="A37" s="8"/>
      <c r="B37" s="55"/>
      <c r="C37" s="56">
        <v>8</v>
      </c>
      <c r="D37" s="57" t="s">
        <v>25</v>
      </c>
      <c r="E37" s="46">
        <f>CO!R57</f>
        <v>5.6199999999999992</v>
      </c>
      <c r="F37" s="46">
        <f t="shared" si="0"/>
        <v>5.7885999999999997</v>
      </c>
      <c r="G37" s="7"/>
    </row>
    <row r="38" spans="1:8" ht="20" customHeight="1" x14ac:dyDescent="0.2">
      <c r="A38" s="8"/>
      <c r="B38" s="55"/>
      <c r="C38" s="56">
        <v>7</v>
      </c>
      <c r="D38" s="57" t="s">
        <v>29</v>
      </c>
      <c r="E38" s="46">
        <v>30.93</v>
      </c>
      <c r="F38" s="46">
        <f t="shared" si="0"/>
        <v>31.857900000000001</v>
      </c>
      <c r="G38" s="7"/>
    </row>
    <row r="39" spans="1:8" ht="20" customHeight="1" x14ac:dyDescent="0.2">
      <c r="A39" s="8"/>
      <c r="B39" s="55"/>
      <c r="C39" s="56">
        <v>6</v>
      </c>
      <c r="D39" s="57" t="s">
        <v>25</v>
      </c>
      <c r="E39" s="46">
        <f>CO!R60</f>
        <v>5.6199999999999992</v>
      </c>
      <c r="F39" s="46">
        <f t="shared" si="0"/>
        <v>5.7885999999999997</v>
      </c>
    </row>
    <row r="40" spans="1:8" ht="20" customHeight="1" x14ac:dyDescent="0.2">
      <c r="A40" s="8"/>
      <c r="B40" s="55"/>
      <c r="C40" s="56">
        <v>5</v>
      </c>
      <c r="D40" s="57" t="s">
        <v>28</v>
      </c>
      <c r="E40" s="46">
        <v>30.93</v>
      </c>
      <c r="F40" s="46">
        <f t="shared" si="0"/>
        <v>31.857900000000001</v>
      </c>
    </row>
    <row r="41" spans="1:8" ht="20" customHeight="1" x14ac:dyDescent="0.2">
      <c r="A41" s="8"/>
      <c r="B41" s="55"/>
      <c r="C41" s="56">
        <v>4</v>
      </c>
      <c r="D41" s="57" t="s">
        <v>25</v>
      </c>
      <c r="E41" s="46">
        <f>CO!R63</f>
        <v>5.6199999999999992</v>
      </c>
      <c r="F41" s="46">
        <f t="shared" si="0"/>
        <v>5.7885999999999997</v>
      </c>
    </row>
    <row r="42" spans="1:8" ht="20" customHeight="1" x14ac:dyDescent="0.2">
      <c r="A42" s="8"/>
      <c r="B42" s="55"/>
      <c r="C42" s="56">
        <v>3</v>
      </c>
      <c r="D42" s="57" t="s">
        <v>28</v>
      </c>
      <c r="E42" s="46">
        <v>30.93</v>
      </c>
      <c r="F42" s="46">
        <f t="shared" si="0"/>
        <v>31.857900000000001</v>
      </c>
    </row>
    <row r="43" spans="1:8" ht="20" customHeight="1" x14ac:dyDescent="0.2">
      <c r="A43" s="8"/>
      <c r="B43" s="55"/>
      <c r="C43" s="56">
        <v>2</v>
      </c>
      <c r="D43" s="57" t="s">
        <v>25</v>
      </c>
      <c r="E43" s="46">
        <f>CO!R66</f>
        <v>5.6199999999999992</v>
      </c>
      <c r="F43" s="46">
        <f t="shared" si="0"/>
        <v>5.7885999999999997</v>
      </c>
    </row>
    <row r="44" spans="1:8" ht="20" customHeight="1" x14ac:dyDescent="0.2">
      <c r="A44" s="8"/>
      <c r="B44" s="55"/>
      <c r="C44" s="56">
        <v>1</v>
      </c>
      <c r="D44" s="57" t="s">
        <v>28</v>
      </c>
      <c r="E44" s="46">
        <v>30.93</v>
      </c>
      <c r="F44" s="46">
        <f t="shared" si="0"/>
        <v>31.857900000000001</v>
      </c>
      <c r="G44" s="7"/>
    </row>
    <row r="45" spans="1:8" ht="20" customHeight="1" x14ac:dyDescent="0.2">
      <c r="B45" s="55"/>
      <c r="C45" s="56" t="s">
        <v>32</v>
      </c>
      <c r="D45" s="57" t="s">
        <v>33</v>
      </c>
      <c r="E45" s="46">
        <f>CO!R68</f>
        <v>42.78</v>
      </c>
      <c r="F45" s="46">
        <f t="shared" si="0"/>
        <v>44.063400000000001</v>
      </c>
    </row>
    <row r="46" spans="1:8" ht="20" customHeight="1" x14ac:dyDescent="0.2">
      <c r="B46" s="55"/>
      <c r="C46" s="56" t="s">
        <v>32</v>
      </c>
      <c r="D46" s="57" t="s">
        <v>79</v>
      </c>
      <c r="E46" s="46">
        <f>17.6*4.5</f>
        <v>79.2</v>
      </c>
      <c r="F46" s="46">
        <f t="shared" si="0"/>
        <v>81.576000000000008</v>
      </c>
    </row>
    <row r="47" spans="1:8" ht="20" customHeight="1" x14ac:dyDescent="0.2">
      <c r="B47" s="8">
        <v>5</v>
      </c>
      <c r="C47" s="10">
        <v>10</v>
      </c>
      <c r="D47" s="1" t="s">
        <v>28</v>
      </c>
      <c r="E47" s="11">
        <f>CO!R69</f>
        <v>12.324999999999999</v>
      </c>
      <c r="F47" s="11">
        <f t="shared" si="0"/>
        <v>12.694749999999999</v>
      </c>
    </row>
    <row r="48" spans="1:8" ht="20" customHeight="1" x14ac:dyDescent="0.2">
      <c r="A48" s="8"/>
      <c r="B48" s="8"/>
      <c r="C48" s="10">
        <v>8</v>
      </c>
      <c r="D48" s="1" t="s">
        <v>28</v>
      </c>
      <c r="E48" s="11">
        <f>CO!R70</f>
        <v>6.34</v>
      </c>
      <c r="F48" s="11">
        <f t="shared" si="0"/>
        <v>6.5301999999999998</v>
      </c>
    </row>
    <row r="49" spans="1:6" ht="20" customHeight="1" x14ac:dyDescent="0.2">
      <c r="B49" s="8"/>
      <c r="C49" s="10">
        <v>6</v>
      </c>
      <c r="D49" s="1" t="s">
        <v>28</v>
      </c>
      <c r="E49" s="11">
        <f>CO!R72</f>
        <v>6.34</v>
      </c>
      <c r="F49" s="11">
        <f t="shared" si="0"/>
        <v>6.5301999999999998</v>
      </c>
    </row>
    <row r="50" spans="1:6" ht="20" customHeight="1" x14ac:dyDescent="0.2">
      <c r="B50" s="8"/>
      <c r="C50" s="10">
        <v>4</v>
      </c>
      <c r="D50" s="1" t="s">
        <v>29</v>
      </c>
      <c r="E50" s="11">
        <f>CO!R74</f>
        <v>6.34</v>
      </c>
      <c r="F50" s="11">
        <f t="shared" si="0"/>
        <v>6.5301999999999998</v>
      </c>
    </row>
    <row r="51" spans="1:6" ht="20" customHeight="1" x14ac:dyDescent="0.2">
      <c r="B51" s="8"/>
      <c r="C51" s="10">
        <v>2</v>
      </c>
      <c r="D51" s="1" t="s">
        <v>28</v>
      </c>
      <c r="E51" s="11">
        <f>CO!R76</f>
        <v>6.34</v>
      </c>
      <c r="F51" s="11">
        <f t="shared" si="0"/>
        <v>6.5301999999999998</v>
      </c>
    </row>
    <row r="52" spans="1:6" ht="20" customHeight="1" x14ac:dyDescent="0.2">
      <c r="B52" s="8" t="s">
        <v>64</v>
      </c>
      <c r="C52" s="10" t="s">
        <v>62</v>
      </c>
      <c r="D52" s="1" t="s">
        <v>63</v>
      </c>
      <c r="E52" s="11">
        <f>CO!R78</f>
        <v>31</v>
      </c>
      <c r="F52" s="11">
        <f t="shared" si="0"/>
        <v>31.93</v>
      </c>
    </row>
    <row r="53" spans="1:6" ht="20" customHeight="1" x14ac:dyDescent="0.2">
      <c r="B53" s="8" t="s">
        <v>64</v>
      </c>
      <c r="C53" s="10" t="s">
        <v>62</v>
      </c>
      <c r="D53" s="1" t="s">
        <v>65</v>
      </c>
      <c r="E53" s="11">
        <f>CO!R79</f>
        <v>31</v>
      </c>
      <c r="F53" s="11">
        <f t="shared" si="0"/>
        <v>31.93</v>
      </c>
    </row>
    <row r="54" spans="1:6" ht="20" customHeight="1" x14ac:dyDescent="0.2">
      <c r="B54" s="8" t="s">
        <v>64</v>
      </c>
      <c r="C54" s="10" t="s">
        <v>62</v>
      </c>
      <c r="D54" s="1" t="s">
        <v>77</v>
      </c>
      <c r="E54" s="11">
        <f>((8.1*2)*4)+((9.2*1.5)*5)</f>
        <v>133.80000000000001</v>
      </c>
      <c r="F54" s="11">
        <f t="shared" si="0"/>
        <v>137.81400000000002</v>
      </c>
    </row>
    <row r="55" spans="1:6" ht="18" customHeight="1" x14ac:dyDescent="0.2">
      <c r="D55" s="40" t="s">
        <v>1</v>
      </c>
      <c r="E55" s="17">
        <f>SUM(E6:E54)</f>
        <v>1122.877</v>
      </c>
      <c r="F55" s="17">
        <f>SUM(F6:F54)</f>
        <v>1156.5633099999998</v>
      </c>
    </row>
    <row r="56" spans="1:6" ht="20" customHeight="1" x14ac:dyDescent="0.2">
      <c r="D56" s="10"/>
      <c r="F56" s="10"/>
    </row>
    <row r="57" spans="1:6" ht="20" customHeight="1" x14ac:dyDescent="0.2">
      <c r="E57" s="11"/>
      <c r="F57" s="10"/>
    </row>
    <row r="58" spans="1:6" ht="20" customHeight="1" x14ac:dyDescent="0.2">
      <c r="B58" s="32"/>
      <c r="C58" s="32"/>
      <c r="D58" s="35" t="s">
        <v>75</v>
      </c>
      <c r="E58" s="33"/>
      <c r="F58" s="10"/>
    </row>
    <row r="59" spans="1:6" ht="20" customHeight="1" x14ac:dyDescent="0.2">
      <c r="A59" s="8" t="s">
        <v>22</v>
      </c>
      <c r="B59" s="8">
        <v>6</v>
      </c>
      <c r="C59" s="10">
        <v>10</v>
      </c>
      <c r="D59" s="1" t="s">
        <v>24</v>
      </c>
      <c r="E59" s="11">
        <f>CO!R98</f>
        <v>45</v>
      </c>
      <c r="F59" s="11">
        <f>E59*$F$2</f>
        <v>46.35</v>
      </c>
    </row>
    <row r="60" spans="1:6" ht="20" customHeight="1" x14ac:dyDescent="0.2">
      <c r="B60" s="8"/>
      <c r="D60" s="1" t="s">
        <v>71</v>
      </c>
      <c r="E60" s="11">
        <v>18.32</v>
      </c>
      <c r="F60" s="11">
        <f t="shared" ref="F60:F77" si="1">E60*$F$2</f>
        <v>18.869600000000002</v>
      </c>
    </row>
    <row r="61" spans="1:6" ht="20" customHeight="1" x14ac:dyDescent="0.2">
      <c r="B61" s="8"/>
      <c r="C61" s="10">
        <v>9</v>
      </c>
      <c r="D61" s="1" t="s">
        <v>68</v>
      </c>
      <c r="E61" s="11">
        <v>13.95</v>
      </c>
      <c r="F61" s="11">
        <f t="shared" si="1"/>
        <v>14.368499999999999</v>
      </c>
    </row>
    <row r="62" spans="1:6" ht="20" customHeight="1" x14ac:dyDescent="0.2">
      <c r="B62" s="8"/>
      <c r="C62" s="10">
        <v>8</v>
      </c>
      <c r="D62" s="1" t="s">
        <v>72</v>
      </c>
      <c r="E62" s="11">
        <v>41.63</v>
      </c>
      <c r="F62" s="11">
        <f t="shared" si="1"/>
        <v>42.878900000000002</v>
      </c>
    </row>
    <row r="63" spans="1:6" ht="20" customHeight="1" x14ac:dyDescent="0.2">
      <c r="B63" s="8"/>
      <c r="D63" s="1" t="s">
        <v>68</v>
      </c>
      <c r="E63" s="11">
        <v>19.32</v>
      </c>
      <c r="F63" s="11">
        <f t="shared" si="1"/>
        <v>19.8996</v>
      </c>
    </row>
    <row r="64" spans="1:6" ht="20" customHeight="1" x14ac:dyDescent="0.2">
      <c r="B64" s="8"/>
      <c r="C64" s="10">
        <v>7</v>
      </c>
      <c r="D64" s="1" t="s">
        <v>68</v>
      </c>
      <c r="E64" s="11">
        <v>13.95</v>
      </c>
      <c r="F64" s="11">
        <f t="shared" si="1"/>
        <v>14.368499999999999</v>
      </c>
    </row>
    <row r="65" spans="2:8" ht="20" customHeight="1" x14ac:dyDescent="0.2">
      <c r="B65" s="8"/>
      <c r="C65" s="10">
        <v>6</v>
      </c>
      <c r="D65" s="1" t="s">
        <v>72</v>
      </c>
      <c r="E65" s="11">
        <v>41.63</v>
      </c>
      <c r="F65" s="11">
        <f t="shared" si="1"/>
        <v>42.878900000000002</v>
      </c>
    </row>
    <row r="66" spans="2:8" ht="20" customHeight="1" x14ac:dyDescent="0.2">
      <c r="B66" s="8"/>
      <c r="D66" s="1" t="s">
        <v>68</v>
      </c>
      <c r="E66" s="11">
        <v>19.32</v>
      </c>
      <c r="F66" s="11">
        <f t="shared" si="1"/>
        <v>19.8996</v>
      </c>
    </row>
    <row r="67" spans="2:8" ht="20" customHeight="1" x14ac:dyDescent="0.2">
      <c r="B67" s="8"/>
      <c r="C67" s="10">
        <v>5</v>
      </c>
      <c r="D67" s="1" t="s">
        <v>68</v>
      </c>
      <c r="E67" s="11">
        <v>13.95</v>
      </c>
      <c r="F67" s="11">
        <f t="shared" si="1"/>
        <v>14.368499999999999</v>
      </c>
    </row>
    <row r="68" spans="2:8" ht="20" customHeight="1" x14ac:dyDescent="0.2">
      <c r="B68" s="8"/>
      <c r="C68" s="10">
        <v>4</v>
      </c>
      <c r="D68" s="1" t="s">
        <v>73</v>
      </c>
      <c r="E68" s="11">
        <v>41.63</v>
      </c>
      <c r="F68" s="11">
        <f t="shared" si="1"/>
        <v>42.878900000000002</v>
      </c>
    </row>
    <row r="69" spans="2:8" ht="20" customHeight="1" x14ac:dyDescent="0.2">
      <c r="B69" s="8"/>
      <c r="D69" s="1" t="s">
        <v>68</v>
      </c>
      <c r="E69" s="11">
        <v>19.32</v>
      </c>
      <c r="F69" s="11">
        <f t="shared" si="1"/>
        <v>19.8996</v>
      </c>
    </row>
    <row r="70" spans="2:8" ht="20" customHeight="1" x14ac:dyDescent="0.2">
      <c r="B70" s="8"/>
      <c r="C70" s="10">
        <v>3</v>
      </c>
      <c r="D70" s="1" t="s">
        <v>68</v>
      </c>
      <c r="E70" s="11">
        <v>13.95</v>
      </c>
      <c r="F70" s="11">
        <f t="shared" si="1"/>
        <v>14.368499999999999</v>
      </c>
    </row>
    <row r="71" spans="2:8" ht="20" customHeight="1" x14ac:dyDescent="0.2">
      <c r="B71" s="8"/>
      <c r="C71" s="10">
        <v>2</v>
      </c>
      <c r="D71" s="1" t="s">
        <v>72</v>
      </c>
      <c r="E71" s="11">
        <v>41.63</v>
      </c>
      <c r="F71" s="11">
        <f t="shared" si="1"/>
        <v>42.878900000000002</v>
      </c>
    </row>
    <row r="72" spans="2:8" ht="20" customHeight="1" x14ac:dyDescent="0.2">
      <c r="B72" s="8"/>
      <c r="D72" s="1" t="s">
        <v>68</v>
      </c>
      <c r="E72" s="11">
        <v>19.32</v>
      </c>
      <c r="F72" s="11">
        <f t="shared" si="1"/>
        <v>19.8996</v>
      </c>
    </row>
    <row r="73" spans="2:8" ht="20" customHeight="1" x14ac:dyDescent="0.2">
      <c r="B73" s="8"/>
      <c r="C73" s="10">
        <v>1</v>
      </c>
      <c r="D73" s="1" t="s">
        <v>51</v>
      </c>
      <c r="E73" s="11">
        <f>CO!R147</f>
        <v>39.42</v>
      </c>
      <c r="F73" s="11">
        <f t="shared" si="1"/>
        <v>40.602600000000002</v>
      </c>
    </row>
    <row r="74" spans="2:8" ht="20" customHeight="1" x14ac:dyDescent="0.2">
      <c r="B74" s="8"/>
      <c r="C74" s="10" t="s">
        <v>52</v>
      </c>
      <c r="D74" s="1" t="s">
        <v>53</v>
      </c>
      <c r="E74" s="11">
        <v>140.11000000000001</v>
      </c>
      <c r="F74" s="11">
        <f t="shared" si="1"/>
        <v>144.31330000000003</v>
      </c>
      <c r="G74" s="7"/>
    </row>
    <row r="75" spans="2:8" ht="20" customHeight="1" x14ac:dyDescent="0.2">
      <c r="B75" s="8" t="s">
        <v>64</v>
      </c>
      <c r="C75" s="10" t="s">
        <v>62</v>
      </c>
      <c r="D75" s="1" t="s">
        <v>63</v>
      </c>
      <c r="E75" s="11">
        <f>24*9</f>
        <v>216</v>
      </c>
      <c r="F75" s="11">
        <f t="shared" si="1"/>
        <v>222.48000000000002</v>
      </c>
    </row>
    <row r="76" spans="2:8" ht="20" customHeight="1" x14ac:dyDescent="0.2">
      <c r="B76" s="8" t="s">
        <v>64</v>
      </c>
      <c r="C76" s="10" t="s">
        <v>62</v>
      </c>
      <c r="D76" s="1" t="s">
        <v>65</v>
      </c>
      <c r="E76" s="11">
        <f>CO!R152</f>
        <v>27</v>
      </c>
      <c r="F76" s="11">
        <f t="shared" si="1"/>
        <v>27.810000000000002</v>
      </c>
    </row>
    <row r="77" spans="2:8" ht="20" customHeight="1" x14ac:dyDescent="0.2">
      <c r="B77" s="8" t="s">
        <v>64</v>
      </c>
      <c r="C77" s="10" t="s">
        <v>62</v>
      </c>
      <c r="D77" s="1" t="s">
        <v>77</v>
      </c>
      <c r="E77" s="11">
        <f>4.5*10</f>
        <v>45</v>
      </c>
      <c r="F77" s="11">
        <f t="shared" si="1"/>
        <v>46.35</v>
      </c>
    </row>
    <row r="78" spans="2:8" ht="20" customHeight="1" x14ac:dyDescent="0.2">
      <c r="D78" s="35" t="s">
        <v>1</v>
      </c>
      <c r="E78" s="41">
        <f>SUM(E59:E77)</f>
        <v>830.45</v>
      </c>
      <c r="F78" s="41">
        <f>SUM(F59:F77)</f>
        <v>855.36350000000004</v>
      </c>
      <c r="H78" s="1">
        <f>F78*0.5</f>
        <v>427.68175000000002</v>
      </c>
    </row>
    <row r="79" spans="2:8" ht="20" customHeight="1" x14ac:dyDescent="0.2">
      <c r="D79" s="10"/>
      <c r="F79" s="11"/>
    </row>
    <row r="80" spans="2:8" ht="20" customHeight="1" x14ac:dyDescent="0.2">
      <c r="D80" s="10"/>
      <c r="F80" s="11"/>
    </row>
    <row r="81" spans="1:6" ht="20" customHeight="1" x14ac:dyDescent="0.2">
      <c r="B81" s="36"/>
      <c r="C81" s="36"/>
      <c r="D81" s="37" t="s">
        <v>67</v>
      </c>
      <c r="E81" s="38"/>
      <c r="F81" s="10"/>
    </row>
    <row r="82" spans="1:6" ht="20" customHeight="1" x14ac:dyDescent="0.2">
      <c r="A82" s="8" t="s">
        <v>22</v>
      </c>
      <c r="B82" s="8">
        <v>7</v>
      </c>
      <c r="C82" s="10">
        <v>10</v>
      </c>
      <c r="D82" s="1" t="s">
        <v>24</v>
      </c>
      <c r="E82" s="11">
        <f>CO!R163</f>
        <v>112.852</v>
      </c>
      <c r="F82" s="11">
        <f>E82*$F$2</f>
        <v>116.23756</v>
      </c>
    </row>
    <row r="83" spans="1:6" ht="20" customHeight="1" x14ac:dyDescent="0.2">
      <c r="B83" s="8"/>
      <c r="C83" s="10">
        <v>8</v>
      </c>
      <c r="D83" s="1" t="s">
        <v>28</v>
      </c>
      <c r="E83" s="11">
        <f>CO!R169</f>
        <v>6.5</v>
      </c>
      <c r="F83" s="11">
        <f t="shared" ref="F83:F126" si="2">E83*$F$2</f>
        <v>6.6950000000000003</v>
      </c>
    </row>
    <row r="84" spans="1:6" ht="20" customHeight="1" x14ac:dyDescent="0.2">
      <c r="B84" s="8"/>
      <c r="C84" s="10">
        <v>6</v>
      </c>
      <c r="D84" s="1" t="s">
        <v>28</v>
      </c>
      <c r="E84" s="11">
        <f>CO!R171</f>
        <v>6.5</v>
      </c>
      <c r="F84" s="11">
        <f t="shared" si="2"/>
        <v>6.6950000000000003</v>
      </c>
    </row>
    <row r="85" spans="1:6" ht="20" customHeight="1" x14ac:dyDescent="0.2">
      <c r="B85" s="8"/>
      <c r="C85" s="10">
        <v>4</v>
      </c>
      <c r="D85" s="1" t="s">
        <v>29</v>
      </c>
      <c r="E85" s="11">
        <f>CO!R173</f>
        <v>6.5</v>
      </c>
      <c r="F85" s="11">
        <f t="shared" si="2"/>
        <v>6.6950000000000003</v>
      </c>
    </row>
    <row r="86" spans="1:6" ht="20" customHeight="1" x14ac:dyDescent="0.2">
      <c r="B86" s="8"/>
      <c r="C86" s="10">
        <v>2</v>
      </c>
      <c r="D86" s="1" t="s">
        <v>28</v>
      </c>
      <c r="E86" s="11">
        <f>CO!R175</f>
        <v>6.5</v>
      </c>
      <c r="F86" s="11">
        <f t="shared" si="2"/>
        <v>6.6950000000000003</v>
      </c>
    </row>
    <row r="87" spans="1:6" ht="20" customHeight="1" x14ac:dyDescent="0.2">
      <c r="B87" s="8"/>
      <c r="C87" s="10">
        <v>1</v>
      </c>
      <c r="D87" s="1" t="s">
        <v>28</v>
      </c>
      <c r="E87" s="11">
        <f>CO!R176</f>
        <v>4.5</v>
      </c>
      <c r="F87" s="11">
        <f t="shared" si="2"/>
        <v>4.6349999999999998</v>
      </c>
    </row>
    <row r="88" spans="1:6" ht="20" customHeight="1" x14ac:dyDescent="0.2">
      <c r="B88" s="8">
        <v>8</v>
      </c>
      <c r="C88" s="10">
        <v>9</v>
      </c>
      <c r="D88" s="1" t="s">
        <v>29</v>
      </c>
      <c r="E88" s="11">
        <f>CO!R177</f>
        <v>16.47</v>
      </c>
      <c r="F88" s="11">
        <f t="shared" si="2"/>
        <v>16.964099999999998</v>
      </c>
    </row>
    <row r="89" spans="1:6" ht="20" customHeight="1" x14ac:dyDescent="0.2">
      <c r="B89" s="8"/>
      <c r="C89" s="10">
        <v>8</v>
      </c>
      <c r="D89" s="1" t="s">
        <v>30</v>
      </c>
      <c r="E89" s="11">
        <f>CO!R178</f>
        <v>6.87</v>
      </c>
      <c r="F89" s="11">
        <f t="shared" si="2"/>
        <v>7.0761000000000003</v>
      </c>
    </row>
    <row r="90" spans="1:6" ht="20" customHeight="1" x14ac:dyDescent="0.2">
      <c r="B90" s="8"/>
      <c r="C90" s="10">
        <v>7</v>
      </c>
      <c r="D90" s="1" t="s">
        <v>28</v>
      </c>
      <c r="E90" s="11">
        <f>CO!R179</f>
        <v>16.47</v>
      </c>
      <c r="F90" s="11">
        <f t="shared" si="2"/>
        <v>16.964099999999998</v>
      </c>
    </row>
    <row r="91" spans="1:6" ht="20" customHeight="1" x14ac:dyDescent="0.2">
      <c r="B91" s="8"/>
      <c r="C91" s="10">
        <v>6</v>
      </c>
      <c r="D91" s="1" t="s">
        <v>30</v>
      </c>
      <c r="E91" s="11">
        <f>CO!R180</f>
        <v>6.87</v>
      </c>
      <c r="F91" s="11">
        <f t="shared" si="2"/>
        <v>7.0761000000000003</v>
      </c>
    </row>
    <row r="92" spans="1:6" ht="20" customHeight="1" x14ac:dyDescent="0.2">
      <c r="B92" s="8"/>
      <c r="C92" s="10">
        <v>5</v>
      </c>
      <c r="D92" s="1" t="s">
        <v>28</v>
      </c>
      <c r="E92" s="11">
        <f>CO!R181</f>
        <v>16.47</v>
      </c>
      <c r="F92" s="11">
        <f t="shared" si="2"/>
        <v>16.964099999999998</v>
      </c>
    </row>
    <row r="93" spans="1:6" ht="20" customHeight="1" x14ac:dyDescent="0.2">
      <c r="B93" s="8"/>
      <c r="C93" s="10">
        <v>4</v>
      </c>
      <c r="D93" s="1" t="s">
        <v>30</v>
      </c>
      <c r="E93" s="11">
        <f>CO!R182</f>
        <v>6.87</v>
      </c>
      <c r="F93" s="11">
        <f t="shared" si="2"/>
        <v>7.0761000000000003</v>
      </c>
    </row>
    <row r="94" spans="1:6" ht="20" customHeight="1" x14ac:dyDescent="0.2">
      <c r="B94" s="8"/>
      <c r="C94" s="10">
        <v>3</v>
      </c>
      <c r="D94" s="1" t="s">
        <v>28</v>
      </c>
      <c r="E94" s="11">
        <f>CO!R183</f>
        <v>16.47</v>
      </c>
      <c r="F94" s="11">
        <f t="shared" si="2"/>
        <v>16.964099999999998</v>
      </c>
    </row>
    <row r="95" spans="1:6" ht="20" customHeight="1" x14ac:dyDescent="0.2">
      <c r="B95" s="8"/>
      <c r="C95" s="10">
        <v>2</v>
      </c>
      <c r="D95" s="1" t="s">
        <v>30</v>
      </c>
      <c r="E95" s="11">
        <f>CO!R184</f>
        <v>6.87</v>
      </c>
      <c r="F95" s="11">
        <f t="shared" si="2"/>
        <v>7.0761000000000003</v>
      </c>
    </row>
    <row r="96" spans="1:6" ht="20" customHeight="1" x14ac:dyDescent="0.2">
      <c r="B96" s="8"/>
      <c r="C96" s="10">
        <v>1</v>
      </c>
      <c r="D96" s="1" t="s">
        <v>29</v>
      </c>
      <c r="E96" s="11">
        <f>CO!R185</f>
        <v>12</v>
      </c>
      <c r="F96" s="11">
        <f t="shared" si="2"/>
        <v>12.36</v>
      </c>
    </row>
    <row r="97" spans="2:7" ht="20" customHeight="1" x14ac:dyDescent="0.2">
      <c r="B97" s="8">
        <v>9</v>
      </c>
      <c r="C97" s="10">
        <v>9</v>
      </c>
      <c r="D97" s="1" t="s">
        <v>29</v>
      </c>
      <c r="E97" s="11">
        <v>42.6</v>
      </c>
      <c r="F97" s="11">
        <f t="shared" si="2"/>
        <v>43.878</v>
      </c>
    </row>
    <row r="98" spans="2:7" ht="20" customHeight="1" x14ac:dyDescent="0.2">
      <c r="B98" s="8"/>
      <c r="D98" s="1" t="s">
        <v>68</v>
      </c>
      <c r="E98" s="11">
        <v>7</v>
      </c>
      <c r="F98" s="11">
        <f t="shared" si="2"/>
        <v>7.21</v>
      </c>
    </row>
    <row r="99" spans="2:7" ht="20" customHeight="1" x14ac:dyDescent="0.2">
      <c r="B99" s="8"/>
      <c r="C99" s="10">
        <v>8</v>
      </c>
      <c r="D99" s="1" t="s">
        <v>68</v>
      </c>
      <c r="E99" s="11">
        <v>28.3</v>
      </c>
      <c r="F99" s="11">
        <f t="shared" si="2"/>
        <v>29.149000000000001</v>
      </c>
    </row>
    <row r="100" spans="2:7" ht="20" customHeight="1" x14ac:dyDescent="0.2">
      <c r="B100" s="8"/>
      <c r="C100" s="10">
        <v>7</v>
      </c>
      <c r="D100" s="1" t="s">
        <v>72</v>
      </c>
      <c r="E100" s="11">
        <v>42.6</v>
      </c>
      <c r="F100" s="11">
        <f t="shared" si="2"/>
        <v>43.878</v>
      </c>
    </row>
    <row r="101" spans="2:7" ht="20" customHeight="1" x14ac:dyDescent="0.2">
      <c r="B101" s="8"/>
      <c r="D101" s="1" t="s">
        <v>68</v>
      </c>
      <c r="E101" s="11">
        <v>7</v>
      </c>
      <c r="F101" s="11">
        <f t="shared" si="2"/>
        <v>7.21</v>
      </c>
      <c r="G101" s="7"/>
    </row>
    <row r="102" spans="2:7" ht="20" customHeight="1" x14ac:dyDescent="0.2">
      <c r="B102" s="8"/>
      <c r="C102" s="10">
        <v>6</v>
      </c>
      <c r="D102" s="1" t="s">
        <v>68</v>
      </c>
      <c r="E102" s="11">
        <v>28.3</v>
      </c>
      <c r="F102" s="11">
        <f t="shared" si="2"/>
        <v>29.149000000000001</v>
      </c>
      <c r="G102" s="7"/>
    </row>
    <row r="103" spans="2:7" ht="20" customHeight="1" x14ac:dyDescent="0.2">
      <c r="B103" s="8"/>
      <c r="C103" s="10">
        <v>5</v>
      </c>
      <c r="D103" s="1" t="s">
        <v>72</v>
      </c>
      <c r="E103" s="11">
        <v>42.6</v>
      </c>
      <c r="F103" s="11">
        <f t="shared" si="2"/>
        <v>43.878</v>
      </c>
    </row>
    <row r="104" spans="2:7" ht="20" customHeight="1" x14ac:dyDescent="0.2">
      <c r="B104" s="8"/>
      <c r="D104" s="1" t="s">
        <v>68</v>
      </c>
      <c r="E104" s="11">
        <v>7</v>
      </c>
      <c r="F104" s="11">
        <f t="shared" si="2"/>
        <v>7.21</v>
      </c>
    </row>
    <row r="105" spans="2:7" ht="20" customHeight="1" x14ac:dyDescent="0.2">
      <c r="B105" s="8"/>
      <c r="C105" s="10">
        <v>4</v>
      </c>
      <c r="D105" s="1" t="s">
        <v>68</v>
      </c>
      <c r="E105" s="11">
        <v>28.3</v>
      </c>
      <c r="F105" s="11">
        <f t="shared" si="2"/>
        <v>29.149000000000001</v>
      </c>
    </row>
    <row r="106" spans="2:7" ht="20" customHeight="1" x14ac:dyDescent="0.2">
      <c r="B106" s="8"/>
      <c r="C106" s="10">
        <v>3</v>
      </c>
      <c r="D106" s="1" t="s">
        <v>72</v>
      </c>
      <c r="E106" s="11">
        <v>42.6</v>
      </c>
      <c r="F106" s="11">
        <f t="shared" si="2"/>
        <v>43.878</v>
      </c>
    </row>
    <row r="107" spans="2:7" ht="20" customHeight="1" x14ac:dyDescent="0.2">
      <c r="B107" s="8"/>
      <c r="D107" s="1" t="s">
        <v>68</v>
      </c>
      <c r="E107" s="11">
        <v>7</v>
      </c>
      <c r="F107" s="11">
        <f t="shared" si="2"/>
        <v>7.21</v>
      </c>
    </row>
    <row r="108" spans="2:7" ht="20" customHeight="1" x14ac:dyDescent="0.2">
      <c r="B108" s="8"/>
      <c r="C108" s="10">
        <v>2</v>
      </c>
      <c r="D108" s="1" t="s">
        <v>68</v>
      </c>
      <c r="E108" s="11">
        <v>28.3</v>
      </c>
      <c r="F108" s="11">
        <f t="shared" si="2"/>
        <v>29.149000000000001</v>
      </c>
    </row>
    <row r="109" spans="2:7" ht="20" customHeight="1" x14ac:dyDescent="0.2">
      <c r="B109" s="8"/>
      <c r="C109" s="10">
        <v>1</v>
      </c>
      <c r="D109" s="1" t="s">
        <v>69</v>
      </c>
      <c r="E109" s="11">
        <f>CO!R222</f>
        <v>8.1999999999999993</v>
      </c>
      <c r="F109" s="11">
        <f t="shared" si="2"/>
        <v>8.4459999999999997</v>
      </c>
    </row>
    <row r="110" spans="2:7" ht="20" customHeight="1" x14ac:dyDescent="0.2">
      <c r="B110" s="8"/>
      <c r="D110" s="1" t="s">
        <v>70</v>
      </c>
      <c r="E110" s="11">
        <f>CO!R223</f>
        <v>3.4</v>
      </c>
      <c r="F110" s="11">
        <f t="shared" si="2"/>
        <v>3.5019999999999998</v>
      </c>
    </row>
    <row r="111" spans="2:7" ht="20" customHeight="1" x14ac:dyDescent="0.2">
      <c r="B111" s="8">
        <v>10</v>
      </c>
      <c r="C111" s="10">
        <v>9</v>
      </c>
      <c r="D111" s="1" t="s">
        <v>29</v>
      </c>
      <c r="E111" s="11">
        <v>30.93</v>
      </c>
      <c r="F111" s="11">
        <f t="shared" si="2"/>
        <v>31.857900000000001</v>
      </c>
    </row>
    <row r="112" spans="2:7" ht="20" customHeight="1" x14ac:dyDescent="0.2">
      <c r="B112" s="8"/>
      <c r="C112" s="10">
        <v>8</v>
      </c>
      <c r="D112" s="1" t="s">
        <v>25</v>
      </c>
      <c r="E112" s="11">
        <f>CO!R226</f>
        <v>5.6199999999999992</v>
      </c>
      <c r="F112" s="11">
        <f t="shared" si="2"/>
        <v>5.7885999999999997</v>
      </c>
    </row>
    <row r="113" spans="1:6" ht="20" customHeight="1" x14ac:dyDescent="0.2">
      <c r="B113" s="8"/>
      <c r="C113" s="10">
        <v>7</v>
      </c>
      <c r="D113" s="1" t="s">
        <v>72</v>
      </c>
      <c r="E113" s="11">
        <v>30.93</v>
      </c>
      <c r="F113" s="11">
        <f t="shared" si="2"/>
        <v>31.857900000000001</v>
      </c>
    </row>
    <row r="114" spans="1:6" ht="20" customHeight="1" x14ac:dyDescent="0.2">
      <c r="B114" s="8"/>
      <c r="C114" s="10">
        <v>6</v>
      </c>
      <c r="D114" s="1" t="s">
        <v>25</v>
      </c>
      <c r="E114" s="11">
        <f>CO!R229</f>
        <v>5.6199999999999992</v>
      </c>
      <c r="F114" s="11">
        <f t="shared" si="2"/>
        <v>5.7885999999999997</v>
      </c>
    </row>
    <row r="115" spans="1:6" ht="20" customHeight="1" x14ac:dyDescent="0.2">
      <c r="A115" s="8"/>
      <c r="B115" s="8"/>
      <c r="C115" s="10">
        <v>5</v>
      </c>
      <c r="D115" s="1" t="s">
        <v>72</v>
      </c>
      <c r="E115" s="11">
        <v>30.93</v>
      </c>
      <c r="F115" s="11">
        <f t="shared" si="2"/>
        <v>31.857900000000001</v>
      </c>
    </row>
    <row r="116" spans="1:6" ht="20" customHeight="1" x14ac:dyDescent="0.2">
      <c r="A116" s="8"/>
      <c r="B116" s="8"/>
      <c r="C116" s="10">
        <v>4</v>
      </c>
      <c r="D116" s="1" t="s">
        <v>25</v>
      </c>
      <c r="E116" s="11">
        <f>CO!R232</f>
        <v>5.6199999999999992</v>
      </c>
      <c r="F116" s="11">
        <f t="shared" si="2"/>
        <v>5.7885999999999997</v>
      </c>
    </row>
    <row r="117" spans="1:6" ht="20" customHeight="1" x14ac:dyDescent="0.2">
      <c r="A117" s="8"/>
      <c r="B117" s="8"/>
      <c r="C117" s="10">
        <v>3</v>
      </c>
      <c r="D117" s="1" t="s">
        <v>28</v>
      </c>
      <c r="E117" s="11">
        <v>30.93</v>
      </c>
      <c r="F117" s="11">
        <f t="shared" si="2"/>
        <v>31.857900000000001</v>
      </c>
    </row>
    <row r="118" spans="1:6" ht="20" customHeight="1" x14ac:dyDescent="0.2">
      <c r="A118" s="8"/>
      <c r="B118" s="8"/>
      <c r="C118" s="10">
        <v>2</v>
      </c>
      <c r="D118" s="1" t="s">
        <v>25</v>
      </c>
      <c r="E118" s="11">
        <f>CO!R235</f>
        <v>5.6199999999999992</v>
      </c>
      <c r="F118" s="11">
        <f t="shared" si="2"/>
        <v>5.7885999999999997</v>
      </c>
    </row>
    <row r="119" spans="1:6" ht="20" customHeight="1" x14ac:dyDescent="0.2">
      <c r="A119" s="8"/>
      <c r="B119" s="8"/>
      <c r="C119" s="10">
        <v>1</v>
      </c>
      <c r="D119" s="1" t="s">
        <v>28</v>
      </c>
      <c r="E119" s="11">
        <f>CO!R236</f>
        <v>22.53</v>
      </c>
      <c r="F119" s="11">
        <f t="shared" si="2"/>
        <v>23.205900000000003</v>
      </c>
    </row>
    <row r="120" spans="1:6" ht="20" customHeight="1" x14ac:dyDescent="0.2">
      <c r="A120" s="8"/>
      <c r="B120" s="8">
        <v>11</v>
      </c>
      <c r="C120" s="10">
        <v>7</v>
      </c>
      <c r="D120" s="1" t="s">
        <v>29</v>
      </c>
      <c r="E120" s="11">
        <v>8.9</v>
      </c>
      <c r="F120" s="11">
        <f t="shared" si="2"/>
        <v>9.1669999999999998</v>
      </c>
    </row>
    <row r="121" spans="1:6" ht="20" customHeight="1" x14ac:dyDescent="0.2">
      <c r="A121" s="8"/>
      <c r="B121" s="8"/>
      <c r="C121" s="10">
        <v>5</v>
      </c>
      <c r="D121" s="1" t="s">
        <v>28</v>
      </c>
      <c r="E121" s="11">
        <v>8.9</v>
      </c>
      <c r="F121" s="11">
        <f t="shared" si="2"/>
        <v>9.1669999999999998</v>
      </c>
    </row>
    <row r="122" spans="1:6" ht="20" customHeight="1" x14ac:dyDescent="0.2">
      <c r="B122" s="8"/>
      <c r="C122" s="10">
        <v>3</v>
      </c>
      <c r="D122" s="1" t="s">
        <v>28</v>
      </c>
      <c r="E122" s="11">
        <v>8.9</v>
      </c>
      <c r="F122" s="11">
        <f t="shared" si="2"/>
        <v>9.1669999999999998</v>
      </c>
    </row>
    <row r="123" spans="1:6" ht="20" customHeight="1" x14ac:dyDescent="0.2">
      <c r="B123" s="8"/>
      <c r="C123" s="10">
        <v>1</v>
      </c>
      <c r="D123" s="1" t="s">
        <v>28</v>
      </c>
      <c r="E123" s="11">
        <v>8.1</v>
      </c>
      <c r="F123" s="11">
        <f t="shared" si="2"/>
        <v>8.343</v>
      </c>
    </row>
    <row r="124" spans="1:6" ht="20" customHeight="1" x14ac:dyDescent="0.2">
      <c r="B124" s="8" t="s">
        <v>64</v>
      </c>
      <c r="C124" s="10" t="s">
        <v>62</v>
      </c>
      <c r="D124" s="1" t="s">
        <v>63</v>
      </c>
      <c r="E124" s="11">
        <f>CO!R150</f>
        <v>30.29</v>
      </c>
      <c r="F124" s="11">
        <f t="shared" si="2"/>
        <v>31.198699999999999</v>
      </c>
    </row>
    <row r="125" spans="1:6" ht="20" customHeight="1" x14ac:dyDescent="0.2">
      <c r="B125" s="8" t="s">
        <v>64</v>
      </c>
      <c r="C125" s="10" t="s">
        <v>62</v>
      </c>
      <c r="D125" s="1" t="s">
        <v>65</v>
      </c>
      <c r="E125" s="11">
        <f>CO!R151</f>
        <v>27</v>
      </c>
      <c r="F125" s="11">
        <f t="shared" si="2"/>
        <v>27.810000000000002</v>
      </c>
    </row>
    <row r="126" spans="1:6" ht="20" customHeight="1" x14ac:dyDescent="0.2">
      <c r="B126" s="8" t="s">
        <v>64</v>
      </c>
      <c r="C126" s="10" t="s">
        <v>62</v>
      </c>
      <c r="D126" s="1" t="s">
        <v>77</v>
      </c>
      <c r="E126" s="11">
        <f>((8.1*2)*4)+((9.2*1.5)*5)</f>
        <v>133.80000000000001</v>
      </c>
      <c r="F126" s="11">
        <f t="shared" si="2"/>
        <v>137.81400000000002</v>
      </c>
    </row>
    <row r="127" spans="1:6" ht="20" customHeight="1" x14ac:dyDescent="0.2">
      <c r="D127" s="3" t="s">
        <v>1</v>
      </c>
      <c r="E127" s="17">
        <f>SUM(E82:E126)</f>
        <v>966.5319999999997</v>
      </c>
      <c r="F127" s="17">
        <f>SUM(F82:F126)</f>
        <v>995.52795999999989</v>
      </c>
    </row>
    <row r="128" spans="1:6" ht="20" customHeight="1" x14ac:dyDescent="0.2">
      <c r="D128" s="10"/>
      <c r="F128" s="11"/>
    </row>
    <row r="129" spans="1:6" ht="20" customHeight="1" x14ac:dyDescent="0.2">
      <c r="E129" s="21"/>
      <c r="F129" s="11"/>
    </row>
    <row r="130" spans="1:6" ht="20" customHeight="1" x14ac:dyDescent="0.2">
      <c r="B130" s="32"/>
      <c r="C130" s="32"/>
      <c r="D130" s="35" t="s">
        <v>49</v>
      </c>
      <c r="E130" s="33"/>
      <c r="F130" s="10"/>
    </row>
    <row r="131" spans="1:6" ht="20" customHeight="1" x14ac:dyDescent="0.2">
      <c r="A131" s="8" t="s">
        <v>22</v>
      </c>
      <c r="B131" s="8">
        <v>12</v>
      </c>
      <c r="C131" s="10">
        <v>10</v>
      </c>
      <c r="D131" s="1" t="s">
        <v>24</v>
      </c>
      <c r="E131" s="11">
        <f>CO!R170</f>
        <v>3.75</v>
      </c>
      <c r="F131" s="11">
        <f>E131*$F$2</f>
        <v>3.8625000000000003</v>
      </c>
    </row>
    <row r="132" spans="1:6" ht="20" customHeight="1" x14ac:dyDescent="0.2">
      <c r="B132" s="8"/>
      <c r="D132" s="1" t="s">
        <v>71</v>
      </c>
      <c r="E132" s="11">
        <v>18.32</v>
      </c>
      <c r="F132" s="11">
        <f t="shared" ref="F132:F149" si="3">E132*$F$2</f>
        <v>18.869600000000002</v>
      </c>
    </row>
    <row r="133" spans="1:6" ht="20" customHeight="1" x14ac:dyDescent="0.2">
      <c r="B133" s="8"/>
      <c r="C133" s="10">
        <v>9</v>
      </c>
      <c r="D133" s="1" t="s">
        <v>68</v>
      </c>
      <c r="E133" s="11">
        <v>13.95</v>
      </c>
      <c r="F133" s="11">
        <f t="shared" si="3"/>
        <v>14.368499999999999</v>
      </c>
    </row>
    <row r="134" spans="1:6" ht="20" customHeight="1" x14ac:dyDescent="0.2">
      <c r="B134" s="8"/>
      <c r="C134" s="10">
        <v>8</v>
      </c>
      <c r="D134" s="1" t="s">
        <v>72</v>
      </c>
      <c r="E134" s="11">
        <v>41.63</v>
      </c>
      <c r="F134" s="11">
        <f t="shared" si="3"/>
        <v>42.878900000000002</v>
      </c>
    </row>
    <row r="135" spans="1:6" ht="20" customHeight="1" x14ac:dyDescent="0.2">
      <c r="B135" s="8"/>
      <c r="D135" s="1" t="s">
        <v>68</v>
      </c>
      <c r="E135" s="11">
        <v>19.32</v>
      </c>
      <c r="F135" s="11">
        <f t="shared" si="3"/>
        <v>19.8996</v>
      </c>
    </row>
    <row r="136" spans="1:6" ht="20" customHeight="1" x14ac:dyDescent="0.2">
      <c r="B136" s="8"/>
      <c r="C136" s="10">
        <v>7</v>
      </c>
      <c r="D136" s="1" t="s">
        <v>68</v>
      </c>
      <c r="E136" s="11">
        <v>13.95</v>
      </c>
      <c r="F136" s="11">
        <f t="shared" si="3"/>
        <v>14.368499999999999</v>
      </c>
    </row>
    <row r="137" spans="1:6" ht="20" customHeight="1" x14ac:dyDescent="0.2">
      <c r="B137" s="8"/>
      <c r="C137" s="10">
        <v>6</v>
      </c>
      <c r="D137" s="1" t="s">
        <v>72</v>
      </c>
      <c r="E137" s="11">
        <v>41.63</v>
      </c>
      <c r="F137" s="11">
        <f t="shared" si="3"/>
        <v>42.878900000000002</v>
      </c>
    </row>
    <row r="138" spans="1:6" ht="20" customHeight="1" x14ac:dyDescent="0.2">
      <c r="B138" s="8"/>
      <c r="D138" s="1" t="s">
        <v>68</v>
      </c>
      <c r="E138" s="11">
        <v>19.32</v>
      </c>
      <c r="F138" s="11">
        <f t="shared" si="3"/>
        <v>19.8996</v>
      </c>
    </row>
    <row r="139" spans="1:6" ht="20" customHeight="1" x14ac:dyDescent="0.2">
      <c r="B139" s="8"/>
      <c r="C139" s="10">
        <v>5</v>
      </c>
      <c r="D139" s="1" t="s">
        <v>68</v>
      </c>
      <c r="E139" s="11">
        <v>13.95</v>
      </c>
      <c r="F139" s="11">
        <f t="shared" si="3"/>
        <v>14.368499999999999</v>
      </c>
    </row>
    <row r="140" spans="1:6" ht="20" customHeight="1" x14ac:dyDescent="0.2">
      <c r="B140" s="8"/>
      <c r="C140" s="10">
        <v>4</v>
      </c>
      <c r="D140" s="1" t="s">
        <v>73</v>
      </c>
      <c r="E140" s="11">
        <v>41.63</v>
      </c>
      <c r="F140" s="11">
        <f t="shared" si="3"/>
        <v>42.878900000000002</v>
      </c>
    </row>
    <row r="141" spans="1:6" ht="20" customHeight="1" x14ac:dyDescent="0.2">
      <c r="B141" s="8"/>
      <c r="D141" s="1" t="s">
        <v>68</v>
      </c>
      <c r="E141" s="11">
        <v>19.32</v>
      </c>
      <c r="F141" s="11">
        <f t="shared" si="3"/>
        <v>19.8996</v>
      </c>
    </row>
    <row r="142" spans="1:6" ht="20" customHeight="1" x14ac:dyDescent="0.2">
      <c r="B142" s="8"/>
      <c r="C142" s="10">
        <v>3</v>
      </c>
      <c r="D142" s="1" t="s">
        <v>68</v>
      </c>
      <c r="E142" s="11">
        <v>13.95</v>
      </c>
      <c r="F142" s="11">
        <f t="shared" si="3"/>
        <v>14.368499999999999</v>
      </c>
    </row>
    <row r="143" spans="1:6" ht="20" customHeight="1" x14ac:dyDescent="0.2">
      <c r="B143" s="8"/>
      <c r="C143" s="10">
        <v>2</v>
      </c>
      <c r="D143" s="1" t="s">
        <v>72</v>
      </c>
      <c r="E143" s="11">
        <v>41.63</v>
      </c>
      <c r="F143" s="11">
        <f t="shared" si="3"/>
        <v>42.878900000000002</v>
      </c>
    </row>
    <row r="144" spans="1:6" ht="20" customHeight="1" x14ac:dyDescent="0.2">
      <c r="B144" s="8"/>
      <c r="D144" s="1" t="s">
        <v>68</v>
      </c>
      <c r="E144" s="11">
        <v>19.32</v>
      </c>
      <c r="F144" s="11">
        <f t="shared" si="3"/>
        <v>19.8996</v>
      </c>
    </row>
    <row r="145" spans="2:8" ht="20" customHeight="1" x14ac:dyDescent="0.2">
      <c r="B145" s="8"/>
      <c r="C145" s="10">
        <v>1</v>
      </c>
      <c r="D145" s="1" t="s">
        <v>51</v>
      </c>
      <c r="E145" s="11">
        <f>CO!R219</f>
        <v>5.0999999999999996</v>
      </c>
      <c r="F145" s="11">
        <f t="shared" si="3"/>
        <v>5.2530000000000001</v>
      </c>
    </row>
    <row r="146" spans="2:8" ht="20" customHeight="1" x14ac:dyDescent="0.2">
      <c r="B146" s="8"/>
      <c r="C146" s="10" t="s">
        <v>52</v>
      </c>
      <c r="D146" s="1" t="s">
        <v>76</v>
      </c>
      <c r="E146" s="11">
        <v>126.32</v>
      </c>
      <c r="F146" s="11">
        <f t="shared" si="3"/>
        <v>130.1096</v>
      </c>
      <c r="G146" s="7"/>
    </row>
    <row r="147" spans="2:8" ht="20" customHeight="1" x14ac:dyDescent="0.2">
      <c r="B147" s="8" t="s">
        <v>64</v>
      </c>
      <c r="C147" s="10" t="s">
        <v>62</v>
      </c>
      <c r="D147" s="1" t="s">
        <v>63</v>
      </c>
      <c r="E147" s="11">
        <f>24*9</f>
        <v>216</v>
      </c>
      <c r="F147" s="11">
        <f t="shared" si="3"/>
        <v>222.48000000000002</v>
      </c>
    </row>
    <row r="148" spans="2:8" ht="20" customHeight="1" x14ac:dyDescent="0.2">
      <c r="B148" s="8" t="s">
        <v>64</v>
      </c>
      <c r="C148" s="10" t="s">
        <v>62</v>
      </c>
      <c r="D148" s="1" t="s">
        <v>65</v>
      </c>
      <c r="E148" s="11">
        <f>CO!R224</f>
        <v>22.53</v>
      </c>
      <c r="F148" s="11">
        <f t="shared" si="3"/>
        <v>23.205900000000003</v>
      </c>
    </row>
    <row r="149" spans="2:8" ht="20" customHeight="1" x14ac:dyDescent="0.2">
      <c r="B149" s="8" t="s">
        <v>64</v>
      </c>
      <c r="C149" s="10" t="s">
        <v>62</v>
      </c>
      <c r="D149" s="1" t="s">
        <v>77</v>
      </c>
      <c r="E149" s="11">
        <f>4.5*10</f>
        <v>45</v>
      </c>
      <c r="F149" s="11">
        <f t="shared" si="3"/>
        <v>46.35</v>
      </c>
    </row>
    <row r="150" spans="2:8" ht="20" customHeight="1" x14ac:dyDescent="0.2">
      <c r="D150" s="35" t="s">
        <v>1</v>
      </c>
      <c r="E150" s="41">
        <f>SUM(E131:E149)</f>
        <v>736.61999999999989</v>
      </c>
      <c r="F150" s="41">
        <f>SUM(F131:F149)</f>
        <v>758.71860000000015</v>
      </c>
    </row>
    <row r="151" spans="2:8" ht="20" customHeight="1" x14ac:dyDescent="0.2">
      <c r="E151" s="11">
        <f>E55+E78+E127+E150</f>
        <v>3656.4789999999994</v>
      </c>
      <c r="F151" s="11">
        <f>F55+F78+F127+F150</f>
        <v>3766.17337</v>
      </c>
    </row>
    <row r="152" spans="2:8" ht="20" customHeight="1" x14ac:dyDescent="0.2">
      <c r="E152" s="11">
        <f>3770-E151</f>
        <v>113.52100000000064</v>
      </c>
      <c r="F152" s="11">
        <f>3770-F151</f>
        <v>3.8266300000000228</v>
      </c>
    </row>
    <row r="153" spans="2:8" ht="20" customHeight="1" x14ac:dyDescent="0.2">
      <c r="E153" s="11"/>
      <c r="F153" s="11"/>
      <c r="H153" s="7"/>
    </row>
    <row r="154" spans="2:8" ht="38" customHeight="1" x14ac:dyDescent="0.2">
      <c r="B154" s="8" t="s">
        <v>39</v>
      </c>
      <c r="C154" s="10">
        <v>10</v>
      </c>
      <c r="D154" s="1" t="s">
        <v>37</v>
      </c>
      <c r="E154" s="11">
        <f>CO!G258</f>
        <v>26.400000000000002</v>
      </c>
      <c r="F154" s="10"/>
      <c r="G154" s="10"/>
    </row>
    <row r="155" spans="2:8" ht="20" customHeight="1" x14ac:dyDescent="0.2">
      <c r="B155" s="9"/>
      <c r="D155" s="1" t="s">
        <v>36</v>
      </c>
      <c r="E155" s="11">
        <f>CO!G259</f>
        <v>237.6</v>
      </c>
      <c r="F155" s="10"/>
      <c r="G155" s="10"/>
    </row>
    <row r="156" spans="2:8" ht="20" customHeight="1" x14ac:dyDescent="0.2">
      <c r="B156" s="9"/>
      <c r="D156" s="1" t="s">
        <v>38</v>
      </c>
      <c r="E156" s="11">
        <f>CO!G260</f>
        <v>102.8</v>
      </c>
      <c r="F156" s="10"/>
    </row>
    <row r="157" spans="2:8" ht="20" customHeight="1" x14ac:dyDescent="0.2">
      <c r="B157" s="9"/>
      <c r="C157" s="10">
        <v>9</v>
      </c>
      <c r="D157" s="1" t="s">
        <v>37</v>
      </c>
      <c r="E157" s="11">
        <f>CO!G261</f>
        <v>26.400000000000002</v>
      </c>
      <c r="F157" s="10"/>
    </row>
    <row r="158" spans="2:8" ht="18" customHeight="1" x14ac:dyDescent="0.2">
      <c r="B158" s="8"/>
      <c r="D158" s="1" t="s">
        <v>36</v>
      </c>
      <c r="E158" s="11">
        <f>CO!G262</f>
        <v>237.6</v>
      </c>
      <c r="F158" s="10"/>
    </row>
    <row r="159" spans="2:8" ht="18" customHeight="1" x14ac:dyDescent="0.2">
      <c r="D159" s="1" t="s">
        <v>38</v>
      </c>
      <c r="E159" s="11">
        <f>CO!G263</f>
        <v>102.8</v>
      </c>
      <c r="F159" s="10"/>
    </row>
    <row r="160" spans="2:8" ht="18" customHeight="1" x14ac:dyDescent="0.2">
      <c r="C160" s="10">
        <v>8</v>
      </c>
      <c r="D160" s="1" t="s">
        <v>37</v>
      </c>
      <c r="E160" s="11">
        <f>CO!G264</f>
        <v>26.400000000000002</v>
      </c>
      <c r="F160" s="10"/>
    </row>
    <row r="161" spans="3:6" ht="18" customHeight="1" x14ac:dyDescent="0.2">
      <c r="D161" s="1" t="s">
        <v>36</v>
      </c>
      <c r="E161" s="11">
        <f>CO!G265</f>
        <v>237.6</v>
      </c>
      <c r="F161" s="10"/>
    </row>
    <row r="162" spans="3:6" ht="18" customHeight="1" x14ac:dyDescent="0.2">
      <c r="D162" s="1" t="s">
        <v>38</v>
      </c>
      <c r="E162" s="11">
        <f>CO!G266</f>
        <v>102.8</v>
      </c>
      <c r="F162" s="10"/>
    </row>
    <row r="163" spans="3:6" ht="18" customHeight="1" x14ac:dyDescent="0.2">
      <c r="C163" s="10">
        <v>7</v>
      </c>
      <c r="D163" s="1" t="s">
        <v>37</v>
      </c>
      <c r="E163" s="11">
        <f>CO!G267</f>
        <v>26.400000000000002</v>
      </c>
      <c r="F163" s="10"/>
    </row>
    <row r="164" spans="3:6" ht="18" customHeight="1" x14ac:dyDescent="0.2">
      <c r="D164" s="1" t="s">
        <v>36</v>
      </c>
      <c r="E164" s="11">
        <f>CO!G268</f>
        <v>237.6</v>
      </c>
      <c r="F164" s="10"/>
    </row>
    <row r="165" spans="3:6" ht="18" customHeight="1" x14ac:dyDescent="0.2">
      <c r="D165" s="1" t="s">
        <v>38</v>
      </c>
      <c r="E165" s="11">
        <f>CO!G269</f>
        <v>102.8</v>
      </c>
      <c r="F165" s="10"/>
    </row>
    <row r="166" spans="3:6" ht="18" customHeight="1" x14ac:dyDescent="0.2">
      <c r="C166" s="10">
        <v>6</v>
      </c>
      <c r="D166" s="1" t="s">
        <v>37</v>
      </c>
      <c r="E166" s="11">
        <f>CO!G270</f>
        <v>26.400000000000002</v>
      </c>
      <c r="F166" s="10"/>
    </row>
    <row r="167" spans="3:6" ht="18" customHeight="1" x14ac:dyDescent="0.2">
      <c r="D167" s="1" t="s">
        <v>36</v>
      </c>
      <c r="E167" s="11">
        <f>CO!G271</f>
        <v>237.6</v>
      </c>
      <c r="F167" s="10"/>
    </row>
    <row r="168" spans="3:6" ht="18" customHeight="1" x14ac:dyDescent="0.2">
      <c r="D168" s="1" t="s">
        <v>38</v>
      </c>
      <c r="E168" s="11">
        <f>CO!G272</f>
        <v>102.8</v>
      </c>
      <c r="F168" s="10"/>
    </row>
    <row r="169" spans="3:6" ht="18" customHeight="1" x14ac:dyDescent="0.2">
      <c r="C169" s="10">
        <v>5</v>
      </c>
      <c r="D169" s="1" t="s">
        <v>37</v>
      </c>
      <c r="E169" s="11">
        <f>CO!G273</f>
        <v>26.400000000000002</v>
      </c>
      <c r="F169" s="10"/>
    </row>
    <row r="170" spans="3:6" ht="18" customHeight="1" x14ac:dyDescent="0.2">
      <c r="D170" s="1" t="s">
        <v>36</v>
      </c>
      <c r="E170" s="11">
        <f>CO!G274</f>
        <v>237.6</v>
      </c>
      <c r="F170" s="10"/>
    </row>
    <row r="171" spans="3:6" ht="18" customHeight="1" x14ac:dyDescent="0.2">
      <c r="D171" s="1" t="s">
        <v>38</v>
      </c>
      <c r="E171" s="11">
        <f>CO!G275</f>
        <v>102.8</v>
      </c>
      <c r="F171" s="10"/>
    </row>
    <row r="172" spans="3:6" ht="18" customHeight="1" x14ac:dyDescent="0.2">
      <c r="C172" s="10">
        <v>4</v>
      </c>
      <c r="D172" s="1" t="s">
        <v>37</v>
      </c>
      <c r="E172" s="11">
        <f>CO!G276</f>
        <v>26.400000000000002</v>
      </c>
      <c r="F172" s="10"/>
    </row>
    <row r="173" spans="3:6" ht="18" customHeight="1" x14ac:dyDescent="0.2">
      <c r="D173" s="1" t="s">
        <v>36</v>
      </c>
      <c r="E173" s="11">
        <f>CO!G277</f>
        <v>237.6</v>
      </c>
      <c r="F173" s="10"/>
    </row>
    <row r="174" spans="3:6" ht="18" customHeight="1" x14ac:dyDescent="0.2">
      <c r="D174" s="1" t="s">
        <v>38</v>
      </c>
      <c r="E174" s="11">
        <f>CO!G278</f>
        <v>102.8</v>
      </c>
      <c r="F174" s="10"/>
    </row>
    <row r="175" spans="3:6" ht="18" customHeight="1" x14ac:dyDescent="0.2">
      <c r="C175" s="10">
        <v>3</v>
      </c>
      <c r="D175" s="1" t="s">
        <v>37</v>
      </c>
      <c r="E175" s="11">
        <f>CO!G279</f>
        <v>26.400000000000002</v>
      </c>
      <c r="F175" s="10"/>
    </row>
    <row r="176" spans="3:6" ht="18" customHeight="1" x14ac:dyDescent="0.2">
      <c r="D176" s="1" t="s">
        <v>36</v>
      </c>
      <c r="E176" s="11">
        <f>CO!G280</f>
        <v>237.6</v>
      </c>
      <c r="F176" s="10"/>
    </row>
    <row r="177" spans="3:6" ht="18" customHeight="1" x14ac:dyDescent="0.2">
      <c r="D177" s="1" t="s">
        <v>38</v>
      </c>
      <c r="E177" s="11">
        <f>CO!G281</f>
        <v>102.8</v>
      </c>
      <c r="F177" s="10"/>
    </row>
    <row r="178" spans="3:6" ht="18" customHeight="1" x14ac:dyDescent="0.2">
      <c r="C178" s="10">
        <v>2</v>
      </c>
      <c r="D178" s="1" t="s">
        <v>37</v>
      </c>
      <c r="E178" s="11">
        <f>CO!G282</f>
        <v>26.400000000000002</v>
      </c>
      <c r="F178" s="10"/>
    </row>
    <row r="179" spans="3:6" ht="18" customHeight="1" x14ac:dyDescent="0.2">
      <c r="D179" s="1" t="s">
        <v>36</v>
      </c>
      <c r="E179" s="11">
        <f>CO!G283</f>
        <v>237.6</v>
      </c>
      <c r="F179" s="10"/>
    </row>
    <row r="180" spans="3:6" ht="18" customHeight="1" x14ac:dyDescent="0.2">
      <c r="D180" s="1" t="s">
        <v>38</v>
      </c>
      <c r="E180" s="11">
        <f>CO!G284</f>
        <v>102.8</v>
      </c>
      <c r="F180" s="10"/>
    </row>
    <row r="181" spans="3:6" ht="18" customHeight="1" x14ac:dyDescent="0.2">
      <c r="C181" s="10">
        <v>1</v>
      </c>
      <c r="D181" s="1" t="s">
        <v>37</v>
      </c>
      <c r="E181" s="11">
        <f>CO!G285</f>
        <v>26.400000000000002</v>
      </c>
      <c r="F181" s="10"/>
    </row>
    <row r="182" spans="3:6" ht="18" customHeight="1" x14ac:dyDescent="0.2">
      <c r="D182" s="1" t="s">
        <v>36</v>
      </c>
      <c r="E182" s="11">
        <f>CO!G286</f>
        <v>237.6</v>
      </c>
      <c r="F182" s="10"/>
    </row>
    <row r="183" spans="3:6" ht="18" customHeight="1" x14ac:dyDescent="0.2">
      <c r="D183" s="1" t="s">
        <v>38</v>
      </c>
      <c r="E183" s="11">
        <f>CO!G287</f>
        <v>102.8</v>
      </c>
      <c r="F183" s="10"/>
    </row>
    <row r="184" spans="3:6" ht="18" customHeight="1" x14ac:dyDescent="0.2">
      <c r="F184" s="10"/>
    </row>
    <row r="185" spans="3:6" ht="18" customHeight="1" x14ac:dyDescent="0.2">
      <c r="D185" s="35" t="s">
        <v>78</v>
      </c>
      <c r="E185" s="41">
        <f>SUM(E154:E184)</f>
        <v>3668.0000000000009</v>
      </c>
      <c r="F185" s="10"/>
    </row>
    <row r="186" spans="3:6" ht="18" customHeight="1" x14ac:dyDescent="0.2">
      <c r="F186" s="10"/>
    </row>
    <row r="187" spans="3:6" ht="18" customHeight="1" x14ac:dyDescent="0.2">
      <c r="F187" s="10"/>
    </row>
    <row r="188" spans="3:6" ht="18" customHeight="1" x14ac:dyDescent="0.2">
      <c r="F188" s="10"/>
    </row>
    <row r="189" spans="3:6" ht="18" customHeight="1" x14ac:dyDescent="0.2"/>
    <row r="190" spans="3:6" ht="18" customHeight="1" x14ac:dyDescent="0.2"/>
    <row r="191" spans="3:6" ht="18" customHeight="1" x14ac:dyDescent="0.2"/>
    <row r="192" spans="3:6" ht="18" customHeight="1" x14ac:dyDescent="0.2"/>
    <row r="193" ht="18" customHeight="1" x14ac:dyDescent="0.2"/>
    <row r="194" ht="18" customHeight="1" x14ac:dyDescent="0.2"/>
    <row r="195" ht="18" customHeight="1" x14ac:dyDescent="0.2"/>
    <row r="196" ht="18" customHeight="1" x14ac:dyDescent="0.2"/>
    <row r="197" ht="18" customHeight="1" x14ac:dyDescent="0.2"/>
    <row r="198" ht="18" customHeight="1" x14ac:dyDescent="0.2"/>
    <row r="199" ht="18" customHeight="1" x14ac:dyDescent="0.2"/>
  </sheetData>
  <mergeCells count="2">
    <mergeCell ref="A2:D2"/>
    <mergeCell ref="A1:C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C391D-1D20-46D3-A4F8-5D4FF427309E}">
  <sheetPr>
    <tabColor rgb="FF447684"/>
  </sheetPr>
  <dimension ref="A1:T207"/>
  <sheetViews>
    <sheetView tabSelected="1" topLeftCell="B1" zoomScale="90" zoomScaleNormal="90" workbookViewId="0">
      <selection activeCell="AC40" sqref="AC40"/>
    </sheetView>
  </sheetViews>
  <sheetFormatPr baseColWidth="10" defaultColWidth="11.5" defaultRowHeight="14" x14ac:dyDescent="0.2"/>
  <cols>
    <col min="1" max="1" width="11.5" style="10"/>
    <col min="2" max="2" width="14.6640625" style="10" customWidth="1"/>
    <col min="3" max="3" width="11.5" style="10"/>
    <col min="4" max="4" width="40.6640625" style="1" customWidth="1"/>
    <col min="5" max="5" width="15.6640625" style="10" customWidth="1"/>
    <col min="6" max="6" width="12.6640625" style="1" customWidth="1"/>
    <col min="7" max="7" width="10.83203125" style="1" customWidth="1"/>
    <col min="8" max="8" width="11.5" style="10"/>
    <col min="9" max="9" width="14.6640625" style="10" customWidth="1"/>
    <col min="10" max="10" width="40.6640625" style="1" customWidth="1"/>
    <col min="11" max="11" width="15.6640625" style="10" customWidth="1"/>
    <col min="12" max="12" width="12.6640625" style="1" customWidth="1"/>
    <col min="13" max="14" width="11.5" style="1"/>
    <col min="15" max="15" width="5.6640625" style="1" customWidth="1"/>
    <col min="16" max="16" width="11.5" style="1"/>
    <col min="17" max="17" width="18.6640625" style="1" customWidth="1"/>
    <col min="18" max="16384" width="11.5" style="1"/>
  </cols>
  <sheetData>
    <row r="1" spans="1:13" x14ac:dyDescent="0.2">
      <c r="A1" s="305">
        <v>45969</v>
      </c>
      <c r="B1" s="305"/>
      <c r="C1" s="305"/>
      <c r="H1" s="58"/>
      <c r="I1" s="58"/>
    </row>
    <row r="2" spans="1:13" ht="25.25" customHeight="1" x14ac:dyDescent="0.2">
      <c r="A2" s="302" t="s">
        <v>20</v>
      </c>
      <c r="B2" s="302"/>
      <c r="C2" s="302"/>
      <c r="D2" s="302"/>
      <c r="E2" s="22"/>
      <c r="F2" s="42">
        <v>1.03</v>
      </c>
      <c r="H2" s="302" t="s">
        <v>20</v>
      </c>
      <c r="I2" s="302"/>
      <c r="J2" s="302"/>
      <c r="K2" s="22"/>
      <c r="L2" s="42">
        <v>1.03</v>
      </c>
    </row>
    <row r="3" spans="1:13" ht="20" customHeight="1" x14ac:dyDescent="0.2">
      <c r="A3" s="2"/>
      <c r="B3" s="2"/>
      <c r="C3" s="2"/>
      <c r="D3" s="3"/>
      <c r="E3" s="2"/>
      <c r="F3" s="7">
        <f>F152</f>
        <v>3.8266300000000228</v>
      </c>
      <c r="H3" s="2"/>
      <c r="I3" s="2"/>
      <c r="J3" s="3"/>
      <c r="K3" s="2"/>
    </row>
    <row r="4" spans="1:13" ht="35" customHeight="1" x14ac:dyDescent="0.2">
      <c r="A4" s="2" t="s">
        <v>21</v>
      </c>
      <c r="B4" s="2" t="s">
        <v>10</v>
      </c>
      <c r="C4" s="2" t="s">
        <v>23</v>
      </c>
      <c r="D4" s="2" t="s">
        <v>9</v>
      </c>
      <c r="E4" s="4" t="s">
        <v>14</v>
      </c>
      <c r="F4" s="7"/>
      <c r="H4" s="2" t="s">
        <v>21</v>
      </c>
      <c r="I4" s="2" t="s">
        <v>10</v>
      </c>
      <c r="J4" s="2" t="s">
        <v>9</v>
      </c>
      <c r="K4" s="4" t="s">
        <v>14</v>
      </c>
      <c r="L4" s="7"/>
    </row>
    <row r="5" spans="1:13" ht="18" customHeight="1" x14ac:dyDescent="0.2">
      <c r="A5" s="2"/>
      <c r="B5" s="36"/>
      <c r="C5" s="36"/>
      <c r="D5" s="37" t="s">
        <v>74</v>
      </c>
      <c r="E5" s="38"/>
      <c r="F5" s="7"/>
      <c r="H5" s="2"/>
      <c r="I5" s="36"/>
      <c r="J5" s="37" t="s">
        <v>74</v>
      </c>
      <c r="K5" s="38"/>
      <c r="L5" s="7"/>
    </row>
    <row r="6" spans="1:13" ht="20" customHeight="1" x14ac:dyDescent="0.2">
      <c r="A6" s="8" t="s">
        <v>22</v>
      </c>
      <c r="B6" s="8">
        <v>1</v>
      </c>
      <c r="C6" s="10">
        <v>10</v>
      </c>
      <c r="D6" s="1" t="s">
        <v>24</v>
      </c>
      <c r="E6" s="11">
        <f>CO!R5</f>
        <v>112.852</v>
      </c>
      <c r="F6" s="11">
        <f>E6*$F$2</f>
        <v>116.23756</v>
      </c>
      <c r="G6" s="59">
        <f>SUM(F6:F11)</f>
        <v>175.87456000000003</v>
      </c>
      <c r="H6" s="8" t="s">
        <v>22</v>
      </c>
      <c r="I6" s="8">
        <v>1</v>
      </c>
      <c r="J6" s="1" t="s">
        <v>24</v>
      </c>
      <c r="K6" s="11">
        <f>E6</f>
        <v>112.852</v>
      </c>
      <c r="L6" s="11">
        <f>K6*$F$2</f>
        <v>116.23756</v>
      </c>
      <c r="M6" s="59">
        <f>SUM(L6:L8)</f>
        <v>175.87456</v>
      </c>
    </row>
    <row r="7" spans="1:13" ht="20" customHeight="1" x14ac:dyDescent="0.2">
      <c r="B7" s="8"/>
      <c r="C7" s="10">
        <v>8</v>
      </c>
      <c r="D7" s="1" t="s">
        <v>29</v>
      </c>
      <c r="E7" s="11">
        <v>12.6</v>
      </c>
      <c r="F7" s="11">
        <f t="shared" ref="F7:F54" si="0">E7*$F$2</f>
        <v>12.978</v>
      </c>
      <c r="G7" s="7"/>
      <c r="I7" s="8"/>
      <c r="J7" s="1" t="s">
        <v>29</v>
      </c>
      <c r="K7" s="11">
        <v>12.6</v>
      </c>
      <c r="L7" s="11">
        <f t="shared" ref="L7:L54" si="1">K7*$F$2</f>
        <v>12.978</v>
      </c>
    </row>
    <row r="8" spans="1:13" ht="20" customHeight="1" x14ac:dyDescent="0.2">
      <c r="B8" s="8"/>
      <c r="C8" s="10">
        <v>6</v>
      </c>
      <c r="D8" s="1" t="s">
        <v>28</v>
      </c>
      <c r="E8" s="11">
        <f>CO!R13</f>
        <v>12.6</v>
      </c>
      <c r="F8" s="11">
        <f t="shared" si="0"/>
        <v>12.978</v>
      </c>
      <c r="I8" s="8"/>
      <c r="J8" s="1" t="s">
        <v>28</v>
      </c>
      <c r="K8" s="11">
        <f>SUM(E8:E11)</f>
        <v>45.3</v>
      </c>
      <c r="L8" s="11">
        <f t="shared" si="1"/>
        <v>46.658999999999999</v>
      </c>
    </row>
    <row r="9" spans="1:13" ht="20" customHeight="1" x14ac:dyDescent="0.2">
      <c r="B9" s="8"/>
      <c r="C9" s="10">
        <v>4</v>
      </c>
      <c r="D9" s="1" t="s">
        <v>28</v>
      </c>
      <c r="E9" s="11">
        <f>CO!R15</f>
        <v>12.6</v>
      </c>
      <c r="F9" s="11">
        <f t="shared" si="0"/>
        <v>12.978</v>
      </c>
      <c r="I9" s="8"/>
      <c r="K9" s="11"/>
      <c r="L9" s="11"/>
    </row>
    <row r="10" spans="1:13" ht="20" customHeight="1" x14ac:dyDescent="0.2">
      <c r="B10" s="8"/>
      <c r="C10" s="10">
        <v>2</v>
      </c>
      <c r="D10" s="1" t="s">
        <v>28</v>
      </c>
      <c r="E10" s="11">
        <f>CO!R17</f>
        <v>12.6</v>
      </c>
      <c r="F10" s="11">
        <f t="shared" si="0"/>
        <v>12.978</v>
      </c>
      <c r="I10" s="8"/>
      <c r="K10" s="11"/>
      <c r="L10" s="11"/>
    </row>
    <row r="11" spans="1:13" ht="20" customHeight="1" x14ac:dyDescent="0.2">
      <c r="B11" s="8"/>
      <c r="C11" s="10">
        <v>1</v>
      </c>
      <c r="D11" s="1" t="s">
        <v>28</v>
      </c>
      <c r="E11" s="11">
        <f>CO!R18</f>
        <v>7.5</v>
      </c>
      <c r="F11" s="11">
        <f t="shared" si="0"/>
        <v>7.7250000000000005</v>
      </c>
      <c r="I11" s="8"/>
      <c r="K11" s="11"/>
      <c r="L11" s="11"/>
    </row>
    <row r="12" spans="1:13" ht="20" customHeight="1" x14ac:dyDescent="0.2">
      <c r="B12" s="55">
        <v>2</v>
      </c>
      <c r="C12" s="56">
        <v>9</v>
      </c>
      <c r="D12" s="57" t="s">
        <v>28</v>
      </c>
      <c r="E12" s="46">
        <f>CO!R19</f>
        <v>16.47</v>
      </c>
      <c r="F12" s="46">
        <f t="shared" si="0"/>
        <v>16.964099999999998</v>
      </c>
      <c r="G12" s="59">
        <f>SUM(F12:F20)</f>
        <v>113.1249</v>
      </c>
      <c r="I12" s="55">
        <v>2</v>
      </c>
      <c r="J12" s="57" t="s">
        <v>28</v>
      </c>
      <c r="K12" s="46">
        <f>E12+E16+E18+E20</f>
        <v>65.88</v>
      </c>
      <c r="L12" s="46">
        <f t="shared" si="1"/>
        <v>67.856399999999994</v>
      </c>
      <c r="M12" s="59">
        <f>SUM(L12:L14)</f>
        <v>113.1249</v>
      </c>
    </row>
    <row r="13" spans="1:13" ht="20" customHeight="1" x14ac:dyDescent="0.2">
      <c r="B13" s="55"/>
      <c r="C13" s="56">
        <v>8</v>
      </c>
      <c r="D13" s="57" t="s">
        <v>30</v>
      </c>
      <c r="E13" s="46">
        <f>CO!R20</f>
        <v>6.87</v>
      </c>
      <c r="F13" s="46">
        <f t="shared" si="0"/>
        <v>7.0761000000000003</v>
      </c>
      <c r="I13" s="55"/>
      <c r="J13" s="57" t="s">
        <v>30</v>
      </c>
      <c r="K13" s="46">
        <f>E13+E15+E17+E19</f>
        <v>27.48</v>
      </c>
      <c r="L13" s="46">
        <f t="shared" si="1"/>
        <v>28.304400000000001</v>
      </c>
    </row>
    <row r="14" spans="1:13" ht="20" customHeight="1" x14ac:dyDescent="0.2">
      <c r="B14" s="55"/>
      <c r="C14" s="56">
        <v>7</v>
      </c>
      <c r="D14" s="57" t="s">
        <v>29</v>
      </c>
      <c r="E14" s="46">
        <f>CO!R21</f>
        <v>16.47</v>
      </c>
      <c r="F14" s="46">
        <f t="shared" si="0"/>
        <v>16.964099999999998</v>
      </c>
      <c r="I14" s="55"/>
      <c r="J14" s="57" t="s">
        <v>29</v>
      </c>
      <c r="K14" s="46">
        <f>E14</f>
        <v>16.47</v>
      </c>
      <c r="L14" s="46">
        <f t="shared" si="1"/>
        <v>16.964099999999998</v>
      </c>
    </row>
    <row r="15" spans="1:13" ht="20" customHeight="1" x14ac:dyDescent="0.2">
      <c r="B15" s="55"/>
      <c r="C15" s="56">
        <v>6</v>
      </c>
      <c r="D15" s="57" t="s">
        <v>30</v>
      </c>
      <c r="E15" s="46">
        <f>CO!R22</f>
        <v>6.87</v>
      </c>
      <c r="F15" s="46">
        <f t="shared" si="0"/>
        <v>7.0761000000000003</v>
      </c>
      <c r="I15" s="55"/>
      <c r="J15" s="57"/>
      <c r="K15" s="46"/>
      <c r="L15" s="46"/>
    </row>
    <row r="16" spans="1:13" ht="20" customHeight="1" x14ac:dyDescent="0.2">
      <c r="B16" s="55"/>
      <c r="C16" s="56">
        <v>5</v>
      </c>
      <c r="D16" s="57" t="s">
        <v>28</v>
      </c>
      <c r="E16" s="46">
        <f>CO!R23</f>
        <v>16.47</v>
      </c>
      <c r="F16" s="46">
        <f t="shared" si="0"/>
        <v>16.964099999999998</v>
      </c>
      <c r="I16" s="55"/>
      <c r="J16" s="57"/>
      <c r="K16" s="46"/>
      <c r="L16" s="46"/>
    </row>
    <row r="17" spans="1:13" ht="20" customHeight="1" x14ac:dyDescent="0.2">
      <c r="B17" s="55"/>
      <c r="C17" s="56">
        <v>4</v>
      </c>
      <c r="D17" s="57" t="s">
        <v>30</v>
      </c>
      <c r="E17" s="46">
        <f>CO!R24</f>
        <v>6.87</v>
      </c>
      <c r="F17" s="46">
        <f t="shared" si="0"/>
        <v>7.0761000000000003</v>
      </c>
      <c r="I17" s="55"/>
      <c r="J17" s="57"/>
      <c r="K17" s="46"/>
      <c r="L17" s="46"/>
    </row>
    <row r="18" spans="1:13" ht="20" customHeight="1" x14ac:dyDescent="0.2">
      <c r="B18" s="55"/>
      <c r="C18" s="56">
        <v>3</v>
      </c>
      <c r="D18" s="57" t="s">
        <v>28</v>
      </c>
      <c r="E18" s="46">
        <f>CO!R25</f>
        <v>16.47</v>
      </c>
      <c r="F18" s="46">
        <f t="shared" si="0"/>
        <v>16.964099999999998</v>
      </c>
      <c r="I18" s="55"/>
      <c r="J18" s="57"/>
      <c r="K18" s="46"/>
      <c r="L18" s="46"/>
    </row>
    <row r="19" spans="1:13" ht="20" customHeight="1" x14ac:dyDescent="0.2">
      <c r="B19" s="55"/>
      <c r="C19" s="56">
        <v>2</v>
      </c>
      <c r="D19" s="57" t="s">
        <v>30</v>
      </c>
      <c r="E19" s="46">
        <f>CO!R26</f>
        <v>6.87</v>
      </c>
      <c r="F19" s="46">
        <f t="shared" si="0"/>
        <v>7.0761000000000003</v>
      </c>
      <c r="I19" s="55"/>
      <c r="J19" s="57"/>
      <c r="K19" s="46"/>
      <c r="L19" s="46"/>
    </row>
    <row r="20" spans="1:13" ht="20" customHeight="1" x14ac:dyDescent="0.2">
      <c r="B20" s="55"/>
      <c r="C20" s="56">
        <v>1</v>
      </c>
      <c r="D20" s="57" t="s">
        <v>28</v>
      </c>
      <c r="E20" s="46">
        <f>CO!R27</f>
        <v>16.47</v>
      </c>
      <c r="F20" s="46">
        <f t="shared" si="0"/>
        <v>16.964099999999998</v>
      </c>
      <c r="I20" s="55"/>
      <c r="J20" s="57"/>
      <c r="K20" s="46"/>
      <c r="L20" s="46"/>
    </row>
    <row r="21" spans="1:13" ht="20" customHeight="1" x14ac:dyDescent="0.2">
      <c r="B21" s="8">
        <v>3</v>
      </c>
      <c r="C21" s="10">
        <v>9</v>
      </c>
      <c r="D21" s="1" t="s">
        <v>25</v>
      </c>
      <c r="E21" s="11">
        <v>6.25</v>
      </c>
      <c r="F21" s="11">
        <f t="shared" si="0"/>
        <v>6.4375</v>
      </c>
      <c r="G21" s="7">
        <f>SUM(F21:F35)</f>
        <v>318.99099999999999</v>
      </c>
      <c r="I21" s="8">
        <v>3</v>
      </c>
      <c r="J21" s="1" t="s">
        <v>25</v>
      </c>
      <c r="K21" s="11">
        <f>E21+E23+E25+E28+E29+E31+E32+E34+E26</f>
        <v>56.35</v>
      </c>
      <c r="L21" s="11">
        <f t="shared" si="1"/>
        <v>58.040500000000002</v>
      </c>
      <c r="M21" s="7">
        <f>SUM(L21:L24)</f>
        <v>318.99099999999999</v>
      </c>
    </row>
    <row r="22" spans="1:13" ht="20" customHeight="1" x14ac:dyDescent="0.2">
      <c r="B22" s="8"/>
      <c r="D22" s="1" t="s">
        <v>27</v>
      </c>
      <c r="E22" s="11">
        <f>CO!R29</f>
        <v>36.709999999999994</v>
      </c>
      <c r="F22" s="11">
        <f t="shared" si="0"/>
        <v>37.811299999999996</v>
      </c>
      <c r="I22" s="8"/>
      <c r="J22" s="1" t="s">
        <v>27</v>
      </c>
      <c r="K22" s="11">
        <f>E22++E27+E30+E33</f>
        <v>173.68999999999997</v>
      </c>
      <c r="L22" s="11">
        <f t="shared" si="1"/>
        <v>178.90069999999997</v>
      </c>
    </row>
    <row r="23" spans="1:13" ht="20" customHeight="1" x14ac:dyDescent="0.2">
      <c r="B23" s="8"/>
      <c r="C23" s="10">
        <v>8</v>
      </c>
      <c r="D23" s="1" t="s">
        <v>31</v>
      </c>
      <c r="E23" s="11">
        <f>CO!R31</f>
        <v>5</v>
      </c>
      <c r="F23" s="11">
        <f t="shared" si="0"/>
        <v>5.15</v>
      </c>
      <c r="I23" s="8"/>
      <c r="J23" s="1" t="s">
        <v>29</v>
      </c>
      <c r="K23" s="11">
        <f>E24</f>
        <v>45.66</v>
      </c>
      <c r="L23" s="11">
        <f>K23*$F$2</f>
        <v>47.029799999999994</v>
      </c>
    </row>
    <row r="24" spans="1:13" ht="20" customHeight="1" x14ac:dyDescent="0.2">
      <c r="B24" s="8"/>
      <c r="C24" s="10">
        <v>7</v>
      </c>
      <c r="D24" s="1" t="s">
        <v>29</v>
      </c>
      <c r="E24" s="11">
        <v>45.66</v>
      </c>
      <c r="F24" s="11">
        <f t="shared" si="0"/>
        <v>47.029799999999994</v>
      </c>
      <c r="I24" s="8"/>
      <c r="J24" s="1" t="s">
        <v>33</v>
      </c>
      <c r="K24" s="11">
        <f>E35</f>
        <v>34</v>
      </c>
      <c r="L24" s="11">
        <f>K24*$F$2</f>
        <v>35.020000000000003</v>
      </c>
    </row>
    <row r="25" spans="1:13" ht="20" customHeight="1" x14ac:dyDescent="0.2">
      <c r="B25" s="8"/>
      <c r="D25" s="1" t="s">
        <v>68</v>
      </c>
      <c r="E25" s="11">
        <v>7.5</v>
      </c>
      <c r="F25" s="11">
        <f t="shared" si="0"/>
        <v>7.7250000000000005</v>
      </c>
      <c r="I25" s="8"/>
      <c r="K25" s="11"/>
      <c r="L25" s="11"/>
    </row>
    <row r="26" spans="1:13" ht="20" customHeight="1" x14ac:dyDescent="0.2">
      <c r="B26" s="9"/>
      <c r="C26" s="10">
        <v>6</v>
      </c>
      <c r="D26" s="1" t="s">
        <v>31</v>
      </c>
      <c r="E26" s="11">
        <f>CO!R34</f>
        <v>5.0999999999999996</v>
      </c>
      <c r="F26" s="11">
        <f t="shared" si="0"/>
        <v>5.2530000000000001</v>
      </c>
      <c r="I26" s="9"/>
      <c r="K26" s="11"/>
      <c r="L26" s="11"/>
    </row>
    <row r="27" spans="1:13" ht="20" customHeight="1" x14ac:dyDescent="0.2">
      <c r="A27" s="8"/>
      <c r="B27" s="9"/>
      <c r="C27" s="10">
        <v>5</v>
      </c>
      <c r="D27" s="1" t="s">
        <v>28</v>
      </c>
      <c r="E27" s="11">
        <v>45.66</v>
      </c>
      <c r="F27" s="11">
        <f t="shared" si="0"/>
        <v>47.029799999999994</v>
      </c>
      <c r="H27" s="8"/>
      <c r="I27" s="9"/>
      <c r="K27" s="11"/>
      <c r="L27" s="11"/>
    </row>
    <row r="28" spans="1:13" ht="20" customHeight="1" x14ac:dyDescent="0.2">
      <c r="A28" s="8"/>
      <c r="B28" s="9"/>
      <c r="D28" s="1" t="s">
        <v>68</v>
      </c>
      <c r="E28" s="11">
        <v>7.5</v>
      </c>
      <c r="F28" s="11">
        <f t="shared" si="0"/>
        <v>7.7250000000000005</v>
      </c>
      <c r="H28" s="8"/>
      <c r="I28" s="9"/>
      <c r="K28" s="11"/>
      <c r="L28" s="11"/>
    </row>
    <row r="29" spans="1:13" ht="20" customHeight="1" x14ac:dyDescent="0.2">
      <c r="A29" s="8"/>
      <c r="B29" s="9"/>
      <c r="C29" s="10">
        <v>4</v>
      </c>
      <c r="D29" s="1" t="s">
        <v>31</v>
      </c>
      <c r="E29" s="11">
        <f>CO!R37</f>
        <v>5</v>
      </c>
      <c r="F29" s="11">
        <f t="shared" si="0"/>
        <v>5.15</v>
      </c>
      <c r="H29" s="8"/>
      <c r="I29" s="9"/>
      <c r="K29" s="11"/>
      <c r="L29" s="11"/>
    </row>
    <row r="30" spans="1:13" ht="20" customHeight="1" x14ac:dyDescent="0.2">
      <c r="A30" s="8"/>
      <c r="B30" s="9"/>
      <c r="C30" s="10">
        <v>3</v>
      </c>
      <c r="D30" s="1" t="s">
        <v>28</v>
      </c>
      <c r="E30" s="11">
        <v>45.66</v>
      </c>
      <c r="F30" s="11">
        <f t="shared" si="0"/>
        <v>47.029799999999994</v>
      </c>
      <c r="H30" s="8"/>
      <c r="I30" s="9"/>
      <c r="K30" s="11"/>
      <c r="L30" s="11"/>
    </row>
    <row r="31" spans="1:13" ht="20" customHeight="1" x14ac:dyDescent="0.2">
      <c r="A31" s="8"/>
      <c r="B31" s="9"/>
      <c r="D31" s="1" t="s">
        <v>68</v>
      </c>
      <c r="E31" s="11">
        <v>7.5</v>
      </c>
      <c r="F31" s="11">
        <f t="shared" si="0"/>
        <v>7.7250000000000005</v>
      </c>
      <c r="H31" s="8"/>
      <c r="I31" s="9"/>
      <c r="K31" s="11"/>
      <c r="L31" s="11"/>
    </row>
    <row r="32" spans="1:13" ht="20" customHeight="1" x14ac:dyDescent="0.2">
      <c r="A32" s="8"/>
      <c r="B32" s="9"/>
      <c r="C32" s="10">
        <v>2</v>
      </c>
      <c r="D32" s="1" t="s">
        <v>31</v>
      </c>
      <c r="E32" s="11">
        <f>CO!R49</f>
        <v>5</v>
      </c>
      <c r="F32" s="11">
        <f t="shared" si="0"/>
        <v>5.15</v>
      </c>
      <c r="H32" s="8"/>
      <c r="I32" s="9"/>
      <c r="K32" s="11"/>
      <c r="L32" s="11"/>
    </row>
    <row r="33" spans="1:13" ht="20" customHeight="1" x14ac:dyDescent="0.2">
      <c r="A33" s="8"/>
      <c r="B33" s="9"/>
      <c r="C33" s="10">
        <v>1</v>
      </c>
      <c r="D33" s="1" t="s">
        <v>28</v>
      </c>
      <c r="E33" s="11">
        <v>45.66</v>
      </c>
      <c r="F33" s="11">
        <f t="shared" si="0"/>
        <v>47.029799999999994</v>
      </c>
      <c r="H33" s="8"/>
      <c r="I33" s="9"/>
      <c r="K33" s="11"/>
      <c r="L33" s="11"/>
    </row>
    <row r="34" spans="1:13" ht="20" customHeight="1" x14ac:dyDescent="0.2">
      <c r="A34" s="8"/>
      <c r="B34" s="9"/>
      <c r="D34" s="1" t="s">
        <v>68</v>
      </c>
      <c r="E34" s="11">
        <v>7.5</v>
      </c>
      <c r="F34" s="11">
        <f t="shared" si="0"/>
        <v>7.7250000000000005</v>
      </c>
      <c r="H34" s="8"/>
      <c r="I34" s="9"/>
      <c r="K34" s="11"/>
      <c r="L34" s="11"/>
    </row>
    <row r="35" spans="1:13" ht="20" customHeight="1" x14ac:dyDescent="0.2">
      <c r="A35" s="8"/>
      <c r="B35" s="9"/>
      <c r="C35" s="10" t="s">
        <v>66</v>
      </c>
      <c r="D35" s="1" t="s">
        <v>33</v>
      </c>
      <c r="E35" s="11">
        <f>CO!R54</f>
        <v>34</v>
      </c>
      <c r="F35" s="11">
        <f t="shared" si="0"/>
        <v>35.020000000000003</v>
      </c>
      <c r="H35" s="8"/>
      <c r="I35" s="9"/>
    </row>
    <row r="36" spans="1:13" ht="20" customHeight="1" x14ac:dyDescent="0.2">
      <c r="A36" s="8"/>
      <c r="B36" s="55">
        <v>4</v>
      </c>
      <c r="C36" s="56">
        <v>9</v>
      </c>
      <c r="D36" s="57" t="s">
        <v>28</v>
      </c>
      <c r="E36" s="46">
        <v>30.93</v>
      </c>
      <c r="F36" s="46">
        <f t="shared" si="0"/>
        <v>31.857900000000001</v>
      </c>
      <c r="G36" s="7">
        <f>SUM(F36:F46)</f>
        <v>308.08330000000001</v>
      </c>
      <c r="H36" s="8"/>
      <c r="I36" s="55">
        <v>4</v>
      </c>
      <c r="J36" s="57" t="s">
        <v>28</v>
      </c>
      <c r="K36" s="46">
        <f>E36+E40+E42+E44</f>
        <v>123.72</v>
      </c>
      <c r="L36" s="46">
        <f t="shared" si="1"/>
        <v>127.4316</v>
      </c>
      <c r="M36" s="7">
        <f>SUM(L36:L40)</f>
        <v>308.08330000000001</v>
      </c>
    </row>
    <row r="37" spans="1:13" ht="20" customHeight="1" x14ac:dyDescent="0.2">
      <c r="A37" s="8"/>
      <c r="B37" s="55"/>
      <c r="C37" s="56">
        <v>8</v>
      </c>
      <c r="D37" s="57" t="s">
        <v>25</v>
      </c>
      <c r="E37" s="46">
        <f>CO!R57</f>
        <v>5.6199999999999992</v>
      </c>
      <c r="F37" s="46">
        <f t="shared" si="0"/>
        <v>5.7885999999999997</v>
      </c>
      <c r="G37" s="7"/>
      <c r="H37" s="8"/>
      <c r="I37" s="55"/>
      <c r="J37" s="57" t="s">
        <v>25</v>
      </c>
      <c r="K37" s="46">
        <f>E37+E39+E41+E43</f>
        <v>22.479999999999997</v>
      </c>
      <c r="L37" s="46">
        <f t="shared" si="1"/>
        <v>23.154399999999999</v>
      </c>
    </row>
    <row r="38" spans="1:13" ht="20" customHeight="1" x14ac:dyDescent="0.2">
      <c r="A38" s="8"/>
      <c r="B38" s="55"/>
      <c r="C38" s="56">
        <v>7</v>
      </c>
      <c r="D38" s="57" t="s">
        <v>29</v>
      </c>
      <c r="E38" s="46">
        <v>30.93</v>
      </c>
      <c r="F38" s="46">
        <f t="shared" si="0"/>
        <v>31.857900000000001</v>
      </c>
      <c r="G38" s="7"/>
      <c r="H38" s="8"/>
      <c r="I38" s="55"/>
      <c r="J38" s="57" t="s">
        <v>29</v>
      </c>
      <c r="K38" s="46">
        <f>E38</f>
        <v>30.93</v>
      </c>
      <c r="L38" s="46">
        <f t="shared" si="1"/>
        <v>31.857900000000001</v>
      </c>
    </row>
    <row r="39" spans="1:13" ht="20" customHeight="1" x14ac:dyDescent="0.2">
      <c r="A39" s="8"/>
      <c r="B39" s="55"/>
      <c r="C39" s="56">
        <v>6</v>
      </c>
      <c r="D39" s="57" t="s">
        <v>25</v>
      </c>
      <c r="E39" s="46">
        <f>CO!R60</f>
        <v>5.6199999999999992</v>
      </c>
      <c r="F39" s="46">
        <f t="shared" si="0"/>
        <v>5.7885999999999997</v>
      </c>
      <c r="H39" s="8"/>
      <c r="I39" s="55"/>
      <c r="J39" s="57" t="s">
        <v>33</v>
      </c>
      <c r="K39" s="46">
        <f>E45</f>
        <v>42.78</v>
      </c>
      <c r="L39" s="46">
        <f t="shared" si="1"/>
        <v>44.063400000000001</v>
      </c>
    </row>
    <row r="40" spans="1:13" ht="20" customHeight="1" x14ac:dyDescent="0.2">
      <c r="A40" s="8"/>
      <c r="B40" s="55"/>
      <c r="C40" s="56">
        <v>5</v>
      </c>
      <c r="D40" s="57" t="s">
        <v>28</v>
      </c>
      <c r="E40" s="46">
        <v>30.93</v>
      </c>
      <c r="F40" s="46">
        <f t="shared" si="0"/>
        <v>31.857900000000001</v>
      </c>
      <c r="H40" s="8"/>
      <c r="I40" s="55"/>
      <c r="J40" s="57" t="s">
        <v>79</v>
      </c>
      <c r="K40" s="46">
        <f>17.6*4.5</f>
        <v>79.2</v>
      </c>
      <c r="L40" s="46">
        <f>K40*$F$2</f>
        <v>81.576000000000008</v>
      </c>
    </row>
    <row r="41" spans="1:13" ht="20" customHeight="1" x14ac:dyDescent="0.2">
      <c r="A41" s="8"/>
      <c r="B41" s="55"/>
      <c r="C41" s="56">
        <v>4</v>
      </c>
      <c r="D41" s="57" t="s">
        <v>25</v>
      </c>
      <c r="E41" s="46">
        <f>CO!R63</f>
        <v>5.6199999999999992</v>
      </c>
      <c r="F41" s="46">
        <f t="shared" si="0"/>
        <v>5.7885999999999997</v>
      </c>
      <c r="H41" s="8"/>
      <c r="I41" s="55"/>
      <c r="J41" s="57"/>
      <c r="K41" s="46"/>
      <c r="L41" s="46"/>
    </row>
    <row r="42" spans="1:13" ht="20" customHeight="1" x14ac:dyDescent="0.2">
      <c r="A42" s="8"/>
      <c r="B42" s="55"/>
      <c r="C42" s="56">
        <v>3</v>
      </c>
      <c r="D42" s="57" t="s">
        <v>28</v>
      </c>
      <c r="E42" s="46">
        <v>30.93</v>
      </c>
      <c r="F42" s="46">
        <f t="shared" si="0"/>
        <v>31.857900000000001</v>
      </c>
      <c r="H42" s="8"/>
      <c r="I42" s="55"/>
      <c r="J42" s="57"/>
      <c r="K42" s="46"/>
      <c r="L42" s="46"/>
    </row>
    <row r="43" spans="1:13" ht="20" customHeight="1" x14ac:dyDescent="0.2">
      <c r="A43" s="8"/>
      <c r="B43" s="55"/>
      <c r="C43" s="56">
        <v>2</v>
      </c>
      <c r="D43" s="57" t="s">
        <v>25</v>
      </c>
      <c r="E43" s="46">
        <f>CO!R66</f>
        <v>5.6199999999999992</v>
      </c>
      <c r="F43" s="46">
        <f t="shared" si="0"/>
        <v>5.7885999999999997</v>
      </c>
      <c r="H43" s="8"/>
      <c r="I43" s="55"/>
      <c r="J43" s="57"/>
      <c r="K43" s="46"/>
      <c r="L43" s="46"/>
    </row>
    <row r="44" spans="1:13" ht="20" customHeight="1" x14ac:dyDescent="0.2">
      <c r="A44" s="8"/>
      <c r="B44" s="55"/>
      <c r="C44" s="56">
        <v>1</v>
      </c>
      <c r="D44" s="57" t="s">
        <v>28</v>
      </c>
      <c r="E44" s="46">
        <v>30.93</v>
      </c>
      <c r="F44" s="46">
        <f t="shared" si="0"/>
        <v>31.857900000000001</v>
      </c>
      <c r="G44" s="7"/>
      <c r="H44" s="8"/>
      <c r="I44" s="55"/>
      <c r="J44" s="57"/>
      <c r="K44" s="46"/>
      <c r="L44" s="46"/>
    </row>
    <row r="45" spans="1:13" ht="20" customHeight="1" x14ac:dyDescent="0.2">
      <c r="B45" s="55"/>
      <c r="C45" s="56" t="s">
        <v>32</v>
      </c>
      <c r="D45" s="57" t="s">
        <v>33</v>
      </c>
      <c r="E45" s="46">
        <f>CO!R68</f>
        <v>42.78</v>
      </c>
      <c r="F45" s="46">
        <f t="shared" si="0"/>
        <v>44.063400000000001</v>
      </c>
      <c r="I45" s="55"/>
      <c r="J45" s="57"/>
      <c r="K45" s="46"/>
      <c r="L45" s="46"/>
    </row>
    <row r="46" spans="1:13" ht="20" customHeight="1" x14ac:dyDescent="0.2">
      <c r="B46" s="55"/>
      <c r="C46" s="56" t="s">
        <v>32</v>
      </c>
      <c r="D46" s="57" t="s">
        <v>79</v>
      </c>
      <c r="E46" s="46">
        <f>17.6*4.5</f>
        <v>79.2</v>
      </c>
      <c r="F46" s="46">
        <f t="shared" si="0"/>
        <v>81.576000000000008</v>
      </c>
      <c r="I46" s="55"/>
      <c r="J46" s="57"/>
      <c r="K46" s="46"/>
      <c r="L46" s="46"/>
    </row>
    <row r="47" spans="1:13" ht="20" customHeight="1" x14ac:dyDescent="0.2">
      <c r="B47" s="8">
        <v>5</v>
      </c>
      <c r="C47" s="10">
        <v>10</v>
      </c>
      <c r="D47" s="1" t="s">
        <v>28</v>
      </c>
      <c r="E47" s="11">
        <f>CO!R69</f>
        <v>12.324999999999999</v>
      </c>
      <c r="F47" s="11">
        <f t="shared" si="0"/>
        <v>12.694749999999999</v>
      </c>
      <c r="G47" s="7">
        <f>SUM(F47:F54)</f>
        <v>240.48955000000004</v>
      </c>
      <c r="I47" s="8">
        <v>5</v>
      </c>
      <c r="J47" s="1" t="s">
        <v>28</v>
      </c>
      <c r="K47" s="11">
        <f>E47+E48+E49+E51</f>
        <v>31.344999999999999</v>
      </c>
      <c r="L47" s="11">
        <f t="shared" si="1"/>
        <v>32.285350000000001</v>
      </c>
      <c r="M47" s="7">
        <f>SUM(L47:L54)</f>
        <v>240.48955000000004</v>
      </c>
    </row>
    <row r="48" spans="1:13" ht="20" customHeight="1" x14ac:dyDescent="0.2">
      <c r="A48" s="8"/>
      <c r="B48" s="8"/>
      <c r="C48" s="10">
        <v>8</v>
      </c>
      <c r="D48" s="1" t="s">
        <v>28</v>
      </c>
      <c r="E48" s="11">
        <f>CO!R70</f>
        <v>6.34</v>
      </c>
      <c r="F48" s="11">
        <f t="shared" si="0"/>
        <v>6.5301999999999998</v>
      </c>
      <c r="H48" s="8"/>
      <c r="I48" s="8"/>
      <c r="J48" s="1" t="s">
        <v>29</v>
      </c>
      <c r="K48" s="11">
        <f>E50</f>
        <v>6.34</v>
      </c>
      <c r="L48" s="11">
        <f>K48*$F$2</f>
        <v>6.5301999999999998</v>
      </c>
    </row>
    <row r="49" spans="1:13" ht="20" customHeight="1" x14ac:dyDescent="0.2">
      <c r="B49" s="8"/>
      <c r="C49" s="10">
        <v>6</v>
      </c>
      <c r="D49" s="1" t="s">
        <v>28</v>
      </c>
      <c r="E49" s="11">
        <f>CO!R72</f>
        <v>6.34</v>
      </c>
      <c r="F49" s="11">
        <f t="shared" si="0"/>
        <v>6.5301999999999998</v>
      </c>
      <c r="I49" s="8"/>
      <c r="K49" s="11"/>
      <c r="L49" s="11"/>
    </row>
    <row r="50" spans="1:13" ht="20" customHeight="1" x14ac:dyDescent="0.2">
      <c r="B50" s="8"/>
      <c r="C50" s="10">
        <v>4</v>
      </c>
      <c r="D50" s="1" t="s">
        <v>29</v>
      </c>
      <c r="E50" s="11">
        <f>CO!R74</f>
        <v>6.34</v>
      </c>
      <c r="F50" s="11">
        <f t="shared" si="0"/>
        <v>6.5301999999999998</v>
      </c>
      <c r="I50" s="8"/>
    </row>
    <row r="51" spans="1:13" ht="20" customHeight="1" x14ac:dyDescent="0.2">
      <c r="B51" s="8"/>
      <c r="C51" s="10">
        <v>2</v>
      </c>
      <c r="D51" s="1" t="s">
        <v>28</v>
      </c>
      <c r="E51" s="11">
        <f>CO!R76</f>
        <v>6.34</v>
      </c>
      <c r="F51" s="11">
        <f t="shared" si="0"/>
        <v>6.5301999999999998</v>
      </c>
      <c r="I51" s="8"/>
      <c r="K51" s="11"/>
      <c r="L51" s="11"/>
    </row>
    <row r="52" spans="1:13" ht="20" customHeight="1" x14ac:dyDescent="0.2">
      <c r="B52" s="8" t="s">
        <v>64</v>
      </c>
      <c r="C52" s="10" t="s">
        <v>62</v>
      </c>
      <c r="D52" s="1" t="s">
        <v>63</v>
      </c>
      <c r="E52" s="11">
        <f>CO!R78</f>
        <v>31</v>
      </c>
      <c r="F52" s="11">
        <f t="shared" si="0"/>
        <v>31.93</v>
      </c>
      <c r="I52" s="8" t="s">
        <v>64</v>
      </c>
      <c r="J52" s="1" t="s">
        <v>63</v>
      </c>
      <c r="K52" s="11">
        <f>E52</f>
        <v>31</v>
      </c>
      <c r="L52" s="11">
        <f t="shared" si="1"/>
        <v>31.93</v>
      </c>
    </row>
    <row r="53" spans="1:13" ht="20" customHeight="1" x14ac:dyDescent="0.2">
      <c r="B53" s="8" t="s">
        <v>64</v>
      </c>
      <c r="C53" s="10" t="s">
        <v>62</v>
      </c>
      <c r="D53" s="1" t="s">
        <v>65</v>
      </c>
      <c r="E53" s="11">
        <f>CO!R79</f>
        <v>31</v>
      </c>
      <c r="F53" s="11">
        <f t="shared" si="0"/>
        <v>31.93</v>
      </c>
      <c r="I53" s="8" t="s">
        <v>64</v>
      </c>
      <c r="J53" s="1" t="s">
        <v>65</v>
      </c>
      <c r="K53" s="11">
        <f>E53</f>
        <v>31</v>
      </c>
      <c r="L53" s="11">
        <f t="shared" si="1"/>
        <v>31.93</v>
      </c>
    </row>
    <row r="54" spans="1:13" ht="20" customHeight="1" x14ac:dyDescent="0.2">
      <c r="B54" s="8" t="s">
        <v>64</v>
      </c>
      <c r="C54" s="10" t="s">
        <v>62</v>
      </c>
      <c r="D54" s="1" t="s">
        <v>77</v>
      </c>
      <c r="E54" s="11">
        <f>((8.1*2)*4)+((9.2*1.5)*5)</f>
        <v>133.80000000000001</v>
      </c>
      <c r="F54" s="11">
        <f t="shared" si="0"/>
        <v>137.81400000000002</v>
      </c>
      <c r="I54" s="8" t="s">
        <v>64</v>
      </c>
      <c r="J54" s="1" t="s">
        <v>77</v>
      </c>
      <c r="K54" s="11">
        <f>E54</f>
        <v>133.80000000000001</v>
      </c>
      <c r="L54" s="11">
        <f t="shared" si="1"/>
        <v>137.81400000000002</v>
      </c>
    </row>
    <row r="55" spans="1:13" ht="18" customHeight="1" x14ac:dyDescent="0.2">
      <c r="D55" s="40" t="s">
        <v>1</v>
      </c>
      <c r="E55" s="17">
        <f>SUM(E6:E54)</f>
        <v>1122.877</v>
      </c>
      <c r="F55" s="17">
        <f>SUM(F6:F54)</f>
        <v>1156.5633099999998</v>
      </c>
      <c r="J55" s="40" t="s">
        <v>1</v>
      </c>
      <c r="K55" s="17">
        <f>SUM(K6:K54)</f>
        <v>1122.877</v>
      </c>
      <c r="L55" s="17">
        <f>SUM(L6:L54)</f>
        <v>1156.56331</v>
      </c>
    </row>
    <row r="56" spans="1:13" ht="20" customHeight="1" x14ac:dyDescent="0.2">
      <c r="D56" s="10"/>
      <c r="F56" s="10"/>
      <c r="J56" s="10"/>
      <c r="L56" s="10"/>
    </row>
    <row r="57" spans="1:13" ht="20" customHeight="1" x14ac:dyDescent="0.2">
      <c r="E57" s="11"/>
      <c r="F57" s="10"/>
      <c r="K57" s="11"/>
      <c r="L57" s="10"/>
    </row>
    <row r="58" spans="1:13" ht="20" customHeight="1" x14ac:dyDescent="0.2">
      <c r="B58" s="32"/>
      <c r="C58" s="32"/>
      <c r="D58" s="35" t="s">
        <v>75</v>
      </c>
      <c r="E58" s="33"/>
      <c r="F58" s="10"/>
      <c r="I58" s="32"/>
      <c r="J58" s="35" t="s">
        <v>75</v>
      </c>
      <c r="K58" s="33"/>
      <c r="L58" s="10"/>
    </row>
    <row r="59" spans="1:13" ht="20" customHeight="1" x14ac:dyDescent="0.2">
      <c r="A59" s="8" t="s">
        <v>22</v>
      </c>
      <c r="B59" s="8">
        <v>6</v>
      </c>
      <c r="C59" s="10">
        <v>10</v>
      </c>
      <c r="D59" s="1" t="s">
        <v>24</v>
      </c>
      <c r="E59" s="11">
        <f>CO!R98</f>
        <v>45</v>
      </c>
      <c r="F59" s="11">
        <f>E59*$F$2</f>
        <v>46.35</v>
      </c>
      <c r="G59" s="7">
        <f>SUM(F59:F77)</f>
        <v>855.36350000000004</v>
      </c>
      <c r="H59" s="8" t="s">
        <v>22</v>
      </c>
      <c r="I59" s="8">
        <v>6</v>
      </c>
      <c r="J59" s="1" t="s">
        <v>24</v>
      </c>
      <c r="K59" s="11">
        <f>E59</f>
        <v>45</v>
      </c>
      <c r="L59" s="11">
        <f>K59*$F$2</f>
        <v>46.35</v>
      </c>
      <c r="M59" s="7">
        <f>SUM(L59:L77)</f>
        <v>855.36350000000004</v>
      </c>
    </row>
    <row r="60" spans="1:13" ht="20" customHeight="1" x14ac:dyDescent="0.2">
      <c r="B60" s="8"/>
      <c r="D60" s="1" t="s">
        <v>71</v>
      </c>
      <c r="E60" s="11">
        <v>18.32</v>
      </c>
      <c r="F60" s="11">
        <f t="shared" ref="F60:F77" si="2">E60*$F$2</f>
        <v>18.869600000000002</v>
      </c>
      <c r="I60" s="8"/>
      <c r="J60" s="1" t="s">
        <v>71</v>
      </c>
      <c r="K60" s="11">
        <f>E60+E61+E63+E64+E66+E67+E69+E70+E72</f>
        <v>151.39999999999998</v>
      </c>
      <c r="L60" s="11">
        <f t="shared" ref="L60:L77" si="3">K60*$F$2</f>
        <v>155.94199999999998</v>
      </c>
    </row>
    <row r="61" spans="1:13" ht="20" customHeight="1" x14ac:dyDescent="0.2">
      <c r="B61" s="8"/>
      <c r="C61" s="10">
        <v>9</v>
      </c>
      <c r="D61" s="1" t="s">
        <v>68</v>
      </c>
      <c r="E61" s="11">
        <v>13.95</v>
      </c>
      <c r="F61" s="11">
        <f t="shared" si="2"/>
        <v>14.368499999999999</v>
      </c>
      <c r="I61" s="8"/>
      <c r="J61" s="1" t="s">
        <v>72</v>
      </c>
      <c r="K61" s="11">
        <f>E62+E65+E71</f>
        <v>124.89000000000001</v>
      </c>
      <c r="L61" s="11">
        <f>K61*$F$2</f>
        <v>128.63670000000002</v>
      </c>
    </row>
    <row r="62" spans="1:13" ht="20" customHeight="1" x14ac:dyDescent="0.2">
      <c r="B62" s="8"/>
      <c r="C62" s="10">
        <v>8</v>
      </c>
      <c r="D62" s="1" t="s">
        <v>72</v>
      </c>
      <c r="E62" s="11">
        <v>41.63</v>
      </c>
      <c r="F62" s="11">
        <f t="shared" si="2"/>
        <v>42.878900000000002</v>
      </c>
      <c r="I62" s="8"/>
      <c r="J62" s="1" t="s">
        <v>73</v>
      </c>
      <c r="K62" s="11">
        <f>E68+E73</f>
        <v>81.050000000000011</v>
      </c>
      <c r="L62" s="11">
        <f>K62*$F$2</f>
        <v>83.481500000000011</v>
      </c>
    </row>
    <row r="63" spans="1:13" ht="20" customHeight="1" x14ac:dyDescent="0.2">
      <c r="B63" s="8"/>
      <c r="D63" s="1" t="s">
        <v>68</v>
      </c>
      <c r="E63" s="11">
        <v>19.32</v>
      </c>
      <c r="F63" s="11">
        <f t="shared" si="2"/>
        <v>19.8996</v>
      </c>
      <c r="I63" s="8"/>
      <c r="K63" s="11"/>
      <c r="L63" s="11"/>
    </row>
    <row r="64" spans="1:13" ht="20" customHeight="1" x14ac:dyDescent="0.2">
      <c r="B64" s="8"/>
      <c r="C64" s="10">
        <v>7</v>
      </c>
      <c r="D64" s="1" t="s">
        <v>68</v>
      </c>
      <c r="E64" s="11">
        <v>13.95</v>
      </c>
      <c r="F64" s="11">
        <f t="shared" si="2"/>
        <v>14.368499999999999</v>
      </c>
      <c r="I64" s="8"/>
      <c r="K64" s="11"/>
      <c r="L64" s="11"/>
    </row>
    <row r="65" spans="2:12" ht="20" customHeight="1" x14ac:dyDescent="0.2">
      <c r="B65" s="8"/>
      <c r="C65" s="10">
        <v>6</v>
      </c>
      <c r="D65" s="1" t="s">
        <v>72</v>
      </c>
      <c r="E65" s="11">
        <v>41.63</v>
      </c>
      <c r="F65" s="11">
        <f t="shared" si="2"/>
        <v>42.878900000000002</v>
      </c>
      <c r="I65" s="8"/>
      <c r="K65" s="11"/>
      <c r="L65" s="11"/>
    </row>
    <row r="66" spans="2:12" ht="20" customHeight="1" x14ac:dyDescent="0.2">
      <c r="B66" s="8"/>
      <c r="D66" s="1" t="s">
        <v>68</v>
      </c>
      <c r="E66" s="11">
        <v>19.32</v>
      </c>
      <c r="F66" s="11">
        <f t="shared" si="2"/>
        <v>19.8996</v>
      </c>
      <c r="I66" s="8"/>
      <c r="K66" s="11"/>
      <c r="L66" s="11"/>
    </row>
    <row r="67" spans="2:12" ht="20" customHeight="1" x14ac:dyDescent="0.2">
      <c r="B67" s="8"/>
      <c r="C67" s="10">
        <v>5</v>
      </c>
      <c r="D67" s="1" t="s">
        <v>68</v>
      </c>
      <c r="E67" s="11">
        <v>13.95</v>
      </c>
      <c r="F67" s="11">
        <f t="shared" si="2"/>
        <v>14.368499999999999</v>
      </c>
      <c r="I67" s="8"/>
      <c r="K67" s="11"/>
      <c r="L67" s="11"/>
    </row>
    <row r="68" spans="2:12" ht="20" customHeight="1" x14ac:dyDescent="0.2">
      <c r="B68" s="8"/>
      <c r="C68" s="10">
        <v>4</v>
      </c>
      <c r="D68" s="1" t="s">
        <v>73</v>
      </c>
      <c r="E68" s="11">
        <v>41.63</v>
      </c>
      <c r="F68" s="11">
        <f t="shared" si="2"/>
        <v>42.878900000000002</v>
      </c>
      <c r="I68" s="8"/>
    </row>
    <row r="69" spans="2:12" ht="20" customHeight="1" x14ac:dyDescent="0.2">
      <c r="B69" s="8"/>
      <c r="D69" s="1" t="s">
        <v>68</v>
      </c>
      <c r="E69" s="11">
        <v>19.32</v>
      </c>
      <c r="F69" s="11">
        <f t="shared" si="2"/>
        <v>19.8996</v>
      </c>
      <c r="I69" s="8"/>
      <c r="K69" s="11"/>
      <c r="L69" s="11"/>
    </row>
    <row r="70" spans="2:12" ht="20" customHeight="1" x14ac:dyDescent="0.2">
      <c r="B70" s="8"/>
      <c r="C70" s="10">
        <v>3</v>
      </c>
      <c r="D70" s="1" t="s">
        <v>68</v>
      </c>
      <c r="E70" s="11">
        <v>13.95</v>
      </c>
      <c r="F70" s="11">
        <f t="shared" si="2"/>
        <v>14.368499999999999</v>
      </c>
      <c r="I70" s="8"/>
      <c r="K70" s="11"/>
      <c r="L70" s="11"/>
    </row>
    <row r="71" spans="2:12" ht="20" customHeight="1" x14ac:dyDescent="0.2">
      <c r="B71" s="8"/>
      <c r="C71" s="10">
        <v>2</v>
      </c>
      <c r="D71" s="1" t="s">
        <v>72</v>
      </c>
      <c r="E71" s="11">
        <v>41.63</v>
      </c>
      <c r="F71" s="11">
        <f t="shared" si="2"/>
        <v>42.878900000000002</v>
      </c>
      <c r="I71" s="8"/>
      <c r="K71" s="11"/>
      <c r="L71" s="11"/>
    </row>
    <row r="72" spans="2:12" ht="20" customHeight="1" x14ac:dyDescent="0.2">
      <c r="B72" s="8"/>
      <c r="D72" s="1" t="s">
        <v>68</v>
      </c>
      <c r="E72" s="11">
        <v>19.32</v>
      </c>
      <c r="F72" s="11">
        <f t="shared" si="2"/>
        <v>19.8996</v>
      </c>
      <c r="I72" s="8"/>
      <c r="K72" s="11"/>
      <c r="L72" s="11"/>
    </row>
    <row r="73" spans="2:12" ht="20" customHeight="1" x14ac:dyDescent="0.2">
      <c r="B73" s="8"/>
      <c r="C73" s="10">
        <v>1</v>
      </c>
      <c r="D73" s="1" t="s">
        <v>51</v>
      </c>
      <c r="E73" s="11">
        <f>CO!R147</f>
        <v>39.42</v>
      </c>
      <c r="F73" s="11">
        <f t="shared" si="2"/>
        <v>40.602600000000002</v>
      </c>
      <c r="I73" s="8"/>
      <c r="K73" s="11"/>
      <c r="L73" s="11"/>
    </row>
    <row r="74" spans="2:12" ht="20" customHeight="1" x14ac:dyDescent="0.2">
      <c r="B74" s="8"/>
      <c r="C74" s="10" t="s">
        <v>52</v>
      </c>
      <c r="D74" s="1" t="s">
        <v>53</v>
      </c>
      <c r="E74" s="11">
        <v>140.11000000000001</v>
      </c>
      <c r="F74" s="11">
        <f t="shared" si="2"/>
        <v>144.31330000000003</v>
      </c>
      <c r="G74" s="7"/>
      <c r="I74" s="8"/>
      <c r="J74" s="1" t="s">
        <v>53</v>
      </c>
      <c r="K74" s="11">
        <f>E74</f>
        <v>140.11000000000001</v>
      </c>
      <c r="L74" s="11">
        <f t="shared" si="3"/>
        <v>144.31330000000003</v>
      </c>
    </row>
    <row r="75" spans="2:12" ht="20" customHeight="1" x14ac:dyDescent="0.2">
      <c r="B75" s="8" t="s">
        <v>64</v>
      </c>
      <c r="C75" s="10" t="s">
        <v>62</v>
      </c>
      <c r="D75" s="1" t="s">
        <v>63</v>
      </c>
      <c r="E75" s="11">
        <f>24*9</f>
        <v>216</v>
      </c>
      <c r="F75" s="11">
        <f t="shared" si="2"/>
        <v>222.48000000000002</v>
      </c>
      <c r="I75" s="8" t="s">
        <v>64</v>
      </c>
      <c r="J75" s="1" t="s">
        <v>63</v>
      </c>
      <c r="K75" s="11">
        <f t="shared" ref="K75:K77" si="4">E75</f>
        <v>216</v>
      </c>
      <c r="L75" s="11">
        <f t="shared" si="3"/>
        <v>222.48000000000002</v>
      </c>
    </row>
    <row r="76" spans="2:12" ht="20" customHeight="1" x14ac:dyDescent="0.2">
      <c r="B76" s="8" t="s">
        <v>64</v>
      </c>
      <c r="C76" s="10" t="s">
        <v>62</v>
      </c>
      <c r="D76" s="1" t="s">
        <v>65</v>
      </c>
      <c r="E76" s="11">
        <f>CO!R152</f>
        <v>27</v>
      </c>
      <c r="F76" s="11">
        <f t="shared" si="2"/>
        <v>27.810000000000002</v>
      </c>
      <c r="I76" s="8" t="s">
        <v>64</v>
      </c>
      <c r="J76" s="1" t="s">
        <v>65</v>
      </c>
      <c r="K76" s="11">
        <f t="shared" si="4"/>
        <v>27</v>
      </c>
      <c r="L76" s="11">
        <f t="shared" si="3"/>
        <v>27.810000000000002</v>
      </c>
    </row>
    <row r="77" spans="2:12" ht="20" customHeight="1" x14ac:dyDescent="0.2">
      <c r="B77" s="8" t="s">
        <v>64</v>
      </c>
      <c r="C77" s="10" t="s">
        <v>62</v>
      </c>
      <c r="D77" s="1" t="s">
        <v>77</v>
      </c>
      <c r="E77" s="11">
        <f>4.5*10</f>
        <v>45</v>
      </c>
      <c r="F77" s="11">
        <f t="shared" si="2"/>
        <v>46.35</v>
      </c>
      <c r="I77" s="8" t="s">
        <v>64</v>
      </c>
      <c r="J77" s="1" t="s">
        <v>77</v>
      </c>
      <c r="K77" s="11">
        <f t="shared" si="4"/>
        <v>45</v>
      </c>
      <c r="L77" s="11">
        <f t="shared" si="3"/>
        <v>46.35</v>
      </c>
    </row>
    <row r="78" spans="2:12" ht="20" customHeight="1" x14ac:dyDescent="0.2">
      <c r="D78" s="35" t="s">
        <v>1</v>
      </c>
      <c r="E78" s="41">
        <f>SUM(E59:E77)</f>
        <v>830.45</v>
      </c>
      <c r="F78" s="41">
        <f>SUM(F59:F77)</f>
        <v>855.36350000000004</v>
      </c>
      <c r="J78" s="35" t="s">
        <v>1</v>
      </c>
      <c r="K78" s="41">
        <f>SUM(K59:K77)</f>
        <v>830.45</v>
      </c>
      <c r="L78" s="41">
        <f>SUM(L59:L77)</f>
        <v>855.36350000000004</v>
      </c>
    </row>
    <row r="79" spans="2:12" ht="20" customHeight="1" x14ac:dyDescent="0.2">
      <c r="D79" s="10"/>
      <c r="F79" s="11"/>
      <c r="J79" s="10"/>
      <c r="L79" s="11"/>
    </row>
    <row r="80" spans="2:12" ht="20" customHeight="1" x14ac:dyDescent="0.2">
      <c r="D80" s="10"/>
      <c r="F80" s="11"/>
      <c r="J80" s="10"/>
      <c r="L80" s="11"/>
    </row>
    <row r="81" spans="1:13" ht="20" customHeight="1" x14ac:dyDescent="0.2">
      <c r="B81" s="36"/>
      <c r="C81" s="36"/>
      <c r="D81" s="37" t="s">
        <v>67</v>
      </c>
      <c r="E81" s="38"/>
      <c r="F81" s="10"/>
      <c r="I81" s="36"/>
      <c r="J81" s="37" t="s">
        <v>67</v>
      </c>
      <c r="K81" s="38"/>
      <c r="L81" s="10"/>
    </row>
    <row r="82" spans="1:13" ht="20" customHeight="1" x14ac:dyDescent="0.2">
      <c r="A82" s="8" t="s">
        <v>22</v>
      </c>
      <c r="B82" s="8">
        <v>7</v>
      </c>
      <c r="C82" s="10">
        <v>10</v>
      </c>
      <c r="D82" s="1" t="s">
        <v>24</v>
      </c>
      <c r="E82" s="11">
        <f>CO!R163</f>
        <v>112.852</v>
      </c>
      <c r="F82" s="11">
        <f>E82*$F$2</f>
        <v>116.23756</v>
      </c>
      <c r="G82" s="59">
        <f>SUM(F82:F87)</f>
        <v>147.65255999999997</v>
      </c>
      <c r="H82" s="8" t="s">
        <v>22</v>
      </c>
      <c r="I82" s="8">
        <v>7</v>
      </c>
      <c r="J82" s="1" t="s">
        <v>24</v>
      </c>
      <c r="K82" s="11">
        <f>E82</f>
        <v>112.852</v>
      </c>
      <c r="L82" s="11">
        <f>K82*$F$2</f>
        <v>116.23756</v>
      </c>
      <c r="M82" s="59">
        <f>SUM(L82:L84)</f>
        <v>147.65255999999999</v>
      </c>
    </row>
    <row r="83" spans="1:13" ht="20" customHeight="1" x14ac:dyDescent="0.2">
      <c r="B83" s="8"/>
      <c r="C83" s="10">
        <v>8</v>
      </c>
      <c r="D83" s="1" t="s">
        <v>28</v>
      </c>
      <c r="E83" s="11">
        <f>CO!R169</f>
        <v>6.5</v>
      </c>
      <c r="F83" s="11">
        <f t="shared" ref="F83:F126" si="5">E83*$F$2</f>
        <v>6.6950000000000003</v>
      </c>
      <c r="G83" s="25"/>
      <c r="I83" s="8"/>
      <c r="J83" s="1" t="s">
        <v>28</v>
      </c>
      <c r="K83" s="11">
        <f>E83+E84+E86+E87</f>
        <v>24</v>
      </c>
      <c r="L83" s="11">
        <f t="shared" ref="L83:L126" si="6">K83*$F$2</f>
        <v>24.72</v>
      </c>
      <c r="M83" s="25"/>
    </row>
    <row r="84" spans="1:13" ht="20" customHeight="1" x14ac:dyDescent="0.2">
      <c r="B84" s="8"/>
      <c r="C84" s="10">
        <v>6</v>
      </c>
      <c r="D84" s="1" t="s">
        <v>28</v>
      </c>
      <c r="E84" s="11">
        <f>CO!R171</f>
        <v>6.5</v>
      </c>
      <c r="F84" s="11">
        <f t="shared" si="5"/>
        <v>6.6950000000000003</v>
      </c>
      <c r="G84" s="25"/>
      <c r="I84" s="8"/>
      <c r="J84" s="1" t="s">
        <v>29</v>
      </c>
      <c r="K84" s="11">
        <f>E85</f>
        <v>6.5</v>
      </c>
      <c r="L84" s="11">
        <f>K84*$F$2</f>
        <v>6.6950000000000003</v>
      </c>
      <c r="M84" s="25"/>
    </row>
    <row r="85" spans="1:13" ht="20" customHeight="1" x14ac:dyDescent="0.2">
      <c r="B85" s="8"/>
      <c r="C85" s="10">
        <v>4</v>
      </c>
      <c r="D85" s="1" t="s">
        <v>29</v>
      </c>
      <c r="E85" s="11">
        <f>CO!R173</f>
        <v>6.5</v>
      </c>
      <c r="F85" s="11">
        <f t="shared" si="5"/>
        <v>6.6950000000000003</v>
      </c>
      <c r="G85" s="25"/>
      <c r="I85" s="8"/>
      <c r="M85" s="25"/>
    </row>
    <row r="86" spans="1:13" ht="20" customHeight="1" x14ac:dyDescent="0.2">
      <c r="B86" s="8"/>
      <c r="C86" s="10">
        <v>2</v>
      </c>
      <c r="D86" s="1" t="s">
        <v>28</v>
      </c>
      <c r="E86" s="11">
        <f>CO!R175</f>
        <v>6.5</v>
      </c>
      <c r="F86" s="11">
        <f t="shared" si="5"/>
        <v>6.6950000000000003</v>
      </c>
      <c r="G86" s="25"/>
      <c r="I86" s="8"/>
      <c r="K86" s="11"/>
      <c r="L86" s="11"/>
      <c r="M86" s="25"/>
    </row>
    <row r="87" spans="1:13" ht="20" customHeight="1" x14ac:dyDescent="0.2">
      <c r="B87" s="8"/>
      <c r="C87" s="10">
        <v>1</v>
      </c>
      <c r="D87" s="1" t="s">
        <v>28</v>
      </c>
      <c r="E87" s="11">
        <f>CO!R176</f>
        <v>4.5</v>
      </c>
      <c r="F87" s="11">
        <f t="shared" si="5"/>
        <v>4.6349999999999998</v>
      </c>
      <c r="G87" s="25"/>
      <c r="I87" s="8"/>
      <c r="K87" s="11"/>
      <c r="L87" s="11"/>
      <c r="M87" s="25"/>
    </row>
    <row r="88" spans="1:13" ht="20" customHeight="1" x14ac:dyDescent="0.2">
      <c r="B88" s="8">
        <v>8</v>
      </c>
      <c r="C88" s="10">
        <v>9</v>
      </c>
      <c r="D88" s="1" t="s">
        <v>29</v>
      </c>
      <c r="E88" s="11">
        <f>CO!R177</f>
        <v>16.47</v>
      </c>
      <c r="F88" s="11">
        <f t="shared" si="5"/>
        <v>16.964099999999998</v>
      </c>
      <c r="G88" s="59">
        <f>SUM(F88:F96)</f>
        <v>108.52079999999999</v>
      </c>
      <c r="I88" s="8">
        <v>8</v>
      </c>
      <c r="J88" s="1" t="s">
        <v>29</v>
      </c>
      <c r="K88" s="11">
        <f>E88+E96</f>
        <v>28.47</v>
      </c>
      <c r="L88" s="11">
        <f t="shared" si="6"/>
        <v>29.324099999999998</v>
      </c>
      <c r="M88" s="59">
        <f>SUM(L88:L90)</f>
        <v>108.52080000000001</v>
      </c>
    </row>
    <row r="89" spans="1:13" ht="20" customHeight="1" x14ac:dyDescent="0.2">
      <c r="B89" s="8"/>
      <c r="C89" s="10">
        <v>8</v>
      </c>
      <c r="D89" s="1" t="s">
        <v>30</v>
      </c>
      <c r="E89" s="11">
        <f>CO!R178</f>
        <v>6.87</v>
      </c>
      <c r="F89" s="11">
        <f t="shared" si="5"/>
        <v>7.0761000000000003</v>
      </c>
      <c r="I89" s="8"/>
      <c r="J89" s="1" t="s">
        <v>30</v>
      </c>
      <c r="K89" s="11">
        <f>E89+E91+E93+E95</f>
        <v>27.48</v>
      </c>
      <c r="L89" s="11">
        <f t="shared" si="6"/>
        <v>28.304400000000001</v>
      </c>
    </row>
    <row r="90" spans="1:13" ht="20" customHeight="1" x14ac:dyDescent="0.2">
      <c r="B90" s="8"/>
      <c r="C90" s="10">
        <v>7</v>
      </c>
      <c r="D90" s="1" t="s">
        <v>28</v>
      </c>
      <c r="E90" s="11">
        <f>CO!R179</f>
        <v>16.47</v>
      </c>
      <c r="F90" s="11">
        <f t="shared" si="5"/>
        <v>16.964099999999998</v>
      </c>
      <c r="I90" s="8"/>
      <c r="J90" s="1" t="s">
        <v>28</v>
      </c>
      <c r="K90" s="11">
        <f>E90+E92+E94</f>
        <v>49.41</v>
      </c>
      <c r="L90" s="11">
        <f t="shared" si="6"/>
        <v>50.892299999999999</v>
      </c>
    </row>
    <row r="91" spans="1:13" ht="20" customHeight="1" x14ac:dyDescent="0.2">
      <c r="B91" s="8"/>
      <c r="C91" s="10">
        <v>6</v>
      </c>
      <c r="D91" s="1" t="s">
        <v>30</v>
      </c>
      <c r="E91" s="11">
        <f>CO!R180</f>
        <v>6.87</v>
      </c>
      <c r="F91" s="11">
        <f t="shared" si="5"/>
        <v>7.0761000000000003</v>
      </c>
      <c r="I91" s="8"/>
      <c r="K91" s="11"/>
      <c r="L91" s="11"/>
    </row>
    <row r="92" spans="1:13" ht="20" customHeight="1" x14ac:dyDescent="0.2">
      <c r="B92" s="8"/>
      <c r="C92" s="10">
        <v>5</v>
      </c>
      <c r="D92" s="1" t="s">
        <v>28</v>
      </c>
      <c r="E92" s="11">
        <f>CO!R181</f>
        <v>16.47</v>
      </c>
      <c r="F92" s="11">
        <f t="shared" si="5"/>
        <v>16.964099999999998</v>
      </c>
      <c r="I92" s="8"/>
      <c r="K92" s="11"/>
      <c r="L92" s="11"/>
    </row>
    <row r="93" spans="1:13" ht="20" customHeight="1" x14ac:dyDescent="0.2">
      <c r="B93" s="8"/>
      <c r="C93" s="10">
        <v>4</v>
      </c>
      <c r="D93" s="1" t="s">
        <v>30</v>
      </c>
      <c r="E93" s="11">
        <f>CO!R182</f>
        <v>6.87</v>
      </c>
      <c r="F93" s="11">
        <f t="shared" si="5"/>
        <v>7.0761000000000003</v>
      </c>
      <c r="I93" s="8"/>
      <c r="K93" s="11"/>
      <c r="L93" s="11"/>
    </row>
    <row r="94" spans="1:13" ht="20" customHeight="1" x14ac:dyDescent="0.2">
      <c r="B94" s="8"/>
      <c r="C94" s="10">
        <v>3</v>
      </c>
      <c r="D94" s="1" t="s">
        <v>28</v>
      </c>
      <c r="E94" s="11">
        <f>CO!R183</f>
        <v>16.47</v>
      </c>
      <c r="F94" s="11">
        <f t="shared" si="5"/>
        <v>16.964099999999998</v>
      </c>
      <c r="I94" s="8"/>
      <c r="K94" s="11"/>
      <c r="L94" s="11"/>
    </row>
    <row r="95" spans="1:13" ht="20" customHeight="1" x14ac:dyDescent="0.2">
      <c r="B95" s="8"/>
      <c r="C95" s="10">
        <v>2</v>
      </c>
      <c r="D95" s="1" t="s">
        <v>30</v>
      </c>
      <c r="E95" s="11">
        <f>CO!R184</f>
        <v>6.87</v>
      </c>
      <c r="F95" s="11">
        <f t="shared" si="5"/>
        <v>7.0761000000000003</v>
      </c>
      <c r="I95" s="8"/>
      <c r="K95" s="11"/>
      <c r="L95" s="11"/>
    </row>
    <row r="96" spans="1:13" ht="20" customHeight="1" x14ac:dyDescent="0.2">
      <c r="B96" s="8"/>
      <c r="C96" s="10">
        <v>1</v>
      </c>
      <c r="D96" s="1" t="s">
        <v>29</v>
      </c>
      <c r="E96" s="11">
        <f>CO!R185</f>
        <v>12</v>
      </c>
      <c r="F96" s="11">
        <f t="shared" si="5"/>
        <v>12.36</v>
      </c>
      <c r="I96" s="8"/>
      <c r="K96" s="11"/>
      <c r="L96" s="11"/>
    </row>
    <row r="97" spans="2:12" ht="20" customHeight="1" x14ac:dyDescent="0.2">
      <c r="B97" s="8">
        <v>9</v>
      </c>
      <c r="C97" s="10">
        <v>9</v>
      </c>
      <c r="D97" s="1" t="s">
        <v>29</v>
      </c>
      <c r="E97" s="11">
        <v>42.6</v>
      </c>
      <c r="F97" s="11">
        <f t="shared" si="5"/>
        <v>43.878</v>
      </c>
      <c r="I97" s="8">
        <v>9</v>
      </c>
      <c r="J97" s="1" t="s">
        <v>29</v>
      </c>
      <c r="K97" s="11">
        <f>E97</f>
        <v>42.6</v>
      </c>
      <c r="L97" s="11">
        <f t="shared" si="6"/>
        <v>43.878</v>
      </c>
    </row>
    <row r="98" spans="2:12" ht="20" customHeight="1" x14ac:dyDescent="0.2">
      <c r="B98" s="8"/>
      <c r="D98" s="1" t="s">
        <v>68</v>
      </c>
      <c r="E98" s="11">
        <v>7</v>
      </c>
      <c r="F98" s="11">
        <f t="shared" si="5"/>
        <v>7.21</v>
      </c>
      <c r="I98" s="8"/>
      <c r="J98" s="1" t="s">
        <v>68</v>
      </c>
      <c r="K98" s="11">
        <f>E98+E99+E101+E102+E104+E105+E107+E108</f>
        <v>141.19999999999999</v>
      </c>
      <c r="L98" s="11">
        <f t="shared" si="6"/>
        <v>145.43599999999998</v>
      </c>
    </row>
    <row r="99" spans="2:12" ht="20" customHeight="1" x14ac:dyDescent="0.2">
      <c r="B99" s="8"/>
      <c r="C99" s="10">
        <v>8</v>
      </c>
      <c r="D99" s="1" t="s">
        <v>68</v>
      </c>
      <c r="E99" s="11">
        <v>28.3</v>
      </c>
      <c r="F99" s="11">
        <f t="shared" si="5"/>
        <v>29.149000000000001</v>
      </c>
      <c r="I99" s="8"/>
      <c r="J99" s="1" t="s">
        <v>72</v>
      </c>
      <c r="K99" s="11">
        <f>E100+E103+E106</f>
        <v>127.80000000000001</v>
      </c>
      <c r="L99" s="11">
        <f>K99*$F$2</f>
        <v>131.63400000000001</v>
      </c>
    </row>
    <row r="100" spans="2:12" ht="20" customHeight="1" x14ac:dyDescent="0.2">
      <c r="B100" s="8"/>
      <c r="C100" s="10">
        <v>7</v>
      </c>
      <c r="D100" s="1" t="s">
        <v>72</v>
      </c>
      <c r="E100" s="11">
        <v>42.6</v>
      </c>
      <c r="F100" s="11">
        <f t="shared" si="5"/>
        <v>43.878</v>
      </c>
      <c r="I100" s="8"/>
      <c r="J100" s="1" t="s">
        <v>69</v>
      </c>
      <c r="K100" s="11">
        <f>E109</f>
        <v>8.1999999999999993</v>
      </c>
      <c r="L100" s="11">
        <f>K100*$F$2</f>
        <v>8.4459999999999997</v>
      </c>
    </row>
    <row r="101" spans="2:12" ht="20" customHeight="1" x14ac:dyDescent="0.2">
      <c r="B101" s="8"/>
      <c r="D101" s="1" t="s">
        <v>68</v>
      </c>
      <c r="E101" s="11">
        <v>7</v>
      </c>
      <c r="F101" s="11">
        <f t="shared" si="5"/>
        <v>7.21</v>
      </c>
      <c r="G101" s="7"/>
      <c r="I101" s="8"/>
      <c r="J101" s="1" t="s">
        <v>70</v>
      </c>
      <c r="K101" s="11">
        <f>E110</f>
        <v>3.4</v>
      </c>
      <c r="L101" s="11">
        <f>K101*$F$2</f>
        <v>3.5019999999999998</v>
      </c>
    </row>
    <row r="102" spans="2:12" ht="20" customHeight="1" x14ac:dyDescent="0.2">
      <c r="B102" s="8"/>
      <c r="C102" s="10">
        <v>6</v>
      </c>
      <c r="D102" s="1" t="s">
        <v>68</v>
      </c>
      <c r="E102" s="11">
        <v>28.3</v>
      </c>
      <c r="F102" s="11">
        <f t="shared" si="5"/>
        <v>29.149000000000001</v>
      </c>
      <c r="G102" s="7"/>
      <c r="I102" s="8"/>
      <c r="K102" s="11"/>
      <c r="L102" s="11"/>
    </row>
    <row r="103" spans="2:12" ht="20" customHeight="1" x14ac:dyDescent="0.2">
      <c r="B103" s="8"/>
      <c r="C103" s="10">
        <v>5</v>
      </c>
      <c r="D103" s="1" t="s">
        <v>72</v>
      </c>
      <c r="E103" s="11">
        <v>42.6</v>
      </c>
      <c r="F103" s="11">
        <f t="shared" si="5"/>
        <v>43.878</v>
      </c>
      <c r="I103" s="8"/>
      <c r="K103" s="11"/>
      <c r="L103" s="11"/>
    </row>
    <row r="104" spans="2:12" ht="20" customHeight="1" x14ac:dyDescent="0.2">
      <c r="B104" s="8"/>
      <c r="D104" s="1" t="s">
        <v>68</v>
      </c>
      <c r="E104" s="11">
        <v>7</v>
      </c>
      <c r="F104" s="11">
        <f t="shared" si="5"/>
        <v>7.21</v>
      </c>
      <c r="I104" s="8"/>
      <c r="K104" s="11"/>
      <c r="L104" s="11"/>
    </row>
    <row r="105" spans="2:12" ht="20" customHeight="1" x14ac:dyDescent="0.2">
      <c r="B105" s="8"/>
      <c r="C105" s="10">
        <v>4</v>
      </c>
      <c r="D105" s="1" t="s">
        <v>68</v>
      </c>
      <c r="E105" s="11">
        <v>28.3</v>
      </c>
      <c r="F105" s="11">
        <f t="shared" si="5"/>
        <v>29.149000000000001</v>
      </c>
      <c r="I105" s="8"/>
      <c r="K105" s="11"/>
      <c r="L105" s="11"/>
    </row>
    <row r="106" spans="2:12" ht="20" customHeight="1" x14ac:dyDescent="0.2">
      <c r="B106" s="8"/>
      <c r="C106" s="10">
        <v>3</v>
      </c>
      <c r="D106" s="1" t="s">
        <v>72</v>
      </c>
      <c r="E106" s="11">
        <v>42.6</v>
      </c>
      <c r="F106" s="11">
        <f t="shared" si="5"/>
        <v>43.878</v>
      </c>
      <c r="I106" s="8"/>
      <c r="K106" s="11"/>
      <c r="L106" s="11"/>
    </row>
    <row r="107" spans="2:12" ht="20" customHeight="1" x14ac:dyDescent="0.2">
      <c r="B107" s="8"/>
      <c r="D107" s="1" t="s">
        <v>68</v>
      </c>
      <c r="E107" s="11">
        <v>7</v>
      </c>
      <c r="F107" s="11">
        <f t="shared" si="5"/>
        <v>7.21</v>
      </c>
      <c r="I107" s="8"/>
      <c r="K107" s="11"/>
      <c r="L107" s="11"/>
    </row>
    <row r="108" spans="2:12" ht="20" customHeight="1" x14ac:dyDescent="0.2">
      <c r="B108" s="8"/>
      <c r="C108" s="10">
        <v>2</v>
      </c>
      <c r="D108" s="1" t="s">
        <v>68</v>
      </c>
      <c r="E108" s="11">
        <v>28.3</v>
      </c>
      <c r="F108" s="11">
        <f t="shared" si="5"/>
        <v>29.149000000000001</v>
      </c>
      <c r="I108" s="8"/>
      <c r="K108" s="11"/>
      <c r="L108" s="11"/>
    </row>
    <row r="109" spans="2:12" ht="20" customHeight="1" x14ac:dyDescent="0.2">
      <c r="B109" s="8"/>
      <c r="C109" s="10">
        <v>1</v>
      </c>
      <c r="D109" s="1" t="s">
        <v>69</v>
      </c>
      <c r="E109" s="11">
        <f>CO!R222</f>
        <v>8.1999999999999993</v>
      </c>
      <c r="F109" s="11">
        <f t="shared" si="5"/>
        <v>8.4459999999999997</v>
      </c>
      <c r="I109" s="8"/>
    </row>
    <row r="110" spans="2:12" ht="20" customHeight="1" x14ac:dyDescent="0.2">
      <c r="B110" s="8"/>
      <c r="D110" s="1" t="s">
        <v>70</v>
      </c>
      <c r="E110" s="11">
        <f>CO!R223</f>
        <v>3.4</v>
      </c>
      <c r="F110" s="11">
        <f t="shared" si="5"/>
        <v>3.5019999999999998</v>
      </c>
      <c r="I110" s="8"/>
    </row>
    <row r="111" spans="2:12" ht="20" customHeight="1" x14ac:dyDescent="0.2">
      <c r="B111" s="8">
        <v>10</v>
      </c>
      <c r="C111" s="10">
        <v>9</v>
      </c>
      <c r="D111" s="1" t="s">
        <v>29</v>
      </c>
      <c r="E111" s="11">
        <v>30.93</v>
      </c>
      <c r="F111" s="11">
        <f t="shared" si="5"/>
        <v>31.857900000000001</v>
      </c>
      <c r="I111" s="8">
        <v>10</v>
      </c>
      <c r="J111" s="1" t="s">
        <v>29</v>
      </c>
      <c r="K111" s="11">
        <f>E111</f>
        <v>30.93</v>
      </c>
      <c r="L111" s="11">
        <f t="shared" si="6"/>
        <v>31.857900000000001</v>
      </c>
    </row>
    <row r="112" spans="2:12" ht="20" customHeight="1" x14ac:dyDescent="0.2">
      <c r="B112" s="8"/>
      <c r="C112" s="10">
        <v>8</v>
      </c>
      <c r="D112" s="1" t="s">
        <v>25</v>
      </c>
      <c r="E112" s="11">
        <f>CO!R226</f>
        <v>5.6199999999999992</v>
      </c>
      <c r="F112" s="11">
        <f t="shared" si="5"/>
        <v>5.7885999999999997</v>
      </c>
      <c r="I112" s="8"/>
      <c r="J112" s="1" t="s">
        <v>25</v>
      </c>
      <c r="K112" s="11">
        <f>E112+E114+E116+E118</f>
        <v>22.479999999999997</v>
      </c>
      <c r="L112" s="11">
        <f t="shared" si="6"/>
        <v>23.154399999999999</v>
      </c>
    </row>
    <row r="113" spans="1:12" ht="20" customHeight="1" x14ac:dyDescent="0.2">
      <c r="B113" s="8"/>
      <c r="C113" s="10">
        <v>7</v>
      </c>
      <c r="D113" s="1" t="s">
        <v>72</v>
      </c>
      <c r="E113" s="11">
        <v>30.93</v>
      </c>
      <c r="F113" s="11">
        <f t="shared" si="5"/>
        <v>31.857900000000001</v>
      </c>
      <c r="I113" s="8"/>
      <c r="J113" s="1" t="s">
        <v>72</v>
      </c>
      <c r="K113" s="11">
        <f>E113+E115+E117+E119</f>
        <v>115.32</v>
      </c>
      <c r="L113" s="11">
        <f t="shared" si="6"/>
        <v>118.7796</v>
      </c>
    </row>
    <row r="114" spans="1:12" ht="20" customHeight="1" x14ac:dyDescent="0.2">
      <c r="B114" s="8"/>
      <c r="C114" s="10">
        <v>6</v>
      </c>
      <c r="D114" s="1" t="s">
        <v>25</v>
      </c>
      <c r="E114" s="11">
        <f>CO!R229</f>
        <v>5.6199999999999992</v>
      </c>
      <c r="F114" s="11">
        <f t="shared" si="5"/>
        <v>5.7885999999999997</v>
      </c>
      <c r="I114" s="8"/>
      <c r="K114" s="11"/>
      <c r="L114" s="11"/>
    </row>
    <row r="115" spans="1:12" ht="20" customHeight="1" x14ac:dyDescent="0.2">
      <c r="A115" s="8"/>
      <c r="B115" s="8"/>
      <c r="C115" s="10">
        <v>5</v>
      </c>
      <c r="D115" s="1" t="s">
        <v>72</v>
      </c>
      <c r="E115" s="11">
        <v>30.93</v>
      </c>
      <c r="F115" s="11">
        <f t="shared" si="5"/>
        <v>31.857900000000001</v>
      </c>
      <c r="H115" s="8"/>
      <c r="I115" s="8"/>
      <c r="K115" s="11"/>
      <c r="L115" s="11"/>
    </row>
    <row r="116" spans="1:12" ht="20" customHeight="1" x14ac:dyDescent="0.2">
      <c r="A116" s="8"/>
      <c r="B116" s="8"/>
      <c r="C116" s="10">
        <v>4</v>
      </c>
      <c r="D116" s="1" t="s">
        <v>25</v>
      </c>
      <c r="E116" s="11">
        <f>CO!R232</f>
        <v>5.6199999999999992</v>
      </c>
      <c r="F116" s="11">
        <f t="shared" si="5"/>
        <v>5.7885999999999997</v>
      </c>
      <c r="H116" s="8"/>
      <c r="I116" s="8"/>
      <c r="K116" s="11"/>
      <c r="L116" s="11"/>
    </row>
    <row r="117" spans="1:12" ht="20" customHeight="1" x14ac:dyDescent="0.2">
      <c r="A117" s="8"/>
      <c r="B117" s="8"/>
      <c r="C117" s="10">
        <v>3</v>
      </c>
      <c r="D117" s="1" t="s">
        <v>28</v>
      </c>
      <c r="E117" s="11">
        <v>30.93</v>
      </c>
      <c r="F117" s="11">
        <f t="shared" si="5"/>
        <v>31.857900000000001</v>
      </c>
      <c r="H117" s="8"/>
      <c r="I117" s="8"/>
      <c r="K117" s="11"/>
      <c r="L117" s="11"/>
    </row>
    <row r="118" spans="1:12" ht="20" customHeight="1" x14ac:dyDescent="0.2">
      <c r="A118" s="8"/>
      <c r="B118" s="8"/>
      <c r="C118" s="10">
        <v>2</v>
      </c>
      <c r="D118" s="1" t="s">
        <v>25</v>
      </c>
      <c r="E118" s="11">
        <f>CO!R235</f>
        <v>5.6199999999999992</v>
      </c>
      <c r="F118" s="11">
        <f t="shared" si="5"/>
        <v>5.7885999999999997</v>
      </c>
      <c r="H118" s="8"/>
      <c r="I118" s="8"/>
      <c r="K118" s="11"/>
      <c r="L118" s="11"/>
    </row>
    <row r="119" spans="1:12" ht="20" customHeight="1" x14ac:dyDescent="0.2">
      <c r="A119" s="8"/>
      <c r="B119" s="8"/>
      <c r="C119" s="10">
        <v>1</v>
      </c>
      <c r="D119" s="1" t="s">
        <v>28</v>
      </c>
      <c r="E119" s="11">
        <f>CO!R236</f>
        <v>22.53</v>
      </c>
      <c r="F119" s="11">
        <f t="shared" si="5"/>
        <v>23.205900000000003</v>
      </c>
      <c r="H119" s="8"/>
      <c r="I119" s="8"/>
      <c r="K119" s="11"/>
      <c r="L119" s="11"/>
    </row>
    <row r="120" spans="1:12" ht="20" customHeight="1" x14ac:dyDescent="0.2">
      <c r="A120" s="8"/>
      <c r="B120" s="8">
        <v>11</v>
      </c>
      <c r="C120" s="10">
        <v>7</v>
      </c>
      <c r="D120" s="1" t="s">
        <v>29</v>
      </c>
      <c r="E120" s="11">
        <v>8.9</v>
      </c>
      <c r="F120" s="11">
        <f t="shared" si="5"/>
        <v>9.1669999999999998</v>
      </c>
      <c r="H120" s="8"/>
      <c r="I120" s="8">
        <v>11</v>
      </c>
      <c r="J120" s="1" t="s">
        <v>29</v>
      </c>
      <c r="K120" s="11">
        <f>E120</f>
        <v>8.9</v>
      </c>
      <c r="L120" s="11">
        <f t="shared" si="6"/>
        <v>9.1669999999999998</v>
      </c>
    </row>
    <row r="121" spans="1:12" ht="20" customHeight="1" x14ac:dyDescent="0.2">
      <c r="A121" s="8"/>
      <c r="B121" s="8"/>
      <c r="C121" s="10">
        <v>5</v>
      </c>
      <c r="D121" s="1" t="s">
        <v>28</v>
      </c>
      <c r="E121" s="11">
        <v>8.9</v>
      </c>
      <c r="F121" s="11">
        <f t="shared" si="5"/>
        <v>9.1669999999999998</v>
      </c>
      <c r="H121" s="8"/>
      <c r="I121" s="8"/>
      <c r="J121" s="1" t="s">
        <v>28</v>
      </c>
      <c r="K121" s="11">
        <f>E121+E122+E123</f>
        <v>25.9</v>
      </c>
      <c r="L121" s="11">
        <f t="shared" si="6"/>
        <v>26.677</v>
      </c>
    </row>
    <row r="122" spans="1:12" ht="20" customHeight="1" x14ac:dyDescent="0.2">
      <c r="B122" s="8"/>
      <c r="C122" s="10">
        <v>3</v>
      </c>
      <c r="D122" s="1" t="s">
        <v>28</v>
      </c>
      <c r="E122" s="11">
        <v>8.9</v>
      </c>
      <c r="F122" s="11">
        <f t="shared" si="5"/>
        <v>9.1669999999999998</v>
      </c>
      <c r="I122" s="8"/>
      <c r="K122" s="11"/>
      <c r="L122" s="11"/>
    </row>
    <row r="123" spans="1:12" ht="20" customHeight="1" x14ac:dyDescent="0.2">
      <c r="B123" s="8"/>
      <c r="C123" s="10">
        <v>1</v>
      </c>
      <c r="D123" s="1" t="s">
        <v>28</v>
      </c>
      <c r="E123" s="11">
        <v>8.1</v>
      </c>
      <c r="F123" s="11">
        <f t="shared" si="5"/>
        <v>8.343</v>
      </c>
      <c r="I123" s="8"/>
      <c r="K123" s="11"/>
      <c r="L123" s="11"/>
    </row>
    <row r="124" spans="1:12" ht="20" customHeight="1" x14ac:dyDescent="0.2">
      <c r="B124" s="8" t="s">
        <v>64</v>
      </c>
      <c r="C124" s="10" t="s">
        <v>62</v>
      </c>
      <c r="D124" s="1" t="s">
        <v>63</v>
      </c>
      <c r="E124" s="11">
        <f>CO!R150</f>
        <v>30.29</v>
      </c>
      <c r="F124" s="11">
        <f t="shared" si="5"/>
        <v>31.198699999999999</v>
      </c>
      <c r="I124" s="8" t="s">
        <v>64</v>
      </c>
      <c r="J124" s="1" t="s">
        <v>63</v>
      </c>
      <c r="K124" s="11">
        <f>E124</f>
        <v>30.29</v>
      </c>
      <c r="L124" s="11">
        <f t="shared" si="6"/>
        <v>31.198699999999999</v>
      </c>
    </row>
    <row r="125" spans="1:12" ht="20" customHeight="1" x14ac:dyDescent="0.2">
      <c r="B125" s="8" t="s">
        <v>64</v>
      </c>
      <c r="C125" s="10" t="s">
        <v>62</v>
      </c>
      <c r="D125" s="1" t="s">
        <v>65</v>
      </c>
      <c r="E125" s="11">
        <f>CO!R151</f>
        <v>27</v>
      </c>
      <c r="F125" s="11">
        <f t="shared" si="5"/>
        <v>27.810000000000002</v>
      </c>
      <c r="I125" s="8" t="s">
        <v>64</v>
      </c>
      <c r="J125" s="1" t="s">
        <v>65</v>
      </c>
      <c r="K125" s="11">
        <f t="shared" ref="K125:K126" si="7">E125</f>
        <v>27</v>
      </c>
      <c r="L125" s="11">
        <f t="shared" si="6"/>
        <v>27.810000000000002</v>
      </c>
    </row>
    <row r="126" spans="1:12" ht="20" customHeight="1" x14ac:dyDescent="0.2">
      <c r="B126" s="8" t="s">
        <v>64</v>
      </c>
      <c r="C126" s="10" t="s">
        <v>62</v>
      </c>
      <c r="D126" s="1" t="s">
        <v>77</v>
      </c>
      <c r="E126" s="11">
        <f>((8.1*2)*4)+((9.2*1.5)*5)</f>
        <v>133.80000000000001</v>
      </c>
      <c r="F126" s="11">
        <f t="shared" si="5"/>
        <v>137.81400000000002</v>
      </c>
      <c r="I126" s="8" t="s">
        <v>64</v>
      </c>
      <c r="J126" s="1" t="s">
        <v>77</v>
      </c>
      <c r="K126" s="11">
        <f t="shared" si="7"/>
        <v>133.80000000000001</v>
      </c>
      <c r="L126" s="11">
        <f t="shared" si="6"/>
        <v>137.81400000000002</v>
      </c>
    </row>
    <row r="127" spans="1:12" ht="20" customHeight="1" x14ac:dyDescent="0.2">
      <c r="D127" s="3" t="s">
        <v>1</v>
      </c>
      <c r="E127" s="17">
        <f>SUM(E82:E126)</f>
        <v>966.5319999999997</v>
      </c>
      <c r="F127" s="17">
        <f>SUM(F82:F126)</f>
        <v>995.52795999999989</v>
      </c>
      <c r="J127" s="3" t="s">
        <v>1</v>
      </c>
      <c r="K127" s="17">
        <f>SUM(K82:K126)</f>
        <v>966.53199999999993</v>
      </c>
      <c r="L127" s="17">
        <f>SUM(L82:L126)</f>
        <v>995.52795999999989</v>
      </c>
    </row>
    <row r="128" spans="1:12" ht="20" customHeight="1" x14ac:dyDescent="0.2">
      <c r="D128" s="10"/>
      <c r="F128" s="11"/>
      <c r="J128" s="10"/>
      <c r="L128" s="11"/>
    </row>
    <row r="129" spans="1:12" ht="20" customHeight="1" x14ac:dyDescent="0.2">
      <c r="E129" s="21"/>
      <c r="F129" s="11"/>
      <c r="K129" s="21"/>
      <c r="L129" s="11"/>
    </row>
    <row r="130" spans="1:12" ht="20" customHeight="1" x14ac:dyDescent="0.2">
      <c r="B130" s="32"/>
      <c r="C130" s="32"/>
      <c r="D130" s="35" t="s">
        <v>49</v>
      </c>
      <c r="E130" s="33"/>
      <c r="F130" s="10"/>
      <c r="I130" s="32"/>
      <c r="J130" s="35" t="s">
        <v>49</v>
      </c>
      <c r="K130" s="33"/>
      <c r="L130" s="10"/>
    </row>
    <row r="131" spans="1:12" ht="20" customHeight="1" x14ac:dyDescent="0.2">
      <c r="A131" s="8" t="s">
        <v>22</v>
      </c>
      <c r="B131" s="8">
        <v>12</v>
      </c>
      <c r="C131" s="10">
        <v>10</v>
      </c>
      <c r="D131" s="1" t="s">
        <v>24</v>
      </c>
      <c r="E131" s="11">
        <f>CO!R170</f>
        <v>3.75</v>
      </c>
      <c r="F131" s="11">
        <f>E131*$F$2</f>
        <v>3.8625000000000003</v>
      </c>
      <c r="H131" s="8" t="s">
        <v>22</v>
      </c>
      <c r="I131" s="8">
        <v>12</v>
      </c>
      <c r="J131" s="1" t="s">
        <v>24</v>
      </c>
      <c r="K131" s="11">
        <f>E131</f>
        <v>3.75</v>
      </c>
      <c r="L131" s="11">
        <f>K131*$F$2</f>
        <v>3.8625000000000003</v>
      </c>
    </row>
    <row r="132" spans="1:12" ht="20" customHeight="1" x14ac:dyDescent="0.2">
      <c r="B132" s="8"/>
      <c r="D132" s="1" t="s">
        <v>71</v>
      </c>
      <c r="E132" s="11">
        <v>18.32</v>
      </c>
      <c r="F132" s="11">
        <f t="shared" ref="F132:F149" si="8">E132*$F$2</f>
        <v>18.869600000000002</v>
      </c>
      <c r="I132" s="8"/>
      <c r="J132" s="1" t="s">
        <v>71</v>
      </c>
      <c r="K132" s="11">
        <f>E132+E133+E135+E136+E138+E139+E141+E142+E144</f>
        <v>151.39999999999998</v>
      </c>
      <c r="L132" s="11">
        <f t="shared" ref="L132:L149" si="9">K132*$F$2</f>
        <v>155.94199999999998</v>
      </c>
    </row>
    <row r="133" spans="1:12" ht="20" customHeight="1" x14ac:dyDescent="0.2">
      <c r="B133" s="8"/>
      <c r="C133" s="10">
        <v>9</v>
      </c>
      <c r="D133" s="1" t="s">
        <v>68</v>
      </c>
      <c r="E133" s="11">
        <v>13.95</v>
      </c>
      <c r="F133" s="11">
        <f t="shared" si="8"/>
        <v>14.368499999999999</v>
      </c>
      <c r="I133" s="8"/>
      <c r="J133" s="1" t="s">
        <v>72</v>
      </c>
      <c r="K133" s="11">
        <f>E134+E137+E143</f>
        <v>124.89000000000001</v>
      </c>
      <c r="L133" s="11">
        <f>K133*$F$2</f>
        <v>128.63670000000002</v>
      </c>
    </row>
    <row r="134" spans="1:12" ht="20" customHeight="1" x14ac:dyDescent="0.2">
      <c r="B134" s="8"/>
      <c r="C134" s="10">
        <v>8</v>
      </c>
      <c r="D134" s="1" t="s">
        <v>72</v>
      </c>
      <c r="E134" s="11">
        <v>41.63</v>
      </c>
      <c r="F134" s="11">
        <f t="shared" si="8"/>
        <v>42.878900000000002</v>
      </c>
      <c r="I134" s="8"/>
      <c r="J134" s="1" t="s">
        <v>73</v>
      </c>
      <c r="K134" s="11">
        <f>E140+E145</f>
        <v>46.730000000000004</v>
      </c>
      <c r="L134" s="11">
        <f>K134*$F$2</f>
        <v>48.131900000000009</v>
      </c>
    </row>
    <row r="135" spans="1:12" ht="20" customHeight="1" x14ac:dyDescent="0.2">
      <c r="B135" s="8"/>
      <c r="D135" s="1" t="s">
        <v>68</v>
      </c>
      <c r="E135" s="11">
        <v>19.32</v>
      </c>
      <c r="F135" s="11">
        <f t="shared" si="8"/>
        <v>19.8996</v>
      </c>
      <c r="I135" s="8"/>
      <c r="K135" s="11"/>
      <c r="L135" s="11"/>
    </row>
    <row r="136" spans="1:12" ht="20" customHeight="1" x14ac:dyDescent="0.2">
      <c r="B136" s="8"/>
      <c r="C136" s="10">
        <v>7</v>
      </c>
      <c r="D136" s="1" t="s">
        <v>68</v>
      </c>
      <c r="E136" s="11">
        <v>13.95</v>
      </c>
      <c r="F136" s="11">
        <f t="shared" si="8"/>
        <v>14.368499999999999</v>
      </c>
      <c r="I136" s="8"/>
      <c r="K136" s="11"/>
      <c r="L136" s="11"/>
    </row>
    <row r="137" spans="1:12" ht="20" customHeight="1" x14ac:dyDescent="0.2">
      <c r="B137" s="8"/>
      <c r="C137" s="10">
        <v>6</v>
      </c>
      <c r="D137" s="1" t="s">
        <v>72</v>
      </c>
      <c r="E137" s="11">
        <v>41.63</v>
      </c>
      <c r="F137" s="11">
        <f t="shared" si="8"/>
        <v>42.878900000000002</v>
      </c>
      <c r="I137" s="8"/>
      <c r="K137" s="11"/>
      <c r="L137" s="11"/>
    </row>
    <row r="138" spans="1:12" ht="20" customHeight="1" x14ac:dyDescent="0.2">
      <c r="B138" s="8"/>
      <c r="D138" s="1" t="s">
        <v>68</v>
      </c>
      <c r="E138" s="11">
        <v>19.32</v>
      </c>
      <c r="F138" s="11">
        <f t="shared" si="8"/>
        <v>19.8996</v>
      </c>
      <c r="I138" s="8"/>
      <c r="K138" s="11"/>
      <c r="L138" s="11"/>
    </row>
    <row r="139" spans="1:12" ht="20" customHeight="1" x14ac:dyDescent="0.2">
      <c r="B139" s="8"/>
      <c r="C139" s="10">
        <v>5</v>
      </c>
      <c r="D139" s="1" t="s">
        <v>68</v>
      </c>
      <c r="E139" s="11">
        <v>13.95</v>
      </c>
      <c r="F139" s="11">
        <f t="shared" si="8"/>
        <v>14.368499999999999</v>
      </c>
      <c r="I139" s="8"/>
      <c r="K139" s="11"/>
      <c r="L139" s="11"/>
    </row>
    <row r="140" spans="1:12" ht="20" customHeight="1" x14ac:dyDescent="0.2">
      <c r="B140" s="8"/>
      <c r="C140" s="10">
        <v>4</v>
      </c>
      <c r="D140" s="1" t="s">
        <v>73</v>
      </c>
      <c r="E140" s="11">
        <v>41.63</v>
      </c>
      <c r="F140" s="11">
        <f t="shared" si="8"/>
        <v>42.878900000000002</v>
      </c>
      <c r="I140" s="8"/>
    </row>
    <row r="141" spans="1:12" ht="20" customHeight="1" x14ac:dyDescent="0.2">
      <c r="B141" s="8"/>
      <c r="D141" s="1" t="s">
        <v>68</v>
      </c>
      <c r="E141" s="11">
        <v>19.32</v>
      </c>
      <c r="F141" s="11">
        <f t="shared" si="8"/>
        <v>19.8996</v>
      </c>
      <c r="I141" s="8"/>
      <c r="K141" s="11"/>
      <c r="L141" s="11"/>
    </row>
    <row r="142" spans="1:12" ht="20" customHeight="1" x14ac:dyDescent="0.2">
      <c r="B142" s="8"/>
      <c r="C142" s="10">
        <v>3</v>
      </c>
      <c r="D142" s="1" t="s">
        <v>68</v>
      </c>
      <c r="E142" s="11">
        <v>13.95</v>
      </c>
      <c r="F142" s="11">
        <f t="shared" si="8"/>
        <v>14.368499999999999</v>
      </c>
      <c r="I142" s="8"/>
      <c r="K142" s="11"/>
      <c r="L142" s="11"/>
    </row>
    <row r="143" spans="1:12" ht="20" customHeight="1" x14ac:dyDescent="0.2">
      <c r="B143" s="8"/>
      <c r="C143" s="10">
        <v>2</v>
      </c>
      <c r="D143" s="1" t="s">
        <v>72</v>
      </c>
      <c r="E143" s="11">
        <v>41.63</v>
      </c>
      <c r="F143" s="11">
        <f t="shared" si="8"/>
        <v>42.878900000000002</v>
      </c>
      <c r="I143" s="8"/>
      <c r="K143" s="11"/>
      <c r="L143" s="11"/>
    </row>
    <row r="144" spans="1:12" ht="20" customHeight="1" x14ac:dyDescent="0.2">
      <c r="B144" s="8"/>
      <c r="D144" s="1" t="s">
        <v>68</v>
      </c>
      <c r="E144" s="11">
        <v>19.32</v>
      </c>
      <c r="F144" s="11">
        <f t="shared" si="8"/>
        <v>19.8996</v>
      </c>
      <c r="I144" s="8"/>
      <c r="K144" s="11"/>
      <c r="L144" s="11"/>
    </row>
    <row r="145" spans="2:12" ht="20" customHeight="1" x14ac:dyDescent="0.2">
      <c r="B145" s="8"/>
      <c r="C145" s="10">
        <v>1</v>
      </c>
      <c r="D145" s="1" t="s">
        <v>51</v>
      </c>
      <c r="E145" s="11">
        <f>CO!R219</f>
        <v>5.0999999999999996</v>
      </c>
      <c r="F145" s="11">
        <f t="shared" si="8"/>
        <v>5.2530000000000001</v>
      </c>
      <c r="I145" s="8"/>
      <c r="K145" s="11"/>
      <c r="L145" s="11"/>
    </row>
    <row r="146" spans="2:12" ht="20" customHeight="1" x14ac:dyDescent="0.2">
      <c r="B146" s="8"/>
      <c r="C146" s="10" t="s">
        <v>52</v>
      </c>
      <c r="D146" s="1" t="s">
        <v>76</v>
      </c>
      <c r="E146" s="11">
        <v>126.32</v>
      </c>
      <c r="F146" s="11">
        <f t="shared" si="8"/>
        <v>130.1096</v>
      </c>
      <c r="G146" s="7"/>
      <c r="I146" s="8"/>
      <c r="J146" s="1" t="s">
        <v>76</v>
      </c>
      <c r="K146" s="11">
        <v>126.32</v>
      </c>
      <c r="L146" s="11">
        <f t="shared" si="9"/>
        <v>130.1096</v>
      </c>
    </row>
    <row r="147" spans="2:12" ht="20" customHeight="1" x14ac:dyDescent="0.2">
      <c r="B147" s="8" t="s">
        <v>64</v>
      </c>
      <c r="C147" s="10" t="s">
        <v>62</v>
      </c>
      <c r="D147" s="1" t="s">
        <v>63</v>
      </c>
      <c r="E147" s="11">
        <f>24*9</f>
        <v>216</v>
      </c>
      <c r="F147" s="11">
        <f t="shared" si="8"/>
        <v>222.48000000000002</v>
      </c>
      <c r="I147" s="8" t="s">
        <v>64</v>
      </c>
      <c r="J147" s="1" t="s">
        <v>63</v>
      </c>
      <c r="K147" s="11">
        <f>E147</f>
        <v>216</v>
      </c>
      <c r="L147" s="11">
        <f t="shared" si="9"/>
        <v>222.48000000000002</v>
      </c>
    </row>
    <row r="148" spans="2:12" ht="20" customHeight="1" x14ac:dyDescent="0.2">
      <c r="B148" s="8" t="s">
        <v>64</v>
      </c>
      <c r="C148" s="10" t="s">
        <v>62</v>
      </c>
      <c r="D148" s="1" t="s">
        <v>65</v>
      </c>
      <c r="E148" s="11">
        <f>CO!R224</f>
        <v>22.53</v>
      </c>
      <c r="F148" s="11">
        <f t="shared" si="8"/>
        <v>23.205900000000003</v>
      </c>
      <c r="I148" s="8" t="s">
        <v>64</v>
      </c>
      <c r="J148" s="1" t="s">
        <v>65</v>
      </c>
      <c r="K148" s="11">
        <f t="shared" ref="K148:K149" si="10">E148</f>
        <v>22.53</v>
      </c>
      <c r="L148" s="11">
        <f t="shared" si="9"/>
        <v>23.205900000000003</v>
      </c>
    </row>
    <row r="149" spans="2:12" ht="20" customHeight="1" x14ac:dyDescent="0.2">
      <c r="B149" s="8" t="s">
        <v>64</v>
      </c>
      <c r="C149" s="10" t="s">
        <v>62</v>
      </c>
      <c r="D149" s="1" t="s">
        <v>77</v>
      </c>
      <c r="E149" s="11">
        <f>4.5*10</f>
        <v>45</v>
      </c>
      <c r="F149" s="11">
        <f t="shared" si="8"/>
        <v>46.35</v>
      </c>
      <c r="I149" s="8" t="s">
        <v>64</v>
      </c>
      <c r="J149" s="1" t="s">
        <v>77</v>
      </c>
      <c r="K149" s="11">
        <f t="shared" si="10"/>
        <v>45</v>
      </c>
      <c r="L149" s="11">
        <f t="shared" si="9"/>
        <v>46.35</v>
      </c>
    </row>
    <row r="150" spans="2:12" ht="20" customHeight="1" x14ac:dyDescent="0.2">
      <c r="D150" s="35" t="s">
        <v>1</v>
      </c>
      <c r="E150" s="41">
        <f>SUM(E131:E149)</f>
        <v>736.61999999999989</v>
      </c>
      <c r="F150" s="41">
        <f>SUM(F131:F149)</f>
        <v>758.71860000000015</v>
      </c>
      <c r="J150" s="35" t="s">
        <v>1</v>
      </c>
      <c r="K150" s="41">
        <f>SUM(K131:K149)</f>
        <v>736.61999999999989</v>
      </c>
      <c r="L150" s="41">
        <f>SUM(L131:L149)</f>
        <v>758.71860000000015</v>
      </c>
    </row>
    <row r="151" spans="2:12" ht="20" customHeight="1" x14ac:dyDescent="0.2">
      <c r="E151" s="11">
        <f>E55+E78+E127+E150</f>
        <v>3656.4789999999994</v>
      </c>
      <c r="F151" s="11">
        <f>F55+F78+F127+F150</f>
        <v>3766.17337</v>
      </c>
      <c r="K151" s="11">
        <f>K55+K78+K127+K150</f>
        <v>3656.4789999999998</v>
      </c>
      <c r="L151" s="11">
        <f>L55+L78+L127+L150</f>
        <v>3766.17337</v>
      </c>
    </row>
    <row r="152" spans="2:12" ht="20" customHeight="1" x14ac:dyDescent="0.2">
      <c r="E152" s="11">
        <f>3770-E151</f>
        <v>113.52100000000064</v>
      </c>
      <c r="F152" s="11">
        <f>3770-F151</f>
        <v>3.8266300000000228</v>
      </c>
      <c r="K152" s="11">
        <f>3770-K151</f>
        <v>113.52100000000019</v>
      </c>
      <c r="L152" s="11">
        <f>3770-L151</f>
        <v>3.8266300000000228</v>
      </c>
    </row>
    <row r="153" spans="2:12" ht="20" customHeight="1" x14ac:dyDescent="0.2">
      <c r="E153" s="11"/>
      <c r="F153" s="11"/>
      <c r="K153" s="11"/>
      <c r="L153" s="11"/>
    </row>
    <row r="154" spans="2:12" ht="38" customHeight="1" x14ac:dyDescent="0.2">
      <c r="B154" s="8" t="s">
        <v>39</v>
      </c>
      <c r="C154" s="10">
        <v>10</v>
      </c>
      <c r="D154" s="1" t="s">
        <v>37</v>
      </c>
      <c r="E154" s="11">
        <f>CO!G258</f>
        <v>26.400000000000002</v>
      </c>
      <c r="F154" s="10"/>
      <c r="G154" s="10"/>
      <c r="I154" s="8" t="s">
        <v>39</v>
      </c>
      <c r="J154" s="1" t="s">
        <v>37</v>
      </c>
      <c r="K154" s="11">
        <f>CO!N258</f>
        <v>26.400000000000002</v>
      </c>
      <c r="L154" s="10"/>
    </row>
    <row r="155" spans="2:12" ht="20" customHeight="1" x14ac:dyDescent="0.2">
      <c r="B155" s="9"/>
      <c r="D155" s="1" t="s">
        <v>36</v>
      </c>
      <c r="E155" s="11">
        <f>CO!G259</f>
        <v>237.6</v>
      </c>
      <c r="F155" s="10"/>
      <c r="G155" s="10"/>
      <c r="I155" s="9"/>
      <c r="J155" s="1" t="s">
        <v>36</v>
      </c>
      <c r="K155" s="11">
        <f>CO!N259</f>
        <v>237.6</v>
      </c>
      <c r="L155" s="10"/>
    </row>
    <row r="156" spans="2:12" ht="20" customHeight="1" x14ac:dyDescent="0.2">
      <c r="B156" s="9"/>
      <c r="D156" s="1" t="s">
        <v>38</v>
      </c>
      <c r="E156" s="11">
        <f>CO!G260</f>
        <v>102.8</v>
      </c>
      <c r="F156" s="10"/>
      <c r="I156" s="9"/>
      <c r="J156" s="1" t="s">
        <v>38</v>
      </c>
      <c r="K156" s="11">
        <f>CO!N260</f>
        <v>102.8</v>
      </c>
      <c r="L156" s="10"/>
    </row>
    <row r="157" spans="2:12" ht="20" customHeight="1" x14ac:dyDescent="0.2">
      <c r="B157" s="9"/>
      <c r="C157" s="10">
        <v>9</v>
      </c>
      <c r="D157" s="1" t="s">
        <v>37</v>
      </c>
      <c r="E157" s="11">
        <f>CO!G261</f>
        <v>26.400000000000002</v>
      </c>
      <c r="F157" s="10"/>
      <c r="I157" s="9"/>
      <c r="J157" s="1" t="s">
        <v>37</v>
      </c>
      <c r="K157" s="11">
        <f>CO!N261</f>
        <v>26.400000000000002</v>
      </c>
      <c r="L157" s="10"/>
    </row>
    <row r="158" spans="2:12" ht="18" customHeight="1" x14ac:dyDescent="0.2">
      <c r="B158" s="8"/>
      <c r="D158" s="1" t="s">
        <v>36</v>
      </c>
      <c r="E158" s="11">
        <f>CO!G262</f>
        <v>237.6</v>
      </c>
      <c r="F158" s="10"/>
      <c r="I158" s="8"/>
      <c r="J158" s="1" t="s">
        <v>36</v>
      </c>
      <c r="K158" s="11">
        <f>CO!N262</f>
        <v>237.6</v>
      </c>
      <c r="L158" s="10"/>
    </row>
    <row r="159" spans="2:12" ht="18" customHeight="1" x14ac:dyDescent="0.2">
      <c r="D159" s="1" t="s">
        <v>38</v>
      </c>
      <c r="E159" s="11">
        <f>CO!G263</f>
        <v>102.8</v>
      </c>
      <c r="F159" s="10"/>
      <c r="J159" s="1" t="s">
        <v>38</v>
      </c>
      <c r="K159" s="11">
        <f>CO!N263</f>
        <v>102.8</v>
      </c>
      <c r="L159" s="10"/>
    </row>
    <row r="160" spans="2:12" ht="18" customHeight="1" x14ac:dyDescent="0.2">
      <c r="C160" s="10">
        <v>8</v>
      </c>
      <c r="D160" s="1" t="s">
        <v>37</v>
      </c>
      <c r="E160" s="11">
        <f>CO!G264</f>
        <v>26.400000000000002</v>
      </c>
      <c r="F160" s="10"/>
      <c r="J160" s="1" t="s">
        <v>37</v>
      </c>
      <c r="K160" s="11">
        <f>CO!N264</f>
        <v>26.400000000000002</v>
      </c>
      <c r="L160" s="10"/>
    </row>
    <row r="161" spans="3:12" ht="18" customHeight="1" x14ac:dyDescent="0.2">
      <c r="D161" s="1" t="s">
        <v>36</v>
      </c>
      <c r="E161" s="11">
        <f>CO!G265</f>
        <v>237.6</v>
      </c>
      <c r="F161" s="10"/>
      <c r="J161" s="1" t="s">
        <v>36</v>
      </c>
      <c r="K161" s="11">
        <f>CO!N265</f>
        <v>237.6</v>
      </c>
      <c r="L161" s="10"/>
    </row>
    <row r="162" spans="3:12" ht="18" customHeight="1" x14ac:dyDescent="0.2">
      <c r="D162" s="1" t="s">
        <v>38</v>
      </c>
      <c r="E162" s="11">
        <f>CO!G266</f>
        <v>102.8</v>
      </c>
      <c r="F162" s="10"/>
      <c r="J162" s="1" t="s">
        <v>38</v>
      </c>
      <c r="K162" s="11">
        <f>CO!N266</f>
        <v>102.8</v>
      </c>
      <c r="L162" s="10"/>
    </row>
    <row r="163" spans="3:12" ht="18" customHeight="1" x14ac:dyDescent="0.2">
      <c r="C163" s="10">
        <v>7</v>
      </c>
      <c r="D163" s="1" t="s">
        <v>37</v>
      </c>
      <c r="E163" s="11">
        <f>CO!G267</f>
        <v>26.400000000000002</v>
      </c>
      <c r="F163" s="10"/>
      <c r="J163" s="1" t="s">
        <v>37</v>
      </c>
      <c r="K163" s="11">
        <f>CO!N267</f>
        <v>26.400000000000002</v>
      </c>
      <c r="L163" s="10"/>
    </row>
    <row r="164" spans="3:12" ht="18" customHeight="1" x14ac:dyDescent="0.2">
      <c r="D164" s="1" t="s">
        <v>36</v>
      </c>
      <c r="E164" s="11">
        <f>CO!G268</f>
        <v>237.6</v>
      </c>
      <c r="F164" s="10"/>
      <c r="J164" s="1" t="s">
        <v>36</v>
      </c>
      <c r="K164" s="11">
        <f>CO!N268</f>
        <v>237.6</v>
      </c>
      <c r="L164" s="10"/>
    </row>
    <row r="165" spans="3:12" ht="18" customHeight="1" x14ac:dyDescent="0.2">
      <c r="D165" s="1" t="s">
        <v>38</v>
      </c>
      <c r="E165" s="11">
        <f>CO!G269</f>
        <v>102.8</v>
      </c>
      <c r="F165" s="10"/>
      <c r="J165" s="1" t="s">
        <v>38</v>
      </c>
      <c r="K165" s="11">
        <f>CO!N269</f>
        <v>102.8</v>
      </c>
      <c r="L165" s="10"/>
    </row>
    <row r="166" spans="3:12" ht="18" customHeight="1" x14ac:dyDescent="0.2">
      <c r="C166" s="10">
        <v>6</v>
      </c>
      <c r="D166" s="1" t="s">
        <v>37</v>
      </c>
      <c r="E166" s="11">
        <f>CO!G270</f>
        <v>26.400000000000002</v>
      </c>
      <c r="F166" s="10"/>
      <c r="J166" s="1" t="s">
        <v>37</v>
      </c>
      <c r="K166" s="11">
        <f>CO!N270</f>
        <v>26.400000000000002</v>
      </c>
      <c r="L166" s="10"/>
    </row>
    <row r="167" spans="3:12" ht="18" customHeight="1" x14ac:dyDescent="0.2">
      <c r="D167" s="1" t="s">
        <v>36</v>
      </c>
      <c r="E167" s="11">
        <f>CO!G271</f>
        <v>237.6</v>
      </c>
      <c r="F167" s="10"/>
      <c r="J167" s="1" t="s">
        <v>36</v>
      </c>
      <c r="K167" s="11">
        <f>CO!N271</f>
        <v>237.6</v>
      </c>
      <c r="L167" s="10"/>
    </row>
    <row r="168" spans="3:12" ht="18" customHeight="1" x14ac:dyDescent="0.2">
      <c r="D168" s="1" t="s">
        <v>38</v>
      </c>
      <c r="E168" s="11">
        <f>CO!G272</f>
        <v>102.8</v>
      </c>
      <c r="F168" s="10"/>
      <c r="J168" s="1" t="s">
        <v>38</v>
      </c>
      <c r="K168" s="11">
        <f>CO!N272</f>
        <v>102.8</v>
      </c>
      <c r="L168" s="10"/>
    </row>
    <row r="169" spans="3:12" ht="18" customHeight="1" x14ac:dyDescent="0.2">
      <c r="C169" s="10">
        <v>5</v>
      </c>
      <c r="D169" s="1" t="s">
        <v>37</v>
      </c>
      <c r="E169" s="11">
        <f>CO!G273</f>
        <v>26.400000000000002</v>
      </c>
      <c r="F169" s="10"/>
      <c r="J169" s="1" t="s">
        <v>37</v>
      </c>
      <c r="K169" s="11">
        <f>CO!N273</f>
        <v>26.400000000000002</v>
      </c>
      <c r="L169" s="10"/>
    </row>
    <row r="170" spans="3:12" ht="18" customHeight="1" x14ac:dyDescent="0.2">
      <c r="D170" s="1" t="s">
        <v>36</v>
      </c>
      <c r="E170" s="11">
        <f>CO!G274</f>
        <v>237.6</v>
      </c>
      <c r="F170" s="10"/>
      <c r="J170" s="1" t="s">
        <v>36</v>
      </c>
      <c r="K170" s="11">
        <f>CO!N274</f>
        <v>237.6</v>
      </c>
      <c r="L170" s="10"/>
    </row>
    <row r="171" spans="3:12" ht="18" customHeight="1" x14ac:dyDescent="0.2">
      <c r="D171" s="1" t="s">
        <v>38</v>
      </c>
      <c r="E171" s="11">
        <f>CO!G275</f>
        <v>102.8</v>
      </c>
      <c r="F171" s="10"/>
      <c r="J171" s="1" t="s">
        <v>38</v>
      </c>
      <c r="K171" s="11">
        <f>CO!N275</f>
        <v>102.8</v>
      </c>
      <c r="L171" s="10"/>
    </row>
    <row r="172" spans="3:12" ht="18" customHeight="1" x14ac:dyDescent="0.2">
      <c r="C172" s="10">
        <v>4</v>
      </c>
      <c r="D172" s="1" t="s">
        <v>37</v>
      </c>
      <c r="E172" s="11">
        <f>CO!G276</f>
        <v>26.400000000000002</v>
      </c>
      <c r="F172" s="10"/>
      <c r="J172" s="1" t="s">
        <v>37</v>
      </c>
      <c r="K172" s="11">
        <f>CO!N276</f>
        <v>26.400000000000002</v>
      </c>
      <c r="L172" s="10"/>
    </row>
    <row r="173" spans="3:12" ht="18" customHeight="1" x14ac:dyDescent="0.2">
      <c r="D173" s="1" t="s">
        <v>36</v>
      </c>
      <c r="E173" s="11">
        <f>CO!G277</f>
        <v>237.6</v>
      </c>
      <c r="F173" s="10"/>
      <c r="J173" s="1" t="s">
        <v>36</v>
      </c>
      <c r="K173" s="11">
        <f>CO!N277</f>
        <v>237.6</v>
      </c>
      <c r="L173" s="10"/>
    </row>
    <row r="174" spans="3:12" ht="18" customHeight="1" x14ac:dyDescent="0.2">
      <c r="D174" s="1" t="s">
        <v>38</v>
      </c>
      <c r="E174" s="11">
        <f>CO!G278</f>
        <v>102.8</v>
      </c>
      <c r="F174" s="10"/>
      <c r="J174" s="1" t="s">
        <v>38</v>
      </c>
      <c r="K174" s="11">
        <f>CO!N278</f>
        <v>102.8</v>
      </c>
      <c r="L174" s="10"/>
    </row>
    <row r="175" spans="3:12" ht="18" customHeight="1" x14ac:dyDescent="0.2">
      <c r="C175" s="10">
        <v>3</v>
      </c>
      <c r="D175" s="1" t="s">
        <v>37</v>
      </c>
      <c r="E175" s="11">
        <f>CO!G279</f>
        <v>26.400000000000002</v>
      </c>
      <c r="F175" s="10"/>
      <c r="J175" s="1" t="s">
        <v>37</v>
      </c>
      <c r="K175" s="11">
        <f>CO!N279</f>
        <v>26.400000000000002</v>
      </c>
      <c r="L175" s="10"/>
    </row>
    <row r="176" spans="3:12" ht="18" customHeight="1" x14ac:dyDescent="0.2">
      <c r="D176" s="1" t="s">
        <v>36</v>
      </c>
      <c r="E176" s="11">
        <f>CO!G280</f>
        <v>237.6</v>
      </c>
      <c r="F176" s="10"/>
      <c r="J176" s="1" t="s">
        <v>36</v>
      </c>
      <c r="K176" s="11">
        <f>CO!N280</f>
        <v>237.6</v>
      </c>
      <c r="L176" s="10"/>
    </row>
    <row r="177" spans="3:20" ht="18" customHeight="1" x14ac:dyDescent="0.2">
      <c r="D177" s="1" t="s">
        <v>38</v>
      </c>
      <c r="E177" s="11">
        <f>CO!G281</f>
        <v>102.8</v>
      </c>
      <c r="F177" s="10"/>
      <c r="J177" s="1" t="s">
        <v>38</v>
      </c>
      <c r="K177" s="11">
        <f>CO!N281</f>
        <v>102.8</v>
      </c>
      <c r="L177" s="10"/>
    </row>
    <row r="178" spans="3:20" ht="18" customHeight="1" x14ac:dyDescent="0.2">
      <c r="C178" s="10">
        <v>2</v>
      </c>
      <c r="D178" s="1" t="s">
        <v>37</v>
      </c>
      <c r="E178" s="11">
        <f>CO!G282</f>
        <v>26.400000000000002</v>
      </c>
      <c r="F178" s="10"/>
      <c r="J178" s="1" t="s">
        <v>37</v>
      </c>
      <c r="K178" s="11">
        <f>CO!N282</f>
        <v>26.400000000000002</v>
      </c>
      <c r="L178" s="10"/>
    </row>
    <row r="179" spans="3:20" ht="18" customHeight="1" x14ac:dyDescent="0.2">
      <c r="D179" s="1" t="s">
        <v>36</v>
      </c>
      <c r="E179" s="11">
        <f>CO!G283</f>
        <v>237.6</v>
      </c>
      <c r="F179" s="10"/>
      <c r="J179" s="1" t="s">
        <v>36</v>
      </c>
      <c r="K179" s="11">
        <f>CO!N283</f>
        <v>237.6</v>
      </c>
      <c r="L179" s="10"/>
    </row>
    <row r="180" spans="3:20" ht="18" customHeight="1" x14ac:dyDescent="0.2">
      <c r="D180" s="1" t="s">
        <v>38</v>
      </c>
      <c r="E180" s="11">
        <f>CO!G284</f>
        <v>102.8</v>
      </c>
      <c r="F180" s="10"/>
      <c r="J180" s="1" t="s">
        <v>38</v>
      </c>
      <c r="K180" s="11">
        <f>CO!N284</f>
        <v>102.8</v>
      </c>
      <c r="L180" s="10"/>
    </row>
    <row r="181" spans="3:20" ht="18" customHeight="1" x14ac:dyDescent="0.2">
      <c r="C181" s="10">
        <v>1</v>
      </c>
      <c r="D181" s="1" t="s">
        <v>37</v>
      </c>
      <c r="E181" s="11">
        <f>CO!G285</f>
        <v>26.400000000000002</v>
      </c>
      <c r="F181" s="10"/>
      <c r="J181" s="1" t="s">
        <v>37</v>
      </c>
      <c r="K181" s="11">
        <f>CO!N285</f>
        <v>26.400000000000002</v>
      </c>
      <c r="L181" s="10"/>
    </row>
    <row r="182" spans="3:20" ht="18" customHeight="1" x14ac:dyDescent="0.2">
      <c r="D182" s="1" t="s">
        <v>36</v>
      </c>
      <c r="E182" s="11">
        <f>CO!G286</f>
        <v>237.6</v>
      </c>
      <c r="F182" s="10"/>
      <c r="J182" s="1" t="s">
        <v>36</v>
      </c>
      <c r="K182" s="11">
        <f>CO!N286</f>
        <v>237.6</v>
      </c>
      <c r="L182" s="10"/>
    </row>
    <row r="183" spans="3:20" ht="18" customHeight="1" x14ac:dyDescent="0.2">
      <c r="D183" s="1" t="s">
        <v>38</v>
      </c>
      <c r="E183" s="11">
        <f>CO!G287</f>
        <v>102.8</v>
      </c>
      <c r="F183" s="10"/>
      <c r="J183" s="1" t="s">
        <v>38</v>
      </c>
      <c r="K183" s="11">
        <f>CO!N287</f>
        <v>102.8</v>
      </c>
      <c r="L183" s="10"/>
    </row>
    <row r="184" spans="3:20" ht="18" customHeight="1" x14ac:dyDescent="0.2">
      <c r="F184" s="10"/>
      <c r="L184" s="10"/>
    </row>
    <row r="185" spans="3:20" ht="18" customHeight="1" x14ac:dyDescent="0.2">
      <c r="D185" s="35" t="s">
        <v>78</v>
      </c>
      <c r="E185" s="41">
        <f>SUM(E154:E184)</f>
        <v>3668.0000000000009</v>
      </c>
      <c r="F185" s="10"/>
      <c r="J185" s="35" t="s">
        <v>78</v>
      </c>
      <c r="K185" s="41">
        <f>SUM(K154:K184)</f>
        <v>3668.0000000000009</v>
      </c>
      <c r="L185" s="10"/>
    </row>
    <row r="186" spans="3:20" ht="18" customHeight="1" x14ac:dyDescent="0.2">
      <c r="F186" s="10"/>
      <c r="L186" s="10"/>
    </row>
    <row r="187" spans="3:20" ht="18" customHeight="1" x14ac:dyDescent="0.2">
      <c r="F187" s="10"/>
      <c r="L187" s="10"/>
    </row>
    <row r="188" spans="3:20" ht="18" customHeight="1" x14ac:dyDescent="0.2">
      <c r="F188" s="10"/>
      <c r="L188" s="10"/>
    </row>
    <row r="189" spans="3:20" ht="18" customHeight="1" x14ac:dyDescent="0.2">
      <c r="H189" s="10">
        <v>0.59</v>
      </c>
      <c r="I189" s="10">
        <v>0.41</v>
      </c>
    </row>
    <row r="190" spans="3:20" ht="20" customHeight="1" x14ac:dyDescent="0.2">
      <c r="C190" s="10">
        <v>1</v>
      </c>
      <c r="D190" s="1" t="s">
        <v>82</v>
      </c>
      <c r="E190" s="10">
        <v>35</v>
      </c>
      <c r="F190" s="10">
        <v>2.4500000000000002</v>
      </c>
      <c r="G190" s="11">
        <f>(E190*F190)</f>
        <v>85.75</v>
      </c>
      <c r="H190" s="11">
        <f>G190*$H$189</f>
        <v>50.592499999999994</v>
      </c>
      <c r="I190" s="11">
        <f>G190*$I$189</f>
        <v>35.157499999999999</v>
      </c>
      <c r="J190" s="1">
        <f>K192-M191</f>
        <v>781.48</v>
      </c>
      <c r="K190" s="10">
        <v>739</v>
      </c>
    </row>
    <row r="191" spans="3:20" s="10" customFormat="1" ht="20" customHeight="1" x14ac:dyDescent="0.2">
      <c r="D191" s="1" t="s">
        <v>83</v>
      </c>
      <c r="E191" s="10">
        <v>6</v>
      </c>
      <c r="F191" s="10">
        <v>20</v>
      </c>
      <c r="G191" s="11">
        <f>E191*F191</f>
        <v>120</v>
      </c>
      <c r="H191" s="11">
        <f t="shared" ref="H191:H194" si="11">G191*$H$189</f>
        <v>70.8</v>
      </c>
      <c r="I191" s="11">
        <f t="shared" ref="I191:I194" si="12">G191*$I$189</f>
        <v>49.199999999999996</v>
      </c>
      <c r="J191" s="1"/>
      <c r="K191" s="10">
        <v>1346</v>
      </c>
      <c r="L191" s="1">
        <f>K191*0.88+(131)</f>
        <v>1315.48</v>
      </c>
      <c r="M191" s="1">
        <f>K191*0.12</f>
        <v>161.51999999999998</v>
      </c>
      <c r="N191" s="1"/>
      <c r="O191" s="1"/>
      <c r="P191" s="1"/>
      <c r="Q191" s="1"/>
      <c r="R191" s="1"/>
      <c r="S191" s="1"/>
      <c r="T191" s="1"/>
    </row>
    <row r="192" spans="3:20" ht="20" customHeight="1" x14ac:dyDescent="0.2">
      <c r="C192" s="10">
        <v>2</v>
      </c>
      <c r="D192" s="1" t="s">
        <v>82</v>
      </c>
      <c r="E192" s="10">
        <v>27</v>
      </c>
      <c r="F192" s="10">
        <v>6.7</v>
      </c>
      <c r="G192" s="11">
        <f t="shared" ref="G192:G197" si="13">E192*F192</f>
        <v>180.9</v>
      </c>
      <c r="H192" s="11">
        <f t="shared" si="11"/>
        <v>106.73099999999999</v>
      </c>
      <c r="I192" s="11">
        <f t="shared" si="12"/>
        <v>74.168999999999997</v>
      </c>
      <c r="J192" s="1">
        <f>K192-189</f>
        <v>754</v>
      </c>
      <c r="K192" s="10">
        <v>943</v>
      </c>
      <c r="M192" s="1">
        <f>M191/2</f>
        <v>80.759999999999991</v>
      </c>
    </row>
    <row r="193" spans="3:20" ht="20" customHeight="1" x14ac:dyDescent="0.2">
      <c r="C193" s="10">
        <v>3</v>
      </c>
      <c r="D193" s="1" t="s">
        <v>82</v>
      </c>
      <c r="E193" s="10">
        <f>E192</f>
        <v>27</v>
      </c>
      <c r="F193" s="10">
        <v>17.5</v>
      </c>
      <c r="G193" s="11">
        <f t="shared" si="13"/>
        <v>472.5</v>
      </c>
      <c r="H193" s="11">
        <f t="shared" si="11"/>
        <v>278.77499999999998</v>
      </c>
      <c r="I193" s="11">
        <f t="shared" si="12"/>
        <v>193.72499999999999</v>
      </c>
      <c r="J193" s="1">
        <f>J192/F193</f>
        <v>43.085714285714289</v>
      </c>
      <c r="K193" s="10">
        <v>1477</v>
      </c>
    </row>
    <row r="194" spans="3:20" s="10" customFormat="1" ht="20" customHeight="1" x14ac:dyDescent="0.2">
      <c r="C194" s="10">
        <v>4</v>
      </c>
      <c r="D194" s="1" t="s">
        <v>82</v>
      </c>
      <c r="E194" s="10">
        <f>E192</f>
        <v>27</v>
      </c>
      <c r="F194" s="10">
        <v>6.7</v>
      </c>
      <c r="G194" s="11">
        <f t="shared" ref="G194" si="14">E194*F194</f>
        <v>180.9</v>
      </c>
      <c r="H194" s="11">
        <f t="shared" si="11"/>
        <v>106.73099999999999</v>
      </c>
      <c r="I194" s="11">
        <f t="shared" si="12"/>
        <v>74.168999999999997</v>
      </c>
      <c r="J194" s="1"/>
      <c r="K194" s="10">
        <f>SUM(K190:K193)</f>
        <v>4505</v>
      </c>
      <c r="L194" s="1"/>
      <c r="M194" s="1"/>
      <c r="N194" s="1"/>
      <c r="O194" s="1"/>
      <c r="P194" s="1"/>
      <c r="Q194" s="1"/>
      <c r="R194" s="1"/>
      <c r="S194" s="1"/>
      <c r="T194" s="1"/>
    </row>
    <row r="195" spans="3:20" s="10" customFormat="1" ht="20" customHeight="1" x14ac:dyDescent="0.2">
      <c r="C195" s="10">
        <v>5</v>
      </c>
      <c r="D195" s="1" t="s">
        <v>82</v>
      </c>
      <c r="E195" s="10">
        <f>E190</f>
        <v>35</v>
      </c>
      <c r="F195" s="10">
        <v>1.66</v>
      </c>
      <c r="G195" s="11">
        <f t="shared" si="13"/>
        <v>58.099999999999994</v>
      </c>
      <c r="H195" s="11">
        <f>SUM(G190:G195)</f>
        <v>1098.1499999999999</v>
      </c>
      <c r="J195" s="7">
        <f>J190-G192</f>
        <v>600.58000000000004</v>
      </c>
      <c r="L195" s="1"/>
      <c r="M195" s="1"/>
      <c r="N195" s="1"/>
      <c r="O195" s="1"/>
      <c r="P195" s="1"/>
      <c r="Q195" s="1"/>
      <c r="R195" s="1"/>
      <c r="S195" s="1"/>
      <c r="T195" s="1"/>
    </row>
    <row r="196" spans="3:20" s="10" customFormat="1" ht="20" customHeight="1" x14ac:dyDescent="0.2">
      <c r="D196" s="1" t="s">
        <v>52</v>
      </c>
      <c r="E196" s="10">
        <v>20.5</v>
      </c>
      <c r="F196" s="10">
        <v>10</v>
      </c>
      <c r="G196" s="11">
        <v>0</v>
      </c>
      <c r="H196" s="11"/>
      <c r="J196" s="1"/>
      <c r="K196" s="10">
        <f>37*35</f>
        <v>1295</v>
      </c>
      <c r="L196" s="1"/>
      <c r="M196" s="1"/>
      <c r="N196" s="1"/>
      <c r="O196" s="1"/>
      <c r="P196" s="1"/>
      <c r="Q196" s="1"/>
      <c r="R196" s="1"/>
      <c r="S196" s="1"/>
      <c r="T196" s="1"/>
    </row>
    <row r="197" spans="3:20" s="10" customFormat="1" ht="20" customHeight="1" x14ac:dyDescent="0.2">
      <c r="C197" s="10">
        <v>6</v>
      </c>
      <c r="D197" s="1" t="s">
        <v>82</v>
      </c>
      <c r="E197" s="10">
        <f>E190</f>
        <v>35</v>
      </c>
      <c r="F197" s="10">
        <v>33</v>
      </c>
      <c r="G197" s="11">
        <f t="shared" si="13"/>
        <v>1155</v>
      </c>
      <c r="J197" s="1"/>
      <c r="K197" s="10">
        <f>1.75*34*2</f>
        <v>119</v>
      </c>
      <c r="L197" s="1"/>
      <c r="M197" s="1"/>
      <c r="N197" s="1"/>
      <c r="O197" s="1"/>
      <c r="P197" s="1"/>
      <c r="Q197" s="1"/>
      <c r="R197" s="1"/>
      <c r="S197" s="1"/>
      <c r="T197" s="1"/>
    </row>
    <row r="198" spans="3:20" s="10" customFormat="1" ht="20" customHeight="1" x14ac:dyDescent="0.2">
      <c r="C198" s="10">
        <v>7</v>
      </c>
      <c r="D198" s="1" t="s">
        <v>82</v>
      </c>
      <c r="E198" s="10">
        <f>E190</f>
        <v>35</v>
      </c>
      <c r="F198" s="10">
        <f>F195</f>
        <v>1.66</v>
      </c>
      <c r="G198" s="11">
        <f t="shared" ref="G198" si="15">E198*F198</f>
        <v>58.099999999999994</v>
      </c>
      <c r="J198" s="1"/>
      <c r="K198" s="10">
        <f>SUM(K196:K197)</f>
        <v>1414</v>
      </c>
      <c r="L198" s="1"/>
      <c r="M198" s="1"/>
      <c r="N198" s="1"/>
      <c r="O198" s="1"/>
      <c r="P198" s="1"/>
      <c r="Q198" s="1"/>
      <c r="R198" s="1"/>
      <c r="S198" s="1"/>
      <c r="T198" s="1"/>
    </row>
    <row r="199" spans="3:20" s="10" customFormat="1" ht="20" customHeight="1" x14ac:dyDescent="0.2">
      <c r="D199" s="1" t="s">
        <v>83</v>
      </c>
      <c r="E199" s="10">
        <v>6</v>
      </c>
      <c r="F199" s="10">
        <v>20</v>
      </c>
      <c r="G199" s="11">
        <f>E199*F199</f>
        <v>120</v>
      </c>
      <c r="J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3:20" ht="20" customHeight="1" x14ac:dyDescent="0.2">
      <c r="C200" s="10">
        <v>8</v>
      </c>
      <c r="D200" s="1" t="s">
        <v>82</v>
      </c>
      <c r="E200" s="10">
        <f>E192</f>
        <v>27</v>
      </c>
      <c r="F200" s="10">
        <v>6.7</v>
      </c>
      <c r="G200" s="11">
        <f t="shared" ref="G200" si="16">E200*F200</f>
        <v>180.9</v>
      </c>
      <c r="K200" s="10">
        <f>18*38</f>
        <v>684</v>
      </c>
    </row>
    <row r="201" spans="3:20" ht="20" customHeight="1" x14ac:dyDescent="0.2">
      <c r="C201" s="10">
        <v>9</v>
      </c>
      <c r="D201" s="1" t="s">
        <v>82</v>
      </c>
      <c r="E201" s="10">
        <f>E192</f>
        <v>27</v>
      </c>
      <c r="F201" s="10">
        <f>F193</f>
        <v>17.5</v>
      </c>
      <c r="G201" s="11">
        <f t="shared" ref="G201:G204" si="17">E201*F201</f>
        <v>472.5</v>
      </c>
    </row>
    <row r="202" spans="3:20" ht="20" customHeight="1" x14ac:dyDescent="0.2">
      <c r="C202" s="10">
        <v>10</v>
      </c>
      <c r="D202" s="1" t="s">
        <v>82</v>
      </c>
      <c r="E202" s="10">
        <f>E192</f>
        <v>27</v>
      </c>
      <c r="F202" s="10">
        <v>6.7</v>
      </c>
      <c r="G202" s="11">
        <f t="shared" si="17"/>
        <v>180.9</v>
      </c>
    </row>
    <row r="203" spans="3:20" ht="20" customHeight="1" x14ac:dyDescent="0.2">
      <c r="C203" s="10">
        <v>11</v>
      </c>
      <c r="D203" s="1" t="s">
        <v>82</v>
      </c>
      <c r="E203" s="10">
        <f>E190</f>
        <v>35</v>
      </c>
      <c r="F203" s="10">
        <v>2.4500000000000002</v>
      </c>
      <c r="G203" s="11">
        <f>(E203*F203)</f>
        <v>85.75</v>
      </c>
    </row>
    <row r="204" spans="3:20" ht="20" customHeight="1" x14ac:dyDescent="0.2">
      <c r="C204" s="10">
        <v>12</v>
      </c>
      <c r="D204" s="1" t="s">
        <v>82</v>
      </c>
      <c r="E204" s="10">
        <f>E190</f>
        <v>35</v>
      </c>
      <c r="F204" s="10">
        <v>33</v>
      </c>
      <c r="G204" s="11">
        <f t="shared" si="17"/>
        <v>1155</v>
      </c>
      <c r="H204" s="11"/>
    </row>
    <row r="205" spans="3:20" ht="20" customHeight="1" x14ac:dyDescent="0.2">
      <c r="G205" s="11">
        <f>SUM(G190:G204)</f>
        <v>4506.2999999999993</v>
      </c>
    </row>
    <row r="206" spans="3:20" ht="20" customHeight="1" x14ac:dyDescent="0.2"/>
    <row r="207" spans="3:20" ht="20" customHeight="1" x14ac:dyDescent="0.2"/>
  </sheetData>
  <mergeCells count="3">
    <mergeCell ref="A1:C1"/>
    <mergeCell ref="A2:D2"/>
    <mergeCell ref="H2:J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F3F2C-3AAC-4DB3-B91E-820661E331A9}">
  <sheetPr>
    <tabColor rgb="FFA7C9D2"/>
  </sheetPr>
  <dimension ref="A1:V73"/>
  <sheetViews>
    <sheetView zoomScale="70" zoomScaleNormal="70" workbookViewId="0">
      <pane xSplit="4" ySplit="4" topLeftCell="E5" activePane="bottomRight" state="frozen"/>
      <selection activeCell="AC40" sqref="AC40"/>
      <selection pane="topRight" activeCell="AC40" sqref="AC40"/>
      <selection pane="bottomLeft" activeCell="AC40" sqref="AC40"/>
      <selection pane="bottomRight" activeCell="M18" sqref="M18"/>
    </sheetView>
  </sheetViews>
  <sheetFormatPr baseColWidth="10" defaultColWidth="11.5" defaultRowHeight="14" x14ac:dyDescent="0.2"/>
  <cols>
    <col min="1" max="1" width="13.5" style="10" customWidth="1"/>
    <col min="2" max="2" width="10.6640625" style="10" customWidth="1"/>
    <col min="3" max="3" width="38.5" style="1" customWidth="1"/>
    <col min="4" max="5" width="12.6640625" style="10" customWidth="1"/>
    <col min="6" max="6" width="10.6640625" style="10" customWidth="1"/>
    <col min="7" max="7" width="12.6640625" style="1" customWidth="1"/>
    <col min="8" max="8" width="10.6640625" style="1" customWidth="1"/>
    <col min="9" max="22" width="12.6640625" style="1" customWidth="1"/>
    <col min="23" max="16384" width="11.5" style="1"/>
  </cols>
  <sheetData>
    <row r="1" spans="1:22" ht="41.5" customHeight="1" x14ac:dyDescent="0.2">
      <c r="A1" s="313" t="s">
        <v>282</v>
      </c>
      <c r="B1" s="313"/>
      <c r="C1" s="313"/>
      <c r="D1" s="313"/>
      <c r="E1" s="313"/>
      <c r="F1" s="313"/>
      <c r="G1" s="313"/>
      <c r="H1" s="313"/>
      <c r="I1" s="313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spans="1:22" ht="25.25" customHeight="1" x14ac:dyDescent="0.2">
      <c r="A2" s="2"/>
      <c r="B2" s="2"/>
      <c r="C2" s="3"/>
      <c r="D2" s="2"/>
      <c r="E2" s="310" t="s">
        <v>266</v>
      </c>
      <c r="F2" s="310"/>
      <c r="G2" s="310" t="s">
        <v>272</v>
      </c>
      <c r="H2" s="311"/>
      <c r="I2" s="310" t="s">
        <v>271</v>
      </c>
      <c r="J2" s="311"/>
      <c r="K2" s="310" t="s">
        <v>273</v>
      </c>
      <c r="L2" s="311"/>
      <c r="M2" s="310" t="s">
        <v>274</v>
      </c>
      <c r="N2" s="311"/>
      <c r="O2" s="310" t="s">
        <v>275</v>
      </c>
      <c r="P2" s="311"/>
      <c r="Q2" s="310" t="s">
        <v>276</v>
      </c>
      <c r="R2" s="311"/>
      <c r="S2" s="117"/>
      <c r="T2" s="117"/>
      <c r="U2" s="117"/>
      <c r="V2" s="117"/>
    </row>
    <row r="3" spans="1:22" ht="47" customHeight="1" x14ac:dyDescent="0.2">
      <c r="A3" s="2" t="s">
        <v>87</v>
      </c>
      <c r="B3" s="2" t="s">
        <v>86</v>
      </c>
      <c r="C3" s="2" t="s">
        <v>35</v>
      </c>
      <c r="D3" s="2" t="s">
        <v>15</v>
      </c>
      <c r="E3" s="312" t="s">
        <v>17</v>
      </c>
      <c r="F3" s="312"/>
      <c r="G3" s="312" t="s">
        <v>18</v>
      </c>
      <c r="H3" s="312"/>
      <c r="I3" s="312" t="s">
        <v>80</v>
      </c>
      <c r="J3" s="312"/>
      <c r="K3" s="312" t="s">
        <v>81</v>
      </c>
      <c r="L3" s="312"/>
      <c r="M3" s="312" t="s">
        <v>89</v>
      </c>
      <c r="N3" s="312"/>
      <c r="O3" s="312" t="s">
        <v>130</v>
      </c>
      <c r="P3" s="312"/>
      <c r="Q3" s="312" t="s">
        <v>131</v>
      </c>
      <c r="R3" s="312"/>
      <c r="S3" s="306" t="s">
        <v>19</v>
      </c>
      <c r="T3" s="306"/>
      <c r="U3" s="306" t="s">
        <v>240</v>
      </c>
      <c r="V3" s="306"/>
    </row>
    <row r="4" spans="1:22" ht="23" customHeight="1" x14ac:dyDescent="0.2">
      <c r="A4" s="43"/>
      <c r="B4" s="43"/>
      <c r="C4" s="43"/>
      <c r="D4" s="43"/>
      <c r="E4" s="44" t="s">
        <v>15</v>
      </c>
      <c r="F4" s="44" t="s">
        <v>16</v>
      </c>
      <c r="G4" s="44" t="s">
        <v>15</v>
      </c>
      <c r="H4" s="44" t="s">
        <v>16</v>
      </c>
      <c r="I4" s="44" t="s">
        <v>15</v>
      </c>
      <c r="J4" s="44" t="s">
        <v>16</v>
      </c>
      <c r="K4" s="44" t="s">
        <v>15</v>
      </c>
      <c r="L4" s="44" t="s">
        <v>16</v>
      </c>
      <c r="M4" s="44" t="s">
        <v>15</v>
      </c>
      <c r="N4" s="44" t="s">
        <v>16</v>
      </c>
      <c r="O4" s="44" t="s">
        <v>15</v>
      </c>
      <c r="P4" s="44" t="s">
        <v>16</v>
      </c>
      <c r="Q4" s="44" t="s">
        <v>15</v>
      </c>
      <c r="R4" s="44" t="s">
        <v>16</v>
      </c>
      <c r="S4" s="45" t="s">
        <v>15</v>
      </c>
      <c r="T4" s="45" t="s">
        <v>16</v>
      </c>
      <c r="U4" s="44" t="s">
        <v>15</v>
      </c>
      <c r="V4" s="44" t="s">
        <v>16</v>
      </c>
    </row>
    <row r="5" spans="1:22" ht="20" customHeight="1" x14ac:dyDescent="0.2">
      <c r="A5" s="8" t="s">
        <v>265</v>
      </c>
      <c r="B5" s="8">
        <v>1</v>
      </c>
      <c r="C5" s="1" t="s">
        <v>90</v>
      </c>
      <c r="D5" s="11">
        <v>68.2</v>
      </c>
      <c r="E5" s="11">
        <f t="shared" ref="E5:E13" si="0">D5*F5</f>
        <v>0</v>
      </c>
      <c r="F5" s="23">
        <v>0</v>
      </c>
      <c r="G5" s="11">
        <f t="shared" ref="G5:G14" si="1">D5*H5</f>
        <v>0</v>
      </c>
      <c r="H5" s="23">
        <v>0</v>
      </c>
      <c r="I5" s="11">
        <f t="shared" ref="I5:I14" si="2">D5*J5</f>
        <v>0</v>
      </c>
      <c r="J5" s="23">
        <v>0</v>
      </c>
      <c r="K5" s="11">
        <f t="shared" ref="K5:K14" si="3">D5*L5</f>
        <v>0</v>
      </c>
      <c r="L5" s="23">
        <v>0</v>
      </c>
      <c r="M5" s="11">
        <f t="shared" ref="M5:M14" si="4">N5*D5</f>
        <v>0</v>
      </c>
      <c r="N5" s="23">
        <v>0</v>
      </c>
      <c r="O5" s="11">
        <f t="shared" ref="O5:O14" si="5">P5*D5</f>
        <v>68.2</v>
      </c>
      <c r="P5" s="23">
        <v>1</v>
      </c>
      <c r="Q5" s="11">
        <f t="shared" ref="Q5:Q14" si="6">R5*D5</f>
        <v>0</v>
      </c>
      <c r="R5" s="23">
        <v>0</v>
      </c>
      <c r="S5" s="46">
        <f t="shared" ref="S5:S14" si="7">E5+G5+I5+K5+M5+O5+Q5</f>
        <v>68.2</v>
      </c>
      <c r="T5" s="47">
        <f t="shared" ref="T5:T14" si="8">S5/D5</f>
        <v>1</v>
      </c>
      <c r="U5" s="48">
        <f t="shared" ref="U5:U14" si="9">E5+G5+I5+K5+M5</f>
        <v>0</v>
      </c>
      <c r="V5" s="165">
        <f t="shared" ref="V5:V14" si="10">U5/D5</f>
        <v>0</v>
      </c>
    </row>
    <row r="6" spans="1:22" ht="20" customHeight="1" x14ac:dyDescent="0.2">
      <c r="A6" s="8"/>
      <c r="B6" s="8"/>
      <c r="C6" s="1" t="s">
        <v>91</v>
      </c>
      <c r="D6" s="11">
        <v>6</v>
      </c>
      <c r="E6" s="11">
        <f t="shared" ref="E6" si="11">D6*F6</f>
        <v>0</v>
      </c>
      <c r="F6" s="23">
        <v>0</v>
      </c>
      <c r="G6" s="11">
        <f t="shared" si="1"/>
        <v>0</v>
      </c>
      <c r="H6" s="23">
        <v>0</v>
      </c>
      <c r="I6" s="11">
        <f t="shared" si="2"/>
        <v>0</v>
      </c>
      <c r="J6" s="23">
        <v>0</v>
      </c>
      <c r="K6" s="11">
        <f t="shared" si="3"/>
        <v>0</v>
      </c>
      <c r="L6" s="23">
        <v>0</v>
      </c>
      <c r="M6" s="11">
        <f t="shared" si="4"/>
        <v>0</v>
      </c>
      <c r="N6" s="23">
        <v>0</v>
      </c>
      <c r="O6" s="11">
        <f t="shared" si="5"/>
        <v>6</v>
      </c>
      <c r="P6" s="23">
        <v>1</v>
      </c>
      <c r="Q6" s="11">
        <f t="shared" si="6"/>
        <v>0</v>
      </c>
      <c r="R6" s="23">
        <v>0</v>
      </c>
      <c r="S6" s="46">
        <f t="shared" si="7"/>
        <v>6</v>
      </c>
      <c r="T6" s="47">
        <f t="shared" si="8"/>
        <v>1</v>
      </c>
      <c r="U6" s="48">
        <f t="shared" si="9"/>
        <v>0</v>
      </c>
      <c r="V6" s="165">
        <f t="shared" si="10"/>
        <v>0</v>
      </c>
    </row>
    <row r="7" spans="1:22" ht="20" customHeight="1" x14ac:dyDescent="0.2">
      <c r="B7" s="8">
        <v>2</v>
      </c>
      <c r="C7" s="1" t="s">
        <v>90</v>
      </c>
      <c r="D7" s="11">
        <v>33.799999999999997</v>
      </c>
      <c r="E7" s="11">
        <f t="shared" si="0"/>
        <v>0</v>
      </c>
      <c r="F7" s="23">
        <v>0</v>
      </c>
      <c r="G7" s="11">
        <f t="shared" si="1"/>
        <v>0</v>
      </c>
      <c r="H7" s="23">
        <v>0</v>
      </c>
      <c r="I7" s="11">
        <f t="shared" si="2"/>
        <v>0</v>
      </c>
      <c r="J7" s="23">
        <v>0</v>
      </c>
      <c r="K7" s="11">
        <f t="shared" si="3"/>
        <v>0</v>
      </c>
      <c r="L7" s="23">
        <v>0</v>
      </c>
      <c r="M7" s="11">
        <f t="shared" si="4"/>
        <v>0</v>
      </c>
      <c r="N7" s="23">
        <v>0</v>
      </c>
      <c r="O7" s="11">
        <f t="shared" si="5"/>
        <v>33.799999999999997</v>
      </c>
      <c r="P7" s="23">
        <v>1</v>
      </c>
      <c r="Q7" s="11">
        <f t="shared" si="6"/>
        <v>0</v>
      </c>
      <c r="R7" s="23">
        <v>0</v>
      </c>
      <c r="S7" s="46">
        <f t="shared" si="7"/>
        <v>33.799999999999997</v>
      </c>
      <c r="T7" s="47">
        <f t="shared" si="8"/>
        <v>1</v>
      </c>
      <c r="U7" s="48">
        <f t="shared" si="9"/>
        <v>0</v>
      </c>
      <c r="V7" s="165">
        <f t="shared" si="10"/>
        <v>0</v>
      </c>
    </row>
    <row r="8" spans="1:22" ht="20" customHeight="1" x14ac:dyDescent="0.2">
      <c r="B8" s="8"/>
      <c r="C8" s="1" t="s">
        <v>91</v>
      </c>
      <c r="D8" s="11">
        <v>8.64</v>
      </c>
      <c r="E8" s="11">
        <f t="shared" ref="E8" si="12">D8*F8</f>
        <v>0</v>
      </c>
      <c r="F8" s="23">
        <v>0</v>
      </c>
      <c r="G8" s="11">
        <f t="shared" si="1"/>
        <v>0</v>
      </c>
      <c r="H8" s="23">
        <v>0</v>
      </c>
      <c r="I8" s="11">
        <f t="shared" si="2"/>
        <v>0</v>
      </c>
      <c r="J8" s="23">
        <v>0</v>
      </c>
      <c r="K8" s="11">
        <f t="shared" si="3"/>
        <v>0</v>
      </c>
      <c r="L8" s="23">
        <v>0</v>
      </c>
      <c r="M8" s="11">
        <f t="shared" si="4"/>
        <v>0</v>
      </c>
      <c r="N8" s="23">
        <v>0</v>
      </c>
      <c r="O8" s="11">
        <f t="shared" si="5"/>
        <v>0</v>
      </c>
      <c r="P8" s="23">
        <v>0</v>
      </c>
      <c r="Q8" s="11">
        <f t="shared" si="6"/>
        <v>8.64</v>
      </c>
      <c r="R8" s="23">
        <v>1</v>
      </c>
      <c r="S8" s="46">
        <f t="shared" si="7"/>
        <v>8.64</v>
      </c>
      <c r="T8" s="47">
        <f t="shared" si="8"/>
        <v>1</v>
      </c>
      <c r="U8" s="48">
        <f t="shared" si="9"/>
        <v>0</v>
      </c>
      <c r="V8" s="165">
        <f t="shared" si="10"/>
        <v>0</v>
      </c>
    </row>
    <row r="9" spans="1:22" ht="20" customHeight="1" x14ac:dyDescent="0.2">
      <c r="B9" s="8">
        <v>3</v>
      </c>
      <c r="C9" s="1" t="s">
        <v>90</v>
      </c>
      <c r="D9" s="11">
        <v>60.9</v>
      </c>
      <c r="E9" s="11">
        <f t="shared" si="0"/>
        <v>0</v>
      </c>
      <c r="F9" s="23">
        <v>0</v>
      </c>
      <c r="G9" s="11">
        <f t="shared" si="1"/>
        <v>0</v>
      </c>
      <c r="H9" s="23">
        <v>0</v>
      </c>
      <c r="I9" s="11">
        <f t="shared" si="2"/>
        <v>45.674999999999997</v>
      </c>
      <c r="J9" s="23">
        <v>0.75</v>
      </c>
      <c r="K9" s="11">
        <f t="shared" si="3"/>
        <v>60.9</v>
      </c>
      <c r="L9" s="23">
        <v>1</v>
      </c>
      <c r="M9" s="11">
        <f t="shared" si="4"/>
        <v>0</v>
      </c>
      <c r="N9" s="23">
        <v>0</v>
      </c>
      <c r="O9" s="11">
        <f t="shared" si="5"/>
        <v>0</v>
      </c>
      <c r="P9" s="23">
        <v>0</v>
      </c>
      <c r="Q9" s="11">
        <f t="shared" si="6"/>
        <v>0</v>
      </c>
      <c r="R9" s="23">
        <v>0</v>
      </c>
      <c r="S9" s="46">
        <f t="shared" si="7"/>
        <v>106.57499999999999</v>
      </c>
      <c r="T9" s="47">
        <f t="shared" si="8"/>
        <v>1.7499999999999998</v>
      </c>
      <c r="U9" s="48">
        <f t="shared" si="9"/>
        <v>106.57499999999999</v>
      </c>
      <c r="V9" s="165">
        <f t="shared" si="10"/>
        <v>1.7499999999999998</v>
      </c>
    </row>
    <row r="10" spans="1:22" ht="20" customHeight="1" x14ac:dyDescent="0.2">
      <c r="B10" s="8"/>
      <c r="C10" s="1" t="s">
        <v>91</v>
      </c>
      <c r="D10" s="11">
        <v>1</v>
      </c>
      <c r="E10" s="11">
        <f t="shared" ref="E10" si="13">D10*F10</f>
        <v>0</v>
      </c>
      <c r="F10" s="23">
        <v>0</v>
      </c>
      <c r="G10" s="11">
        <f t="shared" si="1"/>
        <v>0</v>
      </c>
      <c r="H10" s="23">
        <v>0</v>
      </c>
      <c r="I10" s="11">
        <f t="shared" si="2"/>
        <v>1</v>
      </c>
      <c r="J10" s="23">
        <v>1</v>
      </c>
      <c r="K10" s="11">
        <f t="shared" si="3"/>
        <v>0</v>
      </c>
      <c r="L10" s="23">
        <v>0</v>
      </c>
      <c r="M10" s="11">
        <f t="shared" si="4"/>
        <v>0</v>
      </c>
      <c r="N10" s="23">
        <v>0</v>
      </c>
      <c r="O10" s="11">
        <f t="shared" si="5"/>
        <v>0</v>
      </c>
      <c r="P10" s="23">
        <v>0</v>
      </c>
      <c r="Q10" s="11">
        <f t="shared" si="6"/>
        <v>0</v>
      </c>
      <c r="R10" s="23">
        <v>0</v>
      </c>
      <c r="S10" s="46">
        <f t="shared" si="7"/>
        <v>1</v>
      </c>
      <c r="T10" s="47">
        <f t="shared" si="8"/>
        <v>1</v>
      </c>
      <c r="U10" s="48">
        <f t="shared" si="9"/>
        <v>1</v>
      </c>
      <c r="V10" s="165">
        <f t="shared" si="10"/>
        <v>1</v>
      </c>
    </row>
    <row r="11" spans="1:22" ht="20" customHeight="1" x14ac:dyDescent="0.2">
      <c r="B11" s="8">
        <v>4</v>
      </c>
      <c r="C11" s="1" t="s">
        <v>90</v>
      </c>
      <c r="D11" s="11">
        <v>33.799999999999997</v>
      </c>
      <c r="E11" s="11">
        <f t="shared" si="0"/>
        <v>0</v>
      </c>
      <c r="F11" s="23">
        <v>0</v>
      </c>
      <c r="G11" s="11">
        <f t="shared" si="1"/>
        <v>16.899999999999999</v>
      </c>
      <c r="H11" s="23">
        <v>0.5</v>
      </c>
      <c r="I11" s="11">
        <f t="shared" si="2"/>
        <v>16.899999999999999</v>
      </c>
      <c r="J11" s="23">
        <v>0.5</v>
      </c>
      <c r="K11" s="11">
        <f t="shared" si="3"/>
        <v>33.799999999999997</v>
      </c>
      <c r="L11" s="23">
        <v>1</v>
      </c>
      <c r="M11" s="11">
        <f t="shared" si="4"/>
        <v>0</v>
      </c>
      <c r="N11" s="23">
        <v>0</v>
      </c>
      <c r="O11" s="11">
        <f t="shared" si="5"/>
        <v>0</v>
      </c>
      <c r="P11" s="23">
        <v>0</v>
      </c>
      <c r="Q11" s="11">
        <f t="shared" si="6"/>
        <v>0</v>
      </c>
      <c r="R11" s="23">
        <v>0</v>
      </c>
      <c r="S11" s="46">
        <f t="shared" si="7"/>
        <v>67.599999999999994</v>
      </c>
      <c r="T11" s="47">
        <f t="shared" si="8"/>
        <v>2</v>
      </c>
      <c r="U11" s="48">
        <f t="shared" si="9"/>
        <v>67.599999999999994</v>
      </c>
      <c r="V11" s="165">
        <f t="shared" si="10"/>
        <v>2</v>
      </c>
    </row>
    <row r="12" spans="1:22" ht="20" customHeight="1" x14ac:dyDescent="0.2">
      <c r="B12" s="8"/>
      <c r="C12" s="1" t="s">
        <v>91</v>
      </c>
      <c r="D12" s="11">
        <v>8.64</v>
      </c>
      <c r="E12" s="11">
        <f t="shared" ref="E12" si="14">D12*F12</f>
        <v>0</v>
      </c>
      <c r="F12" s="23">
        <v>0</v>
      </c>
      <c r="G12" s="11">
        <f t="shared" si="1"/>
        <v>4.32</v>
      </c>
      <c r="H12" s="23">
        <v>0.5</v>
      </c>
      <c r="I12" s="11">
        <f t="shared" si="2"/>
        <v>4.32</v>
      </c>
      <c r="J12" s="23">
        <v>0.5</v>
      </c>
      <c r="K12" s="11">
        <f t="shared" si="3"/>
        <v>0</v>
      </c>
      <c r="L12" s="23">
        <v>0</v>
      </c>
      <c r="M12" s="11">
        <f t="shared" si="4"/>
        <v>0</v>
      </c>
      <c r="N12" s="23">
        <v>0</v>
      </c>
      <c r="O12" s="11">
        <f t="shared" si="5"/>
        <v>0</v>
      </c>
      <c r="P12" s="23">
        <v>0</v>
      </c>
      <c r="Q12" s="11">
        <f t="shared" si="6"/>
        <v>0</v>
      </c>
      <c r="R12" s="23">
        <v>0</v>
      </c>
      <c r="S12" s="46">
        <f t="shared" si="7"/>
        <v>8.64</v>
      </c>
      <c r="T12" s="47">
        <f t="shared" si="8"/>
        <v>1</v>
      </c>
      <c r="U12" s="48">
        <f t="shared" si="9"/>
        <v>8.64</v>
      </c>
      <c r="V12" s="165">
        <f t="shared" si="10"/>
        <v>1</v>
      </c>
    </row>
    <row r="13" spans="1:22" ht="20" customHeight="1" x14ac:dyDescent="0.2">
      <c r="B13" s="8">
        <v>5</v>
      </c>
      <c r="C13" s="1" t="s">
        <v>90</v>
      </c>
      <c r="D13" s="11">
        <v>106.45</v>
      </c>
      <c r="E13" s="11">
        <f t="shared" si="0"/>
        <v>0</v>
      </c>
      <c r="F13" s="23">
        <v>0</v>
      </c>
      <c r="G13" s="11">
        <f t="shared" si="1"/>
        <v>106.45</v>
      </c>
      <c r="H13" s="23">
        <v>1</v>
      </c>
      <c r="I13" s="11">
        <f t="shared" si="2"/>
        <v>0</v>
      </c>
      <c r="J13" s="23">
        <v>0</v>
      </c>
      <c r="K13" s="11">
        <f t="shared" si="3"/>
        <v>106.45</v>
      </c>
      <c r="L13" s="23">
        <v>1</v>
      </c>
      <c r="M13" s="11">
        <f t="shared" si="4"/>
        <v>0</v>
      </c>
      <c r="N13" s="23">
        <v>0</v>
      </c>
      <c r="O13" s="11">
        <f t="shared" si="5"/>
        <v>0</v>
      </c>
      <c r="P13" s="23">
        <v>0</v>
      </c>
      <c r="Q13" s="11">
        <f t="shared" si="6"/>
        <v>0</v>
      </c>
      <c r="R13" s="23">
        <v>0</v>
      </c>
      <c r="S13" s="46">
        <f t="shared" si="7"/>
        <v>212.9</v>
      </c>
      <c r="T13" s="47">
        <f t="shared" si="8"/>
        <v>2</v>
      </c>
      <c r="U13" s="48">
        <f t="shared" si="9"/>
        <v>212.9</v>
      </c>
      <c r="V13" s="165">
        <f t="shared" si="10"/>
        <v>2</v>
      </c>
    </row>
    <row r="14" spans="1:22" ht="20" customHeight="1" x14ac:dyDescent="0.2">
      <c r="B14" s="8"/>
      <c r="C14" s="1" t="s">
        <v>91</v>
      </c>
      <c r="D14" s="11">
        <v>6</v>
      </c>
      <c r="E14" s="11">
        <f t="shared" ref="E14" si="15">D14*F14</f>
        <v>0</v>
      </c>
      <c r="F14" s="23">
        <v>0</v>
      </c>
      <c r="G14" s="11">
        <f t="shared" si="1"/>
        <v>6</v>
      </c>
      <c r="H14" s="23">
        <v>1</v>
      </c>
      <c r="I14" s="11">
        <f t="shared" si="2"/>
        <v>0</v>
      </c>
      <c r="J14" s="23">
        <v>0</v>
      </c>
      <c r="K14" s="11">
        <f t="shared" si="3"/>
        <v>0</v>
      </c>
      <c r="L14" s="23">
        <v>0</v>
      </c>
      <c r="M14" s="11">
        <f t="shared" si="4"/>
        <v>0</v>
      </c>
      <c r="N14" s="23">
        <v>0</v>
      </c>
      <c r="O14" s="11">
        <f t="shared" si="5"/>
        <v>0</v>
      </c>
      <c r="P14" s="23">
        <v>0</v>
      </c>
      <c r="Q14" s="11">
        <f t="shared" si="6"/>
        <v>0</v>
      </c>
      <c r="R14" s="23">
        <v>0</v>
      </c>
      <c r="S14" s="46">
        <f t="shared" si="7"/>
        <v>6</v>
      </c>
      <c r="T14" s="47">
        <f t="shared" si="8"/>
        <v>1</v>
      </c>
      <c r="U14" s="48">
        <f t="shared" si="9"/>
        <v>6</v>
      </c>
      <c r="V14" s="165">
        <f t="shared" si="10"/>
        <v>1</v>
      </c>
    </row>
    <row r="15" spans="1:22" ht="20" customHeight="1" x14ac:dyDescent="0.2"/>
    <row r="16" spans="1:22" ht="20" customHeight="1" x14ac:dyDescent="0.2">
      <c r="C16" s="40" t="s">
        <v>97</v>
      </c>
      <c r="D16" s="54">
        <f>SUM(D5:D14)</f>
        <v>333.42999999999995</v>
      </c>
      <c r="E16" s="49">
        <f>SUM(E5:E14)</f>
        <v>0</v>
      </c>
      <c r="F16" s="50">
        <f>E16/$D$16</f>
        <v>0</v>
      </c>
      <c r="G16" s="49">
        <f t="shared" ref="G16" si="16">SUM(G5:G14)</f>
        <v>133.67000000000002</v>
      </c>
      <c r="H16" s="50">
        <f t="shared" ref="H16" si="17">G16/$D$16</f>
        <v>0.40089374081516371</v>
      </c>
      <c r="I16" s="49">
        <f t="shared" ref="I16" si="18">SUM(I5:I14)</f>
        <v>67.894999999999996</v>
      </c>
      <c r="J16" s="50">
        <f t="shared" ref="J16" si="19">I16/$D$16</f>
        <v>0.20362594847494228</v>
      </c>
      <c r="K16" s="49">
        <f t="shared" ref="K16" si="20">SUM(K5:K14)</f>
        <v>201.14999999999998</v>
      </c>
      <c r="L16" s="50">
        <f t="shared" ref="L16" si="21">K16/$D$16</f>
        <v>0.60327505023543171</v>
      </c>
      <c r="M16" s="49">
        <f t="shared" ref="M16" si="22">SUM(M5:M14)</f>
        <v>0</v>
      </c>
      <c r="N16" s="50">
        <f t="shared" ref="N16" si="23">M16/$D$16</f>
        <v>0</v>
      </c>
      <c r="O16" s="49">
        <f t="shared" ref="O16" si="24">SUM(O5:O14)</f>
        <v>108</v>
      </c>
      <c r="P16" s="50">
        <f t="shared" ref="P16" si="25">O16/$D$16</f>
        <v>0.32390606724050031</v>
      </c>
      <c r="Q16" s="49">
        <f t="shared" ref="Q16" si="26">SUM(Q5:Q14)</f>
        <v>8.64</v>
      </c>
      <c r="R16" s="50">
        <f t="shared" ref="R16" si="27">Q16/$D$16</f>
        <v>2.5912485379240027E-2</v>
      </c>
      <c r="S16" s="17">
        <f>SUM(S5:S14)</f>
        <v>519.3549999999999</v>
      </c>
      <c r="T16" s="51">
        <f>S16/D16</f>
        <v>1.5576132921452779</v>
      </c>
      <c r="U16" s="17">
        <f>SUM(U5:U14)</f>
        <v>402.71500000000003</v>
      </c>
      <c r="V16" s="51">
        <f>U16/$D$16</f>
        <v>1.207794739525538</v>
      </c>
    </row>
    <row r="17" spans="1:22" ht="20" customHeight="1" x14ac:dyDescent="0.2">
      <c r="C17" s="25"/>
      <c r="D17" s="61"/>
      <c r="E17" s="21"/>
      <c r="F17" s="21"/>
      <c r="G17" s="24"/>
      <c r="H17" s="10"/>
      <c r="I17" s="24"/>
      <c r="J17" s="10"/>
      <c r="K17" s="10"/>
      <c r="L17" s="10"/>
      <c r="M17" s="10"/>
      <c r="N17" s="10"/>
      <c r="O17" s="10"/>
      <c r="P17" s="10"/>
      <c r="Q17" s="10"/>
      <c r="R17" s="10"/>
      <c r="S17" s="52">
        <f>D16-S16</f>
        <v>-185.92499999999995</v>
      </c>
      <c r="T17" s="53">
        <f>S17/D16</f>
        <v>-0.55761329214527777</v>
      </c>
    </row>
    <row r="18" spans="1:22" ht="20" customHeight="1" x14ac:dyDescent="0.2">
      <c r="C18" s="27"/>
      <c r="D18" s="26"/>
      <c r="E18" s="11"/>
      <c r="F18" s="11"/>
      <c r="G18" s="11"/>
      <c r="I18" s="11"/>
    </row>
    <row r="19" spans="1:22" ht="20" customHeight="1" x14ac:dyDescent="0.2">
      <c r="A19" s="8" t="s">
        <v>267</v>
      </c>
      <c r="B19" s="8">
        <v>6</v>
      </c>
      <c r="C19" s="1" t="s">
        <v>90</v>
      </c>
      <c r="D19" s="11">
        <v>193.3</v>
      </c>
      <c r="E19" s="11">
        <f t="shared" ref="E19" si="28">D19*F19</f>
        <v>0</v>
      </c>
      <c r="F19" s="23">
        <v>0</v>
      </c>
      <c r="G19" s="11">
        <f>D19*H19</f>
        <v>193.3</v>
      </c>
      <c r="H19" s="23">
        <v>1</v>
      </c>
      <c r="I19" s="11">
        <f>D19*J19</f>
        <v>0</v>
      </c>
      <c r="J19" s="23">
        <v>0</v>
      </c>
      <c r="K19" s="11">
        <f>D19*L19</f>
        <v>0</v>
      </c>
      <c r="L19" s="23">
        <v>0</v>
      </c>
      <c r="M19" s="11">
        <f>D19*N19</f>
        <v>121.39240000000001</v>
      </c>
      <c r="N19" s="23">
        <v>0.628</v>
      </c>
      <c r="O19" s="11">
        <f>P19*D19</f>
        <v>0</v>
      </c>
      <c r="P19" s="23">
        <v>0</v>
      </c>
      <c r="Q19" s="11">
        <f>R19*D19</f>
        <v>71.907600000000002</v>
      </c>
      <c r="R19" s="23">
        <v>0.372</v>
      </c>
      <c r="S19" s="46">
        <f>E19+G19+I19+K19+M19+O19+Q19</f>
        <v>386.6</v>
      </c>
      <c r="T19" s="47">
        <f>S19/D19</f>
        <v>2</v>
      </c>
      <c r="U19" s="48">
        <f>E19+G19+I19+K19+M19</f>
        <v>314.69240000000002</v>
      </c>
      <c r="V19" s="165">
        <f>U19/D19</f>
        <v>1.6280000000000001</v>
      </c>
    </row>
    <row r="20" spans="1:22" ht="20" customHeight="1" x14ac:dyDescent="0.2">
      <c r="C20" s="1" t="s">
        <v>91</v>
      </c>
      <c r="D20" s="11">
        <v>106.45</v>
      </c>
      <c r="E20" s="11">
        <f t="shared" ref="E20" si="29">D20*F20</f>
        <v>0</v>
      </c>
      <c r="F20" s="23">
        <v>0</v>
      </c>
      <c r="G20" s="11">
        <f>D20*H20</f>
        <v>0</v>
      </c>
      <c r="H20" s="23">
        <v>0</v>
      </c>
      <c r="I20" s="11">
        <f>D20*J20</f>
        <v>0</v>
      </c>
      <c r="J20" s="23">
        <v>0</v>
      </c>
      <c r="K20" s="11">
        <f>D20*L20</f>
        <v>0</v>
      </c>
      <c r="L20" s="23">
        <v>0</v>
      </c>
      <c r="M20" s="11">
        <f>D20*N20</f>
        <v>66.8506</v>
      </c>
      <c r="N20" s="23">
        <v>0.628</v>
      </c>
      <c r="O20" s="11">
        <f>P20*D20</f>
        <v>106.45</v>
      </c>
      <c r="P20" s="23">
        <v>1</v>
      </c>
      <c r="Q20" s="11">
        <f>R20*D20</f>
        <v>39.599400000000003</v>
      </c>
      <c r="R20" s="23">
        <v>0.372</v>
      </c>
      <c r="S20" s="46">
        <f>E20+G20+I20+K20+M20+O20+Q20</f>
        <v>212.9</v>
      </c>
      <c r="T20" s="47">
        <f>S20/D20</f>
        <v>2</v>
      </c>
      <c r="U20" s="48">
        <f>E20+G20+I20+K20+M20</f>
        <v>66.8506</v>
      </c>
      <c r="V20" s="165">
        <f>U20/D20</f>
        <v>0.628</v>
      </c>
    </row>
    <row r="21" spans="1:22" ht="20" customHeight="1" x14ac:dyDescent="0.2">
      <c r="D21" s="11"/>
      <c r="E21" s="11"/>
      <c r="F21" s="23"/>
      <c r="G21" s="11"/>
      <c r="H21" s="23"/>
      <c r="I21" s="11"/>
      <c r="J21" s="23"/>
      <c r="K21" s="11"/>
      <c r="L21" s="23"/>
      <c r="M21" s="11"/>
      <c r="N21" s="23"/>
      <c r="O21" s="11"/>
      <c r="P21" s="23"/>
      <c r="Q21" s="11"/>
      <c r="R21" s="23"/>
      <c r="S21" s="23"/>
      <c r="T21" s="23"/>
    </row>
    <row r="22" spans="1:22" ht="20" customHeight="1" x14ac:dyDescent="0.2">
      <c r="C22" s="40" t="s">
        <v>97</v>
      </c>
      <c r="D22" s="54">
        <f>SUM(D19:D20)</f>
        <v>299.75</v>
      </c>
      <c r="E22" s="49">
        <f>SUM(E19:E20)</f>
        <v>0</v>
      </c>
      <c r="F22" s="50">
        <f>E22/$D$22</f>
        <v>0</v>
      </c>
      <c r="G22" s="49">
        <f>SUM(G19:G20)</f>
        <v>193.3</v>
      </c>
      <c r="H22" s="50">
        <f t="shared" ref="H22" si="30">G22/$D$22</f>
        <v>0.64487072560467062</v>
      </c>
      <c r="I22" s="49">
        <f>SUM(I19:I20)</f>
        <v>0</v>
      </c>
      <c r="J22" s="50">
        <f t="shared" ref="J22" si="31">I22/$D$22</f>
        <v>0</v>
      </c>
      <c r="K22" s="49">
        <f>SUM(K19:K20)</f>
        <v>0</v>
      </c>
      <c r="L22" s="50">
        <f t="shared" ref="L22" si="32">K22/$D$22</f>
        <v>0</v>
      </c>
      <c r="M22" s="49">
        <f>SUM(M19:M20)</f>
        <v>188.24299999999999</v>
      </c>
      <c r="N22" s="50">
        <f t="shared" ref="N22" si="33">M22/$D$22</f>
        <v>0.628</v>
      </c>
      <c r="O22" s="49">
        <f>SUM(O19:O20)</f>
        <v>106.45</v>
      </c>
      <c r="P22" s="50">
        <f t="shared" ref="P22" si="34">O22/$D$22</f>
        <v>0.35512927439532943</v>
      </c>
      <c r="Q22" s="49">
        <f>SUM(Q19:Q20)</f>
        <v>111.50700000000001</v>
      </c>
      <c r="R22" s="50">
        <f t="shared" ref="R22" si="35">Q22/$D$22</f>
        <v>0.372</v>
      </c>
      <c r="S22" s="17">
        <f>SUM(S19:S20)</f>
        <v>599.5</v>
      </c>
      <c r="T22" s="51">
        <f>S22/$D$22</f>
        <v>2</v>
      </c>
      <c r="U22" s="17">
        <f>SUM(U19:U20)</f>
        <v>381.54300000000001</v>
      </c>
      <c r="V22" s="51">
        <f>U22/D22</f>
        <v>1.2728707256046705</v>
      </c>
    </row>
    <row r="23" spans="1:22" ht="20" customHeight="1" x14ac:dyDescent="0.2">
      <c r="C23" s="25"/>
      <c r="D23" s="28"/>
      <c r="E23" s="21"/>
      <c r="F23" s="21"/>
      <c r="G23" s="24"/>
      <c r="H23" s="10"/>
      <c r="I23" s="24"/>
      <c r="J23" s="10"/>
      <c r="K23" s="10"/>
      <c r="L23" s="10"/>
      <c r="M23" s="10"/>
      <c r="N23" s="10"/>
      <c r="O23" s="10"/>
      <c r="P23" s="10"/>
      <c r="Q23" s="10"/>
      <c r="R23" s="10"/>
      <c r="S23" s="52">
        <f>D22-S22</f>
        <v>-299.75</v>
      </c>
      <c r="T23" s="53">
        <f>S23/D22</f>
        <v>-1</v>
      </c>
    </row>
    <row r="24" spans="1:22" ht="20" customHeight="1" x14ac:dyDescent="0.2"/>
    <row r="25" spans="1:22" ht="20" customHeight="1" x14ac:dyDescent="0.2">
      <c r="A25" s="8" t="s">
        <v>268</v>
      </c>
      <c r="B25" s="8">
        <v>1</v>
      </c>
      <c r="C25" s="1" t="s">
        <v>90</v>
      </c>
      <c r="D25" s="11">
        <v>76.2</v>
      </c>
      <c r="E25" s="11">
        <f t="shared" ref="E25:E26" si="36">D25*F25</f>
        <v>0</v>
      </c>
      <c r="F25" s="23">
        <v>0</v>
      </c>
      <c r="G25" s="11">
        <f>D25*H25</f>
        <v>0</v>
      </c>
      <c r="H25" s="23">
        <v>0</v>
      </c>
      <c r="I25" s="11">
        <f>D25*J25</f>
        <v>0</v>
      </c>
      <c r="J25" s="23">
        <v>0</v>
      </c>
      <c r="K25" s="11">
        <f>D25*L25</f>
        <v>0</v>
      </c>
      <c r="L25" s="23">
        <v>0</v>
      </c>
      <c r="M25" s="11">
        <f>F25*N25</f>
        <v>0</v>
      </c>
      <c r="N25" s="23">
        <v>0</v>
      </c>
      <c r="O25" s="11">
        <f>P25*D25</f>
        <v>0</v>
      </c>
      <c r="P25" s="23">
        <v>0</v>
      </c>
      <c r="Q25" s="11">
        <f>R25*D25</f>
        <v>0</v>
      </c>
      <c r="R25" s="23">
        <v>0</v>
      </c>
      <c r="S25" s="46">
        <f>E25+G25+I25+K25+M25+O25+Q25</f>
        <v>0</v>
      </c>
      <c r="T25" s="47">
        <f>S25/D25</f>
        <v>0</v>
      </c>
      <c r="U25" s="48">
        <f>E25+G25+I25+K25+M25</f>
        <v>0</v>
      </c>
      <c r="V25" s="165">
        <f>U25/D25</f>
        <v>0</v>
      </c>
    </row>
    <row r="26" spans="1:22" ht="20" customHeight="1" x14ac:dyDescent="0.2">
      <c r="A26" s="8"/>
      <c r="B26" s="8"/>
      <c r="C26" s="1" t="s">
        <v>91</v>
      </c>
      <c r="D26" s="11">
        <v>0</v>
      </c>
      <c r="E26" s="11">
        <f t="shared" si="36"/>
        <v>0</v>
      </c>
      <c r="F26" s="23">
        <v>0</v>
      </c>
      <c r="G26" s="11">
        <f>D26*H26</f>
        <v>0</v>
      </c>
      <c r="H26" s="23">
        <v>0</v>
      </c>
      <c r="I26" s="11">
        <f>D26*J26</f>
        <v>0</v>
      </c>
      <c r="J26" s="23">
        <v>0</v>
      </c>
      <c r="K26" s="11">
        <f>D26*L26</f>
        <v>0</v>
      </c>
      <c r="L26" s="23">
        <v>0</v>
      </c>
      <c r="M26" s="11">
        <f>F26*N26</f>
        <v>0</v>
      </c>
      <c r="N26" s="23">
        <v>0</v>
      </c>
      <c r="O26" s="11">
        <f t="shared" ref="O26:O28" si="37">H26*P26</f>
        <v>0</v>
      </c>
      <c r="P26" s="23">
        <v>0</v>
      </c>
      <c r="Q26" s="11">
        <f t="shared" ref="Q26:Q28" si="38">J26*R26</f>
        <v>0</v>
      </c>
      <c r="R26" s="23">
        <v>0</v>
      </c>
      <c r="S26" s="46">
        <f>E26+G26+I26+K26+M26+O26+Q26</f>
        <v>0</v>
      </c>
      <c r="T26" s="47" t="e">
        <f>S26/D26</f>
        <v>#DIV/0!</v>
      </c>
      <c r="U26" s="48">
        <f>E26+G26+I26+K26+M26</f>
        <v>0</v>
      </c>
      <c r="V26" s="165" t="e">
        <f>U26/D26</f>
        <v>#DIV/0!</v>
      </c>
    </row>
    <row r="27" spans="1:22" ht="20" customHeight="1" x14ac:dyDescent="0.2">
      <c r="B27" s="8">
        <v>7</v>
      </c>
      <c r="C27" s="1" t="s">
        <v>90</v>
      </c>
      <c r="D27" s="11">
        <v>194.2</v>
      </c>
      <c r="E27" s="11">
        <f t="shared" ref="E27:E28" si="39">D27*F27</f>
        <v>0</v>
      </c>
      <c r="F27" s="23">
        <v>0</v>
      </c>
      <c r="G27" s="11">
        <f>D27*H27</f>
        <v>0</v>
      </c>
      <c r="H27" s="23">
        <v>0</v>
      </c>
      <c r="I27" s="11">
        <f>D27*J27</f>
        <v>0</v>
      </c>
      <c r="J27" s="23">
        <v>0</v>
      </c>
      <c r="K27" s="11">
        <f>D27*L27</f>
        <v>0</v>
      </c>
      <c r="L27" s="23">
        <v>0</v>
      </c>
      <c r="M27" s="11">
        <f>F27*N27</f>
        <v>0</v>
      </c>
      <c r="N27" s="23">
        <v>0</v>
      </c>
      <c r="O27" s="11">
        <f t="shared" si="37"/>
        <v>0</v>
      </c>
      <c r="P27" s="23">
        <v>0</v>
      </c>
      <c r="Q27" s="11">
        <f t="shared" si="38"/>
        <v>0</v>
      </c>
      <c r="R27" s="23">
        <v>0</v>
      </c>
      <c r="S27" s="46">
        <f>E27+G27+I27+K27+M27+O27+Q27</f>
        <v>0</v>
      </c>
      <c r="T27" s="47">
        <f>S27/D27</f>
        <v>0</v>
      </c>
      <c r="U27" s="48">
        <f>E27+G27+I27+K27+M27</f>
        <v>0</v>
      </c>
      <c r="V27" s="165">
        <f>U27/D27</f>
        <v>0</v>
      </c>
    </row>
    <row r="28" spans="1:22" ht="20" customHeight="1" x14ac:dyDescent="0.2">
      <c r="B28" s="8"/>
      <c r="C28" s="1" t="s">
        <v>91</v>
      </c>
      <c r="D28" s="11">
        <v>117.83</v>
      </c>
      <c r="E28" s="11">
        <f t="shared" si="39"/>
        <v>0</v>
      </c>
      <c r="F28" s="23">
        <v>0</v>
      </c>
      <c r="G28" s="11">
        <f>D28*H28</f>
        <v>0</v>
      </c>
      <c r="H28" s="23">
        <v>0</v>
      </c>
      <c r="I28" s="11">
        <f>D28*J28</f>
        <v>0</v>
      </c>
      <c r="J28" s="23">
        <v>0</v>
      </c>
      <c r="K28" s="11">
        <f>D28*L28</f>
        <v>117.83</v>
      </c>
      <c r="L28" s="23">
        <v>1</v>
      </c>
      <c r="M28" s="11">
        <f>F28*N28</f>
        <v>0</v>
      </c>
      <c r="N28" s="23">
        <v>0</v>
      </c>
      <c r="O28" s="11">
        <f t="shared" si="37"/>
        <v>0</v>
      </c>
      <c r="P28" s="23">
        <v>0</v>
      </c>
      <c r="Q28" s="11">
        <f t="shared" si="38"/>
        <v>0</v>
      </c>
      <c r="R28" s="23">
        <v>0</v>
      </c>
      <c r="S28" s="46">
        <f>E28+G28+I28+K28+M28+O28+Q28</f>
        <v>117.83</v>
      </c>
      <c r="T28" s="47">
        <f>S28/D28</f>
        <v>1</v>
      </c>
      <c r="U28" s="48">
        <f>E28+G28+I28+K28+M28</f>
        <v>117.83</v>
      </c>
      <c r="V28" s="165">
        <f>U28/D28</f>
        <v>1</v>
      </c>
    </row>
    <row r="29" spans="1:22" ht="20" customHeight="1" x14ac:dyDescent="0.2"/>
    <row r="30" spans="1:22" ht="20" customHeight="1" x14ac:dyDescent="0.2">
      <c r="C30" s="40" t="s">
        <v>97</v>
      </c>
      <c r="D30" s="54">
        <f>SUM(D25:D28)</f>
        <v>388.22999999999996</v>
      </c>
      <c r="E30" s="49">
        <f>SUM(E25:E28)</f>
        <v>0</v>
      </c>
      <c r="F30" s="50">
        <f>E30/$D$30</f>
        <v>0</v>
      </c>
      <c r="G30" s="49">
        <f t="shared" ref="G30" si="40">SUM(G25:G28)</f>
        <v>0</v>
      </c>
      <c r="H30" s="50">
        <f t="shared" ref="H30" si="41">G30/$D$30</f>
        <v>0</v>
      </c>
      <c r="I30" s="49">
        <f t="shared" ref="I30" si="42">SUM(I25:I28)</f>
        <v>0</v>
      </c>
      <c r="J30" s="50">
        <f t="shared" ref="J30" si="43">I30/$D$30</f>
        <v>0</v>
      </c>
      <c r="K30" s="49">
        <f t="shared" ref="K30" si="44">SUM(K25:K28)</f>
        <v>117.83</v>
      </c>
      <c r="L30" s="50">
        <f t="shared" ref="L30" si="45">K30/$D$30</f>
        <v>0.30350565386497697</v>
      </c>
      <c r="M30" s="49">
        <f t="shared" ref="M30" si="46">SUM(M25:M28)</f>
        <v>0</v>
      </c>
      <c r="N30" s="50">
        <f t="shared" ref="N30" si="47">M30/$D$30</f>
        <v>0</v>
      </c>
      <c r="O30" s="49">
        <f t="shared" ref="O30" si="48">SUM(O25:O28)</f>
        <v>0</v>
      </c>
      <c r="P30" s="50">
        <f t="shared" ref="P30" si="49">O30/$D$30</f>
        <v>0</v>
      </c>
      <c r="Q30" s="49">
        <f t="shared" ref="Q30" si="50">SUM(Q25:Q28)</f>
        <v>0</v>
      </c>
      <c r="R30" s="50">
        <f t="shared" ref="R30" si="51">Q30/$D$30</f>
        <v>0</v>
      </c>
      <c r="S30" s="17">
        <f>SUM(S25:S28)</f>
        <v>117.83</v>
      </c>
      <c r="T30" s="51">
        <f>S30/D30</f>
        <v>0.30350565386497697</v>
      </c>
      <c r="U30" s="17">
        <f>SUM(U25:U28)</f>
        <v>117.83</v>
      </c>
      <c r="V30" s="51">
        <f>U30/D30</f>
        <v>0.30350565386497697</v>
      </c>
    </row>
    <row r="31" spans="1:22" ht="20" customHeight="1" x14ac:dyDescent="0.2">
      <c r="C31" s="25"/>
      <c r="D31" s="61"/>
      <c r="E31" s="21"/>
      <c r="F31" s="21"/>
      <c r="G31" s="24"/>
      <c r="H31" s="10"/>
      <c r="I31" s="24"/>
      <c r="J31" s="10"/>
      <c r="K31" s="10"/>
      <c r="L31" s="10"/>
      <c r="M31" s="10"/>
      <c r="N31" s="10"/>
      <c r="O31" s="10"/>
      <c r="P31" s="10"/>
      <c r="Q31" s="10"/>
      <c r="R31" s="10"/>
      <c r="S31" s="52">
        <f>D30-S30</f>
        <v>270.39999999999998</v>
      </c>
      <c r="T31" s="53">
        <f>S31/D30</f>
        <v>0.69649434613502303</v>
      </c>
    </row>
    <row r="32" spans="1:22" ht="20" customHeight="1" x14ac:dyDescent="0.2">
      <c r="C32" s="27"/>
      <c r="D32" s="26"/>
      <c r="E32" s="11"/>
      <c r="F32" s="11"/>
      <c r="G32" s="11"/>
      <c r="I32" s="11"/>
    </row>
    <row r="33" spans="1:22" ht="20" customHeight="1" x14ac:dyDescent="0.2">
      <c r="A33" s="8" t="s">
        <v>269</v>
      </c>
      <c r="B33" s="8">
        <v>8</v>
      </c>
      <c r="C33" s="1" t="s">
        <v>90</v>
      </c>
      <c r="D33" s="11">
        <v>68.8</v>
      </c>
      <c r="E33" s="11">
        <f t="shared" ref="E33:E34" si="52">D33*F33</f>
        <v>68.8</v>
      </c>
      <c r="F33" s="23">
        <v>1</v>
      </c>
      <c r="G33" s="11">
        <f t="shared" ref="G33:G42" si="53">D33*H33</f>
        <v>0</v>
      </c>
      <c r="H33" s="23">
        <v>0</v>
      </c>
      <c r="I33" s="11">
        <f t="shared" ref="I33:I42" si="54">D33*J33</f>
        <v>0</v>
      </c>
      <c r="J33" s="23">
        <v>0</v>
      </c>
      <c r="K33" s="11">
        <f t="shared" ref="K33:K42" si="55">D33*L33</f>
        <v>0</v>
      </c>
      <c r="L33" s="23">
        <v>0</v>
      </c>
      <c r="M33" s="11">
        <f t="shared" ref="M33:M42" si="56">D33*N33</f>
        <v>0</v>
      </c>
      <c r="N33" s="23">
        <v>0</v>
      </c>
      <c r="O33" s="11">
        <f>P33*D33</f>
        <v>0</v>
      </c>
      <c r="P33" s="23">
        <v>0</v>
      </c>
      <c r="Q33" s="11">
        <f>R33*D33</f>
        <v>0</v>
      </c>
      <c r="R33" s="23">
        <v>0</v>
      </c>
      <c r="S33" s="46">
        <f t="shared" ref="S33:S42" si="57">E33+G33+I33+K33+M33+O33+Q33</f>
        <v>68.8</v>
      </c>
      <c r="T33" s="47">
        <f t="shared" ref="T33:T42" si="58">S33/D33</f>
        <v>1</v>
      </c>
      <c r="U33" s="48">
        <f t="shared" ref="U33:U42" si="59">E33+G33+I33+K33+M33</f>
        <v>68.8</v>
      </c>
      <c r="V33" s="165">
        <f t="shared" ref="V33:V42" si="60">U33/D33</f>
        <v>1</v>
      </c>
    </row>
    <row r="34" spans="1:22" ht="20" customHeight="1" x14ac:dyDescent="0.2">
      <c r="C34" s="1" t="s">
        <v>91</v>
      </c>
      <c r="D34" s="11">
        <v>0</v>
      </c>
      <c r="E34" s="11">
        <f t="shared" si="52"/>
        <v>0</v>
      </c>
      <c r="F34" s="23">
        <v>0</v>
      </c>
      <c r="G34" s="11">
        <f t="shared" si="53"/>
        <v>0</v>
      </c>
      <c r="H34" s="23">
        <v>0</v>
      </c>
      <c r="I34" s="11">
        <f t="shared" si="54"/>
        <v>0</v>
      </c>
      <c r="J34" s="23">
        <v>0</v>
      </c>
      <c r="K34" s="11">
        <f t="shared" si="55"/>
        <v>0</v>
      </c>
      <c r="L34" s="23">
        <v>0</v>
      </c>
      <c r="M34" s="11">
        <f t="shared" si="56"/>
        <v>0</v>
      </c>
      <c r="N34" s="23">
        <v>0</v>
      </c>
      <c r="O34" s="11">
        <f>F34*P34</f>
        <v>0</v>
      </c>
      <c r="P34" s="23">
        <v>0</v>
      </c>
      <c r="Q34" s="11">
        <f>H34*R34</f>
        <v>0</v>
      </c>
      <c r="R34" s="23">
        <v>0</v>
      </c>
      <c r="S34" s="46">
        <f t="shared" si="57"/>
        <v>0</v>
      </c>
      <c r="T34" s="47" t="e">
        <f t="shared" si="58"/>
        <v>#DIV/0!</v>
      </c>
      <c r="U34" s="48">
        <f t="shared" si="59"/>
        <v>0</v>
      </c>
      <c r="V34" s="165" t="e">
        <f t="shared" si="60"/>
        <v>#DIV/0!</v>
      </c>
    </row>
    <row r="35" spans="1:22" ht="20" customHeight="1" x14ac:dyDescent="0.2">
      <c r="A35" s="8"/>
      <c r="B35" s="8">
        <v>9</v>
      </c>
      <c r="C35" s="1" t="s">
        <v>90</v>
      </c>
      <c r="D35" s="11">
        <v>33.799999999999997</v>
      </c>
      <c r="E35" s="11">
        <f t="shared" ref="E35:E36" si="61">D35*F35</f>
        <v>33.799999999999997</v>
      </c>
      <c r="F35" s="23">
        <v>1</v>
      </c>
      <c r="G35" s="11">
        <f t="shared" si="53"/>
        <v>0</v>
      </c>
      <c r="H35" s="23">
        <v>0</v>
      </c>
      <c r="I35" s="11">
        <f t="shared" si="54"/>
        <v>0</v>
      </c>
      <c r="J35" s="23">
        <v>0</v>
      </c>
      <c r="K35" s="11">
        <f t="shared" si="55"/>
        <v>0</v>
      </c>
      <c r="L35" s="23">
        <v>0</v>
      </c>
      <c r="M35" s="11">
        <f t="shared" si="56"/>
        <v>0</v>
      </c>
      <c r="N35" s="23">
        <v>0</v>
      </c>
      <c r="O35" s="11">
        <f>P35*D35</f>
        <v>0</v>
      </c>
      <c r="P35" s="23">
        <v>0</v>
      </c>
      <c r="Q35" s="11">
        <f>R35*D35</f>
        <v>0</v>
      </c>
      <c r="R35" s="23">
        <v>0</v>
      </c>
      <c r="S35" s="46">
        <f t="shared" si="57"/>
        <v>33.799999999999997</v>
      </c>
      <c r="T35" s="47">
        <f t="shared" si="58"/>
        <v>1</v>
      </c>
      <c r="U35" s="48">
        <f t="shared" si="59"/>
        <v>33.799999999999997</v>
      </c>
      <c r="V35" s="165">
        <f t="shared" si="60"/>
        <v>1</v>
      </c>
    </row>
    <row r="36" spans="1:22" ht="20" customHeight="1" x14ac:dyDescent="0.2">
      <c r="C36" s="1" t="s">
        <v>91</v>
      </c>
      <c r="D36" s="11">
        <v>2.1</v>
      </c>
      <c r="E36" s="11">
        <f t="shared" si="61"/>
        <v>0</v>
      </c>
      <c r="F36" s="23">
        <v>0</v>
      </c>
      <c r="G36" s="11">
        <f t="shared" si="53"/>
        <v>0</v>
      </c>
      <c r="H36" s="23">
        <v>0</v>
      </c>
      <c r="I36" s="11">
        <f t="shared" si="54"/>
        <v>0</v>
      </c>
      <c r="J36" s="23">
        <v>0</v>
      </c>
      <c r="K36" s="11">
        <f t="shared" si="55"/>
        <v>0</v>
      </c>
      <c r="L36" s="23">
        <v>0</v>
      </c>
      <c r="M36" s="11">
        <f t="shared" si="56"/>
        <v>2.1</v>
      </c>
      <c r="N36" s="23">
        <v>1</v>
      </c>
      <c r="O36" s="11">
        <f>F36*P36</f>
        <v>0</v>
      </c>
      <c r="P36" s="23">
        <v>0</v>
      </c>
      <c r="Q36" s="11">
        <f>H36*R36</f>
        <v>0</v>
      </c>
      <c r="R36" s="23">
        <v>0</v>
      </c>
      <c r="S36" s="46">
        <f t="shared" si="57"/>
        <v>2.1</v>
      </c>
      <c r="T36" s="47">
        <f t="shared" si="58"/>
        <v>1</v>
      </c>
      <c r="U36" s="48">
        <f t="shared" si="59"/>
        <v>2.1</v>
      </c>
      <c r="V36" s="165">
        <f t="shared" si="60"/>
        <v>1</v>
      </c>
    </row>
    <row r="37" spans="1:22" ht="20" customHeight="1" x14ac:dyDescent="0.2">
      <c r="A37" s="8"/>
      <c r="B37" s="8">
        <v>10</v>
      </c>
      <c r="C37" s="1" t="s">
        <v>90</v>
      </c>
      <c r="D37" s="11">
        <v>60.9</v>
      </c>
      <c r="E37" s="11">
        <f t="shared" ref="E37:E38" si="62">D37*F37</f>
        <v>60.9</v>
      </c>
      <c r="F37" s="23">
        <v>1</v>
      </c>
      <c r="G37" s="11">
        <f t="shared" si="53"/>
        <v>0</v>
      </c>
      <c r="H37" s="23">
        <v>0</v>
      </c>
      <c r="I37" s="11">
        <f t="shared" si="54"/>
        <v>0</v>
      </c>
      <c r="J37" s="23">
        <v>0</v>
      </c>
      <c r="K37" s="11">
        <f t="shared" si="55"/>
        <v>0</v>
      </c>
      <c r="L37" s="23">
        <v>0</v>
      </c>
      <c r="M37" s="11">
        <f t="shared" si="56"/>
        <v>0</v>
      </c>
      <c r="N37" s="23">
        <v>0</v>
      </c>
      <c r="O37" s="11">
        <f>P37*D37</f>
        <v>0</v>
      </c>
      <c r="P37" s="23">
        <v>0</v>
      </c>
      <c r="Q37" s="11">
        <f>R37*D37</f>
        <v>0</v>
      </c>
      <c r="R37" s="23">
        <v>0</v>
      </c>
      <c r="S37" s="46">
        <f t="shared" si="57"/>
        <v>60.9</v>
      </c>
      <c r="T37" s="47">
        <f t="shared" si="58"/>
        <v>1</v>
      </c>
      <c r="U37" s="48">
        <f t="shared" si="59"/>
        <v>60.9</v>
      </c>
      <c r="V37" s="165">
        <f t="shared" si="60"/>
        <v>1</v>
      </c>
    </row>
    <row r="38" spans="1:22" ht="20" customHeight="1" x14ac:dyDescent="0.2">
      <c r="C38" s="1" t="s">
        <v>91</v>
      </c>
      <c r="D38" s="11">
        <f>0</f>
        <v>0</v>
      </c>
      <c r="E38" s="11">
        <f t="shared" si="62"/>
        <v>0</v>
      </c>
      <c r="F38" s="23">
        <v>0</v>
      </c>
      <c r="G38" s="11">
        <f t="shared" si="53"/>
        <v>0</v>
      </c>
      <c r="H38" s="23">
        <v>0</v>
      </c>
      <c r="I38" s="11">
        <f t="shared" si="54"/>
        <v>0</v>
      </c>
      <c r="J38" s="23">
        <v>0</v>
      </c>
      <c r="K38" s="11">
        <f t="shared" si="55"/>
        <v>0</v>
      </c>
      <c r="L38" s="23">
        <v>0</v>
      </c>
      <c r="M38" s="11">
        <f t="shared" si="56"/>
        <v>0</v>
      </c>
      <c r="N38" s="23">
        <v>0</v>
      </c>
      <c r="O38" s="11">
        <f>F38*P38</f>
        <v>0</v>
      </c>
      <c r="P38" s="23">
        <v>0</v>
      </c>
      <c r="Q38" s="11">
        <f>H38*R38</f>
        <v>0</v>
      </c>
      <c r="R38" s="23">
        <v>0</v>
      </c>
      <c r="S38" s="46">
        <f t="shared" si="57"/>
        <v>0</v>
      </c>
      <c r="T38" s="47" t="e">
        <f t="shared" si="58"/>
        <v>#DIV/0!</v>
      </c>
      <c r="U38" s="48">
        <f t="shared" si="59"/>
        <v>0</v>
      </c>
      <c r="V38" s="165" t="e">
        <f t="shared" si="60"/>
        <v>#DIV/0!</v>
      </c>
    </row>
    <row r="39" spans="1:22" ht="20" customHeight="1" x14ac:dyDescent="0.2">
      <c r="A39" s="8"/>
      <c r="B39" s="8">
        <v>11</v>
      </c>
      <c r="C39" s="1" t="s">
        <v>90</v>
      </c>
      <c r="D39" s="11">
        <v>33.799999999999997</v>
      </c>
      <c r="E39" s="11">
        <f t="shared" ref="E39:E40" si="63">D39*F39</f>
        <v>33.799999999999997</v>
      </c>
      <c r="F39" s="23">
        <v>1</v>
      </c>
      <c r="G39" s="11">
        <f t="shared" si="53"/>
        <v>0</v>
      </c>
      <c r="H39" s="23">
        <v>0</v>
      </c>
      <c r="I39" s="11">
        <f t="shared" si="54"/>
        <v>0</v>
      </c>
      <c r="J39" s="23">
        <v>0</v>
      </c>
      <c r="K39" s="11">
        <f t="shared" si="55"/>
        <v>0</v>
      </c>
      <c r="L39" s="23">
        <v>0</v>
      </c>
      <c r="M39" s="11">
        <f t="shared" si="56"/>
        <v>0</v>
      </c>
      <c r="N39" s="23">
        <v>0</v>
      </c>
      <c r="O39" s="11">
        <f>P39*D39</f>
        <v>0</v>
      </c>
      <c r="P39" s="23">
        <v>0</v>
      </c>
      <c r="Q39" s="11">
        <f>R39*D39</f>
        <v>0</v>
      </c>
      <c r="R39" s="23">
        <v>0</v>
      </c>
      <c r="S39" s="46">
        <f t="shared" si="57"/>
        <v>33.799999999999997</v>
      </c>
      <c r="T39" s="47">
        <f t="shared" si="58"/>
        <v>1</v>
      </c>
      <c r="U39" s="48">
        <f t="shared" si="59"/>
        <v>33.799999999999997</v>
      </c>
      <c r="V39" s="165">
        <f t="shared" si="60"/>
        <v>1</v>
      </c>
    </row>
    <row r="40" spans="1:22" ht="20" customHeight="1" x14ac:dyDescent="0.2">
      <c r="C40" s="1" t="s">
        <v>91</v>
      </c>
      <c r="D40" s="11">
        <v>2.1</v>
      </c>
      <c r="E40" s="11">
        <f t="shared" si="63"/>
        <v>0</v>
      </c>
      <c r="F40" s="23">
        <v>0</v>
      </c>
      <c r="G40" s="11">
        <f t="shared" si="53"/>
        <v>0</v>
      </c>
      <c r="H40" s="23">
        <v>0</v>
      </c>
      <c r="I40" s="11">
        <f t="shared" si="54"/>
        <v>0</v>
      </c>
      <c r="J40" s="23">
        <v>0</v>
      </c>
      <c r="K40" s="11">
        <f t="shared" si="55"/>
        <v>0</v>
      </c>
      <c r="L40" s="23">
        <v>0</v>
      </c>
      <c r="M40" s="11">
        <f t="shared" si="56"/>
        <v>2.1</v>
      </c>
      <c r="N40" s="23">
        <v>1</v>
      </c>
      <c r="O40" s="11">
        <f>F40*P40</f>
        <v>0</v>
      </c>
      <c r="P40" s="23">
        <v>0</v>
      </c>
      <c r="Q40" s="11">
        <f>H40*R40</f>
        <v>0</v>
      </c>
      <c r="R40" s="23">
        <v>0</v>
      </c>
      <c r="S40" s="46">
        <f t="shared" si="57"/>
        <v>2.1</v>
      </c>
      <c r="T40" s="47">
        <f t="shared" si="58"/>
        <v>1</v>
      </c>
      <c r="U40" s="48">
        <f t="shared" si="59"/>
        <v>2.1</v>
      </c>
      <c r="V40" s="165">
        <f t="shared" si="60"/>
        <v>1</v>
      </c>
    </row>
    <row r="41" spans="1:22" ht="20" customHeight="1" x14ac:dyDescent="0.2">
      <c r="A41" s="8"/>
      <c r="B41" s="8">
        <v>12</v>
      </c>
      <c r="C41" s="1" t="s">
        <v>90</v>
      </c>
      <c r="D41" s="11">
        <v>69.099999999999994</v>
      </c>
      <c r="E41" s="11">
        <f t="shared" ref="E41:E42" si="64">D41*F41</f>
        <v>69.099999999999994</v>
      </c>
      <c r="F41" s="23">
        <v>1</v>
      </c>
      <c r="G41" s="11">
        <f t="shared" si="53"/>
        <v>0</v>
      </c>
      <c r="H41" s="23">
        <v>0</v>
      </c>
      <c r="I41" s="11">
        <f t="shared" si="54"/>
        <v>0</v>
      </c>
      <c r="J41" s="23">
        <v>0</v>
      </c>
      <c r="K41" s="11">
        <f t="shared" si="55"/>
        <v>0</v>
      </c>
      <c r="L41" s="23">
        <v>0</v>
      </c>
      <c r="M41" s="11">
        <f t="shared" si="56"/>
        <v>0</v>
      </c>
      <c r="N41" s="23">
        <v>0</v>
      </c>
      <c r="O41" s="11">
        <f>P41*D41</f>
        <v>0</v>
      </c>
      <c r="P41" s="23">
        <v>0</v>
      </c>
      <c r="Q41" s="11">
        <f>R41*D41</f>
        <v>0</v>
      </c>
      <c r="R41" s="23">
        <v>0</v>
      </c>
      <c r="S41" s="46">
        <f t="shared" si="57"/>
        <v>69.099999999999994</v>
      </c>
      <c r="T41" s="47">
        <f t="shared" si="58"/>
        <v>1</v>
      </c>
      <c r="U41" s="48">
        <f t="shared" si="59"/>
        <v>69.099999999999994</v>
      </c>
      <c r="V41" s="165">
        <f t="shared" si="60"/>
        <v>1</v>
      </c>
    </row>
    <row r="42" spans="1:22" ht="20" customHeight="1" x14ac:dyDescent="0.2">
      <c r="C42" s="1" t="s">
        <v>91</v>
      </c>
      <c r="D42" s="11">
        <v>1.24</v>
      </c>
      <c r="E42" s="11">
        <f t="shared" si="64"/>
        <v>0</v>
      </c>
      <c r="F42" s="23">
        <v>0</v>
      </c>
      <c r="G42" s="11">
        <f t="shared" si="53"/>
        <v>0</v>
      </c>
      <c r="H42" s="23">
        <v>0</v>
      </c>
      <c r="I42" s="11">
        <f t="shared" si="54"/>
        <v>0</v>
      </c>
      <c r="J42" s="23">
        <v>0</v>
      </c>
      <c r="K42" s="11">
        <f t="shared" si="55"/>
        <v>0</v>
      </c>
      <c r="L42" s="23">
        <v>0</v>
      </c>
      <c r="M42" s="11">
        <f t="shared" si="56"/>
        <v>0</v>
      </c>
      <c r="N42" s="23">
        <v>0</v>
      </c>
      <c r="O42" s="11">
        <f>F42*P42</f>
        <v>0</v>
      </c>
      <c r="P42" s="23">
        <v>0</v>
      </c>
      <c r="Q42" s="11">
        <f>H42*R42</f>
        <v>0</v>
      </c>
      <c r="R42" s="23">
        <v>0</v>
      </c>
      <c r="S42" s="46">
        <f t="shared" si="57"/>
        <v>0</v>
      </c>
      <c r="T42" s="47">
        <f t="shared" si="58"/>
        <v>0</v>
      </c>
      <c r="U42" s="48">
        <f t="shared" si="59"/>
        <v>0</v>
      </c>
      <c r="V42" s="165">
        <f t="shared" si="60"/>
        <v>0</v>
      </c>
    </row>
    <row r="43" spans="1:22" ht="20" customHeight="1" x14ac:dyDescent="0.2">
      <c r="D43" s="11"/>
      <c r="E43" s="11"/>
      <c r="F43" s="23"/>
      <c r="G43" s="11"/>
      <c r="H43" s="23"/>
      <c r="I43" s="11"/>
      <c r="J43" s="23"/>
      <c r="K43" s="11"/>
      <c r="L43" s="23"/>
      <c r="M43" s="11"/>
      <c r="N43" s="23"/>
      <c r="O43" s="11"/>
      <c r="P43" s="23"/>
      <c r="Q43" s="11"/>
      <c r="R43" s="23"/>
      <c r="S43" s="11"/>
      <c r="T43" s="268"/>
      <c r="U43" s="11"/>
      <c r="V43" s="268"/>
    </row>
    <row r="44" spans="1:22" ht="20" customHeight="1" x14ac:dyDescent="0.2">
      <c r="C44" s="40" t="s">
        <v>97</v>
      </c>
      <c r="D44" s="54">
        <f>SUM(D33:D42)</f>
        <v>271.83999999999997</v>
      </c>
      <c r="E44" s="49">
        <f>SUM(E33:E42)</f>
        <v>266.39999999999998</v>
      </c>
      <c r="F44" s="50">
        <f>E44/$D$44</f>
        <v>0.97998822836962918</v>
      </c>
      <c r="G44" s="49">
        <f t="shared" ref="G44" si="65">SUM(G33:G42)</f>
        <v>0</v>
      </c>
      <c r="H44" s="50">
        <f t="shared" ref="H44" si="66">G44/$D$44</f>
        <v>0</v>
      </c>
      <c r="I44" s="49">
        <f t="shared" ref="I44" si="67">SUM(I33:I42)</f>
        <v>0</v>
      </c>
      <c r="J44" s="50">
        <f t="shared" ref="J44" si="68">I44/$D$44</f>
        <v>0</v>
      </c>
      <c r="K44" s="49">
        <f t="shared" ref="K44" si="69">SUM(K33:K42)</f>
        <v>0</v>
      </c>
      <c r="L44" s="50">
        <f t="shared" ref="L44" si="70">K44/$D$44</f>
        <v>0</v>
      </c>
      <c r="M44" s="49">
        <f t="shared" ref="M44" si="71">SUM(M33:M42)</f>
        <v>4.2</v>
      </c>
      <c r="N44" s="50">
        <f t="shared" ref="N44" si="72">M44/$D$44</f>
        <v>1.5450264861683344E-2</v>
      </c>
      <c r="O44" s="49">
        <f t="shared" ref="O44" si="73">SUM(O33:O42)</f>
        <v>0</v>
      </c>
      <c r="P44" s="50">
        <f t="shared" ref="P44" si="74">O44/$D$44</f>
        <v>0</v>
      </c>
      <c r="Q44" s="49">
        <f t="shared" ref="Q44" si="75">SUM(Q33:Q42)</f>
        <v>0</v>
      </c>
      <c r="R44" s="50">
        <f t="shared" ref="R44" si="76">Q44/$D$44</f>
        <v>0</v>
      </c>
      <c r="S44" s="17">
        <f>SUM(S33:S42)</f>
        <v>270.59999999999997</v>
      </c>
      <c r="T44" s="51">
        <f>S44/$D$44</f>
        <v>0.9954384932313125</v>
      </c>
      <c r="U44" s="17">
        <f>SUM(U33:U42)</f>
        <v>270.59999999999997</v>
      </c>
      <c r="V44" s="51">
        <f>U44/$D$44</f>
        <v>0.9954384932313125</v>
      </c>
    </row>
    <row r="45" spans="1:22" ht="20" customHeight="1" x14ac:dyDescent="0.2">
      <c r="C45" s="25"/>
      <c r="D45" s="28"/>
      <c r="E45" s="21"/>
      <c r="F45" s="21"/>
      <c r="G45" s="24"/>
      <c r="H45" s="10"/>
      <c r="I45" s="24"/>
      <c r="J45" s="10"/>
      <c r="K45" s="10"/>
      <c r="L45" s="10"/>
      <c r="M45" s="10"/>
      <c r="N45" s="10"/>
      <c r="O45" s="10"/>
      <c r="P45" s="10"/>
      <c r="Q45" s="10"/>
      <c r="R45" s="10"/>
      <c r="S45" s="52">
        <f>D44-S44</f>
        <v>1.2400000000000091</v>
      </c>
      <c r="T45" s="53">
        <f>S45/D44</f>
        <v>4.5615067686874972E-3</v>
      </c>
    </row>
    <row r="46" spans="1:22" ht="20" customHeight="1" x14ac:dyDescent="0.2">
      <c r="C46" s="25"/>
      <c r="D46" s="28"/>
      <c r="E46" s="21"/>
      <c r="F46" s="21"/>
      <c r="G46" s="24"/>
      <c r="H46" s="10"/>
      <c r="I46" s="24"/>
      <c r="J46" s="10"/>
      <c r="K46" s="10"/>
      <c r="L46" s="10"/>
      <c r="M46" s="10"/>
      <c r="N46" s="10"/>
      <c r="O46" s="10"/>
      <c r="P46" s="10"/>
      <c r="Q46" s="10"/>
      <c r="R46" s="10"/>
      <c r="S46" s="21"/>
      <c r="T46" s="269"/>
    </row>
    <row r="47" spans="1:22" ht="20" customHeight="1" x14ac:dyDescent="0.2">
      <c r="A47" s="8" t="s">
        <v>270</v>
      </c>
      <c r="B47" s="8">
        <v>13</v>
      </c>
      <c r="C47" s="1" t="s">
        <v>90</v>
      </c>
      <c r="D47" s="11">
        <v>181.8</v>
      </c>
      <c r="E47" s="11">
        <f t="shared" ref="E47:E48" si="77">D47*F47</f>
        <v>0</v>
      </c>
      <c r="F47" s="23">
        <v>0</v>
      </c>
      <c r="G47" s="11">
        <v>100</v>
      </c>
      <c r="H47" s="23">
        <v>0</v>
      </c>
      <c r="I47" s="11">
        <f>D47*J47</f>
        <v>0</v>
      </c>
      <c r="J47" s="23">
        <v>0</v>
      </c>
      <c r="K47" s="11">
        <f>D47*L47</f>
        <v>0</v>
      </c>
      <c r="L47" s="23">
        <v>0</v>
      </c>
      <c r="M47" s="11">
        <f>D47*N47</f>
        <v>0</v>
      </c>
      <c r="N47" s="23">
        <v>0</v>
      </c>
      <c r="O47" s="11">
        <f>P47*D47</f>
        <v>0</v>
      </c>
      <c r="P47" s="23">
        <v>0</v>
      </c>
      <c r="Q47" s="11">
        <f>R47*D47</f>
        <v>0</v>
      </c>
      <c r="R47" s="23">
        <v>0</v>
      </c>
      <c r="S47" s="46">
        <f>E47+G47+I47+K47+M47+O47+Q47</f>
        <v>100</v>
      </c>
      <c r="T47" s="47">
        <f>S47/D47</f>
        <v>0.55005500550054998</v>
      </c>
      <c r="U47" s="48">
        <f>E47+G47+I47+K47+M47</f>
        <v>100</v>
      </c>
      <c r="V47" s="165">
        <f>U47/D47</f>
        <v>0.55005500550054998</v>
      </c>
    </row>
    <row r="48" spans="1:22" ht="20" customHeight="1" x14ac:dyDescent="0.2">
      <c r="C48" s="1" t="s">
        <v>91</v>
      </c>
      <c r="D48" s="11">
        <v>100.38</v>
      </c>
      <c r="E48" s="11">
        <f t="shared" si="77"/>
        <v>0</v>
      </c>
      <c r="F48" s="23">
        <v>0</v>
      </c>
      <c r="G48" s="11">
        <f>D48*H48</f>
        <v>0</v>
      </c>
      <c r="H48" s="23">
        <v>0</v>
      </c>
      <c r="I48" s="11">
        <f>D48*J48</f>
        <v>0</v>
      </c>
      <c r="J48" s="23">
        <v>0</v>
      </c>
      <c r="K48" s="11">
        <f>D48*L48</f>
        <v>0</v>
      </c>
      <c r="L48" s="23">
        <v>0</v>
      </c>
      <c r="M48" s="11">
        <f>D48*N48</f>
        <v>0</v>
      </c>
      <c r="N48" s="23">
        <v>0</v>
      </c>
      <c r="O48" s="11">
        <f>F48*P48</f>
        <v>0</v>
      </c>
      <c r="P48" s="23">
        <v>0</v>
      </c>
      <c r="Q48" s="11">
        <f>H48*R48</f>
        <v>0</v>
      </c>
      <c r="R48" s="23">
        <v>0</v>
      </c>
      <c r="S48" s="46">
        <f>E48+G48+I48+K48+M48+O48+Q48</f>
        <v>0</v>
      </c>
      <c r="T48" s="47">
        <f>S48/D48</f>
        <v>0</v>
      </c>
      <c r="U48" s="48">
        <f>E48+G48+I48+K48+M48</f>
        <v>0</v>
      </c>
      <c r="V48" s="165">
        <f>U48/D48</f>
        <v>0</v>
      </c>
    </row>
    <row r="49" spans="1:22" ht="20" customHeight="1" x14ac:dyDescent="0.2">
      <c r="C49" s="25"/>
      <c r="D49" s="28"/>
      <c r="E49" s="21"/>
      <c r="F49" s="21"/>
      <c r="G49" s="24"/>
      <c r="H49" s="10"/>
      <c r="I49" s="24"/>
      <c r="J49" s="10"/>
      <c r="K49" s="10"/>
      <c r="L49" s="10"/>
      <c r="M49" s="10"/>
      <c r="N49" s="10"/>
      <c r="O49" s="10"/>
      <c r="P49" s="10"/>
      <c r="Q49" s="10"/>
      <c r="R49" s="10"/>
      <c r="S49" s="21"/>
      <c r="T49" s="269"/>
    </row>
    <row r="50" spans="1:22" ht="20" customHeight="1" x14ac:dyDescent="0.2">
      <c r="C50" s="40" t="s">
        <v>97</v>
      </c>
      <c r="D50" s="54">
        <f>SUM(D47:D48)</f>
        <v>282.18</v>
      </c>
      <c r="E50" s="49">
        <f>SUM(E47:E48)</f>
        <v>0</v>
      </c>
      <c r="F50" s="50">
        <f>E50/$D$50</f>
        <v>0</v>
      </c>
      <c r="G50" s="49">
        <f t="shared" ref="G50" si="78">SUM(G47:G48)</f>
        <v>100</v>
      </c>
      <c r="H50" s="50">
        <f t="shared" ref="H50" si="79">G50/$D$50</f>
        <v>0.35438372669926999</v>
      </c>
      <c r="I50" s="49">
        <f t="shared" ref="I50" si="80">SUM(I47:I48)</f>
        <v>0</v>
      </c>
      <c r="J50" s="50">
        <f t="shared" ref="J50" si="81">I50/$D$50</f>
        <v>0</v>
      </c>
      <c r="K50" s="49">
        <f t="shared" ref="K50" si="82">SUM(K47:K48)</f>
        <v>0</v>
      </c>
      <c r="L50" s="50">
        <f t="shared" ref="L50" si="83">K50/$D$50</f>
        <v>0</v>
      </c>
      <c r="M50" s="49">
        <f t="shared" ref="M50" si="84">SUM(M47:M48)</f>
        <v>0</v>
      </c>
      <c r="N50" s="50">
        <f t="shared" ref="N50" si="85">M50/$D$50</f>
        <v>0</v>
      </c>
      <c r="O50" s="49">
        <f t="shared" ref="O50" si="86">SUM(O47:O48)</f>
        <v>0</v>
      </c>
      <c r="P50" s="50">
        <f t="shared" ref="P50" si="87">O50/$D$50</f>
        <v>0</v>
      </c>
      <c r="Q50" s="49">
        <f t="shared" ref="Q50" si="88">SUM(Q47:Q48)</f>
        <v>0</v>
      </c>
      <c r="R50" s="50">
        <f t="shared" ref="R50" si="89">Q50/$D$50</f>
        <v>0</v>
      </c>
      <c r="S50" s="17">
        <f>SUM(S47:S48)</f>
        <v>100</v>
      </c>
      <c r="T50" s="51">
        <f>S50/D50</f>
        <v>0.35438372669926999</v>
      </c>
      <c r="U50" s="17">
        <f>SUM(U47:U48)</f>
        <v>100</v>
      </c>
      <c r="V50" s="51">
        <f>U50/D50</f>
        <v>0.35438372669926999</v>
      </c>
    </row>
    <row r="51" spans="1:22" ht="20" customHeight="1" x14ac:dyDescent="0.2">
      <c r="C51" s="25"/>
      <c r="D51" s="28"/>
      <c r="E51" s="21"/>
      <c r="F51" s="21"/>
      <c r="G51" s="24"/>
      <c r="H51" s="10"/>
      <c r="I51" s="24"/>
      <c r="J51" s="10"/>
      <c r="K51" s="10"/>
      <c r="L51" s="10"/>
      <c r="M51" s="10"/>
      <c r="N51" s="10"/>
      <c r="O51" s="10"/>
      <c r="P51" s="10"/>
      <c r="Q51" s="10"/>
      <c r="R51" s="10"/>
      <c r="S51" s="21"/>
      <c r="T51" s="269"/>
    </row>
    <row r="52" spans="1:22" ht="20" customHeight="1" x14ac:dyDescent="0.2">
      <c r="C52" s="25"/>
      <c r="D52" s="28"/>
      <c r="E52" s="21"/>
      <c r="F52" s="21"/>
      <c r="G52" s="24"/>
      <c r="H52" s="10"/>
      <c r="I52" s="24"/>
      <c r="J52" s="10"/>
      <c r="K52" s="10"/>
      <c r="L52" s="10"/>
      <c r="M52" s="10"/>
      <c r="N52" s="10"/>
      <c r="O52" s="10"/>
      <c r="P52" s="10"/>
      <c r="Q52" s="10"/>
      <c r="R52" s="10"/>
      <c r="S52" s="21"/>
      <c r="T52" s="269"/>
    </row>
    <row r="53" spans="1:22" ht="20" customHeight="1" x14ac:dyDescent="0.2">
      <c r="A53" s="8" t="s">
        <v>277</v>
      </c>
      <c r="B53" s="8">
        <v>14</v>
      </c>
      <c r="C53" s="1" t="s">
        <v>90</v>
      </c>
      <c r="D53" s="11">
        <v>61</v>
      </c>
      <c r="E53" s="11">
        <f t="shared" ref="E53:E56" si="90">D53*F53</f>
        <v>0</v>
      </c>
      <c r="F53" s="23">
        <v>0</v>
      </c>
      <c r="G53" s="11">
        <f>H53*D53</f>
        <v>30.5</v>
      </c>
      <c r="H53" s="23">
        <v>0.5</v>
      </c>
      <c r="I53" s="11">
        <f>D53*J53</f>
        <v>30.5</v>
      </c>
      <c r="J53" s="23">
        <v>0.5</v>
      </c>
      <c r="K53" s="11">
        <f>D53*L53</f>
        <v>15.25</v>
      </c>
      <c r="L53" s="23">
        <v>0.25</v>
      </c>
      <c r="M53" s="11">
        <f>F53*N53</f>
        <v>0</v>
      </c>
      <c r="N53" s="23">
        <v>0</v>
      </c>
      <c r="O53" s="11">
        <f>P53*D53</f>
        <v>0</v>
      </c>
      <c r="P53" s="23">
        <v>0</v>
      </c>
      <c r="Q53" s="11">
        <f>R53*D53</f>
        <v>0</v>
      </c>
      <c r="R53" s="23">
        <v>0</v>
      </c>
      <c r="S53" s="46">
        <f>E53+G53+I53+K53+M53+O53+Q53</f>
        <v>76.25</v>
      </c>
      <c r="T53" s="47">
        <f>S53/D53</f>
        <v>1.25</v>
      </c>
      <c r="U53" s="48">
        <f>E53+G53+I53+K53+M53</f>
        <v>76.25</v>
      </c>
      <c r="V53" s="165">
        <f>U53/D53</f>
        <v>1.25</v>
      </c>
    </row>
    <row r="54" spans="1:22" ht="20" customHeight="1" x14ac:dyDescent="0.2">
      <c r="A54" s="8"/>
      <c r="B54" s="8"/>
      <c r="C54" s="1" t="s">
        <v>91</v>
      </c>
      <c r="D54" s="11">
        <v>33.79</v>
      </c>
      <c r="E54" s="11">
        <f t="shared" si="90"/>
        <v>0</v>
      </c>
      <c r="F54" s="23">
        <v>0</v>
      </c>
      <c r="G54" s="11">
        <f>D54*H54</f>
        <v>0</v>
      </c>
      <c r="H54" s="23">
        <v>0</v>
      </c>
      <c r="I54" s="11">
        <f>D54*J54</f>
        <v>0</v>
      </c>
      <c r="J54" s="23">
        <v>0</v>
      </c>
      <c r="K54" s="11">
        <f>D54*L54</f>
        <v>0</v>
      </c>
      <c r="L54" s="23">
        <v>0</v>
      </c>
      <c r="M54" s="11">
        <f>F54*N54</f>
        <v>0</v>
      </c>
      <c r="N54" s="23">
        <v>0</v>
      </c>
      <c r="O54" s="11">
        <f t="shared" ref="O54:O56" si="91">H54*P54</f>
        <v>0</v>
      </c>
      <c r="P54" s="23">
        <v>0</v>
      </c>
      <c r="Q54" s="11">
        <f t="shared" ref="Q54:Q56" si="92">J54*R54</f>
        <v>0</v>
      </c>
      <c r="R54" s="23">
        <v>0</v>
      </c>
      <c r="S54" s="46">
        <f>E54+G54+I54+K54+M54+O54+Q54</f>
        <v>0</v>
      </c>
      <c r="T54" s="47">
        <f>S54/D54</f>
        <v>0</v>
      </c>
      <c r="U54" s="48">
        <f>E54+G54+I54+K54+M54</f>
        <v>0</v>
      </c>
      <c r="V54" s="165">
        <f>U54/D54</f>
        <v>0</v>
      </c>
    </row>
    <row r="55" spans="1:22" ht="20" customHeight="1" x14ac:dyDescent="0.2">
      <c r="B55" s="8">
        <v>15</v>
      </c>
      <c r="C55" s="1" t="s">
        <v>90</v>
      </c>
      <c r="D55" s="11">
        <v>181.4</v>
      </c>
      <c r="E55" s="11">
        <f t="shared" si="90"/>
        <v>0</v>
      </c>
      <c r="F55" s="23">
        <v>0</v>
      </c>
      <c r="G55" s="11">
        <f>H55*D55</f>
        <v>90.7</v>
      </c>
      <c r="H55" s="23">
        <v>0.5</v>
      </c>
      <c r="I55" s="11">
        <f>D55*J55</f>
        <v>90.7</v>
      </c>
      <c r="J55" s="23">
        <v>0.5</v>
      </c>
      <c r="K55" s="11">
        <f>D55*L55</f>
        <v>45.35</v>
      </c>
      <c r="L55" s="23">
        <v>0.25</v>
      </c>
      <c r="M55" s="11">
        <f>F55*N55</f>
        <v>0</v>
      </c>
      <c r="N55" s="23">
        <v>0</v>
      </c>
      <c r="O55" s="11">
        <f t="shared" si="91"/>
        <v>0</v>
      </c>
      <c r="P55" s="23">
        <v>0</v>
      </c>
      <c r="Q55" s="11">
        <f t="shared" si="92"/>
        <v>0</v>
      </c>
      <c r="R55" s="23">
        <v>0</v>
      </c>
      <c r="S55" s="46">
        <f>E55+G55+I55+K55+M55+O55+Q55</f>
        <v>226.75</v>
      </c>
      <c r="T55" s="47">
        <f>S55/D55</f>
        <v>1.25</v>
      </c>
      <c r="U55" s="48">
        <f>E55+G55+I55+K55+M55</f>
        <v>226.75</v>
      </c>
      <c r="V55" s="165">
        <f>U55/D55</f>
        <v>1.25</v>
      </c>
    </row>
    <row r="56" spans="1:22" ht="20" customHeight="1" x14ac:dyDescent="0.2">
      <c r="B56" s="8"/>
      <c r="C56" s="1" t="s">
        <v>91</v>
      </c>
      <c r="D56" s="11">
        <v>100.38</v>
      </c>
      <c r="E56" s="11">
        <f t="shared" si="90"/>
        <v>0</v>
      </c>
      <c r="F56" s="23">
        <v>0</v>
      </c>
      <c r="G56" s="11">
        <f>D56*H56</f>
        <v>0</v>
      </c>
      <c r="H56" s="23">
        <v>0</v>
      </c>
      <c r="I56" s="11">
        <f>D56*J56</f>
        <v>0</v>
      </c>
      <c r="J56" s="23">
        <v>0</v>
      </c>
      <c r="K56" s="11">
        <f>D56*L56</f>
        <v>0</v>
      </c>
      <c r="L56" s="23">
        <v>0</v>
      </c>
      <c r="M56" s="11">
        <f>F56*N56</f>
        <v>0</v>
      </c>
      <c r="N56" s="23">
        <v>0</v>
      </c>
      <c r="O56" s="11">
        <f t="shared" si="91"/>
        <v>0</v>
      </c>
      <c r="P56" s="23">
        <v>0</v>
      </c>
      <c r="Q56" s="11">
        <f t="shared" si="92"/>
        <v>0</v>
      </c>
      <c r="R56" s="23">
        <v>0</v>
      </c>
      <c r="S56" s="46">
        <f>E56+G56+I56+K56+M56+O56+Q56</f>
        <v>0</v>
      </c>
      <c r="T56" s="47">
        <f>S56/D56</f>
        <v>0</v>
      </c>
      <c r="U56" s="48">
        <f>E56+G56+I56+K56+M56</f>
        <v>0</v>
      </c>
      <c r="V56" s="165">
        <f>U56/D56</f>
        <v>0</v>
      </c>
    </row>
    <row r="57" spans="1:22" ht="20" customHeight="1" x14ac:dyDescent="0.2"/>
    <row r="58" spans="1:22" ht="20" customHeight="1" x14ac:dyDescent="0.2">
      <c r="C58" s="40" t="s">
        <v>97</v>
      </c>
      <c r="D58" s="54">
        <f>SUM(D53:D56)</f>
        <v>376.57</v>
      </c>
      <c r="E58" s="49">
        <f>SUM(E53:E56)</f>
        <v>0</v>
      </c>
      <c r="F58" s="50">
        <f>E58/$D$58</f>
        <v>0</v>
      </c>
      <c r="G58" s="49">
        <f t="shared" ref="G58" si="93">SUM(G53:G56)</f>
        <v>121.2</v>
      </c>
      <c r="H58" s="50">
        <f t="shared" ref="H58" si="94">G58/$D$58</f>
        <v>0.32185251082136124</v>
      </c>
      <c r="I58" s="49">
        <f t="shared" ref="I58" si="95">SUM(I53:I56)</f>
        <v>121.2</v>
      </c>
      <c r="J58" s="50">
        <f t="shared" ref="J58" si="96">I58/$D$58</f>
        <v>0.32185251082136124</v>
      </c>
      <c r="K58" s="49">
        <f t="shared" ref="K58" si="97">SUM(K53:K56)</f>
        <v>60.6</v>
      </c>
      <c r="L58" s="50">
        <f t="shared" ref="L58" si="98">K58/$D$58</f>
        <v>0.16092625541068062</v>
      </c>
      <c r="M58" s="49">
        <f t="shared" ref="M58" si="99">SUM(M53:M56)</f>
        <v>0</v>
      </c>
      <c r="N58" s="50">
        <f t="shared" ref="N58" si="100">M58/$D$58</f>
        <v>0</v>
      </c>
      <c r="O58" s="49">
        <f t="shared" ref="O58" si="101">SUM(O53:O56)</f>
        <v>0</v>
      </c>
      <c r="P58" s="50">
        <f t="shared" ref="P58" si="102">O58/$D$58</f>
        <v>0</v>
      </c>
      <c r="Q58" s="49">
        <f t="shared" ref="Q58" si="103">SUM(Q53:Q56)</f>
        <v>0</v>
      </c>
      <c r="R58" s="50">
        <f t="shared" ref="R58" si="104">Q58/$D$58</f>
        <v>0</v>
      </c>
      <c r="S58" s="17">
        <f>SUM(S53:S56)</f>
        <v>303</v>
      </c>
      <c r="T58" s="51">
        <f>S58/D58</f>
        <v>0.80463127705340309</v>
      </c>
      <c r="U58" s="17">
        <f>SUM(U53:U56)</f>
        <v>303</v>
      </c>
      <c r="V58" s="51">
        <f>U58/D58</f>
        <v>0.80463127705340309</v>
      </c>
    </row>
    <row r="59" spans="1:22" ht="20" customHeight="1" x14ac:dyDescent="0.2">
      <c r="C59" s="270"/>
      <c r="D59" s="271"/>
      <c r="E59" s="21"/>
      <c r="F59" s="272"/>
      <c r="G59" s="21"/>
      <c r="H59" s="272"/>
      <c r="I59" s="21"/>
      <c r="J59" s="272"/>
      <c r="K59" s="21"/>
      <c r="L59" s="272"/>
      <c r="M59" s="21"/>
      <c r="N59" s="272"/>
      <c r="O59" s="21"/>
      <c r="P59" s="272"/>
      <c r="Q59" s="21"/>
      <c r="R59" s="272"/>
      <c r="S59" s="273"/>
      <c r="T59" s="274"/>
      <c r="U59" s="273"/>
      <c r="V59" s="274"/>
    </row>
    <row r="60" spans="1:22" ht="20" customHeight="1" x14ac:dyDescent="0.2">
      <c r="A60" s="8" t="s">
        <v>278</v>
      </c>
      <c r="B60" s="8" t="s">
        <v>281</v>
      </c>
      <c r="C60" s="1" t="s">
        <v>90</v>
      </c>
      <c r="D60" s="11">
        <v>76.44</v>
      </c>
      <c r="E60" s="11">
        <f t="shared" ref="E60:E63" si="105">D60*F60</f>
        <v>0</v>
      </c>
      <c r="F60" s="23">
        <v>0</v>
      </c>
      <c r="G60" s="11">
        <f t="shared" ref="G60:G65" si="106">D60*H60</f>
        <v>0</v>
      </c>
      <c r="H60" s="23">
        <v>0</v>
      </c>
      <c r="I60" s="11">
        <f t="shared" ref="I60:I65" si="107">D60*J60</f>
        <v>0</v>
      </c>
      <c r="J60" s="23">
        <v>0</v>
      </c>
      <c r="K60" s="11">
        <f t="shared" ref="K60:K65" si="108">D60*L60</f>
        <v>0</v>
      </c>
      <c r="L60" s="23">
        <v>0</v>
      </c>
      <c r="M60" s="11">
        <f t="shared" ref="M60:M65" si="109">F60*N60</f>
        <v>0</v>
      </c>
      <c r="N60" s="23">
        <v>0</v>
      </c>
      <c r="O60" s="11">
        <f>P60*D60</f>
        <v>0</v>
      </c>
      <c r="P60" s="23">
        <v>0</v>
      </c>
      <c r="Q60" s="11">
        <f>R60*D60</f>
        <v>0</v>
      </c>
      <c r="R60" s="23">
        <v>0</v>
      </c>
      <c r="S60" s="46">
        <f t="shared" ref="S60:S65" si="110">E60+G60+I60+K60+M60+O60+Q60</f>
        <v>0</v>
      </c>
      <c r="T60" s="47">
        <f t="shared" ref="T60:T65" si="111">S60/D60</f>
        <v>0</v>
      </c>
      <c r="U60" s="48">
        <f t="shared" ref="U60:U65" si="112">E60+G60+I60+K60+M60</f>
        <v>0</v>
      </c>
      <c r="V60" s="165">
        <f t="shared" ref="V60:V65" si="113">U60/D60</f>
        <v>0</v>
      </c>
    </row>
    <row r="61" spans="1:22" ht="20" customHeight="1" x14ac:dyDescent="0.2">
      <c r="A61" s="8"/>
      <c r="B61" s="8"/>
      <c r="C61" s="1" t="s">
        <v>91</v>
      </c>
      <c r="D61" s="11">
        <v>0</v>
      </c>
      <c r="E61" s="11">
        <f t="shared" si="105"/>
        <v>0</v>
      </c>
      <c r="F61" s="23">
        <v>0</v>
      </c>
      <c r="G61" s="11">
        <f t="shared" si="106"/>
        <v>0</v>
      </c>
      <c r="H61" s="23">
        <v>0</v>
      </c>
      <c r="I61" s="11">
        <f t="shared" si="107"/>
        <v>0</v>
      </c>
      <c r="J61" s="23">
        <v>0</v>
      </c>
      <c r="K61" s="11">
        <f t="shared" si="108"/>
        <v>0</v>
      </c>
      <c r="L61" s="23">
        <v>0</v>
      </c>
      <c r="M61" s="11">
        <f t="shared" si="109"/>
        <v>0</v>
      </c>
      <c r="N61" s="23">
        <v>0</v>
      </c>
      <c r="O61" s="11">
        <f t="shared" ref="O61:O63" si="114">H61*P61</f>
        <v>0</v>
      </c>
      <c r="P61" s="23">
        <v>0</v>
      </c>
      <c r="Q61" s="11">
        <f t="shared" ref="Q61:Q63" si="115">J61*R61</f>
        <v>0</v>
      </c>
      <c r="R61" s="23">
        <v>0</v>
      </c>
      <c r="S61" s="46">
        <f t="shared" si="110"/>
        <v>0</v>
      </c>
      <c r="T61" s="47" t="e">
        <f t="shared" si="111"/>
        <v>#DIV/0!</v>
      </c>
      <c r="U61" s="48">
        <f t="shared" si="112"/>
        <v>0</v>
      </c>
      <c r="V61" s="165" t="e">
        <f t="shared" si="113"/>
        <v>#DIV/0!</v>
      </c>
    </row>
    <row r="62" spans="1:22" ht="20" customHeight="1" x14ac:dyDescent="0.2">
      <c r="B62" s="8" t="s">
        <v>280</v>
      </c>
      <c r="C62" s="1" t="s">
        <v>90</v>
      </c>
      <c r="D62" s="11">
        <f>16.2*4+22.3+47.92+28.125+37.4+131</f>
        <v>331.54499999999996</v>
      </c>
      <c r="E62" s="11">
        <f t="shared" si="105"/>
        <v>0</v>
      </c>
      <c r="F62" s="23">
        <v>0</v>
      </c>
      <c r="G62" s="11">
        <f t="shared" si="106"/>
        <v>165.77249999999998</v>
      </c>
      <c r="H62" s="23">
        <v>0.5</v>
      </c>
      <c r="I62" s="11">
        <f t="shared" si="107"/>
        <v>165.77249999999998</v>
      </c>
      <c r="J62" s="23">
        <v>0.5</v>
      </c>
      <c r="K62" s="11">
        <f t="shared" si="108"/>
        <v>0</v>
      </c>
      <c r="L62" s="23">
        <v>0</v>
      </c>
      <c r="M62" s="11">
        <f t="shared" si="109"/>
        <v>0</v>
      </c>
      <c r="N62" s="23">
        <v>0</v>
      </c>
      <c r="O62" s="11">
        <f t="shared" si="114"/>
        <v>0</v>
      </c>
      <c r="P62" s="23">
        <v>0</v>
      </c>
      <c r="Q62" s="11">
        <f t="shared" si="115"/>
        <v>0</v>
      </c>
      <c r="R62" s="23">
        <v>0</v>
      </c>
      <c r="S62" s="46">
        <f t="shared" si="110"/>
        <v>331.54499999999996</v>
      </c>
      <c r="T62" s="47">
        <f t="shared" si="111"/>
        <v>1</v>
      </c>
      <c r="U62" s="48">
        <f t="shared" si="112"/>
        <v>331.54499999999996</v>
      </c>
      <c r="V62" s="165">
        <f t="shared" si="113"/>
        <v>1</v>
      </c>
    </row>
    <row r="63" spans="1:22" ht="20" customHeight="1" x14ac:dyDescent="0.2">
      <c r="B63" s="8"/>
      <c r="C63" s="1" t="s">
        <v>91</v>
      </c>
      <c r="D63" s="11">
        <v>0</v>
      </c>
      <c r="E63" s="11">
        <f t="shared" si="105"/>
        <v>0</v>
      </c>
      <c r="F63" s="23">
        <v>0</v>
      </c>
      <c r="G63" s="11">
        <f t="shared" si="106"/>
        <v>0</v>
      </c>
      <c r="H63" s="23">
        <v>0</v>
      </c>
      <c r="I63" s="11">
        <f t="shared" si="107"/>
        <v>0</v>
      </c>
      <c r="J63" s="23">
        <v>0</v>
      </c>
      <c r="K63" s="11">
        <f t="shared" si="108"/>
        <v>0</v>
      </c>
      <c r="L63" s="23">
        <v>0</v>
      </c>
      <c r="M63" s="11">
        <f t="shared" si="109"/>
        <v>0</v>
      </c>
      <c r="N63" s="23">
        <v>0</v>
      </c>
      <c r="O63" s="11">
        <f t="shared" si="114"/>
        <v>0</v>
      </c>
      <c r="P63" s="23">
        <v>0</v>
      </c>
      <c r="Q63" s="11">
        <f t="shared" si="115"/>
        <v>0</v>
      </c>
      <c r="R63" s="23">
        <v>0</v>
      </c>
      <c r="S63" s="46">
        <f t="shared" si="110"/>
        <v>0</v>
      </c>
      <c r="T63" s="47" t="e">
        <f t="shared" si="111"/>
        <v>#DIV/0!</v>
      </c>
      <c r="U63" s="48">
        <f t="shared" si="112"/>
        <v>0</v>
      </c>
      <c r="V63" s="165" t="e">
        <f t="shared" si="113"/>
        <v>#DIV/0!</v>
      </c>
    </row>
    <row r="64" spans="1:22" ht="20" customHeight="1" x14ac:dyDescent="0.2">
      <c r="B64" s="8" t="s">
        <v>279</v>
      </c>
      <c r="C64" s="1" t="s">
        <v>90</v>
      </c>
      <c r="D64" s="11">
        <v>76.44</v>
      </c>
      <c r="E64" s="11">
        <f t="shared" ref="E64:E65" si="116">D64*F64</f>
        <v>0</v>
      </c>
      <c r="F64" s="23">
        <v>0</v>
      </c>
      <c r="G64" s="11">
        <f t="shared" si="106"/>
        <v>0</v>
      </c>
      <c r="H64" s="23">
        <v>0</v>
      </c>
      <c r="I64" s="11">
        <f t="shared" si="107"/>
        <v>0</v>
      </c>
      <c r="J64" s="23">
        <v>0</v>
      </c>
      <c r="K64" s="11">
        <f t="shared" si="108"/>
        <v>0</v>
      </c>
      <c r="L64" s="23">
        <v>0</v>
      </c>
      <c r="M64" s="11">
        <f t="shared" si="109"/>
        <v>0</v>
      </c>
      <c r="N64" s="23">
        <v>0</v>
      </c>
      <c r="O64" s="11">
        <f t="shared" ref="O64:O65" si="117">H64*P64</f>
        <v>0</v>
      </c>
      <c r="P64" s="23">
        <v>0</v>
      </c>
      <c r="Q64" s="11">
        <f t="shared" ref="Q64:Q65" si="118">J64*R64</f>
        <v>0</v>
      </c>
      <c r="R64" s="23">
        <v>0</v>
      </c>
      <c r="S64" s="46">
        <f t="shared" si="110"/>
        <v>0</v>
      </c>
      <c r="T64" s="47">
        <f t="shared" si="111"/>
        <v>0</v>
      </c>
      <c r="U64" s="48">
        <f t="shared" si="112"/>
        <v>0</v>
      </c>
      <c r="V64" s="165">
        <f t="shared" si="113"/>
        <v>0</v>
      </c>
    </row>
    <row r="65" spans="2:22" ht="20" customHeight="1" x14ac:dyDescent="0.2">
      <c r="B65" s="8"/>
      <c r="C65" s="1" t="s">
        <v>91</v>
      </c>
      <c r="D65" s="11">
        <v>0</v>
      </c>
      <c r="E65" s="11">
        <f t="shared" si="116"/>
        <v>0</v>
      </c>
      <c r="F65" s="23">
        <v>0</v>
      </c>
      <c r="G65" s="11">
        <f t="shared" si="106"/>
        <v>0</v>
      </c>
      <c r="H65" s="23">
        <v>0</v>
      </c>
      <c r="I65" s="11">
        <f t="shared" si="107"/>
        <v>0</v>
      </c>
      <c r="J65" s="23">
        <v>0</v>
      </c>
      <c r="K65" s="11">
        <f t="shared" si="108"/>
        <v>0</v>
      </c>
      <c r="L65" s="23">
        <v>0</v>
      </c>
      <c r="M65" s="11">
        <f t="shared" si="109"/>
        <v>0</v>
      </c>
      <c r="N65" s="23">
        <v>0</v>
      </c>
      <c r="O65" s="11">
        <f t="shared" si="117"/>
        <v>0</v>
      </c>
      <c r="P65" s="23">
        <v>0</v>
      </c>
      <c r="Q65" s="11">
        <f t="shared" si="118"/>
        <v>0</v>
      </c>
      <c r="R65" s="23">
        <v>0</v>
      </c>
      <c r="S65" s="46">
        <f t="shared" si="110"/>
        <v>0</v>
      </c>
      <c r="T65" s="47" t="e">
        <f t="shared" si="111"/>
        <v>#DIV/0!</v>
      </c>
      <c r="U65" s="48">
        <f t="shared" si="112"/>
        <v>0</v>
      </c>
      <c r="V65" s="165" t="e">
        <f t="shared" si="113"/>
        <v>#DIV/0!</v>
      </c>
    </row>
    <row r="66" spans="2:22" ht="20" customHeight="1" x14ac:dyDescent="0.2">
      <c r="B66" s="8"/>
      <c r="D66" s="11"/>
      <c r="E66" s="11"/>
      <c r="F66" s="268"/>
      <c r="G66" s="11"/>
      <c r="H66" s="268"/>
      <c r="I66" s="11"/>
      <c r="J66" s="268"/>
      <c r="K66" s="11"/>
      <c r="L66" s="268"/>
      <c r="M66" s="11"/>
      <c r="N66" s="268"/>
      <c r="O66" s="11"/>
      <c r="P66" s="268"/>
      <c r="Q66" s="11"/>
      <c r="R66" s="268"/>
      <c r="S66" s="11"/>
      <c r="T66" s="268"/>
      <c r="U66" s="11"/>
      <c r="V66" s="268"/>
    </row>
    <row r="67" spans="2:22" ht="20" customHeight="1" x14ac:dyDescent="0.2">
      <c r="C67" s="40" t="s">
        <v>97</v>
      </c>
      <c r="D67" s="54">
        <f>SUM(D60:D65)</f>
        <v>484.42499999999995</v>
      </c>
      <c r="E67" s="49">
        <f>SUM(E60:E65)</f>
        <v>0</v>
      </c>
      <c r="F67" s="50">
        <f>E67/$D$67</f>
        <v>0</v>
      </c>
      <c r="G67" s="49">
        <f t="shared" ref="G67" si="119">SUM(G60:G65)</f>
        <v>165.77249999999998</v>
      </c>
      <c r="H67" s="50">
        <f t="shared" ref="H67" si="120">G67/$D$67</f>
        <v>0.3422046756463849</v>
      </c>
      <c r="I67" s="49">
        <f t="shared" ref="I67" si="121">SUM(I60:I65)</f>
        <v>165.77249999999998</v>
      </c>
      <c r="J67" s="50">
        <f t="shared" ref="J67" si="122">I67/$D$67</f>
        <v>0.3422046756463849</v>
      </c>
      <c r="K67" s="49">
        <f t="shared" ref="K67" si="123">SUM(K60:K65)</f>
        <v>0</v>
      </c>
      <c r="L67" s="50">
        <f t="shared" ref="L67" si="124">K67/$D$67</f>
        <v>0</v>
      </c>
      <c r="M67" s="49">
        <f t="shared" ref="M67" si="125">SUM(M60:M65)</f>
        <v>0</v>
      </c>
      <c r="N67" s="50">
        <f t="shared" ref="N67" si="126">M67/$D$67</f>
        <v>0</v>
      </c>
      <c r="O67" s="49">
        <f t="shared" ref="O67" si="127">SUM(O60:O65)</f>
        <v>0</v>
      </c>
      <c r="P67" s="50">
        <f t="shared" ref="P67" si="128">O67/$D$67</f>
        <v>0</v>
      </c>
      <c r="Q67" s="49">
        <f t="shared" ref="Q67" si="129">SUM(Q60:Q65)</f>
        <v>0</v>
      </c>
      <c r="R67" s="50">
        <f t="shared" ref="R67" si="130">Q67/$D$67</f>
        <v>0</v>
      </c>
      <c r="S67" s="17">
        <f>SUM(S60:S65)</f>
        <v>331.54499999999996</v>
      </c>
      <c r="T67" s="51">
        <f>S67/D67</f>
        <v>0.68440935129276981</v>
      </c>
      <c r="U67" s="17">
        <f>SUM(U60:U65)</f>
        <v>331.54499999999996</v>
      </c>
      <c r="V67" s="51">
        <f>U67/D67</f>
        <v>0.68440935129276981</v>
      </c>
    </row>
    <row r="68" spans="2:22" ht="20" customHeight="1" x14ac:dyDescent="0.2">
      <c r="C68" s="270"/>
      <c r="D68" s="271"/>
      <c r="E68" s="21"/>
      <c r="F68" s="272"/>
      <c r="G68" s="21"/>
      <c r="H68" s="272"/>
      <c r="I68" s="21"/>
      <c r="J68" s="272"/>
      <c r="K68" s="21"/>
      <c r="L68" s="272"/>
      <c r="M68" s="21"/>
      <c r="N68" s="272"/>
      <c r="O68" s="21"/>
      <c r="P68" s="272"/>
      <c r="Q68" s="21"/>
      <c r="R68" s="272"/>
      <c r="S68" s="273"/>
      <c r="T68" s="274"/>
      <c r="U68" s="273"/>
      <c r="V68" s="274"/>
    </row>
    <row r="69" spans="2:22" ht="20" customHeight="1" x14ac:dyDescent="0.2">
      <c r="C69" s="63" t="s">
        <v>99</v>
      </c>
      <c r="D69" s="41">
        <f>D16+D22+D30+D44+D50+D58+D67</f>
        <v>2436.4249999999997</v>
      </c>
      <c r="E69" s="64"/>
      <c r="F69" s="64"/>
      <c r="G69" s="65"/>
      <c r="H69" s="65"/>
      <c r="I69" s="65"/>
      <c r="J69" s="65"/>
      <c r="K69" s="307" t="s">
        <v>98</v>
      </c>
      <c r="L69" s="307"/>
      <c r="M69" s="307"/>
      <c r="N69" s="307"/>
      <c r="O69" s="267"/>
      <c r="P69" s="267"/>
      <c r="Q69" s="267"/>
      <c r="R69" s="267"/>
      <c r="S69" s="41">
        <f>S16+S22+S30+S44+S50+S58+S67</f>
        <v>2241.83</v>
      </c>
      <c r="T69" s="62">
        <f>S69/D69</f>
        <v>0.92013092953815534</v>
      </c>
      <c r="U69" s="219">
        <f>U16+U22+U30+U44</f>
        <v>1172.6880000000001</v>
      </c>
      <c r="V69" s="62">
        <f>U69/D69</f>
        <v>0.48131504150548454</v>
      </c>
    </row>
    <row r="70" spans="2:22" ht="20" customHeight="1" x14ac:dyDescent="0.2">
      <c r="S70" s="52">
        <f>D69-S69</f>
        <v>194.5949999999998</v>
      </c>
      <c r="T70" s="53">
        <f>S70/D69</f>
        <v>7.9869070461844632E-2</v>
      </c>
    </row>
    <row r="71" spans="2:22" ht="20" customHeight="1" x14ac:dyDescent="0.2"/>
    <row r="72" spans="2:22" ht="20" customHeight="1" x14ac:dyDescent="0.2">
      <c r="D72" s="308"/>
      <c r="E72" s="309"/>
      <c r="F72" s="309"/>
      <c r="G72" s="309"/>
      <c r="H72" s="309"/>
      <c r="I72" s="309"/>
      <c r="J72" s="309"/>
      <c r="K72" s="309"/>
      <c r="L72" s="309"/>
      <c r="M72" s="309"/>
      <c r="N72" s="309"/>
      <c r="O72" s="78"/>
      <c r="P72" s="78"/>
      <c r="S72" s="67"/>
      <c r="T72" s="67">
        <v>0.59</v>
      </c>
    </row>
    <row r="73" spans="2:22" ht="20" customHeight="1" x14ac:dyDescent="0.2">
      <c r="D73" s="309"/>
      <c r="E73" s="309"/>
      <c r="F73" s="309"/>
      <c r="G73" s="309"/>
      <c r="H73" s="309"/>
      <c r="I73" s="309"/>
      <c r="J73" s="309"/>
      <c r="K73" s="309"/>
      <c r="L73" s="309"/>
      <c r="M73" s="309"/>
      <c r="N73" s="309"/>
      <c r="O73" s="78"/>
      <c r="P73" s="78"/>
      <c r="S73" s="66"/>
      <c r="T73" s="67">
        <v>0.41</v>
      </c>
    </row>
  </sheetData>
  <mergeCells count="19">
    <mergeCell ref="A1:I1"/>
    <mergeCell ref="I3:J3"/>
    <mergeCell ref="E2:F2"/>
    <mergeCell ref="G2:H2"/>
    <mergeCell ref="I2:J2"/>
    <mergeCell ref="U3:V3"/>
    <mergeCell ref="K69:N69"/>
    <mergeCell ref="D72:N73"/>
    <mergeCell ref="S3:T3"/>
    <mergeCell ref="M2:N2"/>
    <mergeCell ref="M3:N3"/>
    <mergeCell ref="K3:L3"/>
    <mergeCell ref="K2:L2"/>
    <mergeCell ref="E3:F3"/>
    <mergeCell ref="G3:H3"/>
    <mergeCell ref="O3:P3"/>
    <mergeCell ref="Q3:R3"/>
    <mergeCell ref="O2:P2"/>
    <mergeCell ref="Q2:R2"/>
  </mergeCells>
  <phoneticPr fontId="10" type="noConversion"/>
  <pageMargins left="0.7" right="0.7" top="0.75" bottom="0.75" header="0.3" footer="0.3"/>
  <pageSetup scale="9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DC050-3134-4674-90D1-B301E26B5A94}">
  <sheetPr>
    <tabColor rgb="FFA7C9D2"/>
  </sheetPr>
  <dimension ref="A1:V54"/>
  <sheetViews>
    <sheetView zoomScale="70" zoomScaleNormal="70" workbookViewId="0">
      <pane xSplit="4" ySplit="1" topLeftCell="J34" activePane="bottomRight" state="frozen"/>
      <selection pane="topRight" activeCell="F1" sqref="F1"/>
      <selection pane="bottomLeft" activeCell="A6" sqref="A6"/>
      <selection pane="bottomRight" activeCell="S50" sqref="S50"/>
    </sheetView>
  </sheetViews>
  <sheetFormatPr baseColWidth="10" defaultColWidth="11.5" defaultRowHeight="14" x14ac:dyDescent="0.2"/>
  <cols>
    <col min="1" max="1" width="13.5" style="10" customWidth="1"/>
    <col min="2" max="2" width="10.6640625" style="10" customWidth="1"/>
    <col min="3" max="3" width="38.5" style="1" customWidth="1"/>
    <col min="4" max="5" width="12.6640625" style="10" customWidth="1"/>
    <col min="6" max="6" width="10.6640625" style="10" customWidth="1"/>
    <col min="7" max="7" width="12.6640625" style="1" customWidth="1"/>
    <col min="8" max="8" width="10.6640625" style="1" customWidth="1"/>
    <col min="9" max="22" width="12.6640625" style="1" customWidth="1"/>
    <col min="23" max="16384" width="11.5" style="1"/>
  </cols>
  <sheetData>
    <row r="1" spans="1:22" ht="41.5" customHeight="1" x14ac:dyDescent="0.2">
      <c r="A1" s="313" t="s">
        <v>285</v>
      </c>
      <c r="B1" s="313"/>
      <c r="C1" s="313"/>
      <c r="D1" s="313"/>
      <c r="E1" s="313"/>
      <c r="F1" s="313"/>
      <c r="G1" s="313"/>
      <c r="H1" s="313"/>
      <c r="I1" s="313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spans="1:22" ht="25.25" customHeight="1" x14ac:dyDescent="0.2">
      <c r="A2" s="2"/>
      <c r="B2" s="2"/>
      <c r="C2" s="3"/>
      <c r="D2" s="2"/>
      <c r="E2" s="310" t="s">
        <v>266</v>
      </c>
      <c r="F2" s="310"/>
      <c r="G2" s="310" t="s">
        <v>272</v>
      </c>
      <c r="H2" s="311"/>
      <c r="I2" s="310" t="s">
        <v>271</v>
      </c>
      <c r="J2" s="311"/>
      <c r="K2" s="310" t="s">
        <v>273</v>
      </c>
      <c r="L2" s="311"/>
      <c r="M2" s="310" t="s">
        <v>274</v>
      </c>
      <c r="N2" s="311"/>
      <c r="O2" s="310" t="s">
        <v>275</v>
      </c>
      <c r="P2" s="311"/>
      <c r="Q2" s="310" t="s">
        <v>276</v>
      </c>
      <c r="R2" s="311"/>
      <c r="S2" s="117"/>
      <c r="T2" s="117"/>
      <c r="U2" s="117"/>
      <c r="V2" s="117"/>
    </row>
    <row r="3" spans="1:22" ht="47" customHeight="1" x14ac:dyDescent="0.2">
      <c r="A3" s="2" t="s">
        <v>87</v>
      </c>
      <c r="B3" s="2" t="s">
        <v>86</v>
      </c>
      <c r="C3" s="2" t="s">
        <v>35</v>
      </c>
      <c r="D3" s="2" t="s">
        <v>15</v>
      </c>
      <c r="E3" s="312" t="s">
        <v>17</v>
      </c>
      <c r="F3" s="312"/>
      <c r="G3" s="312" t="s">
        <v>18</v>
      </c>
      <c r="H3" s="312"/>
      <c r="I3" s="312" t="s">
        <v>80</v>
      </c>
      <c r="J3" s="312"/>
      <c r="K3" s="312" t="s">
        <v>81</v>
      </c>
      <c r="L3" s="312"/>
      <c r="M3" s="312" t="s">
        <v>89</v>
      </c>
      <c r="N3" s="312"/>
      <c r="O3" s="312" t="s">
        <v>130</v>
      </c>
      <c r="P3" s="312"/>
      <c r="Q3" s="312" t="s">
        <v>131</v>
      </c>
      <c r="R3" s="312"/>
      <c r="S3" s="306" t="s">
        <v>19</v>
      </c>
      <c r="T3" s="306"/>
      <c r="U3" s="306" t="s">
        <v>240</v>
      </c>
      <c r="V3" s="306"/>
    </row>
    <row r="4" spans="1:22" ht="23" customHeight="1" x14ac:dyDescent="0.2">
      <c r="A4" s="43"/>
      <c r="B4" s="43"/>
      <c r="C4" s="43"/>
      <c r="D4" s="43"/>
      <c r="E4" s="44" t="s">
        <v>15</v>
      </c>
      <c r="F4" s="44" t="s">
        <v>16</v>
      </c>
      <c r="G4" s="44" t="s">
        <v>15</v>
      </c>
      <c r="H4" s="44" t="s">
        <v>16</v>
      </c>
      <c r="I4" s="44" t="s">
        <v>15</v>
      </c>
      <c r="J4" s="44" t="s">
        <v>16</v>
      </c>
      <c r="K4" s="44" t="s">
        <v>15</v>
      </c>
      <c r="L4" s="44" t="s">
        <v>16</v>
      </c>
      <c r="M4" s="44" t="s">
        <v>15</v>
      </c>
      <c r="N4" s="44" t="s">
        <v>16</v>
      </c>
      <c r="O4" s="44" t="s">
        <v>15</v>
      </c>
      <c r="P4" s="44" t="s">
        <v>16</v>
      </c>
      <c r="Q4" s="44" t="s">
        <v>15</v>
      </c>
      <c r="R4" s="44" t="s">
        <v>16</v>
      </c>
      <c r="S4" s="45" t="s">
        <v>15</v>
      </c>
      <c r="T4" s="45" t="s">
        <v>16</v>
      </c>
      <c r="U4" s="44" t="s">
        <v>15</v>
      </c>
      <c r="V4" s="44" t="s">
        <v>16</v>
      </c>
    </row>
    <row r="5" spans="1:22" ht="20" customHeight="1" x14ac:dyDescent="0.2">
      <c r="A5" s="8" t="s">
        <v>265</v>
      </c>
      <c r="B5" s="8">
        <v>1</v>
      </c>
      <c r="C5" s="1" t="s">
        <v>286</v>
      </c>
      <c r="D5" s="11">
        <v>30</v>
      </c>
      <c r="E5" s="11">
        <f t="shared" ref="E5:E9" si="0">D5*F5</f>
        <v>0</v>
      </c>
      <c r="F5" s="23">
        <v>0</v>
      </c>
      <c r="G5" s="11">
        <f>D5*H5</f>
        <v>0</v>
      </c>
      <c r="H5" s="23">
        <v>0</v>
      </c>
      <c r="I5" s="11">
        <f>D5*J5</f>
        <v>0</v>
      </c>
      <c r="J5" s="23">
        <v>0</v>
      </c>
      <c r="K5" s="11">
        <f>D5*L5</f>
        <v>0</v>
      </c>
      <c r="L5" s="23">
        <v>0</v>
      </c>
      <c r="M5" s="11">
        <f>N5*D5</f>
        <v>0</v>
      </c>
      <c r="N5" s="23">
        <v>0</v>
      </c>
      <c r="O5" s="11">
        <f>P5*D5</f>
        <v>30</v>
      </c>
      <c r="P5" s="23">
        <v>1</v>
      </c>
      <c r="Q5" s="11">
        <f>R5*D5</f>
        <v>0</v>
      </c>
      <c r="R5" s="23">
        <v>0</v>
      </c>
      <c r="S5" s="46">
        <f>E5+G5+I5+K5+M5+O5+Q5</f>
        <v>30</v>
      </c>
      <c r="T5" s="47">
        <f>S5/D5</f>
        <v>1</v>
      </c>
      <c r="U5" s="48">
        <f>E5+G5+I5+K5+M5</f>
        <v>0</v>
      </c>
      <c r="V5" s="165">
        <f>U5/D5</f>
        <v>0</v>
      </c>
    </row>
    <row r="6" spans="1:22" ht="20" customHeight="1" x14ac:dyDescent="0.2">
      <c r="B6" s="8">
        <v>2</v>
      </c>
      <c r="C6" s="1" t="s">
        <v>286</v>
      </c>
      <c r="D6" s="11">
        <v>15.2</v>
      </c>
      <c r="E6" s="11">
        <f t="shared" si="0"/>
        <v>0</v>
      </c>
      <c r="F6" s="23">
        <v>0</v>
      </c>
      <c r="G6" s="11">
        <f>D6*H6</f>
        <v>0</v>
      </c>
      <c r="H6" s="23">
        <v>0</v>
      </c>
      <c r="I6" s="11">
        <f>D6*J6</f>
        <v>0</v>
      </c>
      <c r="J6" s="23">
        <v>0</v>
      </c>
      <c r="K6" s="11">
        <f>D6*L6</f>
        <v>0</v>
      </c>
      <c r="L6" s="23">
        <v>0</v>
      </c>
      <c r="M6" s="11">
        <f>N6*D6</f>
        <v>0</v>
      </c>
      <c r="N6" s="23">
        <v>0</v>
      </c>
      <c r="O6" s="11">
        <f>P6*D6</f>
        <v>15.2</v>
      </c>
      <c r="P6" s="23">
        <v>1</v>
      </c>
      <c r="Q6" s="11">
        <f>R6*D6</f>
        <v>0</v>
      </c>
      <c r="R6" s="23">
        <v>0</v>
      </c>
      <c r="S6" s="46">
        <f>E6+G6+I6+K6+M6+O6+Q6</f>
        <v>15.2</v>
      </c>
      <c r="T6" s="47">
        <f>S6/D6</f>
        <v>1</v>
      </c>
      <c r="U6" s="48">
        <f>E6+G6+I6+K6+M6</f>
        <v>0</v>
      </c>
      <c r="V6" s="165">
        <f>U6/D6</f>
        <v>0</v>
      </c>
    </row>
    <row r="7" spans="1:22" ht="20" customHeight="1" x14ac:dyDescent="0.2">
      <c r="B7" s="8">
        <v>3</v>
      </c>
      <c r="C7" s="1" t="s">
        <v>286</v>
      </c>
      <c r="D7" s="11">
        <v>1</v>
      </c>
      <c r="E7" s="11">
        <f t="shared" si="0"/>
        <v>0</v>
      </c>
      <c r="F7" s="23">
        <v>0</v>
      </c>
      <c r="G7" s="11">
        <f>D7*H7</f>
        <v>0</v>
      </c>
      <c r="H7" s="23">
        <v>0</v>
      </c>
      <c r="I7" s="11">
        <f>D7*J7</f>
        <v>0</v>
      </c>
      <c r="J7" s="23">
        <v>0</v>
      </c>
      <c r="K7" s="11">
        <f>D7*L7</f>
        <v>1</v>
      </c>
      <c r="L7" s="23">
        <v>1</v>
      </c>
      <c r="M7" s="11">
        <f>N7*D7</f>
        <v>0</v>
      </c>
      <c r="N7" s="23">
        <v>0</v>
      </c>
      <c r="O7" s="11">
        <f>P7*D7</f>
        <v>0</v>
      </c>
      <c r="P7" s="23">
        <v>0</v>
      </c>
      <c r="Q7" s="11">
        <f>R7*D7</f>
        <v>0</v>
      </c>
      <c r="R7" s="23">
        <v>0</v>
      </c>
      <c r="S7" s="46">
        <f>E7+G7+I7+K7+M7+O7+Q7</f>
        <v>1</v>
      </c>
      <c r="T7" s="47">
        <f>S7/D7</f>
        <v>1</v>
      </c>
      <c r="U7" s="48">
        <f>E7+G7+I7+K7+M7</f>
        <v>1</v>
      </c>
      <c r="V7" s="165">
        <f>U7/D7</f>
        <v>1</v>
      </c>
    </row>
    <row r="8" spans="1:22" ht="20" customHeight="1" x14ac:dyDescent="0.2">
      <c r="B8" s="8">
        <v>4</v>
      </c>
      <c r="C8" s="1" t="s">
        <v>286</v>
      </c>
      <c r="D8" s="11">
        <v>15.2</v>
      </c>
      <c r="E8" s="11">
        <f t="shared" si="0"/>
        <v>0</v>
      </c>
      <c r="F8" s="23">
        <v>0</v>
      </c>
      <c r="G8" s="11">
        <f>D8*H8</f>
        <v>0</v>
      </c>
      <c r="H8" s="23">
        <v>0</v>
      </c>
      <c r="I8" s="11">
        <f>D8*J8</f>
        <v>0</v>
      </c>
      <c r="J8" s="23">
        <v>0</v>
      </c>
      <c r="K8" s="11">
        <f>D8*L8</f>
        <v>15.2</v>
      </c>
      <c r="L8" s="23">
        <v>1</v>
      </c>
      <c r="M8" s="11">
        <f>N8*D8</f>
        <v>0</v>
      </c>
      <c r="N8" s="23">
        <v>0</v>
      </c>
      <c r="O8" s="11">
        <f>P8*D8</f>
        <v>0</v>
      </c>
      <c r="P8" s="23">
        <v>0</v>
      </c>
      <c r="Q8" s="11">
        <f>R8*D8</f>
        <v>0</v>
      </c>
      <c r="R8" s="23">
        <v>0</v>
      </c>
      <c r="S8" s="46">
        <f>E8+G8+I8+K8+M8+O8+Q8</f>
        <v>15.2</v>
      </c>
      <c r="T8" s="47">
        <f>S8/D8</f>
        <v>1</v>
      </c>
      <c r="U8" s="48">
        <f>E8+G8+I8+K8+M8</f>
        <v>15.2</v>
      </c>
      <c r="V8" s="165">
        <f>U8/D8</f>
        <v>1</v>
      </c>
    </row>
    <row r="9" spans="1:22" ht="20" customHeight="1" x14ac:dyDescent="0.2">
      <c r="B9" s="8">
        <v>5</v>
      </c>
      <c r="C9" s="1" t="s">
        <v>286</v>
      </c>
      <c r="D9" s="11">
        <v>30</v>
      </c>
      <c r="E9" s="11">
        <f t="shared" si="0"/>
        <v>0</v>
      </c>
      <c r="F9" s="23">
        <v>0</v>
      </c>
      <c r="G9" s="11">
        <f>D9*H9</f>
        <v>30</v>
      </c>
      <c r="H9" s="23">
        <v>1</v>
      </c>
      <c r="I9" s="11">
        <f>D9*J9</f>
        <v>0</v>
      </c>
      <c r="J9" s="23">
        <v>0</v>
      </c>
      <c r="K9" s="11">
        <f>D9*L9</f>
        <v>0</v>
      </c>
      <c r="L9" s="23">
        <v>0</v>
      </c>
      <c r="M9" s="11">
        <f>N9*D9</f>
        <v>0</v>
      </c>
      <c r="N9" s="23">
        <v>0</v>
      </c>
      <c r="O9" s="11">
        <f>P9*D9</f>
        <v>0</v>
      </c>
      <c r="P9" s="23">
        <v>0</v>
      </c>
      <c r="Q9" s="11">
        <f>R9*D9</f>
        <v>0</v>
      </c>
      <c r="R9" s="23">
        <v>0</v>
      </c>
      <c r="S9" s="46">
        <f>E9+G9+I9+K9+M9+O9+Q9</f>
        <v>30</v>
      </c>
      <c r="T9" s="47">
        <f>S9/D9</f>
        <v>1</v>
      </c>
      <c r="U9" s="48">
        <f>E9+G9+I9+K9+M9</f>
        <v>30</v>
      </c>
      <c r="V9" s="165">
        <f>U9/D9</f>
        <v>1</v>
      </c>
    </row>
    <row r="10" spans="1:22" ht="20" customHeight="1" x14ac:dyDescent="0.2"/>
    <row r="11" spans="1:22" ht="20" customHeight="1" x14ac:dyDescent="0.2">
      <c r="C11" s="40" t="s">
        <v>97</v>
      </c>
      <c r="D11" s="54">
        <f>SUM(D5:D9)</f>
        <v>91.4</v>
      </c>
      <c r="E11" s="49">
        <f>SUM(E5:E9)</f>
        <v>0</v>
      </c>
      <c r="F11" s="50">
        <f>E11/$D$11</f>
        <v>0</v>
      </c>
      <c r="G11" s="49">
        <f>SUM(G5:G9)</f>
        <v>30</v>
      </c>
      <c r="H11" s="50">
        <f t="shared" ref="H11" si="1">G11/$D$11</f>
        <v>0.32822757111597373</v>
      </c>
      <c r="I11" s="49">
        <f>SUM(I5:I9)</f>
        <v>0</v>
      </c>
      <c r="J11" s="50">
        <f t="shared" ref="J11" si="2">I11/$D$11</f>
        <v>0</v>
      </c>
      <c r="K11" s="49">
        <f>SUM(K5:K9)</f>
        <v>16.2</v>
      </c>
      <c r="L11" s="50">
        <f t="shared" ref="L11" si="3">K11/$D$11</f>
        <v>0.17724288840262581</v>
      </c>
      <c r="M11" s="49">
        <f>SUM(M5:M9)</f>
        <v>0</v>
      </c>
      <c r="N11" s="50">
        <f t="shared" ref="N11" si="4">M11/$D$11</f>
        <v>0</v>
      </c>
      <c r="O11" s="49">
        <f>SUM(O5:O9)</f>
        <v>45.2</v>
      </c>
      <c r="P11" s="50">
        <f t="shared" ref="P11" si="5">O11/$D$11</f>
        <v>0.49452954048140046</v>
      </c>
      <c r="Q11" s="49">
        <f>SUM(Q5:Q9)</f>
        <v>0</v>
      </c>
      <c r="R11" s="50">
        <f t="shared" ref="R11" si="6">Q11/$D$11</f>
        <v>0</v>
      </c>
      <c r="S11" s="17">
        <f>SUM(S5:S9)</f>
        <v>91.4</v>
      </c>
      <c r="T11" s="51">
        <f>S11/D11</f>
        <v>1</v>
      </c>
      <c r="U11" s="17">
        <f>SUM(U5:U9)</f>
        <v>46.2</v>
      </c>
      <c r="V11" s="51">
        <f>U11/$D$11</f>
        <v>0.50547045951859959</v>
      </c>
    </row>
    <row r="12" spans="1:22" ht="20" customHeight="1" x14ac:dyDescent="0.2">
      <c r="C12" s="25"/>
      <c r="D12" s="61"/>
      <c r="E12" s="21"/>
      <c r="F12" s="21"/>
      <c r="G12" s="24"/>
      <c r="H12" s="10"/>
      <c r="I12" s="24"/>
      <c r="J12" s="10"/>
      <c r="K12" s="10"/>
      <c r="L12" s="10"/>
      <c r="M12" s="10"/>
      <c r="N12" s="10"/>
      <c r="O12" s="10"/>
      <c r="P12" s="10"/>
      <c r="Q12" s="10"/>
      <c r="R12" s="10"/>
      <c r="S12" s="52">
        <f>D11-S11</f>
        <v>0</v>
      </c>
      <c r="T12" s="53">
        <f>S12/D11</f>
        <v>0</v>
      </c>
    </row>
    <row r="13" spans="1:22" ht="20" customHeight="1" x14ac:dyDescent="0.2">
      <c r="C13" s="27"/>
      <c r="D13" s="26"/>
      <c r="E13" s="11"/>
      <c r="F13" s="11"/>
      <c r="G13" s="11"/>
      <c r="I13" s="11"/>
    </row>
    <row r="14" spans="1:22" ht="20" customHeight="1" x14ac:dyDescent="0.2">
      <c r="A14" s="8" t="s">
        <v>267</v>
      </c>
      <c r="B14" s="8">
        <v>6</v>
      </c>
      <c r="C14" s="1" t="s">
        <v>286</v>
      </c>
      <c r="D14" s="11">
        <v>166</v>
      </c>
      <c r="E14" s="11">
        <f t="shared" ref="E14" si="7">D14*F14</f>
        <v>0</v>
      </c>
      <c r="F14" s="23">
        <v>0</v>
      </c>
      <c r="G14" s="11">
        <f>D14*H14</f>
        <v>166</v>
      </c>
      <c r="H14" s="23">
        <v>1</v>
      </c>
      <c r="I14" s="11">
        <f>D14*J14</f>
        <v>0</v>
      </c>
      <c r="J14" s="23">
        <v>0</v>
      </c>
      <c r="K14" s="11">
        <f>D14*L14</f>
        <v>0</v>
      </c>
      <c r="L14" s="23">
        <v>0</v>
      </c>
      <c r="M14" s="11">
        <f>D14*N14</f>
        <v>0</v>
      </c>
      <c r="N14" s="23">
        <v>0</v>
      </c>
      <c r="O14" s="11">
        <f>P14*D14</f>
        <v>0</v>
      </c>
      <c r="P14" s="23">
        <v>0</v>
      </c>
      <c r="Q14" s="11">
        <f>R14*D14</f>
        <v>0</v>
      </c>
      <c r="R14" s="23">
        <v>0</v>
      </c>
      <c r="S14" s="46">
        <f>E14+G14+I14+K14+M14+O14+Q14</f>
        <v>166</v>
      </c>
      <c r="T14" s="47">
        <f>S14/D14</f>
        <v>1</v>
      </c>
      <c r="U14" s="48">
        <f>E14+G14+I14+K14+M14</f>
        <v>166</v>
      </c>
      <c r="V14" s="165">
        <f>U14/D14</f>
        <v>1</v>
      </c>
    </row>
    <row r="15" spans="1:22" ht="20" customHeight="1" x14ac:dyDescent="0.2">
      <c r="D15" s="11"/>
      <c r="E15" s="11"/>
      <c r="F15" s="23"/>
      <c r="G15" s="11"/>
      <c r="H15" s="23"/>
      <c r="I15" s="11"/>
      <c r="J15" s="23"/>
      <c r="K15" s="11"/>
      <c r="L15" s="23"/>
      <c r="M15" s="11"/>
      <c r="N15" s="23"/>
      <c r="O15" s="11"/>
      <c r="P15" s="23"/>
      <c r="Q15" s="11"/>
      <c r="R15" s="23"/>
      <c r="S15" s="23"/>
      <c r="T15" s="23"/>
    </row>
    <row r="16" spans="1:22" ht="20" customHeight="1" x14ac:dyDescent="0.2">
      <c r="C16" s="40" t="s">
        <v>97</v>
      </c>
      <c r="D16" s="54">
        <f>SUM(D14:D14)</f>
        <v>166</v>
      </c>
      <c r="E16" s="49">
        <f>SUM(E14:E14)</f>
        <v>0</v>
      </c>
      <c r="F16" s="50">
        <f>E16/$D$16</f>
        <v>0</v>
      </c>
      <c r="G16" s="49">
        <f>SUM(G14:G14)</f>
        <v>166</v>
      </c>
      <c r="H16" s="50">
        <f t="shared" ref="H16" si="8">G16/$D$16</f>
        <v>1</v>
      </c>
      <c r="I16" s="49">
        <f>SUM(I14:I14)</f>
        <v>0</v>
      </c>
      <c r="J16" s="50">
        <f t="shared" ref="J16" si="9">I16/$D$16</f>
        <v>0</v>
      </c>
      <c r="K16" s="49">
        <f>SUM(K14:K14)</f>
        <v>0</v>
      </c>
      <c r="L16" s="50">
        <f t="shared" ref="L16" si="10">K16/$D$16</f>
        <v>0</v>
      </c>
      <c r="M16" s="49">
        <f>SUM(M14:M14)</f>
        <v>0</v>
      </c>
      <c r="N16" s="50">
        <f t="shared" ref="N16" si="11">M16/$D$16</f>
        <v>0</v>
      </c>
      <c r="O16" s="49">
        <f>SUM(O14:O14)</f>
        <v>0</v>
      </c>
      <c r="P16" s="50">
        <f t="shared" ref="P16" si="12">O16/$D$16</f>
        <v>0</v>
      </c>
      <c r="Q16" s="49">
        <f>SUM(Q14:Q14)</f>
        <v>0</v>
      </c>
      <c r="R16" s="50">
        <f t="shared" ref="R16" si="13">Q16/$D$16</f>
        <v>0</v>
      </c>
      <c r="S16" s="17">
        <f>SUM(S14:S14)</f>
        <v>166</v>
      </c>
      <c r="T16" s="51">
        <f>S16/$D$16</f>
        <v>1</v>
      </c>
      <c r="U16" s="17">
        <f>SUM(U14:U14)</f>
        <v>166</v>
      </c>
      <c r="V16" s="51">
        <f>U16/D16</f>
        <v>1</v>
      </c>
    </row>
    <row r="17" spans="1:22" ht="20" customHeight="1" x14ac:dyDescent="0.2">
      <c r="C17" s="25"/>
      <c r="D17" s="28"/>
      <c r="E17" s="21"/>
      <c r="F17" s="21"/>
      <c r="G17" s="24"/>
      <c r="H17" s="10"/>
      <c r="I17" s="24"/>
      <c r="J17" s="10"/>
      <c r="K17" s="10"/>
      <c r="L17" s="10"/>
      <c r="M17" s="10"/>
      <c r="N17" s="10"/>
      <c r="O17" s="10"/>
      <c r="P17" s="10"/>
      <c r="Q17" s="10"/>
      <c r="R17" s="10"/>
      <c r="S17" s="52">
        <f>D16-S16</f>
        <v>0</v>
      </c>
      <c r="T17" s="53">
        <f>S17/D16</f>
        <v>0</v>
      </c>
    </row>
    <row r="18" spans="1:22" ht="20" customHeight="1" x14ac:dyDescent="0.2"/>
    <row r="19" spans="1:22" ht="20" customHeight="1" x14ac:dyDescent="0.2">
      <c r="A19" s="8" t="s">
        <v>268</v>
      </c>
      <c r="B19" s="8">
        <v>1</v>
      </c>
      <c r="C19" s="1" t="s">
        <v>286</v>
      </c>
      <c r="D19" s="11">
        <v>1</v>
      </c>
      <c r="E19" s="11">
        <f t="shared" ref="E19:E20" si="14">D19*F19</f>
        <v>0</v>
      </c>
      <c r="F19" s="23">
        <v>0</v>
      </c>
      <c r="G19" s="11">
        <f>D19*H19</f>
        <v>0</v>
      </c>
      <c r="H19" s="23">
        <v>0</v>
      </c>
      <c r="I19" s="11">
        <f>D19*J19</f>
        <v>0</v>
      </c>
      <c r="J19" s="23">
        <v>0</v>
      </c>
      <c r="K19" s="11">
        <f>D19*L19</f>
        <v>0</v>
      </c>
      <c r="L19" s="23">
        <v>0</v>
      </c>
      <c r="M19" s="11">
        <f>F19*N19</f>
        <v>0</v>
      </c>
      <c r="N19" s="23">
        <v>0</v>
      </c>
      <c r="O19" s="11">
        <f>P19*D19</f>
        <v>0</v>
      </c>
      <c r="P19" s="23">
        <v>0</v>
      </c>
      <c r="Q19" s="11">
        <f>R19*D19</f>
        <v>0</v>
      </c>
      <c r="R19" s="23">
        <v>0</v>
      </c>
      <c r="S19" s="46">
        <f>E19+G19+I19+K19+M19+O19+Q19</f>
        <v>0</v>
      </c>
      <c r="T19" s="47">
        <f>S19/D19</f>
        <v>0</v>
      </c>
      <c r="U19" s="48">
        <f>E19+G19+I19+K19+M19</f>
        <v>0</v>
      </c>
      <c r="V19" s="165">
        <f>U19/D19</f>
        <v>0</v>
      </c>
    </row>
    <row r="20" spans="1:22" ht="20" customHeight="1" x14ac:dyDescent="0.2">
      <c r="B20" s="8">
        <v>7</v>
      </c>
      <c r="C20" s="1" t="s">
        <v>286</v>
      </c>
      <c r="D20" s="11">
        <v>179.8</v>
      </c>
      <c r="E20" s="11">
        <f t="shared" si="14"/>
        <v>0</v>
      </c>
      <c r="F20" s="23">
        <v>0</v>
      </c>
      <c r="G20" s="11">
        <f>D20*H20</f>
        <v>0</v>
      </c>
      <c r="H20" s="23">
        <v>0</v>
      </c>
      <c r="I20" s="11">
        <f>D20*J20</f>
        <v>179.8</v>
      </c>
      <c r="J20" s="23">
        <v>1</v>
      </c>
      <c r="K20" s="11">
        <f>D20*L20</f>
        <v>0</v>
      </c>
      <c r="L20" s="23">
        <v>0</v>
      </c>
      <c r="M20" s="11">
        <f>F20*N20</f>
        <v>0</v>
      </c>
      <c r="N20" s="23">
        <v>0</v>
      </c>
      <c r="O20" s="11">
        <f t="shared" ref="O20" si="15">H20*P20</f>
        <v>0</v>
      </c>
      <c r="P20" s="23">
        <v>0</v>
      </c>
      <c r="Q20" s="11">
        <f t="shared" ref="Q20" si="16">J20*R20</f>
        <v>0</v>
      </c>
      <c r="R20" s="23">
        <v>0</v>
      </c>
      <c r="S20" s="46">
        <f>E20+G20+I20+K20+M20+O20+Q20</f>
        <v>179.8</v>
      </c>
      <c r="T20" s="47">
        <f>S20/D20</f>
        <v>1</v>
      </c>
      <c r="U20" s="48">
        <f>E20+G20+I20+K20+M20</f>
        <v>179.8</v>
      </c>
      <c r="V20" s="165">
        <f>U20/D20</f>
        <v>1</v>
      </c>
    </row>
    <row r="21" spans="1:22" ht="20" customHeight="1" x14ac:dyDescent="0.2"/>
    <row r="22" spans="1:22" ht="20" customHeight="1" x14ac:dyDescent="0.2">
      <c r="C22" s="40" t="s">
        <v>97</v>
      </c>
      <c r="D22" s="54">
        <f>SUM(D19:D20)</f>
        <v>180.8</v>
      </c>
      <c r="E22" s="49">
        <f>SUM(E19:E20)</f>
        <v>0</v>
      </c>
      <c r="F22" s="50">
        <f>E22/$D$22</f>
        <v>0</v>
      </c>
      <c r="G22" s="49">
        <f>SUM(G19:G20)</f>
        <v>0</v>
      </c>
      <c r="H22" s="50">
        <f t="shared" ref="H22" si="17">G22/$D$22</f>
        <v>0</v>
      </c>
      <c r="I22" s="49">
        <f>SUM(I19:I20)</f>
        <v>179.8</v>
      </c>
      <c r="J22" s="50">
        <f t="shared" ref="J22" si="18">I22/$D$22</f>
        <v>0.99446902654867253</v>
      </c>
      <c r="K22" s="49">
        <f>SUM(K19:K20)</f>
        <v>0</v>
      </c>
      <c r="L22" s="50">
        <f t="shared" ref="L22" si="19">K22/$D$22</f>
        <v>0</v>
      </c>
      <c r="M22" s="49">
        <f>SUM(M19:M20)</f>
        <v>0</v>
      </c>
      <c r="N22" s="50">
        <f t="shared" ref="N22" si="20">M22/$D$22</f>
        <v>0</v>
      </c>
      <c r="O22" s="49">
        <f>SUM(O19:O20)</f>
        <v>0</v>
      </c>
      <c r="P22" s="50">
        <f t="shared" ref="P22" si="21">O22/$D$22</f>
        <v>0</v>
      </c>
      <c r="Q22" s="49">
        <f>SUM(Q19:Q20)</f>
        <v>0</v>
      </c>
      <c r="R22" s="50">
        <f t="shared" ref="R22" si="22">Q22/$D$22</f>
        <v>0</v>
      </c>
      <c r="S22" s="17">
        <f>SUM(S19:S20)</f>
        <v>179.8</v>
      </c>
      <c r="T22" s="51">
        <f>S22/D22</f>
        <v>0.99446902654867253</v>
      </c>
      <c r="U22" s="17">
        <f>SUM(U19:U20)</f>
        <v>179.8</v>
      </c>
      <c r="V22" s="51">
        <f>U22/D22</f>
        <v>0.99446902654867253</v>
      </c>
    </row>
    <row r="23" spans="1:22" ht="20" customHeight="1" x14ac:dyDescent="0.2">
      <c r="C23" s="25"/>
      <c r="D23" s="61"/>
      <c r="E23" s="21"/>
      <c r="F23" s="21"/>
      <c r="G23" s="24"/>
      <c r="H23" s="10"/>
      <c r="I23" s="24"/>
      <c r="J23" s="10"/>
      <c r="K23" s="10"/>
      <c r="L23" s="10"/>
      <c r="M23" s="10"/>
      <c r="N23" s="10"/>
      <c r="O23" s="10"/>
      <c r="P23" s="10"/>
      <c r="Q23" s="10"/>
      <c r="R23" s="10"/>
      <c r="S23" s="52">
        <f>D22-S22</f>
        <v>1</v>
      </c>
      <c r="T23" s="53">
        <f>S23/D22</f>
        <v>5.5309734513274336E-3</v>
      </c>
    </row>
    <row r="24" spans="1:22" ht="20" customHeight="1" x14ac:dyDescent="0.2">
      <c r="C24" s="27"/>
      <c r="D24" s="26"/>
      <c r="E24" s="11"/>
      <c r="F24" s="11"/>
      <c r="G24" s="11"/>
      <c r="I24" s="11"/>
    </row>
    <row r="25" spans="1:22" ht="20" customHeight="1" x14ac:dyDescent="0.2">
      <c r="A25" s="8" t="s">
        <v>269</v>
      </c>
      <c r="B25" s="8">
        <v>8</v>
      </c>
      <c r="C25" s="1" t="s">
        <v>286</v>
      </c>
      <c r="D25" s="11">
        <v>115.2</v>
      </c>
      <c r="E25" s="11">
        <f t="shared" ref="E25:E29" si="23">D25*F25</f>
        <v>92.160000000000011</v>
      </c>
      <c r="F25" s="23">
        <v>0.8</v>
      </c>
      <c r="G25" s="11">
        <f>D25*H25</f>
        <v>0</v>
      </c>
      <c r="H25" s="23">
        <v>0</v>
      </c>
      <c r="I25" s="11">
        <f>D25*J25</f>
        <v>0</v>
      </c>
      <c r="J25" s="23">
        <v>0</v>
      </c>
      <c r="K25" s="11">
        <f>D25*L25</f>
        <v>0</v>
      </c>
      <c r="L25" s="23">
        <v>0</v>
      </c>
      <c r="M25" s="11">
        <f>D25*N25</f>
        <v>0</v>
      </c>
      <c r="N25" s="23">
        <v>0</v>
      </c>
      <c r="O25" s="11">
        <f>P25*D25</f>
        <v>0</v>
      </c>
      <c r="P25" s="23">
        <v>0</v>
      </c>
      <c r="Q25" s="11">
        <f>R25*D25</f>
        <v>0</v>
      </c>
      <c r="R25" s="23">
        <v>0</v>
      </c>
      <c r="S25" s="46">
        <f>E25+G25+I25+K25+M25+O25+Q25</f>
        <v>92.160000000000011</v>
      </c>
      <c r="T25" s="47">
        <f>S25/D25</f>
        <v>0.8</v>
      </c>
      <c r="U25" s="48">
        <f>E25+G25+I25+K25+M25</f>
        <v>92.160000000000011</v>
      </c>
      <c r="V25" s="165">
        <f>U25/D25</f>
        <v>0.8</v>
      </c>
    </row>
    <row r="26" spans="1:22" ht="20" customHeight="1" x14ac:dyDescent="0.2">
      <c r="A26" s="8"/>
      <c r="B26" s="8">
        <v>9</v>
      </c>
      <c r="C26" s="1" t="s">
        <v>286</v>
      </c>
      <c r="D26" s="11">
        <v>3.6</v>
      </c>
      <c r="E26" s="11">
        <f t="shared" si="23"/>
        <v>3.6</v>
      </c>
      <c r="F26" s="23">
        <v>1</v>
      </c>
      <c r="G26" s="11">
        <f>D26*H26</f>
        <v>0</v>
      </c>
      <c r="H26" s="23">
        <v>0</v>
      </c>
      <c r="I26" s="11">
        <f>D26*J26</f>
        <v>0</v>
      </c>
      <c r="J26" s="23">
        <v>0</v>
      </c>
      <c r="K26" s="11">
        <f>D26*L26</f>
        <v>0</v>
      </c>
      <c r="L26" s="23">
        <v>0</v>
      </c>
      <c r="M26" s="11">
        <f>D26*N26</f>
        <v>0</v>
      </c>
      <c r="N26" s="23">
        <v>0</v>
      </c>
      <c r="O26" s="11">
        <f>P26*D26</f>
        <v>0</v>
      </c>
      <c r="P26" s="23">
        <v>0</v>
      </c>
      <c r="Q26" s="11">
        <f>R26*D26</f>
        <v>0</v>
      </c>
      <c r="R26" s="23">
        <v>0</v>
      </c>
      <c r="S26" s="46">
        <f>E26+G26+I26+K26+M26+O26+Q26</f>
        <v>3.6</v>
      </c>
      <c r="T26" s="47">
        <f>S26/D26</f>
        <v>1</v>
      </c>
      <c r="U26" s="48">
        <f>E26+G26+I26+K26+M26</f>
        <v>3.6</v>
      </c>
      <c r="V26" s="165">
        <f>U26/D26</f>
        <v>1</v>
      </c>
    </row>
    <row r="27" spans="1:22" ht="20" customHeight="1" x14ac:dyDescent="0.2">
      <c r="A27" s="8"/>
      <c r="B27" s="8">
        <v>10</v>
      </c>
      <c r="C27" s="1" t="s">
        <v>286</v>
      </c>
      <c r="D27" s="11">
        <v>3</v>
      </c>
      <c r="E27" s="11">
        <f t="shared" si="23"/>
        <v>3</v>
      </c>
      <c r="F27" s="23">
        <v>1</v>
      </c>
      <c r="G27" s="11">
        <f>D27*H27</f>
        <v>0</v>
      </c>
      <c r="H27" s="23">
        <v>0</v>
      </c>
      <c r="I27" s="11">
        <f>D27*J27</f>
        <v>0</v>
      </c>
      <c r="J27" s="23">
        <v>0</v>
      </c>
      <c r="K27" s="11">
        <f>D27*L27</f>
        <v>0</v>
      </c>
      <c r="L27" s="23">
        <v>0</v>
      </c>
      <c r="M27" s="11">
        <f>D27*N27</f>
        <v>0</v>
      </c>
      <c r="N27" s="23">
        <v>0</v>
      </c>
      <c r="O27" s="11">
        <f>P27*D27</f>
        <v>0</v>
      </c>
      <c r="P27" s="23">
        <v>0</v>
      </c>
      <c r="Q27" s="11">
        <f>R27*D27</f>
        <v>0</v>
      </c>
      <c r="R27" s="23">
        <v>0</v>
      </c>
      <c r="S27" s="46">
        <f>E27+G27+I27+K27+M27+O27+Q27</f>
        <v>3</v>
      </c>
      <c r="T27" s="47">
        <f>S27/D27</f>
        <v>1</v>
      </c>
      <c r="U27" s="48">
        <f>E27+G27+I27+K27+M27</f>
        <v>3</v>
      </c>
      <c r="V27" s="165">
        <f>U27/D27</f>
        <v>1</v>
      </c>
    </row>
    <row r="28" spans="1:22" ht="20" customHeight="1" x14ac:dyDescent="0.2">
      <c r="A28" s="8"/>
      <c r="B28" s="8">
        <v>11</v>
      </c>
      <c r="C28" s="1" t="s">
        <v>286</v>
      </c>
      <c r="D28" s="11">
        <v>18</v>
      </c>
      <c r="E28" s="11">
        <f t="shared" si="23"/>
        <v>0</v>
      </c>
      <c r="F28" s="23">
        <v>0</v>
      </c>
      <c r="G28" s="11">
        <f>D28*H28</f>
        <v>0</v>
      </c>
      <c r="H28" s="23">
        <v>0</v>
      </c>
      <c r="I28" s="11">
        <f>D28*J28</f>
        <v>0</v>
      </c>
      <c r="J28" s="23">
        <v>0</v>
      </c>
      <c r="K28" s="11">
        <f>D28*L28</f>
        <v>0</v>
      </c>
      <c r="L28" s="23">
        <v>0</v>
      </c>
      <c r="M28" s="11">
        <f>D28*N28</f>
        <v>0</v>
      </c>
      <c r="N28" s="23">
        <v>0</v>
      </c>
      <c r="O28" s="11">
        <f>P28*D28</f>
        <v>0</v>
      </c>
      <c r="P28" s="23">
        <v>0</v>
      </c>
      <c r="Q28" s="11">
        <f>R28*D28</f>
        <v>0</v>
      </c>
      <c r="R28" s="23">
        <v>0</v>
      </c>
      <c r="S28" s="46">
        <f>E28+G28+I28+K28+M28+O28+Q28</f>
        <v>0</v>
      </c>
      <c r="T28" s="47">
        <f>S28/D28</f>
        <v>0</v>
      </c>
      <c r="U28" s="48">
        <f>E28+G28+I28+K28+M28</f>
        <v>0</v>
      </c>
      <c r="V28" s="165">
        <f>U28/D28</f>
        <v>0</v>
      </c>
    </row>
    <row r="29" spans="1:22" ht="20" customHeight="1" x14ac:dyDescent="0.2">
      <c r="A29" s="8"/>
      <c r="B29" s="8">
        <v>12</v>
      </c>
      <c r="C29" s="1" t="s">
        <v>286</v>
      </c>
      <c r="D29" s="11">
        <v>18</v>
      </c>
      <c r="E29" s="11">
        <f t="shared" si="23"/>
        <v>0</v>
      </c>
      <c r="F29" s="23">
        <v>0</v>
      </c>
      <c r="G29" s="11">
        <f>D29*H29</f>
        <v>0</v>
      </c>
      <c r="H29" s="23">
        <v>0</v>
      </c>
      <c r="I29" s="11">
        <f>D29*J29</f>
        <v>0</v>
      </c>
      <c r="J29" s="23">
        <v>0</v>
      </c>
      <c r="K29" s="11">
        <f>D29*L29</f>
        <v>0</v>
      </c>
      <c r="L29" s="23">
        <v>0</v>
      </c>
      <c r="M29" s="11">
        <f>D29*N29</f>
        <v>0</v>
      </c>
      <c r="N29" s="23">
        <v>0</v>
      </c>
      <c r="O29" s="11">
        <f>P29*D29</f>
        <v>0</v>
      </c>
      <c r="P29" s="23">
        <v>0</v>
      </c>
      <c r="Q29" s="11">
        <f>R29*D29</f>
        <v>0</v>
      </c>
      <c r="R29" s="23">
        <v>0</v>
      </c>
      <c r="S29" s="46">
        <f>E29+G29+I29+K29+M29+O29+Q29</f>
        <v>0</v>
      </c>
      <c r="T29" s="47">
        <f>S29/D29</f>
        <v>0</v>
      </c>
      <c r="U29" s="48">
        <f>E29+G29+I29+K29+M29</f>
        <v>0</v>
      </c>
      <c r="V29" s="165">
        <f>U29/D29</f>
        <v>0</v>
      </c>
    </row>
    <row r="30" spans="1:22" ht="20" customHeight="1" x14ac:dyDescent="0.2">
      <c r="D30" s="11"/>
      <c r="E30" s="11"/>
      <c r="F30" s="23"/>
      <c r="G30" s="11"/>
      <c r="H30" s="23"/>
      <c r="I30" s="11"/>
      <c r="J30" s="23"/>
      <c r="K30" s="11"/>
      <c r="L30" s="23"/>
      <c r="M30" s="11"/>
      <c r="N30" s="23"/>
      <c r="O30" s="11"/>
      <c r="P30" s="23"/>
      <c r="Q30" s="11"/>
      <c r="R30" s="23"/>
      <c r="S30" s="11"/>
      <c r="T30" s="268"/>
      <c r="U30" s="11"/>
      <c r="V30" s="268"/>
    </row>
    <row r="31" spans="1:22" ht="20" customHeight="1" x14ac:dyDescent="0.2">
      <c r="C31" s="40" t="s">
        <v>97</v>
      </c>
      <c r="D31" s="54">
        <f>SUM(D25:D29)</f>
        <v>157.80000000000001</v>
      </c>
      <c r="E31" s="49">
        <f>SUM(E25:E29)</f>
        <v>98.76</v>
      </c>
      <c r="F31" s="50">
        <f>E31/$D$31</f>
        <v>0.62585551330798472</v>
      </c>
      <c r="G31" s="49">
        <f>SUM(G25:G29)</f>
        <v>0</v>
      </c>
      <c r="H31" s="50">
        <f t="shared" ref="H31" si="24">G31/$D$31</f>
        <v>0</v>
      </c>
      <c r="I31" s="49">
        <f>SUM(I25:I29)</f>
        <v>0</v>
      </c>
      <c r="J31" s="50">
        <f t="shared" ref="J31" si="25">I31/$D$31</f>
        <v>0</v>
      </c>
      <c r="K31" s="49">
        <f>SUM(K25:K29)</f>
        <v>0</v>
      </c>
      <c r="L31" s="50">
        <f t="shared" ref="L31" si="26">K31/$D$31</f>
        <v>0</v>
      </c>
      <c r="M31" s="49">
        <f>SUM(M25:M29)</f>
        <v>0</v>
      </c>
      <c r="N31" s="50">
        <f t="shared" ref="N31" si="27">M31/$D$31</f>
        <v>0</v>
      </c>
      <c r="O31" s="49">
        <f>SUM(O25:O29)</f>
        <v>0</v>
      </c>
      <c r="P31" s="50">
        <f t="shared" ref="P31" si="28">O31/$D$31</f>
        <v>0</v>
      </c>
      <c r="Q31" s="49">
        <f>SUM(Q25:Q29)</f>
        <v>0</v>
      </c>
      <c r="R31" s="50">
        <f t="shared" ref="R31" si="29">Q31/$D$31</f>
        <v>0</v>
      </c>
      <c r="S31" s="17">
        <f>SUM(S25:S29)</f>
        <v>98.76</v>
      </c>
      <c r="T31" s="51">
        <f>S31/$D$31</f>
        <v>0.62585551330798472</v>
      </c>
      <c r="U31" s="17">
        <f>SUM(U25:U29)</f>
        <v>98.76</v>
      </c>
      <c r="V31" s="51">
        <f>U31/$D$31</f>
        <v>0.62585551330798472</v>
      </c>
    </row>
    <row r="32" spans="1:22" ht="20" customHeight="1" x14ac:dyDescent="0.2">
      <c r="C32" s="25"/>
      <c r="D32" s="28"/>
      <c r="E32" s="21"/>
      <c r="F32" s="21"/>
      <c r="G32" s="24"/>
      <c r="H32" s="10"/>
      <c r="I32" s="24"/>
      <c r="J32" s="10"/>
      <c r="K32" s="10"/>
      <c r="L32" s="10"/>
      <c r="M32" s="10"/>
      <c r="N32" s="10"/>
      <c r="O32" s="10"/>
      <c r="P32" s="10"/>
      <c r="Q32" s="10"/>
      <c r="R32" s="10"/>
      <c r="S32" s="52">
        <f>D31-S31</f>
        <v>59.040000000000006</v>
      </c>
      <c r="T32" s="53">
        <f>S32/D31</f>
        <v>0.37414448669201522</v>
      </c>
    </row>
    <row r="33" spans="1:22" ht="20" customHeight="1" x14ac:dyDescent="0.2">
      <c r="C33" s="25"/>
      <c r="D33" s="28"/>
      <c r="E33" s="21"/>
      <c r="F33" s="21"/>
      <c r="G33" s="24"/>
      <c r="H33" s="10"/>
      <c r="I33" s="24"/>
      <c r="J33" s="10"/>
      <c r="K33" s="10"/>
      <c r="L33" s="10"/>
      <c r="M33" s="10"/>
      <c r="N33" s="10"/>
      <c r="O33" s="10"/>
      <c r="P33" s="10"/>
      <c r="Q33" s="10"/>
      <c r="R33" s="10"/>
      <c r="S33" s="21"/>
      <c r="T33" s="269"/>
    </row>
    <row r="34" spans="1:22" ht="20" customHeight="1" x14ac:dyDescent="0.2">
      <c r="A34" s="8" t="s">
        <v>270</v>
      </c>
      <c r="B34" s="8">
        <v>13</v>
      </c>
      <c r="C34" s="1" t="s">
        <v>286</v>
      </c>
      <c r="D34" s="11">
        <v>158.02000000000001</v>
      </c>
      <c r="E34" s="11">
        <f t="shared" ref="E34" si="30">D34*F34</f>
        <v>158.02000000000001</v>
      </c>
      <c r="F34" s="23">
        <v>1</v>
      </c>
      <c r="G34" s="11">
        <f>H34*D34</f>
        <v>0</v>
      </c>
      <c r="H34" s="23">
        <v>0</v>
      </c>
      <c r="I34" s="11">
        <f>D34*J34</f>
        <v>0</v>
      </c>
      <c r="J34" s="23">
        <v>0</v>
      </c>
      <c r="K34" s="11">
        <f>D34*L34</f>
        <v>0</v>
      </c>
      <c r="L34" s="23">
        <v>0</v>
      </c>
      <c r="M34" s="11">
        <f>D34*N34</f>
        <v>0</v>
      </c>
      <c r="N34" s="23">
        <v>0</v>
      </c>
      <c r="O34" s="11">
        <f>P34*D34</f>
        <v>0</v>
      </c>
      <c r="P34" s="23">
        <v>0</v>
      </c>
      <c r="Q34" s="11">
        <f>R34*D34</f>
        <v>0</v>
      </c>
      <c r="R34" s="23">
        <v>0</v>
      </c>
      <c r="S34" s="46">
        <f>E34+G34+I34+K34+M34+O34+Q34</f>
        <v>158.02000000000001</v>
      </c>
      <c r="T34" s="47">
        <f>S34/D34</f>
        <v>1</v>
      </c>
      <c r="U34" s="48">
        <f>E34+G34+I34+K34+M34</f>
        <v>158.02000000000001</v>
      </c>
      <c r="V34" s="165">
        <f>U34/D34</f>
        <v>1</v>
      </c>
    </row>
    <row r="35" spans="1:22" ht="20" customHeight="1" x14ac:dyDescent="0.2">
      <c r="D35" s="28"/>
      <c r="E35" s="21"/>
      <c r="F35" s="21"/>
      <c r="G35" s="24"/>
      <c r="H35" s="10"/>
      <c r="I35" s="24"/>
      <c r="J35" s="10"/>
      <c r="K35" s="10"/>
      <c r="L35" s="10"/>
      <c r="M35" s="10"/>
      <c r="N35" s="10"/>
      <c r="O35" s="10"/>
      <c r="P35" s="10"/>
      <c r="Q35" s="10"/>
      <c r="R35" s="10"/>
      <c r="S35" s="21"/>
      <c r="T35" s="269"/>
    </row>
    <row r="36" spans="1:22" ht="20" customHeight="1" x14ac:dyDescent="0.2">
      <c r="C36" s="40" t="s">
        <v>97</v>
      </c>
      <c r="D36" s="54">
        <f>SUM(D34:D34)</f>
        <v>158.02000000000001</v>
      </c>
      <c r="E36" s="49">
        <f>SUM(E34:E34)</f>
        <v>158.02000000000001</v>
      </c>
      <c r="F36" s="50">
        <f>E36/$D$36</f>
        <v>1</v>
      </c>
      <c r="G36" s="49">
        <f>SUM(G34:G34)</f>
        <v>0</v>
      </c>
      <c r="H36" s="50">
        <f>G36/$D$36</f>
        <v>0</v>
      </c>
      <c r="I36" s="49">
        <f>SUM(I34:I34)</f>
        <v>0</v>
      </c>
      <c r="J36" s="50">
        <f t="shared" ref="J36" si="31">I36/$D$36</f>
        <v>0</v>
      </c>
      <c r="K36" s="49">
        <f>SUM(K34:K34)</f>
        <v>0</v>
      </c>
      <c r="L36" s="50">
        <f t="shared" ref="L36" si="32">K36/$D$36</f>
        <v>0</v>
      </c>
      <c r="M36" s="49">
        <f>SUM(M34:M34)</f>
        <v>0</v>
      </c>
      <c r="N36" s="50">
        <f t="shared" ref="N36" si="33">M36/$D$36</f>
        <v>0</v>
      </c>
      <c r="O36" s="49">
        <f>SUM(O34:O34)</f>
        <v>0</v>
      </c>
      <c r="P36" s="50">
        <f t="shared" ref="P36" si="34">O36/$D$36</f>
        <v>0</v>
      </c>
      <c r="Q36" s="49">
        <f>SUM(Q34:Q34)</f>
        <v>0</v>
      </c>
      <c r="R36" s="50">
        <f t="shared" ref="R36" si="35">Q36/$D$36</f>
        <v>0</v>
      </c>
      <c r="S36" s="17">
        <f>SUM(S34:S34)</f>
        <v>158.02000000000001</v>
      </c>
      <c r="T36" s="51">
        <f>S36/D36</f>
        <v>1</v>
      </c>
      <c r="U36" s="17">
        <f>SUM(U34:U34)</f>
        <v>158.02000000000001</v>
      </c>
      <c r="V36" s="51">
        <f>U36/D36</f>
        <v>1</v>
      </c>
    </row>
    <row r="37" spans="1:22" ht="20" customHeight="1" x14ac:dyDescent="0.2">
      <c r="C37" s="25"/>
      <c r="D37" s="28"/>
      <c r="E37" s="21"/>
      <c r="F37" s="21"/>
      <c r="G37" s="24"/>
      <c r="H37" s="10"/>
      <c r="I37" s="24"/>
      <c r="J37" s="10"/>
      <c r="K37" s="10"/>
      <c r="L37" s="10"/>
      <c r="M37" s="10"/>
      <c r="N37" s="10"/>
      <c r="O37" s="10"/>
      <c r="P37" s="10"/>
      <c r="Q37" s="10"/>
      <c r="R37" s="10"/>
      <c r="S37" s="21"/>
      <c r="T37" s="269"/>
    </row>
    <row r="38" spans="1:22" ht="20" customHeight="1" x14ac:dyDescent="0.2">
      <c r="C38" s="25"/>
      <c r="D38" s="28"/>
      <c r="E38" s="21"/>
      <c r="F38" s="21"/>
      <c r="G38" s="24"/>
      <c r="H38" s="10"/>
      <c r="I38" s="24"/>
      <c r="J38" s="10"/>
      <c r="K38" s="10"/>
      <c r="L38" s="10"/>
      <c r="M38" s="10"/>
      <c r="N38" s="10"/>
      <c r="O38" s="10"/>
      <c r="P38" s="10"/>
      <c r="Q38" s="10"/>
      <c r="R38" s="10"/>
      <c r="S38" s="21"/>
      <c r="T38" s="269"/>
    </row>
    <row r="39" spans="1:22" ht="20" customHeight="1" x14ac:dyDescent="0.2">
      <c r="A39" s="8" t="s">
        <v>277</v>
      </c>
      <c r="B39" s="8">
        <v>14</v>
      </c>
      <c r="C39" s="1" t="s">
        <v>286</v>
      </c>
      <c r="D39" s="11">
        <f>196/2</f>
        <v>98</v>
      </c>
      <c r="E39" s="11">
        <f t="shared" ref="E39:E40" si="36">D39*F39</f>
        <v>0</v>
      </c>
      <c r="F39" s="23">
        <v>0</v>
      </c>
      <c r="G39" s="11">
        <f>H39*D39</f>
        <v>49</v>
      </c>
      <c r="H39" s="23">
        <v>0.5</v>
      </c>
      <c r="I39" s="11">
        <f>D39*J39</f>
        <v>49</v>
      </c>
      <c r="J39" s="23">
        <v>0.5</v>
      </c>
      <c r="K39" s="11">
        <f>D39*L39</f>
        <v>0</v>
      </c>
      <c r="L39" s="23">
        <v>0</v>
      </c>
      <c r="M39" s="11">
        <f>F39*N39</f>
        <v>0</v>
      </c>
      <c r="N39" s="23">
        <v>0</v>
      </c>
      <c r="O39" s="11">
        <f>P39*D39</f>
        <v>0</v>
      </c>
      <c r="P39" s="23">
        <v>0</v>
      </c>
      <c r="Q39" s="11">
        <f>R39*D39</f>
        <v>0</v>
      </c>
      <c r="R39" s="23">
        <v>0</v>
      </c>
      <c r="S39" s="46">
        <f>E39+G39+I39+K39+M39+O39+Q39</f>
        <v>98</v>
      </c>
      <c r="T39" s="47">
        <f>S39/D39</f>
        <v>1</v>
      </c>
      <c r="U39" s="48">
        <f>E39+G39+I39+K39+M39</f>
        <v>98</v>
      </c>
      <c r="V39" s="165">
        <f>U39/D39</f>
        <v>1</v>
      </c>
    </row>
    <row r="40" spans="1:22" ht="20" customHeight="1" x14ac:dyDescent="0.2">
      <c r="B40" s="8">
        <v>15</v>
      </c>
      <c r="C40" s="1" t="s">
        <v>286</v>
      </c>
      <c r="D40" s="11">
        <v>98</v>
      </c>
      <c r="E40" s="11">
        <f t="shared" si="36"/>
        <v>0</v>
      </c>
      <c r="F40" s="23">
        <v>0</v>
      </c>
      <c r="G40" s="11">
        <f>H40*D40</f>
        <v>49</v>
      </c>
      <c r="H40" s="23">
        <v>0.5</v>
      </c>
      <c r="I40" s="11">
        <f>D40*J40</f>
        <v>49</v>
      </c>
      <c r="J40" s="23">
        <v>0.5</v>
      </c>
      <c r="K40" s="11">
        <f>D40*L40</f>
        <v>0</v>
      </c>
      <c r="L40" s="23">
        <v>0</v>
      </c>
      <c r="M40" s="11">
        <f>F40*N40</f>
        <v>0</v>
      </c>
      <c r="N40" s="23">
        <v>0</v>
      </c>
      <c r="O40" s="11">
        <f t="shared" ref="O40" si="37">H40*P40</f>
        <v>0</v>
      </c>
      <c r="P40" s="23">
        <v>0</v>
      </c>
      <c r="Q40" s="11">
        <f t="shared" ref="Q40" si="38">J40*R40</f>
        <v>0</v>
      </c>
      <c r="R40" s="23">
        <v>0</v>
      </c>
      <c r="S40" s="46">
        <f>E40+G40+I40+K40+M40+O40+Q40</f>
        <v>98</v>
      </c>
      <c r="T40" s="47">
        <f>S40/D40</f>
        <v>1</v>
      </c>
      <c r="U40" s="48">
        <f>E40+G40+I40+K40+M40</f>
        <v>98</v>
      </c>
      <c r="V40" s="165">
        <f>U40/D40</f>
        <v>1</v>
      </c>
    </row>
    <row r="41" spans="1:22" ht="20" customHeight="1" x14ac:dyDescent="0.2"/>
    <row r="42" spans="1:22" ht="20" customHeight="1" x14ac:dyDescent="0.2">
      <c r="C42" s="40" t="s">
        <v>97</v>
      </c>
      <c r="D42" s="54">
        <f>SUM(D39:D40)</f>
        <v>196</v>
      </c>
      <c r="E42" s="49">
        <f>SUM(E39:E40)</f>
        <v>0</v>
      </c>
      <c r="F42" s="50">
        <f>E42/$D$42</f>
        <v>0</v>
      </c>
      <c r="G42" s="49">
        <f>SUM(G39:G40)</f>
        <v>98</v>
      </c>
      <c r="H42" s="50">
        <f t="shared" ref="H42" si="39">G42/$D$42</f>
        <v>0.5</v>
      </c>
      <c r="I42" s="49">
        <f>SUM(I39:I40)</f>
        <v>98</v>
      </c>
      <c r="J42" s="50">
        <f t="shared" ref="J42" si="40">I42/$D$42</f>
        <v>0.5</v>
      </c>
      <c r="K42" s="49">
        <f>SUM(K39:K40)</f>
        <v>0</v>
      </c>
      <c r="L42" s="50">
        <f t="shared" ref="L42" si="41">K42/$D$42</f>
        <v>0</v>
      </c>
      <c r="M42" s="49">
        <f>SUM(M39:M40)</f>
        <v>0</v>
      </c>
      <c r="N42" s="50">
        <f t="shared" ref="N42" si="42">M42/$D$42</f>
        <v>0</v>
      </c>
      <c r="O42" s="49">
        <f>SUM(O39:O40)</f>
        <v>0</v>
      </c>
      <c r="P42" s="50">
        <f t="shared" ref="P42" si="43">O42/$D$42</f>
        <v>0</v>
      </c>
      <c r="Q42" s="49">
        <f>SUM(Q39:Q40)</f>
        <v>0</v>
      </c>
      <c r="R42" s="50">
        <f t="shared" ref="R42" si="44">Q42/$D$42</f>
        <v>0</v>
      </c>
      <c r="S42" s="17">
        <f>SUM(S39:S40)</f>
        <v>196</v>
      </c>
      <c r="T42" s="51">
        <f>S42/D42</f>
        <v>1</v>
      </c>
      <c r="U42" s="17">
        <f>SUM(U39:U40)</f>
        <v>196</v>
      </c>
      <c r="V42" s="51">
        <f>U42/D42</f>
        <v>1</v>
      </c>
    </row>
    <row r="43" spans="1:22" ht="20" customHeight="1" x14ac:dyDescent="0.2">
      <c r="C43" s="270"/>
      <c r="D43" s="271"/>
      <c r="E43" s="21"/>
      <c r="F43" s="272"/>
      <c r="G43" s="21"/>
      <c r="H43" s="272"/>
      <c r="I43" s="21"/>
      <c r="J43" s="272"/>
      <c r="K43" s="21"/>
      <c r="L43" s="272"/>
      <c r="M43" s="21"/>
      <c r="N43" s="272"/>
      <c r="O43" s="21"/>
      <c r="P43" s="272"/>
      <c r="Q43" s="21"/>
      <c r="R43" s="272"/>
      <c r="S43" s="273"/>
      <c r="T43" s="274"/>
      <c r="U43" s="273"/>
      <c r="V43" s="274"/>
    </row>
    <row r="44" spans="1:22" ht="20" customHeight="1" x14ac:dyDescent="0.2">
      <c r="A44" s="8" t="s">
        <v>278</v>
      </c>
      <c r="B44" s="8" t="s">
        <v>281</v>
      </c>
      <c r="C44" s="1" t="s">
        <v>286</v>
      </c>
      <c r="D44" s="11">
        <v>1</v>
      </c>
      <c r="E44" s="11">
        <f t="shared" ref="E44:E46" si="45">D44*F44</f>
        <v>0</v>
      </c>
      <c r="F44" s="23">
        <v>0</v>
      </c>
      <c r="G44" s="11">
        <f>D44*H44</f>
        <v>0</v>
      </c>
      <c r="H44" s="23">
        <v>0</v>
      </c>
      <c r="I44" s="11">
        <f>D44*J44</f>
        <v>0</v>
      </c>
      <c r="J44" s="23">
        <v>0</v>
      </c>
      <c r="K44" s="11">
        <f>D44*L44</f>
        <v>0</v>
      </c>
      <c r="L44" s="23">
        <v>0</v>
      </c>
      <c r="M44" s="11">
        <f>F44*N44</f>
        <v>0</v>
      </c>
      <c r="N44" s="23">
        <v>0</v>
      </c>
      <c r="O44" s="11">
        <f>P44*D44</f>
        <v>0</v>
      </c>
      <c r="P44" s="23">
        <v>0</v>
      </c>
      <c r="Q44" s="11">
        <f>R44*D44</f>
        <v>0</v>
      </c>
      <c r="R44" s="23">
        <v>0</v>
      </c>
      <c r="S44" s="46">
        <f>E44+G44+I44+K44+M44+O44+Q44</f>
        <v>0</v>
      </c>
      <c r="T44" s="47">
        <f>S44/D44</f>
        <v>0</v>
      </c>
      <c r="U44" s="48">
        <f>E44+G44+I44+K44+M44</f>
        <v>0</v>
      </c>
      <c r="V44" s="165">
        <f>U44/D44</f>
        <v>0</v>
      </c>
    </row>
    <row r="45" spans="1:22" ht="20" customHeight="1" x14ac:dyDescent="0.2">
      <c r="B45" s="8" t="s">
        <v>280</v>
      </c>
      <c r="C45" s="1" t="s">
        <v>286</v>
      </c>
      <c r="D45" s="11">
        <v>1</v>
      </c>
      <c r="E45" s="11">
        <f t="shared" si="45"/>
        <v>0</v>
      </c>
      <c r="F45" s="23">
        <v>0</v>
      </c>
      <c r="G45" s="11">
        <f>D45*H45</f>
        <v>0</v>
      </c>
      <c r="H45" s="23">
        <v>0</v>
      </c>
      <c r="I45" s="11">
        <f>D45*J45</f>
        <v>0</v>
      </c>
      <c r="J45" s="23">
        <v>0</v>
      </c>
      <c r="K45" s="11">
        <f>D45*L45</f>
        <v>0</v>
      </c>
      <c r="L45" s="23">
        <v>0</v>
      </c>
      <c r="M45" s="11">
        <f>F45*N45</f>
        <v>0</v>
      </c>
      <c r="N45" s="23">
        <v>0</v>
      </c>
      <c r="O45" s="11">
        <f t="shared" ref="O45:O46" si="46">H45*P45</f>
        <v>0</v>
      </c>
      <c r="P45" s="23">
        <v>0</v>
      </c>
      <c r="Q45" s="11">
        <f t="shared" ref="Q45:Q46" si="47">J45*R45</f>
        <v>0</v>
      </c>
      <c r="R45" s="23">
        <v>0</v>
      </c>
      <c r="S45" s="46">
        <f>E45+G45+I45+K45+M45+O45+Q45</f>
        <v>0</v>
      </c>
      <c r="T45" s="47">
        <f>S45/D45</f>
        <v>0</v>
      </c>
      <c r="U45" s="48">
        <f>E45+G45+I45+K45+M45</f>
        <v>0</v>
      </c>
      <c r="V45" s="165">
        <f>U45/D45</f>
        <v>0</v>
      </c>
    </row>
    <row r="46" spans="1:22" ht="20" customHeight="1" x14ac:dyDescent="0.2">
      <c r="B46" s="8" t="s">
        <v>279</v>
      </c>
      <c r="C46" s="1" t="s">
        <v>286</v>
      </c>
      <c r="D46" s="11">
        <v>1</v>
      </c>
      <c r="E46" s="11">
        <f t="shared" si="45"/>
        <v>0</v>
      </c>
      <c r="F46" s="23">
        <v>0</v>
      </c>
      <c r="G46" s="11">
        <f>D46*H46</f>
        <v>0</v>
      </c>
      <c r="H46" s="23">
        <v>0</v>
      </c>
      <c r="I46" s="11">
        <f>D46*J46</f>
        <v>0</v>
      </c>
      <c r="J46" s="23">
        <v>0</v>
      </c>
      <c r="K46" s="11">
        <f>D46*L46</f>
        <v>0</v>
      </c>
      <c r="L46" s="23">
        <v>0</v>
      </c>
      <c r="M46" s="11">
        <f>F46*N46</f>
        <v>0</v>
      </c>
      <c r="N46" s="23">
        <v>0</v>
      </c>
      <c r="O46" s="11">
        <f t="shared" si="46"/>
        <v>0</v>
      </c>
      <c r="P46" s="23">
        <v>0</v>
      </c>
      <c r="Q46" s="11">
        <f t="shared" si="47"/>
        <v>0</v>
      </c>
      <c r="R46" s="23">
        <v>0</v>
      </c>
      <c r="S46" s="46">
        <f>E46+G46+I46+K46+M46+O46+Q46</f>
        <v>0</v>
      </c>
      <c r="T46" s="47">
        <f>S46/D46</f>
        <v>0</v>
      </c>
      <c r="U46" s="48">
        <f>E46+G46+I46+K46+M46</f>
        <v>0</v>
      </c>
      <c r="V46" s="165">
        <f>U46/D46</f>
        <v>0</v>
      </c>
    </row>
    <row r="47" spans="1:22" ht="20" customHeight="1" x14ac:dyDescent="0.2">
      <c r="B47" s="8"/>
      <c r="D47" s="11"/>
      <c r="E47" s="11"/>
      <c r="F47" s="268"/>
      <c r="G47" s="11"/>
      <c r="H47" s="268"/>
      <c r="I47" s="11"/>
      <c r="J47" s="268"/>
      <c r="K47" s="11"/>
      <c r="L47" s="268"/>
      <c r="M47" s="11"/>
      <c r="N47" s="268"/>
      <c r="O47" s="11"/>
      <c r="P47" s="268"/>
      <c r="Q47" s="11"/>
      <c r="R47" s="268"/>
      <c r="S47" s="11"/>
      <c r="T47" s="268"/>
      <c r="U47" s="11"/>
      <c r="V47" s="268"/>
    </row>
    <row r="48" spans="1:22" ht="20" customHeight="1" x14ac:dyDescent="0.2">
      <c r="C48" s="40" t="s">
        <v>97</v>
      </c>
      <c r="D48" s="54">
        <f>SUM(D44:D46)</f>
        <v>3</v>
      </c>
      <c r="E48" s="49">
        <f>SUM(E44:E46)</f>
        <v>0</v>
      </c>
      <c r="F48" s="50">
        <f>E48/$D$48</f>
        <v>0</v>
      </c>
      <c r="G48" s="49">
        <f>SUM(G44:G46)</f>
        <v>0</v>
      </c>
      <c r="H48" s="50">
        <f t="shared" ref="H48" si="48">G48/$D$48</f>
        <v>0</v>
      </c>
      <c r="I48" s="49">
        <f>SUM(I44:I46)</f>
        <v>0</v>
      </c>
      <c r="J48" s="50">
        <f t="shared" ref="J48" si="49">I48/$D$48</f>
        <v>0</v>
      </c>
      <c r="K48" s="49">
        <f>SUM(K44:K46)</f>
        <v>0</v>
      </c>
      <c r="L48" s="50">
        <f t="shared" ref="L48" si="50">K48/$D$48</f>
        <v>0</v>
      </c>
      <c r="M48" s="49">
        <f>SUM(M44:M46)</f>
        <v>0</v>
      </c>
      <c r="N48" s="50">
        <f t="shared" ref="N48" si="51">M48/$D$48</f>
        <v>0</v>
      </c>
      <c r="O48" s="49">
        <f>SUM(O44:O46)</f>
        <v>0</v>
      </c>
      <c r="P48" s="50">
        <f t="shared" ref="P48" si="52">O48/$D$48</f>
        <v>0</v>
      </c>
      <c r="Q48" s="49">
        <f>SUM(Q44:Q46)</f>
        <v>0</v>
      </c>
      <c r="R48" s="50">
        <f t="shared" ref="R48" si="53">Q48/$D$48</f>
        <v>0</v>
      </c>
      <c r="S48" s="17">
        <f>SUM(S44:S46)</f>
        <v>0</v>
      </c>
      <c r="T48" s="51">
        <f>S48/D48</f>
        <v>0</v>
      </c>
      <c r="U48" s="17">
        <f>SUM(U44:U46)</f>
        <v>0</v>
      </c>
      <c r="V48" s="51">
        <f>U48/D48</f>
        <v>0</v>
      </c>
    </row>
    <row r="49" spans="3:22" ht="20" customHeight="1" x14ac:dyDescent="0.2">
      <c r="C49" s="270"/>
      <c r="D49" s="271"/>
      <c r="E49" s="21"/>
      <c r="F49" s="272"/>
      <c r="G49" s="21"/>
      <c r="H49" s="272"/>
      <c r="I49" s="21"/>
      <c r="J49" s="272"/>
      <c r="K49" s="21"/>
      <c r="L49" s="272"/>
      <c r="M49" s="21"/>
      <c r="N49" s="272"/>
      <c r="O49" s="21"/>
      <c r="P49" s="272"/>
      <c r="Q49" s="21"/>
      <c r="R49" s="272"/>
      <c r="S49" s="273"/>
      <c r="T49" s="274"/>
      <c r="U49" s="273"/>
      <c r="V49" s="274"/>
    </row>
    <row r="50" spans="3:22" ht="20" customHeight="1" x14ac:dyDescent="0.2">
      <c r="C50" s="63" t="s">
        <v>99</v>
      </c>
      <c r="D50" s="41">
        <f>D11+D16+D22+D31+D36+D42+D48</f>
        <v>953.02</v>
      </c>
      <c r="E50" s="64"/>
      <c r="F50" s="64"/>
      <c r="G50" s="65"/>
      <c r="H50" s="65"/>
      <c r="I50" s="65"/>
      <c r="J50" s="65"/>
      <c r="K50" s="307" t="s">
        <v>98</v>
      </c>
      <c r="L50" s="307"/>
      <c r="M50" s="307"/>
      <c r="N50" s="307"/>
      <c r="O50" s="267"/>
      <c r="P50" s="267"/>
      <c r="Q50" s="267"/>
      <c r="R50" s="267"/>
      <c r="S50" s="41">
        <f>S11+S16+S22+S31+S36+S42+S48</f>
        <v>889.98</v>
      </c>
      <c r="T50" s="62">
        <f>S50/D50</f>
        <v>0.93385238504963175</v>
      </c>
      <c r="U50" s="219">
        <f>U11+U16+U22+U31</f>
        <v>490.76</v>
      </c>
      <c r="V50" s="62">
        <f>U50/D50</f>
        <v>0.51495246689471363</v>
      </c>
    </row>
    <row r="51" spans="3:22" ht="20" customHeight="1" x14ac:dyDescent="0.2">
      <c r="S51" s="52">
        <f>D50-S50</f>
        <v>63.039999999999964</v>
      </c>
      <c r="T51" s="53">
        <f>S51/D50</f>
        <v>6.6147614950368264E-2</v>
      </c>
    </row>
    <row r="52" spans="3:22" ht="20" customHeight="1" x14ac:dyDescent="0.2"/>
    <row r="53" spans="3:22" ht="20" customHeight="1" x14ac:dyDescent="0.2">
      <c r="D53" s="308"/>
      <c r="E53" s="309"/>
      <c r="F53" s="309"/>
      <c r="G53" s="309"/>
      <c r="H53" s="309"/>
      <c r="I53" s="309"/>
      <c r="J53" s="309"/>
      <c r="K53" s="309"/>
      <c r="L53" s="309"/>
      <c r="M53" s="309"/>
      <c r="N53" s="309"/>
      <c r="O53" s="78"/>
      <c r="P53" s="78"/>
      <c r="S53" s="67"/>
      <c r="T53" s="67">
        <v>0.59</v>
      </c>
    </row>
    <row r="54" spans="3:22" ht="20" customHeight="1" x14ac:dyDescent="0.2">
      <c r="D54" s="309"/>
      <c r="E54" s="309"/>
      <c r="F54" s="309"/>
      <c r="G54" s="309"/>
      <c r="H54" s="309"/>
      <c r="I54" s="309"/>
      <c r="J54" s="309"/>
      <c r="K54" s="309"/>
      <c r="L54" s="309"/>
      <c r="M54" s="309"/>
      <c r="N54" s="309"/>
      <c r="O54" s="78"/>
      <c r="P54" s="78"/>
      <c r="S54" s="66"/>
      <c r="T54" s="67">
        <v>0.41</v>
      </c>
    </row>
  </sheetData>
  <mergeCells count="19">
    <mergeCell ref="K50:N50"/>
    <mergeCell ref="D53:N54"/>
    <mergeCell ref="U3:V3"/>
    <mergeCell ref="Q3:R3"/>
    <mergeCell ref="S3:T3"/>
    <mergeCell ref="E3:F3"/>
    <mergeCell ref="G3:H3"/>
    <mergeCell ref="I3:J3"/>
    <mergeCell ref="K3:L3"/>
    <mergeCell ref="M2:N2"/>
    <mergeCell ref="M3:N3"/>
    <mergeCell ref="O2:P2"/>
    <mergeCell ref="Q2:R2"/>
    <mergeCell ref="A1:I1"/>
    <mergeCell ref="E2:F2"/>
    <mergeCell ref="G2:H2"/>
    <mergeCell ref="I2:J2"/>
    <mergeCell ref="K2:L2"/>
    <mergeCell ref="O3:P3"/>
  </mergeCells>
  <phoneticPr fontId="10" type="noConversion"/>
  <pageMargins left="0.7" right="0.7" top="0.75" bottom="0.75" header="0.3" footer="0.3"/>
  <pageSetup scale="9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24F84-0360-45CC-B145-D80A39ED423F}">
  <sheetPr>
    <tabColor rgb="FFA7C9D2"/>
  </sheetPr>
  <dimension ref="A1:V54"/>
  <sheetViews>
    <sheetView zoomScale="70" zoomScaleNormal="70" workbookViewId="0">
      <pane xSplit="4" ySplit="4" topLeftCell="E5" activePane="bottomRight" state="frozen"/>
      <selection activeCell="AC40" sqref="AC40"/>
      <selection pane="topRight" activeCell="AC40" sqref="AC40"/>
      <selection pane="bottomLeft" activeCell="AC40" sqref="AC40"/>
      <selection pane="bottomRight" activeCell="C58" sqref="C58"/>
    </sheetView>
  </sheetViews>
  <sheetFormatPr baseColWidth="10" defaultColWidth="11.5" defaultRowHeight="14" x14ac:dyDescent="0.2"/>
  <cols>
    <col min="1" max="1" width="13.5" style="10" customWidth="1"/>
    <col min="2" max="2" width="10.6640625" style="10" customWidth="1"/>
    <col min="3" max="3" width="38.5" style="1" customWidth="1"/>
    <col min="4" max="4" width="14.6640625" style="10" customWidth="1"/>
    <col min="5" max="5" width="12.6640625" style="10" customWidth="1"/>
    <col min="6" max="6" width="10.6640625" style="10" customWidth="1"/>
    <col min="7" max="7" width="12.6640625" style="1" customWidth="1"/>
    <col min="8" max="8" width="10.6640625" style="1" customWidth="1"/>
    <col min="9" max="22" width="12.6640625" style="1" customWidth="1"/>
    <col min="23" max="16384" width="11.5" style="1"/>
  </cols>
  <sheetData>
    <row r="1" spans="1:22" ht="41.5" customHeight="1" x14ac:dyDescent="0.2">
      <c r="A1" s="313" t="s">
        <v>287</v>
      </c>
      <c r="B1" s="313"/>
      <c r="C1" s="313"/>
      <c r="D1" s="313"/>
      <c r="E1" s="313"/>
      <c r="F1" s="313"/>
      <c r="G1" s="313"/>
      <c r="H1" s="313"/>
      <c r="I1" s="313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spans="1:22" ht="25.25" customHeight="1" x14ac:dyDescent="0.2">
      <c r="A2" s="2"/>
      <c r="B2" s="2"/>
      <c r="C2" s="3"/>
      <c r="D2" s="2"/>
      <c r="E2" s="310" t="s">
        <v>266</v>
      </c>
      <c r="F2" s="310"/>
      <c r="G2" s="310" t="s">
        <v>272</v>
      </c>
      <c r="H2" s="311"/>
      <c r="I2" s="310" t="s">
        <v>271</v>
      </c>
      <c r="J2" s="311"/>
      <c r="K2" s="310" t="s">
        <v>273</v>
      </c>
      <c r="L2" s="311"/>
      <c r="M2" s="310" t="s">
        <v>274</v>
      </c>
      <c r="N2" s="311"/>
      <c r="O2" s="310" t="s">
        <v>275</v>
      </c>
      <c r="P2" s="311"/>
      <c r="Q2" s="310" t="s">
        <v>276</v>
      </c>
      <c r="R2" s="311"/>
      <c r="S2" s="117"/>
      <c r="T2" s="117"/>
      <c r="U2" s="117"/>
      <c r="V2" s="117"/>
    </row>
    <row r="3" spans="1:22" ht="47" customHeight="1" x14ac:dyDescent="0.2">
      <c r="A3" s="2" t="s">
        <v>87</v>
      </c>
      <c r="B3" s="2" t="s">
        <v>86</v>
      </c>
      <c r="C3" s="2" t="s">
        <v>35</v>
      </c>
      <c r="D3" s="2" t="s">
        <v>15</v>
      </c>
      <c r="E3" s="312" t="s">
        <v>17</v>
      </c>
      <c r="F3" s="312"/>
      <c r="G3" s="312" t="s">
        <v>18</v>
      </c>
      <c r="H3" s="312"/>
      <c r="I3" s="312" t="s">
        <v>80</v>
      </c>
      <c r="J3" s="312"/>
      <c r="K3" s="312" t="s">
        <v>81</v>
      </c>
      <c r="L3" s="312"/>
      <c r="M3" s="312" t="s">
        <v>89</v>
      </c>
      <c r="N3" s="312"/>
      <c r="O3" s="312" t="s">
        <v>130</v>
      </c>
      <c r="P3" s="312"/>
      <c r="Q3" s="312" t="s">
        <v>131</v>
      </c>
      <c r="R3" s="312"/>
      <c r="S3" s="306" t="s">
        <v>19</v>
      </c>
      <c r="T3" s="306"/>
      <c r="U3" s="306" t="s">
        <v>240</v>
      </c>
      <c r="V3" s="306"/>
    </row>
    <row r="4" spans="1:22" ht="23" customHeight="1" x14ac:dyDescent="0.2">
      <c r="A4" s="43"/>
      <c r="B4" s="43"/>
      <c r="C4" s="43"/>
      <c r="D4" s="43"/>
      <c r="E4" s="44" t="s">
        <v>15</v>
      </c>
      <c r="F4" s="44" t="s">
        <v>16</v>
      </c>
      <c r="G4" s="44" t="s">
        <v>15</v>
      </c>
      <c r="H4" s="44" t="s">
        <v>16</v>
      </c>
      <c r="I4" s="44" t="s">
        <v>15</v>
      </c>
      <c r="J4" s="44" t="s">
        <v>16</v>
      </c>
      <c r="K4" s="44" t="s">
        <v>15</v>
      </c>
      <c r="L4" s="44" t="s">
        <v>16</v>
      </c>
      <c r="M4" s="44" t="s">
        <v>15</v>
      </c>
      <c r="N4" s="44" t="s">
        <v>16</v>
      </c>
      <c r="O4" s="44" t="s">
        <v>15</v>
      </c>
      <c r="P4" s="44" t="s">
        <v>16</v>
      </c>
      <c r="Q4" s="44" t="s">
        <v>15</v>
      </c>
      <c r="R4" s="44" t="s">
        <v>16</v>
      </c>
      <c r="S4" s="45" t="s">
        <v>15</v>
      </c>
      <c r="T4" s="45" t="s">
        <v>16</v>
      </c>
      <c r="U4" s="44" t="s">
        <v>15</v>
      </c>
      <c r="V4" s="44" t="s">
        <v>16</v>
      </c>
    </row>
    <row r="5" spans="1:22" ht="20" customHeight="1" x14ac:dyDescent="0.2">
      <c r="A5" s="8" t="s">
        <v>265</v>
      </c>
      <c r="B5" s="8">
        <v>1</v>
      </c>
      <c r="C5" s="1" t="s">
        <v>288</v>
      </c>
      <c r="D5" s="11">
        <v>2.98</v>
      </c>
      <c r="E5" s="11">
        <f t="shared" ref="E5:E9" si="0">D5*F5</f>
        <v>0</v>
      </c>
      <c r="F5" s="23">
        <v>0</v>
      </c>
      <c r="G5" s="11">
        <f>D5*H5</f>
        <v>0</v>
      </c>
      <c r="H5" s="23">
        <v>0</v>
      </c>
      <c r="I5" s="11">
        <f>D5*J5</f>
        <v>0</v>
      </c>
      <c r="J5" s="23">
        <v>0</v>
      </c>
      <c r="K5" s="11">
        <f>D5*L5</f>
        <v>0</v>
      </c>
      <c r="L5" s="23">
        <v>0</v>
      </c>
      <c r="M5" s="11">
        <f>N5*D5</f>
        <v>0</v>
      </c>
      <c r="N5" s="23">
        <v>0</v>
      </c>
      <c r="O5" s="11">
        <f>P5*D5</f>
        <v>1.2813999999999999</v>
      </c>
      <c r="P5" s="23">
        <v>0.43</v>
      </c>
      <c r="Q5" s="11">
        <f>R5*D5</f>
        <v>0</v>
      </c>
      <c r="R5" s="23">
        <v>0</v>
      </c>
      <c r="S5" s="46">
        <f>E5+G5+I5+K5+M5+O5+Q5</f>
        <v>1.2813999999999999</v>
      </c>
      <c r="T5" s="47">
        <f>S5/D5</f>
        <v>0.42999999999999994</v>
      </c>
      <c r="U5" s="48">
        <f>E5+G5+I5+K5+M5</f>
        <v>0</v>
      </c>
      <c r="V5" s="165">
        <f>U5/D5</f>
        <v>0</v>
      </c>
    </row>
    <row r="6" spans="1:22" ht="20" customHeight="1" x14ac:dyDescent="0.2">
      <c r="B6" s="8">
        <v>2</v>
      </c>
      <c r="C6" s="1" t="s">
        <v>288</v>
      </c>
      <c r="D6" s="11">
        <v>2.98</v>
      </c>
      <c r="E6" s="11">
        <f t="shared" si="0"/>
        <v>0</v>
      </c>
      <c r="F6" s="23">
        <v>0</v>
      </c>
      <c r="G6" s="11">
        <f>D6*H6</f>
        <v>0</v>
      </c>
      <c r="H6" s="23">
        <v>0</v>
      </c>
      <c r="I6" s="11">
        <f>D6*J6</f>
        <v>0</v>
      </c>
      <c r="J6" s="23">
        <v>0</v>
      </c>
      <c r="K6" s="11">
        <f>D6*L6</f>
        <v>0</v>
      </c>
      <c r="L6" s="23">
        <v>0</v>
      </c>
      <c r="M6" s="11">
        <f>N6*D6</f>
        <v>2.5329999999999999</v>
      </c>
      <c r="N6" s="23">
        <v>0.85</v>
      </c>
      <c r="O6" s="11">
        <f>P6*D6</f>
        <v>0.44700000000000001</v>
      </c>
      <c r="P6" s="23">
        <v>0.15</v>
      </c>
      <c r="Q6" s="11">
        <f>R6*D6</f>
        <v>0</v>
      </c>
      <c r="R6" s="23">
        <v>0</v>
      </c>
      <c r="S6" s="46">
        <f>E6+G6+I6+K6+M6+O6+Q6</f>
        <v>2.98</v>
      </c>
      <c r="T6" s="47">
        <f>S6/D6</f>
        <v>1</v>
      </c>
      <c r="U6" s="48">
        <f>E6+G6+I6+K6+M6</f>
        <v>2.5329999999999999</v>
      </c>
      <c r="V6" s="165">
        <f>U6/D6</f>
        <v>0.85</v>
      </c>
    </row>
    <row r="7" spans="1:22" ht="20" customHeight="1" x14ac:dyDescent="0.2">
      <c r="B7" s="8">
        <v>3</v>
      </c>
      <c r="C7" s="1" t="s">
        <v>288</v>
      </c>
      <c r="D7" s="11">
        <v>2.98</v>
      </c>
      <c r="E7" s="11">
        <f t="shared" si="0"/>
        <v>0</v>
      </c>
      <c r="F7" s="23">
        <v>0</v>
      </c>
      <c r="G7" s="11">
        <f>D7*H7</f>
        <v>0</v>
      </c>
      <c r="H7" s="23">
        <v>0</v>
      </c>
      <c r="I7" s="11">
        <f>D7*J7</f>
        <v>0</v>
      </c>
      <c r="J7" s="23">
        <v>0</v>
      </c>
      <c r="K7" s="11">
        <f>D7*L7</f>
        <v>0</v>
      </c>
      <c r="L7" s="23">
        <v>0</v>
      </c>
      <c r="M7" s="11">
        <f>N7*D7</f>
        <v>2.98</v>
      </c>
      <c r="N7" s="23">
        <v>1</v>
      </c>
      <c r="O7" s="11">
        <f>P7*D7</f>
        <v>0</v>
      </c>
      <c r="P7" s="23">
        <v>0</v>
      </c>
      <c r="Q7" s="11">
        <f>R7*D7</f>
        <v>0</v>
      </c>
      <c r="R7" s="23">
        <v>0</v>
      </c>
      <c r="S7" s="46">
        <f>E7+G7+I7+K7+M7+O7+Q7</f>
        <v>2.98</v>
      </c>
      <c r="T7" s="47">
        <f>S7/D7</f>
        <v>1</v>
      </c>
      <c r="U7" s="48">
        <f>E7+G7+I7+K7+M7</f>
        <v>2.98</v>
      </c>
      <c r="V7" s="165">
        <f>U7/D7</f>
        <v>1</v>
      </c>
    </row>
    <row r="8" spans="1:22" ht="20" customHeight="1" x14ac:dyDescent="0.2">
      <c r="B8" s="8">
        <v>4</v>
      </c>
      <c r="C8" s="1" t="s">
        <v>288</v>
      </c>
      <c r="D8" s="11">
        <v>2.98</v>
      </c>
      <c r="E8" s="11">
        <f t="shared" si="0"/>
        <v>0</v>
      </c>
      <c r="F8" s="23">
        <v>0</v>
      </c>
      <c r="G8" s="11">
        <f>D8*H8</f>
        <v>0</v>
      </c>
      <c r="H8" s="23">
        <v>0</v>
      </c>
      <c r="I8" s="11">
        <f>D8*J8</f>
        <v>0</v>
      </c>
      <c r="J8" s="23">
        <v>0</v>
      </c>
      <c r="K8" s="11">
        <f>D8*L8</f>
        <v>0</v>
      </c>
      <c r="L8" s="23">
        <v>0</v>
      </c>
      <c r="M8" s="11">
        <f>N8*D8</f>
        <v>1.788</v>
      </c>
      <c r="N8" s="23">
        <v>0.6</v>
      </c>
      <c r="O8" s="11">
        <f>P8*D8</f>
        <v>1.1919999999999999</v>
      </c>
      <c r="P8" s="23">
        <v>0.4</v>
      </c>
      <c r="Q8" s="11">
        <f>R8*D8</f>
        <v>0</v>
      </c>
      <c r="R8" s="23">
        <v>0</v>
      </c>
      <c r="S8" s="46">
        <f>E8+G8+I8+K8+M8+O8+Q8</f>
        <v>2.98</v>
      </c>
      <c r="T8" s="47">
        <f>S8/D8</f>
        <v>1</v>
      </c>
      <c r="U8" s="48">
        <f>E8+G8+I8+K8+M8</f>
        <v>1.788</v>
      </c>
      <c r="V8" s="165">
        <f>U8/D8</f>
        <v>0.6</v>
      </c>
    </row>
    <row r="9" spans="1:22" ht="20" customHeight="1" x14ac:dyDescent="0.2">
      <c r="B9" s="8">
        <v>5</v>
      </c>
      <c r="C9" s="1" t="s">
        <v>288</v>
      </c>
      <c r="D9" s="11">
        <v>2.98</v>
      </c>
      <c r="E9" s="11">
        <f t="shared" si="0"/>
        <v>0</v>
      </c>
      <c r="F9" s="23">
        <v>0</v>
      </c>
      <c r="G9" s="11">
        <f>D9*H9</f>
        <v>0</v>
      </c>
      <c r="H9" s="23">
        <v>0</v>
      </c>
      <c r="I9" s="11">
        <f>D9*J9</f>
        <v>0</v>
      </c>
      <c r="J9" s="23">
        <v>0</v>
      </c>
      <c r="K9" s="11">
        <f>D9*L9</f>
        <v>0</v>
      </c>
      <c r="L9" s="23">
        <v>0</v>
      </c>
      <c r="M9" s="11">
        <f>N9*D9</f>
        <v>2.5329999999999999</v>
      </c>
      <c r="N9" s="23">
        <f>0.85</f>
        <v>0.85</v>
      </c>
      <c r="O9" s="11">
        <f>P9*D9</f>
        <v>0.44700000000000001</v>
      </c>
      <c r="P9" s="23">
        <v>0.15</v>
      </c>
      <c r="Q9" s="11">
        <f>R9*D9</f>
        <v>0</v>
      </c>
      <c r="R9" s="23">
        <v>0</v>
      </c>
      <c r="S9" s="46">
        <f>E9+G9+I9+K9+M9+O9+Q9</f>
        <v>2.98</v>
      </c>
      <c r="T9" s="47">
        <f>S9/D9</f>
        <v>1</v>
      </c>
      <c r="U9" s="48">
        <f>E9+G9+I9+K9+M9</f>
        <v>2.5329999999999999</v>
      </c>
      <c r="V9" s="165">
        <f>U9/D9</f>
        <v>0.85</v>
      </c>
    </row>
    <row r="10" spans="1:22" ht="20" customHeight="1" x14ac:dyDescent="0.2"/>
    <row r="11" spans="1:22" ht="20" customHeight="1" x14ac:dyDescent="0.2">
      <c r="C11" s="40" t="s">
        <v>97</v>
      </c>
      <c r="D11" s="54">
        <f>SUM(D5:D9)</f>
        <v>14.9</v>
      </c>
      <c r="E11" s="49">
        <f>SUM(E5:E9)</f>
        <v>0</v>
      </c>
      <c r="F11" s="50">
        <f>E11/$D$11</f>
        <v>0</v>
      </c>
      <c r="G11" s="49">
        <f>SUM(G5:G9)</f>
        <v>0</v>
      </c>
      <c r="H11" s="50">
        <f t="shared" ref="H11" si="1">G11/$D$11</f>
        <v>0</v>
      </c>
      <c r="I11" s="49">
        <f>SUM(I5:I9)</f>
        <v>0</v>
      </c>
      <c r="J11" s="50">
        <f t="shared" ref="J11" si="2">I11/$D$11</f>
        <v>0</v>
      </c>
      <c r="K11" s="49">
        <f>SUM(K5:K9)</f>
        <v>0</v>
      </c>
      <c r="L11" s="50">
        <f t="shared" ref="L11" si="3">K11/$D$11</f>
        <v>0</v>
      </c>
      <c r="M11" s="49">
        <f>SUM(M5:M9)</f>
        <v>9.8339999999999996</v>
      </c>
      <c r="N11" s="50">
        <f t="shared" ref="N11" si="4">M11/$D$11</f>
        <v>0.65999999999999992</v>
      </c>
      <c r="O11" s="49">
        <f>SUM(O5:O9)</f>
        <v>3.3673999999999999</v>
      </c>
      <c r="P11" s="50">
        <f t="shared" ref="P11" si="5">O11/$D$11</f>
        <v>0.22599999999999998</v>
      </c>
      <c r="Q11" s="49">
        <f>SUM(Q5:Q9)</f>
        <v>0</v>
      </c>
      <c r="R11" s="50">
        <f t="shared" ref="R11" si="6">Q11/$D$11</f>
        <v>0</v>
      </c>
      <c r="S11" s="17">
        <f>SUM(S5:S9)</f>
        <v>13.201400000000001</v>
      </c>
      <c r="T11" s="51">
        <f>S11/D11</f>
        <v>0.88600000000000012</v>
      </c>
      <c r="U11" s="17">
        <f>SUM(U5:U9)</f>
        <v>9.8339999999999996</v>
      </c>
      <c r="V11" s="51">
        <f>U11/$D$11</f>
        <v>0.65999999999999992</v>
      </c>
    </row>
    <row r="12" spans="1:22" ht="20" customHeight="1" x14ac:dyDescent="0.2">
      <c r="C12" s="25"/>
      <c r="D12" s="61"/>
      <c r="E12" s="21"/>
      <c r="F12" s="21"/>
      <c r="G12" s="24"/>
      <c r="H12" s="10"/>
      <c r="I12" s="24"/>
      <c r="J12" s="10"/>
      <c r="K12" s="10"/>
      <c r="L12" s="10"/>
      <c r="M12" s="10"/>
      <c r="N12" s="10"/>
      <c r="O12" s="10"/>
      <c r="P12" s="10"/>
      <c r="Q12" s="10"/>
      <c r="R12" s="10"/>
      <c r="S12" s="52">
        <f>D11-S11</f>
        <v>1.698599999999999</v>
      </c>
      <c r="T12" s="53">
        <f>S12/D11</f>
        <v>0.11399999999999993</v>
      </c>
    </row>
    <row r="13" spans="1:22" ht="20" customHeight="1" x14ac:dyDescent="0.2">
      <c r="C13" s="27"/>
      <c r="D13" s="26"/>
      <c r="E13" s="11"/>
      <c r="F13" s="11"/>
      <c r="G13" s="11"/>
      <c r="I13" s="11"/>
    </row>
    <row r="14" spans="1:22" ht="20" customHeight="1" x14ac:dyDescent="0.2">
      <c r="A14" s="8" t="s">
        <v>267</v>
      </c>
      <c r="B14" s="8">
        <v>6</v>
      </c>
      <c r="C14" s="1" t="s">
        <v>284</v>
      </c>
      <c r="D14" s="11">
        <v>14.91</v>
      </c>
      <c r="E14" s="11">
        <f t="shared" ref="E14" si="7">D14*F14</f>
        <v>0</v>
      </c>
      <c r="F14" s="23">
        <v>0</v>
      </c>
      <c r="G14" s="11">
        <f>D14*H14</f>
        <v>0</v>
      </c>
      <c r="H14" s="23">
        <v>0</v>
      </c>
      <c r="I14" s="11">
        <f>D14*J14</f>
        <v>0</v>
      </c>
      <c r="J14" s="23">
        <v>0</v>
      </c>
      <c r="K14" s="11">
        <f>D14*L14</f>
        <v>0</v>
      </c>
      <c r="L14" s="23">
        <v>0</v>
      </c>
      <c r="M14" s="11">
        <f>D14*N14</f>
        <v>0</v>
      </c>
      <c r="N14" s="23">
        <v>0</v>
      </c>
      <c r="O14" s="11">
        <f>P14*D14</f>
        <v>0</v>
      </c>
      <c r="P14" s="23">
        <v>0</v>
      </c>
      <c r="Q14" s="11">
        <f>R14*D14</f>
        <v>0</v>
      </c>
      <c r="R14" s="23">
        <v>0</v>
      </c>
      <c r="S14" s="46">
        <f>E14+G14+I14+K14+M14+O14+Q14</f>
        <v>0</v>
      </c>
      <c r="T14" s="47">
        <f>S14/D14</f>
        <v>0</v>
      </c>
      <c r="U14" s="48">
        <f>E14+G14+I14+K14+M14</f>
        <v>0</v>
      </c>
      <c r="V14" s="165">
        <f>U14/D14</f>
        <v>0</v>
      </c>
    </row>
    <row r="15" spans="1:22" ht="20" customHeight="1" x14ac:dyDescent="0.2">
      <c r="D15" s="11"/>
      <c r="E15" s="11"/>
      <c r="F15" s="23"/>
      <c r="G15" s="11"/>
      <c r="H15" s="23"/>
      <c r="I15" s="11"/>
      <c r="J15" s="23"/>
      <c r="K15" s="11"/>
      <c r="L15" s="23"/>
      <c r="M15" s="11"/>
      <c r="N15" s="23"/>
      <c r="O15" s="11"/>
      <c r="P15" s="23"/>
      <c r="Q15" s="11"/>
      <c r="R15" s="23"/>
      <c r="S15" s="23"/>
      <c r="T15" s="23"/>
    </row>
    <row r="16" spans="1:22" ht="20" customHeight="1" x14ac:dyDescent="0.2">
      <c r="C16" s="40" t="s">
        <v>97</v>
      </c>
      <c r="D16" s="54">
        <f>SUM(D14:D14)</f>
        <v>14.91</v>
      </c>
      <c r="E16" s="49">
        <f>SUM(E14:E14)</f>
        <v>0</v>
      </c>
      <c r="F16" s="50">
        <f>E16/$D$16</f>
        <v>0</v>
      </c>
      <c r="G16" s="49">
        <f>SUM(G14:G14)</f>
        <v>0</v>
      </c>
      <c r="H16" s="50">
        <f t="shared" ref="H16" si="8">G16/$D$16</f>
        <v>0</v>
      </c>
      <c r="I16" s="49">
        <f>SUM(I14:I14)</f>
        <v>0</v>
      </c>
      <c r="J16" s="50">
        <f t="shared" ref="J16" si="9">I16/$D$16</f>
        <v>0</v>
      </c>
      <c r="K16" s="49">
        <f>SUM(K14:K14)</f>
        <v>0</v>
      </c>
      <c r="L16" s="50">
        <f t="shared" ref="L16" si="10">K16/$D$16</f>
        <v>0</v>
      </c>
      <c r="M16" s="49">
        <f>SUM(M14:M14)</f>
        <v>0</v>
      </c>
      <c r="N16" s="50">
        <f t="shared" ref="N16" si="11">M16/$D$16</f>
        <v>0</v>
      </c>
      <c r="O16" s="49">
        <f>SUM(O14:O14)</f>
        <v>0</v>
      </c>
      <c r="P16" s="50">
        <f t="shared" ref="P16" si="12">O16/$D$16</f>
        <v>0</v>
      </c>
      <c r="Q16" s="49">
        <f>SUM(Q14:Q14)</f>
        <v>0</v>
      </c>
      <c r="R16" s="50">
        <f t="shared" ref="R16" si="13">Q16/$D$16</f>
        <v>0</v>
      </c>
      <c r="S16" s="17">
        <f>SUM(S14:S14)</f>
        <v>0</v>
      </c>
      <c r="T16" s="51">
        <f>S16/$D$16</f>
        <v>0</v>
      </c>
      <c r="U16" s="17">
        <f>SUM(U14:U14)</f>
        <v>0</v>
      </c>
      <c r="V16" s="51">
        <f>U16/D16</f>
        <v>0</v>
      </c>
    </row>
    <row r="17" spans="1:22" ht="20" customHeight="1" x14ac:dyDescent="0.2">
      <c r="C17" s="25"/>
      <c r="D17" s="28"/>
      <c r="E17" s="21"/>
      <c r="F17" s="21"/>
      <c r="G17" s="24"/>
      <c r="H17" s="10"/>
      <c r="I17" s="24"/>
      <c r="J17" s="10"/>
      <c r="K17" s="10"/>
      <c r="L17" s="10"/>
      <c r="M17" s="10"/>
      <c r="N17" s="10"/>
      <c r="O17" s="10"/>
      <c r="P17" s="10"/>
      <c r="Q17" s="10"/>
      <c r="R17" s="10"/>
      <c r="S17" s="52">
        <f>D16-S16</f>
        <v>14.91</v>
      </c>
      <c r="T17" s="53">
        <f>S17/D16</f>
        <v>1</v>
      </c>
    </row>
    <row r="18" spans="1:22" ht="20" customHeight="1" x14ac:dyDescent="0.2"/>
    <row r="19" spans="1:22" ht="20" customHeight="1" x14ac:dyDescent="0.2">
      <c r="A19" s="8" t="s">
        <v>268</v>
      </c>
      <c r="B19" s="8">
        <v>1</v>
      </c>
      <c r="C19" s="1" t="s">
        <v>284</v>
      </c>
      <c r="D19" s="11">
        <v>7.45</v>
      </c>
      <c r="E19" s="11">
        <f t="shared" ref="E19:E20" si="14">D19*F19</f>
        <v>0</v>
      </c>
      <c r="F19" s="23">
        <v>0</v>
      </c>
      <c r="G19" s="11">
        <f>D19*H19</f>
        <v>0</v>
      </c>
      <c r="H19" s="23">
        <v>0</v>
      </c>
      <c r="I19" s="11">
        <f>D19*J19</f>
        <v>0</v>
      </c>
      <c r="J19" s="23">
        <v>0</v>
      </c>
      <c r="K19" s="11">
        <f>D19*L19</f>
        <v>0</v>
      </c>
      <c r="L19" s="23">
        <v>0</v>
      </c>
      <c r="M19" s="11">
        <f>F19*N19</f>
        <v>0</v>
      </c>
      <c r="N19" s="23">
        <v>0</v>
      </c>
      <c r="O19" s="11">
        <f>P19*D19</f>
        <v>0</v>
      </c>
      <c r="P19" s="23">
        <v>0</v>
      </c>
      <c r="Q19" s="11">
        <f>R19*D19</f>
        <v>0</v>
      </c>
      <c r="R19" s="23">
        <v>0</v>
      </c>
      <c r="S19" s="46">
        <f>E19+G19+I19+K19+M19+O19+Q19</f>
        <v>0</v>
      </c>
      <c r="T19" s="47">
        <f>S19/D19</f>
        <v>0</v>
      </c>
      <c r="U19" s="48">
        <f>E19+G19+I19+K19+M19</f>
        <v>0</v>
      </c>
      <c r="V19" s="165">
        <f>U19/D19</f>
        <v>0</v>
      </c>
    </row>
    <row r="20" spans="1:22" ht="20" customHeight="1" x14ac:dyDescent="0.2">
      <c r="B20" s="8">
        <v>7</v>
      </c>
      <c r="C20" s="1" t="s">
        <v>284</v>
      </c>
      <c r="D20" s="11">
        <v>7.45</v>
      </c>
      <c r="E20" s="11">
        <f t="shared" si="14"/>
        <v>0</v>
      </c>
      <c r="F20" s="23">
        <v>0</v>
      </c>
      <c r="G20" s="11">
        <f>D20*H20</f>
        <v>0</v>
      </c>
      <c r="H20" s="23">
        <v>0</v>
      </c>
      <c r="I20" s="11">
        <f>D20*J20</f>
        <v>0</v>
      </c>
      <c r="J20" s="23">
        <v>0</v>
      </c>
      <c r="K20" s="11">
        <f>D20*L20</f>
        <v>0</v>
      </c>
      <c r="L20" s="23">
        <v>0</v>
      </c>
      <c r="M20" s="11">
        <f>F20*N20</f>
        <v>0</v>
      </c>
      <c r="N20" s="23">
        <v>0</v>
      </c>
      <c r="O20" s="11">
        <f t="shared" ref="O20" si="15">H20*P20</f>
        <v>0</v>
      </c>
      <c r="P20" s="23">
        <v>0</v>
      </c>
      <c r="Q20" s="11">
        <f t="shared" ref="Q20" si="16">J20*R20</f>
        <v>0</v>
      </c>
      <c r="R20" s="23">
        <v>0</v>
      </c>
      <c r="S20" s="46">
        <f>E20+G20+I20+K20+M20+O20+Q20</f>
        <v>0</v>
      </c>
      <c r="T20" s="47">
        <f>S20/D20</f>
        <v>0</v>
      </c>
      <c r="U20" s="48">
        <f>E20+G20+I20+K20+M20</f>
        <v>0</v>
      </c>
      <c r="V20" s="165">
        <f>U20/D20</f>
        <v>0</v>
      </c>
    </row>
    <row r="21" spans="1:22" ht="20" customHeight="1" x14ac:dyDescent="0.2"/>
    <row r="22" spans="1:22" ht="20" customHeight="1" x14ac:dyDescent="0.2">
      <c r="C22" s="40" t="s">
        <v>97</v>
      </c>
      <c r="D22" s="54">
        <f>SUM(D19:D20)</f>
        <v>14.9</v>
      </c>
      <c r="E22" s="49">
        <f>SUM(E19:E20)</f>
        <v>0</v>
      </c>
      <c r="F22" s="50">
        <f>E22/$D$22</f>
        <v>0</v>
      </c>
      <c r="G22" s="49">
        <f>SUM(G19:G20)</f>
        <v>0</v>
      </c>
      <c r="H22" s="50">
        <f t="shared" ref="H22" si="17">G22/$D$22</f>
        <v>0</v>
      </c>
      <c r="I22" s="49">
        <f>SUM(I19:I20)</f>
        <v>0</v>
      </c>
      <c r="J22" s="50">
        <f t="shared" ref="J22" si="18">I22/$D$22</f>
        <v>0</v>
      </c>
      <c r="K22" s="49">
        <f>SUM(K19:K20)</f>
        <v>0</v>
      </c>
      <c r="L22" s="50">
        <f t="shared" ref="L22" si="19">K22/$D$22</f>
        <v>0</v>
      </c>
      <c r="M22" s="49">
        <f>SUM(M19:M20)</f>
        <v>0</v>
      </c>
      <c r="N22" s="50">
        <f t="shared" ref="N22" si="20">M22/$D$22</f>
        <v>0</v>
      </c>
      <c r="O22" s="49">
        <f>SUM(O19:O20)</f>
        <v>0</v>
      </c>
      <c r="P22" s="50">
        <f t="shared" ref="P22" si="21">O22/$D$22</f>
        <v>0</v>
      </c>
      <c r="Q22" s="49">
        <f>SUM(Q19:Q20)</f>
        <v>0</v>
      </c>
      <c r="R22" s="50">
        <f t="shared" ref="R22" si="22">Q22/$D$22</f>
        <v>0</v>
      </c>
      <c r="S22" s="17">
        <f>SUM(S19:S20)</f>
        <v>0</v>
      </c>
      <c r="T22" s="51">
        <f>S22/D22</f>
        <v>0</v>
      </c>
      <c r="U22" s="17">
        <f>SUM(U19:U20)</f>
        <v>0</v>
      </c>
      <c r="V22" s="51">
        <f>U22/D22</f>
        <v>0</v>
      </c>
    </row>
    <row r="23" spans="1:22" ht="20" customHeight="1" x14ac:dyDescent="0.2">
      <c r="C23" s="25"/>
      <c r="D23" s="61"/>
      <c r="E23" s="21"/>
      <c r="F23" s="21"/>
      <c r="G23" s="24"/>
      <c r="H23" s="10"/>
      <c r="I23" s="24"/>
      <c r="J23" s="10"/>
      <c r="K23" s="10"/>
      <c r="L23" s="10"/>
      <c r="M23" s="10"/>
      <c r="N23" s="10"/>
      <c r="O23" s="10"/>
      <c r="P23" s="10"/>
      <c r="Q23" s="10"/>
      <c r="R23" s="10"/>
      <c r="S23" s="52">
        <f>D22-S22</f>
        <v>14.9</v>
      </c>
      <c r="T23" s="53">
        <f>S23/D22</f>
        <v>1</v>
      </c>
    </row>
    <row r="24" spans="1:22" ht="20" customHeight="1" x14ac:dyDescent="0.2">
      <c r="C24" s="27"/>
      <c r="D24" s="26"/>
      <c r="E24" s="11"/>
      <c r="F24" s="11"/>
      <c r="G24" s="11"/>
      <c r="I24" s="11"/>
    </row>
    <row r="25" spans="1:22" ht="20" customHeight="1" x14ac:dyDescent="0.2">
      <c r="A25" s="8" t="s">
        <v>269</v>
      </c>
      <c r="B25" s="8">
        <v>8</v>
      </c>
      <c r="C25" s="1" t="s">
        <v>284</v>
      </c>
      <c r="D25" s="11">
        <v>2.98</v>
      </c>
      <c r="E25" s="11">
        <f t="shared" ref="E25:E29" si="23">D25*F25</f>
        <v>0</v>
      </c>
      <c r="F25" s="23">
        <v>0</v>
      </c>
      <c r="G25" s="11">
        <f>D25*H25</f>
        <v>0</v>
      </c>
      <c r="H25" s="23">
        <v>0</v>
      </c>
      <c r="I25" s="11">
        <f>D25*J25</f>
        <v>0</v>
      </c>
      <c r="J25" s="23">
        <v>0</v>
      </c>
      <c r="K25" s="11">
        <f>D25*L25</f>
        <v>0</v>
      </c>
      <c r="L25" s="23">
        <v>0</v>
      </c>
      <c r="M25" s="11">
        <f>D25*N25</f>
        <v>0</v>
      </c>
      <c r="N25" s="23">
        <v>0</v>
      </c>
      <c r="O25" s="11">
        <f>P25*D25</f>
        <v>0</v>
      </c>
      <c r="P25" s="23">
        <v>0</v>
      </c>
      <c r="Q25" s="11">
        <f>R25*D25</f>
        <v>0</v>
      </c>
      <c r="R25" s="23">
        <v>0</v>
      </c>
      <c r="S25" s="46">
        <f>E25+G25+I25+K25+M25+O25+Q25</f>
        <v>0</v>
      </c>
      <c r="T25" s="47">
        <f>S25/D25</f>
        <v>0</v>
      </c>
      <c r="U25" s="48">
        <f>E25+G25+I25+K25+M25</f>
        <v>0</v>
      </c>
      <c r="V25" s="165">
        <f>U25/D25</f>
        <v>0</v>
      </c>
    </row>
    <row r="26" spans="1:22" ht="20" customHeight="1" x14ac:dyDescent="0.2">
      <c r="A26" s="8"/>
      <c r="B26" s="8">
        <v>9</v>
      </c>
      <c r="C26" s="1" t="s">
        <v>284</v>
      </c>
      <c r="D26" s="11">
        <v>2.98</v>
      </c>
      <c r="E26" s="11">
        <f t="shared" si="23"/>
        <v>0</v>
      </c>
      <c r="F26" s="23">
        <v>0</v>
      </c>
      <c r="G26" s="11">
        <f>D26*H26</f>
        <v>0</v>
      </c>
      <c r="H26" s="23">
        <v>0</v>
      </c>
      <c r="I26" s="11">
        <f>D26*J26</f>
        <v>0</v>
      </c>
      <c r="J26" s="23">
        <v>0</v>
      </c>
      <c r="K26" s="11">
        <f>D26*L26</f>
        <v>0</v>
      </c>
      <c r="L26" s="23">
        <v>0</v>
      </c>
      <c r="M26" s="11">
        <f>D26*N26</f>
        <v>0</v>
      </c>
      <c r="N26" s="23">
        <v>0</v>
      </c>
      <c r="O26" s="11">
        <f>P26*D26</f>
        <v>0</v>
      </c>
      <c r="P26" s="23">
        <v>0</v>
      </c>
      <c r="Q26" s="11">
        <f>R26*D26</f>
        <v>0</v>
      </c>
      <c r="R26" s="23">
        <v>0</v>
      </c>
      <c r="S26" s="46">
        <f>E26+G26+I26+K26+M26+O26+Q26</f>
        <v>0</v>
      </c>
      <c r="T26" s="47">
        <f>S26/D26</f>
        <v>0</v>
      </c>
      <c r="U26" s="48">
        <f>E26+G26+I26+K26+M26</f>
        <v>0</v>
      </c>
      <c r="V26" s="165">
        <f>U26/D26</f>
        <v>0</v>
      </c>
    </row>
    <row r="27" spans="1:22" ht="20" customHeight="1" x14ac:dyDescent="0.2">
      <c r="A27" s="8"/>
      <c r="B27" s="8">
        <v>10</v>
      </c>
      <c r="C27" s="1" t="s">
        <v>284</v>
      </c>
      <c r="D27" s="11">
        <v>2.98</v>
      </c>
      <c r="E27" s="11">
        <f t="shared" si="23"/>
        <v>2.6819999999999999</v>
      </c>
      <c r="F27" s="23">
        <v>0.9</v>
      </c>
      <c r="G27" s="11">
        <f>D27*H27</f>
        <v>0</v>
      </c>
      <c r="H27" s="23">
        <v>0</v>
      </c>
      <c r="I27" s="11">
        <f>D27*J27</f>
        <v>0</v>
      </c>
      <c r="J27" s="23">
        <v>0</v>
      </c>
      <c r="K27" s="11">
        <f>D27*L27</f>
        <v>0</v>
      </c>
      <c r="L27" s="23">
        <v>0</v>
      </c>
      <c r="M27" s="11">
        <f>D27*N27</f>
        <v>0</v>
      </c>
      <c r="N27" s="23">
        <v>0</v>
      </c>
      <c r="O27" s="11">
        <f>P27*D27</f>
        <v>0</v>
      </c>
      <c r="P27" s="23">
        <v>0</v>
      </c>
      <c r="Q27" s="11">
        <f>R27*D27</f>
        <v>0</v>
      </c>
      <c r="R27" s="23">
        <v>0</v>
      </c>
      <c r="S27" s="46">
        <f>E27+G27+I27+K27+M27+O27+Q27</f>
        <v>2.6819999999999999</v>
      </c>
      <c r="T27" s="47">
        <f>S27/D27</f>
        <v>0.9</v>
      </c>
      <c r="U27" s="48">
        <f>E27+G27+I27+K27+M27</f>
        <v>2.6819999999999999</v>
      </c>
      <c r="V27" s="165">
        <f>U27/D27</f>
        <v>0.9</v>
      </c>
    </row>
    <row r="28" spans="1:22" ht="20" customHeight="1" x14ac:dyDescent="0.2">
      <c r="A28" s="8"/>
      <c r="B28" s="8">
        <v>11</v>
      </c>
      <c r="C28" s="1" t="s">
        <v>284</v>
      </c>
      <c r="D28" s="11">
        <v>2.98</v>
      </c>
      <c r="E28" s="11">
        <f t="shared" si="23"/>
        <v>1.1919999999999999</v>
      </c>
      <c r="F28" s="23">
        <v>0.4</v>
      </c>
      <c r="G28" s="11">
        <f>D28*H28</f>
        <v>0</v>
      </c>
      <c r="H28" s="23">
        <v>0</v>
      </c>
      <c r="I28" s="11">
        <f>D28*J28</f>
        <v>0</v>
      </c>
      <c r="J28" s="23">
        <v>0</v>
      </c>
      <c r="K28" s="11">
        <f>D28*L28</f>
        <v>0</v>
      </c>
      <c r="L28" s="23">
        <v>0</v>
      </c>
      <c r="M28" s="11">
        <f>D28*N28</f>
        <v>0</v>
      </c>
      <c r="N28" s="23">
        <v>0</v>
      </c>
      <c r="O28" s="11">
        <f>P28*D28</f>
        <v>0</v>
      </c>
      <c r="P28" s="23">
        <v>0</v>
      </c>
      <c r="Q28" s="11">
        <f>R28*D28</f>
        <v>0</v>
      </c>
      <c r="R28" s="23">
        <v>0</v>
      </c>
      <c r="S28" s="46">
        <f>E28+G28+I28+K28+M28+O28+Q28</f>
        <v>1.1919999999999999</v>
      </c>
      <c r="T28" s="47">
        <f>S28/D28</f>
        <v>0.39999999999999997</v>
      </c>
      <c r="U28" s="48">
        <f>E28+G28+I28+K28+M28</f>
        <v>1.1919999999999999</v>
      </c>
      <c r="V28" s="165">
        <f>U28/D28</f>
        <v>0.39999999999999997</v>
      </c>
    </row>
    <row r="29" spans="1:22" ht="20" customHeight="1" x14ac:dyDescent="0.2">
      <c r="A29" s="8"/>
      <c r="B29" s="8">
        <v>12</v>
      </c>
      <c r="C29" s="1" t="s">
        <v>284</v>
      </c>
      <c r="D29" s="11">
        <v>2.98</v>
      </c>
      <c r="E29" s="11">
        <f t="shared" si="23"/>
        <v>0</v>
      </c>
      <c r="F29" s="23">
        <v>0</v>
      </c>
      <c r="G29" s="11">
        <f>D29*H29</f>
        <v>0</v>
      </c>
      <c r="H29" s="23">
        <v>0</v>
      </c>
      <c r="I29" s="11">
        <f>D29*J29</f>
        <v>0</v>
      </c>
      <c r="J29" s="23">
        <v>0</v>
      </c>
      <c r="K29" s="11">
        <f>D29*L29</f>
        <v>0</v>
      </c>
      <c r="L29" s="23">
        <v>0</v>
      </c>
      <c r="M29" s="11">
        <f>D29*N29</f>
        <v>0</v>
      </c>
      <c r="N29" s="23">
        <v>0</v>
      </c>
      <c r="O29" s="11">
        <f>P29*D29</f>
        <v>0</v>
      </c>
      <c r="P29" s="23">
        <v>0</v>
      </c>
      <c r="Q29" s="11">
        <f>R29*D29</f>
        <v>0</v>
      </c>
      <c r="R29" s="23">
        <v>0</v>
      </c>
      <c r="S29" s="46">
        <f>E29+G29+I29+K29+M29+O29+Q29</f>
        <v>0</v>
      </c>
      <c r="T29" s="47">
        <f>S29/D29</f>
        <v>0</v>
      </c>
      <c r="U29" s="48">
        <f>E29+G29+I29+K29+M29</f>
        <v>0</v>
      </c>
      <c r="V29" s="165">
        <f>U29/D29</f>
        <v>0</v>
      </c>
    </row>
    <row r="30" spans="1:22" ht="20" customHeight="1" x14ac:dyDescent="0.2">
      <c r="D30" s="11"/>
      <c r="E30" s="11"/>
      <c r="F30" s="23"/>
      <c r="G30" s="11"/>
      <c r="H30" s="23"/>
      <c r="I30" s="11"/>
      <c r="J30" s="23"/>
      <c r="K30" s="11"/>
      <c r="L30" s="23"/>
      <c r="M30" s="11"/>
      <c r="N30" s="23"/>
      <c r="O30" s="11"/>
      <c r="P30" s="23"/>
      <c r="Q30" s="11"/>
      <c r="R30" s="23"/>
      <c r="S30" s="11"/>
      <c r="T30" s="268"/>
      <c r="U30" s="11"/>
      <c r="V30" s="268"/>
    </row>
    <row r="31" spans="1:22" ht="20" customHeight="1" x14ac:dyDescent="0.2">
      <c r="C31" s="40" t="s">
        <v>97</v>
      </c>
      <c r="D31" s="54">
        <f>SUM(D25:D29)</f>
        <v>14.9</v>
      </c>
      <c r="E31" s="49">
        <f>SUM(E25:E29)</f>
        <v>3.8739999999999997</v>
      </c>
      <c r="F31" s="50">
        <f>E31/$D$31</f>
        <v>0.25999999999999995</v>
      </c>
      <c r="G31" s="49">
        <f>SUM(G25:G29)</f>
        <v>0</v>
      </c>
      <c r="H31" s="50">
        <f t="shared" ref="H31" si="24">G31/$D$31</f>
        <v>0</v>
      </c>
      <c r="I31" s="49">
        <f>SUM(I25:I29)</f>
        <v>0</v>
      </c>
      <c r="J31" s="50">
        <f t="shared" ref="J31" si="25">I31/$D$31</f>
        <v>0</v>
      </c>
      <c r="K31" s="49">
        <f>SUM(K25:K29)</f>
        <v>0</v>
      </c>
      <c r="L31" s="50">
        <f t="shared" ref="L31" si="26">K31/$D$31</f>
        <v>0</v>
      </c>
      <c r="M31" s="49">
        <f>SUM(M25:M29)</f>
        <v>0</v>
      </c>
      <c r="N31" s="50">
        <f t="shared" ref="N31" si="27">M31/$D$31</f>
        <v>0</v>
      </c>
      <c r="O31" s="49">
        <f>SUM(O25:O29)</f>
        <v>0</v>
      </c>
      <c r="P31" s="50">
        <f t="shared" ref="P31" si="28">O31/$D$31</f>
        <v>0</v>
      </c>
      <c r="Q31" s="49">
        <f>SUM(Q25:Q29)</f>
        <v>0</v>
      </c>
      <c r="R31" s="50">
        <f t="shared" ref="R31" si="29">Q31/$D$31</f>
        <v>0</v>
      </c>
      <c r="S31" s="17">
        <f>SUM(S25:S29)</f>
        <v>3.8739999999999997</v>
      </c>
      <c r="T31" s="51">
        <f>S31/$D$31</f>
        <v>0.25999999999999995</v>
      </c>
      <c r="U31" s="17">
        <f>SUM(U25:U29)</f>
        <v>3.8739999999999997</v>
      </c>
      <c r="V31" s="51">
        <f>U31/$D$31</f>
        <v>0.25999999999999995</v>
      </c>
    </row>
    <row r="32" spans="1:22" ht="20" customHeight="1" x14ac:dyDescent="0.2">
      <c r="C32" s="25"/>
      <c r="D32" s="28"/>
      <c r="E32" s="21"/>
      <c r="F32" s="21"/>
      <c r="G32" s="24"/>
      <c r="H32" s="10"/>
      <c r="I32" s="24"/>
      <c r="J32" s="10"/>
      <c r="K32" s="10"/>
      <c r="L32" s="10"/>
      <c r="M32" s="10"/>
      <c r="N32" s="10"/>
      <c r="O32" s="10"/>
      <c r="P32" s="10"/>
      <c r="Q32" s="10"/>
      <c r="R32" s="10"/>
      <c r="S32" s="52">
        <f>D31-S31</f>
        <v>11.026</v>
      </c>
      <c r="T32" s="53">
        <f>S32/D31</f>
        <v>0.74</v>
      </c>
    </row>
    <row r="33" spans="1:22" ht="20" customHeight="1" x14ac:dyDescent="0.2">
      <c r="C33" s="25"/>
      <c r="D33" s="28"/>
      <c r="E33" s="21"/>
      <c r="F33" s="21"/>
      <c r="G33" s="24"/>
      <c r="H33" s="10"/>
      <c r="I33" s="24"/>
      <c r="J33" s="10"/>
      <c r="K33" s="10"/>
      <c r="L33" s="10"/>
      <c r="M33" s="10"/>
      <c r="N33" s="10"/>
      <c r="O33" s="10"/>
      <c r="P33" s="10"/>
      <c r="Q33" s="10"/>
      <c r="R33" s="10"/>
      <c r="S33" s="21"/>
      <c r="T33" s="269"/>
    </row>
    <row r="34" spans="1:22" ht="20" customHeight="1" x14ac:dyDescent="0.2">
      <c r="A34" s="8" t="s">
        <v>270</v>
      </c>
      <c r="B34" s="8">
        <v>13</v>
      </c>
      <c r="C34" s="1" t="s">
        <v>284</v>
      </c>
      <c r="D34" s="11">
        <v>14.9</v>
      </c>
      <c r="E34" s="11">
        <f t="shared" ref="E34" si="30">D34*F34</f>
        <v>9.8340000000000014</v>
      </c>
      <c r="F34" s="23">
        <v>0.66</v>
      </c>
      <c r="G34" s="11">
        <f>H34*D34</f>
        <v>0</v>
      </c>
      <c r="H34" s="23">
        <v>0</v>
      </c>
      <c r="I34" s="11">
        <f>D34*J34</f>
        <v>0</v>
      </c>
      <c r="J34" s="23">
        <v>0</v>
      </c>
      <c r="K34" s="11">
        <f>D34*L34</f>
        <v>0</v>
      </c>
      <c r="L34" s="23">
        <v>0</v>
      </c>
      <c r="M34" s="11">
        <f>D34*N34</f>
        <v>0</v>
      </c>
      <c r="N34" s="23">
        <v>0</v>
      </c>
      <c r="O34" s="11">
        <f>P34*D34</f>
        <v>0</v>
      </c>
      <c r="P34" s="23">
        <v>0</v>
      </c>
      <c r="Q34" s="11">
        <f>R34*D34</f>
        <v>0.89400000000000002</v>
      </c>
      <c r="R34" s="23">
        <v>0.06</v>
      </c>
      <c r="S34" s="46">
        <f>E34+G34+I34+K34+M34+O34+Q34</f>
        <v>10.728000000000002</v>
      </c>
      <c r="T34" s="47">
        <f>S34/D34</f>
        <v>0.72000000000000008</v>
      </c>
      <c r="U34" s="48">
        <f>E34+G34+I34+K34+M34</f>
        <v>9.8340000000000014</v>
      </c>
      <c r="V34" s="165">
        <f>U34/D34</f>
        <v>0.66</v>
      </c>
    </row>
    <row r="35" spans="1:22" ht="20" customHeight="1" x14ac:dyDescent="0.2">
      <c r="C35" s="25"/>
      <c r="D35" s="28"/>
      <c r="E35" s="21"/>
      <c r="F35" s="21"/>
      <c r="G35" s="24"/>
      <c r="H35" s="10"/>
      <c r="I35" s="24"/>
      <c r="J35" s="10"/>
      <c r="K35" s="10"/>
      <c r="L35" s="10"/>
      <c r="M35" s="10"/>
      <c r="N35" s="10"/>
      <c r="O35" s="10"/>
      <c r="P35" s="10"/>
      <c r="Q35" s="10"/>
      <c r="R35" s="10"/>
      <c r="S35" s="21"/>
      <c r="T35" s="269"/>
    </row>
    <row r="36" spans="1:22" ht="20" customHeight="1" x14ac:dyDescent="0.2">
      <c r="C36" s="40" t="s">
        <v>97</v>
      </c>
      <c r="D36" s="54">
        <f>SUM(D34:D34)</f>
        <v>14.9</v>
      </c>
      <c r="E36" s="49">
        <f>SUM(E34:E34)</f>
        <v>9.8340000000000014</v>
      </c>
      <c r="F36" s="50">
        <f>E36/$D$36</f>
        <v>0.66</v>
      </c>
      <c r="G36" s="49">
        <f>SUM(G34:G34)</f>
        <v>0</v>
      </c>
      <c r="H36" s="50">
        <f>G36/$D$36</f>
        <v>0</v>
      </c>
      <c r="I36" s="49">
        <f>SUM(I34:I34)</f>
        <v>0</v>
      </c>
      <c r="J36" s="50">
        <f t="shared" ref="J36" si="31">I36/$D$36</f>
        <v>0</v>
      </c>
      <c r="K36" s="49">
        <f>SUM(K34:K34)</f>
        <v>0</v>
      </c>
      <c r="L36" s="50">
        <f t="shared" ref="L36" si="32">K36/$D$36</f>
        <v>0</v>
      </c>
      <c r="M36" s="49">
        <f>SUM(M34:M34)</f>
        <v>0</v>
      </c>
      <c r="N36" s="50">
        <f t="shared" ref="N36" si="33">M36/$D$36</f>
        <v>0</v>
      </c>
      <c r="O36" s="49">
        <f>SUM(O34:O34)</f>
        <v>0</v>
      </c>
      <c r="P36" s="50">
        <f t="shared" ref="P36" si="34">O36/$D$36</f>
        <v>0</v>
      </c>
      <c r="Q36" s="49">
        <f>SUM(Q34:Q34)</f>
        <v>0.89400000000000002</v>
      </c>
      <c r="R36" s="50">
        <f t="shared" ref="R36" si="35">Q36/$D$36</f>
        <v>0.06</v>
      </c>
      <c r="S36" s="17">
        <f>SUM(S34:S34)</f>
        <v>10.728000000000002</v>
      </c>
      <c r="T36" s="51">
        <f>S36/D36</f>
        <v>0.72000000000000008</v>
      </c>
      <c r="U36" s="17">
        <f>SUM(U34:U34)</f>
        <v>9.8340000000000014</v>
      </c>
      <c r="V36" s="51">
        <f>U36/D36</f>
        <v>0.66</v>
      </c>
    </row>
    <row r="37" spans="1:22" ht="20" customHeight="1" x14ac:dyDescent="0.2">
      <c r="C37" s="25"/>
      <c r="D37" s="28"/>
      <c r="E37" s="21"/>
      <c r="F37" s="21"/>
      <c r="G37" s="24"/>
      <c r="H37" s="10"/>
      <c r="I37" s="24"/>
      <c r="J37" s="10"/>
      <c r="K37" s="10"/>
      <c r="L37" s="10"/>
      <c r="M37" s="10"/>
      <c r="N37" s="10"/>
      <c r="O37" s="10"/>
      <c r="P37" s="10"/>
      <c r="Q37" s="10"/>
      <c r="R37" s="10"/>
      <c r="S37" s="21"/>
      <c r="T37" s="269"/>
    </row>
    <row r="38" spans="1:22" ht="20" customHeight="1" x14ac:dyDescent="0.2">
      <c r="C38" s="25"/>
      <c r="D38" s="28"/>
      <c r="E38" s="21"/>
      <c r="F38" s="21"/>
      <c r="G38" s="24"/>
      <c r="H38" s="10"/>
      <c r="I38" s="24"/>
      <c r="J38" s="10"/>
      <c r="K38" s="10"/>
      <c r="L38" s="10"/>
      <c r="M38" s="10"/>
      <c r="N38" s="10"/>
      <c r="O38" s="10"/>
      <c r="P38" s="10"/>
      <c r="Q38" s="10"/>
      <c r="R38" s="10"/>
      <c r="S38" s="21"/>
      <c r="T38" s="269"/>
    </row>
    <row r="39" spans="1:22" ht="20" customHeight="1" x14ac:dyDescent="0.2">
      <c r="A39" s="8" t="s">
        <v>277</v>
      </c>
      <c r="B39" s="8">
        <v>14</v>
      </c>
      <c r="C39" s="1" t="s">
        <v>284</v>
      </c>
      <c r="D39" s="11">
        <v>7.45</v>
      </c>
      <c r="E39" s="11">
        <f t="shared" ref="E39:E40" si="36">D39*F39</f>
        <v>0</v>
      </c>
      <c r="F39" s="23">
        <v>0</v>
      </c>
      <c r="G39" s="11">
        <f>H39*D39</f>
        <v>0</v>
      </c>
      <c r="H39" s="23">
        <v>0</v>
      </c>
      <c r="I39" s="11">
        <f>D39*J39</f>
        <v>0</v>
      </c>
      <c r="J39" s="23">
        <v>0</v>
      </c>
      <c r="K39" s="11">
        <f>D39*L39</f>
        <v>0</v>
      </c>
      <c r="L39" s="23">
        <v>0</v>
      </c>
      <c r="M39" s="11">
        <f>F39*N39</f>
        <v>0</v>
      </c>
      <c r="N39" s="23">
        <v>0</v>
      </c>
      <c r="O39" s="11">
        <f>P39*D39</f>
        <v>0</v>
      </c>
      <c r="P39" s="23">
        <v>0</v>
      </c>
      <c r="Q39" s="11">
        <f>R39*D39</f>
        <v>1.341</v>
      </c>
      <c r="R39" s="23">
        <v>0.18</v>
      </c>
      <c r="S39" s="46">
        <f>E39+G39+I39+K39+M39+O39+Q39</f>
        <v>1.341</v>
      </c>
      <c r="T39" s="47">
        <f>S39/D39</f>
        <v>0.18</v>
      </c>
      <c r="U39" s="48">
        <f>E39+G39+I39+K39+M39</f>
        <v>0</v>
      </c>
      <c r="V39" s="165">
        <f>U39/D39</f>
        <v>0</v>
      </c>
    </row>
    <row r="40" spans="1:22" ht="20" customHeight="1" x14ac:dyDescent="0.2">
      <c r="B40" s="8">
        <v>15</v>
      </c>
      <c r="C40" s="1" t="s">
        <v>284</v>
      </c>
      <c r="D40" s="11">
        <v>7.45</v>
      </c>
      <c r="E40" s="11">
        <f t="shared" si="36"/>
        <v>0</v>
      </c>
      <c r="F40" s="23">
        <v>0</v>
      </c>
      <c r="G40" s="11">
        <f>H40*D40</f>
        <v>0</v>
      </c>
      <c r="H40" s="23">
        <v>0</v>
      </c>
      <c r="I40" s="11">
        <f>D40*J40</f>
        <v>0</v>
      </c>
      <c r="J40" s="23">
        <v>0</v>
      </c>
      <c r="K40" s="11">
        <f>D40*L40</f>
        <v>0</v>
      </c>
      <c r="L40" s="23">
        <v>0</v>
      </c>
      <c r="M40" s="11">
        <f>F40*N40</f>
        <v>0</v>
      </c>
      <c r="N40" s="23">
        <v>0</v>
      </c>
      <c r="O40" s="11">
        <f t="shared" ref="O40" si="37">H40*P40</f>
        <v>0</v>
      </c>
      <c r="P40" s="23">
        <v>0</v>
      </c>
      <c r="Q40" s="11">
        <f t="shared" ref="Q40" si="38">J40*R40</f>
        <v>0</v>
      </c>
      <c r="R40" s="23">
        <v>0</v>
      </c>
      <c r="S40" s="46">
        <f>E40+G40+I40+K40+M40+O40+Q40</f>
        <v>0</v>
      </c>
      <c r="T40" s="47">
        <f>S40/D40</f>
        <v>0</v>
      </c>
      <c r="U40" s="48">
        <f>E40+G40+I40+K40+M40</f>
        <v>0</v>
      </c>
      <c r="V40" s="165">
        <f>U40/D40</f>
        <v>0</v>
      </c>
    </row>
    <row r="41" spans="1:22" ht="20" customHeight="1" x14ac:dyDescent="0.2"/>
    <row r="42" spans="1:22" ht="20" customHeight="1" x14ac:dyDescent="0.2">
      <c r="C42" s="40" t="s">
        <v>97</v>
      </c>
      <c r="D42" s="54">
        <f>SUM(D39:D40)</f>
        <v>14.9</v>
      </c>
      <c r="E42" s="49">
        <f>SUM(E39:E40)</f>
        <v>0</v>
      </c>
      <c r="F42" s="50">
        <f>E42/$D$42</f>
        <v>0</v>
      </c>
      <c r="G42" s="49">
        <f>SUM(G39:G40)</f>
        <v>0</v>
      </c>
      <c r="H42" s="50">
        <f t="shared" ref="H42" si="39">G42/$D$42</f>
        <v>0</v>
      </c>
      <c r="I42" s="49">
        <f>SUM(I39:I40)</f>
        <v>0</v>
      </c>
      <c r="J42" s="50">
        <f t="shared" ref="J42" si="40">I42/$D$42</f>
        <v>0</v>
      </c>
      <c r="K42" s="49">
        <f>SUM(K39:K40)</f>
        <v>0</v>
      </c>
      <c r="L42" s="50">
        <f t="shared" ref="L42" si="41">K42/$D$42</f>
        <v>0</v>
      </c>
      <c r="M42" s="49">
        <f>SUM(M39:M40)</f>
        <v>0</v>
      </c>
      <c r="N42" s="50">
        <f t="shared" ref="N42" si="42">M42/$D$42</f>
        <v>0</v>
      </c>
      <c r="O42" s="49">
        <f>SUM(O39:O40)</f>
        <v>0</v>
      </c>
      <c r="P42" s="50">
        <f t="shared" ref="P42" si="43">O42/$D$42</f>
        <v>0</v>
      </c>
      <c r="Q42" s="49">
        <f>SUM(Q39:Q40)</f>
        <v>1.341</v>
      </c>
      <c r="R42" s="50">
        <f t="shared" ref="R42" si="44">Q42/$D$42</f>
        <v>0.09</v>
      </c>
      <c r="S42" s="17">
        <f>SUM(S39:S40)</f>
        <v>1.341</v>
      </c>
      <c r="T42" s="51">
        <f>S42/D42</f>
        <v>0.09</v>
      </c>
      <c r="U42" s="17">
        <f>SUM(U39:U40)</f>
        <v>0</v>
      </c>
      <c r="V42" s="51">
        <f>U42/D42</f>
        <v>0</v>
      </c>
    </row>
    <row r="43" spans="1:22" ht="20" customHeight="1" x14ac:dyDescent="0.2">
      <c r="C43" s="270"/>
      <c r="D43" s="271"/>
      <c r="E43" s="21"/>
      <c r="F43" s="272"/>
      <c r="G43" s="21"/>
      <c r="H43" s="272"/>
      <c r="I43" s="21"/>
      <c r="J43" s="272"/>
      <c r="K43" s="21"/>
      <c r="L43" s="272"/>
      <c r="M43" s="21"/>
      <c r="N43" s="272"/>
      <c r="O43" s="21"/>
      <c r="P43" s="272"/>
      <c r="Q43" s="21"/>
      <c r="R43" s="272"/>
      <c r="S43" s="273"/>
      <c r="T43" s="274"/>
      <c r="U43" s="273"/>
      <c r="V43" s="274"/>
    </row>
    <row r="44" spans="1:22" ht="20" customHeight="1" x14ac:dyDescent="0.2">
      <c r="A44" s="8" t="s">
        <v>278</v>
      </c>
      <c r="B44" s="8" t="s">
        <v>281</v>
      </c>
      <c r="C44" s="1" t="s">
        <v>288</v>
      </c>
      <c r="D44" s="11">
        <v>4.97</v>
      </c>
      <c r="E44" s="11">
        <f t="shared" ref="E44:E46" si="45">D44*F44</f>
        <v>0</v>
      </c>
      <c r="F44" s="23">
        <v>0</v>
      </c>
      <c r="G44" s="11">
        <f>D44*H44</f>
        <v>0</v>
      </c>
      <c r="H44" s="23">
        <v>0</v>
      </c>
      <c r="I44" s="11">
        <f>D44*J44</f>
        <v>0</v>
      </c>
      <c r="J44" s="23">
        <v>0</v>
      </c>
      <c r="K44" s="11">
        <f>D44*L44</f>
        <v>0</v>
      </c>
      <c r="L44" s="268">
        <v>0</v>
      </c>
      <c r="M44" s="11">
        <f>D44*N44</f>
        <v>0</v>
      </c>
      <c r="N44" s="23">
        <v>0</v>
      </c>
      <c r="O44" s="11">
        <f>P44*D44</f>
        <v>0</v>
      </c>
      <c r="P44" s="23">
        <v>0</v>
      </c>
      <c r="Q44" s="11">
        <f>R44*D44</f>
        <v>0</v>
      </c>
      <c r="R44" s="23">
        <v>0</v>
      </c>
      <c r="S44" s="46">
        <f>E44+G44+I44+K44+M44+O44+Q44</f>
        <v>0</v>
      </c>
      <c r="T44" s="47">
        <f>S44/D44</f>
        <v>0</v>
      </c>
      <c r="U44" s="48">
        <f>E44+G44+I44+K44+M44</f>
        <v>0</v>
      </c>
      <c r="V44" s="165">
        <f>U44/D44</f>
        <v>0</v>
      </c>
    </row>
    <row r="45" spans="1:22" ht="20" customHeight="1" x14ac:dyDescent="0.2">
      <c r="B45" s="8" t="s">
        <v>280</v>
      </c>
      <c r="C45" s="1" t="s">
        <v>288</v>
      </c>
      <c r="D45" s="11">
        <v>4.97</v>
      </c>
      <c r="E45" s="11">
        <f t="shared" si="45"/>
        <v>0</v>
      </c>
      <c r="F45" s="23">
        <v>0</v>
      </c>
      <c r="G45" s="11">
        <f>D45*H45</f>
        <v>0</v>
      </c>
      <c r="H45" s="23">
        <v>0</v>
      </c>
      <c r="I45" s="11">
        <f>D45*J45</f>
        <v>0</v>
      </c>
      <c r="J45" s="23">
        <v>0</v>
      </c>
      <c r="K45" s="11">
        <f>D45*L45</f>
        <v>0.497</v>
      </c>
      <c r="L45" s="268">
        <v>0.1</v>
      </c>
      <c r="M45" s="11">
        <f t="shared" ref="M45:M46" si="46">D45*N45</f>
        <v>0.2485</v>
      </c>
      <c r="N45" s="23">
        <v>0.05</v>
      </c>
      <c r="O45" s="11">
        <f t="shared" ref="O45:O46" si="47">H45*P45</f>
        <v>0</v>
      </c>
      <c r="P45" s="23">
        <v>0</v>
      </c>
      <c r="Q45" s="11">
        <f t="shared" ref="Q45:Q46" si="48">R45*D45</f>
        <v>2.9819999999999998</v>
      </c>
      <c r="R45" s="23">
        <v>0.6</v>
      </c>
      <c r="S45" s="46">
        <f>E45+G45+I45+K45+M45+O45+Q45</f>
        <v>3.7275</v>
      </c>
      <c r="T45" s="47">
        <f>S45/D45</f>
        <v>0.75</v>
      </c>
      <c r="U45" s="48">
        <f>E45+G45+I45+K45+M45</f>
        <v>0.74550000000000005</v>
      </c>
      <c r="V45" s="165">
        <f>U45/D45</f>
        <v>0.15000000000000002</v>
      </c>
    </row>
    <row r="46" spans="1:22" ht="20" customHeight="1" x14ac:dyDescent="0.2">
      <c r="B46" s="8" t="s">
        <v>279</v>
      </c>
      <c r="C46" s="1" t="s">
        <v>288</v>
      </c>
      <c r="D46" s="11">
        <v>4.97</v>
      </c>
      <c r="E46" s="11">
        <f t="shared" si="45"/>
        <v>0</v>
      </c>
      <c r="F46" s="23">
        <v>0</v>
      </c>
      <c r="G46" s="11">
        <f>D46*H46</f>
        <v>0</v>
      </c>
      <c r="H46" s="23">
        <v>0</v>
      </c>
      <c r="I46" s="11">
        <f>D46*J46</f>
        <v>0</v>
      </c>
      <c r="J46" s="23">
        <v>0</v>
      </c>
      <c r="K46" s="11">
        <f>D46*L46</f>
        <v>0</v>
      </c>
      <c r="L46" s="268">
        <v>0</v>
      </c>
      <c r="M46" s="11">
        <f t="shared" si="46"/>
        <v>0</v>
      </c>
      <c r="N46" s="23">
        <v>0</v>
      </c>
      <c r="O46" s="11">
        <f t="shared" si="47"/>
        <v>0</v>
      </c>
      <c r="P46" s="23">
        <v>0</v>
      </c>
      <c r="Q46" s="11">
        <f t="shared" si="48"/>
        <v>0</v>
      </c>
      <c r="R46" s="23">
        <v>0</v>
      </c>
      <c r="S46" s="46">
        <f>E46+G46+I46+K46+M46+O46+Q46</f>
        <v>0</v>
      </c>
      <c r="T46" s="47">
        <f>S46/D46</f>
        <v>0</v>
      </c>
      <c r="U46" s="48">
        <f>E46+G46+I46+K46+M46</f>
        <v>0</v>
      </c>
      <c r="V46" s="165">
        <f>U46/D46</f>
        <v>0</v>
      </c>
    </row>
    <row r="47" spans="1:22" ht="20" customHeight="1" x14ac:dyDescent="0.2">
      <c r="B47" s="8"/>
      <c r="D47" s="11"/>
      <c r="E47" s="11"/>
      <c r="F47" s="268"/>
      <c r="G47" s="11"/>
      <c r="H47" s="268"/>
      <c r="I47" s="11"/>
      <c r="J47" s="268"/>
      <c r="K47" s="11"/>
      <c r="L47" s="268"/>
      <c r="M47" s="11"/>
      <c r="N47" s="268"/>
      <c r="O47" s="11"/>
      <c r="P47" s="268"/>
      <c r="Q47" s="11"/>
      <c r="R47" s="268"/>
      <c r="S47" s="11"/>
      <c r="T47" s="268"/>
      <c r="U47" s="11"/>
      <c r="V47" s="268"/>
    </row>
    <row r="48" spans="1:22" ht="20" customHeight="1" x14ac:dyDescent="0.2">
      <c r="C48" s="40" t="s">
        <v>97</v>
      </c>
      <c r="D48" s="54">
        <f>SUM(D44:D46)</f>
        <v>14.91</v>
      </c>
      <c r="E48" s="49">
        <f>SUM(E44:E46)</f>
        <v>0</v>
      </c>
      <c r="F48" s="50">
        <f>E48/$D$48</f>
        <v>0</v>
      </c>
      <c r="G48" s="49">
        <f>SUM(G44:G46)</f>
        <v>0</v>
      </c>
      <c r="H48" s="50">
        <f t="shared" ref="H48" si="49">G48/$D$48</f>
        <v>0</v>
      </c>
      <c r="I48" s="49">
        <f>SUM(I44:I46)</f>
        <v>0</v>
      </c>
      <c r="J48" s="50">
        <f t="shared" ref="J48" si="50">I48/$D$48</f>
        <v>0</v>
      </c>
      <c r="K48" s="49">
        <f>SUM(K44:K46)</f>
        <v>0.497</v>
      </c>
      <c r="L48" s="50">
        <f t="shared" ref="L48" si="51">K48/$D$48</f>
        <v>3.3333333333333333E-2</v>
      </c>
      <c r="M48" s="49">
        <f>SUM(M44:M46)</f>
        <v>0.2485</v>
      </c>
      <c r="N48" s="50">
        <f t="shared" ref="N48" si="52">M48/$D$48</f>
        <v>1.6666666666666666E-2</v>
      </c>
      <c r="O48" s="49">
        <f>SUM(O44:O46)</f>
        <v>0</v>
      </c>
      <c r="P48" s="50">
        <f t="shared" ref="P48" si="53">O48/$D$48</f>
        <v>0</v>
      </c>
      <c r="Q48" s="49">
        <f>SUM(Q44:Q46)</f>
        <v>2.9819999999999998</v>
      </c>
      <c r="R48" s="50">
        <f t="shared" ref="R48" si="54">Q48/$D$48</f>
        <v>0.19999999999999998</v>
      </c>
      <c r="S48" s="17">
        <f>SUM(S44:S46)</f>
        <v>3.7275</v>
      </c>
      <c r="T48" s="51">
        <f>S48/D48</f>
        <v>0.25</v>
      </c>
      <c r="U48" s="17">
        <f>SUM(U44:U46)</f>
        <v>0.74550000000000005</v>
      </c>
      <c r="V48" s="51">
        <f>U48/D48</f>
        <v>0.05</v>
      </c>
    </row>
    <row r="49" spans="3:22" ht="20" customHeight="1" x14ac:dyDescent="0.2">
      <c r="C49" s="270"/>
      <c r="D49" s="271"/>
      <c r="E49" s="21"/>
      <c r="F49" s="272"/>
      <c r="G49" s="21"/>
      <c r="H49" s="272"/>
      <c r="I49" s="21"/>
      <c r="J49" s="272"/>
      <c r="K49" s="21"/>
      <c r="L49" s="272"/>
      <c r="M49" s="21"/>
      <c r="N49" s="272"/>
      <c r="O49" s="21"/>
      <c r="P49" s="272"/>
      <c r="Q49" s="21"/>
      <c r="R49" s="272"/>
      <c r="S49" s="273"/>
      <c r="T49" s="274"/>
      <c r="U49" s="273"/>
      <c r="V49" s="274"/>
    </row>
    <row r="50" spans="3:22" ht="20" customHeight="1" x14ac:dyDescent="0.2">
      <c r="C50" s="63" t="s">
        <v>99</v>
      </c>
      <c r="D50" s="41">
        <f>D11+D16+D22+D31+D36+D42+D48</f>
        <v>104.32000000000001</v>
      </c>
      <c r="E50" s="64"/>
      <c r="F50" s="64"/>
      <c r="G50" s="65"/>
      <c r="H50" s="65"/>
      <c r="I50" s="65"/>
      <c r="J50" s="65"/>
      <c r="K50" s="307" t="s">
        <v>98</v>
      </c>
      <c r="L50" s="307"/>
      <c r="M50" s="307"/>
      <c r="N50" s="307"/>
      <c r="O50" s="267"/>
      <c r="P50" s="267"/>
      <c r="Q50" s="267"/>
      <c r="R50" s="267"/>
      <c r="S50" s="41">
        <f>S11+S16+S22+S31+S36+S42+S48</f>
        <v>32.871900000000004</v>
      </c>
      <c r="T50" s="62">
        <f>S50/D50</f>
        <v>0.31510640337423312</v>
      </c>
      <c r="U50" s="219">
        <f>U11+U16+U22+U31</f>
        <v>13.707999999999998</v>
      </c>
      <c r="V50" s="62">
        <f>U50/D50</f>
        <v>0.13140337423312881</v>
      </c>
    </row>
    <row r="51" spans="3:22" ht="20" customHeight="1" x14ac:dyDescent="0.2">
      <c r="S51" s="52">
        <f>D50-S50</f>
        <v>71.448100000000011</v>
      </c>
      <c r="T51" s="53">
        <f>S51/D50</f>
        <v>0.68489359662576688</v>
      </c>
    </row>
    <row r="52" spans="3:22" ht="20" customHeight="1" x14ac:dyDescent="0.2"/>
    <row r="53" spans="3:22" ht="20" customHeight="1" x14ac:dyDescent="0.2">
      <c r="D53" s="308"/>
      <c r="E53" s="309"/>
      <c r="F53" s="309"/>
      <c r="G53" s="309"/>
      <c r="H53" s="309"/>
      <c r="I53" s="309"/>
      <c r="J53" s="309"/>
      <c r="K53" s="309"/>
      <c r="L53" s="309"/>
      <c r="M53" s="309"/>
      <c r="N53" s="309"/>
      <c r="O53" s="78"/>
      <c r="P53" s="78"/>
      <c r="S53" s="67"/>
      <c r="T53" s="67">
        <v>0.59</v>
      </c>
    </row>
    <row r="54" spans="3:22" ht="20" customHeight="1" x14ac:dyDescent="0.2">
      <c r="D54" s="309"/>
      <c r="E54" s="309"/>
      <c r="F54" s="309"/>
      <c r="G54" s="309"/>
      <c r="H54" s="309"/>
      <c r="I54" s="309"/>
      <c r="J54" s="309"/>
      <c r="K54" s="309"/>
      <c r="L54" s="309"/>
      <c r="M54" s="309"/>
      <c r="N54" s="309"/>
      <c r="O54" s="78"/>
      <c r="P54" s="78"/>
      <c r="S54" s="66"/>
      <c r="T54" s="67">
        <v>0.41</v>
      </c>
    </row>
  </sheetData>
  <mergeCells count="19">
    <mergeCell ref="A1:I1"/>
    <mergeCell ref="E2:F2"/>
    <mergeCell ref="G2:H2"/>
    <mergeCell ref="I2:J2"/>
    <mergeCell ref="K2:L2"/>
    <mergeCell ref="Q2:R2"/>
    <mergeCell ref="Q3:R3"/>
    <mergeCell ref="U3:V3"/>
    <mergeCell ref="S3:T3"/>
    <mergeCell ref="E3:F3"/>
    <mergeCell ref="G3:H3"/>
    <mergeCell ref="I3:J3"/>
    <mergeCell ref="K3:L3"/>
    <mergeCell ref="K50:N50"/>
    <mergeCell ref="D53:N54"/>
    <mergeCell ref="O2:P2"/>
    <mergeCell ref="O3:P3"/>
    <mergeCell ref="M2:N2"/>
    <mergeCell ref="M3:N3"/>
  </mergeCells>
  <phoneticPr fontId="10" type="noConversion"/>
  <pageMargins left="0.7" right="0.7" top="0.75" bottom="0.75" header="0.3" footer="0.3"/>
  <pageSetup scale="9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38B9F-8CAB-4DC3-A52C-A1781AFF1A1B}">
  <sheetPr>
    <tabColor rgb="FFA7C9D2"/>
  </sheetPr>
  <dimension ref="A1:V54"/>
  <sheetViews>
    <sheetView zoomScale="70" zoomScaleNormal="70" workbookViewId="0">
      <pane xSplit="4" ySplit="1" topLeftCell="G33" activePane="bottomRight" state="frozen"/>
      <selection activeCell="AC40" sqref="AC40"/>
      <selection pane="topRight" activeCell="AC40" sqref="AC40"/>
      <selection pane="bottomLeft" activeCell="AC40" sqref="AC40"/>
      <selection pane="bottomRight" activeCell="D59" sqref="D59"/>
    </sheetView>
  </sheetViews>
  <sheetFormatPr baseColWidth="10" defaultColWidth="11.5" defaultRowHeight="14" x14ac:dyDescent="0.2"/>
  <cols>
    <col min="1" max="1" width="13.5" style="10" customWidth="1"/>
    <col min="2" max="2" width="10.6640625" style="10" customWidth="1"/>
    <col min="3" max="3" width="38.5" style="1" customWidth="1"/>
    <col min="4" max="5" width="12.6640625" style="10" customWidth="1"/>
    <col min="6" max="6" width="10.6640625" style="10" customWidth="1"/>
    <col min="7" max="7" width="12.6640625" style="1" customWidth="1"/>
    <col min="8" max="8" width="10.6640625" style="1" customWidth="1"/>
    <col min="9" max="22" width="12.6640625" style="1" customWidth="1"/>
    <col min="23" max="16384" width="11.5" style="1"/>
  </cols>
  <sheetData>
    <row r="1" spans="1:22" ht="41.5" customHeight="1" x14ac:dyDescent="0.2">
      <c r="A1" s="313" t="s">
        <v>283</v>
      </c>
      <c r="B1" s="313"/>
      <c r="C1" s="313"/>
      <c r="D1" s="313"/>
      <c r="E1" s="313"/>
      <c r="F1" s="313"/>
      <c r="G1" s="313"/>
      <c r="H1" s="313"/>
      <c r="I1" s="313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spans="1:22" ht="25.25" customHeight="1" x14ac:dyDescent="0.2">
      <c r="A2" s="2"/>
      <c r="B2" s="2"/>
      <c r="C2" s="3"/>
      <c r="D2" s="2"/>
      <c r="E2" s="310" t="s">
        <v>266</v>
      </c>
      <c r="F2" s="310"/>
      <c r="G2" s="310" t="s">
        <v>272</v>
      </c>
      <c r="H2" s="311"/>
      <c r="I2" s="310" t="s">
        <v>271</v>
      </c>
      <c r="J2" s="311"/>
      <c r="K2" s="310" t="s">
        <v>273</v>
      </c>
      <c r="L2" s="311"/>
      <c r="M2" s="310" t="s">
        <v>274</v>
      </c>
      <c r="N2" s="311"/>
      <c r="O2" s="310" t="s">
        <v>275</v>
      </c>
      <c r="P2" s="311"/>
      <c r="Q2" s="310" t="s">
        <v>276</v>
      </c>
      <c r="R2" s="311"/>
      <c r="S2" s="117"/>
      <c r="T2" s="117"/>
      <c r="U2" s="117"/>
      <c r="V2" s="117"/>
    </row>
    <row r="3" spans="1:22" ht="47" customHeight="1" x14ac:dyDescent="0.2">
      <c r="A3" s="2" t="s">
        <v>87</v>
      </c>
      <c r="B3" s="2" t="s">
        <v>86</v>
      </c>
      <c r="C3" s="2" t="s">
        <v>35</v>
      </c>
      <c r="D3" s="2" t="s">
        <v>15</v>
      </c>
      <c r="E3" s="312" t="s">
        <v>17</v>
      </c>
      <c r="F3" s="312"/>
      <c r="G3" s="312" t="s">
        <v>18</v>
      </c>
      <c r="H3" s="312"/>
      <c r="I3" s="312" t="s">
        <v>80</v>
      </c>
      <c r="J3" s="312"/>
      <c r="K3" s="312" t="s">
        <v>81</v>
      </c>
      <c r="L3" s="312"/>
      <c r="M3" s="312" t="s">
        <v>89</v>
      </c>
      <c r="N3" s="312"/>
      <c r="O3" s="312" t="s">
        <v>130</v>
      </c>
      <c r="P3" s="312"/>
      <c r="Q3" s="312" t="s">
        <v>131</v>
      </c>
      <c r="R3" s="312"/>
      <c r="S3" s="306" t="s">
        <v>19</v>
      </c>
      <c r="T3" s="306"/>
      <c r="U3" s="306" t="s">
        <v>240</v>
      </c>
      <c r="V3" s="306"/>
    </row>
    <row r="4" spans="1:22" ht="23" customHeight="1" x14ac:dyDescent="0.2">
      <c r="A4" s="43"/>
      <c r="B4" s="43"/>
      <c r="C4" s="43"/>
      <c r="D4" s="43"/>
      <c r="E4" s="44" t="s">
        <v>15</v>
      </c>
      <c r="F4" s="44" t="s">
        <v>16</v>
      </c>
      <c r="G4" s="44" t="s">
        <v>15</v>
      </c>
      <c r="H4" s="44" t="s">
        <v>16</v>
      </c>
      <c r="I4" s="44" t="s">
        <v>15</v>
      </c>
      <c r="J4" s="44" t="s">
        <v>16</v>
      </c>
      <c r="K4" s="44" t="s">
        <v>15</v>
      </c>
      <c r="L4" s="44" t="s">
        <v>16</v>
      </c>
      <c r="M4" s="44" t="s">
        <v>15</v>
      </c>
      <c r="N4" s="44" t="s">
        <v>16</v>
      </c>
      <c r="O4" s="44" t="s">
        <v>15</v>
      </c>
      <c r="P4" s="44" t="s">
        <v>16</v>
      </c>
      <c r="Q4" s="44" t="s">
        <v>15</v>
      </c>
      <c r="R4" s="44" t="s">
        <v>16</v>
      </c>
      <c r="S4" s="45" t="s">
        <v>15</v>
      </c>
      <c r="T4" s="45" t="s">
        <v>16</v>
      </c>
      <c r="U4" s="44" t="s">
        <v>15</v>
      </c>
      <c r="V4" s="44" t="s">
        <v>16</v>
      </c>
    </row>
    <row r="5" spans="1:22" ht="20" customHeight="1" x14ac:dyDescent="0.2">
      <c r="A5" s="8" t="s">
        <v>265</v>
      </c>
      <c r="B5" s="8">
        <v>1</v>
      </c>
      <c r="C5" s="1" t="s">
        <v>284</v>
      </c>
      <c r="D5" s="11">
        <v>69.209999999999994</v>
      </c>
      <c r="E5" s="11">
        <f t="shared" ref="E5:E9" si="0">D5*F5</f>
        <v>0</v>
      </c>
      <c r="F5" s="23">
        <v>0</v>
      </c>
      <c r="G5" s="11">
        <f>D5*H5</f>
        <v>0</v>
      </c>
      <c r="H5" s="23">
        <v>0</v>
      </c>
      <c r="I5" s="11">
        <f>D5*J5</f>
        <v>0</v>
      </c>
      <c r="J5" s="23">
        <v>0</v>
      </c>
      <c r="K5" s="11">
        <f>D5*L5</f>
        <v>0</v>
      </c>
      <c r="L5" s="23">
        <v>0</v>
      </c>
      <c r="M5" s="11">
        <f>N5*D5</f>
        <v>0</v>
      </c>
      <c r="N5" s="23">
        <v>0</v>
      </c>
      <c r="O5" s="11">
        <f>P5*D5</f>
        <v>0</v>
      </c>
      <c r="P5" s="23">
        <v>0</v>
      </c>
      <c r="Q5" s="11">
        <f>R5*D5</f>
        <v>69.209999999999994</v>
      </c>
      <c r="R5" s="23">
        <v>1</v>
      </c>
      <c r="S5" s="46">
        <f>E5+G5+I5+K5+M5+O5+Q5</f>
        <v>69.209999999999994</v>
      </c>
      <c r="T5" s="47">
        <f>S5/D5</f>
        <v>1</v>
      </c>
      <c r="U5" s="48">
        <f>E5+G5+I5+K5+M5</f>
        <v>0</v>
      </c>
      <c r="V5" s="165">
        <f>U5/D5</f>
        <v>0</v>
      </c>
    </row>
    <row r="6" spans="1:22" ht="20" customHeight="1" x14ac:dyDescent="0.2">
      <c r="B6" s="8">
        <v>2</v>
      </c>
      <c r="C6" s="1" t="s">
        <v>284</v>
      </c>
      <c r="D6" s="11">
        <v>35.17</v>
      </c>
      <c r="E6" s="11">
        <f t="shared" si="0"/>
        <v>0</v>
      </c>
      <c r="F6" s="23">
        <v>0</v>
      </c>
      <c r="G6" s="11">
        <f>D6*H6</f>
        <v>0</v>
      </c>
      <c r="H6" s="23">
        <v>0</v>
      </c>
      <c r="I6" s="11">
        <f>D6*J6</f>
        <v>0</v>
      </c>
      <c r="J6" s="23">
        <v>0</v>
      </c>
      <c r="K6" s="11">
        <f>D6*L6</f>
        <v>0</v>
      </c>
      <c r="L6" s="23">
        <v>0</v>
      </c>
      <c r="M6" s="11">
        <f>N6*D6</f>
        <v>0</v>
      </c>
      <c r="N6" s="23">
        <v>0</v>
      </c>
      <c r="O6" s="11">
        <f>P6*D6</f>
        <v>17.585000000000001</v>
      </c>
      <c r="P6" s="23">
        <v>0.5</v>
      </c>
      <c r="Q6" s="11">
        <f>R6*D6</f>
        <v>17.585000000000001</v>
      </c>
      <c r="R6" s="23">
        <v>0.5</v>
      </c>
      <c r="S6" s="46">
        <f>E6+G6+I6+K6+M6+O6+Q6</f>
        <v>35.17</v>
      </c>
      <c r="T6" s="47">
        <f>S6/D6</f>
        <v>1</v>
      </c>
      <c r="U6" s="48">
        <f>E6+G6+I6+K6+M6</f>
        <v>0</v>
      </c>
      <c r="V6" s="165">
        <f>U6/D6</f>
        <v>0</v>
      </c>
    </row>
    <row r="7" spans="1:22" ht="20" customHeight="1" x14ac:dyDescent="0.2">
      <c r="B7" s="8">
        <v>3</v>
      </c>
      <c r="C7" s="1" t="s">
        <v>284</v>
      </c>
      <c r="D7" s="11">
        <v>60.86</v>
      </c>
      <c r="E7" s="11">
        <f t="shared" si="0"/>
        <v>0</v>
      </c>
      <c r="F7" s="23">
        <v>0</v>
      </c>
      <c r="G7" s="11">
        <f>D7*H7</f>
        <v>0</v>
      </c>
      <c r="H7" s="23">
        <v>0</v>
      </c>
      <c r="I7" s="11">
        <f>D7*J7</f>
        <v>0</v>
      </c>
      <c r="J7" s="23">
        <v>0</v>
      </c>
      <c r="K7" s="11">
        <f>D7*L7</f>
        <v>60.86</v>
      </c>
      <c r="L7" s="23">
        <v>1</v>
      </c>
      <c r="M7" s="11">
        <f>N7*D7</f>
        <v>0</v>
      </c>
      <c r="N7" s="23">
        <v>0</v>
      </c>
      <c r="O7" s="11">
        <f>P7*D7</f>
        <v>0</v>
      </c>
      <c r="P7" s="23">
        <v>0</v>
      </c>
      <c r="Q7" s="11">
        <f>R7*D7</f>
        <v>0</v>
      </c>
      <c r="R7" s="23">
        <v>0</v>
      </c>
      <c r="S7" s="46">
        <f>E7+G7+I7+K7+M7+O7+Q7</f>
        <v>60.86</v>
      </c>
      <c r="T7" s="47">
        <f>S7/D7</f>
        <v>1</v>
      </c>
      <c r="U7" s="48">
        <f>E7+G7+I7+K7+M7</f>
        <v>60.86</v>
      </c>
      <c r="V7" s="165">
        <f>U7/D7</f>
        <v>1</v>
      </c>
    </row>
    <row r="8" spans="1:22" ht="20" customHeight="1" x14ac:dyDescent="0.2">
      <c r="B8" s="8">
        <v>4</v>
      </c>
      <c r="C8" s="1" t="s">
        <v>284</v>
      </c>
      <c r="D8" s="11">
        <v>35.17</v>
      </c>
      <c r="E8" s="11">
        <f t="shared" si="0"/>
        <v>0</v>
      </c>
      <c r="F8" s="23">
        <v>0</v>
      </c>
      <c r="G8" s="11">
        <f>D8*H8</f>
        <v>0</v>
      </c>
      <c r="H8" s="23">
        <v>0</v>
      </c>
      <c r="I8" s="11">
        <f>D8*J8</f>
        <v>0</v>
      </c>
      <c r="J8" s="23">
        <v>0</v>
      </c>
      <c r="K8" s="11">
        <f>D8*L8</f>
        <v>0</v>
      </c>
      <c r="L8" s="23">
        <v>0</v>
      </c>
      <c r="M8" s="11">
        <f>N8*D8</f>
        <v>0</v>
      </c>
      <c r="N8" s="23">
        <v>0</v>
      </c>
      <c r="O8" s="11">
        <f>P8*D8</f>
        <v>17.585000000000001</v>
      </c>
      <c r="P8" s="23">
        <v>0.5</v>
      </c>
      <c r="Q8" s="11">
        <f>R8*D8</f>
        <v>17.585000000000001</v>
      </c>
      <c r="R8" s="23">
        <v>0.5</v>
      </c>
      <c r="S8" s="46">
        <f>E8+G8+I8+K8+M8+O8+Q8</f>
        <v>35.17</v>
      </c>
      <c r="T8" s="47">
        <f>S8/D8</f>
        <v>1</v>
      </c>
      <c r="U8" s="48">
        <f>E8+G8+I8+K8+M8</f>
        <v>0</v>
      </c>
      <c r="V8" s="165">
        <f>U8/D8</f>
        <v>0</v>
      </c>
    </row>
    <row r="9" spans="1:22" ht="20" customHeight="1" x14ac:dyDescent="0.2">
      <c r="B9" s="8">
        <v>5</v>
      </c>
      <c r="C9" s="1" t="s">
        <v>284</v>
      </c>
      <c r="D9" s="11">
        <v>69.56</v>
      </c>
      <c r="E9" s="11">
        <f t="shared" si="0"/>
        <v>0</v>
      </c>
      <c r="F9" s="23">
        <v>0</v>
      </c>
      <c r="G9" s="11">
        <f>D9*H9</f>
        <v>0</v>
      </c>
      <c r="H9" s="23">
        <v>0</v>
      </c>
      <c r="I9" s="11">
        <f>D9*J9</f>
        <v>0</v>
      </c>
      <c r="J9" s="23">
        <v>0</v>
      </c>
      <c r="K9" s="11">
        <f>D9*L9</f>
        <v>0</v>
      </c>
      <c r="L9" s="23">
        <v>0</v>
      </c>
      <c r="M9" s="11">
        <f>N9*D9</f>
        <v>0</v>
      </c>
      <c r="N9" s="23">
        <v>0</v>
      </c>
      <c r="O9" s="11">
        <f>P9*D9</f>
        <v>0</v>
      </c>
      <c r="P9" s="23">
        <v>0</v>
      </c>
      <c r="Q9" s="11">
        <f>R9*D9</f>
        <v>69.56</v>
      </c>
      <c r="R9" s="23">
        <v>1</v>
      </c>
      <c r="S9" s="46">
        <f>E9+G9+I9+K9+M9+O9+Q9</f>
        <v>69.56</v>
      </c>
      <c r="T9" s="47">
        <f>S9/D9</f>
        <v>1</v>
      </c>
      <c r="U9" s="48">
        <f>E9+G9+I9+K9+M9</f>
        <v>0</v>
      </c>
      <c r="V9" s="165">
        <f>U9/D9</f>
        <v>0</v>
      </c>
    </row>
    <row r="10" spans="1:22" ht="20" customHeight="1" x14ac:dyDescent="0.2"/>
    <row r="11" spans="1:22" ht="20" customHeight="1" x14ac:dyDescent="0.2">
      <c r="C11" s="40" t="s">
        <v>97</v>
      </c>
      <c r="D11" s="54">
        <f>SUM(D5:D9)</f>
        <v>269.97000000000003</v>
      </c>
      <c r="E11" s="49">
        <f>SUM(E5:E9)</f>
        <v>0</v>
      </c>
      <c r="F11" s="50">
        <f>E11/$D$11</f>
        <v>0</v>
      </c>
      <c r="G11" s="49">
        <f>SUM(G5:G9)</f>
        <v>0</v>
      </c>
      <c r="H11" s="50">
        <f t="shared" ref="H11" si="1">G11/$D$11</f>
        <v>0</v>
      </c>
      <c r="I11" s="49">
        <f>SUM(I5:I9)</f>
        <v>0</v>
      </c>
      <c r="J11" s="50">
        <f t="shared" ref="J11" si="2">I11/$D$11</f>
        <v>0</v>
      </c>
      <c r="K11" s="49">
        <f>SUM(K5:K9)</f>
        <v>60.86</v>
      </c>
      <c r="L11" s="50">
        <f t="shared" ref="L11" si="3">K11/$D$11</f>
        <v>0.22543245545801383</v>
      </c>
      <c r="M11" s="49">
        <f>SUM(M5:M9)</f>
        <v>0</v>
      </c>
      <c r="N11" s="50">
        <f t="shared" ref="N11" si="4">M11/$D$11</f>
        <v>0</v>
      </c>
      <c r="O11" s="49">
        <f>SUM(O5:O9)</f>
        <v>35.17</v>
      </c>
      <c r="P11" s="50">
        <f t="shared" ref="P11" si="5">O11/$D$11</f>
        <v>0.13027373411860577</v>
      </c>
      <c r="Q11" s="49">
        <f>SUM(Q5:Q9)</f>
        <v>173.94</v>
      </c>
      <c r="R11" s="50">
        <f t="shared" ref="R11" si="6">Q11/$D$11</f>
        <v>0.6442938104233803</v>
      </c>
      <c r="S11" s="17">
        <f>SUM(S5:S9)</f>
        <v>269.97000000000003</v>
      </c>
      <c r="T11" s="51">
        <f>S11/D11</f>
        <v>1</v>
      </c>
      <c r="U11" s="17">
        <f>SUM(U5:U9)</f>
        <v>60.86</v>
      </c>
      <c r="V11" s="51">
        <f>U11/$D$11</f>
        <v>0.22543245545801383</v>
      </c>
    </row>
    <row r="12" spans="1:22" ht="20" customHeight="1" x14ac:dyDescent="0.2">
      <c r="C12" s="25"/>
      <c r="D12" s="61"/>
      <c r="E12" s="21"/>
      <c r="F12" s="21"/>
      <c r="G12" s="24"/>
      <c r="H12" s="10"/>
      <c r="I12" s="24"/>
      <c r="J12" s="10"/>
      <c r="K12" s="10"/>
      <c r="L12" s="10"/>
      <c r="M12" s="10"/>
      <c r="N12" s="10"/>
      <c r="O12" s="10"/>
      <c r="P12" s="10"/>
      <c r="Q12" s="10"/>
      <c r="R12" s="10"/>
      <c r="S12" s="52">
        <f>D11-S11</f>
        <v>0</v>
      </c>
      <c r="T12" s="53">
        <f>S12/D11</f>
        <v>0</v>
      </c>
    </row>
    <row r="13" spans="1:22" ht="20" customHeight="1" x14ac:dyDescent="0.2">
      <c r="C13" s="27"/>
      <c r="D13" s="26"/>
      <c r="E13" s="11"/>
      <c r="F13" s="11"/>
      <c r="G13" s="11"/>
      <c r="I13" s="11"/>
    </row>
    <row r="14" spans="1:22" ht="20" customHeight="1" x14ac:dyDescent="0.2">
      <c r="A14" s="8" t="s">
        <v>267</v>
      </c>
      <c r="B14" s="8">
        <v>6</v>
      </c>
      <c r="C14" s="1" t="s">
        <v>284</v>
      </c>
      <c r="D14" s="11">
        <v>96.86</v>
      </c>
      <c r="E14" s="11">
        <f t="shared" ref="E14" si="7">D14*F14</f>
        <v>0</v>
      </c>
      <c r="F14" s="23">
        <v>0</v>
      </c>
      <c r="G14" s="11">
        <f>D14*H14</f>
        <v>0</v>
      </c>
      <c r="H14" s="23">
        <v>0</v>
      </c>
      <c r="I14" s="11">
        <f>D14*J14</f>
        <v>0</v>
      </c>
      <c r="J14" s="23">
        <v>0</v>
      </c>
      <c r="K14" s="11">
        <f>D14*L14</f>
        <v>48.43</v>
      </c>
      <c r="L14" s="23">
        <v>0.5</v>
      </c>
      <c r="M14" s="11">
        <f>D14*N14</f>
        <v>48.43</v>
      </c>
      <c r="N14" s="23">
        <v>0.5</v>
      </c>
      <c r="O14" s="11">
        <f>P14*D14</f>
        <v>0</v>
      </c>
      <c r="P14" s="23">
        <v>0</v>
      </c>
      <c r="Q14" s="11">
        <f>R14*D14</f>
        <v>36.03192</v>
      </c>
      <c r="R14" s="23">
        <v>0.372</v>
      </c>
      <c r="S14" s="46">
        <f>E14+G14+I14+K14+M14+O14+Q14</f>
        <v>132.89192</v>
      </c>
      <c r="T14" s="47">
        <f>S14/D14</f>
        <v>1.3719999999999999</v>
      </c>
      <c r="U14" s="48">
        <f>E14+G14+I14+K14+M14</f>
        <v>96.86</v>
      </c>
      <c r="V14" s="165">
        <f>U14/D14</f>
        <v>1</v>
      </c>
    </row>
    <row r="15" spans="1:22" ht="20" customHeight="1" x14ac:dyDescent="0.2">
      <c r="D15" s="11"/>
      <c r="E15" s="11"/>
      <c r="F15" s="23"/>
      <c r="G15" s="11"/>
      <c r="H15" s="23"/>
      <c r="I15" s="11"/>
      <c r="J15" s="23"/>
      <c r="K15" s="11"/>
      <c r="L15" s="23"/>
      <c r="M15" s="11"/>
      <c r="N15" s="23"/>
      <c r="O15" s="11"/>
      <c r="P15" s="23"/>
      <c r="Q15" s="11"/>
      <c r="R15" s="23"/>
      <c r="S15" s="23"/>
      <c r="T15" s="23"/>
    </row>
    <row r="16" spans="1:22" ht="20" customHeight="1" x14ac:dyDescent="0.2">
      <c r="C16" s="40" t="s">
        <v>97</v>
      </c>
      <c r="D16" s="54">
        <f>SUM(D14:D14)</f>
        <v>96.86</v>
      </c>
      <c r="E16" s="49">
        <f>SUM(E14:E14)</f>
        <v>0</v>
      </c>
      <c r="F16" s="50">
        <f>E16/$D$16</f>
        <v>0</v>
      </c>
      <c r="G16" s="49">
        <f>SUM(G14:G14)</f>
        <v>0</v>
      </c>
      <c r="H16" s="50">
        <f t="shared" ref="H16" si="8">G16/$D$16</f>
        <v>0</v>
      </c>
      <c r="I16" s="49">
        <f>SUM(I14:I14)</f>
        <v>0</v>
      </c>
      <c r="J16" s="50">
        <f t="shared" ref="J16" si="9">I16/$D$16</f>
        <v>0</v>
      </c>
      <c r="K16" s="49">
        <f>SUM(K14:K14)</f>
        <v>48.43</v>
      </c>
      <c r="L16" s="50">
        <f t="shared" ref="L16" si="10">K16/$D$16</f>
        <v>0.5</v>
      </c>
      <c r="M16" s="49">
        <f>SUM(M14:M14)</f>
        <v>48.43</v>
      </c>
      <c r="N16" s="50">
        <f t="shared" ref="N16" si="11">M16/$D$16</f>
        <v>0.5</v>
      </c>
      <c r="O16" s="49">
        <f>SUM(O14:O14)</f>
        <v>0</v>
      </c>
      <c r="P16" s="50">
        <f t="shared" ref="P16" si="12">O16/$D$16</f>
        <v>0</v>
      </c>
      <c r="Q16" s="49">
        <f>SUM(Q14:Q14)</f>
        <v>36.03192</v>
      </c>
      <c r="R16" s="50">
        <f t="shared" ref="R16" si="13">Q16/$D$16</f>
        <v>0.372</v>
      </c>
      <c r="S16" s="17">
        <f>SUM(S14:S14)</f>
        <v>132.89192</v>
      </c>
      <c r="T16" s="51">
        <f>S16/$D$16</f>
        <v>1.3719999999999999</v>
      </c>
      <c r="U16" s="17">
        <f>SUM(U14:U14)</f>
        <v>96.86</v>
      </c>
      <c r="V16" s="51">
        <f>U16/D16</f>
        <v>1</v>
      </c>
    </row>
    <row r="17" spans="1:22" ht="20" customHeight="1" x14ac:dyDescent="0.2">
      <c r="C17" s="25"/>
      <c r="D17" s="28"/>
      <c r="E17" s="21"/>
      <c r="F17" s="21"/>
      <c r="G17" s="24"/>
      <c r="H17" s="10"/>
      <c r="I17" s="24"/>
      <c r="J17" s="10"/>
      <c r="K17" s="10"/>
      <c r="L17" s="10"/>
      <c r="M17" s="10"/>
      <c r="N17" s="10"/>
      <c r="O17" s="10"/>
      <c r="P17" s="10"/>
      <c r="Q17" s="10"/>
      <c r="R17" s="10"/>
      <c r="S17" s="52">
        <f>D16-S16</f>
        <v>-36.03192</v>
      </c>
      <c r="T17" s="53">
        <f>S17/D16</f>
        <v>-0.372</v>
      </c>
    </row>
    <row r="18" spans="1:22" ht="20" customHeight="1" x14ac:dyDescent="0.2"/>
    <row r="19" spans="1:22" ht="20" customHeight="1" x14ac:dyDescent="0.2">
      <c r="A19" s="8" t="s">
        <v>268</v>
      </c>
      <c r="B19" s="8">
        <v>1</v>
      </c>
      <c r="C19" s="1" t="s">
        <v>284</v>
      </c>
      <c r="D19" s="11">
        <v>76.22</v>
      </c>
      <c r="E19" s="11">
        <f t="shared" ref="E19:E20" si="14">D19*F19</f>
        <v>0</v>
      </c>
      <c r="F19" s="23">
        <v>0</v>
      </c>
      <c r="G19" s="11">
        <f>D19*H19</f>
        <v>0</v>
      </c>
      <c r="H19" s="23">
        <v>0</v>
      </c>
      <c r="I19" s="11">
        <f>D19*J19</f>
        <v>0</v>
      </c>
      <c r="J19" s="23">
        <v>0</v>
      </c>
      <c r="K19" s="11">
        <f>D19*L19</f>
        <v>76.22</v>
      </c>
      <c r="L19" s="23">
        <v>1</v>
      </c>
      <c r="M19" s="11">
        <f>F19*N19</f>
        <v>0</v>
      </c>
      <c r="N19" s="23">
        <v>0</v>
      </c>
      <c r="O19" s="11">
        <f>P19*D19</f>
        <v>0</v>
      </c>
      <c r="P19" s="23">
        <v>0</v>
      </c>
      <c r="Q19" s="11">
        <f>R19*D19</f>
        <v>0</v>
      </c>
      <c r="R19" s="23">
        <v>0</v>
      </c>
      <c r="S19" s="46">
        <f>E19+G19+I19+K19+M19+O19+Q19</f>
        <v>76.22</v>
      </c>
      <c r="T19" s="47">
        <f>S19/D19</f>
        <v>1</v>
      </c>
      <c r="U19" s="48">
        <f>E19+G19+I19+K19+M19</f>
        <v>76.22</v>
      </c>
      <c r="V19" s="165">
        <f>U19/D19</f>
        <v>1</v>
      </c>
    </row>
    <row r="20" spans="1:22" ht="20" customHeight="1" x14ac:dyDescent="0.2">
      <c r="B20" s="8">
        <v>7</v>
      </c>
      <c r="C20" s="1" t="s">
        <v>284</v>
      </c>
      <c r="D20" s="11">
        <v>76.36</v>
      </c>
      <c r="E20" s="11">
        <f t="shared" si="14"/>
        <v>0</v>
      </c>
      <c r="F20" s="23">
        <v>0</v>
      </c>
      <c r="G20" s="11">
        <f>D20*H20</f>
        <v>0</v>
      </c>
      <c r="H20" s="23">
        <v>0</v>
      </c>
      <c r="I20" s="11">
        <f>D20*J20</f>
        <v>0</v>
      </c>
      <c r="J20" s="23">
        <v>0</v>
      </c>
      <c r="K20" s="11">
        <f>D20*L20</f>
        <v>76.36</v>
      </c>
      <c r="L20" s="23">
        <v>1</v>
      </c>
      <c r="M20" s="11">
        <f>F20*N20</f>
        <v>0</v>
      </c>
      <c r="N20" s="23">
        <v>0</v>
      </c>
      <c r="O20" s="11">
        <f t="shared" ref="O20" si="15">H20*P20</f>
        <v>0</v>
      </c>
      <c r="P20" s="23">
        <v>0</v>
      </c>
      <c r="Q20" s="11">
        <f t="shared" ref="Q20" si="16">J20*R20</f>
        <v>0</v>
      </c>
      <c r="R20" s="23">
        <v>0</v>
      </c>
      <c r="S20" s="46">
        <f>E20+G20+I20+K20+M20+O20+Q20</f>
        <v>76.36</v>
      </c>
      <c r="T20" s="47">
        <f>S20/D20</f>
        <v>1</v>
      </c>
      <c r="U20" s="48">
        <f>E20+G20+I20+K20+M20</f>
        <v>76.36</v>
      </c>
      <c r="V20" s="165">
        <f>U20/D20</f>
        <v>1</v>
      </c>
    </row>
    <row r="21" spans="1:22" ht="20" customHeight="1" x14ac:dyDescent="0.2"/>
    <row r="22" spans="1:22" ht="20" customHeight="1" x14ac:dyDescent="0.2">
      <c r="C22" s="40" t="s">
        <v>97</v>
      </c>
      <c r="D22" s="54">
        <f>SUM(D19:D20)</f>
        <v>152.57999999999998</v>
      </c>
      <c r="E22" s="49">
        <f>SUM(E19:E20)</f>
        <v>0</v>
      </c>
      <c r="F22" s="50">
        <f>E22/$D$22</f>
        <v>0</v>
      </c>
      <c r="G22" s="49">
        <f>SUM(G19:G20)</f>
        <v>0</v>
      </c>
      <c r="H22" s="50">
        <f t="shared" ref="H22" si="17">G22/$D$22</f>
        <v>0</v>
      </c>
      <c r="I22" s="49">
        <f>SUM(I19:I20)</f>
        <v>0</v>
      </c>
      <c r="J22" s="50">
        <f t="shared" ref="J22" si="18">I22/$D$22</f>
        <v>0</v>
      </c>
      <c r="K22" s="49">
        <f>SUM(K19:K20)</f>
        <v>152.57999999999998</v>
      </c>
      <c r="L22" s="50">
        <f t="shared" ref="L22" si="19">K22/$D$22</f>
        <v>1</v>
      </c>
      <c r="M22" s="49">
        <f>SUM(M19:M20)</f>
        <v>0</v>
      </c>
      <c r="N22" s="50">
        <f t="shared" ref="N22" si="20">M22/$D$22</f>
        <v>0</v>
      </c>
      <c r="O22" s="49">
        <f>SUM(O19:O20)</f>
        <v>0</v>
      </c>
      <c r="P22" s="50">
        <f t="shared" ref="P22" si="21">O22/$D$22</f>
        <v>0</v>
      </c>
      <c r="Q22" s="49">
        <f>SUM(Q19:Q20)</f>
        <v>0</v>
      </c>
      <c r="R22" s="50">
        <f t="shared" ref="R22" si="22">Q22/$D$22</f>
        <v>0</v>
      </c>
      <c r="S22" s="17">
        <f>SUM(S19:S20)</f>
        <v>152.57999999999998</v>
      </c>
      <c r="T22" s="51">
        <f>S22/D22</f>
        <v>1</v>
      </c>
      <c r="U22" s="17">
        <f>SUM(U19:U20)</f>
        <v>152.57999999999998</v>
      </c>
      <c r="V22" s="51">
        <f>U22/D22</f>
        <v>1</v>
      </c>
    </row>
    <row r="23" spans="1:22" ht="20" customHeight="1" x14ac:dyDescent="0.2">
      <c r="C23" s="25"/>
      <c r="D23" s="61"/>
      <c r="E23" s="21"/>
      <c r="F23" s="21"/>
      <c r="G23" s="24"/>
      <c r="H23" s="10"/>
      <c r="I23" s="24"/>
      <c r="J23" s="10"/>
      <c r="K23" s="10"/>
      <c r="L23" s="10"/>
      <c r="M23" s="10"/>
      <c r="N23" s="10"/>
      <c r="O23" s="10"/>
      <c r="P23" s="10"/>
      <c r="Q23" s="10"/>
      <c r="R23" s="10"/>
      <c r="S23" s="52">
        <f>D22-S22</f>
        <v>0</v>
      </c>
      <c r="T23" s="53">
        <f>S23/D22</f>
        <v>0</v>
      </c>
    </row>
    <row r="24" spans="1:22" ht="20" customHeight="1" x14ac:dyDescent="0.2">
      <c r="C24" s="27"/>
      <c r="D24" s="26"/>
      <c r="E24" s="11"/>
      <c r="F24" s="11"/>
      <c r="G24" s="11"/>
      <c r="I24" s="11"/>
    </row>
    <row r="25" spans="1:22" ht="20" customHeight="1" x14ac:dyDescent="0.2">
      <c r="A25" s="8" t="s">
        <v>269</v>
      </c>
      <c r="B25" s="8">
        <v>8</v>
      </c>
      <c r="C25" s="1" t="s">
        <v>284</v>
      </c>
      <c r="D25" s="11">
        <v>78.8</v>
      </c>
      <c r="E25" s="11">
        <f t="shared" ref="E25:E29" si="23">D25*F25</f>
        <v>78.8</v>
      </c>
      <c r="F25" s="23">
        <v>1</v>
      </c>
      <c r="G25" s="11">
        <f>D25*H25</f>
        <v>0</v>
      </c>
      <c r="H25" s="23">
        <v>0</v>
      </c>
      <c r="I25" s="11">
        <f>D25*J25</f>
        <v>0</v>
      </c>
      <c r="J25" s="23">
        <v>0</v>
      </c>
      <c r="K25" s="11">
        <f>D25*L25</f>
        <v>0</v>
      </c>
      <c r="L25" s="23">
        <v>0</v>
      </c>
      <c r="M25" s="11">
        <f>D25*N25</f>
        <v>0</v>
      </c>
      <c r="N25" s="23">
        <v>0</v>
      </c>
      <c r="O25" s="11">
        <f>P25*D25</f>
        <v>0</v>
      </c>
      <c r="P25" s="23">
        <v>0</v>
      </c>
      <c r="Q25" s="11">
        <f>R25*D25</f>
        <v>0</v>
      </c>
      <c r="R25" s="23">
        <v>0</v>
      </c>
      <c r="S25" s="46">
        <f>E25+G25+I25+K25+M25+O25+Q25</f>
        <v>78.8</v>
      </c>
      <c r="T25" s="47">
        <f>S25/D25</f>
        <v>1</v>
      </c>
      <c r="U25" s="48">
        <f>E25+G25+I25+K25+M25</f>
        <v>78.8</v>
      </c>
      <c r="V25" s="165">
        <f>U25/D25</f>
        <v>1</v>
      </c>
    </row>
    <row r="26" spans="1:22" ht="20" customHeight="1" x14ac:dyDescent="0.2">
      <c r="A26" s="8"/>
      <c r="B26" s="8">
        <v>9</v>
      </c>
      <c r="C26" s="1" t="s">
        <v>284</v>
      </c>
      <c r="D26" s="11">
        <v>41.71</v>
      </c>
      <c r="E26" s="11">
        <f t="shared" si="23"/>
        <v>41.71</v>
      </c>
      <c r="F26" s="23">
        <v>1</v>
      </c>
      <c r="G26" s="11">
        <f>D26*H26</f>
        <v>0</v>
      </c>
      <c r="H26" s="23">
        <v>0</v>
      </c>
      <c r="I26" s="11">
        <f>D26*J26</f>
        <v>0</v>
      </c>
      <c r="J26" s="23">
        <v>0</v>
      </c>
      <c r="K26" s="11">
        <f>D26*L26</f>
        <v>0</v>
      </c>
      <c r="L26" s="23">
        <v>0</v>
      </c>
      <c r="M26" s="11">
        <f>D26*N26</f>
        <v>0</v>
      </c>
      <c r="N26" s="23">
        <v>0</v>
      </c>
      <c r="O26" s="11">
        <f>P26*D26</f>
        <v>0</v>
      </c>
      <c r="P26" s="23">
        <v>0</v>
      </c>
      <c r="Q26" s="11">
        <f>R26*D26</f>
        <v>0</v>
      </c>
      <c r="R26" s="23">
        <v>0</v>
      </c>
      <c r="S26" s="46">
        <f>E26+G26+I26+K26+M26+O26+Q26</f>
        <v>41.71</v>
      </c>
      <c r="T26" s="47">
        <f>S26/D26</f>
        <v>1</v>
      </c>
      <c r="U26" s="48">
        <f>E26+G26+I26+K26+M26</f>
        <v>41.71</v>
      </c>
      <c r="V26" s="165">
        <f>U26/D26</f>
        <v>1</v>
      </c>
    </row>
    <row r="27" spans="1:22" ht="20" customHeight="1" x14ac:dyDescent="0.2">
      <c r="A27" s="8"/>
      <c r="B27" s="8">
        <v>10</v>
      </c>
      <c r="C27" s="1" t="s">
        <v>284</v>
      </c>
      <c r="D27" s="11">
        <v>70.900000000000006</v>
      </c>
      <c r="E27" s="11">
        <f t="shared" si="23"/>
        <v>70.900000000000006</v>
      </c>
      <c r="F27" s="23">
        <v>1</v>
      </c>
      <c r="G27" s="11">
        <f>D27*H27</f>
        <v>0</v>
      </c>
      <c r="H27" s="23">
        <v>0</v>
      </c>
      <c r="I27" s="11">
        <f>D27*J27</f>
        <v>0</v>
      </c>
      <c r="J27" s="23">
        <v>0</v>
      </c>
      <c r="K27" s="11">
        <f>D27*L27</f>
        <v>0</v>
      </c>
      <c r="L27" s="23">
        <v>0</v>
      </c>
      <c r="M27" s="11">
        <f>D27*N27</f>
        <v>0</v>
      </c>
      <c r="N27" s="23">
        <v>0</v>
      </c>
      <c r="O27" s="11">
        <f>P27*D27</f>
        <v>0</v>
      </c>
      <c r="P27" s="23">
        <v>0</v>
      </c>
      <c r="Q27" s="11">
        <f>R27*D27</f>
        <v>0</v>
      </c>
      <c r="R27" s="23">
        <v>0</v>
      </c>
      <c r="S27" s="46">
        <f>E27+G27+I27+K27+M27+O27+Q27</f>
        <v>70.900000000000006</v>
      </c>
      <c r="T27" s="47">
        <f>S27/D27</f>
        <v>1</v>
      </c>
      <c r="U27" s="48">
        <f>E27+G27+I27+K27+M27</f>
        <v>70.900000000000006</v>
      </c>
      <c r="V27" s="165">
        <f>U27/D27</f>
        <v>1</v>
      </c>
    </row>
    <row r="28" spans="1:22" ht="20" customHeight="1" x14ac:dyDescent="0.2">
      <c r="A28" s="8"/>
      <c r="B28" s="8">
        <v>11</v>
      </c>
      <c r="C28" s="1" t="s">
        <v>284</v>
      </c>
      <c r="D28" s="11">
        <v>41.71</v>
      </c>
      <c r="E28" s="11">
        <f t="shared" si="23"/>
        <v>41.71</v>
      </c>
      <c r="F28" s="23">
        <v>1</v>
      </c>
      <c r="G28" s="11">
        <f>D28*H28</f>
        <v>0</v>
      </c>
      <c r="H28" s="23">
        <v>0</v>
      </c>
      <c r="I28" s="11">
        <f>D28*J28</f>
        <v>0</v>
      </c>
      <c r="J28" s="23">
        <v>0</v>
      </c>
      <c r="K28" s="11">
        <f>D28*L28</f>
        <v>0</v>
      </c>
      <c r="L28" s="23">
        <v>0</v>
      </c>
      <c r="M28" s="11">
        <f>D28*N28</f>
        <v>0</v>
      </c>
      <c r="N28" s="23">
        <v>0</v>
      </c>
      <c r="O28" s="11">
        <f>P28*D28</f>
        <v>0</v>
      </c>
      <c r="P28" s="23">
        <v>0</v>
      </c>
      <c r="Q28" s="11">
        <f>R28*D28</f>
        <v>0</v>
      </c>
      <c r="R28" s="23">
        <v>0</v>
      </c>
      <c r="S28" s="46">
        <f>E28+G28+I28+K28+M28+O28+Q28</f>
        <v>41.71</v>
      </c>
      <c r="T28" s="47">
        <f>S28/D28</f>
        <v>1</v>
      </c>
      <c r="U28" s="48">
        <f>E28+G28+I28+K28+M28</f>
        <v>41.71</v>
      </c>
      <c r="V28" s="165">
        <f>U28/D28</f>
        <v>1</v>
      </c>
    </row>
    <row r="29" spans="1:22" ht="20" customHeight="1" x14ac:dyDescent="0.2">
      <c r="A29" s="8"/>
      <c r="B29" s="8">
        <v>12</v>
      </c>
      <c r="C29" s="1" t="s">
        <v>284</v>
      </c>
      <c r="D29" s="11">
        <v>70.849999999999994</v>
      </c>
      <c r="E29" s="11">
        <f t="shared" si="23"/>
        <v>70.849999999999994</v>
      </c>
      <c r="F29" s="23">
        <v>1</v>
      </c>
      <c r="G29" s="11">
        <f>D29*H29</f>
        <v>0</v>
      </c>
      <c r="H29" s="23">
        <v>0</v>
      </c>
      <c r="I29" s="11">
        <f>D29*J29</f>
        <v>0</v>
      </c>
      <c r="J29" s="23">
        <v>0</v>
      </c>
      <c r="K29" s="11">
        <f>D29*L29</f>
        <v>0</v>
      </c>
      <c r="L29" s="23">
        <v>0</v>
      </c>
      <c r="M29" s="11">
        <f>D29*N29</f>
        <v>0</v>
      </c>
      <c r="N29" s="23">
        <v>0</v>
      </c>
      <c r="O29" s="11">
        <f>P29*D29</f>
        <v>0</v>
      </c>
      <c r="P29" s="23">
        <v>0</v>
      </c>
      <c r="Q29" s="11">
        <f>R29*D29</f>
        <v>0</v>
      </c>
      <c r="R29" s="23">
        <v>0</v>
      </c>
      <c r="S29" s="46">
        <f>E29+G29+I29+K29+M29+O29+Q29</f>
        <v>70.849999999999994</v>
      </c>
      <c r="T29" s="47">
        <f>S29/D29</f>
        <v>1</v>
      </c>
      <c r="U29" s="48">
        <f>E29+G29+I29+K29+M29</f>
        <v>70.849999999999994</v>
      </c>
      <c r="V29" s="165">
        <f>U29/D29</f>
        <v>1</v>
      </c>
    </row>
    <row r="30" spans="1:22" ht="20" customHeight="1" x14ac:dyDescent="0.2">
      <c r="D30" s="11"/>
      <c r="E30" s="11"/>
      <c r="F30" s="23"/>
      <c r="G30" s="11"/>
      <c r="H30" s="23"/>
      <c r="I30" s="11"/>
      <c r="J30" s="23"/>
      <c r="K30" s="11"/>
      <c r="L30" s="23"/>
      <c r="M30" s="11"/>
      <c r="N30" s="23"/>
      <c r="O30" s="11"/>
      <c r="P30" s="23"/>
      <c r="Q30" s="11"/>
      <c r="R30" s="23"/>
      <c r="S30" s="11"/>
      <c r="T30" s="268"/>
      <c r="U30" s="11"/>
      <c r="V30" s="268"/>
    </row>
    <row r="31" spans="1:22" ht="20" customHeight="1" x14ac:dyDescent="0.2">
      <c r="C31" s="40" t="s">
        <v>97</v>
      </c>
      <c r="D31" s="54">
        <f>SUM(D25:D29)</f>
        <v>303.97000000000003</v>
      </c>
      <c r="E31" s="49">
        <f>SUM(E25:E29)</f>
        <v>303.97000000000003</v>
      </c>
      <c r="F31" s="50">
        <f>E31/$D$31</f>
        <v>1</v>
      </c>
      <c r="G31" s="49">
        <f>SUM(G25:G29)</f>
        <v>0</v>
      </c>
      <c r="H31" s="50">
        <f t="shared" ref="H31" si="24">G31/$D$31</f>
        <v>0</v>
      </c>
      <c r="I31" s="49">
        <f>SUM(I25:I29)</f>
        <v>0</v>
      </c>
      <c r="J31" s="50">
        <f t="shared" ref="J31" si="25">I31/$D$31</f>
        <v>0</v>
      </c>
      <c r="K31" s="49">
        <f>SUM(K25:K29)</f>
        <v>0</v>
      </c>
      <c r="L31" s="50">
        <f t="shared" ref="L31" si="26">K31/$D$31</f>
        <v>0</v>
      </c>
      <c r="M31" s="49">
        <f>SUM(M25:M29)</f>
        <v>0</v>
      </c>
      <c r="N31" s="50">
        <f t="shared" ref="N31" si="27">M31/$D$31</f>
        <v>0</v>
      </c>
      <c r="O31" s="49">
        <f>SUM(O25:O29)</f>
        <v>0</v>
      </c>
      <c r="P31" s="50">
        <f t="shared" ref="P31" si="28">O31/$D$31</f>
        <v>0</v>
      </c>
      <c r="Q31" s="49">
        <f>SUM(Q25:Q29)</f>
        <v>0</v>
      </c>
      <c r="R31" s="50">
        <f t="shared" ref="R31" si="29">Q31/$D$31</f>
        <v>0</v>
      </c>
      <c r="S31" s="17">
        <f>SUM(S25:S29)</f>
        <v>303.97000000000003</v>
      </c>
      <c r="T31" s="51">
        <f>S31/$D$31</f>
        <v>1</v>
      </c>
      <c r="U31" s="17">
        <f>SUM(U25:U29)</f>
        <v>303.97000000000003</v>
      </c>
      <c r="V31" s="51">
        <f>U31/$D$31</f>
        <v>1</v>
      </c>
    </row>
    <row r="32" spans="1:22" ht="20" customHeight="1" x14ac:dyDescent="0.2">
      <c r="C32" s="25"/>
      <c r="D32" s="28"/>
      <c r="E32" s="21"/>
      <c r="F32" s="21"/>
      <c r="G32" s="24"/>
      <c r="H32" s="10"/>
      <c r="I32" s="24"/>
      <c r="J32" s="10"/>
      <c r="K32" s="10"/>
      <c r="L32" s="10"/>
      <c r="M32" s="10"/>
      <c r="N32" s="10"/>
      <c r="O32" s="10"/>
      <c r="P32" s="10"/>
      <c r="Q32" s="10"/>
      <c r="R32" s="10"/>
      <c r="S32" s="52">
        <f>D31-S31</f>
        <v>0</v>
      </c>
      <c r="T32" s="53">
        <f>S32/D31</f>
        <v>0</v>
      </c>
    </row>
    <row r="33" spans="1:22" ht="20" customHeight="1" x14ac:dyDescent="0.2">
      <c r="C33" s="25"/>
      <c r="D33" s="28"/>
      <c r="E33" s="21"/>
      <c r="F33" s="21"/>
      <c r="G33" s="24"/>
      <c r="H33" s="10"/>
      <c r="I33" s="24"/>
      <c r="J33" s="10"/>
      <c r="K33" s="10"/>
      <c r="L33" s="10"/>
      <c r="M33" s="10"/>
      <c r="N33" s="10"/>
      <c r="O33" s="10"/>
      <c r="P33" s="10"/>
      <c r="Q33" s="10"/>
      <c r="R33" s="10"/>
      <c r="S33" s="21"/>
      <c r="T33" s="269"/>
    </row>
    <row r="34" spans="1:22" ht="20" customHeight="1" x14ac:dyDescent="0.2">
      <c r="A34" s="8" t="s">
        <v>270</v>
      </c>
      <c r="B34" s="8">
        <v>13</v>
      </c>
      <c r="C34" s="1" t="s">
        <v>284</v>
      </c>
      <c r="D34" s="11">
        <v>91.46</v>
      </c>
      <c r="E34" s="11">
        <f t="shared" ref="E34" si="30">D34*F34</f>
        <v>0</v>
      </c>
      <c r="F34" s="23">
        <v>0</v>
      </c>
      <c r="G34" s="11">
        <v>100</v>
      </c>
      <c r="H34" s="23">
        <v>0</v>
      </c>
      <c r="I34" s="11">
        <f>D34*J34</f>
        <v>0</v>
      </c>
      <c r="J34" s="23">
        <v>0</v>
      </c>
      <c r="K34" s="11">
        <f>D34*L34</f>
        <v>0</v>
      </c>
      <c r="L34" s="23">
        <v>0</v>
      </c>
      <c r="M34" s="11">
        <f>D34*N34</f>
        <v>0</v>
      </c>
      <c r="N34" s="23">
        <v>0</v>
      </c>
      <c r="O34" s="11">
        <f>P34*D34</f>
        <v>0</v>
      </c>
      <c r="P34" s="23">
        <v>0</v>
      </c>
      <c r="Q34" s="11">
        <f>R34*D34</f>
        <v>0</v>
      </c>
      <c r="R34" s="23">
        <v>0</v>
      </c>
      <c r="S34" s="46">
        <f>E34+G34+I34+K34+M34+O34+Q34</f>
        <v>100</v>
      </c>
      <c r="T34" s="47">
        <f>S34/D34</f>
        <v>1.0933741526350318</v>
      </c>
      <c r="U34" s="48">
        <f>E34+G34+I34+K34+M34</f>
        <v>100</v>
      </c>
      <c r="V34" s="165">
        <f>U34/D34</f>
        <v>1.0933741526350318</v>
      </c>
    </row>
    <row r="35" spans="1:22" ht="20" customHeight="1" x14ac:dyDescent="0.2">
      <c r="C35" s="25"/>
      <c r="D35" s="28"/>
      <c r="E35" s="21"/>
      <c r="F35" s="21"/>
      <c r="G35" s="24"/>
      <c r="H35" s="10"/>
      <c r="I35" s="24"/>
      <c r="J35" s="10"/>
      <c r="K35" s="10"/>
      <c r="L35" s="10"/>
      <c r="M35" s="10"/>
      <c r="N35" s="10"/>
      <c r="O35" s="10"/>
      <c r="P35" s="10"/>
      <c r="Q35" s="10"/>
      <c r="R35" s="10"/>
      <c r="S35" s="21"/>
      <c r="T35" s="269"/>
    </row>
    <row r="36" spans="1:22" ht="20" customHeight="1" x14ac:dyDescent="0.2">
      <c r="C36" s="40" t="s">
        <v>97</v>
      </c>
      <c r="D36" s="54">
        <f>SUM(D34:D34)</f>
        <v>91.46</v>
      </c>
      <c r="E36" s="49">
        <f>SUM(E34:E34)</f>
        <v>0</v>
      </c>
      <c r="F36" s="50">
        <f>E36/$D$36</f>
        <v>0</v>
      </c>
      <c r="G36" s="49">
        <f>SUM(G34:G34)</f>
        <v>100</v>
      </c>
      <c r="H36" s="50">
        <f>G36/$D$36</f>
        <v>1.0933741526350318</v>
      </c>
      <c r="I36" s="49">
        <f>SUM(I34:I34)</f>
        <v>0</v>
      </c>
      <c r="J36" s="50">
        <f t="shared" ref="J36" si="31">I36/$D$36</f>
        <v>0</v>
      </c>
      <c r="K36" s="49">
        <f>SUM(K34:K34)</f>
        <v>0</v>
      </c>
      <c r="L36" s="50">
        <f t="shared" ref="L36" si="32">K36/$D$36</f>
        <v>0</v>
      </c>
      <c r="M36" s="49">
        <f>SUM(M34:M34)</f>
        <v>0</v>
      </c>
      <c r="N36" s="50">
        <f t="shared" ref="N36" si="33">M36/$D$36</f>
        <v>0</v>
      </c>
      <c r="O36" s="49">
        <f>SUM(O34:O34)</f>
        <v>0</v>
      </c>
      <c r="P36" s="50">
        <f t="shared" ref="P36" si="34">O36/$D$36</f>
        <v>0</v>
      </c>
      <c r="Q36" s="49">
        <f>SUM(Q34:Q34)</f>
        <v>0</v>
      </c>
      <c r="R36" s="50">
        <f t="shared" ref="R36" si="35">Q36/$D$36</f>
        <v>0</v>
      </c>
      <c r="S36" s="17">
        <f>SUM(S34:S34)</f>
        <v>100</v>
      </c>
      <c r="T36" s="51">
        <f>S36/D36</f>
        <v>1.0933741526350318</v>
      </c>
      <c r="U36" s="17">
        <f>SUM(U34:U34)</f>
        <v>100</v>
      </c>
      <c r="V36" s="51">
        <f>U36/D36</f>
        <v>1.0933741526350318</v>
      </c>
    </row>
    <row r="37" spans="1:22" ht="20" customHeight="1" x14ac:dyDescent="0.2">
      <c r="C37" s="25"/>
      <c r="D37" s="28"/>
      <c r="E37" s="21"/>
      <c r="F37" s="21"/>
      <c r="G37" s="24"/>
      <c r="H37" s="10"/>
      <c r="I37" s="24"/>
      <c r="J37" s="10"/>
      <c r="K37" s="10"/>
      <c r="L37" s="10"/>
      <c r="M37" s="10"/>
      <c r="N37" s="10"/>
      <c r="O37" s="10"/>
      <c r="P37" s="10"/>
      <c r="Q37" s="10"/>
      <c r="R37" s="10"/>
      <c r="S37" s="21"/>
      <c r="T37" s="269"/>
    </row>
    <row r="38" spans="1:22" ht="20" customHeight="1" x14ac:dyDescent="0.2">
      <c r="C38" s="25"/>
      <c r="D38" s="28"/>
      <c r="E38" s="21"/>
      <c r="F38" s="21"/>
      <c r="G38" s="24"/>
      <c r="H38" s="10"/>
      <c r="I38" s="24"/>
      <c r="J38" s="10"/>
      <c r="K38" s="10"/>
      <c r="L38" s="10"/>
      <c r="M38" s="10"/>
      <c r="N38" s="10"/>
      <c r="O38" s="10"/>
      <c r="P38" s="10"/>
      <c r="Q38" s="10"/>
      <c r="R38" s="10"/>
      <c r="S38" s="21"/>
      <c r="T38" s="269"/>
    </row>
    <row r="39" spans="1:22" ht="20" customHeight="1" x14ac:dyDescent="0.2">
      <c r="A39" s="8" t="s">
        <v>277</v>
      </c>
      <c r="B39" s="8">
        <v>14</v>
      </c>
      <c r="C39" s="1" t="s">
        <v>284</v>
      </c>
      <c r="D39" s="11">
        <f>27.22+27.22</f>
        <v>54.44</v>
      </c>
      <c r="E39" s="11">
        <f t="shared" ref="E39:E40" si="36">D39*F39</f>
        <v>0</v>
      </c>
      <c r="F39" s="23">
        <v>0</v>
      </c>
      <c r="G39" s="11">
        <f>H39*D39</f>
        <v>27.22</v>
      </c>
      <c r="H39" s="23">
        <v>0.5</v>
      </c>
      <c r="I39" s="11">
        <f>D39*J39</f>
        <v>27.22</v>
      </c>
      <c r="J39" s="23">
        <v>0.5</v>
      </c>
      <c r="K39" s="11">
        <f>D39*L39</f>
        <v>0</v>
      </c>
      <c r="L39" s="23">
        <v>0</v>
      </c>
      <c r="M39" s="11">
        <f>F39*N39</f>
        <v>0</v>
      </c>
      <c r="N39" s="23">
        <v>0</v>
      </c>
      <c r="O39" s="11">
        <f>P39*D39</f>
        <v>0</v>
      </c>
      <c r="P39" s="23">
        <v>0</v>
      </c>
      <c r="Q39" s="11">
        <f>R39*D39</f>
        <v>0</v>
      </c>
      <c r="R39" s="23">
        <v>0</v>
      </c>
      <c r="S39" s="46">
        <f>E39+G39+I39+K39+M39+O39+Q39</f>
        <v>54.44</v>
      </c>
      <c r="T39" s="47">
        <f>S39/D39</f>
        <v>1</v>
      </c>
      <c r="U39" s="48">
        <f>E39+G39+I39+K39+M39</f>
        <v>54.44</v>
      </c>
      <c r="V39" s="165">
        <f>U39/D39</f>
        <v>1</v>
      </c>
    </row>
    <row r="40" spans="1:22" ht="20" customHeight="1" x14ac:dyDescent="0.2">
      <c r="B40" s="8">
        <v>15</v>
      </c>
      <c r="C40" s="1" t="s">
        <v>284</v>
      </c>
      <c r="D40" s="11">
        <v>91.01</v>
      </c>
      <c r="E40" s="11">
        <f t="shared" si="36"/>
        <v>0</v>
      </c>
      <c r="F40" s="23">
        <v>0</v>
      </c>
      <c r="G40" s="11">
        <f>H40*D40</f>
        <v>45.505000000000003</v>
      </c>
      <c r="H40" s="23">
        <v>0.5</v>
      </c>
      <c r="I40" s="11">
        <f>D40*J40</f>
        <v>45.505000000000003</v>
      </c>
      <c r="J40" s="23">
        <v>0.5</v>
      </c>
      <c r="K40" s="11">
        <f>D40*L40</f>
        <v>0</v>
      </c>
      <c r="L40" s="23">
        <v>0</v>
      </c>
      <c r="M40" s="11">
        <f>F40*N40</f>
        <v>0</v>
      </c>
      <c r="N40" s="23">
        <v>0</v>
      </c>
      <c r="O40" s="11">
        <f t="shared" ref="O40" si="37">H40*P40</f>
        <v>0</v>
      </c>
      <c r="P40" s="23">
        <v>0</v>
      </c>
      <c r="Q40" s="11">
        <f>R40*D40</f>
        <v>30.943400000000004</v>
      </c>
      <c r="R40" s="23">
        <v>0.34</v>
      </c>
      <c r="S40" s="46">
        <f>E40+G40+I40+K40+M40+O40+Q40</f>
        <v>121.95340000000002</v>
      </c>
      <c r="T40" s="47">
        <f>S40/D40</f>
        <v>1.34</v>
      </c>
      <c r="U40" s="48">
        <f>E40+G40+I40+K40+M40</f>
        <v>91.01</v>
      </c>
      <c r="V40" s="165">
        <f>U40/D40</f>
        <v>1</v>
      </c>
    </row>
    <row r="41" spans="1:22" ht="20" customHeight="1" x14ac:dyDescent="0.2"/>
    <row r="42" spans="1:22" ht="20" customHeight="1" x14ac:dyDescent="0.2">
      <c r="C42" s="40" t="s">
        <v>97</v>
      </c>
      <c r="D42" s="54">
        <f>SUM(D39:D40)</f>
        <v>145.44999999999999</v>
      </c>
      <c r="E42" s="49">
        <f>SUM(E39:E40)</f>
        <v>0</v>
      </c>
      <c r="F42" s="50">
        <f>E42/$D$42</f>
        <v>0</v>
      </c>
      <c r="G42" s="49">
        <f>SUM(G39:G40)</f>
        <v>72.724999999999994</v>
      </c>
      <c r="H42" s="50">
        <f t="shared" ref="H42" si="38">G42/$D$42</f>
        <v>0.5</v>
      </c>
      <c r="I42" s="49">
        <f>SUM(I39:I40)</f>
        <v>72.724999999999994</v>
      </c>
      <c r="J42" s="50">
        <f t="shared" ref="J42" si="39">I42/$D$42</f>
        <v>0.5</v>
      </c>
      <c r="K42" s="49">
        <f>SUM(K39:K40)</f>
        <v>0</v>
      </c>
      <c r="L42" s="50">
        <f t="shared" ref="L42" si="40">K42/$D$42</f>
        <v>0</v>
      </c>
      <c r="M42" s="49">
        <f>SUM(M39:M40)</f>
        <v>0</v>
      </c>
      <c r="N42" s="50">
        <f t="shared" ref="N42" si="41">M42/$D$42</f>
        <v>0</v>
      </c>
      <c r="O42" s="49">
        <f>SUM(O39:O40)</f>
        <v>0</v>
      </c>
      <c r="P42" s="50">
        <f t="shared" ref="P42" si="42">O42/$D$42</f>
        <v>0</v>
      </c>
      <c r="Q42" s="49">
        <f>SUM(Q39:Q40)</f>
        <v>30.943400000000004</v>
      </c>
      <c r="R42" s="50">
        <f t="shared" ref="R42" si="43">Q42/$D$42</f>
        <v>0.21274252320385018</v>
      </c>
      <c r="S42" s="17">
        <f>SUM(S39:S40)</f>
        <v>176.39340000000001</v>
      </c>
      <c r="T42" s="51">
        <f>S42/D42</f>
        <v>1.2127425232038502</v>
      </c>
      <c r="U42" s="17">
        <f>SUM(U39:U40)</f>
        <v>145.44999999999999</v>
      </c>
      <c r="V42" s="51">
        <f>U42/D42</f>
        <v>1</v>
      </c>
    </row>
    <row r="43" spans="1:22" ht="20" customHeight="1" x14ac:dyDescent="0.2">
      <c r="C43" s="270"/>
      <c r="D43" s="271"/>
      <c r="E43" s="21"/>
      <c r="F43" s="272"/>
      <c r="G43" s="21"/>
      <c r="H43" s="272"/>
      <c r="I43" s="21"/>
      <c r="J43" s="272"/>
      <c r="K43" s="21"/>
      <c r="L43" s="272"/>
      <c r="M43" s="21"/>
      <c r="N43" s="272"/>
      <c r="O43" s="21"/>
      <c r="P43" s="272"/>
      <c r="Q43" s="21"/>
      <c r="R43" s="272"/>
      <c r="S43" s="273"/>
      <c r="T43" s="274"/>
      <c r="U43" s="273"/>
      <c r="V43" s="274"/>
    </row>
    <row r="44" spans="1:22" ht="20" customHeight="1" x14ac:dyDescent="0.2">
      <c r="A44" s="8" t="s">
        <v>278</v>
      </c>
      <c r="B44" s="8" t="s">
        <v>281</v>
      </c>
      <c r="C44" s="1" t="s">
        <v>284</v>
      </c>
      <c r="D44" s="11">
        <v>76.44</v>
      </c>
      <c r="E44" s="11">
        <f t="shared" ref="E44:E46" si="44">D44*F44</f>
        <v>0</v>
      </c>
      <c r="F44" s="23">
        <v>0</v>
      </c>
      <c r="G44" s="11">
        <f>D44*H44</f>
        <v>0</v>
      </c>
      <c r="H44" s="23">
        <v>0</v>
      </c>
      <c r="I44" s="11">
        <f>D44*J44</f>
        <v>0</v>
      </c>
      <c r="J44" s="23">
        <v>0</v>
      </c>
      <c r="K44" s="11">
        <f>D44*L44</f>
        <v>0</v>
      </c>
      <c r="L44" s="23">
        <v>0</v>
      </c>
      <c r="M44" s="11">
        <f>D44*N44</f>
        <v>0</v>
      </c>
      <c r="N44" s="23">
        <v>0</v>
      </c>
      <c r="O44" s="11">
        <f>P44*D44</f>
        <v>0</v>
      </c>
      <c r="P44" s="23">
        <v>0</v>
      </c>
      <c r="Q44" s="11">
        <f>R44*D44</f>
        <v>0</v>
      </c>
      <c r="R44" s="23">
        <v>0</v>
      </c>
      <c r="S44" s="46">
        <f>E44+G44+I44+K44+M44+O44+Q44</f>
        <v>0</v>
      </c>
      <c r="T44" s="47">
        <f>S44/D44</f>
        <v>0</v>
      </c>
      <c r="U44" s="48">
        <f>E44+G44+I44+K44+M44</f>
        <v>0</v>
      </c>
      <c r="V44" s="165">
        <f>U44/D44</f>
        <v>0</v>
      </c>
    </row>
    <row r="45" spans="1:22" ht="20" customHeight="1" x14ac:dyDescent="0.2">
      <c r="B45" s="8" t="s">
        <v>280</v>
      </c>
      <c r="C45" s="1" t="s">
        <v>284</v>
      </c>
      <c r="D45" s="11">
        <f>16.2*4+22.3+47.92+28.125+37.4+131</f>
        <v>331.54499999999996</v>
      </c>
      <c r="E45" s="11">
        <f t="shared" si="44"/>
        <v>0</v>
      </c>
      <c r="F45" s="23">
        <v>0</v>
      </c>
      <c r="G45" s="11">
        <f>D45*H45</f>
        <v>0</v>
      </c>
      <c r="H45" s="23">
        <v>0</v>
      </c>
      <c r="I45" s="11">
        <f>D45*J45</f>
        <v>0</v>
      </c>
      <c r="J45" s="23">
        <v>0</v>
      </c>
      <c r="K45" s="11">
        <f>D45*L45</f>
        <v>4.0448490000000001</v>
      </c>
      <c r="L45" s="23">
        <f>0.0122</f>
        <v>1.2200000000000001E-2</v>
      </c>
      <c r="M45" s="11">
        <f t="shared" ref="M45:M46" si="45">D45*N45</f>
        <v>16.577249999999999</v>
      </c>
      <c r="N45" s="23">
        <v>0.05</v>
      </c>
      <c r="O45" s="11">
        <f>D45*P45</f>
        <v>0</v>
      </c>
      <c r="P45" s="23">
        <v>0</v>
      </c>
      <c r="Q45" s="11">
        <f t="shared" ref="Q45:Q46" si="46">J45*R45</f>
        <v>0</v>
      </c>
      <c r="R45" s="23">
        <v>0</v>
      </c>
      <c r="S45" s="46">
        <f>E45+G45+I45+K45+M45+O45+Q45</f>
        <v>20.622098999999999</v>
      </c>
      <c r="T45" s="47">
        <f>S45/D45</f>
        <v>6.2200000000000005E-2</v>
      </c>
      <c r="U45" s="48">
        <f>E45+G45+I45+K45+M45</f>
        <v>20.622098999999999</v>
      </c>
      <c r="V45" s="165">
        <f>U45/D45</f>
        <v>6.2200000000000005E-2</v>
      </c>
    </row>
    <row r="46" spans="1:22" ht="20" customHeight="1" x14ac:dyDescent="0.2">
      <c r="B46" s="8" t="s">
        <v>279</v>
      </c>
      <c r="C46" s="1" t="s">
        <v>284</v>
      </c>
      <c r="D46" s="11">
        <v>76.44</v>
      </c>
      <c r="E46" s="11">
        <f t="shared" si="44"/>
        <v>0</v>
      </c>
      <c r="F46" s="23">
        <v>0</v>
      </c>
      <c r="G46" s="11">
        <f>D46*H46</f>
        <v>0</v>
      </c>
      <c r="H46" s="23">
        <v>0</v>
      </c>
      <c r="I46" s="11">
        <f>D46*J46</f>
        <v>0</v>
      </c>
      <c r="J46" s="23">
        <v>0</v>
      </c>
      <c r="K46" s="11">
        <f>D46*L46</f>
        <v>0</v>
      </c>
      <c r="L46" s="23">
        <v>0</v>
      </c>
      <c r="M46" s="11">
        <f t="shared" si="45"/>
        <v>38.22</v>
      </c>
      <c r="N46" s="23">
        <v>0.5</v>
      </c>
      <c r="O46" s="11">
        <f>D46*P46</f>
        <v>38.22</v>
      </c>
      <c r="P46" s="23">
        <v>0.5</v>
      </c>
      <c r="Q46" s="11">
        <f t="shared" si="46"/>
        <v>0</v>
      </c>
      <c r="R46" s="23">
        <v>0</v>
      </c>
      <c r="S46" s="46">
        <f>E46+G46+I46+K46+M46+O46+Q46</f>
        <v>76.44</v>
      </c>
      <c r="T46" s="47">
        <f>S46/D46</f>
        <v>1</v>
      </c>
      <c r="U46" s="48">
        <f>E46+G46+I46+K46+M46</f>
        <v>38.22</v>
      </c>
      <c r="V46" s="165">
        <f>U46/D46</f>
        <v>0.5</v>
      </c>
    </row>
    <row r="47" spans="1:22" ht="20" customHeight="1" x14ac:dyDescent="0.2">
      <c r="B47" s="8"/>
      <c r="D47" s="11"/>
      <c r="E47" s="11"/>
      <c r="F47" s="268"/>
      <c r="G47" s="11"/>
      <c r="H47" s="268"/>
      <c r="I47" s="11"/>
      <c r="J47" s="268"/>
      <c r="K47" s="11"/>
      <c r="L47" s="268"/>
      <c r="M47" s="11"/>
      <c r="N47" s="268"/>
      <c r="O47" s="11"/>
      <c r="P47" s="268"/>
      <c r="Q47" s="11"/>
      <c r="R47" s="268"/>
      <c r="S47" s="11"/>
      <c r="T47" s="268"/>
      <c r="U47" s="11"/>
      <c r="V47" s="268"/>
    </row>
    <row r="48" spans="1:22" ht="20" customHeight="1" x14ac:dyDescent="0.2">
      <c r="C48" s="40" t="s">
        <v>97</v>
      </c>
      <c r="D48" s="54">
        <f>SUM(D44:D46)</f>
        <v>484.42499999999995</v>
      </c>
      <c r="E48" s="49">
        <f>SUM(E44:E46)</f>
        <v>0</v>
      </c>
      <c r="F48" s="50">
        <f>E48/$D$48</f>
        <v>0</v>
      </c>
      <c r="G48" s="49">
        <f>SUM(G44:G46)</f>
        <v>0</v>
      </c>
      <c r="H48" s="50">
        <f t="shared" ref="H48" si="47">G48/$D$48</f>
        <v>0</v>
      </c>
      <c r="I48" s="49">
        <f>SUM(I44:I46)</f>
        <v>0</v>
      </c>
      <c r="J48" s="50">
        <f t="shared" ref="J48" si="48">I48/$D$48</f>
        <v>0</v>
      </c>
      <c r="K48" s="49">
        <f>SUM(K44:K46)</f>
        <v>4.0448490000000001</v>
      </c>
      <c r="L48" s="50">
        <f t="shared" ref="L48" si="49">K48/$D$48</f>
        <v>8.3497940857717931E-3</v>
      </c>
      <c r="M48" s="49">
        <f>SUM(M44:M46)</f>
        <v>54.797249999999998</v>
      </c>
      <c r="N48" s="50">
        <f t="shared" ref="N48" si="50">M48/$D$48</f>
        <v>0.11311812974144606</v>
      </c>
      <c r="O48" s="49">
        <f>SUM(O44:O46)</f>
        <v>38.22</v>
      </c>
      <c r="P48" s="50">
        <f t="shared" ref="P48" si="51">O48/$D$48</f>
        <v>7.8897662176807562E-2</v>
      </c>
      <c r="Q48" s="49">
        <f>SUM(Q44:Q46)</f>
        <v>0</v>
      </c>
      <c r="R48" s="50">
        <f t="shared" ref="R48" si="52">Q48/$D$48</f>
        <v>0</v>
      </c>
      <c r="S48" s="17">
        <f>SUM(S44:S46)</f>
        <v>97.062098999999989</v>
      </c>
      <c r="T48" s="51">
        <f>S48/D48</f>
        <v>0.20036558600402538</v>
      </c>
      <c r="U48" s="17">
        <f>SUM(U44:U46)</f>
        <v>58.842098999999997</v>
      </c>
      <c r="V48" s="51">
        <f>U48/D48</f>
        <v>0.12146792382721784</v>
      </c>
    </row>
    <row r="49" spans="3:22" ht="20" customHeight="1" x14ac:dyDescent="0.2">
      <c r="C49" s="270"/>
      <c r="D49" s="271"/>
      <c r="E49" s="21"/>
      <c r="F49" s="272"/>
      <c r="G49" s="21"/>
      <c r="H49" s="272"/>
      <c r="I49" s="21"/>
      <c r="J49" s="272"/>
      <c r="K49" s="21"/>
      <c r="L49" s="272"/>
      <c r="M49" s="21"/>
      <c r="N49" s="272"/>
      <c r="O49" s="21"/>
      <c r="P49" s="272"/>
      <c r="Q49" s="21"/>
      <c r="R49" s="272"/>
      <c r="S49" s="273"/>
      <c r="T49" s="274"/>
      <c r="U49" s="273"/>
      <c r="V49" s="274"/>
    </row>
    <row r="50" spans="3:22" ht="20" customHeight="1" x14ac:dyDescent="0.2">
      <c r="C50" s="63" t="s">
        <v>99</v>
      </c>
      <c r="D50" s="41">
        <f>D11+D16+D22+D31+D36+D42+D48</f>
        <v>1544.7150000000001</v>
      </c>
      <c r="E50" s="64"/>
      <c r="F50" s="64"/>
      <c r="G50" s="65"/>
      <c r="H50" s="65"/>
      <c r="I50" s="65"/>
      <c r="J50" s="65"/>
      <c r="K50" s="307" t="s">
        <v>98</v>
      </c>
      <c r="L50" s="307"/>
      <c r="M50" s="307"/>
      <c r="N50" s="307"/>
      <c r="O50" s="267"/>
      <c r="P50" s="267"/>
      <c r="Q50" s="267"/>
      <c r="R50" s="267"/>
      <c r="S50" s="41">
        <f>S11+S16+S22+S31+S36+S42+S48</f>
        <v>1232.8674189999999</v>
      </c>
      <c r="T50" s="62">
        <f>S50/D50</f>
        <v>0.79811966543990298</v>
      </c>
      <c r="U50" s="219">
        <f>U11+U16+U22+U31</f>
        <v>614.27</v>
      </c>
      <c r="V50" s="62">
        <f>U50/D50</f>
        <v>0.39765911511184904</v>
      </c>
    </row>
    <row r="51" spans="3:22" ht="20" customHeight="1" x14ac:dyDescent="0.2">
      <c r="S51" s="52">
        <f>D50-S50</f>
        <v>311.84758100000022</v>
      </c>
      <c r="T51" s="53">
        <f>S51/D50</f>
        <v>0.20188033456009696</v>
      </c>
    </row>
    <row r="52" spans="3:22" ht="20" customHeight="1" x14ac:dyDescent="0.2"/>
    <row r="53" spans="3:22" ht="20" customHeight="1" x14ac:dyDescent="0.2">
      <c r="D53" s="308"/>
      <c r="E53" s="309"/>
      <c r="F53" s="309"/>
      <c r="G53" s="309"/>
      <c r="H53" s="309"/>
      <c r="I53" s="309"/>
      <c r="J53" s="309"/>
      <c r="K53" s="309"/>
      <c r="L53" s="309"/>
      <c r="M53" s="309"/>
      <c r="N53" s="309"/>
      <c r="O53" s="78"/>
      <c r="P53" s="78"/>
      <c r="S53" s="67"/>
      <c r="T53" s="67">
        <v>0.59</v>
      </c>
    </row>
    <row r="54" spans="3:22" ht="20" customHeight="1" x14ac:dyDescent="0.2">
      <c r="D54" s="309"/>
      <c r="E54" s="309"/>
      <c r="F54" s="309"/>
      <c r="G54" s="309"/>
      <c r="H54" s="309"/>
      <c r="I54" s="309"/>
      <c r="J54" s="309"/>
      <c r="K54" s="309"/>
      <c r="L54" s="309"/>
      <c r="M54" s="309"/>
      <c r="N54" s="309"/>
      <c r="O54" s="78"/>
      <c r="P54" s="78"/>
      <c r="S54" s="66"/>
      <c r="T54" s="67">
        <v>0.41</v>
      </c>
    </row>
  </sheetData>
  <mergeCells count="19">
    <mergeCell ref="A1:I1"/>
    <mergeCell ref="E2:F2"/>
    <mergeCell ref="G2:H2"/>
    <mergeCell ref="I2:J2"/>
    <mergeCell ref="K2:L2"/>
    <mergeCell ref="O2:P2"/>
    <mergeCell ref="O3:P3"/>
    <mergeCell ref="Q2:R2"/>
    <mergeCell ref="M3:N3"/>
    <mergeCell ref="M2:N2"/>
    <mergeCell ref="U3:V3"/>
    <mergeCell ref="Q3:R3"/>
    <mergeCell ref="S3:T3"/>
    <mergeCell ref="K50:N50"/>
    <mergeCell ref="D53:N54"/>
    <mergeCell ref="E3:F3"/>
    <mergeCell ref="G3:H3"/>
    <mergeCell ref="I3:J3"/>
    <mergeCell ref="K3:L3"/>
  </mergeCells>
  <phoneticPr fontId="10" type="noConversion"/>
  <pageMargins left="0.7" right="0.7" top="0.75" bottom="0.75" header="0.3" footer="0.3"/>
  <pageSetup scale="9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1A985-DB92-47E5-892D-4AF8AC117183}">
  <sheetPr>
    <tabColor rgb="FFA7C9D2"/>
  </sheetPr>
  <dimension ref="A1:V41"/>
  <sheetViews>
    <sheetView zoomScale="80" zoomScaleNormal="80" workbookViewId="0">
      <pane xSplit="4" ySplit="5" topLeftCell="K18" activePane="bottomRight" state="frozen"/>
      <selection activeCell="AC40" sqref="AC40"/>
      <selection pane="topRight" activeCell="AC40" sqref="AC40"/>
      <selection pane="bottomLeft" activeCell="AC40" sqref="AC40"/>
      <selection pane="bottomRight" activeCell="S22" sqref="S22"/>
    </sheetView>
  </sheetViews>
  <sheetFormatPr baseColWidth="10" defaultColWidth="11.5" defaultRowHeight="14" x14ac:dyDescent="0.2"/>
  <cols>
    <col min="1" max="2" width="11.5" style="10"/>
    <col min="3" max="3" width="38.5" style="1" customWidth="1"/>
    <col min="4" max="5" width="12.6640625" style="10" customWidth="1"/>
    <col min="6" max="6" width="10.6640625" style="10" customWidth="1"/>
    <col min="7" max="7" width="12.6640625" style="1" customWidth="1"/>
    <col min="8" max="8" width="10.6640625" style="1" customWidth="1"/>
    <col min="9" max="20" width="12.6640625" style="1" customWidth="1"/>
    <col min="21" max="16384" width="11.5" style="1"/>
  </cols>
  <sheetData>
    <row r="1" spans="1:22" ht="41.5" customHeight="1" x14ac:dyDescent="0.2">
      <c r="A1" s="313" t="s">
        <v>289</v>
      </c>
      <c r="B1" s="313"/>
      <c r="C1" s="313"/>
      <c r="D1" s="313"/>
      <c r="E1" s="313"/>
      <c r="F1" s="313"/>
      <c r="G1" s="313"/>
      <c r="H1" s="313"/>
      <c r="I1" s="313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</row>
    <row r="2" spans="1:22" ht="20" customHeight="1" x14ac:dyDescent="0.2">
      <c r="A2" s="2"/>
      <c r="B2" s="2"/>
      <c r="C2" s="3"/>
      <c r="D2" s="2"/>
      <c r="E2" s="311"/>
      <c r="F2" s="311"/>
      <c r="G2" s="311"/>
      <c r="H2" s="311"/>
      <c r="I2" s="311"/>
      <c r="J2" s="311"/>
      <c r="K2" s="311"/>
      <c r="L2" s="311"/>
      <c r="M2" s="117"/>
      <c r="N2" s="117"/>
      <c r="O2" s="117"/>
      <c r="P2" s="117"/>
      <c r="Q2" s="117"/>
      <c r="R2" s="117"/>
      <c r="S2" s="117"/>
      <c r="T2" s="117"/>
    </row>
    <row r="3" spans="1:22" ht="20" customHeight="1" x14ac:dyDescent="0.2">
      <c r="A3" s="2"/>
      <c r="B3" s="2"/>
      <c r="C3" s="3"/>
      <c r="D3" s="2"/>
      <c r="E3" s="310" t="s">
        <v>266</v>
      </c>
      <c r="F3" s="310"/>
      <c r="G3" s="310" t="s">
        <v>272</v>
      </c>
      <c r="H3" s="311"/>
      <c r="I3" s="310" t="s">
        <v>271</v>
      </c>
      <c r="J3" s="311"/>
      <c r="K3" s="310" t="s">
        <v>273</v>
      </c>
      <c r="L3" s="311"/>
      <c r="M3" s="310" t="s">
        <v>274</v>
      </c>
      <c r="N3" s="311"/>
      <c r="O3" s="310" t="s">
        <v>290</v>
      </c>
      <c r="P3" s="311"/>
      <c r="Q3" s="310" t="s">
        <v>291</v>
      </c>
      <c r="R3" s="311"/>
      <c r="S3" s="310"/>
      <c r="T3" s="310"/>
      <c r="U3" s="315"/>
      <c r="V3" s="315"/>
    </row>
    <row r="4" spans="1:22" ht="35" customHeight="1" x14ac:dyDescent="0.2">
      <c r="A4" s="2"/>
      <c r="B4" s="2" t="s">
        <v>88</v>
      </c>
      <c r="C4" s="2" t="s">
        <v>35</v>
      </c>
      <c r="D4" s="2" t="s">
        <v>15</v>
      </c>
      <c r="E4" s="312" t="s">
        <v>17</v>
      </c>
      <c r="F4" s="312"/>
      <c r="G4" s="312" t="s">
        <v>18</v>
      </c>
      <c r="H4" s="312"/>
      <c r="I4" s="312" t="s">
        <v>80</v>
      </c>
      <c r="J4" s="312"/>
      <c r="K4" s="312" t="s">
        <v>81</v>
      </c>
      <c r="L4" s="312"/>
      <c r="M4" s="312" t="s">
        <v>89</v>
      </c>
      <c r="N4" s="312"/>
      <c r="O4" s="312" t="s">
        <v>130</v>
      </c>
      <c r="P4" s="312"/>
      <c r="Q4" s="312" t="s">
        <v>131</v>
      </c>
      <c r="R4" s="312"/>
      <c r="S4" s="306" t="s">
        <v>292</v>
      </c>
      <c r="T4" s="306"/>
      <c r="U4" s="316"/>
      <c r="V4" s="316"/>
    </row>
    <row r="5" spans="1:22" ht="23" customHeight="1" x14ac:dyDescent="0.2">
      <c r="A5" s="43"/>
      <c r="B5" s="43"/>
      <c r="C5" s="43"/>
      <c r="D5" s="43"/>
      <c r="E5" s="44" t="s">
        <v>15</v>
      </c>
      <c r="F5" s="44" t="s">
        <v>16</v>
      </c>
      <c r="G5" s="44" t="s">
        <v>15</v>
      </c>
      <c r="H5" s="44" t="s">
        <v>16</v>
      </c>
      <c r="I5" s="44" t="s">
        <v>15</v>
      </c>
      <c r="J5" s="44" t="s">
        <v>16</v>
      </c>
      <c r="K5" s="44" t="s">
        <v>15</v>
      </c>
      <c r="L5" s="44" t="s">
        <v>16</v>
      </c>
      <c r="M5" s="44" t="s">
        <v>15</v>
      </c>
      <c r="N5" s="44" t="s">
        <v>16</v>
      </c>
      <c r="O5" s="44" t="s">
        <v>15</v>
      </c>
      <c r="P5" s="44" t="s">
        <v>16</v>
      </c>
      <c r="Q5" s="44" t="s">
        <v>15</v>
      </c>
      <c r="R5" s="44" t="s">
        <v>16</v>
      </c>
      <c r="S5" s="45" t="s">
        <v>15</v>
      </c>
      <c r="T5" s="45" t="s">
        <v>16</v>
      </c>
    </row>
    <row r="6" spans="1:22" ht="20" customHeight="1" x14ac:dyDescent="0.2">
      <c r="A6" s="8"/>
      <c r="B6" s="10">
        <v>5</v>
      </c>
      <c r="C6" s="1" t="s">
        <v>37</v>
      </c>
      <c r="D6" s="11">
        <v>28</v>
      </c>
      <c r="E6" s="11">
        <f t="shared" ref="E6:E11" si="0">D6*F6</f>
        <v>0</v>
      </c>
      <c r="F6" s="23">
        <v>0</v>
      </c>
      <c r="G6" s="11">
        <f>D6*H6</f>
        <v>0</v>
      </c>
      <c r="H6" s="23">
        <v>0</v>
      </c>
      <c r="I6" s="11">
        <f t="shared" ref="I6:I11" si="1">D6*J6</f>
        <v>0</v>
      </c>
      <c r="J6" s="23">
        <v>0</v>
      </c>
      <c r="K6" s="11">
        <f>D6*L6</f>
        <v>0</v>
      </c>
      <c r="L6" s="23">
        <v>0</v>
      </c>
      <c r="M6" s="11">
        <f>D6*N6</f>
        <v>0</v>
      </c>
      <c r="N6" s="23">
        <v>0</v>
      </c>
      <c r="O6" s="11">
        <f>D6*P6</f>
        <v>0</v>
      </c>
      <c r="P6" s="23">
        <v>0</v>
      </c>
      <c r="Q6" s="11">
        <f>H6*R6</f>
        <v>0</v>
      </c>
      <c r="R6" s="23">
        <v>0</v>
      </c>
      <c r="S6" s="46">
        <f>E6+G6+I6+K6+M6+O6+Q6</f>
        <v>0</v>
      </c>
      <c r="T6" s="47">
        <f t="shared" ref="T6:T20" si="2">S6/D6</f>
        <v>0</v>
      </c>
    </row>
    <row r="7" spans="1:22" ht="20" customHeight="1" x14ac:dyDescent="0.2">
      <c r="C7" s="1" t="s">
        <v>36</v>
      </c>
      <c r="D7" s="11">
        <v>63.4</v>
      </c>
      <c r="E7" s="11">
        <f t="shared" si="0"/>
        <v>0</v>
      </c>
      <c r="F7" s="23">
        <v>0</v>
      </c>
      <c r="G7" s="11">
        <f t="shared" ref="G7:G11" si="3">D7*H7</f>
        <v>0</v>
      </c>
      <c r="H7" s="23">
        <v>0</v>
      </c>
      <c r="I7" s="11">
        <f t="shared" si="1"/>
        <v>0</v>
      </c>
      <c r="J7" s="23">
        <v>0</v>
      </c>
      <c r="K7" s="11">
        <f t="shared" ref="K7:K11" si="4">D7*L7</f>
        <v>0</v>
      </c>
      <c r="L7" s="23">
        <v>0</v>
      </c>
      <c r="M7" s="11">
        <f t="shared" ref="M7:M20" si="5">D7*N7</f>
        <v>0</v>
      </c>
      <c r="N7" s="23">
        <v>0</v>
      </c>
      <c r="O7" s="11">
        <f t="shared" ref="O7:O20" si="6">D7*P7</f>
        <v>6.34</v>
      </c>
      <c r="P7" s="23">
        <v>0.1</v>
      </c>
      <c r="Q7" s="11">
        <f t="shared" ref="Q7:Q20" si="7">H7*R7</f>
        <v>0</v>
      </c>
      <c r="R7" s="23">
        <v>0</v>
      </c>
      <c r="S7" s="46">
        <f t="shared" ref="S7:S20" si="8">E7+G7+I7+K7+M7+O7+Q7</f>
        <v>6.34</v>
      </c>
      <c r="T7" s="47">
        <f t="shared" si="2"/>
        <v>0.1</v>
      </c>
    </row>
    <row r="8" spans="1:22" ht="20" customHeight="1" x14ac:dyDescent="0.2">
      <c r="C8" s="1" t="s">
        <v>38</v>
      </c>
      <c r="D8" s="11">
        <v>45</v>
      </c>
      <c r="E8" s="11">
        <f t="shared" si="0"/>
        <v>0</v>
      </c>
      <c r="F8" s="23">
        <v>0</v>
      </c>
      <c r="G8" s="11">
        <f t="shared" si="3"/>
        <v>0</v>
      </c>
      <c r="H8" s="23">
        <v>0</v>
      </c>
      <c r="I8" s="11">
        <f t="shared" si="1"/>
        <v>0</v>
      </c>
      <c r="J8" s="23">
        <v>0</v>
      </c>
      <c r="K8" s="11">
        <f t="shared" si="4"/>
        <v>0</v>
      </c>
      <c r="L8" s="23">
        <v>0</v>
      </c>
      <c r="M8" s="11">
        <f t="shared" si="5"/>
        <v>0</v>
      </c>
      <c r="N8" s="23">
        <v>0</v>
      </c>
      <c r="O8" s="11">
        <f t="shared" si="6"/>
        <v>4.5</v>
      </c>
      <c r="P8" s="23">
        <v>0.1</v>
      </c>
      <c r="Q8" s="11">
        <f t="shared" si="7"/>
        <v>0</v>
      </c>
      <c r="R8" s="23">
        <v>0</v>
      </c>
      <c r="S8" s="46">
        <f t="shared" si="8"/>
        <v>4.5</v>
      </c>
      <c r="T8" s="47">
        <f t="shared" si="2"/>
        <v>0.1</v>
      </c>
    </row>
    <row r="9" spans="1:22" ht="20" customHeight="1" x14ac:dyDescent="0.2">
      <c r="B9" s="10">
        <v>4</v>
      </c>
      <c r="C9" s="1" t="s">
        <v>37</v>
      </c>
      <c r="D9" s="11">
        <v>28</v>
      </c>
      <c r="E9" s="11">
        <f t="shared" si="0"/>
        <v>0</v>
      </c>
      <c r="F9" s="23">
        <v>0</v>
      </c>
      <c r="G9" s="11">
        <f t="shared" si="3"/>
        <v>0</v>
      </c>
      <c r="H9" s="23">
        <v>0</v>
      </c>
      <c r="I9" s="11">
        <f t="shared" si="1"/>
        <v>0</v>
      </c>
      <c r="J9" s="23">
        <v>0</v>
      </c>
      <c r="K9" s="11">
        <f t="shared" si="4"/>
        <v>0</v>
      </c>
      <c r="L9" s="23">
        <v>0</v>
      </c>
      <c r="M9" s="11">
        <f t="shared" si="5"/>
        <v>0</v>
      </c>
      <c r="N9" s="23">
        <v>0</v>
      </c>
      <c r="O9" s="11">
        <f t="shared" si="6"/>
        <v>0</v>
      </c>
      <c r="P9" s="23">
        <v>0</v>
      </c>
      <c r="Q9" s="11">
        <f t="shared" si="7"/>
        <v>0</v>
      </c>
      <c r="R9" s="23">
        <v>0</v>
      </c>
      <c r="S9" s="46">
        <f t="shared" si="8"/>
        <v>0</v>
      </c>
      <c r="T9" s="47">
        <f t="shared" si="2"/>
        <v>0</v>
      </c>
    </row>
    <row r="10" spans="1:22" ht="20" customHeight="1" x14ac:dyDescent="0.2">
      <c r="C10" s="1" t="s">
        <v>36</v>
      </c>
      <c r="D10" s="11">
        <v>63.4</v>
      </c>
      <c r="E10" s="11">
        <f t="shared" si="0"/>
        <v>0</v>
      </c>
      <c r="F10" s="23">
        <v>0</v>
      </c>
      <c r="G10" s="11">
        <f t="shared" si="3"/>
        <v>0</v>
      </c>
      <c r="H10" s="23">
        <v>0</v>
      </c>
      <c r="I10" s="11">
        <f t="shared" si="1"/>
        <v>0</v>
      </c>
      <c r="J10" s="23">
        <v>0</v>
      </c>
      <c r="K10" s="11">
        <f t="shared" si="4"/>
        <v>31.7</v>
      </c>
      <c r="L10" s="23">
        <v>0.5</v>
      </c>
      <c r="M10" s="11">
        <f t="shared" si="5"/>
        <v>31.7</v>
      </c>
      <c r="N10" s="23">
        <v>0.5</v>
      </c>
      <c r="O10" s="11">
        <f t="shared" si="6"/>
        <v>31.7</v>
      </c>
      <c r="P10" s="23">
        <v>0.5</v>
      </c>
      <c r="Q10" s="11">
        <f t="shared" si="7"/>
        <v>0</v>
      </c>
      <c r="R10" s="23">
        <v>0.5</v>
      </c>
      <c r="S10" s="46">
        <f t="shared" si="8"/>
        <v>95.1</v>
      </c>
      <c r="T10" s="47">
        <f t="shared" si="2"/>
        <v>1.5</v>
      </c>
    </row>
    <row r="11" spans="1:22" ht="20" customHeight="1" x14ac:dyDescent="0.2">
      <c r="C11" s="1" t="s">
        <v>38</v>
      </c>
      <c r="D11" s="11">
        <v>45</v>
      </c>
      <c r="E11" s="11">
        <f t="shared" si="0"/>
        <v>0</v>
      </c>
      <c r="F11" s="23">
        <v>0</v>
      </c>
      <c r="G11" s="11">
        <f t="shared" si="3"/>
        <v>0</v>
      </c>
      <c r="H11" s="23">
        <v>0</v>
      </c>
      <c r="I11" s="11">
        <f t="shared" si="1"/>
        <v>0</v>
      </c>
      <c r="J11" s="23">
        <v>0</v>
      </c>
      <c r="K11" s="11">
        <f t="shared" si="4"/>
        <v>22.5</v>
      </c>
      <c r="L11" s="23">
        <v>0.5</v>
      </c>
      <c r="M11" s="11">
        <f t="shared" si="5"/>
        <v>22.5</v>
      </c>
      <c r="N11" s="23">
        <v>0.5</v>
      </c>
      <c r="O11" s="11">
        <f t="shared" si="6"/>
        <v>22.5</v>
      </c>
      <c r="P11" s="23">
        <v>0.5</v>
      </c>
      <c r="Q11" s="11">
        <f t="shared" si="7"/>
        <v>0</v>
      </c>
      <c r="R11" s="23">
        <v>0.5</v>
      </c>
      <c r="S11" s="46">
        <f t="shared" si="8"/>
        <v>67.5</v>
      </c>
      <c r="T11" s="47">
        <f t="shared" si="2"/>
        <v>1.5</v>
      </c>
    </row>
    <row r="12" spans="1:22" ht="20" customHeight="1" x14ac:dyDescent="0.2">
      <c r="B12" s="10">
        <v>3</v>
      </c>
      <c r="C12" s="1" t="s">
        <v>37</v>
      </c>
      <c r="D12" s="11">
        <v>28</v>
      </c>
      <c r="E12" s="11">
        <f t="shared" ref="E12:E20" si="9">D12*F12</f>
        <v>0</v>
      </c>
      <c r="F12" s="23">
        <v>0</v>
      </c>
      <c r="G12" s="11">
        <f t="shared" ref="G12:G20" si="10">D12*H12</f>
        <v>14</v>
      </c>
      <c r="H12" s="23">
        <v>0.5</v>
      </c>
      <c r="I12" s="11">
        <f t="shared" ref="I12:I20" si="11">D12*J12</f>
        <v>0</v>
      </c>
      <c r="J12" s="23">
        <v>0</v>
      </c>
      <c r="K12" s="11">
        <f t="shared" ref="K12:K20" si="12">D12*L12</f>
        <v>0</v>
      </c>
      <c r="L12" s="23">
        <v>0</v>
      </c>
      <c r="M12" s="11">
        <f t="shared" si="5"/>
        <v>0</v>
      </c>
      <c r="N12" s="23">
        <v>0</v>
      </c>
      <c r="O12" s="11">
        <f t="shared" si="6"/>
        <v>0</v>
      </c>
      <c r="P12" s="23">
        <v>0</v>
      </c>
      <c r="Q12" s="11">
        <f t="shared" si="7"/>
        <v>0</v>
      </c>
      <c r="R12" s="23">
        <v>0</v>
      </c>
      <c r="S12" s="46">
        <f t="shared" si="8"/>
        <v>14</v>
      </c>
      <c r="T12" s="47">
        <f t="shared" si="2"/>
        <v>0.5</v>
      </c>
    </row>
    <row r="13" spans="1:22" ht="20" customHeight="1" x14ac:dyDescent="0.2">
      <c r="C13" s="1" t="s">
        <v>36</v>
      </c>
      <c r="D13" s="11">
        <v>63.4</v>
      </c>
      <c r="E13" s="11">
        <f t="shared" si="9"/>
        <v>0</v>
      </c>
      <c r="F13" s="23">
        <v>0</v>
      </c>
      <c r="G13" s="11">
        <f t="shared" si="10"/>
        <v>31.7</v>
      </c>
      <c r="H13" s="23">
        <v>0.5</v>
      </c>
      <c r="I13" s="11">
        <f t="shared" si="11"/>
        <v>0</v>
      </c>
      <c r="J13" s="23">
        <v>0</v>
      </c>
      <c r="K13" s="11">
        <f t="shared" si="12"/>
        <v>0</v>
      </c>
      <c r="L13" s="23">
        <v>0</v>
      </c>
      <c r="M13" s="11">
        <f t="shared" si="5"/>
        <v>63.4</v>
      </c>
      <c r="N13" s="23">
        <v>1</v>
      </c>
      <c r="O13" s="11">
        <f t="shared" si="6"/>
        <v>0</v>
      </c>
      <c r="P13" s="23">
        <v>0</v>
      </c>
      <c r="Q13" s="11">
        <f t="shared" si="7"/>
        <v>0</v>
      </c>
      <c r="R13" s="23">
        <v>0</v>
      </c>
      <c r="S13" s="46">
        <f t="shared" si="8"/>
        <v>95.1</v>
      </c>
      <c r="T13" s="47">
        <f t="shared" si="2"/>
        <v>1.5</v>
      </c>
    </row>
    <row r="14" spans="1:22" ht="20" customHeight="1" x14ac:dyDescent="0.2">
      <c r="C14" s="1" t="s">
        <v>38</v>
      </c>
      <c r="D14" s="11">
        <v>45</v>
      </c>
      <c r="E14" s="11">
        <f t="shared" si="9"/>
        <v>0</v>
      </c>
      <c r="F14" s="23">
        <v>0</v>
      </c>
      <c r="G14" s="11">
        <f t="shared" si="10"/>
        <v>22.5</v>
      </c>
      <c r="H14" s="23">
        <v>0.5</v>
      </c>
      <c r="I14" s="11">
        <f t="shared" si="11"/>
        <v>0</v>
      </c>
      <c r="J14" s="23">
        <v>0</v>
      </c>
      <c r="K14" s="11">
        <f t="shared" si="12"/>
        <v>0</v>
      </c>
      <c r="L14" s="23">
        <v>0</v>
      </c>
      <c r="M14" s="11">
        <f t="shared" si="5"/>
        <v>45</v>
      </c>
      <c r="N14" s="23">
        <v>1</v>
      </c>
      <c r="O14" s="11">
        <f t="shared" si="6"/>
        <v>0</v>
      </c>
      <c r="P14" s="23">
        <v>0</v>
      </c>
      <c r="Q14" s="11">
        <f t="shared" si="7"/>
        <v>0</v>
      </c>
      <c r="R14" s="23">
        <v>0</v>
      </c>
      <c r="S14" s="46">
        <f t="shared" si="8"/>
        <v>67.5</v>
      </c>
      <c r="T14" s="47">
        <f t="shared" si="2"/>
        <v>1.5</v>
      </c>
    </row>
    <row r="15" spans="1:22" ht="20" customHeight="1" x14ac:dyDescent="0.2">
      <c r="B15" s="10">
        <v>2</v>
      </c>
      <c r="C15" s="1" t="s">
        <v>37</v>
      </c>
      <c r="D15" s="11">
        <v>28</v>
      </c>
      <c r="E15" s="11">
        <f t="shared" si="9"/>
        <v>0</v>
      </c>
      <c r="F15" s="23">
        <v>0</v>
      </c>
      <c r="G15" s="11">
        <f t="shared" si="10"/>
        <v>0</v>
      </c>
      <c r="H15" s="23">
        <v>0</v>
      </c>
      <c r="I15" s="11">
        <f t="shared" si="11"/>
        <v>0</v>
      </c>
      <c r="J15" s="23">
        <v>0</v>
      </c>
      <c r="K15" s="11">
        <f t="shared" si="12"/>
        <v>0</v>
      </c>
      <c r="L15" s="23">
        <v>0</v>
      </c>
      <c r="M15" s="11">
        <f t="shared" si="5"/>
        <v>0</v>
      </c>
      <c r="N15" s="23">
        <v>0</v>
      </c>
      <c r="O15" s="11">
        <f t="shared" si="6"/>
        <v>0</v>
      </c>
      <c r="P15" s="23">
        <v>0</v>
      </c>
      <c r="Q15" s="11">
        <f t="shared" si="7"/>
        <v>0</v>
      </c>
      <c r="R15" s="23">
        <v>0</v>
      </c>
      <c r="S15" s="46">
        <f t="shared" si="8"/>
        <v>0</v>
      </c>
      <c r="T15" s="47">
        <f t="shared" si="2"/>
        <v>0</v>
      </c>
    </row>
    <row r="16" spans="1:22" ht="20" customHeight="1" x14ac:dyDescent="0.2">
      <c r="C16" s="1" t="s">
        <v>36</v>
      </c>
      <c r="D16" s="11">
        <v>63.4</v>
      </c>
      <c r="E16" s="11">
        <f t="shared" si="9"/>
        <v>0</v>
      </c>
      <c r="F16" s="23">
        <v>0</v>
      </c>
      <c r="G16" s="11">
        <f t="shared" si="10"/>
        <v>0</v>
      </c>
      <c r="H16" s="23">
        <v>0</v>
      </c>
      <c r="I16" s="11">
        <f t="shared" si="11"/>
        <v>0</v>
      </c>
      <c r="J16" s="23">
        <v>0</v>
      </c>
      <c r="K16" s="11">
        <f t="shared" si="12"/>
        <v>0</v>
      </c>
      <c r="L16" s="23">
        <v>0</v>
      </c>
      <c r="M16" s="11">
        <f t="shared" si="5"/>
        <v>0</v>
      </c>
      <c r="N16" s="23">
        <v>0</v>
      </c>
      <c r="O16" s="11">
        <f t="shared" si="6"/>
        <v>63.4</v>
      </c>
      <c r="P16" s="23">
        <v>1</v>
      </c>
      <c r="Q16" s="11">
        <f t="shared" si="7"/>
        <v>0</v>
      </c>
      <c r="R16" s="23">
        <v>0</v>
      </c>
      <c r="S16" s="46">
        <f t="shared" si="8"/>
        <v>63.4</v>
      </c>
      <c r="T16" s="47">
        <f t="shared" si="2"/>
        <v>1</v>
      </c>
    </row>
    <row r="17" spans="1:22" ht="20" customHeight="1" x14ac:dyDescent="0.2">
      <c r="C17" s="1" t="s">
        <v>38</v>
      </c>
      <c r="D17" s="11">
        <v>45</v>
      </c>
      <c r="E17" s="11">
        <f t="shared" si="9"/>
        <v>0</v>
      </c>
      <c r="F17" s="23">
        <v>0</v>
      </c>
      <c r="G17" s="11">
        <f t="shared" si="10"/>
        <v>0</v>
      </c>
      <c r="H17" s="23">
        <v>0</v>
      </c>
      <c r="I17" s="11">
        <f t="shared" si="11"/>
        <v>0</v>
      </c>
      <c r="J17" s="23">
        <v>0</v>
      </c>
      <c r="K17" s="11">
        <f t="shared" si="12"/>
        <v>0</v>
      </c>
      <c r="L17" s="23">
        <v>0</v>
      </c>
      <c r="M17" s="11">
        <f t="shared" si="5"/>
        <v>0</v>
      </c>
      <c r="N17" s="23">
        <v>0</v>
      </c>
      <c r="O17" s="11">
        <f t="shared" si="6"/>
        <v>45</v>
      </c>
      <c r="P17" s="23">
        <v>1</v>
      </c>
      <c r="Q17" s="11">
        <f t="shared" si="7"/>
        <v>0</v>
      </c>
      <c r="R17" s="23">
        <v>0</v>
      </c>
      <c r="S17" s="46">
        <f t="shared" si="8"/>
        <v>45</v>
      </c>
      <c r="T17" s="47">
        <f t="shared" si="2"/>
        <v>1</v>
      </c>
    </row>
    <row r="18" spans="1:22" ht="20" customHeight="1" x14ac:dyDescent="0.2">
      <c r="B18" s="10">
        <v>1</v>
      </c>
      <c r="C18" s="1" t="s">
        <v>37</v>
      </c>
      <c r="D18" s="11">
        <v>13</v>
      </c>
      <c r="E18" s="11">
        <f t="shared" si="9"/>
        <v>0</v>
      </c>
      <c r="F18" s="23">
        <v>0</v>
      </c>
      <c r="G18" s="11">
        <f t="shared" si="10"/>
        <v>0</v>
      </c>
      <c r="H18" s="23">
        <v>0</v>
      </c>
      <c r="I18" s="11">
        <f t="shared" si="11"/>
        <v>0</v>
      </c>
      <c r="J18" s="23">
        <v>0</v>
      </c>
      <c r="K18" s="11">
        <f t="shared" si="12"/>
        <v>0</v>
      </c>
      <c r="L18" s="23">
        <v>0</v>
      </c>
      <c r="M18" s="11">
        <f t="shared" si="5"/>
        <v>0</v>
      </c>
      <c r="N18" s="23">
        <v>0</v>
      </c>
      <c r="O18" s="11">
        <f t="shared" si="6"/>
        <v>0</v>
      </c>
      <c r="P18" s="23">
        <v>0</v>
      </c>
      <c r="Q18" s="11">
        <f t="shared" si="7"/>
        <v>0</v>
      </c>
      <c r="R18" s="23">
        <v>0</v>
      </c>
      <c r="S18" s="46">
        <f t="shared" si="8"/>
        <v>0</v>
      </c>
      <c r="T18" s="47">
        <f t="shared" si="2"/>
        <v>0</v>
      </c>
    </row>
    <row r="19" spans="1:22" ht="20" customHeight="1" x14ac:dyDescent="0.2">
      <c r="C19" s="1" t="s">
        <v>36</v>
      </c>
      <c r="D19" s="11">
        <v>73.599999999999994</v>
      </c>
      <c r="E19" s="11">
        <f t="shared" si="9"/>
        <v>0</v>
      </c>
      <c r="F19" s="23">
        <v>0</v>
      </c>
      <c r="G19" s="11">
        <f t="shared" si="10"/>
        <v>0</v>
      </c>
      <c r="H19" s="23">
        <v>0</v>
      </c>
      <c r="I19" s="11">
        <f t="shared" si="11"/>
        <v>0</v>
      </c>
      <c r="J19" s="23">
        <v>0</v>
      </c>
      <c r="K19" s="11">
        <f t="shared" si="12"/>
        <v>0</v>
      </c>
      <c r="L19" s="23">
        <v>0</v>
      </c>
      <c r="M19" s="11">
        <f t="shared" si="5"/>
        <v>0</v>
      </c>
      <c r="N19" s="23">
        <v>0</v>
      </c>
      <c r="O19" s="11">
        <f t="shared" si="6"/>
        <v>18.399999999999999</v>
      </c>
      <c r="P19" s="23">
        <v>0.25</v>
      </c>
      <c r="Q19" s="11">
        <f t="shared" si="7"/>
        <v>0</v>
      </c>
      <c r="R19" s="23">
        <v>0.75</v>
      </c>
      <c r="S19" s="46">
        <f t="shared" si="8"/>
        <v>18.399999999999999</v>
      </c>
      <c r="T19" s="47">
        <f t="shared" si="2"/>
        <v>0.25</v>
      </c>
    </row>
    <row r="20" spans="1:22" ht="20" customHeight="1" x14ac:dyDescent="0.2">
      <c r="C20" s="1" t="s">
        <v>38</v>
      </c>
      <c r="D20" s="11">
        <v>87.3</v>
      </c>
      <c r="E20" s="11">
        <f t="shared" si="9"/>
        <v>0</v>
      </c>
      <c r="F20" s="23">
        <v>0</v>
      </c>
      <c r="G20" s="11">
        <f t="shared" si="10"/>
        <v>0</v>
      </c>
      <c r="H20" s="23">
        <v>0</v>
      </c>
      <c r="I20" s="11">
        <f t="shared" si="11"/>
        <v>0</v>
      </c>
      <c r="J20" s="23">
        <v>0</v>
      </c>
      <c r="K20" s="11">
        <f t="shared" si="12"/>
        <v>0</v>
      </c>
      <c r="L20" s="23">
        <v>0</v>
      </c>
      <c r="M20" s="11">
        <f t="shared" si="5"/>
        <v>0</v>
      </c>
      <c r="N20" s="23">
        <v>0</v>
      </c>
      <c r="O20" s="11">
        <f t="shared" si="6"/>
        <v>0</v>
      </c>
      <c r="P20" s="23">
        <v>0</v>
      </c>
      <c r="Q20" s="11">
        <f t="shared" si="7"/>
        <v>0</v>
      </c>
      <c r="R20" s="23">
        <v>1</v>
      </c>
      <c r="S20" s="46">
        <f t="shared" si="8"/>
        <v>0</v>
      </c>
      <c r="T20" s="47">
        <f t="shared" si="2"/>
        <v>0</v>
      </c>
    </row>
    <row r="21" spans="1:22" ht="20" customHeight="1" x14ac:dyDescent="0.2">
      <c r="A21" s="26" t="e">
        <f>#REF!*2</f>
        <v>#REF!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48"/>
      <c r="T21" s="48"/>
    </row>
    <row r="22" spans="1:22" ht="20" customHeight="1" x14ac:dyDescent="0.2">
      <c r="C22" s="3" t="s">
        <v>40</v>
      </c>
      <c r="D22" s="17">
        <f>SUM(D6:D20)</f>
        <v>719.49999999999989</v>
      </c>
      <c r="E22" s="49">
        <f>SUM(E6:E20)</f>
        <v>0</v>
      </c>
      <c r="F22" s="50">
        <f>E22/D22</f>
        <v>0</v>
      </c>
      <c r="G22" s="49">
        <f>SUM(G6:G20)</f>
        <v>68.2</v>
      </c>
      <c r="H22" s="50">
        <f>G22/D22</f>
        <v>9.4788047255038241E-2</v>
      </c>
      <c r="I22" s="49">
        <f>SUM(I6:I20)</f>
        <v>0</v>
      </c>
      <c r="J22" s="50">
        <f>I22/D22</f>
        <v>0</v>
      </c>
      <c r="K22" s="49">
        <f>SUM(K6:K20)</f>
        <v>54.2</v>
      </c>
      <c r="L22" s="50">
        <f>K22/D22</f>
        <v>7.5330090340514258E-2</v>
      </c>
      <c r="M22" s="49">
        <f>SUM(M6:M20)</f>
        <v>162.6</v>
      </c>
      <c r="N22" s="50">
        <f>M22/D22</f>
        <v>0.22599027102154276</v>
      </c>
      <c r="O22" s="49">
        <f>SUM(O6:O20)</f>
        <v>191.84</v>
      </c>
      <c r="P22" s="50">
        <f>O22/D22</f>
        <v>0.2666296038915914</v>
      </c>
      <c r="Q22" s="49">
        <f>SUM(Q6:Q20)</f>
        <v>0</v>
      </c>
      <c r="R22" s="50">
        <f>Q22/H22</f>
        <v>0</v>
      </c>
      <c r="S22" s="17">
        <f>SUM(S6:S20)</f>
        <v>476.83999999999992</v>
      </c>
      <c r="T22" s="51">
        <f>S22/D22</f>
        <v>0.66273801250868658</v>
      </c>
      <c r="V22" s="7">
        <v>1554.8320000000001</v>
      </c>
    </row>
    <row r="23" spans="1:22" ht="20" customHeight="1" x14ac:dyDescent="0.2">
      <c r="C23" s="25"/>
      <c r="D23" s="29"/>
      <c r="S23" s="52">
        <f>D22-S22</f>
        <v>242.65999999999997</v>
      </c>
      <c r="T23" s="53">
        <f>S23/D22</f>
        <v>0.33726198749131342</v>
      </c>
      <c r="V23" s="1">
        <v>582.6880000000001</v>
      </c>
    </row>
    <row r="24" spans="1:22" ht="20" customHeight="1" x14ac:dyDescent="0.2">
      <c r="C24" s="25"/>
      <c r="D24" s="28"/>
      <c r="E24" s="21"/>
      <c r="F24" s="21"/>
      <c r="G24" s="24"/>
      <c r="H24" s="10"/>
      <c r="I24" s="24"/>
      <c r="J24" s="11"/>
      <c r="K24" s="10"/>
      <c r="L24" s="10"/>
      <c r="M24" s="10"/>
      <c r="N24" s="10"/>
      <c r="O24" s="10"/>
      <c r="P24" s="10"/>
      <c r="Q24" s="10"/>
      <c r="R24" s="10"/>
      <c r="S24" s="10"/>
      <c r="T24" s="10"/>
      <c r="V24" s="7">
        <f>SUM(V22:V23)</f>
        <v>2137.5200000000004</v>
      </c>
    </row>
    <row r="25" spans="1:22" ht="20" customHeight="1" x14ac:dyDescent="0.2">
      <c r="C25" s="27"/>
      <c r="D25" s="26"/>
      <c r="E25" s="11"/>
      <c r="F25" s="11"/>
      <c r="G25" s="11"/>
      <c r="I25" s="11"/>
    </row>
    <row r="26" spans="1:22" ht="20" customHeight="1" x14ac:dyDescent="0.2">
      <c r="C26" s="314" t="s">
        <v>129</v>
      </c>
      <c r="D26" s="314"/>
      <c r="E26" s="314"/>
      <c r="F26" s="314"/>
      <c r="G26" s="314"/>
      <c r="H26" s="314"/>
      <c r="I26" s="314"/>
      <c r="J26" s="314"/>
      <c r="K26" s="314"/>
      <c r="L26" s="314"/>
      <c r="M26" s="118"/>
      <c r="N26" s="118"/>
      <c r="O26" s="118"/>
      <c r="P26" s="118"/>
      <c r="Q26" s="118"/>
      <c r="R26" s="118"/>
    </row>
    <row r="27" spans="1:22" ht="20" customHeight="1" x14ac:dyDescent="0.2">
      <c r="C27" s="314"/>
      <c r="D27" s="314"/>
      <c r="E27" s="314"/>
      <c r="F27" s="314"/>
      <c r="G27" s="314"/>
      <c r="H27" s="314"/>
      <c r="I27" s="314"/>
      <c r="J27" s="314"/>
      <c r="K27" s="314"/>
      <c r="L27" s="314"/>
      <c r="M27" s="118"/>
      <c r="N27" s="118"/>
      <c r="O27" s="118"/>
      <c r="P27" s="118"/>
      <c r="Q27" s="118"/>
      <c r="R27" s="118"/>
    </row>
    <row r="28" spans="1:22" ht="20" customHeight="1" x14ac:dyDescent="0.2"/>
    <row r="29" spans="1:22" ht="20" customHeight="1" x14ac:dyDescent="0.2">
      <c r="C29" s="25"/>
      <c r="D29" s="28"/>
      <c r="E29" s="21"/>
      <c r="F29" s="21"/>
      <c r="G29" s="24"/>
      <c r="H29" s="10"/>
      <c r="I29" s="24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</row>
    <row r="30" spans="1:22" ht="50" customHeight="1" x14ac:dyDescent="0.2">
      <c r="C30" s="79" t="s">
        <v>107</v>
      </c>
      <c r="D30" s="11">
        <f>S22*E30</f>
        <v>286.10399999999993</v>
      </c>
      <c r="E30" s="23">
        <v>0.6</v>
      </c>
      <c r="F30" s="11"/>
      <c r="G30" s="11"/>
      <c r="I30" s="11"/>
    </row>
    <row r="31" spans="1:22" ht="50" customHeight="1" x14ac:dyDescent="0.2">
      <c r="C31" s="68" t="s">
        <v>108</v>
      </c>
      <c r="D31" s="11">
        <f>S22*E31</f>
        <v>190.73599999999999</v>
      </c>
      <c r="E31" s="23">
        <v>0.4</v>
      </c>
    </row>
    <row r="32" spans="1:22" ht="20" customHeight="1" x14ac:dyDescent="0.2">
      <c r="C32" s="25"/>
    </row>
    <row r="33" ht="20" customHeight="1" x14ac:dyDescent="0.2"/>
    <row r="34" ht="20" customHeight="1" x14ac:dyDescent="0.2"/>
    <row r="35" ht="20" customHeight="1" x14ac:dyDescent="0.2"/>
    <row r="36" ht="20" customHeight="1" x14ac:dyDescent="0.2"/>
    <row r="37" ht="20" customHeight="1" x14ac:dyDescent="0.2"/>
    <row r="38" ht="20" customHeight="1" x14ac:dyDescent="0.2"/>
    <row r="39" ht="20" customHeight="1" x14ac:dyDescent="0.2"/>
    <row r="40" ht="20" customHeight="1" x14ac:dyDescent="0.2"/>
    <row r="41" ht="20" customHeight="1" x14ac:dyDescent="0.2"/>
  </sheetData>
  <mergeCells count="21">
    <mergeCell ref="S3:T3"/>
    <mergeCell ref="U3:V3"/>
    <mergeCell ref="U4:V4"/>
    <mergeCell ref="O3:P3"/>
    <mergeCell ref="O4:P4"/>
    <mergeCell ref="Q3:R3"/>
    <mergeCell ref="Q4:R4"/>
    <mergeCell ref="M3:N3"/>
    <mergeCell ref="A1:I1"/>
    <mergeCell ref="E2:L2"/>
    <mergeCell ref="E3:F3"/>
    <mergeCell ref="G3:H3"/>
    <mergeCell ref="I3:J3"/>
    <mergeCell ref="K3:L3"/>
    <mergeCell ref="C26:L27"/>
    <mergeCell ref="S4:T4"/>
    <mergeCell ref="E4:F4"/>
    <mergeCell ref="G4:H4"/>
    <mergeCell ref="I4:J4"/>
    <mergeCell ref="K4:L4"/>
    <mergeCell ref="M4:N4"/>
  </mergeCells>
  <phoneticPr fontId="10" type="noConversion"/>
  <pageMargins left="0.7" right="0.7" top="0.75" bottom="0.75" header="0.3" footer="0.3"/>
  <pageSetup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acta 01 nov 5 2025</vt:lpstr>
      <vt:lpstr>acta 02 dic 15 2025</vt:lpstr>
      <vt:lpstr>acta 03 enero 21 2026</vt:lpstr>
      <vt:lpstr>Estado de la Obra</vt:lpstr>
      <vt:lpstr>CO</vt:lpstr>
      <vt:lpstr>CO SIF</vt:lpstr>
      <vt:lpstr>CO SIF 2</vt:lpstr>
      <vt:lpstr>Lavado</vt:lpstr>
      <vt:lpstr>Sellos</vt:lpstr>
      <vt:lpstr>Sicoplast</vt:lpstr>
      <vt:lpstr>Pintura</vt:lpstr>
      <vt:lpstr>Pasillos</vt:lpstr>
      <vt:lpstr>'Estado de la Obra'!Área_de_impresión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 PC</dc:creator>
  <cp:lastModifiedBy>Renso Montoya Upegui</cp:lastModifiedBy>
  <cp:lastPrinted>2025-12-05T20:31:54Z</cp:lastPrinted>
  <dcterms:created xsi:type="dcterms:W3CDTF">2025-05-03T16:00:03Z</dcterms:created>
  <dcterms:modified xsi:type="dcterms:W3CDTF">2026-03-06T18:20:25Z</dcterms:modified>
</cp:coreProperties>
</file>