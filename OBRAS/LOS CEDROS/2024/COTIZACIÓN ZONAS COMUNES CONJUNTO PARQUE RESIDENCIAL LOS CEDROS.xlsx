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Downloads\"/>
    </mc:Choice>
  </mc:AlternateContent>
  <xr:revisionPtr revIDLastSave="0" documentId="13_ncr:1_{EF19CA81-4492-463F-964E-F2013ADE6074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3" i="1"/>
  <c r="G21" i="1" l="1"/>
  <c r="G14" i="1"/>
  <c r="G15" i="1"/>
  <c r="G16" i="1"/>
  <c r="G17" i="1"/>
  <c r="G18" i="1"/>
  <c r="G10" i="1"/>
  <c r="G11" i="1"/>
  <c r="G9" i="1"/>
  <c r="G7" i="1"/>
  <c r="G6" i="1" s="1"/>
  <c r="G12" i="1" l="1"/>
  <c r="G8" i="1"/>
  <c r="G20" i="1"/>
  <c r="G22" i="1" l="1"/>
  <c r="G23" i="1" s="1"/>
  <c r="G24" i="1" l="1"/>
  <c r="G25" i="1"/>
  <c r="G26" i="1" s="1"/>
  <c r="G27" i="1" l="1"/>
  <c r="G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<sst xmlns="http://schemas.openxmlformats.org/spreadsheetml/2006/main" count="66" uniqueCount="57">
  <si>
    <t>CAPT</t>
  </si>
  <si>
    <t>ITEMS</t>
  </si>
  <si>
    <t>GL</t>
  </si>
  <si>
    <t>M2</t>
  </si>
  <si>
    <t>ML</t>
  </si>
  <si>
    <t>IVA/U</t>
  </si>
  <si>
    <t>DESCRIPCION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</si>
  <si>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</si>
  <si>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</si>
  <si>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</si>
  <si>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</si>
  <si>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</si>
  <si>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</si>
  <si>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</si>
  <si>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</si>
  <si>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</si>
  <si>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</si>
  <si>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</si>
  <si>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</si>
  <si>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TELEFONO:</t>
  </si>
  <si>
    <t>+57 310 461 7353</t>
  </si>
  <si>
    <t>UNIDAD</t>
  </si>
  <si>
    <t>CANTIDAD</t>
  </si>
  <si>
    <t>VR UNITARIO</t>
  </si>
  <si>
    <t>VALOR DIRECTO ACTIVIDAD</t>
  </si>
  <si>
    <t>PREPARACION DE LA SUPERFICIE</t>
  </si>
  <si>
    <t>Lavado de todas las superficies a intervenir, fachadas frontales, laterales y posteriores, alfajias y demas. Con una solucion de agua, bactericidas (10% del volumen de agua) e hipoclorito (10% del volumen de agua), haciendo uso de equipos a presion</t>
  </si>
  <si>
    <t>REPARACION Y PREPARACION DE LA SUPERFICIE</t>
  </si>
  <si>
    <t>retiro de revoque quemado y en mal estado y reparacion del mismo con estuka pañete de sika, se estima el 1%</t>
  </si>
  <si>
    <t>Retiro de graniplast suelto, apertura de grietas, y demas elementos que requieran ser retirados para la garantizar un buen acabado en la superficie y evitar humedades futuras. Se estima 2% desprendimientos</t>
  </si>
  <si>
    <t>ACABADO Y PINTURA</t>
  </si>
  <si>
    <t>suministro y aplicación de pintura koraza Pro 550 sobre todas las caras de las fachadas en graniplast o liso incluyendo balcones, a dos manos, o hasta garantizar un perfecto recubrimiento. incluye filos y demas. acabado de 2 a 3 colores segun propuestas.</t>
  </si>
  <si>
    <t>TERMINADO Y LIMPIEZA</t>
  </si>
  <si>
    <t>Aseo general, retiro de sobrantes, escombros y demas, hacia un sitio fuera de la obra y dispuesto legalmente por el municipio . Incluye limpieza de esporas o chorreaderos de pintura, graniplast y materiales usados en obra.</t>
  </si>
  <si>
    <t>suministro y aplicación de graniplast de pintuco, manteniendo el texturizado de las zonas existentes, Incluyendo base de acronal de altos solidos y tratamiento de dilataciones estructurales con sikaflex 1A. Se estima 2% del total, para todas las areas sociales (sauna, gymnasio y porteria)</t>
  </si>
  <si>
    <t>suministro y aplicación de pintura Viniltex de pintuco, en paredes internas de areas sociales y demas, incluidos los cielo rasos, haciendo resanes de estuco o reparacion de cielo raso donde se requiera. Para areas de gimnasio, zona humedad, sauna, motobomba y porteria</t>
  </si>
  <si>
    <t>suministro y aplicación de pintura Viniltex de pintuco, sobre graniplast en areas internas de las zonas sociales (gimnasio)</t>
  </si>
  <si>
    <t>Sello de juntas entre ventanas y muros con sikaflex 1A, incluyendo el retiro de sellos existentes y en mal estado. Aplica para puertas, ventanas. En areas de porteria, gimnasio y sauna</t>
  </si>
  <si>
    <t>Rectificada de sello de ventanas y puertas con sikasil E, retirando sellos viejos y deteriorados, para evitar filtraciones a la parte interna de las areas comunes de porteria, gimnasio y sauna, incluye limpieza total de vidrios</t>
  </si>
  <si>
    <t>Suministro y aplicación de pintura para barandas metalicas en area de gimnasio, pasillos, cuarto de acueducto, area de piscina y demas, Con pintura de aceite Pintulux 3 en 1 (Pintuco). incluye lijado de toda la superficie y reparacion de partes oxidades o corroidas donde se requiera.</t>
  </si>
  <si>
    <t>sello perimetral del enchape en terraza de gimnasio con sikaceram boquilla o sikaflex 1A según condiciones encontradas para evitar la humedad en la parte baja</t>
  </si>
  <si>
    <t>DESCRIPCIÓN TECNICA</t>
  </si>
  <si>
    <t>Se removeran revoques quemados o en mal estado, se realizara analisis con el fin de conservar la armonia del color y buena estetica del paño</t>
  </si>
  <si>
    <t>Se removera graniplast en mal estado, se realizara analisis con el fin de conservar la armonia del color y buena estetica del paño</t>
  </si>
  <si>
    <t>Suministro y aplicación de koraza pro 550 a 2 manos respetando ficha tecnica del fabricante, en el perimetro externo de las torres. En colores a eleccion del contratante</t>
  </si>
  <si>
    <t>Limpieza general con productos no dañinos para los elementos a limpiar, la obra quedara libre de escombros y basura resultante de las actividades propias del contrato, se dispondran en un sitio dispuesto legalmente para la disposición de estos elementos.</t>
  </si>
  <si>
    <t>Lavado con hidrolavadora industrial y una disolucion de hipoclorito al 10%, esto incluye la totalidad de las superficies</t>
  </si>
  <si>
    <t>Suministro y aplicación de Viniltex Pintuco o similar en ficha tecnica en el area perimetral interna, en porteria, gimnasio y sauna</t>
  </si>
  <si>
    <t>Remoción de texturas desprendidas y suministro y aplicación de Viniltex Pintuco o similar en ficha tecnica en el area perimetral interna, incluyendo cielos. En gimnasio, zona humeda, motobomba y porteria.</t>
  </si>
  <si>
    <t>Suministro y aplicación de Pintulux 3 en 1 en barandas metalicas de gimasio, pasillos, cuarto de acuedtuco, areas de piscina, etc. Previa preparación de superficie y eliminación de oxido con Corrotec Pintoxido de Pintuco.</t>
  </si>
  <si>
    <t>Se suministrara y aplicara graniplast tipo premium de pintuco aplicando imprimación con Acronal con alto volumen de solidos, suministro y aplicación de sello tipo Sikaflex 1A o similar en ficha tecnica.</t>
  </si>
  <si>
    <t>Se realizara el retiro y reposición de sellos de ventaneria en el perimetro externo de las mismas, incluyendo puertas de balcones, Sello de polimero hibrido tipo Sikaflex 1A o similar en ficha tecnica.</t>
  </si>
  <si>
    <t>Se realizara el retiro y reposición de sellos de ventaneria en el perimetro interno de las mismas, incluyendo puertas de balcones, Sello de polimero hibrido tipo Sikaflex 1A o similar en ficha tecnica.</t>
  </si>
  <si>
    <t>Suministro y aplicación de sellante Sikaflex 1A o similar en ficha tecnica o boquilla Sikaceram Boquilla o similar en ficha tecnica en la zona perimetral de terraza de gimnasio con el fin de evitar filtraciones hacia la parte baja</t>
  </si>
  <si>
    <t xml:space="preserve">  FECHA: 1/11/2024</t>
  </si>
  <si>
    <t xml:space="preserve">  VALIDO HASTA: 1/01/2025</t>
  </si>
  <si>
    <t>COTIZACION ZONAS COMUNES  - CONJUNTO PARQUE RESIDENCIAL LOS CEDROS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</si>
</sst>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43" fontId="5" fillId="0" borderId="6" xfId="1" applyFont="1" applyFill="1" applyBorder="1" applyAlignment="1">
      <alignment vertical="center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43" fontId="5" fillId="0" borderId="3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lef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zoomScale="82" zoomScaleNormal="82" workbookViewId="0">
      <selection activeCell="H4" sqref="H4"/>
    </sheetView>
  </sheetViews>
  <sheetFormatPr baseColWidth="10" defaultColWidth="12.33203125" defaultRowHeight="13.8" x14ac:dyDescent="0.3"/>
  <cols>
    <col min="1" max="1" width="9.88671875" style="2" customWidth="1"/>
    <col min="2" max="2" width="10.77734375" style="1" customWidth="1"/>
    <col min="3" max="3" width="71.33203125" style="1" customWidth="1"/>
    <col min="4" max="4" width="25.6640625" style="1" customWidth="1"/>
    <col min="5" max="5" width="21" style="1" customWidth="1"/>
    <col min="6" max="6" width="19.88671875" style="1" customWidth="1"/>
    <col min="7" max="7" width="24.21875" style="1" customWidth="1"/>
    <col min="8" max="8" width="51.77734375" style="1" customWidth="1"/>
    <col min="9" max="9" width="41" style="1" bestFit="1" customWidth="1"/>
    <col min="10" max="16384" width="12.33203125" style="1"/>
  </cols>
  <sheetData>
    <row r="1" spans="1:8" ht="33" customHeight="1" x14ac:dyDescent="0.3">
      <c r="A1" s="42" t="s">
        <v>56</v>
      </c>
      <c r="B1" s="43"/>
      <c r="C1" s="43"/>
      <c r="D1" s="43"/>
      <c r="E1" s="43"/>
      <c r="F1" s="43"/>
      <c r="G1" s="44"/>
    </row>
    <row r="2" spans="1:8" ht="34.799999999999997" customHeight="1" x14ac:dyDescent="0.3">
      <c r="A2" s="45" t="s">
        <v>13</v>
      </c>
      <c r="B2" s="45"/>
      <c r="C2" s="4" t="s">
        <v>14</v>
      </c>
      <c r="D2" s="4" t="s">
        <v>15</v>
      </c>
      <c r="E2" s="4" t="s">
        <v>16</v>
      </c>
      <c r="F2" s="46" t="e" vm="1">
        <v>#VALUE!</v>
      </c>
      <c r="G2" s="47"/>
    </row>
    <row r="3" spans="1:8" ht="45.6" customHeight="1" x14ac:dyDescent="0.3">
      <c r="A3" s="45" t="s">
        <v>17</v>
      </c>
      <c r="B3" s="45"/>
      <c r="C3" s="3" t="s">
        <v>18</v>
      </c>
      <c r="D3" s="45" t="s">
        <v>54</v>
      </c>
      <c r="E3" s="45"/>
      <c r="F3" s="48"/>
      <c r="G3" s="49"/>
      <c r="H3"/>
    </row>
    <row r="4" spans="1:8" ht="24.6" customHeight="1" x14ac:dyDescent="0.3">
      <c r="A4" s="41" t="s">
        <v>19</v>
      </c>
      <c r="B4" s="41"/>
      <c r="C4" s="4" t="s">
        <v>20</v>
      </c>
      <c r="D4" s="41" t="s">
        <v>55</v>
      </c>
      <c r="E4" s="41"/>
      <c r="F4" s="50"/>
      <c r="G4" s="51"/>
      <c r="H4"/>
    </row>
    <row r="5" spans="1:8" ht="30" x14ac:dyDescent="0.3">
      <c r="A5" s="34" t="s">
        <v>0</v>
      </c>
      <c r="B5" s="35" t="s">
        <v>1</v>
      </c>
      <c r="C5" s="35" t="s">
        <v>6</v>
      </c>
      <c r="D5" s="35" t="s">
        <v>21</v>
      </c>
      <c r="E5" s="34" t="s">
        <v>22</v>
      </c>
      <c r="F5" s="35" t="s">
        <v>23</v>
      </c>
      <c r="G5" s="34" t="s">
        <v>24</v>
      </c>
      <c r="H5"/>
    </row>
    <row r="6" spans="1:8" ht="18.600000000000001" customHeight="1" x14ac:dyDescent="0.3">
      <c r="A6" s="5">
        <v>1</v>
      </c>
      <c r="B6" s="11"/>
      <c r="C6" s="6" t="s">
        <v>25</v>
      </c>
      <c r="D6" s="6"/>
      <c r="E6" s="12"/>
      <c r="F6" s="6"/>
      <c r="G6" s="7">
        <f>SUM(G7:G7)</f>
        <v>1320160</v>
      </c>
      <c r="H6" s="36" t="s">
        <v>41</v>
      </c>
    </row>
    <row r="7" spans="1:8" ht="75" x14ac:dyDescent="0.3">
      <c r="A7" s="13"/>
      <c r="B7" s="14">
        <v>1.1000000000000001</v>
      </c>
      <c r="C7" s="15" t="s">
        <v>26</v>
      </c>
      <c r="D7" s="14" t="s">
        <v>3</v>
      </c>
      <c r="E7" s="16">
        <v>412.55</v>
      </c>
      <c r="F7" s="17">
        <v>3200</v>
      </c>
      <c r="G7" s="10">
        <f>+E7*F7</f>
        <v>1320160</v>
      </c>
      <c r="H7" s="37" t="s">
        <v>46</v>
      </c>
    </row>
    <row r="8" spans="1:8" ht="23.25" customHeight="1" x14ac:dyDescent="0.3">
      <c r="A8" s="5">
        <v>2</v>
      </c>
      <c r="B8" s="11"/>
      <c r="C8" s="6" t="s">
        <v>27</v>
      </c>
      <c r="D8" s="6"/>
      <c r="E8" s="6"/>
      <c r="F8" s="6"/>
      <c r="G8" s="7">
        <f>SUM(G9:G11)</f>
        <v>356858.5</v>
      </c>
      <c r="H8"/>
    </row>
    <row r="9" spans="1:8" ht="51" customHeight="1" x14ac:dyDescent="0.3">
      <c r="A9" s="18"/>
      <c r="B9" s="19">
        <v>2.1</v>
      </c>
      <c r="C9" s="20" t="s">
        <v>28</v>
      </c>
      <c r="D9" s="19" t="s">
        <v>3</v>
      </c>
      <c r="E9" s="21">
        <v>4.1260000000000003</v>
      </c>
      <c r="F9" s="17">
        <v>5500</v>
      </c>
      <c r="G9" s="10">
        <f>+E9*F9</f>
        <v>22693.000000000004</v>
      </c>
      <c r="H9" s="37" t="s">
        <v>42</v>
      </c>
    </row>
    <row r="10" spans="1:8" ht="69" customHeight="1" x14ac:dyDescent="0.3">
      <c r="A10" s="22"/>
      <c r="B10" s="23">
        <v>2.2000000000000002</v>
      </c>
      <c r="C10" s="24" t="s">
        <v>29</v>
      </c>
      <c r="D10" s="19" t="s">
        <v>3</v>
      </c>
      <c r="E10" s="21">
        <v>8.2509999999999994</v>
      </c>
      <c r="F10" s="10">
        <v>4000</v>
      </c>
      <c r="G10" s="10">
        <f t="shared" ref="G10:G11" si="0">+E10*F10</f>
        <v>33004</v>
      </c>
      <c r="H10" s="37" t="s">
        <v>43</v>
      </c>
    </row>
    <row r="11" spans="1:8" ht="84" customHeight="1" x14ac:dyDescent="0.3">
      <c r="A11" s="22"/>
      <c r="B11" s="23">
        <v>2.2999999999999998</v>
      </c>
      <c r="C11" s="24" t="s">
        <v>34</v>
      </c>
      <c r="D11" s="19" t="s">
        <v>3</v>
      </c>
      <c r="E11" s="21">
        <v>8.2509999999999994</v>
      </c>
      <c r="F11" s="10">
        <v>36500</v>
      </c>
      <c r="G11" s="55">
        <f t="shared" si="0"/>
        <v>301161.5</v>
      </c>
      <c r="H11" s="37" t="s">
        <v>50</v>
      </c>
    </row>
    <row r="12" spans="1:8" ht="27" customHeight="1" x14ac:dyDescent="0.3">
      <c r="A12" s="5">
        <v>3</v>
      </c>
      <c r="B12" s="11"/>
      <c r="C12" s="6" t="s">
        <v>30</v>
      </c>
      <c r="D12" s="25"/>
      <c r="E12" s="12"/>
      <c r="F12" s="6"/>
      <c r="G12" s="7">
        <f>SUM(G13:G19)</f>
        <v>19504734</v>
      </c>
    </row>
    <row r="13" spans="1:8" ht="87" customHeight="1" x14ac:dyDescent="0.3">
      <c r="A13" s="18"/>
      <c r="B13" s="19">
        <v>3.1</v>
      </c>
      <c r="C13" s="26" t="s">
        <v>31</v>
      </c>
      <c r="D13" s="19" t="s">
        <v>3</v>
      </c>
      <c r="E13" s="8">
        <v>412.55</v>
      </c>
      <c r="F13" s="9">
        <v>17000</v>
      </c>
      <c r="G13" s="10">
        <f>F13*E13</f>
        <v>7013350</v>
      </c>
      <c r="H13" s="37" t="s">
        <v>44</v>
      </c>
    </row>
    <row r="14" spans="1:8" ht="87" customHeight="1" x14ac:dyDescent="0.3">
      <c r="A14" s="18"/>
      <c r="B14" s="19">
        <v>3.2</v>
      </c>
      <c r="C14" s="26" t="s">
        <v>35</v>
      </c>
      <c r="D14" s="19" t="s">
        <v>3</v>
      </c>
      <c r="E14" s="8">
        <v>355.39</v>
      </c>
      <c r="F14" s="9">
        <v>14000</v>
      </c>
      <c r="G14" s="10">
        <f t="shared" ref="G14:G18" si="1">F14*E14</f>
        <v>4975460</v>
      </c>
      <c r="H14" s="37" t="s">
        <v>48</v>
      </c>
    </row>
    <row r="15" spans="1:8" ht="67.8" customHeight="1" x14ac:dyDescent="0.3">
      <c r="A15" s="18"/>
      <c r="B15" s="19">
        <v>3.3</v>
      </c>
      <c r="C15" s="26" t="s">
        <v>36</v>
      </c>
      <c r="D15" s="19" t="s">
        <v>3</v>
      </c>
      <c r="E15" s="8">
        <v>22.18</v>
      </c>
      <c r="F15" s="9">
        <v>14000</v>
      </c>
      <c r="G15" s="10">
        <f t="shared" si="1"/>
        <v>310520</v>
      </c>
      <c r="H15" s="37" t="s">
        <v>47</v>
      </c>
    </row>
    <row r="16" spans="1:8" ht="58.2" customHeight="1" x14ac:dyDescent="0.3">
      <c r="A16" s="18"/>
      <c r="B16" s="19">
        <v>3.4</v>
      </c>
      <c r="C16" s="26" t="s">
        <v>37</v>
      </c>
      <c r="D16" s="19" t="s">
        <v>4</v>
      </c>
      <c r="E16" s="8">
        <v>83.3</v>
      </c>
      <c r="F16" s="9">
        <v>5600</v>
      </c>
      <c r="G16" s="10">
        <f t="shared" si="1"/>
        <v>466480</v>
      </c>
      <c r="H16" s="37" t="s">
        <v>51</v>
      </c>
    </row>
    <row r="17" spans="1:8" ht="68.400000000000006" customHeight="1" x14ac:dyDescent="0.3">
      <c r="A17" s="18"/>
      <c r="B17" s="19">
        <v>3.5</v>
      </c>
      <c r="C17" s="26" t="s">
        <v>38</v>
      </c>
      <c r="D17" s="19" t="s">
        <v>3</v>
      </c>
      <c r="E17" s="8">
        <v>46.04</v>
      </c>
      <c r="F17" s="9">
        <v>5600</v>
      </c>
      <c r="G17" s="10">
        <f t="shared" si="1"/>
        <v>257824</v>
      </c>
      <c r="H17" s="37" t="s">
        <v>52</v>
      </c>
    </row>
    <row r="18" spans="1:8" ht="87" customHeight="1" x14ac:dyDescent="0.3">
      <c r="A18" s="18"/>
      <c r="B18" s="19">
        <v>3.6</v>
      </c>
      <c r="C18" s="26" t="s">
        <v>39</v>
      </c>
      <c r="D18" s="19" t="s">
        <v>4</v>
      </c>
      <c r="E18" s="8">
        <v>186.72</v>
      </c>
      <c r="F18" s="9">
        <v>33000</v>
      </c>
      <c r="G18" s="10">
        <f t="shared" si="1"/>
        <v>6161760</v>
      </c>
      <c r="H18" s="37" t="s">
        <v>49</v>
      </c>
    </row>
    <row r="19" spans="1:8" ht="79.2" customHeight="1" x14ac:dyDescent="0.3">
      <c r="A19" s="18"/>
      <c r="B19" s="19">
        <v>3.7</v>
      </c>
      <c r="C19" s="26" t="s">
        <v>40</v>
      </c>
      <c r="D19" s="19" t="s">
        <v>4</v>
      </c>
      <c r="E19" s="8">
        <v>45.62</v>
      </c>
      <c r="F19" s="9">
        <v>7000</v>
      </c>
      <c r="G19" s="10">
        <f t="shared" ref="G19" si="2">F19*E19</f>
        <v>319340</v>
      </c>
      <c r="H19" s="37" t="s">
        <v>53</v>
      </c>
    </row>
    <row r="20" spans="1:8" ht="28.2" customHeight="1" x14ac:dyDescent="0.3">
      <c r="A20" s="5">
        <v>4</v>
      </c>
      <c r="B20" s="11"/>
      <c r="C20" s="6" t="s">
        <v>32</v>
      </c>
      <c r="D20" s="25"/>
      <c r="E20" s="12"/>
      <c r="F20" s="6"/>
      <c r="G20" s="7">
        <f>SUM(G21:G21)</f>
        <v>400000</v>
      </c>
      <c r="H20" s="38"/>
    </row>
    <row r="21" spans="1:8" ht="96" customHeight="1" x14ac:dyDescent="0.3">
      <c r="A21" s="18"/>
      <c r="B21" s="19">
        <v>4.0999999999999996</v>
      </c>
      <c r="C21" s="26" t="s">
        <v>33</v>
      </c>
      <c r="D21" s="19" t="s">
        <v>2</v>
      </c>
      <c r="E21" s="8">
        <v>1</v>
      </c>
      <c r="F21" s="9">
        <v>400000</v>
      </c>
      <c r="G21" s="10">
        <f>F21*E21</f>
        <v>400000</v>
      </c>
      <c r="H21" s="37" t="s">
        <v>45</v>
      </c>
    </row>
    <row r="22" spans="1:8" ht="15" x14ac:dyDescent="0.3">
      <c r="A22" s="27"/>
      <c r="B22" s="28"/>
      <c r="C22" s="28"/>
      <c r="D22" s="52" t="s">
        <v>7</v>
      </c>
      <c r="E22" s="53"/>
      <c r="F22" s="54"/>
      <c r="G22" s="29">
        <f>+G20+G12+G8+G6</f>
        <v>21581752.5</v>
      </c>
      <c r="H22"/>
    </row>
    <row r="23" spans="1:8" ht="23.25" customHeight="1" x14ac:dyDescent="0.3">
      <c r="A23" s="27"/>
      <c r="B23" s="28"/>
      <c r="C23" s="28"/>
      <c r="D23" s="41" t="s">
        <v>8</v>
      </c>
      <c r="E23" s="41"/>
      <c r="F23" s="30">
        <v>0.12</v>
      </c>
      <c r="G23" s="31">
        <f>+$G$22*F23</f>
        <v>2589810.2999999998</v>
      </c>
    </row>
    <row r="24" spans="1:8" ht="15" x14ac:dyDescent="0.3">
      <c r="A24" s="27"/>
      <c r="B24" s="28"/>
      <c r="C24" s="28"/>
      <c r="D24" s="41" t="s">
        <v>9</v>
      </c>
      <c r="E24" s="41"/>
      <c r="F24" s="30">
        <v>0.03</v>
      </c>
      <c r="G24" s="31">
        <f>+$G$22*F24</f>
        <v>647452.57499999995</v>
      </c>
    </row>
    <row r="25" spans="1:8" ht="23.25" customHeight="1" x14ac:dyDescent="0.3">
      <c r="A25" s="27"/>
      <c r="B25" s="28"/>
      <c r="C25" s="28"/>
      <c r="D25" s="41" t="s">
        <v>10</v>
      </c>
      <c r="E25" s="41"/>
      <c r="F25" s="30">
        <v>0.05</v>
      </c>
      <c r="G25" s="31">
        <f>+$G$22*F25</f>
        <v>1079087.625</v>
      </c>
    </row>
    <row r="26" spans="1:8" ht="23.25" customHeight="1" x14ac:dyDescent="0.3">
      <c r="A26" s="27"/>
      <c r="B26" s="28"/>
      <c r="C26" s="28"/>
      <c r="D26" s="41" t="s">
        <v>5</v>
      </c>
      <c r="E26" s="41"/>
      <c r="F26" s="30">
        <v>0.19</v>
      </c>
      <c r="G26" s="31">
        <f>+G25*F26</f>
        <v>205026.64874999999</v>
      </c>
    </row>
    <row r="27" spans="1:8" ht="23.25" customHeight="1" x14ac:dyDescent="0.3">
      <c r="A27" s="27"/>
      <c r="B27" s="28"/>
      <c r="C27" s="28"/>
      <c r="D27" s="40" t="s">
        <v>11</v>
      </c>
      <c r="E27" s="40"/>
      <c r="F27" s="40"/>
      <c r="G27" s="32">
        <f>+G23+G24+G25+G26</f>
        <v>4521377.1487499997</v>
      </c>
    </row>
    <row r="28" spans="1:8" ht="23.25" customHeight="1" x14ac:dyDescent="0.3">
      <c r="A28" s="27"/>
      <c r="B28" s="28"/>
      <c r="C28" s="28"/>
      <c r="D28" s="39" t="s">
        <v>12</v>
      </c>
      <c r="E28" s="39"/>
      <c r="F28" s="39"/>
      <c r="G28" s="33">
        <f>+G22+G27</f>
        <v>26103129.64875</v>
      </c>
    </row>
    <row r="29" spans="1:8" ht="27" customHeight="1" x14ac:dyDescent="0.3"/>
    <row r="30" spans="1:8" ht="21.75" customHeight="1" x14ac:dyDescent="0.3"/>
    <row r="31" spans="1:8" ht="21.75" customHeight="1" x14ac:dyDescent="0.3"/>
    <row r="32" spans="1:8" ht="27" customHeight="1" x14ac:dyDescent="0.3"/>
    <row r="33" ht="21" customHeight="1" x14ac:dyDescent="0.3"/>
    <row r="34" ht="21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  <row r="40" ht="21.75" customHeight="1" x14ac:dyDescent="0.3"/>
    <row r="41" ht="21.75" customHeight="1" x14ac:dyDescent="0.3"/>
  </sheetData>
  <mergeCells count="14">
    <mergeCell ref="D28:F28"/>
    <mergeCell ref="D27:F27"/>
    <mergeCell ref="D26:E26"/>
    <mergeCell ref="A1:G1"/>
    <mergeCell ref="D25:E25"/>
    <mergeCell ref="D24:E24"/>
    <mergeCell ref="D23:E23"/>
    <mergeCell ref="A2:B2"/>
    <mergeCell ref="A3:B3"/>
    <mergeCell ref="D3:E3"/>
    <mergeCell ref="A4:B4"/>
    <mergeCell ref="D4:E4"/>
    <mergeCell ref="F2:G4"/>
    <mergeCell ref="D22:F22"/>
  </mergeCells>
  <phoneticPr fontId="2" type="noConversion"/>
  <pageMargins left="0.23622047244094491" right="3.937007874015748E-2" top="0.35433070866141736" bottom="0.35433070866141736" header="0.11811023622047245" footer="0.11811023622047245"/>
  <pageSetup paperSize="5" scale="57" orientation="portrait" r:id="rId1"/>
  <rowBreaks count="1" manualBreakCount="1">
    <brk id="2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2024-10-30T22:07:39Z</cp:lastPrinted>
  <dcterms:created xsi:type="dcterms:W3CDTF">2024-02-08T21:06:52Z</dcterms:created>
  <dcterms:modified xsi:type="dcterms:W3CDTF">2024-11-01T15:21:47Z</dcterms:modified>
  <cp:category/>
  <cp:contentStatus/>
</cp:coreProperties>
</file>