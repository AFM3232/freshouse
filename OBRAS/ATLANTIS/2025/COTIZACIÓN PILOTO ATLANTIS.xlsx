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13_ncr:1_{3458AC8B-2D1C-4CAF-AB1C-3FABFF3D4E7E}" xr6:coauthVersionLast="47" xr6:coauthVersionMax="47" xr10:uidLastSave="{00000000-0000-0000-0000-000000000000}"/>
  <bookViews>
    <workbookView xWindow="-108" yWindow="-108" windowWidth="23256" windowHeight="12456" activeTab="2" xr2:uid="{BCFB1664-7DBD-4EFF-A670-B77D79CD3276}"/>
  </bookViews>
  <sheets>
    <sheet name="ACTUACIÓN B" sheetId="7" r:id="rId1"/>
    <sheet name="ACTUACIÓN A" sheetId="5" r:id="rId2"/>
    <sheet name="Hoja1" sheetId="8" r:id="rId3"/>
  </sheets>
  <definedNames>
    <definedName name="_xlnm.Print_Area" localSheetId="1">'ACTUACIÓN A'!$A$1:$G$13</definedName>
    <definedName name="_xlnm.Print_Area" localSheetId="0">'ACTUACIÓN B'!$A$1:$G$12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7" l="1"/>
  <c r="G11" i="7"/>
  <c r="G10" i="7"/>
  <c r="G10" i="5"/>
  <c r="G9" i="7" l="1"/>
  <c r="G13" i="7" s="1"/>
  <c r="G16" i="5"/>
  <c r="G15" i="5"/>
  <c r="G14" i="5"/>
  <c r="G12" i="5"/>
  <c r="G9" i="5" s="1"/>
  <c r="G11" i="5"/>
  <c r="G15" i="7" l="1"/>
  <c r="G14" i="7"/>
  <c r="G16" i="7"/>
  <c r="G17" i="7" s="1"/>
  <c r="G13" i="5"/>
  <c r="G17" i="5" s="1"/>
  <c r="G18" i="7" l="1"/>
  <c r="G19" i="7" s="1"/>
  <c r="G20" i="5"/>
  <c r="G21" i="5" s="1"/>
  <c r="G18" i="5" l="1"/>
  <c r="G19" i="5"/>
  <c r="G22" i="5" l="1"/>
  <c r="G23" i="5" s="1"/>
</calcChain>
</file>

<file path=xl/sharedStrings.xml><?xml version="1.0" encoding="utf-8"?>
<sst xmlns="http://schemas.openxmlformats.org/spreadsheetml/2006/main" count="107" uniqueCount="71">
  <si>
    <t>CAPT</t>
  </si>
  <si>
    <t>ITEMS</t>
  </si>
  <si>
    <t>ACTIVIDAD</t>
  </si>
  <si>
    <t>UNIDAD</t>
  </si>
  <si>
    <t>CANTIDAD</t>
  </si>
  <si>
    <t>VR UNITARIO</t>
  </si>
  <si>
    <t>VALOR DIRECTO ACTIVIDAD</t>
  </si>
  <si>
    <t>M2</t>
  </si>
  <si>
    <t>ML</t>
  </si>
  <si>
    <t>COSTO DIRECTO</t>
  </si>
  <si>
    <t>ADMON</t>
  </si>
  <si>
    <t>IMPREV</t>
  </si>
  <si>
    <t>UTILIDADES</t>
  </si>
  <si>
    <t>IVA/U</t>
  </si>
  <si>
    <t>COSTO INDIRECTO</t>
  </si>
  <si>
    <t>VALOR PROPUESTA</t>
  </si>
  <si>
    <t>DIRECCION:</t>
  </si>
  <si>
    <t>CORREO:</t>
  </si>
  <si>
    <t>TELEFONO: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</si>
  <si>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</si>
  <si>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+57 310 461 7353</t>
  </si>
  <si>
    <t>CODIGO: FH-F-02</t>
  </si>
  <si>
    <t xml:space="preserve"> VERSIÓN: 01</t>
  </si>
  <si>
    <t>1.1</t>
  </si>
  <si>
    <t>GB</t>
  </si>
  <si>
    <t>1.2</t>
  </si>
  <si>
    <t>2.1</t>
  </si>
  <si>
    <t>3.1</t>
  </si>
  <si>
    <t>LIMPIEZA Y ALISTAMIENTO DE SUPERFICIES</t>
  </si>
  <si>
    <t>LIMPIEZA Y ASEO GENERAL</t>
  </si>
  <si>
    <t>PRESUPUESTO PARA RESTAURACIÓN DE FACHADAS</t>
  </si>
  <si>
    <t>CANTIDADES DE OBRA Y ESPECIFICACIONES TECNICAS PARA ACTIVIDADES DE RESTAURACIÓN INTEGRAL EN FACHADAS</t>
  </si>
  <si>
    <t>EN EL TRANSCURSO DE LA EJECUCION Y AL FINAL DE LA OBRA, LIMPIEZA GENERAL Y DESALOJO DE TODO EL MATERIAL SOBRANTE Y DESPERDICIOS</t>
  </si>
  <si>
    <t>OBRAS DE PINTURA EN MUROS DE FACHADA E IMPERMEABILIZACIÓN</t>
  </si>
  <si>
    <t>Calle 19 Norte 18-64 Ed. Atlantis piso 3 local 7</t>
  </si>
  <si>
    <t xml:space="preserve">  FECHA:                        28/06/2025</t>
  </si>
  <si>
    <t xml:space="preserve">  VALIDO HASTA:           28/09/2025</t>
  </si>
  <si>
    <t>Inspección, apertura y sellado de grietas en fachadas de mortero y/o de Superboard. PINTUCO FIX PROFESIONAL</t>
  </si>
  <si>
    <t>Reparación del recubrimiento mediante estuco impermeable (Silcoplast de Pintuco). Imprimación con IMPRIMAX de PINTUCO y posterior aplicación del Silcoplast de PINTUCO</t>
  </si>
  <si>
    <t>Aplicación de pintura elastomérica para exteriores (Koraza de Pintuco). Pintura KORAZA PRO 550 de PINTUCO</t>
  </si>
  <si>
    <t>Eliminación previa de focos de moho u hongos donde se evidencie humedad.</t>
  </si>
  <si>
    <t>GLB</t>
  </si>
  <si>
    <t>Limpieza general del elemento vidriado a intervenir</t>
  </si>
  <si>
    <t>Limpieza detallada con alcohol Isopropílico sobre la zona de sellado</t>
  </si>
  <si>
    <t>Suministro y Aplicación del material sellante, dándole acabado pulido y estético. Con Sikasil C</t>
  </si>
  <si>
    <t>1.3</t>
  </si>
  <si>
    <t>RESTAURACIÓN DE SELLOS</t>
  </si>
  <si>
    <t>NOTA: PARA EL ITEM 1.2 Y 1.3 SE REALIZO EL CAMBIO DE 150ML A 250ML DE ACUERDO A LA ACLARACIÓN DE INTERVENTORIA DE 5ML POR M2</t>
  </si>
  <si>
    <t>EDIFICIO ATLANTIS</t>
  </si>
  <si>
    <t>PINTURA</t>
  </si>
  <si>
    <t>ITEM</t>
  </si>
  <si>
    <t>OTROS</t>
  </si>
  <si>
    <t>CÑT KORAZA</t>
  </si>
  <si>
    <t>6 RODILLOS
12 BROCHAS
10 CANECAS ALAMBRADAS</t>
  </si>
  <si>
    <t>LAVADO</t>
  </si>
  <si>
    <t>KG CLORO</t>
  </si>
  <si>
    <t>HIDROLAVADORA
EMPAQUES DE MANGUERA
EXTENSIÓN
EXTENSOR</t>
  </si>
  <si>
    <t>SILICONITE</t>
  </si>
  <si>
    <t>CÑT SILICONITE</t>
  </si>
  <si>
    <t>SELLO Y LIMPIEZA DE VENTANAS</t>
  </si>
  <si>
    <t>TUBO SOUDAFLEX</t>
  </si>
  <si>
    <t>2 CAJAS DE CUCHILLAS
1 GALON DE THINER
2 GALONES DE LIMPIAVIDRIOS</t>
  </si>
  <si>
    <t>DILATACIONES</t>
  </si>
  <si>
    <t>CÑT PINTUCOFILL</t>
  </si>
  <si>
    <t>BULTO DE PAÑETE</t>
  </si>
  <si>
    <t>TRATAMIENTO DE FISURAS</t>
  </si>
  <si>
    <t>TECHO</t>
  </si>
  <si>
    <t>UND TEJAS</t>
  </si>
  <si>
    <t>2 ROLLOS CINTA FLANCHE
100 AMARRAS 
2 VIDRIOS CLARABOYAS
TELA DE REFUERZO Y PINTUCOFILL (CANALES)</t>
  </si>
  <si>
    <t>GENERAL</t>
  </si>
  <si>
    <t>2 ESCALERAS
TALADRO
PULIDORA
TELERAS PARA CAMINOS
CAJA DE PUNTILLAS DE 2"
MARTILLO
12 CAMISETAS
1 PORRON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</si>
</sst>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entury Gothic"/>
      <family val="2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8"/>
      <color rgb="FF000000"/>
      <name val="Century Gothic"/>
      <family val="2"/>
    </font>
    <font>
      <sz val="14"/>
      <color rgb="FF000000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indexed="64"/>
      </top>
      <bottom style="thin">
        <color rgb="FF505050"/>
      </bottom>
      <diagonal/>
    </border>
    <border>
      <left/>
      <right style="thin">
        <color rgb="FF505050"/>
      </right>
      <top style="thin">
        <color indexed="64"/>
      </top>
      <bottom style="thin">
        <color rgb="FF505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center" vertical="center"/>
    </xf>
    <xf numFmtId="9" fontId="3" fillId="0" borderId="1" xfId="3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 wrapText="1"/>
    </xf>
    <xf numFmtId="164" fontId="3" fillId="8" borderId="1" xfId="0" applyNumberFormat="1" applyFont="1" applyFill="1" applyBorder="1" applyAlignment="1">
      <alignment horizontal="left" vertical="center" wrapText="1"/>
    </xf>
    <xf numFmtId="164" fontId="9" fillId="7" borderId="3" xfId="0" applyNumberFormat="1" applyFont="1" applyFill="1" applyBorder="1" applyAlignment="1">
      <alignment horizontal="left" vertical="center" wrapText="1"/>
    </xf>
    <xf numFmtId="164" fontId="9" fillId="6" borderId="3" xfId="0" applyNumberFormat="1" applyFont="1" applyFill="1" applyBorder="1" applyAlignment="1">
      <alignment horizontal="left" vertical="center" wrapText="1"/>
    </xf>
    <xf numFmtId="165" fontId="9" fillId="7" borderId="3" xfId="0" applyNumberFormat="1" applyFont="1" applyFill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0" borderId="1" xfId="2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3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center" vertical="center"/>
    </xf>
    <xf numFmtId="165" fontId="3" fillId="2" borderId="6" xfId="1" applyNumberFormat="1" applyFont="1" applyFill="1" applyBorder="1" applyAlignment="1">
      <alignment vertical="center"/>
    </xf>
    <xf numFmtId="164" fontId="3" fillId="2" borderId="6" xfId="0" applyNumberFormat="1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left" vertical="center" wrapText="1"/>
    </xf>
    <xf numFmtId="164" fontId="9" fillId="8" borderId="6" xfId="0" applyNumberFormat="1" applyFont="1" applyFill="1" applyBorder="1" applyAlignment="1">
      <alignment horizontal="left" vertical="center" wrapText="1"/>
    </xf>
    <xf numFmtId="164" fontId="9" fillId="2" borderId="6" xfId="0" applyNumberFormat="1" applyFont="1" applyFill="1" applyBorder="1" applyAlignment="1">
      <alignment horizontal="left" vertical="center" wrapText="1"/>
    </xf>
    <xf numFmtId="43" fontId="3" fillId="0" borderId="1" xfId="1" applyFont="1" applyFill="1" applyBorder="1" applyAlignment="1">
      <alignment vertical="center"/>
    </xf>
    <xf numFmtId="43" fontId="3" fillId="0" borderId="6" xfId="1" applyFont="1" applyFill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3" fontId="10" fillId="2" borderId="20" xfId="1" applyFont="1" applyFill="1" applyBorder="1" applyAlignment="1">
      <alignment horizontal="center" vertical="center"/>
    </xf>
    <xf numFmtId="43" fontId="10" fillId="2" borderId="21" xfId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FF66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22/10/relationships/richValueRel" Target="richData/richValueRel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261258</xdr:colOff>
      <xdr:row>2</xdr:row>
      <xdr:rowOff>226235</xdr:rowOff>
    </xdr:from>
    <xdr:to>
      <xdr:col>6</xdr:col>
      <xdr:colOff>1785257</xdr:colOff>
      <xdr:row>4</xdr:row>
      <xdr:rowOff>165537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93B8F3-07B3-4487-98F5-77D12B09A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8898" y="1003475"/>
          <a:ext cx="3055619" cy="1105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261258</xdr:colOff>
      <xdr:row>2</xdr:row>
      <xdr:rowOff>226235</xdr:rowOff>
    </xdr:from>
    <xdr:to>
      <xdr:col>6</xdr:col>
      <xdr:colOff>1785257</xdr:colOff>
      <xdr:row>4</xdr:row>
      <xdr:rowOff>165537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EDDD3F-0AB1-4B86-93A6-FB18BED9C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8898" y="1003475"/>
          <a:ext cx="3055619" cy="110516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B393-8078-4137-8649-4C483929C4CA}">
  <sheetPr>
    <pageSetUpPr fitToPage="1"/>
  </sheetPr>
  <dimension ref="A1:J27"/>
  <sheetViews>
    <sheetView zoomScale="50" zoomScaleNormal="50" workbookViewId="0">
      <selection sqref="A1:G19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10" ht="27.6" x14ac:dyDescent="0.3">
      <c r="A1" s="59" t="s">
        <v>48</v>
      </c>
      <c r="B1" s="60"/>
      <c r="C1" s="60"/>
      <c r="D1" s="60"/>
      <c r="E1" s="60"/>
      <c r="F1" s="60"/>
      <c r="G1" s="61"/>
    </row>
    <row r="2" spans="1:10" ht="33.6" customHeight="1" x14ac:dyDescent="0.3">
      <c r="A2" s="62" t="s">
        <v>31</v>
      </c>
      <c r="B2" s="63"/>
      <c r="C2" s="63"/>
      <c r="D2" s="63"/>
      <c r="E2" s="63"/>
      <c r="F2" s="63"/>
      <c r="G2" s="64"/>
    </row>
    <row r="3" spans="1:10" ht="39.6" customHeight="1" x14ac:dyDescent="0.3">
      <c r="A3" s="65" t="s">
        <v>16</v>
      </c>
      <c r="B3" s="66"/>
      <c r="C3" s="19" t="s">
        <v>34</v>
      </c>
      <c r="D3" s="23" t="s">
        <v>21</v>
      </c>
      <c r="E3" s="23" t="s">
        <v>22</v>
      </c>
      <c r="F3" s="67"/>
      <c r="G3" s="68"/>
    </row>
    <row r="4" spans="1:10" ht="52.2" customHeight="1" x14ac:dyDescent="0.3">
      <c r="A4" s="65" t="s">
        <v>17</v>
      </c>
      <c r="B4" s="66"/>
      <c r="C4" s="20" t="s">
        <v>19</v>
      </c>
      <c r="D4" s="73" t="s">
        <v>35</v>
      </c>
      <c r="E4" s="74"/>
      <c r="F4" s="69"/>
      <c r="G4" s="70"/>
    </row>
    <row r="5" spans="1:10" ht="36.6" customHeight="1" x14ac:dyDescent="0.3">
      <c r="A5" s="75" t="s">
        <v>18</v>
      </c>
      <c r="B5" s="76"/>
      <c r="C5" s="19" t="s">
        <v>20</v>
      </c>
      <c r="D5" s="77" t="s">
        <v>36</v>
      </c>
      <c r="E5" s="78"/>
      <c r="F5" s="71"/>
      <c r="G5" s="72"/>
    </row>
    <row r="6" spans="1:10" x14ac:dyDescent="0.3">
      <c r="A6" s="46"/>
      <c r="B6" s="47"/>
      <c r="C6" s="47"/>
      <c r="D6" s="47"/>
      <c r="E6" s="47"/>
      <c r="F6" s="47"/>
      <c r="G6" s="48"/>
    </row>
    <row r="7" spans="1:10" ht="34.799999999999997" x14ac:dyDescent="0.3">
      <c r="A7" s="21" t="s">
        <v>0</v>
      </c>
      <c r="B7" s="22" t="s">
        <v>1</v>
      </c>
      <c r="C7" s="22" t="s">
        <v>2</v>
      </c>
      <c r="D7" s="22" t="s">
        <v>3</v>
      </c>
      <c r="E7" s="21" t="s">
        <v>4</v>
      </c>
      <c r="F7" s="22" t="s">
        <v>5</v>
      </c>
      <c r="G7" s="21" t="s">
        <v>6</v>
      </c>
    </row>
    <row r="8" spans="1:10" ht="23.4" x14ac:dyDescent="0.3">
      <c r="A8" s="49" t="s">
        <v>30</v>
      </c>
      <c r="B8" s="50"/>
      <c r="C8" s="50"/>
      <c r="D8" s="50"/>
      <c r="E8" s="50"/>
      <c r="F8" s="50"/>
      <c r="G8" s="51"/>
    </row>
    <row r="9" spans="1:10" ht="23.4" x14ac:dyDescent="0.3">
      <c r="A9" s="8">
        <v>1</v>
      </c>
      <c r="B9" s="9"/>
      <c r="C9" s="10" t="s">
        <v>46</v>
      </c>
      <c r="D9" s="11"/>
      <c r="E9" s="17"/>
      <c r="F9" s="15"/>
      <c r="G9" s="16">
        <f>SUM(G10:G12)</f>
        <v>2725000</v>
      </c>
    </row>
    <row r="10" spans="1:10" ht="64.2" customHeight="1" x14ac:dyDescent="0.3">
      <c r="A10" s="3"/>
      <c r="B10" s="18" t="s">
        <v>23</v>
      </c>
      <c r="C10" s="29" t="s">
        <v>42</v>
      </c>
      <c r="D10" s="2" t="s">
        <v>7</v>
      </c>
      <c r="E10" s="44">
        <v>50</v>
      </c>
      <c r="F10" s="13">
        <v>2000</v>
      </c>
      <c r="G10" s="14">
        <f>+E10*F10</f>
        <v>100000</v>
      </c>
      <c r="J10" s="28"/>
    </row>
    <row r="11" spans="1:10" ht="64.2" customHeight="1" x14ac:dyDescent="0.3">
      <c r="A11" s="3"/>
      <c r="B11" s="18" t="s">
        <v>25</v>
      </c>
      <c r="C11" s="29" t="s">
        <v>43</v>
      </c>
      <c r="D11" s="2" t="s">
        <v>8</v>
      </c>
      <c r="E11" s="44">
        <v>250</v>
      </c>
      <c r="F11" s="13">
        <v>3800</v>
      </c>
      <c r="G11" s="14">
        <f>+E11*F11</f>
        <v>950000</v>
      </c>
      <c r="J11" s="28"/>
    </row>
    <row r="12" spans="1:10" ht="87" customHeight="1" x14ac:dyDescent="0.3">
      <c r="A12" s="4"/>
      <c r="B12" s="18" t="s">
        <v>45</v>
      </c>
      <c r="C12" s="30" t="s">
        <v>44</v>
      </c>
      <c r="D12" s="5" t="s">
        <v>8</v>
      </c>
      <c r="E12" s="44">
        <v>250</v>
      </c>
      <c r="F12" s="13">
        <v>6700</v>
      </c>
      <c r="G12" s="14">
        <f>+E12*F12</f>
        <v>1675000</v>
      </c>
    </row>
    <row r="13" spans="1:10" ht="39.6" customHeight="1" x14ac:dyDescent="0.3">
      <c r="A13" s="6"/>
      <c r="B13" s="6"/>
      <c r="C13" s="6"/>
      <c r="D13" s="6"/>
      <c r="E13" s="52" t="s">
        <v>9</v>
      </c>
      <c r="F13" s="53"/>
      <c r="G13" s="24">
        <f>G9</f>
        <v>2725000</v>
      </c>
    </row>
    <row r="14" spans="1:10" ht="17.399999999999999" x14ac:dyDescent="0.3">
      <c r="A14" s="6"/>
      <c r="B14" s="6"/>
      <c r="C14" s="58" t="s">
        <v>47</v>
      </c>
      <c r="D14" s="6"/>
      <c r="E14" s="7" t="s">
        <v>10</v>
      </c>
      <c r="F14" s="12">
        <v>0.08</v>
      </c>
      <c r="G14" s="25">
        <f>+$G$13*F14</f>
        <v>218000</v>
      </c>
    </row>
    <row r="15" spans="1:10" ht="17.399999999999999" x14ac:dyDescent="0.3">
      <c r="A15" s="6"/>
      <c r="B15" s="6"/>
      <c r="C15" s="58"/>
      <c r="D15" s="6"/>
      <c r="E15" s="7" t="s">
        <v>11</v>
      </c>
      <c r="F15" s="12">
        <v>0.05</v>
      </c>
      <c r="G15" s="25">
        <f t="shared" ref="G15:G16" si="0">+$G$13*F15</f>
        <v>136250</v>
      </c>
    </row>
    <row r="16" spans="1:10" ht="19.95" customHeight="1" x14ac:dyDescent="0.3">
      <c r="A16" s="6"/>
      <c r="B16" s="6"/>
      <c r="C16" s="58"/>
      <c r="D16" s="6"/>
      <c r="E16" s="7" t="s">
        <v>12</v>
      </c>
      <c r="F16" s="12">
        <v>0.05</v>
      </c>
      <c r="G16" s="25">
        <f t="shared" si="0"/>
        <v>136250</v>
      </c>
    </row>
    <row r="17" spans="1:7" ht="19.95" customHeight="1" x14ac:dyDescent="0.3">
      <c r="A17" s="6"/>
      <c r="B17" s="6"/>
      <c r="C17" s="58"/>
      <c r="D17" s="6"/>
      <c r="E17" s="7" t="s">
        <v>13</v>
      </c>
      <c r="F17" s="12">
        <v>0.19</v>
      </c>
      <c r="G17" s="25">
        <f>+G16*F17</f>
        <v>25887.5</v>
      </c>
    </row>
    <row r="18" spans="1:7" ht="19.95" customHeight="1" x14ac:dyDescent="0.3">
      <c r="A18" s="6"/>
      <c r="B18" s="6"/>
      <c r="C18" s="6"/>
      <c r="D18" s="6"/>
      <c r="E18" s="54" t="s">
        <v>14</v>
      </c>
      <c r="F18" s="55"/>
      <c r="G18" s="26">
        <f>+G14+G15+G16+G17</f>
        <v>516387.5</v>
      </c>
    </row>
    <row r="19" spans="1:7" ht="19.95" customHeight="1" x14ac:dyDescent="0.3">
      <c r="A19" s="6"/>
      <c r="B19" s="6"/>
      <c r="C19" s="6"/>
      <c r="D19" s="6"/>
      <c r="E19" s="56" t="s">
        <v>15</v>
      </c>
      <c r="F19" s="57"/>
      <c r="G19" s="27">
        <f>+G13+G18</f>
        <v>3241387.5</v>
      </c>
    </row>
    <row r="20" spans="1:7" ht="19.95" customHeight="1" x14ac:dyDescent="0.3"/>
    <row r="21" spans="1:7" ht="19.95" customHeight="1" x14ac:dyDescent="0.3">
      <c r="G21" s="28"/>
    </row>
    <row r="22" spans="1:7" ht="19.95" customHeight="1" x14ac:dyDescent="0.3"/>
    <row r="23" spans="1:7" ht="15" customHeight="1" x14ac:dyDescent="0.3"/>
    <row r="26" spans="1:7" x14ac:dyDescent="0.3">
      <c r="G26" s="28"/>
    </row>
    <row r="27" spans="1:7" x14ac:dyDescent="0.3">
      <c r="G27" s="28"/>
    </row>
  </sheetData>
  <mergeCells count="14">
    <mergeCell ref="A1:G1"/>
    <mergeCell ref="A2:G2"/>
    <mergeCell ref="A3:B3"/>
    <mergeCell ref="F3:G5"/>
    <mergeCell ref="A4:B4"/>
    <mergeCell ref="D4:E4"/>
    <mergeCell ref="A5:B5"/>
    <mergeCell ref="D5:E5"/>
    <mergeCell ref="A6:G6"/>
    <mergeCell ref="A8:G8"/>
    <mergeCell ref="E13:F13"/>
    <mergeCell ref="E18:F18"/>
    <mergeCell ref="E19:F19"/>
    <mergeCell ref="C14:C17"/>
  </mergeCells>
  <pageMargins left="0.70866141732283472" right="0.70866141732283472" top="0.74803149606299213" bottom="0.74803149606299213" header="0.31496062992125984" footer="0.31496062992125984"/>
  <pageSetup scale="4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AEC1-F571-4A6F-8D4A-E26CBEB582A5}">
  <sheetPr>
    <pageSetUpPr fitToPage="1"/>
  </sheetPr>
  <dimension ref="A1:J31"/>
  <sheetViews>
    <sheetView zoomScale="50" zoomScaleNormal="50" workbookViewId="0">
      <selection activeCell="G23" sqref="A1:G23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10" ht="27.6" x14ac:dyDescent="0.3">
      <c r="A1" s="59" t="s">
        <v>48</v>
      </c>
      <c r="B1" s="60"/>
      <c r="C1" s="60"/>
      <c r="D1" s="60"/>
      <c r="E1" s="60"/>
      <c r="F1" s="60"/>
      <c r="G1" s="61"/>
    </row>
    <row r="2" spans="1:10" ht="33.6" customHeight="1" x14ac:dyDescent="0.3">
      <c r="A2" s="62" t="s">
        <v>31</v>
      </c>
      <c r="B2" s="63"/>
      <c r="C2" s="63"/>
      <c r="D2" s="63"/>
      <c r="E2" s="63"/>
      <c r="F2" s="63"/>
      <c r="G2" s="64"/>
    </row>
    <row r="3" spans="1:10" ht="39.6" customHeight="1" x14ac:dyDescent="0.3">
      <c r="A3" s="65" t="s">
        <v>16</v>
      </c>
      <c r="B3" s="66"/>
      <c r="C3" s="19" t="s">
        <v>34</v>
      </c>
      <c r="D3" s="23" t="s">
        <v>21</v>
      </c>
      <c r="E3" s="23" t="s">
        <v>22</v>
      </c>
      <c r="F3" s="67"/>
      <c r="G3" s="68"/>
    </row>
    <row r="4" spans="1:10" ht="52.2" customHeight="1" x14ac:dyDescent="0.3">
      <c r="A4" s="65" t="s">
        <v>17</v>
      </c>
      <c r="B4" s="66"/>
      <c r="C4" s="20" t="s">
        <v>19</v>
      </c>
      <c r="D4" s="73" t="s">
        <v>35</v>
      </c>
      <c r="E4" s="74"/>
      <c r="F4" s="69"/>
      <c r="G4" s="70"/>
    </row>
    <row r="5" spans="1:10" ht="36.6" customHeight="1" x14ac:dyDescent="0.3">
      <c r="A5" s="75" t="s">
        <v>18</v>
      </c>
      <c r="B5" s="76"/>
      <c r="C5" s="19" t="s">
        <v>20</v>
      </c>
      <c r="D5" s="77" t="s">
        <v>36</v>
      </c>
      <c r="E5" s="78"/>
      <c r="F5" s="71"/>
      <c r="G5" s="72"/>
    </row>
    <row r="6" spans="1:10" x14ac:dyDescent="0.3">
      <c r="A6" s="46"/>
      <c r="B6" s="47"/>
      <c r="C6" s="47"/>
      <c r="D6" s="47"/>
      <c r="E6" s="47"/>
      <c r="F6" s="47"/>
      <c r="G6" s="48"/>
    </row>
    <row r="7" spans="1:10" ht="34.799999999999997" x14ac:dyDescent="0.3">
      <c r="A7" s="21" t="s">
        <v>0</v>
      </c>
      <c r="B7" s="22" t="s">
        <v>1</v>
      </c>
      <c r="C7" s="22" t="s">
        <v>2</v>
      </c>
      <c r="D7" s="22" t="s">
        <v>3</v>
      </c>
      <c r="E7" s="21" t="s">
        <v>4</v>
      </c>
      <c r="F7" s="22" t="s">
        <v>5</v>
      </c>
      <c r="G7" s="21" t="s">
        <v>6</v>
      </c>
    </row>
    <row r="8" spans="1:10" ht="23.4" x14ac:dyDescent="0.3">
      <c r="A8" s="49" t="s">
        <v>30</v>
      </c>
      <c r="B8" s="50"/>
      <c r="C8" s="50"/>
      <c r="D8" s="50"/>
      <c r="E8" s="50"/>
      <c r="F8" s="50"/>
      <c r="G8" s="51"/>
    </row>
    <row r="9" spans="1:10" ht="23.4" x14ac:dyDescent="0.3">
      <c r="A9" s="8">
        <v>1</v>
      </c>
      <c r="B9" s="9"/>
      <c r="C9" s="10" t="s">
        <v>28</v>
      </c>
      <c r="D9" s="11"/>
      <c r="E9" s="17"/>
      <c r="F9" s="15"/>
      <c r="G9" s="16">
        <f>SUM(G10:G12)</f>
        <v>697000</v>
      </c>
    </row>
    <row r="10" spans="1:10" ht="64.2" customHeight="1" x14ac:dyDescent="0.3">
      <c r="A10" s="3"/>
      <c r="B10" s="18" t="s">
        <v>23</v>
      </c>
      <c r="C10" s="29" t="s">
        <v>40</v>
      </c>
      <c r="D10" s="2" t="s">
        <v>41</v>
      </c>
      <c r="E10" s="44">
        <v>1</v>
      </c>
      <c r="F10" s="13">
        <v>200000</v>
      </c>
      <c r="G10" s="14">
        <f>+E10*F10</f>
        <v>200000</v>
      </c>
      <c r="J10" s="28"/>
    </row>
    <row r="11" spans="1:10" ht="64.2" customHeight="1" x14ac:dyDescent="0.3">
      <c r="A11" s="3"/>
      <c r="B11" s="18" t="s">
        <v>25</v>
      </c>
      <c r="C11" s="29" t="s">
        <v>37</v>
      </c>
      <c r="D11" s="2" t="s">
        <v>8</v>
      </c>
      <c r="E11" s="44">
        <v>15</v>
      </c>
      <c r="F11" s="13">
        <v>7400</v>
      </c>
      <c r="G11" s="14">
        <f>+E11*F11</f>
        <v>111000</v>
      </c>
      <c r="J11" s="28"/>
    </row>
    <row r="12" spans="1:10" ht="87" customHeight="1" x14ac:dyDescent="0.3">
      <c r="A12" s="4"/>
      <c r="B12" s="18" t="s">
        <v>45</v>
      </c>
      <c r="C12" s="30" t="s">
        <v>38</v>
      </c>
      <c r="D12" s="5" t="s">
        <v>7</v>
      </c>
      <c r="E12" s="44">
        <v>10</v>
      </c>
      <c r="F12" s="13">
        <v>38600</v>
      </c>
      <c r="G12" s="14">
        <f>+E12*F12</f>
        <v>386000</v>
      </c>
    </row>
    <row r="13" spans="1:10" ht="43.8" customHeight="1" x14ac:dyDescent="0.3">
      <c r="A13" s="8">
        <v>2</v>
      </c>
      <c r="B13" s="9"/>
      <c r="C13" s="10" t="s">
        <v>33</v>
      </c>
      <c r="D13" s="11"/>
      <c r="E13" s="17"/>
      <c r="F13" s="15"/>
      <c r="G13" s="16">
        <f>SUM(G14:G14)</f>
        <v>1200000</v>
      </c>
    </row>
    <row r="14" spans="1:10" ht="76.2" customHeight="1" x14ac:dyDescent="0.3">
      <c r="A14" s="3"/>
      <c r="B14" s="18" t="s">
        <v>26</v>
      </c>
      <c r="C14" s="29" t="s">
        <v>39</v>
      </c>
      <c r="D14" s="2" t="s">
        <v>7</v>
      </c>
      <c r="E14" s="44">
        <v>50</v>
      </c>
      <c r="F14" s="13">
        <v>24000</v>
      </c>
      <c r="G14" s="14">
        <f>+E14*F14</f>
        <v>1200000</v>
      </c>
    </row>
    <row r="15" spans="1:10" ht="31.8" customHeight="1" x14ac:dyDescent="0.3">
      <c r="A15" s="31">
        <v>3</v>
      </c>
      <c r="B15" s="32"/>
      <c r="C15" s="33" t="s">
        <v>29</v>
      </c>
      <c r="D15" s="34"/>
      <c r="E15" s="35"/>
      <c r="F15" s="36"/>
      <c r="G15" s="43">
        <f>G16</f>
        <v>60000</v>
      </c>
    </row>
    <row r="16" spans="1:10" ht="73.8" customHeight="1" x14ac:dyDescent="0.3">
      <c r="A16" s="37"/>
      <c r="B16" s="38" t="s">
        <v>27</v>
      </c>
      <c r="C16" s="39" t="s">
        <v>32</v>
      </c>
      <c r="D16" s="40" t="s">
        <v>24</v>
      </c>
      <c r="E16" s="45">
        <v>1</v>
      </c>
      <c r="F16" s="41">
        <v>60000</v>
      </c>
      <c r="G16" s="42">
        <f>F16*E16</f>
        <v>60000</v>
      </c>
    </row>
    <row r="17" spans="1:7" ht="39.6" customHeight="1" x14ac:dyDescent="0.3">
      <c r="A17" s="6"/>
      <c r="B17" s="6"/>
      <c r="C17" s="6"/>
      <c r="D17" s="6"/>
      <c r="E17" s="52" t="s">
        <v>9</v>
      </c>
      <c r="F17" s="53"/>
      <c r="G17" s="24">
        <f>G13+G9+G15</f>
        <v>1957000</v>
      </c>
    </row>
    <row r="18" spans="1:7" ht="17.399999999999999" x14ac:dyDescent="0.3">
      <c r="A18" s="6"/>
      <c r="B18" s="6"/>
      <c r="C18" s="6"/>
      <c r="D18" s="6"/>
      <c r="E18" s="7" t="s">
        <v>10</v>
      </c>
      <c r="F18" s="12">
        <v>0.08</v>
      </c>
      <c r="G18" s="25">
        <f>+$G$17*F18</f>
        <v>156560</v>
      </c>
    </row>
    <row r="19" spans="1:7" ht="17.399999999999999" x14ac:dyDescent="0.3">
      <c r="A19" s="6"/>
      <c r="B19" s="6"/>
      <c r="C19" s="6"/>
      <c r="D19" s="6"/>
      <c r="E19" s="7" t="s">
        <v>11</v>
      </c>
      <c r="F19" s="12">
        <v>0.05</v>
      </c>
      <c r="G19" s="25">
        <f t="shared" ref="G19:G20" si="0">+$G$17*F19</f>
        <v>97850</v>
      </c>
    </row>
    <row r="20" spans="1:7" ht="19.95" customHeight="1" x14ac:dyDescent="0.3">
      <c r="A20" s="6"/>
      <c r="B20" s="6"/>
      <c r="C20" s="6"/>
      <c r="D20" s="6"/>
      <c r="E20" s="7" t="s">
        <v>12</v>
      </c>
      <c r="F20" s="12">
        <v>0.05</v>
      </c>
      <c r="G20" s="25">
        <f t="shared" si="0"/>
        <v>97850</v>
      </c>
    </row>
    <row r="21" spans="1:7" ht="19.95" customHeight="1" x14ac:dyDescent="0.3">
      <c r="A21" s="6"/>
      <c r="B21" s="6"/>
      <c r="C21" s="6"/>
      <c r="D21" s="6"/>
      <c r="E21" s="7" t="s">
        <v>13</v>
      </c>
      <c r="F21" s="12">
        <v>0.19</v>
      </c>
      <c r="G21" s="25">
        <f>+G20*F21</f>
        <v>18591.5</v>
      </c>
    </row>
    <row r="22" spans="1:7" ht="19.95" customHeight="1" x14ac:dyDescent="0.3">
      <c r="A22" s="6"/>
      <c r="B22" s="6"/>
      <c r="C22" s="6"/>
      <c r="D22" s="6"/>
      <c r="E22" s="54" t="s">
        <v>14</v>
      </c>
      <c r="F22" s="55"/>
      <c r="G22" s="26">
        <f>+G18+G19+G20+G21</f>
        <v>370851.5</v>
      </c>
    </row>
    <row r="23" spans="1:7" ht="19.95" customHeight="1" x14ac:dyDescent="0.3">
      <c r="A23" s="6"/>
      <c r="B23" s="6"/>
      <c r="C23" s="6"/>
      <c r="D23" s="6"/>
      <c r="E23" s="56" t="s">
        <v>15</v>
      </c>
      <c r="F23" s="57"/>
      <c r="G23" s="27">
        <f>+G17+G22</f>
        <v>2327851.5</v>
      </c>
    </row>
    <row r="24" spans="1:7" ht="19.95" customHeight="1" x14ac:dyDescent="0.3"/>
    <row r="25" spans="1:7" ht="19.95" customHeight="1" x14ac:dyDescent="0.3"/>
    <row r="26" spans="1:7" ht="19.95" customHeight="1" x14ac:dyDescent="0.3"/>
    <row r="27" spans="1:7" ht="15" customHeight="1" x14ac:dyDescent="0.3"/>
    <row r="30" spans="1:7" x14ac:dyDescent="0.3">
      <c r="G30" s="28"/>
    </row>
    <row r="31" spans="1:7" x14ac:dyDescent="0.3">
      <c r="G31" s="28"/>
    </row>
  </sheetData>
  <mergeCells count="13">
    <mergeCell ref="A1:G1"/>
    <mergeCell ref="A2:G2"/>
    <mergeCell ref="A3:B3"/>
    <mergeCell ref="F3:G5"/>
    <mergeCell ref="A4:B4"/>
    <mergeCell ref="D4:E4"/>
    <mergeCell ref="A5:B5"/>
    <mergeCell ref="D5:E5"/>
    <mergeCell ref="A6:G6"/>
    <mergeCell ref="A8:G8"/>
    <mergeCell ref="E17:F17"/>
    <mergeCell ref="E22:F22"/>
    <mergeCell ref="E23:F23"/>
  </mergeCells>
  <pageMargins left="0.70866141732283472" right="0.70866141732283472" top="0.74803149606299213" bottom="0.74803149606299213" header="0.31496062992125984" footer="0.31496062992125984"/>
  <pageSetup scale="41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DA30-06A3-4125-8F76-63C72CD4C39D}">
  <dimension ref="B2:E11"/>
  <sheetViews>
    <sheetView tabSelected="1" topLeftCell="A4" zoomScale="80" zoomScaleNormal="80" workbookViewId="0">
      <selection activeCell="E2" sqref="B2:E11"/>
    </sheetView>
  </sheetViews>
  <sheetFormatPr baseColWidth="10" defaultRowHeight="14.4" x14ac:dyDescent="0.3"/>
  <cols>
    <col min="2" max="2" width="27" customWidth="1"/>
    <col min="3" max="3" width="25" customWidth="1"/>
    <col min="4" max="4" width="17.21875" customWidth="1"/>
    <col min="5" max="5" width="49.21875" customWidth="1"/>
  </cols>
  <sheetData>
    <row r="2" spans="2:5" ht="15" x14ac:dyDescent="0.3">
      <c r="B2" s="82" t="s">
        <v>2</v>
      </c>
      <c r="C2" s="82" t="s">
        <v>50</v>
      </c>
      <c r="D2" s="82" t="s">
        <v>4</v>
      </c>
      <c r="E2" s="82" t="s">
        <v>51</v>
      </c>
    </row>
    <row r="3" spans="2:5" ht="78.599999999999994" customHeight="1" x14ac:dyDescent="0.3">
      <c r="B3" s="83" t="s">
        <v>54</v>
      </c>
      <c r="C3" s="80" t="s">
        <v>55</v>
      </c>
      <c r="D3" s="80">
        <v>5.2237200000000001</v>
      </c>
      <c r="E3" s="81" t="s">
        <v>56</v>
      </c>
    </row>
    <row r="4" spans="2:5" ht="58.8" customHeight="1" x14ac:dyDescent="0.3">
      <c r="B4" s="83" t="s">
        <v>49</v>
      </c>
      <c r="C4" s="80" t="s">
        <v>52</v>
      </c>
      <c r="D4" s="80">
        <v>13.079500000000001</v>
      </c>
      <c r="E4" s="81" t="s">
        <v>53</v>
      </c>
    </row>
    <row r="5" spans="2:5" ht="33" customHeight="1" x14ac:dyDescent="0.3">
      <c r="B5" s="83" t="s">
        <v>57</v>
      </c>
      <c r="C5" s="80" t="s">
        <v>58</v>
      </c>
      <c r="D5" s="80">
        <v>10.172777779</v>
      </c>
      <c r="E5" s="80"/>
    </row>
    <row r="6" spans="2:5" ht="54.6" customHeight="1" x14ac:dyDescent="0.3">
      <c r="B6" s="84" t="s">
        <v>59</v>
      </c>
      <c r="C6" s="80" t="s">
        <v>60</v>
      </c>
      <c r="D6" s="80">
        <v>39.943300000000001</v>
      </c>
      <c r="E6" s="81" t="s">
        <v>61</v>
      </c>
    </row>
    <row r="7" spans="2:5" ht="28.8" customHeight="1" x14ac:dyDescent="0.3">
      <c r="B7" s="83" t="s">
        <v>62</v>
      </c>
      <c r="C7" s="80" t="s">
        <v>63</v>
      </c>
      <c r="D7" s="80">
        <v>4.0579999999999998</v>
      </c>
      <c r="E7" s="80"/>
    </row>
    <row r="8" spans="2:5" ht="30" x14ac:dyDescent="0.3">
      <c r="B8" s="84" t="s">
        <v>65</v>
      </c>
      <c r="C8" s="80" t="s">
        <v>64</v>
      </c>
      <c r="D8" s="80">
        <v>4</v>
      </c>
      <c r="E8" s="80"/>
    </row>
    <row r="9" spans="2:5" ht="87.6" customHeight="1" x14ac:dyDescent="0.3">
      <c r="B9" s="83" t="s">
        <v>66</v>
      </c>
      <c r="C9" s="80" t="s">
        <v>67</v>
      </c>
      <c r="D9" s="80">
        <v>10</v>
      </c>
      <c r="E9" s="81" t="s">
        <v>68</v>
      </c>
    </row>
    <row r="10" spans="2:5" ht="15" x14ac:dyDescent="0.3">
      <c r="B10" s="79"/>
      <c r="C10" s="79"/>
      <c r="D10" s="79"/>
      <c r="E10" s="79"/>
    </row>
    <row r="11" spans="2:5" ht="161.4" customHeight="1" x14ac:dyDescent="0.3">
      <c r="B11" s="85" t="s">
        <v>69</v>
      </c>
      <c r="C11" s="86"/>
      <c r="D11" s="87"/>
      <c r="E11" s="81" t="s">
        <v>70</v>
      </c>
    </row>
  </sheetData>
  <mergeCells count="1">
    <mergeCell ref="B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ACTUACIÓN B</vt:lpstr>
      <vt:lpstr>ACTUACIÓN A</vt:lpstr>
      <vt:lpstr>Hoja1</vt:lpstr>
      <vt:lpstr>'ACTUACIÓN A'!Área_de_impresión</vt:lpstr>
      <vt:lpstr>'ACTUACIÓN B'!Área_de_impresión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andres felipe montoya osorio</cp:lastModifiedBy>
  <cp:revision/>
  <cp:lastPrinted>2025-06-28T16:56:02Z</cp:lastPrinted>
  <dcterms:created xsi:type="dcterms:W3CDTF">2024-02-08T21:06:52Z</dcterms:created>
  <dcterms:modified xsi:type="dcterms:W3CDTF">2025-08-24T23:05:46Z</dcterms:modified>
  <cp:category/>
  <cp:contentStatus/>
</cp:coreProperties>
</file>