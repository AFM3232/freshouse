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aCie/"/>
    </mc:Choice>
  </mc:AlternateContent>
  <xr:revisionPtr revIDLastSave="0" documentId="13_ncr:1_{CFA9FFAC-6EAB-E045-8228-58015C32C276}" xr6:coauthVersionLast="47" xr6:coauthVersionMax="47" xr10:uidLastSave="{00000000-0000-0000-0000-000000000000}"/>
  <bookViews>
    <workbookView xWindow="0" yWindow="680" windowWidth="29400" windowHeight="16940" xr2:uid="{00000000-000D-0000-FFFF-FFFF00000000}"/>
  </bookViews>
  <sheets>
    <sheet name="COT. SANTA CLARA PINT. IMP" sheetId="27" r:id="rId1"/>
  </sheets>
  <definedNames>
    <definedName name="_xlnm.Print_Area" localSheetId="0">'COT. SANTA CLARA PINT. IMP'!$A$1:$G$16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7" l="1"/>
  <c r="E10" i="27"/>
  <c r="G13" i="27" l="1"/>
  <c r="G12" i="27" s="1"/>
  <c r="G6" i="27"/>
  <c r="G9" i="27" l="1"/>
  <c r="G14" i="27" s="1"/>
  <c r="G15" i="27" s="1"/>
  <c r="G16" i="27" s="1"/>
</calcChain>
</file>

<file path=xl/sharedStrings.xml><?xml version="1.0" encoding="utf-8"?>
<sst xmlns="http://schemas.openxmlformats.org/spreadsheetml/2006/main" count="36" uniqueCount="34">
  <si>
    <t>CAPT</t>
  </si>
  <si>
    <t>ITEMS</t>
  </si>
  <si>
    <t>DESCRIPCION</t>
  </si>
  <si>
    <t>1.0</t>
  </si>
  <si>
    <t>PRELIMINARES</t>
  </si>
  <si>
    <t>DIRECCION: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</si>
  <si>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</si>
  <si>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</si>
  <si>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</si>
  <si>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</si>
  <si>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</si>
  <si>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</si>
  <si>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</si>
  <si>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</si>
  <si>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</si>
  <si>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</si>
  <si>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</si>
  <si>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</si>
  <si>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</si>
  <si>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INCLUIDO</t>
  </si>
  <si>
    <t>M2</t>
  </si>
  <si>
    <t>Calle 19 Norte 18-64 Ed. Atlantis piso 3 local 7</t>
  </si>
  <si>
    <t>Gerencia@freshouse.com.co</t>
  </si>
  <si>
    <t>COSTO DIRECTO</t>
  </si>
  <si>
    <t>VALOR PROPUESTA</t>
  </si>
  <si>
    <t>COTIZACIÓN OBRA - EDIFICIO ATLANTIS APTO 1106</t>
  </si>
  <si>
    <t xml:space="preserve">  VALIDO HASTA: 31/12/2025</t>
  </si>
  <si>
    <t xml:space="preserve">  FECHA: 22/10/2025</t>
  </si>
  <si>
    <t>Retiro y disposición de Placas de Fibrocemente existente</t>
  </si>
  <si>
    <t>IVA</t>
  </si>
  <si>
    <t>Aseo general, Retiro de Material y Pintura</t>
  </si>
  <si>
    <t xml:space="preserve">                 ALISTAMIENTO DE SUPERFICIES Y ACABADO</t>
  </si>
  <si>
    <t xml:space="preserve">                 TERMINADO Y LIMPIEZA</t>
  </si>
  <si>
    <t>Suministro e instalación de Laminas de Fibrocemento de 12mm con acabado final de vinilo tipo 1 de Pintuco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</si>
</sst>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5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3" fontId="4" fillId="0" borderId="5" xfId="1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165" fontId="2" fillId="2" borderId="11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164" fontId="7" fillId="4" borderId="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65" fontId="2" fillId="8" borderId="11" xfId="0" applyNumberFormat="1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left" vertical="center" wrapText="1"/>
    </xf>
    <xf numFmtId="164" fontId="4" fillId="10" borderId="2" xfId="0" applyNumberFormat="1" applyFont="1" applyFill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164" fontId="4" fillId="0" borderId="1" xfId="2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6" borderId="19" xfId="0" applyFont="1" applyFill="1" applyBorder="1" applyAlignment="1">
      <alignment horizontal="left" vertical="center"/>
    </xf>
    <xf numFmtId="0" fontId="5" fillId="6" borderId="20" xfId="0" applyFont="1" applyFill="1" applyBorder="1" applyAlignment="1">
      <alignment horizontal="left" vertical="center"/>
    </xf>
    <xf numFmtId="0" fontId="5" fillId="6" borderId="21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43" fontId="2" fillId="10" borderId="19" xfId="1" applyFont="1" applyFill="1" applyBorder="1" applyAlignment="1">
      <alignment horizontal="center" vertical="center"/>
    </xf>
    <xf numFmtId="43" fontId="2" fillId="10" borderId="21" xfId="1" applyFont="1" applyFill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43" fontId="4" fillId="0" borderId="22" xfId="1" applyFont="1" applyFill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2" borderId="2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279399</xdr:colOff>
      <xdr:row>1</xdr:row>
      <xdr:rowOff>254000</xdr:rowOff>
    </xdr:from>
    <xdr:to>
      <xdr:col>6</xdr:col>
      <xdr:colOff>1957448</xdr:colOff>
      <xdr:row>3</xdr:row>
      <xdr:rowOff>444500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7B69E4-8305-12D9-B64F-17F7A612F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3399" y="533400"/>
          <a:ext cx="3379849" cy="119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BBE5-0650-4C32-9372-B11BD1231774}">
  <dimension ref="A1:J20"/>
  <sheetViews>
    <sheetView tabSelected="1" topLeftCell="A10" zoomScaleNormal="66" workbookViewId="0">
      <selection activeCell="C20" sqref="C20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21.5" style="1" customWidth="1"/>
    <col min="5" max="5" width="25.1640625" style="1" bestFit="1" customWidth="1"/>
    <col min="6" max="6" width="22.33203125" style="1" bestFit="1" customWidth="1"/>
    <col min="7" max="7" width="28.83203125" style="1" customWidth="1"/>
    <col min="8" max="8" width="25.5" style="1" customWidth="1"/>
    <col min="9" max="16384" width="12.33203125" style="1"/>
  </cols>
  <sheetData>
    <row r="1" spans="1:10" s="21" customFormat="1" ht="22.5" customHeight="1" x14ac:dyDescent="0.2">
      <c r="A1" s="41" t="s">
        <v>25</v>
      </c>
      <c r="B1" s="42"/>
      <c r="C1" s="42"/>
      <c r="D1" s="42"/>
      <c r="E1" s="42"/>
      <c r="F1" s="42"/>
      <c r="G1" s="43"/>
    </row>
    <row r="2" spans="1:10" ht="44" customHeight="1" x14ac:dyDescent="0.2">
      <c r="A2" s="44" t="s">
        <v>5</v>
      </c>
      <c r="B2" s="45"/>
      <c r="C2" s="3" t="s">
        <v>21</v>
      </c>
      <c r="D2" s="3" t="s">
        <v>6</v>
      </c>
      <c r="E2" s="3" t="s">
        <v>7</v>
      </c>
      <c r="F2" s="46"/>
      <c r="G2" s="47"/>
    </row>
    <row r="3" spans="1:10" ht="35" customHeight="1" x14ac:dyDescent="0.2">
      <c r="A3" s="44" t="s">
        <v>8</v>
      </c>
      <c r="B3" s="45"/>
      <c r="C3" s="35" t="s">
        <v>22</v>
      </c>
      <c r="D3" s="44" t="s">
        <v>27</v>
      </c>
      <c r="E3" s="45"/>
      <c r="F3" s="48"/>
      <c r="G3" s="49"/>
      <c r="H3"/>
    </row>
    <row r="4" spans="1:10" ht="53" customHeight="1" x14ac:dyDescent="0.2">
      <c r="A4" s="44" t="s">
        <v>9</v>
      </c>
      <c r="B4" s="45"/>
      <c r="C4" s="3" t="s">
        <v>10</v>
      </c>
      <c r="D4" s="44" t="s">
        <v>26</v>
      </c>
      <c r="E4" s="45"/>
      <c r="F4" s="50"/>
      <c r="G4" s="51"/>
      <c r="H4"/>
    </row>
    <row r="5" spans="1:10" ht="45" customHeight="1" x14ac:dyDescent="0.2">
      <c r="A5" s="9" t="s">
        <v>0</v>
      </c>
      <c r="B5" s="9" t="s">
        <v>1</v>
      </c>
      <c r="C5" s="9" t="s">
        <v>2</v>
      </c>
      <c r="D5" s="9" t="s">
        <v>11</v>
      </c>
      <c r="E5" s="9" t="s">
        <v>12</v>
      </c>
      <c r="F5" s="9" t="s">
        <v>13</v>
      </c>
      <c r="G5" s="9" t="s">
        <v>14</v>
      </c>
      <c r="H5"/>
    </row>
    <row r="6" spans="1:10" ht="23.25" customHeight="1" x14ac:dyDescent="0.2">
      <c r="A6" s="13" t="s">
        <v>3</v>
      </c>
      <c r="B6" s="12"/>
      <c r="C6" s="12" t="s">
        <v>4</v>
      </c>
      <c r="D6" s="12"/>
      <c r="E6" s="12"/>
      <c r="F6" s="12"/>
      <c r="G6" s="4">
        <f>SUM(G7:G8)</f>
        <v>0</v>
      </c>
    </row>
    <row r="7" spans="1:10" ht="39" customHeight="1" x14ac:dyDescent="0.2">
      <c r="A7" s="10"/>
      <c r="B7" s="15">
        <v>1.1000000000000001</v>
      </c>
      <c r="C7" s="19" t="s">
        <v>17</v>
      </c>
      <c r="D7" s="17" t="s">
        <v>16</v>
      </c>
      <c r="E7" s="11">
        <v>1</v>
      </c>
      <c r="F7" s="20" t="s">
        <v>19</v>
      </c>
      <c r="G7" s="6"/>
    </row>
    <row r="8" spans="1:10" ht="99" customHeight="1" x14ac:dyDescent="0.2">
      <c r="A8" s="10"/>
      <c r="B8" s="15">
        <v>1.2</v>
      </c>
      <c r="C8" s="19" t="s">
        <v>18</v>
      </c>
      <c r="D8" s="17" t="s">
        <v>15</v>
      </c>
      <c r="E8" s="11">
        <v>1</v>
      </c>
      <c r="F8" s="20" t="s">
        <v>19</v>
      </c>
      <c r="G8" s="6"/>
    </row>
    <row r="9" spans="1:10" s="22" customFormat="1" ht="22" customHeight="1" x14ac:dyDescent="0.2">
      <c r="A9" s="24">
        <v>2</v>
      </c>
      <c r="B9" s="38" t="s">
        <v>31</v>
      </c>
      <c r="C9" s="39"/>
      <c r="D9" s="39"/>
      <c r="E9" s="39"/>
      <c r="F9" s="40"/>
      <c r="G9" s="25">
        <f>SUM(G10:G11)</f>
        <v>5253119.9999999991</v>
      </c>
    </row>
    <row r="10" spans="1:10" s="22" customFormat="1" ht="64.25" customHeight="1" x14ac:dyDescent="0.2">
      <c r="A10" s="68"/>
      <c r="B10" s="66">
        <v>2.1</v>
      </c>
      <c r="C10" s="27" t="s">
        <v>28</v>
      </c>
      <c r="D10" s="62" t="s">
        <v>20</v>
      </c>
      <c r="E10" s="60">
        <f>114*0.6</f>
        <v>68.399999999999991</v>
      </c>
      <c r="F10" s="58">
        <v>76800</v>
      </c>
      <c r="G10" s="64">
        <f>F10*E10</f>
        <v>5253119.9999999991</v>
      </c>
      <c r="H10" s="36"/>
      <c r="I10" s="36"/>
      <c r="J10" s="23"/>
    </row>
    <row r="11" spans="1:10" s="22" customFormat="1" ht="64.25" customHeight="1" x14ac:dyDescent="0.2">
      <c r="A11" s="69"/>
      <c r="B11" s="67"/>
      <c r="C11" s="27" t="s">
        <v>33</v>
      </c>
      <c r="D11" s="63"/>
      <c r="E11" s="61"/>
      <c r="F11" s="59"/>
      <c r="G11" s="65"/>
      <c r="J11" s="23"/>
    </row>
    <row r="12" spans="1:10" customFormat="1" ht="35.5" customHeight="1" x14ac:dyDescent="0.2">
      <c r="A12" s="28">
        <v>3</v>
      </c>
      <c r="B12" s="54" t="s">
        <v>32</v>
      </c>
      <c r="C12" s="54"/>
      <c r="D12" s="54"/>
      <c r="E12" s="54"/>
      <c r="F12" s="55"/>
      <c r="G12" s="29">
        <f>SUM(G13:G13)</f>
        <v>300000</v>
      </c>
    </row>
    <row r="13" spans="1:10" ht="64.25" customHeight="1" x14ac:dyDescent="0.2">
      <c r="A13" s="14"/>
      <c r="B13" s="16">
        <v>3.1</v>
      </c>
      <c r="C13" s="19" t="s">
        <v>30</v>
      </c>
      <c r="D13" s="18" t="s">
        <v>16</v>
      </c>
      <c r="E13" s="11">
        <v>1</v>
      </c>
      <c r="F13" s="5">
        <v>300000</v>
      </c>
      <c r="G13" s="34">
        <f>F13*E13</f>
        <v>300000</v>
      </c>
    </row>
    <row r="14" spans="1:10" ht="27.5" customHeight="1" x14ac:dyDescent="0.2">
      <c r="A14" s="7"/>
      <c r="B14" s="8"/>
      <c r="C14" s="8"/>
      <c r="E14" s="56" t="s">
        <v>23</v>
      </c>
      <c r="F14" s="57"/>
      <c r="G14" s="30">
        <f>G9+G12</f>
        <v>5553119.9999999991</v>
      </c>
    </row>
    <row r="15" spans="1:10" ht="21.75" customHeight="1" x14ac:dyDescent="0.2">
      <c r="A15" s="7"/>
      <c r="B15" s="8"/>
      <c r="C15" s="8"/>
      <c r="E15" s="26" t="s">
        <v>29</v>
      </c>
      <c r="F15" s="31">
        <v>0.19</v>
      </c>
      <c r="G15" s="32">
        <f>F15*G14</f>
        <v>1055092.7999999998</v>
      </c>
    </row>
    <row r="16" spans="1:10" ht="16" x14ac:dyDescent="0.2">
      <c r="A16" s="7"/>
      <c r="B16" s="8"/>
      <c r="C16" s="8"/>
      <c r="E16" s="52" t="s">
        <v>24</v>
      </c>
      <c r="F16" s="53"/>
      <c r="G16" s="33">
        <f>+G14+G15</f>
        <v>6608212.7999999989</v>
      </c>
    </row>
    <row r="18" spans="3:7" x14ac:dyDescent="0.2">
      <c r="C18" s="1">
        <v>45000</v>
      </c>
      <c r="G18" s="37"/>
    </row>
    <row r="19" spans="3:7" x14ac:dyDescent="0.2">
      <c r="C19" s="1">
        <v>59000</v>
      </c>
      <c r="G19" s="37"/>
    </row>
    <row r="20" spans="3:7" x14ac:dyDescent="0.2">
      <c r="C20" s="1">
        <v>30000</v>
      </c>
    </row>
  </sheetData>
  <mergeCells count="17">
    <mergeCell ref="A10:A11"/>
    <mergeCell ref="F10:F11"/>
    <mergeCell ref="E10:E11"/>
    <mergeCell ref="D10:D11"/>
    <mergeCell ref="G10:G11"/>
    <mergeCell ref="B10:B11"/>
    <mergeCell ref="E16:F16"/>
    <mergeCell ref="B12:F12"/>
    <mergeCell ref="E14:F14"/>
    <mergeCell ref="B9:F9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1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COT. SANTA CLARA PINT. IMP</vt:lpstr>
      <vt:lpstr>'COT. SANTA CLARA PINT. IMP'!Área_de_impresión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2025-03-03T21:27:54Z</cp:lastPrinted>
  <dcterms:created xsi:type="dcterms:W3CDTF">2024-02-08T21:06:52Z</dcterms:created>
  <dcterms:modified xsi:type="dcterms:W3CDTF">2025-11-24T21:19:31Z</dcterms:modified>
  <cp:category/>
  <cp:contentStatus/>
</cp:coreProperties>
</file>