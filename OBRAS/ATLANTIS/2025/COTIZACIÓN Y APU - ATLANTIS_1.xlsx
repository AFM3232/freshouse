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SSI\Downloads\"/>
    </mc:Choice>
  </mc:AlternateContent>
  <xr:revisionPtr revIDLastSave="0" documentId="13_ncr:1_{A76B5417-91D9-4A38-AD97-93C400DA3C89}" xr6:coauthVersionLast="47" xr6:coauthVersionMax="47" xr10:uidLastSave="{00000000-0000-0000-0000-000000000000}"/>
  <bookViews>
    <workbookView xWindow="-108" yWindow="-108" windowWidth="23256" windowHeight="12456" xr2:uid="{1042EAFE-A61F-4BE3-A753-F2250B14253F}"/>
  </bookViews>
  <sheets>
    <sheet name="medidas definitivas" sheetId="1" r:id="rId1"/>
    <sheet name="CUADRO GENERAL DE ACTIVIDADES" sheetId="2" r:id="rId2"/>
    <sheet name="APU IMPERMEABILIZACIÓN" sheetId="3" r:id="rId3"/>
    <sheet name="RESUMEN APU" sheetId="4" r:id="rId4"/>
  </sheets>
  <externalReferences>
    <externalReference r:id="rId5"/>
  </externalReferenc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61" i="4" l="1"/>
  <c r="E686" i="3"/>
  <c r="E688" i="3" s="1"/>
  <c r="D669" i="3" s="1"/>
  <c r="E669" i="3" s="1"/>
  <c r="E671" i="3" s="1"/>
  <c r="E681" i="3"/>
  <c r="E683" i="3" s="1"/>
  <c r="E674" i="3"/>
  <c r="E676" i="3" s="1"/>
  <c r="E678" i="3" s="1"/>
  <c r="E655" i="3"/>
  <c r="E657" i="3" s="1"/>
  <c r="D637" i="3" s="1"/>
  <c r="E637" i="3" s="1"/>
  <c r="E639" i="3" s="1"/>
  <c r="E659" i="3" s="1"/>
  <c r="E652" i="3"/>
  <c r="E650" i="3"/>
  <c r="E647" i="3"/>
  <c r="E643" i="3"/>
  <c r="E642" i="3"/>
  <c r="E628" i="3"/>
  <c r="D610" i="3" s="1"/>
  <c r="E610" i="3" s="1"/>
  <c r="E612" i="3" s="1"/>
  <c r="E630" i="3" s="1"/>
  <c r="E626" i="3"/>
  <c r="E621" i="3"/>
  <c r="E623" i="3" s="1"/>
  <c r="E618" i="3"/>
  <c r="E597" i="3"/>
  <c r="E599" i="3" s="1"/>
  <c r="D580" i="3" s="1"/>
  <c r="E580" i="3" s="1"/>
  <c r="E582" i="3" s="1"/>
  <c r="E592" i="3"/>
  <c r="E594" i="3" s="1"/>
  <c r="E585" i="3"/>
  <c r="E589" i="3" s="1"/>
  <c r="E569" i="3"/>
  <c r="E571" i="3" s="1"/>
  <c r="D549" i="3" s="1"/>
  <c r="E549" i="3" s="1"/>
  <c r="E551" i="3" s="1"/>
  <c r="E564" i="3"/>
  <c r="E566" i="3" s="1"/>
  <c r="E559" i="3"/>
  <c r="E561" i="3" s="1"/>
  <c r="E557" i="3"/>
  <c r="E556" i="3"/>
  <c r="E555" i="3"/>
  <c r="E554" i="3"/>
  <c r="E538" i="3"/>
  <c r="E540" i="3" s="1"/>
  <c r="D522" i="3" s="1"/>
  <c r="E522" i="3" s="1"/>
  <c r="E524" i="3" s="1"/>
  <c r="E542" i="3" s="1"/>
  <c r="E533" i="3"/>
  <c r="E535" i="3" s="1"/>
  <c r="E530" i="3"/>
  <c r="E511" i="3"/>
  <c r="D491" i="3" s="1"/>
  <c r="E491" i="3" s="1"/>
  <c r="E493" i="3" s="1"/>
  <c r="E509" i="3"/>
  <c r="E504" i="3"/>
  <c r="E506" i="3" s="1"/>
  <c r="E497" i="3"/>
  <c r="E496" i="3"/>
  <c r="E501" i="3" s="1"/>
  <c r="E482" i="3"/>
  <c r="D462" i="3" s="1"/>
  <c r="E462" i="3" s="1"/>
  <c r="E464" i="3" s="1"/>
  <c r="E480" i="3"/>
  <c r="E475" i="3"/>
  <c r="E477" i="3" s="1"/>
  <c r="E468" i="3"/>
  <c r="E467" i="3"/>
  <c r="E472" i="3" s="1"/>
  <c r="E451" i="3"/>
  <c r="E453" i="3" s="1"/>
  <c r="D432" i="3" s="1"/>
  <c r="E432" i="3" s="1"/>
  <c r="E435" i="3" s="1"/>
  <c r="E448" i="3"/>
  <c r="E446" i="3"/>
  <c r="E439" i="3"/>
  <c r="D438" i="3"/>
  <c r="E438" i="3" s="1"/>
  <c r="E433" i="3"/>
  <c r="E423" i="3"/>
  <c r="D402" i="3" s="1"/>
  <c r="E402" i="3" s="1"/>
  <c r="E404" i="3" s="1"/>
  <c r="E425" i="3" s="1"/>
  <c r="E421" i="3"/>
  <c r="E416" i="3"/>
  <c r="E418" i="3" s="1"/>
  <c r="E409" i="3"/>
  <c r="E408" i="3"/>
  <c r="E413" i="3" s="1"/>
  <c r="E407" i="3"/>
  <c r="E393" i="3"/>
  <c r="D375" i="3" s="1"/>
  <c r="E375" i="3" s="1"/>
  <c r="E377" i="3" s="1"/>
  <c r="E391" i="3"/>
  <c r="E388" i="3"/>
  <c r="E381" i="3"/>
  <c r="E383" i="3" s="1"/>
  <c r="E365" i="3"/>
  <c r="D343" i="3" s="1"/>
  <c r="E343" i="3" s="1"/>
  <c r="E345" i="3" s="1"/>
  <c r="E363" i="3"/>
  <c r="E360" i="3"/>
  <c r="E358" i="3"/>
  <c r="E351" i="3"/>
  <c r="E350" i="3"/>
  <c r="E349" i="3"/>
  <c r="E348" i="3"/>
  <c r="E333" i="3"/>
  <c r="E335" i="3" s="1"/>
  <c r="D314" i="3" s="1"/>
  <c r="E314" i="3" s="1"/>
  <c r="E317" i="3" s="1"/>
  <c r="E328" i="3"/>
  <c r="E330" i="3" s="1"/>
  <c r="E321" i="3"/>
  <c r="E320" i="3"/>
  <c r="E315" i="3"/>
  <c r="E304" i="3"/>
  <c r="E306" i="3" s="1"/>
  <c r="D286" i="3" s="1"/>
  <c r="E286" i="3" s="1"/>
  <c r="E288" i="3" s="1"/>
  <c r="E299" i="3"/>
  <c r="E301" i="3" s="1"/>
  <c r="E293" i="3"/>
  <c r="E292" i="3"/>
  <c r="E291" i="3"/>
  <c r="E296" i="3" s="1"/>
  <c r="E278" i="3"/>
  <c r="E280" i="3" s="1"/>
  <c r="E275" i="3"/>
  <c r="E268" i="3"/>
  <c r="E270" i="3" s="1"/>
  <c r="E254" i="3"/>
  <c r="E256" i="3" s="1"/>
  <c r="D238" i="3" s="1"/>
  <c r="E238" i="3" s="1"/>
  <c r="E240" i="3" s="1"/>
  <c r="E251" i="3"/>
  <c r="E244" i="3"/>
  <c r="E246" i="3" s="1"/>
  <c r="E226" i="3"/>
  <c r="E228" i="3" s="1"/>
  <c r="D207" i="3" s="1"/>
  <c r="E207" i="3" s="1"/>
  <c r="E210" i="3" s="1"/>
  <c r="E221" i="3"/>
  <c r="E223" i="3" s="1"/>
  <c r="E214" i="3"/>
  <c r="E213" i="3"/>
  <c r="E216" i="3" s="1"/>
  <c r="E208" i="3"/>
  <c r="E197" i="3"/>
  <c r="E199" i="3" s="1"/>
  <c r="D179" i="3" s="1"/>
  <c r="E179" i="3" s="1"/>
  <c r="E181" i="3" s="1"/>
  <c r="E194" i="3"/>
  <c r="E192" i="3"/>
  <c r="E186" i="3"/>
  <c r="E185" i="3"/>
  <c r="E184" i="3"/>
  <c r="E189" i="3" s="1"/>
  <c r="E169" i="3"/>
  <c r="E171" i="3" s="1"/>
  <c r="D153" i="3" s="1"/>
  <c r="E153" i="3" s="1"/>
  <c r="E155" i="3" s="1"/>
  <c r="E164" i="3"/>
  <c r="E166" i="3" s="1"/>
  <c r="E161" i="3"/>
  <c r="E141" i="3"/>
  <c r="E143" i="3" s="1"/>
  <c r="D122" i="3" s="1"/>
  <c r="E122" i="3" s="1"/>
  <c r="E125" i="3" s="1"/>
  <c r="E136" i="3"/>
  <c r="E138" i="3" s="1"/>
  <c r="E129" i="3"/>
  <c r="E128" i="3"/>
  <c r="E123" i="3"/>
  <c r="E112" i="3"/>
  <c r="E114" i="3" s="1"/>
  <c r="D92" i="3" s="1"/>
  <c r="E92" i="3" s="1"/>
  <c r="E96" i="3" s="1"/>
  <c r="E109" i="3"/>
  <c r="E100" i="3"/>
  <c r="E99" i="3"/>
  <c r="E94" i="3"/>
  <c r="E93" i="3"/>
  <c r="E80" i="3"/>
  <c r="E82" i="3" s="1"/>
  <c r="D61" i="3" s="1"/>
  <c r="E61" i="3" s="1"/>
  <c r="E75" i="3"/>
  <c r="E77" i="3" s="1"/>
  <c r="E68" i="3"/>
  <c r="E67" i="3"/>
  <c r="E62" i="3"/>
  <c r="E51" i="3"/>
  <c r="E53" i="3" s="1"/>
  <c r="D33" i="3" s="1"/>
  <c r="E33" i="3" s="1"/>
  <c r="E35" i="3" s="1"/>
  <c r="E46" i="3"/>
  <c r="E48" i="3" s="1"/>
  <c r="E40" i="3"/>
  <c r="E39" i="3"/>
  <c r="E38" i="3"/>
  <c r="E25" i="3"/>
  <c r="E27" i="3" s="1"/>
  <c r="D9" i="3" s="1"/>
  <c r="E9" i="3" s="1"/>
  <c r="E11" i="3" s="1"/>
  <c r="E22" i="3"/>
  <c r="E15" i="3"/>
  <c r="E17" i="3" s="1"/>
  <c r="C55" i="4"/>
  <c r="C44" i="4"/>
  <c r="E484" i="3" l="1"/>
  <c r="E441" i="3"/>
  <c r="E443" i="3" s="1"/>
  <c r="E455" i="3" s="1"/>
  <c r="E573" i="3"/>
  <c r="E513" i="3"/>
  <c r="E601" i="3"/>
  <c r="E395" i="3"/>
  <c r="E690" i="3"/>
  <c r="E353" i="3"/>
  <c r="E355" i="3" s="1"/>
  <c r="E367" i="3" s="1"/>
  <c r="E308" i="3"/>
  <c r="E64" i="3"/>
  <c r="C5" i="4"/>
  <c r="E43" i="3"/>
  <c r="E323" i="3"/>
  <c r="E325" i="3"/>
  <c r="E337" i="3" s="1"/>
  <c r="E218" i="3"/>
  <c r="E230" i="3" s="1"/>
  <c r="C22" i="4" s="1"/>
  <c r="E201" i="3"/>
  <c r="C21" i="4" s="1"/>
  <c r="E173" i="3"/>
  <c r="C19" i="4" s="1"/>
  <c r="C18" i="4" s="1"/>
  <c r="E131" i="3"/>
  <c r="E133" i="3" s="1"/>
  <c r="E145" i="3" s="1"/>
  <c r="C14" i="4" s="1"/>
  <c r="E102" i="3"/>
  <c r="E104" i="3" s="1"/>
  <c r="E116" i="3" s="1"/>
  <c r="C13" i="4" s="1"/>
  <c r="E55" i="3"/>
  <c r="C6" i="4" s="1"/>
  <c r="E70" i="3"/>
  <c r="E72" i="3" s="1"/>
  <c r="E84" i="3" s="1"/>
  <c r="C7" i="4" s="1"/>
  <c r="C35" i="4"/>
  <c r="D88" i="1"/>
  <c r="G41" i="2"/>
  <c r="G39" i="2"/>
  <c r="G38" i="2"/>
  <c r="G37" i="2"/>
  <c r="G36" i="2"/>
  <c r="G35" i="2"/>
  <c r="G34" i="2"/>
  <c r="G33" i="2"/>
  <c r="G31" i="2"/>
  <c r="G30" i="2"/>
  <c r="G28" i="2"/>
  <c r="G27" i="2"/>
  <c r="G26" i="2"/>
  <c r="G25" i="2"/>
  <c r="G23" i="2"/>
  <c r="G22" i="2"/>
  <c r="G21" i="2"/>
  <c r="G20" i="2"/>
  <c r="G19" i="2"/>
  <c r="G18" i="2"/>
  <c r="G17" i="2"/>
  <c r="G16" i="2"/>
  <c r="G15" i="2"/>
  <c r="G14" i="2"/>
  <c r="G40" i="2"/>
  <c r="G11" i="2"/>
  <c r="G12" i="2"/>
  <c r="G10" i="2"/>
  <c r="G29" i="2" l="1"/>
  <c r="G24" i="2"/>
  <c r="G9" i="2"/>
  <c r="G13" i="2"/>
  <c r="G32" i="2"/>
  <c r="C88" i="1"/>
  <c r="C85" i="1"/>
  <c r="C84" i="1"/>
  <c r="C80" i="1"/>
  <c r="C79" i="1"/>
  <c r="C75" i="1"/>
  <c r="C71" i="1"/>
  <c r="C67" i="1"/>
  <c r="C66" i="1"/>
  <c r="J65" i="1"/>
  <c r="C65" i="1"/>
  <c r="J63" i="1"/>
  <c r="C59" i="1"/>
  <c r="C57" i="1"/>
  <c r="C56" i="1"/>
  <c r="C55" i="1"/>
  <c r="C50" i="1"/>
  <c r="C49" i="1"/>
  <c r="C48" i="1"/>
  <c r="C47" i="1"/>
  <c r="M45" i="1"/>
  <c r="J45" i="1"/>
  <c r="M44" i="1"/>
  <c r="J44" i="1"/>
  <c r="M43" i="1"/>
  <c r="J43" i="1"/>
  <c r="N39" i="1"/>
  <c r="K39" i="1"/>
  <c r="K38" i="1"/>
  <c r="N38" i="1" s="1"/>
  <c r="K35" i="1"/>
  <c r="N35" i="1" s="1"/>
  <c r="C35" i="1"/>
  <c r="F35" i="1" s="1"/>
  <c r="K34" i="1"/>
  <c r="N34" i="1" s="1"/>
  <c r="K33" i="1"/>
  <c r="N33" i="1" s="1"/>
  <c r="C33" i="1"/>
  <c r="F33" i="1" s="1"/>
  <c r="C31" i="1"/>
  <c r="F29" i="1" s="1"/>
  <c r="N27" i="1"/>
  <c r="K27" i="1"/>
  <c r="C27" i="1"/>
  <c r="N26" i="1"/>
  <c r="C26" i="1"/>
  <c r="F25" i="1" s="1"/>
  <c r="N25" i="1"/>
  <c r="N24" i="1"/>
  <c r="N23" i="1"/>
  <c r="C23" i="1"/>
  <c r="N22" i="1"/>
  <c r="N28" i="1" s="1"/>
  <c r="C22" i="1"/>
  <c r="N21" i="1"/>
  <c r="F21" i="1"/>
  <c r="O16" i="1"/>
  <c r="G16" i="1"/>
  <c r="F15" i="1"/>
  <c r="G15" i="1" s="1"/>
  <c r="M14" i="1"/>
  <c r="N14" i="1" s="1"/>
  <c r="G14" i="1"/>
  <c r="M13" i="1"/>
  <c r="N13" i="1" s="1"/>
  <c r="D13" i="1"/>
  <c r="F13" i="1" s="1"/>
  <c r="G13" i="1" s="1"/>
  <c r="M12" i="1"/>
  <c r="N12" i="1" s="1"/>
  <c r="G12" i="1"/>
  <c r="M11" i="1"/>
  <c r="N11" i="1" s="1"/>
  <c r="D11" i="1"/>
  <c r="F11" i="1" s="1"/>
  <c r="G11" i="1" s="1"/>
  <c r="M10" i="1"/>
  <c r="N10" i="1" s="1"/>
  <c r="G10" i="1"/>
  <c r="M9" i="1"/>
  <c r="N9" i="1" s="1"/>
  <c r="D9" i="1"/>
  <c r="F9" i="1" s="1"/>
  <c r="G9" i="1" s="1"/>
  <c r="M8" i="1"/>
  <c r="N8" i="1" s="1"/>
  <c r="G8" i="1"/>
  <c r="M7" i="1"/>
  <c r="N7" i="1" s="1"/>
  <c r="D7" i="1"/>
  <c r="F7" i="1" s="1"/>
  <c r="G7" i="1" s="1"/>
  <c r="M6" i="1"/>
  <c r="N6" i="1" s="1"/>
  <c r="G6" i="1"/>
  <c r="F5" i="1"/>
  <c r="G5" i="1" s="1"/>
  <c r="G42" i="2" l="1"/>
  <c r="G17" i="1"/>
  <c r="N16" i="1"/>
  <c r="C36" i="1"/>
  <c r="F36" i="1" s="1"/>
  <c r="G44" i="2" l="1"/>
  <c r="G43" i="2"/>
  <c r="G45" i="2"/>
  <c r="G46" i="2" s="1"/>
  <c r="G47" i="2" l="1"/>
  <c r="C30" i="4" l="1"/>
  <c r="C27" i="4"/>
  <c r="C4" i="4" l="1"/>
  <c r="C12" i="4"/>
  <c r="C26" i="4"/>
  <c r="D262" i="3" l="1"/>
  <c r="E262" i="3"/>
  <c r="E264" i="3"/>
</calcChain>
</file>

<file path=xl/sharedStrings.xml><?xml version="1.0" encoding="utf-8"?>
<sst xmlns="http://schemas.openxmlformats.org/spreadsheetml/2006/main" count="1475" uniqueCount="338">
  <si>
    <t>PASILLOS TORRES</t>
  </si>
  <si>
    <t>VACIOS</t>
  </si>
  <si>
    <t>BARANDAS</t>
  </si>
  <si>
    <t xml:space="preserve">CARAS </t>
  </si>
  <si>
    <t># PISOS</t>
  </si>
  <si>
    <t>ML</t>
  </si>
  <si>
    <t>H</t>
  </si>
  <si>
    <t>M2</t>
  </si>
  <si>
    <t xml:space="preserve">M2 TOTAL </t>
  </si>
  <si>
    <t>LOBBY ACCESO T1 Y T2 PAREDES</t>
  </si>
  <si>
    <t>ESCALERAS T1</t>
  </si>
  <si>
    <t>LOBBY ACCESO T1 Y T2 TECHO</t>
  </si>
  <si>
    <t>ENTRE TORRE 1 TORRE 2</t>
  </si>
  <si>
    <t>PASILLOS T1 PAREDES</t>
  </si>
  <si>
    <t>TORRE 2 FRENTE A ESCALERAS</t>
  </si>
  <si>
    <t>PASILLOS T1 TECHO</t>
  </si>
  <si>
    <t>TORRE 2 DIAGONAL ASCENSOR</t>
  </si>
  <si>
    <t>PASILLOS T2 PAREDES</t>
  </si>
  <si>
    <t>TORRE 2 ENTRE VESTIERES T2 Y T3</t>
  </si>
  <si>
    <t>PASILLOS T2 TECHO</t>
  </si>
  <si>
    <t>ENTRE TORRE 2 Y TORRE 3 (609)</t>
  </si>
  <si>
    <t>LOBBY ACCESO T3 Y T4 PAREDES</t>
  </si>
  <si>
    <t>FRENTE ESCALERAS TORRE 3</t>
  </si>
  <si>
    <t>LOBBY ACCESO T3 Y T4 TECHO</t>
  </si>
  <si>
    <t>ENTRE TORRE 3 Y TORRE 4</t>
  </si>
  <si>
    <t>PASILLOS T3 PAREDES</t>
  </si>
  <si>
    <t>FRENTE ESCALERAS TORRE 4</t>
  </si>
  <si>
    <t>PASILLOS T3 TECHO</t>
  </si>
  <si>
    <t>DIAGONAL ASCENSOR TORRE 4</t>
  </si>
  <si>
    <t>PASILLOS T4 PAREDES</t>
  </si>
  <si>
    <t>PASILLOS T4 TECHO</t>
  </si>
  <si>
    <t>TOTAL</t>
  </si>
  <si>
    <t xml:space="preserve">ELEMENTOS VOLUMÉTRICOS </t>
  </si>
  <si>
    <t>ZONA COMERCIAL</t>
  </si>
  <si>
    <t>FACHADA LATERAL</t>
  </si>
  <si>
    <t>LAVADO</t>
  </si>
  <si>
    <t>FACHADA CRA 19 LOCALES</t>
  </si>
  <si>
    <t>GRANIPLAST</t>
  </si>
  <si>
    <t>FACHADA LATERAL LOCALES</t>
  </si>
  <si>
    <t>CARAS LATERALES</t>
  </si>
  <si>
    <t>CIELO RASO TORRE 1 PISO 2</t>
  </si>
  <si>
    <t>FACHADA CRA 19</t>
  </si>
  <si>
    <t>CIELO RASO TORRE 2-3 PISO 3</t>
  </si>
  <si>
    <t>CIELO RASO TORRE 4 PISO 4</t>
  </si>
  <si>
    <t>CIELO RASO MALL DE COMIDAS</t>
  </si>
  <si>
    <t>PAREDES MALL DE COMIDAS</t>
  </si>
  <si>
    <t>FACHADA FRONTAL</t>
  </si>
  <si>
    <t>BALCONES</t>
  </si>
  <si>
    <t>APARTAMENTOS</t>
  </si>
  <si>
    <t>FACHADA POSTERIOR</t>
  </si>
  <si>
    <t>TECHOS BALCONES</t>
  </si>
  <si>
    <t>TODOS</t>
  </si>
  <si>
    <t>ELEMENTOS VOLUMÉTRICOS METÁLICOS EN TERRAZAS</t>
  </si>
  <si>
    <t>MURO BALCÓN EXTERIOR ABUSARDADO</t>
  </si>
  <si>
    <t>ARCO ML</t>
  </si>
  <si>
    <t xml:space="preserve">MURO BALCÓN INTERIOR PINTURA </t>
  </si>
  <si>
    <t>COMERCIO</t>
  </si>
  <si>
    <t>DOMOS EN POLICARBONATO</t>
  </si>
  <si>
    <t>DESCRIPCIÓN</t>
  </si>
  <si>
    <t>ML CANAL</t>
  </si>
  <si>
    <t>M2 CANAL</t>
  </si>
  <si>
    <t>CUBIERTA TEJA TORRE 4 PISO 14</t>
  </si>
  <si>
    <t>AREA DE VENTANAS</t>
  </si>
  <si>
    <t>PARQUE INFANTIL-SALÓN SOCIAL</t>
  </si>
  <si>
    <t xml:space="preserve">DOMO EN PISCINAS </t>
  </si>
  <si>
    <t>CUBIERTA TORRE 4</t>
  </si>
  <si>
    <t xml:space="preserve"> TEJA ETERNIT</t>
  </si>
  <si>
    <t xml:space="preserve">ML ALFAGIAS EN CUBIERTA Y TERRAZAS </t>
  </si>
  <si>
    <t>PUERTAS METÁLICAS PARQUEADEROS</t>
  </si>
  <si>
    <t>VIGA CANAL</t>
  </si>
  <si>
    <t>PLACAS EN CONCRETO</t>
  </si>
  <si>
    <t>ML ALFAGIAS EN VOLUMENES DE FACHADAS</t>
  </si>
  <si>
    <t>TERRAZA 1</t>
  </si>
  <si>
    <t>TEXTURA AMARILLA</t>
  </si>
  <si>
    <t>PINTURA</t>
  </si>
  <si>
    <t>SINTÉTICO</t>
  </si>
  <si>
    <t>IMPERMEABILIZACIÓN</t>
  </si>
  <si>
    <t>JARDINERAS</t>
  </si>
  <si>
    <t xml:space="preserve">BANCAS </t>
  </si>
  <si>
    <t>CUBIERTA</t>
  </si>
  <si>
    <t>PLACAS EN CONCRETO TANQUES</t>
  </si>
  <si>
    <t>BARANDAS METÁLICAS ML</t>
  </si>
  <si>
    <t>TERRAZA 2 PISCINAS</t>
  </si>
  <si>
    <t>PISCINA ADULTOS</t>
  </si>
  <si>
    <t>PISCINA NIÑOS</t>
  </si>
  <si>
    <t>CONCRETO/CESPED</t>
  </si>
  <si>
    <t>JACUZZIS</t>
  </si>
  <si>
    <t>CERÁMICA PISCINA NIÑOS</t>
  </si>
  <si>
    <t xml:space="preserve">CERÁMICA PISCINA ADULTOS </t>
  </si>
  <si>
    <t>REJILLA</t>
  </si>
  <si>
    <t xml:space="preserve">DECK PISCINA ADULTOS </t>
  </si>
  <si>
    <t>BORDILLO VACIOS</t>
  </si>
  <si>
    <t>RETIRO MATERA</t>
  </si>
  <si>
    <t>DECK JACUZZIS</t>
  </si>
  <si>
    <t>LOSA TANQUES</t>
  </si>
  <si>
    <t>CERAMICA CIRCULACIONES</t>
  </si>
  <si>
    <t>PISO GYM -SALÓN SOCIAL Y WC</t>
  </si>
  <si>
    <t xml:space="preserve">PAREDES GYM -SALÓN SOCIAL Y WC INTERNAS </t>
  </si>
  <si>
    <t>PAREDES GYM -SALÓN SOCIAL Y WC EXTERNAS</t>
  </si>
  <si>
    <t>CIELO RASO SUPERBOARD PASILLO</t>
  </si>
  <si>
    <t>CARTERAS CIELO RASO</t>
  </si>
  <si>
    <t>BARANDAS PISCINAS GRANDES ML</t>
  </si>
  <si>
    <t>BARANDAS PISCINAS JACUZZI ML</t>
  </si>
  <si>
    <t>BARANDAS PERIMETRALES ML</t>
  </si>
  <si>
    <t>VOLUMEN AZUL JUEGOS</t>
  </si>
  <si>
    <t>MUROS EN FACHADA DE APTOS HACIA TERRAZA 2</t>
  </si>
  <si>
    <t>VACIO CIRCULAR</t>
  </si>
  <si>
    <t>ALTURA</t>
  </si>
  <si>
    <t>EDIFICIO ATLANTIS-ARMENIA</t>
  </si>
  <si>
    <t>ANEXO-01 CUADRO GENERAL DE OFERTA</t>
  </si>
  <si>
    <t>Oferente:</t>
  </si>
  <si>
    <t>Fecha:</t>
  </si>
  <si>
    <t>Descripcion</t>
  </si>
  <si>
    <t>Unidad</t>
  </si>
  <si>
    <t>Cantidad</t>
  </si>
  <si>
    <t>Vr Unitario</t>
  </si>
  <si>
    <t>Vr Total</t>
  </si>
  <si>
    <t>Costo Directo</t>
  </si>
  <si>
    <t>A</t>
  </si>
  <si>
    <t>ADMINISTRACION</t>
  </si>
  <si>
    <t>I</t>
  </si>
  <si>
    <t>IMPREVISTOS</t>
  </si>
  <si>
    <t>U</t>
  </si>
  <si>
    <t>UTILIDAD</t>
  </si>
  <si>
    <t>IVA</t>
  </si>
  <si>
    <t>IVA/U</t>
  </si>
  <si>
    <t>Total Propuesta</t>
  </si>
  <si>
    <t>Firma del Proponente:___________________________________</t>
  </si>
  <si>
    <t>MEDIDAS EDIFICIO ATLANTIS ARMENIA QUINDIO</t>
  </si>
  <si>
    <t>Capitulo</t>
  </si>
  <si>
    <t>Item</t>
  </si>
  <si>
    <t xml:space="preserve">Convocante: Edificio Atlantis </t>
  </si>
  <si>
    <t>Rep Legal Oferente:</t>
  </si>
  <si>
    <t>Rep. Legal Convocante:</t>
  </si>
  <si>
    <t>INTERVENTORIA: Ing. Luis Fernando Márquez Jaramillo</t>
  </si>
  <si>
    <t>Impermeabilizaciones y Mantenimiento Integral en el area de Terrazas, Cubiertas y  Zonas Humedas</t>
  </si>
  <si>
    <t>PRELIMINARES</t>
  </si>
  <si>
    <t>I.1</t>
  </si>
  <si>
    <t>Campamento</t>
  </si>
  <si>
    <t>I.2</t>
  </si>
  <si>
    <t>Señalizacion y Seguridad en Obra</t>
  </si>
  <si>
    <t>I.3</t>
  </si>
  <si>
    <t>Asesoria y/o Consulta Tecnica</t>
  </si>
  <si>
    <t>Gl</t>
  </si>
  <si>
    <t>II</t>
  </si>
  <si>
    <t>IMPERMEABILIZACIONES</t>
  </si>
  <si>
    <t>II.1</t>
  </si>
  <si>
    <t>II.2</t>
  </si>
  <si>
    <t>II.3</t>
  </si>
  <si>
    <t>II.4</t>
  </si>
  <si>
    <t>II.5</t>
  </si>
  <si>
    <t>II.6</t>
  </si>
  <si>
    <t>Impermeabilizacion de Zonas de anterior Grama Sintetica</t>
  </si>
  <si>
    <t>Impermeabilizacion de lozas de concreto sobre areas comunes en terrazas 2 y 3 (turco, pto fijo de escalera, etc)</t>
  </si>
  <si>
    <t xml:space="preserve"> Impermeabilizacion y Mantenimiento Integral a Jardineras de terrazas 2 y 3</t>
  </si>
  <si>
    <t>Impermeabilizacion en area adyacente a la piscina pequeña</t>
  </si>
  <si>
    <t>Impermeabilizacion y Revestimiento de pisos Deck en cuarto de equipos de Piscina y Jacussi</t>
  </si>
  <si>
    <t>Impermeabilizacion y Mantenimeinto Integral a Viga Canal de la cubierta de la torre 4</t>
  </si>
  <si>
    <t>II.7</t>
  </si>
  <si>
    <t>Recorrido General a la cubierta de Fibrocemento de la torre 4</t>
  </si>
  <si>
    <t>III</t>
  </si>
  <si>
    <t>III.1</t>
  </si>
  <si>
    <t>III.2</t>
  </si>
  <si>
    <t>III.3</t>
  </si>
  <si>
    <t>III.4</t>
  </si>
  <si>
    <t xml:space="preserve">Construccion de Rejilla de Drenaje en Peatonal DE Torre 1 </t>
  </si>
  <si>
    <t>II.8</t>
  </si>
  <si>
    <t>Recorrido a Canales Perimetrales de Domos de Iluminacion Cenital</t>
  </si>
  <si>
    <t>INFRAESTRUCTURA PARA EL TRATAMIENTO GENERAL DE AGUAS DE ESCORRENTIA y PLUVIALES</t>
  </si>
  <si>
    <t>Construccion de Bordillos de Contencion de Aguas de escorrentia en terrazas 1, 2 y 3</t>
  </si>
  <si>
    <t>Construccion de Cubierta sobre sistema de aireacion eolica</t>
  </si>
  <si>
    <t>II.9</t>
  </si>
  <si>
    <t>Recorrido General a Domos de iluminacion Cenital</t>
  </si>
  <si>
    <t>Suministro e Instalacion de Cinta EPDM sobre junta de dilatacion entre las torres 2 y 3</t>
  </si>
  <si>
    <t>II.10</t>
  </si>
  <si>
    <t>Impermeabilizacion y Tratamiento de Materas</t>
  </si>
  <si>
    <t>IV</t>
  </si>
  <si>
    <t>REPARACIONES EN CIELORASOS, CARTERAS Y ESTRUCTURAS LIVIANAS EN LAS TERRAZAS</t>
  </si>
  <si>
    <t>IV.1</t>
  </si>
  <si>
    <t>IV.2</t>
  </si>
  <si>
    <t>Reparacion de Cielorasos en Zonas de Areas Comunes de la terraz 2</t>
  </si>
  <si>
    <t>Reparacion de Carteras de los cielos Rasos de la terraza 2</t>
  </si>
  <si>
    <t>V</t>
  </si>
  <si>
    <t>V.1</t>
  </si>
  <si>
    <t>V.2</t>
  </si>
  <si>
    <t>V.3</t>
  </si>
  <si>
    <t>V.4</t>
  </si>
  <si>
    <t>V.5</t>
  </si>
  <si>
    <t>Suministro y Aplicación de Pintura Tipo Vinilo I sobre paredes de espacios interiores en la terraza 2 (Gimnasio, Salon Social y WCs)</t>
  </si>
  <si>
    <t>Suministro y Aplicación de Pintura Tipo Koraza para exteriores (muros y fachadas de apartamentos hacia la torre 2, juegos muro azul, muros de soporte de estructuras metalicas elevadas y barandas)</t>
  </si>
  <si>
    <t>Suministro y Aplicación de Pintura tipo Koraza gris basalto para exteriores en Alfajias de las terrazas</t>
  </si>
  <si>
    <t>Suministro y Aplicación de Pintura de Trafico sobre sendero peatonal de la terraza de la torre 1</t>
  </si>
  <si>
    <t>Suministro y Aplicación de Pintura tipo Pintulux 3 en 1 sobre elementos metalicos elevados en terrazas 1, 2 y 3</t>
  </si>
  <si>
    <t>V.6</t>
  </si>
  <si>
    <t>Suministro y Aplicación de Pintura Tipo Pintulux 3 en 1 sobre barandas y Pasamanos de las terrazas</t>
  </si>
  <si>
    <t>V.7</t>
  </si>
  <si>
    <t>Suministro y Aplicación de Sellador Hidropelente Tipo SikaTransparente 10 en paredes de Jardineras de las torres 2 y 3</t>
  </si>
  <si>
    <t>VI</t>
  </si>
  <si>
    <t>ASEO GENERAL Y RETIRO DE ESCOMBROS</t>
  </si>
  <si>
    <t>VI.1</t>
  </si>
  <si>
    <t>Aseo de Obra y Retiro de Material Sobrante</t>
  </si>
  <si>
    <t>SUMINISTRO Y APLICACIÓN DE PINTURA</t>
  </si>
  <si>
    <t>EDIFICIO ATLANTIS</t>
  </si>
  <si>
    <t>ITEM</t>
  </si>
  <si>
    <t>VALOR</t>
  </si>
  <si>
    <t>2.1</t>
  </si>
  <si>
    <t>Retiro grama</t>
  </si>
  <si>
    <t>B</t>
  </si>
  <si>
    <t>Reparación de fisuras y Mortero de nivelación</t>
  </si>
  <si>
    <t>C</t>
  </si>
  <si>
    <t>Impermeabilización Sikalastic 612</t>
  </si>
  <si>
    <t>D</t>
  </si>
  <si>
    <t>Sustitución de sistemas de evacuación</t>
  </si>
  <si>
    <t>2.2</t>
  </si>
  <si>
    <t>Limpieza Profunda</t>
  </si>
  <si>
    <t>2.3</t>
  </si>
  <si>
    <t>Retiro de tierra y vegetación</t>
  </si>
  <si>
    <t>Lavado a profundidad</t>
  </si>
  <si>
    <t>Impermeabilización Sikalastic 560</t>
  </si>
  <si>
    <t xml:space="preserve">Remoción de superficie sintética </t>
  </si>
  <si>
    <t>Demolición de enchape y mortero existentes</t>
  </si>
  <si>
    <t>Impermeabilización de superficie</t>
  </si>
  <si>
    <t>Instalación de piso cerámico incluye boquilla</t>
  </si>
  <si>
    <t>2.4</t>
  </si>
  <si>
    <t>E</t>
  </si>
  <si>
    <t>Impermeabilizacion y Revestimiento de pisos Deck en cuarto de equipos de Piscina y Jacuzzi</t>
  </si>
  <si>
    <t>II.5.1</t>
  </si>
  <si>
    <t>Desmonte de deck existente</t>
  </si>
  <si>
    <t>II.5.2</t>
  </si>
  <si>
    <t>Mantenimiento integral de la estructura de soporte</t>
  </si>
  <si>
    <t>II.5.3</t>
  </si>
  <si>
    <t>II.5.4</t>
  </si>
  <si>
    <t>Instalación de Deck nuevo</t>
  </si>
  <si>
    <t>II.5.5</t>
  </si>
  <si>
    <t>Adecuación de la compuerta de acceso</t>
  </si>
  <si>
    <t>II.6.1</t>
  </si>
  <si>
    <t>Rasqueteado de superfice de Viga Canal (Retiro de material existente)</t>
  </si>
  <si>
    <t>Corrección de pendientes de Viga Canal</t>
  </si>
  <si>
    <t>Impermeabilización de Viga Canal con Sika Techo E</t>
  </si>
  <si>
    <t>II.10.1</t>
  </si>
  <si>
    <t>II.10.2</t>
  </si>
  <si>
    <t>Impermeabilización interior matera</t>
  </si>
  <si>
    <t>Corte de matera en concreto</t>
  </si>
  <si>
    <t>Fundición de placa en matera</t>
  </si>
  <si>
    <t>Impermeabilización de matera general</t>
  </si>
  <si>
    <t>II.10.6</t>
  </si>
  <si>
    <t>Aplicación de pintura Koraza en parte exterior matera</t>
  </si>
  <si>
    <t>M3</t>
  </si>
  <si>
    <t>2.5</t>
  </si>
  <si>
    <t>F</t>
  </si>
  <si>
    <t>ACTIVIDAD: Impermeabilización sikalastic 560</t>
  </si>
  <si>
    <t>UNIDAD</t>
  </si>
  <si>
    <t>UND</t>
  </si>
  <si>
    <t>I. EQUIPOS</t>
  </si>
  <si>
    <t>RENDIMIENTO</t>
  </si>
  <si>
    <t>TARIFA</t>
  </si>
  <si>
    <t>VALOR - PARCIAL</t>
  </si>
  <si>
    <t>Herramienta menor</t>
  </si>
  <si>
    <t>%MO</t>
  </si>
  <si>
    <t>Equipo Fresh house</t>
  </si>
  <si>
    <t>SUB - TOTAL</t>
  </si>
  <si>
    <t>II. MATERIALES</t>
  </si>
  <si>
    <t>CANTIDAD</t>
  </si>
  <si>
    <t>PRECIO - UNIT</t>
  </si>
  <si>
    <t>sikalastic 560</t>
  </si>
  <si>
    <t>KG</t>
  </si>
  <si>
    <t>Manto de refuerzo - Sika Felp</t>
  </si>
  <si>
    <t>Desperdicio 2%</t>
  </si>
  <si>
    <t>III. TRANSPORTE</t>
  </si>
  <si>
    <t>Acarreo LUV</t>
  </si>
  <si>
    <t>Día</t>
  </si>
  <si>
    <t>IV. MANO DE OBRA</t>
  </si>
  <si>
    <t>JORNAL</t>
  </si>
  <si>
    <t xml:space="preserve">Oficial </t>
  </si>
  <si>
    <t>TOTAL UNITARIO</t>
  </si>
  <si>
    <t>ACTIVIDAD: Impermeabilización sikalastic 612</t>
  </si>
  <si>
    <t>sikalastic 612</t>
  </si>
  <si>
    <t>ACTIVIDAD: Desmontaje de grama</t>
  </si>
  <si>
    <t>ACTIVIDAD: Mortero de alistamiento</t>
  </si>
  <si>
    <t>MorteroListo Impadoc x 40 kg</t>
  </si>
  <si>
    <t xml:space="preserve">Acronal </t>
  </si>
  <si>
    <t>GL</t>
  </si>
  <si>
    <t>Desperdicio 3%</t>
  </si>
  <si>
    <t xml:space="preserve">Acarreo </t>
  </si>
  <si>
    <t>Oficial</t>
  </si>
  <si>
    <t>ACTIVIDAD: Reparación de fisuras y Mortero de nivelación</t>
  </si>
  <si>
    <t>Mortero 1:3</t>
  </si>
  <si>
    <t>Und</t>
  </si>
  <si>
    <t>Acronal</t>
  </si>
  <si>
    <t>CUADRILLA 1: 1 Oficial y 1 ayudante</t>
  </si>
  <si>
    <t xml:space="preserve">ACTIVIDAD: Lavado General de Superficies </t>
  </si>
  <si>
    <t>Equipos Freshouse</t>
  </si>
  <si>
    <t>Equipo Hidrolavadora</t>
  </si>
  <si>
    <t>Sikalimpiador rinse</t>
  </si>
  <si>
    <t xml:space="preserve">Agua </t>
  </si>
  <si>
    <t>Práctico</t>
  </si>
  <si>
    <t>APUII-5 | Impermeabilizacion y Revestimiento de pisos Deck en cuarto de equipos de Piscina y Jacuzzi</t>
  </si>
  <si>
    <t>APU 2.1</t>
  </si>
  <si>
    <t>APU 2.2</t>
  </si>
  <si>
    <t>APU 2.3</t>
  </si>
  <si>
    <t>Retiro de tierra y la vegetación</t>
  </si>
  <si>
    <t>Desperdicio 5%</t>
  </si>
  <si>
    <t>2 Ayudante</t>
  </si>
  <si>
    <t>APU 2.4</t>
  </si>
  <si>
    <t>ACTIVIDAD: Remoción de superficie sintetica</t>
  </si>
  <si>
    <t>ACTIVIDAD: Demolición de enchape y mortero existentes</t>
  </si>
  <si>
    <t>Mortero de pega</t>
  </si>
  <si>
    <t>ACTIVIDAD: Instalación de piso cerámico incluye boquilla</t>
  </si>
  <si>
    <t>Piso cerámico</t>
  </si>
  <si>
    <t xml:space="preserve">Boquilla </t>
  </si>
  <si>
    <t>Separadores</t>
  </si>
  <si>
    <t>GLB</t>
  </si>
  <si>
    <t>2.6</t>
  </si>
  <si>
    <t>1 Oficial + 1 Ayudante</t>
  </si>
  <si>
    <t>Paral Estructural</t>
  </si>
  <si>
    <t>Canal Estructural</t>
  </si>
  <si>
    <t>Tornillos</t>
  </si>
  <si>
    <t>ACTIVIDAD: Impermeabilización de superficie</t>
  </si>
  <si>
    <t>Equipo Freshouse</t>
  </si>
  <si>
    <t>Sikalastic 560</t>
  </si>
  <si>
    <t>Sika Felp</t>
  </si>
  <si>
    <t>ACTIVIDAD: Instalación de lámina de fibrocemento</t>
  </si>
  <si>
    <t>Lamina fibrocemento de 10mm</t>
  </si>
  <si>
    <t>Pintuco Fill</t>
  </si>
  <si>
    <t>APUII-6 | Impermeabilizacion y Mantenimeinto Integral a Viga Canal de la cubierta de la torre 4</t>
  </si>
  <si>
    <t>Ayudante</t>
  </si>
  <si>
    <t>ACTIVIDAD: Mortero de corrección</t>
  </si>
  <si>
    <t xml:space="preserve">Arena Media </t>
  </si>
  <si>
    <t>Cemento x 50kg</t>
  </si>
  <si>
    <t xml:space="preserve">Saco </t>
  </si>
  <si>
    <t>Sika Techo E</t>
  </si>
  <si>
    <t>APUII-10 | Impermeabilizacion y Tratamiento de Materas</t>
  </si>
  <si>
    <t>Concreto 3500PSI</t>
  </si>
  <si>
    <t>Acero de refuerzo</t>
  </si>
  <si>
    <t>Kg</t>
  </si>
  <si>
    <t>APU V - Construccion de rejilla de drenaje en peatonal</t>
  </si>
  <si>
    <t xml:space="preserve">ACTIVIDAD: Pintura exterior de matera con Koraza </t>
  </si>
  <si>
    <t>Koraza Pro 550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</si>
</sst>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&quot;$&quot;\ #,##0"/>
    <numFmt numFmtId="165" formatCode="0.000"/>
    <numFmt numFmtId="166" formatCode="0.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theme="1"/>
      <name val="Arial"/>
      <family val="2"/>
    </font>
    <font>
      <b/>
      <sz val="10"/>
      <color theme="0"/>
      <name val="Swis721 BT"/>
      <family val="2"/>
    </font>
    <font>
      <sz val="10"/>
      <name val="Swis721 BT"/>
      <family val="2"/>
    </font>
    <font>
      <b/>
      <sz val="10"/>
      <color theme="0" tint="-4.9989318521683403E-2"/>
      <name val="Swis721 BT"/>
      <family val="2"/>
    </font>
    <font>
      <b/>
      <sz val="10"/>
      <color theme="1"/>
      <name val="Swis721 BT"/>
      <family val="2"/>
    </font>
    <font>
      <b/>
      <sz val="10"/>
      <color rgb="FF000000"/>
      <name val="Swis721 BT"/>
      <family val="2"/>
    </font>
    <font>
      <sz val="10"/>
      <color theme="1"/>
      <name val="Swis721 BT"/>
      <family val="2"/>
    </font>
    <font>
      <b/>
      <sz val="11"/>
      <color theme="1"/>
      <name val="Swis721 BT"/>
      <family val="2"/>
    </font>
    <font>
      <b/>
      <sz val="11"/>
      <color rgb="FF000000"/>
      <name val="Swis721 BT"/>
      <family val="2"/>
    </font>
    <font>
      <sz val="11"/>
      <color theme="1"/>
      <name val="Swis721 BT"/>
      <family val="2"/>
    </font>
    <font>
      <sz val="11"/>
      <color rgb="FF000000"/>
      <name val="Swis721 BT"/>
      <family val="2"/>
    </font>
    <font>
      <sz val="10"/>
      <color rgb="FF000000"/>
      <name val="Swis721 BT"/>
      <family val="2"/>
    </font>
    <font>
      <b/>
      <sz val="11"/>
      <color theme="0"/>
      <name val="Swis721 BT"/>
      <family val="2"/>
    </font>
    <font>
      <sz val="11"/>
      <name val="Swis721 BT"/>
      <family val="2"/>
    </font>
  </fonts>
  <fills count="2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315761"/>
        <bgColor rgb="FF333F4F"/>
      </patternFill>
    </fill>
    <fill>
      <patternFill patternType="solid">
        <fgColor rgb="FF315761"/>
        <bgColor indexed="64"/>
      </patternFill>
    </fill>
    <fill>
      <patternFill patternType="solid">
        <fgColor rgb="FF64A0B0"/>
        <bgColor rgb="FF8496B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CC2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7B89"/>
        <bgColor indexed="64"/>
      </patternFill>
    </fill>
    <fill>
      <patternFill patternType="solid">
        <fgColor theme="2" tint="-9.9978637043366805E-2"/>
        <bgColor rgb="FF8496B0"/>
      </patternFill>
    </fill>
    <fill>
      <patternFill patternType="solid">
        <fgColor rgb="FF64A0B0"/>
        <bgColor rgb="FF333F4F"/>
      </patternFill>
    </fill>
    <fill>
      <patternFill patternType="solid">
        <fgColor rgb="FF64A0B0"/>
        <bgColor indexed="64"/>
      </patternFill>
    </fill>
    <fill>
      <patternFill patternType="solid">
        <fgColor theme="6" tint="0.39997558519241921"/>
        <bgColor rgb="FF8496B0"/>
      </patternFill>
    </fill>
    <fill>
      <patternFill patternType="solid">
        <fgColor theme="6" tint="0.79998168889431442"/>
        <bgColor rgb="FFD6DCE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2F2F2"/>
        <bgColor rgb="FF8496B0"/>
      </patternFill>
    </fill>
    <fill>
      <patternFill patternType="solid">
        <fgColor rgb="FFF2F2F2"/>
        <bgColor rgb="FFD6DCE4"/>
      </patternFill>
    </fill>
    <fill>
      <patternFill patternType="solid">
        <fgColor rgb="FFFFFFFF"/>
        <bgColor rgb="FFFFFFFF"/>
      </patternFill>
    </fill>
    <fill>
      <patternFill patternType="solid">
        <fgColor rgb="FFFF7B89"/>
        <bgColor rgb="FF333F4F"/>
      </patternFill>
    </fill>
    <fill>
      <patternFill patternType="solid">
        <fgColor theme="0"/>
        <bgColor indexed="64"/>
      </patternFill>
    </fill>
  </fills>
  <borders count="5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7" fillId="0" borderId="0"/>
  </cellStyleXfs>
  <cellXfs count="25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9" fontId="2" fillId="3" borderId="6" xfId="2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1" xfId="2" applyNumberFormat="1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9" xfId="2" applyNumberFormat="1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6" xfId="2" applyNumberFormat="1" applyFon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5" xfId="2" applyNumberFormat="1" applyFont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2" fillId="2" borderId="30" xfId="0" applyFont="1" applyFill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2" fillId="3" borderId="31" xfId="0" applyFont="1" applyFill="1" applyBorder="1" applyAlignment="1">
      <alignment horizontal="center" vertical="center"/>
    </xf>
    <xf numFmtId="0" fontId="2" fillId="3" borderId="35" xfId="0" applyFont="1" applyFill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4" xfId="0" applyBorder="1" applyAlignment="1">
      <alignment horizontal="center" vertical="center" wrapText="1"/>
    </xf>
    <xf numFmtId="0" fontId="0" fillId="4" borderId="5" xfId="0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9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2" fillId="3" borderId="44" xfId="0" applyFont="1" applyFill="1" applyBorder="1" applyAlignment="1">
      <alignment horizontal="center" vertical="center"/>
    </xf>
    <xf numFmtId="0" fontId="0" fillId="4" borderId="13" xfId="0" applyFill="1" applyBorder="1" applyAlignment="1">
      <alignment horizontal="left" vertical="center" wrapText="1"/>
    </xf>
    <xf numFmtId="0" fontId="0" fillId="4" borderId="11" xfId="0" applyFill="1" applyBorder="1" applyAlignment="1">
      <alignment horizontal="center" vertical="center"/>
    </xf>
    <xf numFmtId="0" fontId="0" fillId="4" borderId="23" xfId="0" applyFill="1" applyBorder="1" applyAlignment="1">
      <alignment horizontal="left" vertical="center" wrapText="1"/>
    </xf>
    <xf numFmtId="0" fontId="0" fillId="4" borderId="16" xfId="0" applyFill="1" applyBorder="1" applyAlignment="1">
      <alignment horizontal="center" vertical="center"/>
    </xf>
    <xf numFmtId="0" fontId="2" fillId="3" borderId="46" xfId="0" applyFont="1" applyFill="1" applyBorder="1" applyAlignment="1">
      <alignment horizontal="center" vertical="center"/>
    </xf>
    <xf numFmtId="0" fontId="0" fillId="4" borderId="24" xfId="0" applyFill="1" applyBorder="1" applyAlignment="1">
      <alignment horizontal="left" vertical="center"/>
    </xf>
    <xf numFmtId="0" fontId="0" fillId="4" borderId="25" xfId="0" applyFill="1" applyBorder="1" applyAlignment="1">
      <alignment horizontal="center" vertical="center"/>
    </xf>
    <xf numFmtId="0" fontId="0" fillId="0" borderId="13" xfId="0" applyBorder="1" applyAlignment="1">
      <alignment horizontal="left" vertical="center" wrapText="1"/>
    </xf>
    <xf numFmtId="0" fontId="0" fillId="0" borderId="23" xfId="0" applyBorder="1" applyAlignment="1">
      <alignment horizontal="left" vertical="center" wrapText="1"/>
    </xf>
    <xf numFmtId="0" fontId="0" fillId="0" borderId="24" xfId="0" applyBorder="1" applyAlignment="1">
      <alignment horizontal="left" vertical="center" wrapText="1"/>
    </xf>
    <xf numFmtId="0" fontId="0" fillId="0" borderId="37" xfId="0" applyBorder="1" applyAlignment="1">
      <alignment horizontal="center"/>
    </xf>
    <xf numFmtId="0" fontId="0" fillId="0" borderId="13" xfId="0" applyBorder="1"/>
    <xf numFmtId="0" fontId="0" fillId="4" borderId="23" xfId="0" applyFill="1" applyBorder="1"/>
    <xf numFmtId="0" fontId="0" fillId="4" borderId="38" xfId="0" applyFill="1" applyBorder="1"/>
    <xf numFmtId="0" fontId="0" fillId="4" borderId="24" xfId="0" applyFill="1" applyBorder="1"/>
    <xf numFmtId="0" fontId="0" fillId="4" borderId="39" xfId="0" applyFill="1" applyBorder="1"/>
    <xf numFmtId="0" fontId="0" fillId="5" borderId="8" xfId="0" applyFill="1" applyBorder="1"/>
    <xf numFmtId="0" fontId="0" fillId="5" borderId="45" xfId="0" applyFill="1" applyBorder="1" applyAlignment="1">
      <alignment horizontal="center"/>
    </xf>
    <xf numFmtId="0" fontId="0" fillId="0" borderId="37" xfId="0" applyBorder="1"/>
    <xf numFmtId="0" fontId="0" fillId="0" borderId="23" xfId="0" applyBorder="1"/>
    <xf numFmtId="0" fontId="0" fillId="0" borderId="38" xfId="0" applyBorder="1"/>
    <xf numFmtId="0" fontId="0" fillId="4" borderId="13" xfId="0" applyFill="1" applyBorder="1"/>
    <xf numFmtId="0" fontId="0" fillId="4" borderId="37" xfId="0" applyFill="1" applyBorder="1"/>
    <xf numFmtId="0" fontId="0" fillId="4" borderId="23" xfId="0" applyFill="1" applyBorder="1" applyAlignment="1">
      <alignment wrapText="1"/>
    </xf>
    <xf numFmtId="0" fontId="0" fillId="4" borderId="24" xfId="0" applyFill="1" applyBorder="1" applyAlignment="1">
      <alignment wrapText="1"/>
    </xf>
    <xf numFmtId="0" fontId="0" fillId="5" borderId="5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0" fillId="4" borderId="51" xfId="0" applyFill="1" applyBorder="1" applyAlignment="1">
      <alignment horizontal="center" vertical="center"/>
    </xf>
    <xf numFmtId="0" fontId="0" fillId="4" borderId="52" xfId="0" applyFill="1" applyBorder="1" applyAlignment="1">
      <alignment horizontal="center" vertical="center"/>
    </xf>
    <xf numFmtId="0" fontId="0" fillId="4" borderId="53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2" fillId="0" borderId="54" xfId="0" applyFont="1" applyBorder="1" applyAlignment="1">
      <alignment horizontal="left" vertical="center"/>
    </xf>
    <xf numFmtId="0" fontId="2" fillId="0" borderId="54" xfId="0" applyFont="1" applyBorder="1" applyAlignment="1">
      <alignment horizontal="center" vertical="center"/>
    </xf>
    <xf numFmtId="43" fontId="2" fillId="0" borderId="54" xfId="0" applyNumberFormat="1" applyFont="1" applyBorder="1" applyAlignment="1">
      <alignment vertical="center"/>
    </xf>
    <xf numFmtId="0" fontId="2" fillId="0" borderId="54" xfId="0" applyFont="1" applyBorder="1" applyAlignment="1">
      <alignment horizontal="left" vertical="center" wrapText="1"/>
    </xf>
    <xf numFmtId="0" fontId="0" fillId="0" borderId="54" xfId="0" applyBorder="1" applyAlignment="1">
      <alignment vertical="center"/>
    </xf>
    <xf numFmtId="44" fontId="2" fillId="0" borderId="54" xfId="0" applyNumberFormat="1" applyFont="1" applyBorder="1" applyAlignment="1">
      <alignment vertical="center"/>
    </xf>
    <xf numFmtId="9" fontId="2" fillId="0" borderId="54" xfId="0" applyNumberFormat="1" applyFont="1" applyBorder="1" applyAlignment="1">
      <alignment horizontal="center" vertical="center"/>
    </xf>
    <xf numFmtId="44" fontId="0" fillId="0" borderId="54" xfId="1" applyFont="1" applyFill="1" applyBorder="1" applyAlignment="1">
      <alignment vertical="center"/>
    </xf>
    <xf numFmtId="0" fontId="2" fillId="8" borderId="54" xfId="0" applyFont="1" applyFill="1" applyBorder="1" applyAlignment="1">
      <alignment horizontal="left" vertical="center"/>
    </xf>
    <xf numFmtId="0" fontId="2" fillId="8" borderId="54" xfId="0" applyFont="1" applyFill="1" applyBorder="1" applyAlignment="1">
      <alignment horizontal="center" vertical="center"/>
    </xf>
    <xf numFmtId="0" fontId="2" fillId="8" borderId="54" xfId="0" applyFont="1" applyFill="1" applyBorder="1" applyAlignment="1">
      <alignment horizontal="left" vertical="center" wrapText="1"/>
    </xf>
    <xf numFmtId="43" fontId="2" fillId="8" borderId="54" xfId="0" applyNumberFormat="1" applyFont="1" applyFill="1" applyBorder="1" applyAlignment="1">
      <alignment vertical="center"/>
    </xf>
    <xf numFmtId="0" fontId="2" fillId="7" borderId="54" xfId="0" applyFont="1" applyFill="1" applyBorder="1" applyAlignment="1">
      <alignment vertical="center"/>
    </xf>
    <xf numFmtId="0" fontId="2" fillId="7" borderId="54" xfId="0" applyFont="1" applyFill="1" applyBorder="1" applyAlignment="1">
      <alignment horizontal="center" vertical="center"/>
    </xf>
    <xf numFmtId="44" fontId="0" fillId="8" borderId="54" xfId="0" applyNumberFormat="1" applyFill="1" applyBorder="1" applyAlignment="1">
      <alignment horizontal="center" vertical="center"/>
    </xf>
    <xf numFmtId="44" fontId="2" fillId="0" borderId="54" xfId="1" applyFont="1" applyFill="1" applyBorder="1" applyAlignment="1">
      <alignment horizontal="center" vertical="center"/>
    </xf>
    <xf numFmtId="44" fontId="2" fillId="8" borderId="54" xfId="0" applyNumberFormat="1" applyFont="1" applyFill="1" applyBorder="1" applyAlignment="1">
      <alignment horizontal="center" vertical="center"/>
    </xf>
    <xf numFmtId="44" fontId="0" fillId="0" borderId="0" xfId="1" applyFont="1" applyAlignment="1">
      <alignment vertical="center"/>
    </xf>
    <xf numFmtId="44" fontId="2" fillId="0" borderId="54" xfId="1" applyFont="1" applyBorder="1" applyAlignment="1">
      <alignment horizontal="center" vertical="center"/>
    </xf>
    <xf numFmtId="44" fontId="2" fillId="8" borderId="54" xfId="1" applyFont="1" applyFill="1" applyBorder="1" applyAlignment="1">
      <alignment horizontal="center" vertical="center"/>
    </xf>
    <xf numFmtId="44" fontId="2" fillId="4" borderId="54" xfId="1" applyFont="1" applyFill="1" applyBorder="1" applyAlignment="1">
      <alignment horizontal="center" vertical="center"/>
    </xf>
    <xf numFmtId="44" fontId="0" fillId="0" borderId="0" xfId="0" applyNumberFormat="1" applyAlignment="1">
      <alignment vertical="center"/>
    </xf>
    <xf numFmtId="0" fontId="8" fillId="0" borderId="0" xfId="3" applyFont="1" applyAlignment="1">
      <alignment horizontal="left" vertical="center"/>
    </xf>
    <xf numFmtId="0" fontId="9" fillId="0" borderId="0" xfId="3" applyFont="1" applyAlignment="1">
      <alignment vertical="center"/>
    </xf>
    <xf numFmtId="0" fontId="10" fillId="11" borderId="0" xfId="3" applyFont="1" applyFill="1" applyAlignment="1">
      <alignment horizontal="center" vertical="center"/>
    </xf>
    <xf numFmtId="0" fontId="11" fillId="12" borderId="0" xfId="3" applyFont="1" applyFill="1" applyAlignment="1">
      <alignment horizontal="center" vertical="center"/>
    </xf>
    <xf numFmtId="0" fontId="11" fillId="12" borderId="0" xfId="3" applyFont="1" applyFill="1" applyAlignment="1">
      <alignment horizontal="left" vertical="center" wrapText="1"/>
    </xf>
    <xf numFmtId="44" fontId="12" fillId="12" borderId="0" xfId="3" applyNumberFormat="1" applyFont="1" applyFill="1" applyAlignment="1">
      <alignment horizontal="center" vertical="center"/>
    </xf>
    <xf numFmtId="0" fontId="13" fillId="0" borderId="0" xfId="3" applyFont="1" applyAlignment="1">
      <alignment horizontal="center" vertical="center"/>
    </xf>
    <xf numFmtId="0" fontId="13" fillId="0" borderId="0" xfId="3" applyFont="1" applyAlignment="1">
      <alignment horizontal="left" vertical="center"/>
    </xf>
    <xf numFmtId="44" fontId="13" fillId="0" borderId="0" xfId="1" applyFont="1" applyAlignment="1">
      <alignment horizontal="center" vertical="center"/>
    </xf>
    <xf numFmtId="44" fontId="9" fillId="0" borderId="0" xfId="1" applyFont="1" applyAlignment="1">
      <alignment vertical="center"/>
    </xf>
    <xf numFmtId="0" fontId="13" fillId="13" borderId="0" xfId="3" applyFont="1" applyFill="1" applyAlignment="1">
      <alignment vertical="center"/>
    </xf>
    <xf numFmtId="0" fontId="14" fillId="14" borderId="0" xfId="0" applyFont="1" applyFill="1" applyAlignment="1">
      <alignment horizontal="center" vertical="center" wrapText="1"/>
    </xf>
    <xf numFmtId="0" fontId="15" fillId="14" borderId="0" xfId="0" applyFont="1" applyFill="1" applyAlignment="1">
      <alignment vertical="center" wrapText="1"/>
    </xf>
    <xf numFmtId="44" fontId="14" fillId="14" borderId="0" xfId="1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0" xfId="3" applyFont="1" applyAlignment="1">
      <alignment horizontal="left" vertical="center"/>
    </xf>
    <xf numFmtId="44" fontId="16" fillId="0" borderId="0" xfId="1" applyFont="1" applyFill="1" applyBorder="1" applyAlignment="1">
      <alignment horizontal="center" vertical="center" wrapText="1"/>
    </xf>
    <xf numFmtId="0" fontId="14" fillId="15" borderId="0" xfId="0" applyFont="1" applyFill="1" applyAlignment="1">
      <alignment horizontal="center" vertical="center" wrapText="1"/>
    </xf>
    <xf numFmtId="0" fontId="15" fillId="0" borderId="0" xfId="0" applyFont="1" applyAlignment="1">
      <alignment vertical="center" wrapText="1"/>
    </xf>
    <xf numFmtId="44" fontId="14" fillId="0" borderId="0" xfId="1" applyFont="1" applyFill="1" applyBorder="1" applyAlignment="1">
      <alignment horizontal="center" vertical="center" wrapText="1"/>
    </xf>
    <xf numFmtId="0" fontId="17" fillId="0" borderId="0" xfId="0" applyFont="1" applyAlignment="1">
      <alignment vertical="center" wrapText="1"/>
    </xf>
    <xf numFmtId="0" fontId="8" fillId="15" borderId="0" xfId="3" applyFont="1" applyFill="1" applyAlignment="1">
      <alignment horizontal="center" vertical="center"/>
    </xf>
    <xf numFmtId="0" fontId="11" fillId="16" borderId="0" xfId="3" applyFont="1" applyFill="1" applyAlignment="1">
      <alignment horizontal="center" vertical="center"/>
    </xf>
    <xf numFmtId="0" fontId="11" fillId="19" borderId="0" xfId="3" applyFont="1" applyFill="1" applyAlignment="1">
      <alignment horizontal="center" vertical="center"/>
    </xf>
    <xf numFmtId="0" fontId="18" fillId="0" borderId="0" xfId="3" applyFont="1" applyAlignment="1">
      <alignment horizontal="center" vertical="center"/>
    </xf>
    <xf numFmtId="164" fontId="13" fillId="0" borderId="0" xfId="3" applyNumberFormat="1" applyFont="1" applyAlignment="1">
      <alignment horizontal="right" vertical="center"/>
    </xf>
    <xf numFmtId="164" fontId="11" fillId="20" borderId="0" xfId="3" applyNumberFormat="1" applyFont="1" applyFill="1" applyAlignment="1">
      <alignment horizontal="right" vertical="center"/>
    </xf>
    <xf numFmtId="165" fontId="18" fillId="0" borderId="0" xfId="3" applyNumberFormat="1" applyFont="1" applyAlignment="1">
      <alignment horizontal="center" vertical="center"/>
    </xf>
    <xf numFmtId="0" fontId="18" fillId="0" borderId="0" xfId="3" applyFont="1" applyAlignment="1">
      <alignment horizontal="left" vertical="center"/>
    </xf>
    <xf numFmtId="0" fontId="11" fillId="0" borderId="0" xfId="3" applyFont="1" applyAlignment="1">
      <alignment horizontal="right" vertical="center"/>
    </xf>
    <xf numFmtId="0" fontId="19" fillId="0" borderId="0" xfId="3" applyFont="1" applyAlignment="1">
      <alignment horizontal="left" vertical="center"/>
    </xf>
    <xf numFmtId="0" fontId="20" fillId="0" borderId="0" xfId="3" applyFont="1" applyAlignment="1">
      <alignment vertical="center"/>
    </xf>
    <xf numFmtId="0" fontId="8" fillId="10" borderId="0" xfId="3" applyFont="1" applyFill="1" applyAlignment="1">
      <alignment horizontal="center" vertical="center"/>
    </xf>
    <xf numFmtId="1" fontId="18" fillId="0" borderId="0" xfId="3" applyNumberFormat="1" applyFont="1" applyAlignment="1">
      <alignment horizontal="center" vertical="center"/>
    </xf>
    <xf numFmtId="0" fontId="8" fillId="9" borderId="0" xfId="3" applyFont="1" applyFill="1" applyAlignment="1">
      <alignment horizontal="center" vertical="center"/>
    </xf>
    <xf numFmtId="2" fontId="18" fillId="0" borderId="0" xfId="3" applyNumberFormat="1" applyFont="1" applyAlignment="1">
      <alignment horizontal="center" vertical="center"/>
    </xf>
    <xf numFmtId="0" fontId="19" fillId="9" borderId="0" xfId="3" applyFont="1" applyFill="1" applyAlignment="1">
      <alignment horizontal="left" vertical="center"/>
    </xf>
    <xf numFmtId="0" fontId="20" fillId="10" borderId="0" xfId="3" applyFont="1" applyFill="1" applyAlignment="1">
      <alignment vertical="center"/>
    </xf>
    <xf numFmtId="44" fontId="0" fillId="0" borderId="0" xfId="1" applyFont="1"/>
    <xf numFmtId="0" fontId="11" fillId="22" borderId="0" xfId="3" applyFont="1" applyFill="1" applyAlignment="1">
      <alignment horizontal="center" vertical="center"/>
    </xf>
    <xf numFmtId="164" fontId="11" fillId="23" borderId="0" xfId="3" applyNumberFormat="1" applyFont="1" applyFill="1" applyAlignment="1">
      <alignment horizontal="right" vertical="center"/>
    </xf>
    <xf numFmtId="166" fontId="18" fillId="0" borderId="0" xfId="3" applyNumberFormat="1" applyFont="1" applyAlignment="1">
      <alignment horizontal="center" vertical="center"/>
    </xf>
    <xf numFmtId="0" fontId="18" fillId="24" borderId="0" xfId="3" applyFont="1" applyFill="1" applyAlignment="1">
      <alignment horizontal="left" vertical="center"/>
    </xf>
    <xf numFmtId="0" fontId="11" fillId="24" borderId="0" xfId="3" applyFont="1" applyFill="1" applyAlignment="1">
      <alignment horizontal="right" vertical="center"/>
    </xf>
    <xf numFmtId="164" fontId="13" fillId="24" borderId="0" xfId="3" applyNumberFormat="1" applyFont="1" applyFill="1" applyAlignment="1">
      <alignment horizontal="right" vertical="center"/>
    </xf>
    <xf numFmtId="0" fontId="13" fillId="0" borderId="0" xfId="3" applyFont="1" applyAlignment="1">
      <alignment vertical="center"/>
    </xf>
    <xf numFmtId="0" fontId="13" fillId="10" borderId="0" xfId="3" applyFont="1" applyFill="1" applyAlignment="1">
      <alignment vertical="center"/>
    </xf>
    <xf numFmtId="0" fontId="19" fillId="25" borderId="0" xfId="3" applyFont="1" applyFill="1" applyAlignment="1">
      <alignment horizontal="left" vertical="center"/>
    </xf>
    <xf numFmtId="0" fontId="20" fillId="15" borderId="0" xfId="3" applyFont="1" applyFill="1" applyAlignment="1">
      <alignment vertical="center"/>
    </xf>
    <xf numFmtId="0" fontId="8" fillId="25" borderId="0" xfId="3" applyFont="1" applyFill="1" applyAlignment="1">
      <alignment horizontal="center" vertical="center"/>
    </xf>
    <xf numFmtId="0" fontId="2" fillId="5" borderId="46" xfId="0" applyFont="1" applyFill="1" applyBorder="1" applyAlignment="1">
      <alignment horizontal="center"/>
    </xf>
    <xf numFmtId="0" fontId="2" fillId="5" borderId="45" xfId="0" applyFon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2" fillId="5" borderId="31" xfId="0" applyFont="1" applyFill="1" applyBorder="1" applyAlignment="1">
      <alignment horizontal="center"/>
    </xf>
    <xf numFmtId="0" fontId="2" fillId="5" borderId="35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0" fillId="4" borderId="16" xfId="0" applyFill="1" applyBorder="1" applyAlignment="1">
      <alignment horizontal="center" vertical="center"/>
    </xf>
    <xf numFmtId="0" fontId="0" fillId="4" borderId="38" xfId="0" applyFill="1" applyBorder="1" applyAlignment="1">
      <alignment horizontal="center" vertical="center"/>
    </xf>
    <xf numFmtId="0" fontId="2" fillId="3" borderId="32" xfId="0" applyFont="1" applyFill="1" applyBorder="1" applyAlignment="1">
      <alignment horizontal="center" vertical="center"/>
    </xf>
    <xf numFmtId="0" fontId="2" fillId="3" borderId="33" xfId="0" applyFont="1" applyFill="1" applyBorder="1" applyAlignment="1">
      <alignment horizontal="center" vertical="center"/>
    </xf>
    <xf numFmtId="0" fontId="2" fillId="3" borderId="45" xfId="0" applyFont="1" applyFill="1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25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4" borderId="11" xfId="0" applyFill="1" applyBorder="1" applyAlignment="1">
      <alignment horizontal="center"/>
    </xf>
    <xf numFmtId="0" fontId="0" fillId="4" borderId="37" xfId="0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0" fillId="4" borderId="25" xfId="0" applyFill="1" applyBorder="1" applyAlignment="1">
      <alignment horizontal="center" vertical="center"/>
    </xf>
    <xf numFmtId="0" fontId="0" fillId="4" borderId="39" xfId="0" applyFill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17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0" fillId="4" borderId="37" xfId="0" applyFill="1" applyBorder="1" applyAlignment="1">
      <alignment horizontal="center" vertical="center"/>
    </xf>
    <xf numFmtId="0" fontId="2" fillId="3" borderId="36" xfId="0" applyFont="1" applyFill="1" applyBorder="1" applyAlignment="1">
      <alignment horizontal="center" vertical="center"/>
    </xf>
    <xf numFmtId="0" fontId="2" fillId="3" borderId="41" xfId="0" applyFont="1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4" borderId="36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horizontal="center" vertical="center"/>
    </xf>
    <xf numFmtId="0" fontId="2" fillId="2" borderId="29" xfId="0" applyFont="1" applyFill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37" xfId="0" applyFont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 wrapText="1"/>
    </xf>
    <xf numFmtId="0" fontId="2" fillId="0" borderId="38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2" fillId="3" borderId="34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0" borderId="54" xfId="0" applyFont="1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0" fillId="0" borderId="19" xfId="0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0" fontId="0" fillId="0" borderId="54" xfId="0" applyBorder="1" applyAlignment="1">
      <alignment horizontal="left" vertical="center"/>
    </xf>
    <xf numFmtId="0" fontId="6" fillId="7" borderId="54" xfId="0" applyFont="1" applyFill="1" applyBorder="1" applyAlignment="1">
      <alignment horizontal="center" vertical="center"/>
    </xf>
    <xf numFmtId="0" fontId="3" fillId="0" borderId="54" xfId="0" applyFont="1" applyBorder="1" applyAlignment="1">
      <alignment horizontal="center" vertical="center"/>
    </xf>
    <xf numFmtId="0" fontId="4" fillId="6" borderId="54" xfId="0" applyFont="1" applyFill="1" applyBorder="1" applyAlignment="1">
      <alignment horizontal="center" vertical="center"/>
    </xf>
    <xf numFmtId="0" fontId="11" fillId="20" borderId="0" xfId="3" applyFont="1" applyFill="1" applyAlignment="1">
      <alignment horizontal="right" vertical="center"/>
    </xf>
    <xf numFmtId="0" fontId="9" fillId="21" borderId="0" xfId="3" applyFont="1" applyFill="1" applyAlignment="1">
      <alignment vertical="center"/>
    </xf>
    <xf numFmtId="0" fontId="11" fillId="0" borderId="0" xfId="3" applyFont="1" applyAlignment="1">
      <alignment horizontal="right" vertical="center"/>
    </xf>
    <xf numFmtId="0" fontId="9" fillId="0" borderId="0" xfId="3" applyFont="1" applyAlignment="1">
      <alignment vertical="center"/>
    </xf>
    <xf numFmtId="0" fontId="8" fillId="17" borderId="0" xfId="3" applyFont="1" applyFill="1" applyAlignment="1">
      <alignment horizontal="left" vertical="center"/>
    </xf>
    <xf numFmtId="0" fontId="9" fillId="18" borderId="0" xfId="3" applyFont="1" applyFill="1" applyAlignment="1">
      <alignment vertical="center"/>
    </xf>
    <xf numFmtId="0" fontId="8" fillId="15" borderId="0" xfId="3" applyFont="1" applyFill="1" applyAlignment="1">
      <alignment horizontal="left" vertical="center"/>
    </xf>
    <xf numFmtId="0" fontId="9" fillId="15" borderId="0" xfId="3" applyFont="1" applyFill="1" applyAlignment="1">
      <alignment vertical="center"/>
    </xf>
    <xf numFmtId="0" fontId="11" fillId="0" borderId="0" xfId="3" applyFont="1" applyAlignment="1">
      <alignment horizontal="center" vertical="center"/>
    </xf>
    <xf numFmtId="0" fontId="11" fillId="23" borderId="0" xfId="3" applyFont="1" applyFill="1" applyAlignment="1">
      <alignment horizontal="right" vertical="center"/>
    </xf>
    <xf numFmtId="0" fontId="9" fillId="14" borderId="0" xfId="3" applyFont="1" applyFill="1" applyAlignment="1">
      <alignment vertical="center"/>
    </xf>
    <xf numFmtId="0" fontId="8" fillId="10" borderId="0" xfId="3" applyFont="1" applyFill="1" applyAlignment="1">
      <alignment horizontal="left" vertical="center"/>
    </xf>
    <xf numFmtId="0" fontId="9" fillId="10" borderId="0" xfId="3" applyFont="1" applyFill="1" applyAlignment="1">
      <alignment vertical="center"/>
    </xf>
    <xf numFmtId="0" fontId="8" fillId="9" borderId="0" xfId="3" applyFont="1" applyFill="1" applyAlignment="1">
      <alignment horizontal="left" vertical="center"/>
    </xf>
    <xf numFmtId="0" fontId="11" fillId="24" borderId="0" xfId="3" applyFont="1" applyFill="1" applyAlignment="1">
      <alignment horizontal="right" vertical="center"/>
    </xf>
    <xf numFmtId="0" fontId="19" fillId="9" borderId="0" xfId="3" applyFont="1" applyFill="1" applyAlignment="1">
      <alignment horizontal="left" vertical="center"/>
    </xf>
    <xf numFmtId="0" fontId="20" fillId="10" borderId="0" xfId="3" applyFont="1" applyFill="1" applyAlignment="1">
      <alignment vertical="center"/>
    </xf>
    <xf numFmtId="0" fontId="2" fillId="26" borderId="54" xfId="0" applyFont="1" applyFill="1" applyBorder="1" applyAlignment="1">
      <alignment horizontal="left" vertical="center"/>
    </xf>
    <xf numFmtId="0" fontId="2" fillId="26" borderId="54" xfId="0" applyFont="1" applyFill="1" applyBorder="1" applyAlignment="1">
      <alignment horizontal="left" vertical="center" wrapText="1"/>
    </xf>
    <xf numFmtId="44" fontId="2" fillId="26" borderId="54" xfId="1" applyFont="1" applyFill="1" applyBorder="1" applyAlignment="1">
      <alignment horizontal="center" vertical="center"/>
    </xf>
  </cellXfs>
  <cellStyles count="4">
    <cellStyle name="Moneda" xfId="1" builtinId="4"/>
    <cellStyle name="Normal" xfId="0" builtinId="0"/>
    <cellStyle name="Normal 2" xfId="3" xr:uid="{ECE3B99D-456B-4A70-8A5B-AE3D3832E68E}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SSI\Downloads\APU%20COTIZACI&#211;N%20-%20ATLANTIS.xlsx" TargetMode="External"/><Relationship Id="rId1" Type="http://schemas.openxmlformats.org/officeDocument/2006/relationships/externalLinkPath" Target="APU%20COTIZACI&#211;N%20-%20ATLANTI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U O.G"/>
      <sheetName val="RESUMEN APU"/>
      <sheetName val="Hoja1"/>
      <sheetName val="Hoja2"/>
    </sheetNames>
    <sheetDataSet>
      <sheetData sheetId="0"/>
      <sheetData sheetId="1"/>
      <sheetData sheetId="2">
        <row r="114">
          <cell r="E114">
            <v>91102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BFE4D-3D90-41DC-AE69-523F680DB2B0}">
  <dimension ref="B1:O88"/>
  <sheetViews>
    <sheetView tabSelected="1" zoomScale="62" workbookViewId="0">
      <selection activeCell="I17" sqref="I17"/>
    </sheetView>
  </sheetViews>
  <sheetFormatPr baseColWidth="10" defaultRowHeight="14.4" x14ac:dyDescent="0.3"/>
  <cols>
    <col min="1" max="1" width="13.33203125" customWidth="1"/>
    <col min="2" max="2" width="32.33203125" customWidth="1"/>
    <col min="3" max="3" width="9.5546875" customWidth="1"/>
    <col min="4" max="4" width="8.5546875" customWidth="1"/>
    <col min="5" max="5" width="10.33203125" customWidth="1"/>
    <col min="6" max="6" width="14.109375" style="1" customWidth="1"/>
    <col min="7" max="7" width="14.33203125" style="2" bestFit="1" customWidth="1"/>
    <col min="8" max="8" width="13.33203125" customWidth="1"/>
    <col min="9" max="9" width="30.6640625" customWidth="1"/>
    <col min="10" max="11" width="10.88671875" customWidth="1"/>
    <col min="12" max="12" width="8.5546875" customWidth="1"/>
    <col min="13" max="13" width="10.33203125" customWidth="1"/>
    <col min="14" max="14" width="15.5546875" customWidth="1"/>
    <col min="15" max="15" width="17.88671875" style="2" customWidth="1"/>
    <col min="16" max="16" width="15.109375" customWidth="1"/>
  </cols>
  <sheetData>
    <row r="1" spans="2:15" ht="36.6" customHeight="1" x14ac:dyDescent="0.3">
      <c r="B1" s="157" t="s">
        <v>128</v>
      </c>
      <c r="C1" s="157"/>
      <c r="D1" s="157"/>
      <c r="E1" s="157"/>
      <c r="F1" s="157"/>
      <c r="G1" s="157"/>
      <c r="H1" s="157"/>
      <c r="I1" s="157"/>
      <c r="J1" s="157"/>
      <c r="K1" s="157"/>
      <c r="L1" s="157"/>
    </row>
    <row r="2" spans="2:15" ht="15" thickBot="1" x14ac:dyDescent="0.35"/>
    <row r="3" spans="2:15" ht="24.75" customHeight="1" thickBot="1" x14ac:dyDescent="0.35">
      <c r="B3" s="216" t="s">
        <v>0</v>
      </c>
      <c r="C3" s="217"/>
      <c r="D3" s="217"/>
      <c r="E3" s="217"/>
      <c r="F3" s="217"/>
      <c r="G3" s="218"/>
      <c r="I3" s="216" t="s">
        <v>1</v>
      </c>
      <c r="J3" s="217"/>
      <c r="K3" s="217"/>
      <c r="L3" s="217"/>
      <c r="M3" s="217"/>
      <c r="N3" s="218"/>
      <c r="O3" s="3" t="s">
        <v>2</v>
      </c>
    </row>
    <row r="4" spans="2:15" ht="15" thickBot="1" x14ac:dyDescent="0.35">
      <c r="B4" s="4" t="s">
        <v>3</v>
      </c>
      <c r="C4" s="4" t="s">
        <v>4</v>
      </c>
      <c r="D4" s="5" t="s">
        <v>5</v>
      </c>
      <c r="E4" s="6" t="s">
        <v>6</v>
      </c>
      <c r="F4" s="5" t="s">
        <v>7</v>
      </c>
      <c r="G4" s="7" t="s">
        <v>8</v>
      </c>
      <c r="I4" s="4" t="s">
        <v>3</v>
      </c>
      <c r="J4" s="4" t="s">
        <v>4</v>
      </c>
      <c r="K4" s="5" t="s">
        <v>5</v>
      </c>
      <c r="L4" s="6" t="s">
        <v>6</v>
      </c>
      <c r="M4" s="5" t="s">
        <v>7</v>
      </c>
      <c r="N4" s="7" t="s">
        <v>8</v>
      </c>
      <c r="O4" s="8" t="s">
        <v>5</v>
      </c>
    </row>
    <row r="5" spans="2:15" x14ac:dyDescent="0.3">
      <c r="B5" s="9" t="s">
        <v>9</v>
      </c>
      <c r="C5" s="10">
        <v>1</v>
      </c>
      <c r="D5" s="11">
        <v>91.8</v>
      </c>
      <c r="E5" s="12">
        <v>2.9</v>
      </c>
      <c r="F5" s="13">
        <f>+C5*D5*E5</f>
        <v>266.21999999999997</v>
      </c>
      <c r="G5" s="9">
        <f>+F5</f>
        <v>266.21999999999997</v>
      </c>
      <c r="I5" s="14" t="s">
        <v>10</v>
      </c>
      <c r="J5" s="14">
        <v>10</v>
      </c>
      <c r="K5" s="11">
        <v>13</v>
      </c>
      <c r="L5" s="12"/>
      <c r="M5" s="11"/>
      <c r="N5" s="13"/>
      <c r="O5" s="9"/>
    </row>
    <row r="6" spans="2:15" x14ac:dyDescent="0.3">
      <c r="B6" s="15" t="s">
        <v>11</v>
      </c>
      <c r="C6" s="16">
        <v>1</v>
      </c>
      <c r="D6" s="206">
        <v>128</v>
      </c>
      <c r="E6" s="206"/>
      <c r="F6" s="187"/>
      <c r="G6" s="15">
        <f>+D6*C6</f>
        <v>128</v>
      </c>
      <c r="I6" s="19" t="s">
        <v>12</v>
      </c>
      <c r="J6" s="19">
        <v>10</v>
      </c>
      <c r="K6" s="20">
        <v>10.9</v>
      </c>
      <c r="L6" s="21">
        <v>2.9</v>
      </c>
      <c r="M6" s="20">
        <f>+L6*K6</f>
        <v>31.61</v>
      </c>
      <c r="N6" s="22">
        <f>+M6*J6</f>
        <v>316.10000000000002</v>
      </c>
      <c r="O6" s="15"/>
    </row>
    <row r="7" spans="2:15" x14ac:dyDescent="0.3">
      <c r="B7" s="15" t="s">
        <v>13</v>
      </c>
      <c r="C7" s="16">
        <v>10</v>
      </c>
      <c r="D7" s="17">
        <f>33-10</f>
        <v>23</v>
      </c>
      <c r="E7" s="23">
        <v>2.4</v>
      </c>
      <c r="F7" s="18">
        <f>+C7*D7*E7</f>
        <v>552</v>
      </c>
      <c r="G7" s="15">
        <f>+F7</f>
        <v>552</v>
      </c>
      <c r="I7" s="19" t="s">
        <v>14</v>
      </c>
      <c r="J7" s="19">
        <v>12</v>
      </c>
      <c r="K7" s="20">
        <v>11.3</v>
      </c>
      <c r="L7" s="21">
        <v>2.9</v>
      </c>
      <c r="M7" s="20">
        <f>+L7*K7</f>
        <v>32.770000000000003</v>
      </c>
      <c r="N7" s="22">
        <f>+M7*J7</f>
        <v>393.24</v>
      </c>
      <c r="O7" s="15">
        <v>10.199999999999999</v>
      </c>
    </row>
    <row r="8" spans="2:15" x14ac:dyDescent="0.3">
      <c r="B8" s="15" t="s">
        <v>15</v>
      </c>
      <c r="C8" s="16">
        <v>10</v>
      </c>
      <c r="D8" s="206">
        <v>32.85</v>
      </c>
      <c r="E8" s="206"/>
      <c r="F8" s="187"/>
      <c r="G8" s="15">
        <f>+D8*C8</f>
        <v>328.5</v>
      </c>
      <c r="I8" s="19" t="s">
        <v>16</v>
      </c>
      <c r="J8" s="19">
        <v>12</v>
      </c>
      <c r="K8" s="20">
        <v>17.8</v>
      </c>
      <c r="L8" s="21">
        <v>2.9</v>
      </c>
      <c r="M8" s="20">
        <f>+L8*K8</f>
        <v>51.62</v>
      </c>
      <c r="N8" s="22">
        <f>+M8*J8</f>
        <v>619.43999999999994</v>
      </c>
      <c r="O8" s="15">
        <v>4.9000000000000004</v>
      </c>
    </row>
    <row r="9" spans="2:15" x14ac:dyDescent="0.3">
      <c r="B9" s="15" t="s">
        <v>17</v>
      </c>
      <c r="C9" s="16">
        <v>12</v>
      </c>
      <c r="D9" s="17">
        <f>31.64-20</f>
        <v>11.64</v>
      </c>
      <c r="E9" s="23">
        <v>2.4</v>
      </c>
      <c r="F9" s="18">
        <f>+C9*D9*E9</f>
        <v>335.23200000000003</v>
      </c>
      <c r="G9" s="15">
        <f>+F9</f>
        <v>335.23200000000003</v>
      </c>
      <c r="I9" s="19" t="s">
        <v>18</v>
      </c>
      <c r="J9" s="19">
        <v>12</v>
      </c>
      <c r="K9" s="20">
        <v>16.8</v>
      </c>
      <c r="L9" s="21">
        <v>2.9</v>
      </c>
      <c r="M9" s="20">
        <f t="shared" ref="M9:M14" si="0">+L9*K9</f>
        <v>48.72</v>
      </c>
      <c r="N9" s="22">
        <f t="shared" ref="N9:N14" si="1">+M9*J9</f>
        <v>584.64</v>
      </c>
      <c r="O9" s="15"/>
    </row>
    <row r="10" spans="2:15" x14ac:dyDescent="0.3">
      <c r="B10" s="15" t="s">
        <v>19</v>
      </c>
      <c r="C10" s="16">
        <v>12</v>
      </c>
      <c r="D10" s="206">
        <v>23.3</v>
      </c>
      <c r="E10" s="206"/>
      <c r="F10" s="187"/>
      <c r="G10" s="15">
        <f>+D10*C10</f>
        <v>279.60000000000002</v>
      </c>
      <c r="I10" s="19" t="s">
        <v>20</v>
      </c>
      <c r="J10" s="19">
        <v>12</v>
      </c>
      <c r="K10" s="20">
        <v>18</v>
      </c>
      <c r="L10" s="21">
        <v>2.9</v>
      </c>
      <c r="M10" s="20">
        <f t="shared" si="0"/>
        <v>52.199999999999996</v>
      </c>
      <c r="N10" s="22">
        <f t="shared" si="1"/>
        <v>626.4</v>
      </c>
      <c r="O10" s="15">
        <v>5.5</v>
      </c>
    </row>
    <row r="11" spans="2:15" x14ac:dyDescent="0.3">
      <c r="B11" s="24" t="s">
        <v>21</v>
      </c>
      <c r="C11" s="25">
        <v>1</v>
      </c>
      <c r="D11" s="20">
        <f>107-10</f>
        <v>97</v>
      </c>
      <c r="E11" s="21">
        <v>2.9</v>
      </c>
      <c r="F11" s="22">
        <f>+C11*D11*E11</f>
        <v>281.3</v>
      </c>
      <c r="G11" s="24">
        <f>+F11</f>
        <v>281.3</v>
      </c>
      <c r="I11" s="19" t="s">
        <v>22</v>
      </c>
      <c r="J11" s="19">
        <v>12</v>
      </c>
      <c r="K11" s="20">
        <v>7.5</v>
      </c>
      <c r="L11" s="21">
        <v>2.9</v>
      </c>
      <c r="M11" s="20">
        <f t="shared" si="0"/>
        <v>21.75</v>
      </c>
      <c r="N11" s="22">
        <f t="shared" si="1"/>
        <v>261</v>
      </c>
      <c r="O11" s="15">
        <v>11.6</v>
      </c>
    </row>
    <row r="12" spans="2:15" x14ac:dyDescent="0.3">
      <c r="B12" s="15" t="s">
        <v>23</v>
      </c>
      <c r="C12" s="16">
        <v>1</v>
      </c>
      <c r="D12" s="206">
        <v>154.19999999999999</v>
      </c>
      <c r="E12" s="206"/>
      <c r="F12" s="187"/>
      <c r="G12" s="15">
        <f>+D12*C12</f>
        <v>154.19999999999999</v>
      </c>
      <c r="I12" s="19" t="s">
        <v>24</v>
      </c>
      <c r="J12" s="19">
        <v>12</v>
      </c>
      <c r="K12" s="20">
        <v>19.2</v>
      </c>
      <c r="L12" s="21">
        <v>2.9</v>
      </c>
      <c r="M12" s="20">
        <f t="shared" si="0"/>
        <v>55.68</v>
      </c>
      <c r="N12" s="22">
        <f t="shared" si="1"/>
        <v>668.16</v>
      </c>
      <c r="O12" s="15"/>
    </row>
    <row r="13" spans="2:15" x14ac:dyDescent="0.3">
      <c r="B13" s="15" t="s">
        <v>25</v>
      </c>
      <c r="C13" s="16">
        <v>12</v>
      </c>
      <c r="D13" s="17">
        <f>36.4-20</f>
        <v>16.399999999999999</v>
      </c>
      <c r="E13" s="23">
        <v>2.4</v>
      </c>
      <c r="F13" s="18">
        <f>+C13*D13*E13</f>
        <v>472.31999999999994</v>
      </c>
      <c r="G13" s="15">
        <f>+F13</f>
        <v>472.31999999999994</v>
      </c>
      <c r="I13" s="19" t="s">
        <v>26</v>
      </c>
      <c r="J13" s="26">
        <v>12</v>
      </c>
      <c r="K13" s="17">
        <v>7.5</v>
      </c>
      <c r="L13" s="23">
        <v>2.9</v>
      </c>
      <c r="M13" s="17">
        <f t="shared" si="0"/>
        <v>21.75</v>
      </c>
      <c r="N13" s="18">
        <f t="shared" si="1"/>
        <v>261</v>
      </c>
      <c r="O13" s="15">
        <v>11.7</v>
      </c>
    </row>
    <row r="14" spans="2:15" x14ac:dyDescent="0.3">
      <c r="B14" s="15" t="s">
        <v>27</v>
      </c>
      <c r="C14" s="16">
        <v>12</v>
      </c>
      <c r="D14" s="206">
        <v>30.4</v>
      </c>
      <c r="E14" s="206"/>
      <c r="F14" s="187"/>
      <c r="G14" s="15">
        <f>+D14*C14</f>
        <v>364.79999999999995</v>
      </c>
      <c r="I14" s="26" t="s">
        <v>28</v>
      </c>
      <c r="J14" s="26">
        <v>12</v>
      </c>
      <c r="K14" s="17">
        <v>15.7</v>
      </c>
      <c r="L14" s="23">
        <v>2.9</v>
      </c>
      <c r="M14" s="17">
        <f t="shared" si="0"/>
        <v>45.529999999999994</v>
      </c>
      <c r="N14" s="18">
        <f t="shared" si="1"/>
        <v>546.3599999999999</v>
      </c>
      <c r="O14" s="15">
        <v>5.2</v>
      </c>
    </row>
    <row r="15" spans="2:15" ht="15" thickBot="1" x14ac:dyDescent="0.35">
      <c r="B15" s="15" t="s">
        <v>29</v>
      </c>
      <c r="C15" s="16">
        <v>12</v>
      </c>
      <c r="D15" s="17">
        <v>25.6</v>
      </c>
      <c r="E15" s="23">
        <v>2.4</v>
      </c>
      <c r="F15" s="18">
        <f>+C15*D15*E15</f>
        <v>737.28000000000009</v>
      </c>
      <c r="G15" s="15">
        <f>+F15</f>
        <v>737.28000000000009</v>
      </c>
      <c r="I15" s="27"/>
      <c r="J15" s="27"/>
      <c r="K15" s="28"/>
      <c r="L15" s="29"/>
      <c r="M15" s="28"/>
      <c r="N15" s="30"/>
      <c r="O15" s="31"/>
    </row>
    <row r="16" spans="2:15" ht="15" thickBot="1" x14ac:dyDescent="0.35">
      <c r="B16" s="31" t="s">
        <v>30</v>
      </c>
      <c r="C16" s="32">
        <v>12</v>
      </c>
      <c r="D16" s="170">
        <v>34.6</v>
      </c>
      <c r="E16" s="170"/>
      <c r="F16" s="172"/>
      <c r="G16" s="31">
        <f>+D16*C16</f>
        <v>415.20000000000005</v>
      </c>
      <c r="L16" s="223" t="s">
        <v>31</v>
      </c>
      <c r="M16" s="224"/>
      <c r="N16" s="33">
        <f>SUM(N6:N15)</f>
        <v>4276.34</v>
      </c>
      <c r="O16" s="34">
        <f>SUM(O13:O15)</f>
        <v>16.899999999999999</v>
      </c>
    </row>
    <row r="17" spans="2:14" ht="24" customHeight="1" thickBot="1" x14ac:dyDescent="0.35">
      <c r="F17" s="35" t="s">
        <v>31</v>
      </c>
      <c r="G17" s="36">
        <f>SUM(G5:G16)</f>
        <v>4314.652000000001</v>
      </c>
    </row>
    <row r="18" spans="2:14" ht="23.25" customHeight="1" thickBot="1" x14ac:dyDescent="0.35"/>
    <row r="19" spans="2:14" ht="30" customHeight="1" thickBot="1" x14ac:dyDescent="0.35">
      <c r="B19" s="216" t="s">
        <v>32</v>
      </c>
      <c r="C19" s="217"/>
      <c r="D19" s="217"/>
      <c r="E19" s="217"/>
      <c r="F19" s="217"/>
      <c r="G19" s="218"/>
      <c r="I19" s="216" t="s">
        <v>33</v>
      </c>
      <c r="J19" s="217"/>
      <c r="K19" s="217"/>
      <c r="L19" s="217"/>
      <c r="M19" s="217"/>
      <c r="N19" s="218"/>
    </row>
    <row r="20" spans="2:14" ht="15" thickBot="1" x14ac:dyDescent="0.35">
      <c r="B20" s="178" t="s">
        <v>34</v>
      </c>
      <c r="C20" s="179"/>
      <c r="D20" s="179"/>
      <c r="E20" s="179"/>
      <c r="F20" s="179"/>
      <c r="G20" s="180"/>
      <c r="I20" s="37" t="s">
        <v>3</v>
      </c>
      <c r="J20" s="37" t="s">
        <v>4</v>
      </c>
      <c r="K20" s="165" t="s">
        <v>7</v>
      </c>
      <c r="L20" s="166"/>
      <c r="M20" s="222"/>
      <c r="N20" s="38" t="s">
        <v>8</v>
      </c>
    </row>
    <row r="21" spans="2:14" ht="15" thickBot="1" x14ac:dyDescent="0.35">
      <c r="B21" s="14" t="s">
        <v>35</v>
      </c>
      <c r="C21" s="198">
        <v>3350</v>
      </c>
      <c r="D21" s="199"/>
      <c r="E21" s="200"/>
      <c r="F21" s="212">
        <f>+C22+C23</f>
        <v>2734.44</v>
      </c>
      <c r="G21" s="213"/>
      <c r="I21" s="9" t="s">
        <v>36</v>
      </c>
      <c r="J21" s="10">
        <v>1</v>
      </c>
      <c r="K21" s="221">
        <v>553.4</v>
      </c>
      <c r="L21" s="221"/>
      <c r="M21" s="221"/>
      <c r="N21" s="39">
        <f>+K21</f>
        <v>553.4</v>
      </c>
    </row>
    <row r="22" spans="2:14" ht="15" thickBot="1" x14ac:dyDescent="0.35">
      <c r="B22" s="14" t="s">
        <v>37</v>
      </c>
      <c r="C22" s="198">
        <f>1258.72*2</f>
        <v>2517.44</v>
      </c>
      <c r="D22" s="199"/>
      <c r="E22" s="200"/>
      <c r="F22" s="214"/>
      <c r="G22" s="215"/>
      <c r="I22" s="15" t="s">
        <v>38</v>
      </c>
      <c r="J22" s="16">
        <v>1</v>
      </c>
      <c r="K22" s="206">
        <v>438.5</v>
      </c>
      <c r="L22" s="206"/>
      <c r="M22" s="206"/>
      <c r="N22" s="40">
        <f>+K22</f>
        <v>438.5</v>
      </c>
    </row>
    <row r="23" spans="2:14" ht="15" thickBot="1" x14ac:dyDescent="0.35">
      <c r="B23" s="14" t="s">
        <v>39</v>
      </c>
      <c r="C23" s="198">
        <f>(300+130+40+25+33+35+38+46+27+31+32+42+28+51+34+42+45+31+45+30)*0.2</f>
        <v>217</v>
      </c>
      <c r="D23" s="199"/>
      <c r="E23" s="200"/>
      <c r="F23" s="214"/>
      <c r="G23" s="215"/>
      <c r="I23" s="15" t="s">
        <v>40</v>
      </c>
      <c r="J23" s="16">
        <v>1</v>
      </c>
      <c r="K23" s="206">
        <v>115.6</v>
      </c>
      <c r="L23" s="206"/>
      <c r="M23" s="206"/>
      <c r="N23" s="40">
        <f>+K23*J23</f>
        <v>115.6</v>
      </c>
    </row>
    <row r="24" spans="2:14" ht="15" thickBot="1" x14ac:dyDescent="0.35">
      <c r="B24" s="178" t="s">
        <v>41</v>
      </c>
      <c r="C24" s="179"/>
      <c r="D24" s="179"/>
      <c r="E24" s="179"/>
      <c r="F24" s="179"/>
      <c r="G24" s="180"/>
      <c r="I24" s="15" t="s">
        <v>42</v>
      </c>
      <c r="J24" s="16">
        <v>1</v>
      </c>
      <c r="K24" s="206">
        <v>118.2</v>
      </c>
      <c r="L24" s="206"/>
      <c r="M24" s="206"/>
      <c r="N24" s="40">
        <f>+K24*J24</f>
        <v>118.2</v>
      </c>
    </row>
    <row r="25" spans="2:14" ht="15" thickBot="1" x14ac:dyDescent="0.35">
      <c r="B25" s="14" t="s">
        <v>35</v>
      </c>
      <c r="C25" s="198">
        <v>3350</v>
      </c>
      <c r="D25" s="199"/>
      <c r="E25" s="200"/>
      <c r="F25" s="212">
        <f>+C26+C27</f>
        <v>2734.44</v>
      </c>
      <c r="G25" s="213"/>
      <c r="I25" s="15" t="s">
        <v>43</v>
      </c>
      <c r="J25" s="16">
        <v>1</v>
      </c>
      <c r="K25" s="206">
        <v>256</v>
      </c>
      <c r="L25" s="206"/>
      <c r="M25" s="206"/>
      <c r="N25" s="40">
        <f>+K25*J25</f>
        <v>256</v>
      </c>
    </row>
    <row r="26" spans="2:14" ht="15" thickBot="1" x14ac:dyDescent="0.35">
      <c r="B26" s="14" t="s">
        <v>37</v>
      </c>
      <c r="C26" s="198">
        <f>1258.72*2</f>
        <v>2517.44</v>
      </c>
      <c r="D26" s="199"/>
      <c r="E26" s="200"/>
      <c r="F26" s="214"/>
      <c r="G26" s="215"/>
      <c r="I26" s="15" t="s">
        <v>44</v>
      </c>
      <c r="J26" s="16">
        <v>1</v>
      </c>
      <c r="K26" s="206">
        <v>219.64</v>
      </c>
      <c r="L26" s="206"/>
      <c r="M26" s="206"/>
      <c r="N26" s="40">
        <f>+K26*J26</f>
        <v>219.64</v>
      </c>
    </row>
    <row r="27" spans="2:14" ht="15" thickBot="1" x14ac:dyDescent="0.35">
      <c r="B27" s="14" t="s">
        <v>39</v>
      </c>
      <c r="C27" s="198">
        <f>(300+130+40+25+33+35+38+46+27+31+32+42+28+51+34+42+45+31+45+30)*0.2</f>
        <v>217</v>
      </c>
      <c r="D27" s="199"/>
      <c r="E27" s="200"/>
      <c r="F27" s="214"/>
      <c r="G27" s="215"/>
      <c r="I27" s="31" t="s">
        <v>45</v>
      </c>
      <c r="J27" s="32">
        <v>1</v>
      </c>
      <c r="K27" s="170">
        <f>109.8-50</f>
        <v>59.8</v>
      </c>
      <c r="L27" s="170"/>
      <c r="M27" s="170"/>
      <c r="N27" s="41">
        <f>+K27*J27</f>
        <v>59.8</v>
      </c>
    </row>
    <row r="28" spans="2:14" ht="15" thickBot="1" x14ac:dyDescent="0.35">
      <c r="B28" s="178" t="s">
        <v>46</v>
      </c>
      <c r="C28" s="179"/>
      <c r="D28" s="179"/>
      <c r="E28" s="179"/>
      <c r="F28" s="179"/>
      <c r="G28" s="180"/>
      <c r="L28" s="210" t="s">
        <v>31</v>
      </c>
      <c r="M28" s="211"/>
      <c r="N28" s="36">
        <f>SUM(N22:N27)</f>
        <v>1207.74</v>
      </c>
    </row>
    <row r="29" spans="2:14" ht="15" thickBot="1" x14ac:dyDescent="0.35">
      <c r="B29" s="14" t="s">
        <v>35</v>
      </c>
      <c r="C29" s="198">
        <v>265.8</v>
      </c>
      <c r="D29" s="199"/>
      <c r="E29" s="200"/>
      <c r="F29" s="212">
        <f>+C30+C31</f>
        <v>204.5</v>
      </c>
      <c r="G29" s="213"/>
    </row>
    <row r="30" spans="2:14" ht="29.25" customHeight="1" thickBot="1" x14ac:dyDescent="0.35">
      <c r="B30" s="14" t="s">
        <v>37</v>
      </c>
      <c r="C30" s="198">
        <v>185.6</v>
      </c>
      <c r="D30" s="199"/>
      <c r="E30" s="200"/>
      <c r="F30" s="214"/>
      <c r="G30" s="215"/>
      <c r="I30" s="216" t="s">
        <v>47</v>
      </c>
      <c r="J30" s="217"/>
      <c r="K30" s="217"/>
      <c r="L30" s="217"/>
      <c r="M30" s="217"/>
      <c r="N30" s="218"/>
    </row>
    <row r="31" spans="2:14" ht="15" thickBot="1" x14ac:dyDescent="0.35">
      <c r="B31" s="14" t="s">
        <v>39</v>
      </c>
      <c r="C31" s="198">
        <f>63*0.3</f>
        <v>18.899999999999999</v>
      </c>
      <c r="D31" s="199"/>
      <c r="E31" s="200"/>
      <c r="F31" s="214"/>
      <c r="G31" s="215"/>
      <c r="I31" s="178" t="s">
        <v>48</v>
      </c>
      <c r="J31" s="179"/>
      <c r="K31" s="179"/>
      <c r="L31" s="179"/>
      <c r="M31" s="179"/>
      <c r="N31" s="180"/>
    </row>
    <row r="32" spans="2:14" ht="15" thickBot="1" x14ac:dyDescent="0.35">
      <c r="B32" s="178" t="s">
        <v>49</v>
      </c>
      <c r="C32" s="179"/>
      <c r="D32" s="179"/>
      <c r="E32" s="179"/>
      <c r="F32" s="179"/>
      <c r="G32" s="180"/>
      <c r="I32" s="4" t="s">
        <v>3</v>
      </c>
      <c r="J32" s="4" t="s">
        <v>4</v>
      </c>
      <c r="K32" s="193" t="s">
        <v>7</v>
      </c>
      <c r="L32" s="179"/>
      <c r="M32" s="194"/>
      <c r="N32" s="7" t="s">
        <v>8</v>
      </c>
    </row>
    <row r="33" spans="2:14" ht="15" thickBot="1" x14ac:dyDescent="0.35">
      <c r="B33" s="42" t="s">
        <v>35</v>
      </c>
      <c r="C33" s="198">
        <f>16*30</f>
        <v>480</v>
      </c>
      <c r="D33" s="199"/>
      <c r="E33" s="200"/>
      <c r="F33" s="219">
        <f>+C33</f>
        <v>480</v>
      </c>
      <c r="G33" s="220"/>
      <c r="I33" s="9" t="s">
        <v>50</v>
      </c>
      <c r="J33" s="10" t="s">
        <v>51</v>
      </c>
      <c r="K33" s="195">
        <f>2.6+8.3+5.3+6+3.3+2+1.6+1.1+3.5+4.7+1.2+2+2.5+1.8+3.4+5.7+4.7+1.8+1.2+2.7+1.8+1.4+1.2+1.4+2.2+2.7+1.6+1.2+1.4+2.2+3.4+2.5+2+2.3+2.2+1.9+1.9+1.8+1.2+2.4+1.2+1.8+1.4+1.5+1.4+1.4+1.3+1.2+2.1+1.2+1.4+5.4+1.7+5.5+8+5.2+1.4+7.3+1.8+1.8</f>
        <v>158.10000000000011</v>
      </c>
      <c r="L33" s="196"/>
      <c r="M33" s="197"/>
      <c r="N33" s="9">
        <f>+K33</f>
        <v>158.10000000000011</v>
      </c>
    </row>
    <row r="34" spans="2:14" ht="25.5" customHeight="1" thickBot="1" x14ac:dyDescent="0.35">
      <c r="B34" s="207" t="s">
        <v>52</v>
      </c>
      <c r="C34" s="208"/>
      <c r="D34" s="208"/>
      <c r="E34" s="208"/>
      <c r="F34" s="208"/>
      <c r="G34" s="209"/>
      <c r="I34" s="43" t="s">
        <v>53</v>
      </c>
      <c r="J34" s="16" t="s">
        <v>51</v>
      </c>
      <c r="K34" s="206">
        <f>158.1*2.5*0.6</f>
        <v>237.14999999999998</v>
      </c>
      <c r="L34" s="206"/>
      <c r="M34" s="187"/>
      <c r="N34" s="15">
        <f>+K34</f>
        <v>237.14999999999998</v>
      </c>
    </row>
    <row r="35" spans="2:14" ht="15" thickBot="1" x14ac:dyDescent="0.35">
      <c r="B35" s="44" t="s">
        <v>54</v>
      </c>
      <c r="C35" s="201">
        <f>15+10.7+15.14+16.2</f>
        <v>57.040000000000006</v>
      </c>
      <c r="D35" s="202"/>
      <c r="E35" s="203"/>
      <c r="F35" s="204">
        <f>+C35</f>
        <v>57.040000000000006</v>
      </c>
      <c r="G35" s="205"/>
      <c r="H35" s="45"/>
      <c r="I35" s="43" t="s">
        <v>55</v>
      </c>
      <c r="J35" s="16">
        <v>1</v>
      </c>
      <c r="K35" s="206">
        <f>158.1*2.5*0.3</f>
        <v>118.57499999999999</v>
      </c>
      <c r="L35" s="206"/>
      <c r="M35" s="187"/>
      <c r="N35" s="15">
        <f>+K35*J35</f>
        <v>118.57499999999999</v>
      </c>
    </row>
    <row r="36" spans="2:14" ht="15" thickBot="1" x14ac:dyDescent="0.35">
      <c r="B36" s="44" t="s">
        <v>7</v>
      </c>
      <c r="C36" s="201">
        <f>+C35*1.3</f>
        <v>74.152000000000015</v>
      </c>
      <c r="D36" s="202"/>
      <c r="E36" s="203"/>
      <c r="F36" s="204">
        <f>+C36</f>
        <v>74.152000000000015</v>
      </c>
      <c r="G36" s="205"/>
      <c r="H36" s="45"/>
      <c r="I36" s="178" t="s">
        <v>56</v>
      </c>
      <c r="J36" s="179"/>
      <c r="K36" s="179"/>
      <c r="L36" s="179"/>
      <c r="M36" s="179"/>
      <c r="N36" s="180"/>
    </row>
    <row r="37" spans="2:14" ht="15" thickBot="1" x14ac:dyDescent="0.35">
      <c r="I37" s="4" t="s">
        <v>3</v>
      </c>
      <c r="J37" s="4" t="s">
        <v>4</v>
      </c>
      <c r="K37" s="193" t="s">
        <v>7</v>
      </c>
      <c r="L37" s="179"/>
      <c r="M37" s="194"/>
      <c r="N37" s="7" t="s">
        <v>8</v>
      </c>
    </row>
    <row r="38" spans="2:14" ht="29.4" thickBot="1" x14ac:dyDescent="0.35">
      <c r="I38" s="46" t="s">
        <v>53</v>
      </c>
      <c r="J38" s="10" t="s">
        <v>51</v>
      </c>
      <c r="K38" s="195">
        <f>+(17.5+18+25.92+20.8)*0.6</f>
        <v>49.332000000000001</v>
      </c>
      <c r="L38" s="196"/>
      <c r="M38" s="197"/>
      <c r="N38" s="9">
        <f>+K38</f>
        <v>49.332000000000001</v>
      </c>
    </row>
    <row r="39" spans="2:14" ht="15" thickBot="1" x14ac:dyDescent="0.35">
      <c r="B39" s="178" t="s">
        <v>57</v>
      </c>
      <c r="C39" s="179"/>
      <c r="D39" s="179"/>
      <c r="E39" s="179"/>
      <c r="F39" s="179"/>
      <c r="G39" s="180"/>
      <c r="I39" s="47" t="s">
        <v>55</v>
      </c>
      <c r="J39" s="32" t="s">
        <v>51</v>
      </c>
      <c r="K39" s="198">
        <f>+(17.5+18+25.92+20.8)*0.3</f>
        <v>24.666</v>
      </c>
      <c r="L39" s="199"/>
      <c r="M39" s="200"/>
      <c r="N39" s="31">
        <f>+K39</f>
        <v>24.666</v>
      </c>
    </row>
    <row r="40" spans="2:14" ht="15" thickBot="1" x14ac:dyDescent="0.35">
      <c r="B40" s="37" t="s">
        <v>58</v>
      </c>
      <c r="C40" s="48" t="s">
        <v>7</v>
      </c>
      <c r="D40" s="165" t="s">
        <v>59</v>
      </c>
      <c r="E40" s="167"/>
      <c r="F40" s="165" t="s">
        <v>60</v>
      </c>
      <c r="G40" s="167"/>
    </row>
    <row r="41" spans="2:14" ht="27" customHeight="1" thickBot="1" x14ac:dyDescent="0.35">
      <c r="B41" s="49" t="s">
        <v>61</v>
      </c>
      <c r="C41" s="50">
        <v>63.9</v>
      </c>
      <c r="D41" s="191">
        <v>34.5</v>
      </c>
      <c r="E41" s="191"/>
      <c r="F41" s="191">
        <v>3.5</v>
      </c>
      <c r="G41" s="192"/>
      <c r="I41" s="178" t="s">
        <v>62</v>
      </c>
      <c r="J41" s="179"/>
      <c r="K41" s="179"/>
      <c r="L41" s="179"/>
      <c r="M41" s="179"/>
      <c r="N41" s="180"/>
    </row>
    <row r="42" spans="2:14" ht="15" thickBot="1" x14ac:dyDescent="0.35">
      <c r="B42" s="51" t="s">
        <v>63</v>
      </c>
      <c r="C42" s="52">
        <v>53.2</v>
      </c>
      <c r="D42" s="163">
        <v>33.6</v>
      </c>
      <c r="E42" s="163"/>
      <c r="F42" s="163">
        <v>5.0999999999999996</v>
      </c>
      <c r="G42" s="164"/>
      <c r="I42" s="53" t="s">
        <v>58</v>
      </c>
      <c r="J42" s="178" t="s">
        <v>7</v>
      </c>
      <c r="K42" s="179"/>
      <c r="L42" s="180"/>
      <c r="M42" s="179" t="s">
        <v>5</v>
      </c>
      <c r="N42" s="180"/>
    </row>
    <row r="43" spans="2:14" ht="15" thickBot="1" x14ac:dyDescent="0.35">
      <c r="B43" s="54" t="s">
        <v>64</v>
      </c>
      <c r="C43" s="55">
        <v>55.4</v>
      </c>
      <c r="D43" s="181">
        <v>33.799999999999997</v>
      </c>
      <c r="E43" s="181"/>
      <c r="F43" s="181">
        <v>6.7</v>
      </c>
      <c r="G43" s="182"/>
      <c r="I43" s="56" t="s">
        <v>34</v>
      </c>
      <c r="J43" s="183">
        <f>623.23+761.12+618.93+878.16</f>
        <v>2881.4399999999996</v>
      </c>
      <c r="K43" s="184"/>
      <c r="L43" s="185"/>
      <c r="M43" s="183">
        <f>+(19.98*24)+(30.68*20)+(22.83*28)+(31.56*23)+(29.98*20)+(20.2*25)+(28.49*28)+(31.45*28)</f>
        <v>5241.16</v>
      </c>
      <c r="N43" s="186"/>
    </row>
    <row r="44" spans="2:14" ht="15" thickBot="1" x14ac:dyDescent="0.35">
      <c r="B44" s="178" t="s">
        <v>65</v>
      </c>
      <c r="C44" s="179"/>
      <c r="D44" s="179"/>
      <c r="E44" s="179"/>
      <c r="F44" s="179"/>
      <c r="G44" s="180"/>
      <c r="I44" s="57" t="s">
        <v>41</v>
      </c>
      <c r="J44" s="187">
        <f>784.34+981.2+380.2+412.41+525.87</f>
        <v>3084.0199999999995</v>
      </c>
      <c r="K44" s="188"/>
      <c r="L44" s="189"/>
      <c r="M44" s="187">
        <f>+(26*38.62)+(37*26.7)+(23*3.4)+(33.37+22)+(28*23.24)+(31.79+33)+(33.49*36)</f>
        <v>4046.74</v>
      </c>
      <c r="N44" s="190"/>
    </row>
    <row r="45" spans="2:14" ht="15" thickBot="1" x14ac:dyDescent="0.35">
      <c r="B45" s="37" t="s">
        <v>58</v>
      </c>
      <c r="C45" s="165" t="s">
        <v>7</v>
      </c>
      <c r="D45" s="166"/>
      <c r="E45" s="166"/>
      <c r="F45" s="166"/>
      <c r="G45" s="167"/>
      <c r="I45" s="58" t="s">
        <v>46</v>
      </c>
      <c r="J45" s="172">
        <f>68.87+30.27</f>
        <v>99.14</v>
      </c>
      <c r="K45" s="173"/>
      <c r="L45" s="174"/>
      <c r="M45" s="172">
        <f>44.5+24.01</f>
        <v>68.510000000000005</v>
      </c>
      <c r="N45" s="175"/>
    </row>
    <row r="46" spans="2:14" ht="15" thickBot="1" x14ac:dyDescent="0.35">
      <c r="B46" s="49" t="s">
        <v>66</v>
      </c>
      <c r="C46" s="176">
        <v>305</v>
      </c>
      <c r="D46" s="176"/>
      <c r="E46" s="176"/>
      <c r="F46" s="176"/>
      <c r="G46" s="177"/>
      <c r="M46" s="1"/>
    </row>
    <row r="47" spans="2:14" ht="29.4" thickBot="1" x14ac:dyDescent="0.35">
      <c r="B47" s="51" t="s">
        <v>67</v>
      </c>
      <c r="C47" s="163">
        <f>96.2+203.5</f>
        <v>299.7</v>
      </c>
      <c r="D47" s="163"/>
      <c r="E47" s="163"/>
      <c r="F47" s="163"/>
      <c r="G47" s="164"/>
      <c r="I47" s="178" t="s">
        <v>68</v>
      </c>
      <c r="J47" s="179"/>
      <c r="K47" s="179"/>
      <c r="L47" s="179"/>
      <c r="M47" s="179"/>
      <c r="N47" s="180"/>
    </row>
    <row r="48" spans="2:14" ht="15" thickBot="1" x14ac:dyDescent="0.35">
      <c r="B48" s="51" t="s">
        <v>69</v>
      </c>
      <c r="C48" s="163">
        <f>34.7+15.3+4.95</f>
        <v>54.95</v>
      </c>
      <c r="D48" s="163"/>
      <c r="E48" s="163"/>
      <c r="F48" s="163"/>
      <c r="G48" s="164"/>
      <c r="I48" s="37" t="s">
        <v>58</v>
      </c>
      <c r="J48" s="165" t="s">
        <v>7</v>
      </c>
      <c r="K48" s="166"/>
      <c r="L48" s="166"/>
      <c r="M48" s="166"/>
      <c r="N48" s="167"/>
    </row>
    <row r="49" spans="2:14" ht="28.8" x14ac:dyDescent="0.3">
      <c r="B49" s="51" t="s">
        <v>70</v>
      </c>
      <c r="C49" s="163">
        <f>6.98+22.95</f>
        <v>29.93</v>
      </c>
      <c r="D49" s="163"/>
      <c r="E49" s="163"/>
      <c r="F49" s="163"/>
      <c r="G49" s="164"/>
      <c r="I49" s="56" t="s">
        <v>68</v>
      </c>
      <c r="J49" s="168">
        <v>17.54</v>
      </c>
      <c r="K49" s="168"/>
      <c r="L49" s="168"/>
      <c r="M49" s="168"/>
      <c r="N49" s="169"/>
    </row>
    <row r="50" spans="2:14" ht="29.4" thickBot="1" x14ac:dyDescent="0.35">
      <c r="B50" s="58" t="s">
        <v>71</v>
      </c>
      <c r="C50" s="170">
        <f>15.9+4.69+5.09+7.72+1.98+5.6+6.79+17+4.11+6.71+24.52+18.05+5.81+8.04+12.39+12.87+6.72+6.84</f>
        <v>170.82999999999998</v>
      </c>
      <c r="D50" s="170"/>
      <c r="E50" s="170"/>
      <c r="F50" s="170"/>
      <c r="G50" s="171"/>
    </row>
    <row r="51" spans="2:14" ht="15" thickBot="1" x14ac:dyDescent="0.35"/>
    <row r="52" spans="2:14" ht="15" thickBot="1" x14ac:dyDescent="0.35">
      <c r="B52" s="159" t="s">
        <v>72</v>
      </c>
      <c r="C52" s="160"/>
    </row>
    <row r="53" spans="2:14" ht="15" thickBot="1" x14ac:dyDescent="0.35">
      <c r="B53" s="60" t="s">
        <v>58</v>
      </c>
      <c r="C53" s="59" t="s">
        <v>7</v>
      </c>
    </row>
    <row r="54" spans="2:14" ht="15" thickBot="1" x14ac:dyDescent="0.35">
      <c r="B54" s="61" t="s">
        <v>73</v>
      </c>
      <c r="C54" s="62">
        <v>110</v>
      </c>
      <c r="D54" s="158" t="s">
        <v>74</v>
      </c>
      <c r="E54" s="155"/>
      <c r="F54" s="156"/>
    </row>
    <row r="55" spans="2:14" ht="15" thickBot="1" x14ac:dyDescent="0.35">
      <c r="B55" s="61" t="s">
        <v>75</v>
      </c>
      <c r="C55" s="62">
        <f>380-110</f>
        <v>270</v>
      </c>
      <c r="D55" s="158" t="s">
        <v>76</v>
      </c>
      <c r="E55" s="155"/>
      <c r="F55" s="156"/>
    </row>
    <row r="56" spans="2:14" x14ac:dyDescent="0.3">
      <c r="B56" s="61" t="s">
        <v>77</v>
      </c>
      <c r="C56" s="62">
        <f>25*4.8*0.4</f>
        <v>48</v>
      </c>
    </row>
    <row r="57" spans="2:14" x14ac:dyDescent="0.3">
      <c r="B57" s="61" t="s">
        <v>78</v>
      </c>
      <c r="C57" s="62">
        <f>7*2</f>
        <v>14</v>
      </c>
      <c r="M57" s="1"/>
    </row>
    <row r="58" spans="2:14" x14ac:dyDescent="0.3">
      <c r="B58" s="61" t="s">
        <v>79</v>
      </c>
      <c r="C58" s="62">
        <v>27</v>
      </c>
    </row>
    <row r="59" spans="2:14" ht="15" thickBot="1" x14ac:dyDescent="0.35">
      <c r="B59" s="61" t="s">
        <v>80</v>
      </c>
      <c r="C59" s="62">
        <f>20+13+6</f>
        <v>39</v>
      </c>
    </row>
    <row r="60" spans="2:14" ht="15" thickBot="1" x14ac:dyDescent="0.35">
      <c r="B60" s="63" t="s">
        <v>81</v>
      </c>
      <c r="C60" s="64">
        <v>80</v>
      </c>
      <c r="I60" s="159" t="s">
        <v>72</v>
      </c>
      <c r="J60" s="160"/>
      <c r="M60" s="1"/>
    </row>
    <row r="61" spans="2:14" ht="15" thickBot="1" x14ac:dyDescent="0.35">
      <c r="I61" s="60" t="s">
        <v>58</v>
      </c>
      <c r="J61" s="59" t="s">
        <v>7</v>
      </c>
      <c r="M61" s="1"/>
    </row>
    <row r="62" spans="2:14" ht="15" thickBot="1" x14ac:dyDescent="0.35">
      <c r="B62" s="161" t="s">
        <v>82</v>
      </c>
      <c r="C62" s="162"/>
      <c r="F62"/>
      <c r="G62"/>
      <c r="I62" s="61" t="s">
        <v>73</v>
      </c>
      <c r="J62" s="62">
        <v>110</v>
      </c>
      <c r="K62" s="158" t="s">
        <v>74</v>
      </c>
      <c r="L62" s="155"/>
      <c r="M62" s="156"/>
    </row>
    <row r="63" spans="2:14" ht="15" thickBot="1" x14ac:dyDescent="0.35">
      <c r="B63" s="65" t="s">
        <v>58</v>
      </c>
      <c r="C63" s="66" t="s">
        <v>7</v>
      </c>
      <c r="I63" s="61" t="s">
        <v>75</v>
      </c>
      <c r="J63" s="62">
        <f>380-110</f>
        <v>270</v>
      </c>
      <c r="K63" s="158" t="s">
        <v>76</v>
      </c>
      <c r="L63" s="155"/>
      <c r="M63" s="156"/>
    </row>
    <row r="64" spans="2:14" ht="15" thickBot="1" x14ac:dyDescent="0.35">
      <c r="B64" s="60" t="s">
        <v>83</v>
      </c>
      <c r="C64" s="67">
        <v>110</v>
      </c>
      <c r="I64" s="153" t="s">
        <v>82</v>
      </c>
      <c r="J64" s="154"/>
    </row>
    <row r="65" spans="2:13" ht="15" thickBot="1" x14ac:dyDescent="0.35">
      <c r="B65" s="68" t="s">
        <v>84</v>
      </c>
      <c r="C65" s="69">
        <f>380-110</f>
        <v>270</v>
      </c>
      <c r="I65" s="70" t="s">
        <v>85</v>
      </c>
      <c r="J65" s="71">
        <f>507-120-75-80</f>
        <v>232</v>
      </c>
      <c r="K65" s="155" t="s">
        <v>76</v>
      </c>
      <c r="L65" s="155"/>
      <c r="M65" s="156"/>
    </row>
    <row r="66" spans="2:13" x14ac:dyDescent="0.3">
      <c r="B66" s="68" t="s">
        <v>86</v>
      </c>
      <c r="C66" s="69">
        <f>23*4.8*0.4</f>
        <v>44.16</v>
      </c>
      <c r="I66" s="61" t="s">
        <v>87</v>
      </c>
      <c r="J66" s="62">
        <v>35.799999999999997</v>
      </c>
    </row>
    <row r="67" spans="2:13" x14ac:dyDescent="0.3">
      <c r="B67" s="68" t="s">
        <v>88</v>
      </c>
      <c r="C67" s="69">
        <f>58-16</f>
        <v>42</v>
      </c>
      <c r="I67" s="61" t="s">
        <v>89</v>
      </c>
      <c r="J67" s="62">
        <v>1.4</v>
      </c>
      <c r="K67" t="s">
        <v>5</v>
      </c>
    </row>
    <row r="68" spans="2:13" x14ac:dyDescent="0.3">
      <c r="B68" s="61" t="s">
        <v>90</v>
      </c>
      <c r="C68" s="62">
        <v>16</v>
      </c>
      <c r="F68"/>
      <c r="G68"/>
      <c r="I68" s="61" t="s">
        <v>91</v>
      </c>
      <c r="J68" s="62">
        <v>9.5</v>
      </c>
      <c r="K68" t="s">
        <v>5</v>
      </c>
    </row>
    <row r="69" spans="2:13" x14ac:dyDescent="0.3">
      <c r="B69" s="61" t="s">
        <v>87</v>
      </c>
      <c r="C69" s="62">
        <v>35.799999999999997</v>
      </c>
      <c r="F69"/>
      <c r="G69"/>
      <c r="I69" s="61" t="s">
        <v>92</v>
      </c>
      <c r="J69" s="62">
        <v>2</v>
      </c>
    </row>
    <row r="70" spans="2:13" ht="15" thickBot="1" x14ac:dyDescent="0.35">
      <c r="B70" s="61" t="s">
        <v>93</v>
      </c>
      <c r="C70" s="62">
        <v>25</v>
      </c>
      <c r="F70"/>
      <c r="G70"/>
      <c r="I70" s="63" t="s">
        <v>94</v>
      </c>
      <c r="J70" s="64">
        <v>20</v>
      </c>
    </row>
    <row r="71" spans="2:13" x14ac:dyDescent="0.3">
      <c r="B71" s="68" t="s">
        <v>95</v>
      </c>
      <c r="C71" s="69">
        <f>56.8+122</f>
        <v>178.8</v>
      </c>
      <c r="F71"/>
      <c r="G71"/>
    </row>
    <row r="72" spans="2:13" x14ac:dyDescent="0.3">
      <c r="B72" s="68" t="s">
        <v>96</v>
      </c>
      <c r="C72" s="69">
        <v>74.8</v>
      </c>
      <c r="F72"/>
      <c r="G72"/>
    </row>
    <row r="73" spans="2:13" ht="28.8" x14ac:dyDescent="0.3">
      <c r="B73" s="72" t="s">
        <v>97</v>
      </c>
      <c r="C73" s="62">
        <v>54.7</v>
      </c>
      <c r="F73"/>
      <c r="G73"/>
    </row>
    <row r="74" spans="2:13" ht="29.4" thickBot="1" x14ac:dyDescent="0.35">
      <c r="B74" s="72" t="s">
        <v>98</v>
      </c>
      <c r="C74" s="62">
        <v>52.6</v>
      </c>
      <c r="F74"/>
      <c r="G74"/>
    </row>
    <row r="75" spans="2:13" ht="15" thickBot="1" x14ac:dyDescent="0.35">
      <c r="B75" s="61" t="s">
        <v>85</v>
      </c>
      <c r="C75" s="62">
        <f>507-120-75-80</f>
        <v>232</v>
      </c>
      <c r="D75" s="155" t="s">
        <v>76</v>
      </c>
      <c r="E75" s="155"/>
      <c r="F75" s="156"/>
      <c r="G75"/>
    </row>
    <row r="76" spans="2:13" x14ac:dyDescent="0.3">
      <c r="B76" s="68" t="s">
        <v>79</v>
      </c>
      <c r="C76" s="69">
        <v>110</v>
      </c>
      <c r="F76"/>
      <c r="G76"/>
    </row>
    <row r="77" spans="2:13" x14ac:dyDescent="0.3">
      <c r="B77" s="68" t="s">
        <v>80</v>
      </c>
      <c r="C77" s="69">
        <v>27</v>
      </c>
      <c r="F77"/>
      <c r="G77"/>
    </row>
    <row r="78" spans="2:13" x14ac:dyDescent="0.3">
      <c r="B78" s="61" t="s">
        <v>99</v>
      </c>
      <c r="C78" s="62">
        <v>45</v>
      </c>
      <c r="F78"/>
      <c r="G78"/>
    </row>
    <row r="79" spans="2:13" x14ac:dyDescent="0.3">
      <c r="B79" s="61" t="s">
        <v>100</v>
      </c>
      <c r="C79" s="62">
        <f>30*0.55</f>
        <v>16.5</v>
      </c>
      <c r="F79"/>
      <c r="G79"/>
    </row>
    <row r="80" spans="2:13" x14ac:dyDescent="0.3">
      <c r="B80" s="61" t="s">
        <v>77</v>
      </c>
      <c r="C80" s="62">
        <f>10*4.8*0.4</f>
        <v>19.200000000000003</v>
      </c>
      <c r="M80" s="1"/>
    </row>
    <row r="81" spans="2:4" x14ac:dyDescent="0.3">
      <c r="B81" s="61" t="s">
        <v>101</v>
      </c>
      <c r="C81" s="62">
        <v>84</v>
      </c>
    </row>
    <row r="82" spans="2:4" x14ac:dyDescent="0.3">
      <c r="B82" s="61" t="s">
        <v>102</v>
      </c>
      <c r="C82" s="62">
        <v>35</v>
      </c>
    </row>
    <row r="83" spans="2:4" x14ac:dyDescent="0.3">
      <c r="B83" s="61" t="s">
        <v>103</v>
      </c>
      <c r="C83" s="62">
        <v>104</v>
      </c>
    </row>
    <row r="84" spans="2:4" ht="15" thickBot="1" x14ac:dyDescent="0.35">
      <c r="B84" s="63" t="s">
        <v>104</v>
      </c>
      <c r="C84" s="64">
        <f>5*2.5</f>
        <v>12.5</v>
      </c>
    </row>
    <row r="85" spans="2:4" ht="29.4" thickBot="1" x14ac:dyDescent="0.35">
      <c r="B85" s="73" t="s">
        <v>105</v>
      </c>
      <c r="C85" s="64">
        <f>29.24*2.5</f>
        <v>73.099999999999994</v>
      </c>
    </row>
    <row r="86" spans="2:4" ht="15" thickBot="1" x14ac:dyDescent="0.35"/>
    <row r="87" spans="2:4" ht="15" thickBot="1" x14ac:dyDescent="0.35">
      <c r="B87" s="74" t="s">
        <v>106</v>
      </c>
      <c r="C87" s="75" t="s">
        <v>107</v>
      </c>
      <c r="D87" s="76" t="s">
        <v>31</v>
      </c>
    </row>
    <row r="88" spans="2:4" ht="15" thickBot="1" x14ac:dyDescent="0.35">
      <c r="B88" s="77">
        <v>21</v>
      </c>
      <c r="C88" s="78">
        <f>12*3.4</f>
        <v>40.799999999999997</v>
      </c>
      <c r="D88" s="79">
        <f>+B88*C88</f>
        <v>856.8</v>
      </c>
    </row>
  </sheetData>
  <mergeCells count="92">
    <mergeCell ref="B20:G20"/>
    <mergeCell ref="K20:M20"/>
    <mergeCell ref="B3:G3"/>
    <mergeCell ref="I3:N3"/>
    <mergeCell ref="D6:F6"/>
    <mergeCell ref="D8:F8"/>
    <mergeCell ref="D10:F10"/>
    <mergeCell ref="D12:F12"/>
    <mergeCell ref="D14:F14"/>
    <mergeCell ref="D16:F16"/>
    <mergeCell ref="L16:M16"/>
    <mergeCell ref="B19:G19"/>
    <mergeCell ref="I19:N19"/>
    <mergeCell ref="C21:E21"/>
    <mergeCell ref="F21:G23"/>
    <mergeCell ref="K21:M21"/>
    <mergeCell ref="C22:E22"/>
    <mergeCell ref="K22:M22"/>
    <mergeCell ref="C23:E23"/>
    <mergeCell ref="K23:M23"/>
    <mergeCell ref="B24:G24"/>
    <mergeCell ref="K24:M24"/>
    <mergeCell ref="C25:E25"/>
    <mergeCell ref="F25:G27"/>
    <mergeCell ref="K25:M25"/>
    <mergeCell ref="C26:E26"/>
    <mergeCell ref="K26:M26"/>
    <mergeCell ref="C27:E27"/>
    <mergeCell ref="K27:M27"/>
    <mergeCell ref="B34:G34"/>
    <mergeCell ref="K34:M34"/>
    <mergeCell ref="B28:G28"/>
    <mergeCell ref="L28:M28"/>
    <mergeCell ref="C29:E29"/>
    <mergeCell ref="F29:G31"/>
    <mergeCell ref="C30:E30"/>
    <mergeCell ref="I30:N30"/>
    <mergeCell ref="C31:E31"/>
    <mergeCell ref="I31:N31"/>
    <mergeCell ref="B32:G32"/>
    <mergeCell ref="K32:M32"/>
    <mergeCell ref="C33:E33"/>
    <mergeCell ref="F33:G33"/>
    <mergeCell ref="K33:M33"/>
    <mergeCell ref="C35:E35"/>
    <mergeCell ref="F35:G35"/>
    <mergeCell ref="K35:M35"/>
    <mergeCell ref="C36:E36"/>
    <mergeCell ref="F36:G36"/>
    <mergeCell ref="I36:N36"/>
    <mergeCell ref="K37:M37"/>
    <mergeCell ref="K38:M38"/>
    <mergeCell ref="B39:G39"/>
    <mergeCell ref="K39:M39"/>
    <mergeCell ref="D40:E40"/>
    <mergeCell ref="F40:G40"/>
    <mergeCell ref="D41:E41"/>
    <mergeCell ref="F41:G41"/>
    <mergeCell ref="I41:N41"/>
    <mergeCell ref="D42:E42"/>
    <mergeCell ref="F42:G42"/>
    <mergeCell ref="J42:L42"/>
    <mergeCell ref="M42:N42"/>
    <mergeCell ref="D43:E43"/>
    <mergeCell ref="F43:G43"/>
    <mergeCell ref="J43:L43"/>
    <mergeCell ref="M43:N43"/>
    <mergeCell ref="B44:G44"/>
    <mergeCell ref="J44:L44"/>
    <mergeCell ref="M44:N44"/>
    <mergeCell ref="C45:G45"/>
    <mergeCell ref="J45:L45"/>
    <mergeCell ref="M45:N45"/>
    <mergeCell ref="C46:G46"/>
    <mergeCell ref="C47:G47"/>
    <mergeCell ref="I47:N47"/>
    <mergeCell ref="I64:J64"/>
    <mergeCell ref="K65:M65"/>
    <mergeCell ref="D75:F75"/>
    <mergeCell ref="B1:L1"/>
    <mergeCell ref="D54:F54"/>
    <mergeCell ref="D55:F55"/>
    <mergeCell ref="I60:J60"/>
    <mergeCell ref="B62:C62"/>
    <mergeCell ref="K62:M62"/>
    <mergeCell ref="K63:M63"/>
    <mergeCell ref="C48:G48"/>
    <mergeCell ref="J48:N48"/>
    <mergeCell ref="C49:G49"/>
    <mergeCell ref="J49:N49"/>
    <mergeCell ref="C50:G50"/>
    <mergeCell ref="B52:C5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9A87E-A122-486E-BD63-AE2A71AE25A7}">
  <dimension ref="A1:J52"/>
  <sheetViews>
    <sheetView topLeftCell="A31" zoomScale="85" zoomScaleNormal="85" workbookViewId="0">
      <selection activeCell="G53" sqref="B36:G53"/>
    </sheetView>
  </sheetViews>
  <sheetFormatPr baseColWidth="10" defaultColWidth="9.109375" defaultRowHeight="14.4" x14ac:dyDescent="0.3"/>
  <cols>
    <col min="1" max="1" width="9.109375" style="80"/>
    <col min="2" max="2" width="15.33203125" style="80" customWidth="1"/>
    <col min="3" max="3" width="76.88671875" style="80" customWidth="1"/>
    <col min="4" max="4" width="15.33203125" style="80" customWidth="1"/>
    <col min="5" max="5" width="17" style="80" bestFit="1" customWidth="1"/>
    <col min="6" max="6" width="19.21875" style="80" customWidth="1"/>
    <col min="7" max="7" width="18.88671875" style="80" customWidth="1"/>
    <col min="8" max="8" width="9.109375" style="80"/>
    <col min="9" max="9" width="14.77734375" style="80" bestFit="1" customWidth="1"/>
    <col min="10" max="10" width="14.5546875" style="80" bestFit="1" customWidth="1"/>
    <col min="11" max="16384" width="9.109375" style="80"/>
  </cols>
  <sheetData>
    <row r="1" spans="1:7" ht="25.8" x14ac:dyDescent="0.3">
      <c r="A1" s="230" t="s">
        <v>108</v>
      </c>
      <c r="B1" s="230"/>
      <c r="C1" s="230"/>
      <c r="D1" s="230"/>
      <c r="E1" s="230"/>
      <c r="F1" s="230"/>
      <c r="G1" s="230"/>
    </row>
    <row r="2" spans="1:7" ht="18" x14ac:dyDescent="0.3">
      <c r="A2" s="231" t="s">
        <v>135</v>
      </c>
      <c r="B2" s="231"/>
      <c r="C2" s="231"/>
      <c r="D2" s="231"/>
      <c r="E2" s="231"/>
      <c r="F2" s="231"/>
      <c r="G2" s="231"/>
    </row>
    <row r="3" spans="1:7" ht="15.6" x14ac:dyDescent="0.3">
      <c r="A3" s="232" t="s">
        <v>109</v>
      </c>
      <c r="B3" s="232"/>
      <c r="C3" s="232"/>
      <c r="D3" s="232"/>
      <c r="E3" s="232"/>
      <c r="F3" s="232"/>
      <c r="G3" s="232"/>
    </row>
    <row r="4" spans="1:7" x14ac:dyDescent="0.3">
      <c r="A4" s="229" t="s">
        <v>110</v>
      </c>
      <c r="B4" s="229"/>
      <c r="C4" s="229"/>
      <c r="D4" s="229" t="s">
        <v>131</v>
      </c>
      <c r="E4" s="229"/>
      <c r="F4" s="229"/>
      <c r="G4" s="229"/>
    </row>
    <row r="5" spans="1:7" x14ac:dyDescent="0.3">
      <c r="A5" s="229" t="s">
        <v>132</v>
      </c>
      <c r="B5" s="229"/>
      <c r="C5" s="229"/>
      <c r="D5" s="229" t="s">
        <v>133</v>
      </c>
      <c r="E5" s="229"/>
      <c r="F5" s="229"/>
      <c r="G5" s="229"/>
    </row>
    <row r="6" spans="1:7" x14ac:dyDescent="0.3">
      <c r="A6" s="229" t="s">
        <v>134</v>
      </c>
      <c r="B6" s="229"/>
      <c r="C6" s="229"/>
      <c r="D6" s="226"/>
      <c r="E6" s="226"/>
      <c r="F6" s="226"/>
      <c r="G6" s="226"/>
    </row>
    <row r="7" spans="1:7" x14ac:dyDescent="0.3">
      <c r="A7" s="229" t="s">
        <v>111</v>
      </c>
      <c r="B7" s="229"/>
      <c r="C7" s="229"/>
      <c r="D7" s="226"/>
      <c r="E7" s="226"/>
      <c r="F7" s="226"/>
      <c r="G7" s="226"/>
    </row>
    <row r="8" spans="1:7" x14ac:dyDescent="0.3">
      <c r="A8" s="93" t="s">
        <v>129</v>
      </c>
      <c r="B8" s="94" t="s">
        <v>130</v>
      </c>
      <c r="C8" s="94" t="s">
        <v>112</v>
      </c>
      <c r="D8" s="94" t="s">
        <v>113</v>
      </c>
      <c r="E8" s="94" t="s">
        <v>114</v>
      </c>
      <c r="F8" s="94" t="s">
        <v>115</v>
      </c>
      <c r="G8" s="94" t="s">
        <v>116</v>
      </c>
    </row>
    <row r="9" spans="1:7" x14ac:dyDescent="0.3">
      <c r="A9" s="90" t="s">
        <v>120</v>
      </c>
      <c r="B9" s="90"/>
      <c r="C9" s="89" t="s">
        <v>136</v>
      </c>
      <c r="D9" s="90"/>
      <c r="E9" s="90"/>
      <c r="F9" s="90"/>
      <c r="G9" s="95">
        <f>+G10+G11+G12</f>
        <v>10820000</v>
      </c>
    </row>
    <row r="10" spans="1:7" x14ac:dyDescent="0.3">
      <c r="A10" s="85"/>
      <c r="B10" s="82" t="s">
        <v>137</v>
      </c>
      <c r="C10" s="81" t="s">
        <v>138</v>
      </c>
      <c r="D10" s="82" t="s">
        <v>143</v>
      </c>
      <c r="E10" s="83">
        <v>1</v>
      </c>
      <c r="F10" s="99">
        <v>650000</v>
      </c>
      <c r="G10" s="96">
        <f>+E10*F10</f>
        <v>650000</v>
      </c>
    </row>
    <row r="11" spans="1:7" x14ac:dyDescent="0.3">
      <c r="A11" s="85"/>
      <c r="B11" s="82" t="s">
        <v>139</v>
      </c>
      <c r="C11" s="81" t="s">
        <v>140</v>
      </c>
      <c r="D11" s="82" t="s">
        <v>143</v>
      </c>
      <c r="E11" s="83">
        <v>1</v>
      </c>
      <c r="F11" s="99">
        <v>170000</v>
      </c>
      <c r="G11" s="96">
        <f t="shared" ref="G11:G12" si="0">+E11*F11</f>
        <v>170000</v>
      </c>
    </row>
    <row r="12" spans="1:7" x14ac:dyDescent="0.3">
      <c r="A12" s="85"/>
      <c r="B12" s="82" t="s">
        <v>141</v>
      </c>
      <c r="C12" s="81" t="s">
        <v>142</v>
      </c>
      <c r="D12" s="82" t="s">
        <v>143</v>
      </c>
      <c r="E12" s="83">
        <v>1</v>
      </c>
      <c r="F12" s="101">
        <v>10000000</v>
      </c>
      <c r="G12" s="96">
        <f t="shared" si="0"/>
        <v>10000000</v>
      </c>
    </row>
    <row r="13" spans="1:7" x14ac:dyDescent="0.3">
      <c r="A13" s="90" t="s">
        <v>144</v>
      </c>
      <c r="B13" s="90"/>
      <c r="C13" s="89" t="s">
        <v>145</v>
      </c>
      <c r="D13" s="90"/>
      <c r="E13" s="90"/>
      <c r="F13" s="100"/>
      <c r="G13" s="95">
        <f>+SUM(G14:G23)</f>
        <v>153432973.51999998</v>
      </c>
    </row>
    <row r="14" spans="1:7" x14ac:dyDescent="0.3">
      <c r="A14" s="85"/>
      <c r="B14" s="82" t="s">
        <v>146</v>
      </c>
      <c r="C14" s="250" t="s">
        <v>152</v>
      </c>
      <c r="D14" s="82" t="s">
        <v>7</v>
      </c>
      <c r="E14" s="83">
        <v>510</v>
      </c>
      <c r="F14" s="252">
        <v>186300</v>
      </c>
      <c r="G14" s="96">
        <f t="shared" ref="G14:G23" si="1">+E14*F14</f>
        <v>95013000</v>
      </c>
    </row>
    <row r="15" spans="1:7" ht="28.8" x14ac:dyDescent="0.3">
      <c r="A15" s="85"/>
      <c r="B15" s="82" t="s">
        <v>147</v>
      </c>
      <c r="C15" s="251" t="s">
        <v>153</v>
      </c>
      <c r="D15" s="82" t="s">
        <v>7</v>
      </c>
      <c r="E15" s="83">
        <v>60</v>
      </c>
      <c r="F15" s="101">
        <v>142155.92533333335</v>
      </c>
      <c r="G15" s="96">
        <f t="shared" si="1"/>
        <v>8529355.5200000014</v>
      </c>
    </row>
    <row r="16" spans="1:7" x14ac:dyDescent="0.3">
      <c r="A16" s="85"/>
      <c r="B16" s="82" t="s">
        <v>148</v>
      </c>
      <c r="C16" s="251" t="s">
        <v>154</v>
      </c>
      <c r="D16" s="82" t="s">
        <v>7</v>
      </c>
      <c r="E16" s="83">
        <v>70</v>
      </c>
      <c r="F16" s="99">
        <v>159500</v>
      </c>
      <c r="G16" s="96">
        <f t="shared" si="1"/>
        <v>11165000</v>
      </c>
    </row>
    <row r="17" spans="1:9" x14ac:dyDescent="0.3">
      <c r="A17" s="85"/>
      <c r="B17" s="82" t="s">
        <v>149</v>
      </c>
      <c r="C17" s="250" t="s">
        <v>155</v>
      </c>
      <c r="D17" s="82" t="s">
        <v>7</v>
      </c>
      <c r="E17" s="83">
        <v>36</v>
      </c>
      <c r="F17" s="101">
        <v>238999.11111111112</v>
      </c>
      <c r="G17" s="96">
        <f t="shared" si="1"/>
        <v>8603968</v>
      </c>
      <c r="I17" s="102"/>
    </row>
    <row r="18" spans="1:9" ht="28.8" x14ac:dyDescent="0.3">
      <c r="A18" s="85"/>
      <c r="B18" s="82" t="s">
        <v>150</v>
      </c>
      <c r="C18" s="251" t="s">
        <v>156</v>
      </c>
      <c r="D18" s="82" t="s">
        <v>7</v>
      </c>
      <c r="E18" s="83">
        <v>42</v>
      </c>
      <c r="F18" s="99">
        <v>190200</v>
      </c>
      <c r="G18" s="96">
        <f t="shared" si="1"/>
        <v>7988400</v>
      </c>
    </row>
    <row r="19" spans="1:9" x14ac:dyDescent="0.3">
      <c r="A19" s="85"/>
      <c r="B19" s="82" t="s">
        <v>151</v>
      </c>
      <c r="C19" s="250" t="s">
        <v>157</v>
      </c>
      <c r="D19" s="82" t="s">
        <v>5</v>
      </c>
      <c r="E19" s="83">
        <v>55</v>
      </c>
      <c r="F19" s="99">
        <v>39000</v>
      </c>
      <c r="G19" s="96">
        <f t="shared" si="1"/>
        <v>2145000</v>
      </c>
    </row>
    <row r="20" spans="1:9" x14ac:dyDescent="0.3">
      <c r="A20" s="85"/>
      <c r="B20" s="82" t="s">
        <v>158</v>
      </c>
      <c r="C20" s="250" t="s">
        <v>159</v>
      </c>
      <c r="D20" s="82" t="s">
        <v>7</v>
      </c>
      <c r="E20" s="83">
        <v>305</v>
      </c>
      <c r="F20" s="99">
        <v>24300</v>
      </c>
      <c r="G20" s="96">
        <f t="shared" si="1"/>
        <v>7411500</v>
      </c>
    </row>
    <row r="21" spans="1:9" ht="15" customHeight="1" x14ac:dyDescent="0.3">
      <c r="A21" s="85"/>
      <c r="B21" s="82" t="s">
        <v>166</v>
      </c>
      <c r="C21" s="250" t="s">
        <v>167</v>
      </c>
      <c r="D21" s="82" t="s">
        <v>5</v>
      </c>
      <c r="E21" s="83">
        <v>105</v>
      </c>
      <c r="F21" s="99">
        <v>25000</v>
      </c>
      <c r="G21" s="96">
        <f t="shared" si="1"/>
        <v>2625000</v>
      </c>
    </row>
    <row r="22" spans="1:9" ht="15" customHeight="1" x14ac:dyDescent="0.3">
      <c r="A22" s="85"/>
      <c r="B22" s="82" t="s">
        <v>171</v>
      </c>
      <c r="C22" s="250" t="s">
        <v>172</v>
      </c>
      <c r="D22" s="82" t="s">
        <v>7</v>
      </c>
      <c r="E22" s="83">
        <v>172.5</v>
      </c>
      <c r="F22" s="99">
        <v>20300</v>
      </c>
      <c r="G22" s="96">
        <f t="shared" si="1"/>
        <v>3501750</v>
      </c>
    </row>
    <row r="23" spans="1:9" ht="15" customHeight="1" x14ac:dyDescent="0.3">
      <c r="A23" s="85"/>
      <c r="B23" s="82" t="s">
        <v>174</v>
      </c>
      <c r="C23" s="250" t="s">
        <v>175</v>
      </c>
      <c r="D23" s="82" t="s">
        <v>7</v>
      </c>
      <c r="E23" s="83">
        <v>30</v>
      </c>
      <c r="F23" s="99">
        <v>215000</v>
      </c>
      <c r="G23" s="96">
        <f t="shared" si="1"/>
        <v>6450000</v>
      </c>
    </row>
    <row r="24" spans="1:9" ht="28.8" x14ac:dyDescent="0.3">
      <c r="A24" s="90" t="s">
        <v>160</v>
      </c>
      <c r="B24" s="90"/>
      <c r="C24" s="91" t="s">
        <v>168</v>
      </c>
      <c r="D24" s="90"/>
      <c r="E24" s="92"/>
      <c r="F24" s="100"/>
      <c r="G24" s="95">
        <f>+G25+G26+G27+G28</f>
        <v>15688400</v>
      </c>
    </row>
    <row r="25" spans="1:9" x14ac:dyDescent="0.3">
      <c r="A25" s="85"/>
      <c r="B25" s="82" t="s">
        <v>161</v>
      </c>
      <c r="C25" s="81" t="s">
        <v>165</v>
      </c>
      <c r="D25" s="82" t="s">
        <v>5</v>
      </c>
      <c r="E25" s="83">
        <v>3</v>
      </c>
      <c r="F25" s="252">
        <v>450800</v>
      </c>
      <c r="G25" s="96">
        <f t="shared" ref="G25:G28" si="2">+E25*F25</f>
        <v>1352400</v>
      </c>
    </row>
    <row r="26" spans="1:9" x14ac:dyDescent="0.3">
      <c r="A26" s="85"/>
      <c r="B26" s="82" t="s">
        <v>162</v>
      </c>
      <c r="C26" s="81" t="s">
        <v>169</v>
      </c>
      <c r="D26" s="82" t="s">
        <v>5</v>
      </c>
      <c r="E26" s="83">
        <v>20</v>
      </c>
      <c r="F26" s="99">
        <v>54050</v>
      </c>
      <c r="G26" s="96">
        <f t="shared" si="2"/>
        <v>1081000</v>
      </c>
    </row>
    <row r="27" spans="1:9" ht="15" customHeight="1" x14ac:dyDescent="0.3">
      <c r="A27" s="85"/>
      <c r="B27" s="82" t="s">
        <v>163</v>
      </c>
      <c r="C27" s="81" t="s">
        <v>170</v>
      </c>
      <c r="D27" s="82" t="s">
        <v>7</v>
      </c>
      <c r="E27" s="83">
        <v>25</v>
      </c>
      <c r="F27" s="99">
        <v>463000</v>
      </c>
      <c r="G27" s="96">
        <f t="shared" si="2"/>
        <v>11575000</v>
      </c>
    </row>
    <row r="28" spans="1:9" ht="15" customHeight="1" x14ac:dyDescent="0.3">
      <c r="A28" s="85"/>
      <c r="B28" s="82" t="s">
        <v>164</v>
      </c>
      <c r="C28" s="81" t="s">
        <v>173</v>
      </c>
      <c r="D28" s="82" t="s">
        <v>5</v>
      </c>
      <c r="E28" s="83">
        <v>12</v>
      </c>
      <c r="F28" s="99">
        <v>140000</v>
      </c>
      <c r="G28" s="96">
        <f t="shared" si="2"/>
        <v>1680000</v>
      </c>
    </row>
    <row r="29" spans="1:9" ht="28.8" x14ac:dyDescent="0.3">
      <c r="A29" s="90" t="s">
        <v>176</v>
      </c>
      <c r="B29" s="90"/>
      <c r="C29" s="91" t="s">
        <v>177</v>
      </c>
      <c r="D29" s="90"/>
      <c r="E29" s="92"/>
      <c r="F29" s="100"/>
      <c r="G29" s="95">
        <f>+G30+G31</f>
        <v>5627250</v>
      </c>
    </row>
    <row r="30" spans="1:9" x14ac:dyDescent="0.3">
      <c r="A30" s="85"/>
      <c r="B30" s="82" t="s">
        <v>178</v>
      </c>
      <c r="C30" s="81" t="s">
        <v>180</v>
      </c>
      <c r="D30" s="82" t="s">
        <v>7</v>
      </c>
      <c r="E30" s="83">
        <v>45</v>
      </c>
      <c r="F30" s="99">
        <v>91500</v>
      </c>
      <c r="G30" s="96">
        <f t="shared" ref="G30:G31" si="3">+E30*F30</f>
        <v>4117500</v>
      </c>
    </row>
    <row r="31" spans="1:9" x14ac:dyDescent="0.3">
      <c r="A31" s="85"/>
      <c r="B31" s="82" t="s">
        <v>179</v>
      </c>
      <c r="C31" s="81" t="s">
        <v>181</v>
      </c>
      <c r="D31" s="82" t="s">
        <v>7</v>
      </c>
      <c r="E31" s="83">
        <v>16.5</v>
      </c>
      <c r="F31" s="99">
        <v>91500</v>
      </c>
      <c r="G31" s="96">
        <f t="shared" si="3"/>
        <v>1509750</v>
      </c>
    </row>
    <row r="32" spans="1:9" x14ac:dyDescent="0.3">
      <c r="A32" s="90" t="s">
        <v>182</v>
      </c>
      <c r="B32" s="90"/>
      <c r="C32" s="91" t="s">
        <v>201</v>
      </c>
      <c r="D32" s="90"/>
      <c r="E32" s="92"/>
      <c r="F32" s="100"/>
      <c r="G32" s="95">
        <f>+G33+G34+G35+G36+G37+G38+G39</f>
        <v>16401000</v>
      </c>
    </row>
    <row r="33" spans="1:10" ht="28.8" x14ac:dyDescent="0.3">
      <c r="A33" s="85"/>
      <c r="B33" s="82" t="s">
        <v>183</v>
      </c>
      <c r="C33" s="84" t="s">
        <v>188</v>
      </c>
      <c r="D33" s="82" t="s">
        <v>7</v>
      </c>
      <c r="E33" s="83">
        <v>110</v>
      </c>
      <c r="F33" s="99">
        <v>14000</v>
      </c>
      <c r="G33" s="96">
        <f t="shared" ref="G33:G39" si="4">+E33*F33</f>
        <v>1540000</v>
      </c>
    </row>
    <row r="34" spans="1:10" ht="43.2" x14ac:dyDescent="0.3">
      <c r="A34" s="85"/>
      <c r="B34" s="82" t="s">
        <v>184</v>
      </c>
      <c r="C34" s="84" t="s">
        <v>189</v>
      </c>
      <c r="D34" s="82" t="s">
        <v>7</v>
      </c>
      <c r="E34" s="83">
        <v>250</v>
      </c>
      <c r="F34" s="99">
        <v>17500</v>
      </c>
      <c r="G34" s="96">
        <f t="shared" si="4"/>
        <v>4375000</v>
      </c>
    </row>
    <row r="35" spans="1:10" ht="28.8" x14ac:dyDescent="0.3">
      <c r="A35" s="85"/>
      <c r="B35" s="82" t="s">
        <v>185</v>
      </c>
      <c r="C35" s="84" t="s">
        <v>190</v>
      </c>
      <c r="D35" s="82" t="s">
        <v>5</v>
      </c>
      <c r="E35" s="83">
        <v>300</v>
      </c>
      <c r="F35" s="99">
        <v>8100</v>
      </c>
      <c r="G35" s="96">
        <f t="shared" si="4"/>
        <v>2430000</v>
      </c>
    </row>
    <row r="36" spans="1:10" ht="30" customHeight="1" x14ac:dyDescent="0.3">
      <c r="A36" s="85"/>
      <c r="B36" s="82" t="s">
        <v>186</v>
      </c>
      <c r="C36" s="84" t="s">
        <v>191</v>
      </c>
      <c r="D36" s="82" t="s">
        <v>7</v>
      </c>
      <c r="E36" s="83">
        <v>110</v>
      </c>
      <c r="F36" s="99">
        <v>19000</v>
      </c>
      <c r="G36" s="96">
        <f t="shared" si="4"/>
        <v>2090000</v>
      </c>
    </row>
    <row r="37" spans="1:10" ht="28.8" x14ac:dyDescent="0.3">
      <c r="A37" s="85"/>
      <c r="B37" s="82" t="s">
        <v>187</v>
      </c>
      <c r="C37" s="84" t="s">
        <v>192</v>
      </c>
      <c r="D37" s="82" t="s">
        <v>5</v>
      </c>
      <c r="E37" s="83">
        <v>60</v>
      </c>
      <c r="F37" s="99">
        <v>13400</v>
      </c>
      <c r="G37" s="96">
        <f t="shared" si="4"/>
        <v>804000</v>
      </c>
    </row>
    <row r="38" spans="1:10" ht="28.8" x14ac:dyDescent="0.3">
      <c r="A38" s="85"/>
      <c r="B38" s="82" t="s">
        <v>193</v>
      </c>
      <c r="C38" s="84" t="s">
        <v>194</v>
      </c>
      <c r="D38" s="82" t="s">
        <v>5</v>
      </c>
      <c r="E38" s="83">
        <v>310</v>
      </c>
      <c r="F38" s="99">
        <v>13400</v>
      </c>
      <c r="G38" s="96">
        <f t="shared" si="4"/>
        <v>4154000</v>
      </c>
    </row>
    <row r="39" spans="1:10" ht="28.8" x14ac:dyDescent="0.3">
      <c r="A39" s="85"/>
      <c r="B39" s="82" t="s">
        <v>195</v>
      </c>
      <c r="C39" s="84" t="s">
        <v>196</v>
      </c>
      <c r="D39" s="82" t="s">
        <v>7</v>
      </c>
      <c r="E39" s="83">
        <v>70</v>
      </c>
      <c r="F39" s="99">
        <v>14400</v>
      </c>
      <c r="G39" s="96">
        <f t="shared" si="4"/>
        <v>1008000</v>
      </c>
    </row>
    <row r="40" spans="1:10" x14ac:dyDescent="0.3">
      <c r="A40" s="90" t="s">
        <v>197</v>
      </c>
      <c r="B40" s="90"/>
      <c r="C40" s="91" t="s">
        <v>198</v>
      </c>
      <c r="D40" s="90"/>
      <c r="E40" s="92"/>
      <c r="F40" s="100"/>
      <c r="G40" s="97">
        <f>+G41</f>
        <v>450000</v>
      </c>
    </row>
    <row r="41" spans="1:10" x14ac:dyDescent="0.3">
      <c r="A41" s="85"/>
      <c r="B41" s="82" t="s">
        <v>199</v>
      </c>
      <c r="C41" s="81" t="s">
        <v>200</v>
      </c>
      <c r="D41" s="82" t="s">
        <v>143</v>
      </c>
      <c r="E41" s="83">
        <v>1</v>
      </c>
      <c r="F41" s="99">
        <v>450000</v>
      </c>
      <c r="G41" s="96">
        <f>+E41*F41</f>
        <v>450000</v>
      </c>
      <c r="J41" s="98"/>
    </row>
    <row r="42" spans="1:10" x14ac:dyDescent="0.3">
      <c r="A42" s="85"/>
      <c r="B42" s="85"/>
      <c r="C42" s="85"/>
      <c r="D42" s="225" t="s">
        <v>117</v>
      </c>
      <c r="E42" s="225"/>
      <c r="F42" s="225"/>
      <c r="G42" s="86">
        <f>+G9+G13+G24+G29+G32+G40</f>
        <v>202419623.51999998</v>
      </c>
    </row>
    <row r="43" spans="1:10" x14ac:dyDescent="0.3">
      <c r="A43" s="85"/>
      <c r="B43" s="226"/>
      <c r="C43" s="226"/>
      <c r="D43" s="82" t="s">
        <v>118</v>
      </c>
      <c r="E43" s="82" t="s">
        <v>119</v>
      </c>
      <c r="F43" s="87">
        <v>0.08</v>
      </c>
      <c r="G43" s="88">
        <f>+$G$42*F43</f>
        <v>16193569.881599998</v>
      </c>
    </row>
    <row r="44" spans="1:10" x14ac:dyDescent="0.3">
      <c r="A44" s="85"/>
      <c r="B44" s="226"/>
      <c r="C44" s="226"/>
      <c r="D44" s="82" t="s">
        <v>120</v>
      </c>
      <c r="E44" s="82" t="s">
        <v>121</v>
      </c>
      <c r="F44" s="87">
        <v>0.05</v>
      </c>
      <c r="G44" s="88">
        <f t="shared" ref="G44:G45" si="5">+$G$42*F44</f>
        <v>10120981.175999999</v>
      </c>
    </row>
    <row r="45" spans="1:10" x14ac:dyDescent="0.3">
      <c r="A45" s="85"/>
      <c r="B45" s="226"/>
      <c r="C45" s="226"/>
      <c r="D45" s="82" t="s">
        <v>122</v>
      </c>
      <c r="E45" s="82" t="s">
        <v>123</v>
      </c>
      <c r="F45" s="87">
        <v>0.05</v>
      </c>
      <c r="G45" s="88">
        <f t="shared" si="5"/>
        <v>10120981.175999999</v>
      </c>
    </row>
    <row r="46" spans="1:10" x14ac:dyDescent="0.3">
      <c r="A46" s="85"/>
      <c r="B46" s="226"/>
      <c r="C46" s="226"/>
      <c r="D46" s="82" t="s">
        <v>124</v>
      </c>
      <c r="E46" s="82" t="s">
        <v>125</v>
      </c>
      <c r="F46" s="87">
        <v>0.19</v>
      </c>
      <c r="G46" s="88">
        <f>+G45*F46</f>
        <v>1922986.4234399998</v>
      </c>
    </row>
    <row r="47" spans="1:10" x14ac:dyDescent="0.3">
      <c r="A47" s="85"/>
      <c r="B47" s="226"/>
      <c r="C47" s="226"/>
      <c r="D47" s="225" t="s">
        <v>126</v>
      </c>
      <c r="E47" s="225"/>
      <c r="F47" s="225"/>
      <c r="G47" s="86">
        <f>SUM(G42:G46)</f>
        <v>240778142.17703998</v>
      </c>
    </row>
    <row r="48" spans="1:10" x14ac:dyDescent="0.3">
      <c r="C48" s="227" t="s">
        <v>127</v>
      </c>
    </row>
    <row r="49" spans="3:3" x14ac:dyDescent="0.3">
      <c r="C49" s="228"/>
    </row>
    <row r="50" spans="3:3" x14ac:dyDescent="0.3">
      <c r="C50" s="228"/>
    </row>
    <row r="51" spans="3:3" x14ac:dyDescent="0.3">
      <c r="C51" s="228"/>
    </row>
    <row r="52" spans="3:3" x14ac:dyDescent="0.3">
      <c r="C52" s="228"/>
    </row>
  </sheetData>
  <mergeCells count="15">
    <mergeCell ref="A6:C6"/>
    <mergeCell ref="D6:G6"/>
    <mergeCell ref="A7:C7"/>
    <mergeCell ref="D4:G4"/>
    <mergeCell ref="A1:G1"/>
    <mergeCell ref="A2:G2"/>
    <mergeCell ref="A3:G3"/>
    <mergeCell ref="A4:C4"/>
    <mergeCell ref="A5:C5"/>
    <mergeCell ref="D5:G5"/>
    <mergeCell ref="D42:F42"/>
    <mergeCell ref="B43:C47"/>
    <mergeCell ref="D47:F47"/>
    <mergeCell ref="C48:C52"/>
    <mergeCell ref="D7:G7"/>
  </mergeCells>
  <phoneticPr fontId="5" type="noConversion"/>
  <pageMargins left="0.7" right="0.7" top="0.75" bottom="0.75" header="0.3" footer="0.3"/>
  <ignoredErrors>
    <ignoredError sqref="G13 G24 G29 G32 G40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900C1-DBE9-46C9-91E3-994F9677CC3E}">
  <dimension ref="A1:E690"/>
  <sheetViews>
    <sheetView topLeftCell="A647" workbookViewId="0">
      <selection activeCell="F372" sqref="F372"/>
    </sheetView>
  </sheetViews>
  <sheetFormatPr baseColWidth="10" defaultRowHeight="14.4" x14ac:dyDescent="0.3"/>
  <cols>
    <col min="1" max="1" width="37.44140625" customWidth="1"/>
    <col min="2" max="2" width="12.109375" customWidth="1"/>
    <col min="3" max="5" width="18.6640625" customWidth="1"/>
  </cols>
  <sheetData>
    <row r="1" spans="1:5" x14ac:dyDescent="0.3">
      <c r="A1" s="248" t="s">
        <v>202</v>
      </c>
      <c r="B1" s="249"/>
      <c r="C1" s="249"/>
      <c r="D1" s="249"/>
      <c r="E1" s="249"/>
    </row>
    <row r="2" spans="1:5" x14ac:dyDescent="0.3">
      <c r="A2" s="133"/>
      <c r="B2" s="134"/>
      <c r="C2" s="134"/>
      <c r="D2" s="134"/>
      <c r="E2" s="134"/>
    </row>
    <row r="3" spans="1:5" x14ac:dyDescent="0.3">
      <c r="A3" s="139" t="s">
        <v>297</v>
      </c>
      <c r="B3" s="140"/>
      <c r="C3" s="140"/>
      <c r="D3" s="140"/>
      <c r="E3" s="140"/>
    </row>
    <row r="5" spans="1:5" x14ac:dyDescent="0.3">
      <c r="A5" s="244" t="s">
        <v>277</v>
      </c>
      <c r="B5" s="245"/>
      <c r="C5" s="245"/>
      <c r="D5" s="135" t="s">
        <v>203</v>
      </c>
      <c r="E5" s="135" t="s">
        <v>118</v>
      </c>
    </row>
    <row r="6" spans="1:5" x14ac:dyDescent="0.3">
      <c r="A6" s="241"/>
      <c r="B6" s="236"/>
      <c r="C6" s="236"/>
      <c r="D6" s="125" t="s">
        <v>251</v>
      </c>
      <c r="E6" s="125" t="s">
        <v>7</v>
      </c>
    </row>
    <row r="7" spans="1:5" x14ac:dyDescent="0.3">
      <c r="A7" s="237" t="s">
        <v>253</v>
      </c>
      <c r="B7" s="238"/>
      <c r="C7" s="238"/>
      <c r="D7" s="238"/>
      <c r="E7" s="238"/>
    </row>
    <row r="8" spans="1:5" x14ac:dyDescent="0.3">
      <c r="A8" s="126" t="s">
        <v>58</v>
      </c>
      <c r="B8" s="126" t="s">
        <v>251</v>
      </c>
      <c r="C8" s="126" t="s">
        <v>254</v>
      </c>
      <c r="D8" s="126" t="s">
        <v>255</v>
      </c>
      <c r="E8" s="126" t="s">
        <v>256</v>
      </c>
    </row>
    <row r="9" spans="1:5" x14ac:dyDescent="0.3">
      <c r="A9" s="109" t="s">
        <v>257</v>
      </c>
      <c r="B9" s="109" t="s">
        <v>258</v>
      </c>
      <c r="C9" s="127">
        <v>0.1</v>
      </c>
      <c r="D9" s="128">
        <f>E27</f>
        <v>3611.1111111111113</v>
      </c>
      <c r="E9" s="128">
        <f>C9*D9</f>
        <v>361.11111111111114</v>
      </c>
    </row>
    <row r="10" spans="1:5" x14ac:dyDescent="0.3">
      <c r="A10" s="109"/>
      <c r="B10" s="109"/>
      <c r="C10" s="109"/>
      <c r="D10" s="128"/>
      <c r="E10" s="128"/>
    </row>
    <row r="11" spans="1:5" x14ac:dyDescent="0.3">
      <c r="A11" s="233" t="s">
        <v>260</v>
      </c>
      <c r="B11" s="234"/>
      <c r="C11" s="234"/>
      <c r="D11" s="234"/>
      <c r="E11" s="129">
        <f>SUM(E9:E9)</f>
        <v>361.11111111111114</v>
      </c>
    </row>
    <row r="12" spans="1:5" x14ac:dyDescent="0.3">
      <c r="A12" s="237" t="s">
        <v>261</v>
      </c>
      <c r="B12" s="238"/>
      <c r="C12" s="238"/>
      <c r="D12" s="238"/>
      <c r="E12" s="238"/>
    </row>
    <row r="13" spans="1:5" x14ac:dyDescent="0.3">
      <c r="A13" s="126" t="s">
        <v>58</v>
      </c>
      <c r="B13" s="126" t="s">
        <v>251</v>
      </c>
      <c r="C13" s="126" t="s">
        <v>262</v>
      </c>
      <c r="D13" s="126" t="s">
        <v>263</v>
      </c>
      <c r="E13" s="126" t="s">
        <v>256</v>
      </c>
    </row>
    <row r="14" spans="1:5" x14ac:dyDescent="0.3">
      <c r="A14" s="110"/>
      <c r="B14" s="109"/>
      <c r="C14" s="136"/>
      <c r="D14" s="128"/>
      <c r="E14" s="128"/>
    </row>
    <row r="15" spans="1:5" x14ac:dyDescent="0.3">
      <c r="A15" s="131" t="s">
        <v>267</v>
      </c>
      <c r="B15" s="235"/>
      <c r="C15" s="236"/>
      <c r="D15" s="236"/>
      <c r="E15" s="128">
        <f>SUM(E14:E14)*0.02</f>
        <v>0</v>
      </c>
    </row>
    <row r="16" spans="1:5" x14ac:dyDescent="0.3">
      <c r="A16" s="131"/>
      <c r="B16" s="132"/>
      <c r="C16" s="104"/>
      <c r="D16" s="104"/>
      <c r="E16" s="128"/>
    </row>
    <row r="17" spans="1:5" x14ac:dyDescent="0.3">
      <c r="A17" s="233" t="s">
        <v>260</v>
      </c>
      <c r="B17" s="234"/>
      <c r="C17" s="234"/>
      <c r="D17" s="234"/>
      <c r="E17" s="129">
        <f>SUM(E14:E15)</f>
        <v>0</v>
      </c>
    </row>
    <row r="18" spans="1:5" x14ac:dyDescent="0.3">
      <c r="A18" s="237" t="s">
        <v>268</v>
      </c>
      <c r="B18" s="238"/>
      <c r="C18" s="238"/>
      <c r="D18" s="238"/>
      <c r="E18" s="238"/>
    </row>
    <row r="19" spans="1:5" x14ac:dyDescent="0.3">
      <c r="A19" s="126" t="s">
        <v>58</v>
      </c>
      <c r="B19" s="126" t="s">
        <v>251</v>
      </c>
      <c r="C19" s="126" t="s">
        <v>254</v>
      </c>
      <c r="D19" s="126" t="s">
        <v>255</v>
      </c>
      <c r="E19" s="126" t="s">
        <v>256</v>
      </c>
    </row>
    <row r="20" spans="1:5" x14ac:dyDescent="0.3">
      <c r="A20" s="110" t="s">
        <v>269</v>
      </c>
      <c r="B20" s="109" t="s">
        <v>270</v>
      </c>
      <c r="C20" s="127">
        <v>0</v>
      </c>
      <c r="D20" s="128">
        <v>0</v>
      </c>
      <c r="E20" s="128">
        <v>0</v>
      </c>
    </row>
    <row r="21" spans="1:5" x14ac:dyDescent="0.3">
      <c r="A21" s="110"/>
      <c r="B21" s="109"/>
      <c r="C21" s="127"/>
      <c r="D21" s="128"/>
      <c r="E21" s="128"/>
    </row>
    <row r="22" spans="1:5" x14ac:dyDescent="0.3">
      <c r="A22" s="233" t="s">
        <v>260</v>
      </c>
      <c r="B22" s="234"/>
      <c r="C22" s="234"/>
      <c r="D22" s="234"/>
      <c r="E22" s="129">
        <f>SUM(E20)</f>
        <v>0</v>
      </c>
    </row>
    <row r="23" spans="1:5" x14ac:dyDescent="0.3">
      <c r="A23" s="237" t="s">
        <v>271</v>
      </c>
      <c r="B23" s="238"/>
      <c r="C23" s="238"/>
      <c r="D23" s="238"/>
      <c r="E23" s="238"/>
    </row>
    <row r="24" spans="1:5" x14ac:dyDescent="0.3">
      <c r="A24" s="126" t="s">
        <v>58</v>
      </c>
      <c r="B24" s="126" t="s">
        <v>251</v>
      </c>
      <c r="C24" s="126" t="s">
        <v>254</v>
      </c>
      <c r="D24" s="126" t="s">
        <v>272</v>
      </c>
      <c r="E24" s="126" t="s">
        <v>256</v>
      </c>
    </row>
    <row r="25" spans="1:5" x14ac:dyDescent="0.3">
      <c r="A25" s="110" t="s">
        <v>273</v>
      </c>
      <c r="B25" s="109" t="s">
        <v>270</v>
      </c>
      <c r="C25" s="127">
        <v>36</v>
      </c>
      <c r="D25" s="128">
        <v>130000</v>
      </c>
      <c r="E25" s="128">
        <f>D25/C25</f>
        <v>3611.1111111111113</v>
      </c>
    </row>
    <row r="26" spans="1:5" x14ac:dyDescent="0.3">
      <c r="A26" s="110"/>
      <c r="B26" s="109"/>
      <c r="C26" s="127"/>
      <c r="D26" s="128"/>
      <c r="E26" s="128"/>
    </row>
    <row r="27" spans="1:5" x14ac:dyDescent="0.3">
      <c r="A27" s="233" t="s">
        <v>260</v>
      </c>
      <c r="B27" s="234"/>
      <c r="C27" s="234"/>
      <c r="D27" s="234"/>
      <c r="E27" s="129">
        <f>SUM(E25)</f>
        <v>3611.1111111111113</v>
      </c>
    </row>
    <row r="28" spans="1:5" x14ac:dyDescent="0.3">
      <c r="A28" s="110"/>
      <c r="B28" s="109"/>
      <c r="C28" s="127"/>
      <c r="D28" s="128"/>
      <c r="E28" s="128"/>
    </row>
    <row r="29" spans="1:5" x14ac:dyDescent="0.3">
      <c r="A29" s="244" t="s">
        <v>285</v>
      </c>
      <c r="B29" s="245"/>
      <c r="C29" s="245"/>
      <c r="D29" s="135" t="s">
        <v>203</v>
      </c>
      <c r="E29" s="135" t="s">
        <v>207</v>
      </c>
    </row>
    <row r="30" spans="1:5" x14ac:dyDescent="0.3">
      <c r="A30" s="241"/>
      <c r="B30" s="236"/>
      <c r="C30" s="236"/>
      <c r="D30" s="125" t="s">
        <v>251</v>
      </c>
      <c r="E30" s="125" t="s">
        <v>7</v>
      </c>
    </row>
    <row r="31" spans="1:5" x14ac:dyDescent="0.3">
      <c r="A31" s="237" t="s">
        <v>253</v>
      </c>
      <c r="B31" s="238"/>
      <c r="C31" s="238"/>
      <c r="D31" s="238"/>
      <c r="E31" s="238"/>
    </row>
    <row r="32" spans="1:5" x14ac:dyDescent="0.3">
      <c r="A32" s="126" t="s">
        <v>58</v>
      </c>
      <c r="B32" s="126" t="s">
        <v>251</v>
      </c>
      <c r="C32" s="126" t="s">
        <v>254</v>
      </c>
      <c r="D32" s="126" t="s">
        <v>255</v>
      </c>
      <c r="E32" s="126" t="s">
        <v>256</v>
      </c>
    </row>
    <row r="33" spans="1:5" x14ac:dyDescent="0.3">
      <c r="A33" s="109" t="s">
        <v>257</v>
      </c>
      <c r="B33" s="109" t="s">
        <v>258</v>
      </c>
      <c r="C33" s="127">
        <v>0.25</v>
      </c>
      <c r="D33" s="128">
        <f>E53</f>
        <v>7000</v>
      </c>
      <c r="E33" s="128">
        <f>C33*D33</f>
        <v>1750</v>
      </c>
    </row>
    <row r="34" spans="1:5" x14ac:dyDescent="0.3">
      <c r="A34" s="109"/>
      <c r="B34" s="109"/>
      <c r="C34" s="109"/>
      <c r="D34" s="128"/>
      <c r="E34" s="128"/>
    </row>
    <row r="35" spans="1:5" x14ac:dyDescent="0.3">
      <c r="A35" s="233" t="s">
        <v>260</v>
      </c>
      <c r="B35" s="234"/>
      <c r="C35" s="234"/>
      <c r="D35" s="234"/>
      <c r="E35" s="129">
        <f>SUM(E33:E33)</f>
        <v>1750</v>
      </c>
    </row>
    <row r="36" spans="1:5" x14ac:dyDescent="0.3">
      <c r="A36" s="237" t="s">
        <v>261</v>
      </c>
      <c r="B36" s="238"/>
      <c r="C36" s="238"/>
      <c r="D36" s="238"/>
      <c r="E36" s="238"/>
    </row>
    <row r="37" spans="1:5" x14ac:dyDescent="0.3">
      <c r="A37" s="126" t="s">
        <v>58</v>
      </c>
      <c r="B37" s="126" t="s">
        <v>251</v>
      </c>
      <c r="C37" s="126" t="s">
        <v>262</v>
      </c>
      <c r="D37" s="126" t="s">
        <v>263</v>
      </c>
      <c r="E37" s="126" t="s">
        <v>256</v>
      </c>
    </row>
    <row r="38" spans="1:5" x14ac:dyDescent="0.3">
      <c r="A38" s="110" t="s">
        <v>286</v>
      </c>
      <c r="B38" s="109" t="s">
        <v>287</v>
      </c>
      <c r="C38" s="138">
        <v>0.06</v>
      </c>
      <c r="D38" s="128">
        <v>511000</v>
      </c>
      <c r="E38" s="128">
        <f>C38*D38</f>
        <v>30660</v>
      </c>
    </row>
    <row r="39" spans="1:5" x14ac:dyDescent="0.3">
      <c r="A39" s="110" t="s">
        <v>288</v>
      </c>
      <c r="B39" s="109" t="s">
        <v>281</v>
      </c>
      <c r="C39" s="138">
        <v>0.02</v>
      </c>
      <c r="D39" s="128">
        <v>56000</v>
      </c>
      <c r="E39" s="128">
        <f t="shared" ref="E39:E40" si="0">C39*D39</f>
        <v>1120</v>
      </c>
    </row>
    <row r="40" spans="1:5" x14ac:dyDescent="0.3">
      <c r="A40" s="110"/>
      <c r="B40" s="109"/>
      <c r="C40" s="130"/>
      <c r="D40" s="128"/>
      <c r="E40" s="128">
        <f t="shared" si="0"/>
        <v>0</v>
      </c>
    </row>
    <row r="41" spans="1:5" x14ac:dyDescent="0.3">
      <c r="A41" s="131" t="s">
        <v>267</v>
      </c>
      <c r="B41" s="235"/>
      <c r="C41" s="236"/>
      <c r="D41" s="236"/>
      <c r="E41" s="128">
        <v>0</v>
      </c>
    </row>
    <row r="42" spans="1:5" x14ac:dyDescent="0.3">
      <c r="A42" s="131"/>
      <c r="B42" s="132"/>
      <c r="C42" s="104"/>
      <c r="D42" s="104"/>
      <c r="E42" s="128"/>
    </row>
    <row r="43" spans="1:5" x14ac:dyDescent="0.3">
      <c r="A43" s="233" t="s">
        <v>260</v>
      </c>
      <c r="B43" s="234"/>
      <c r="C43" s="234"/>
      <c r="D43" s="234"/>
      <c r="E43" s="129">
        <f>SUM(E38:E41)</f>
        <v>31780</v>
      </c>
    </row>
    <row r="44" spans="1:5" x14ac:dyDescent="0.3">
      <c r="A44" s="237" t="s">
        <v>268</v>
      </c>
      <c r="B44" s="238"/>
      <c r="C44" s="238"/>
      <c r="D44" s="238"/>
      <c r="E44" s="238"/>
    </row>
    <row r="45" spans="1:5" x14ac:dyDescent="0.3">
      <c r="A45" s="126" t="s">
        <v>58</v>
      </c>
      <c r="B45" s="126" t="s">
        <v>251</v>
      </c>
      <c r="C45" s="126" t="s">
        <v>254</v>
      </c>
      <c r="D45" s="126" t="s">
        <v>255</v>
      </c>
      <c r="E45" s="126" t="s">
        <v>256</v>
      </c>
    </row>
    <row r="46" spans="1:5" x14ac:dyDescent="0.3">
      <c r="A46" s="110" t="s">
        <v>269</v>
      </c>
      <c r="B46" s="109" t="s">
        <v>270</v>
      </c>
      <c r="C46" s="127">
        <v>0.02</v>
      </c>
      <c r="D46" s="128">
        <v>60000</v>
      </c>
      <c r="E46" s="128">
        <f>D46*C46</f>
        <v>1200</v>
      </c>
    </row>
    <row r="47" spans="1:5" x14ac:dyDescent="0.3">
      <c r="A47" s="110"/>
      <c r="B47" s="109"/>
      <c r="C47" s="127"/>
      <c r="D47" s="128"/>
      <c r="E47" s="128"/>
    </row>
    <row r="48" spans="1:5" x14ac:dyDescent="0.3">
      <c r="A48" s="233" t="s">
        <v>260</v>
      </c>
      <c r="B48" s="234"/>
      <c r="C48" s="234"/>
      <c r="D48" s="234"/>
      <c r="E48" s="129">
        <f>SUM(E46)</f>
        <v>1200</v>
      </c>
    </row>
    <row r="49" spans="1:5" x14ac:dyDescent="0.3">
      <c r="A49" s="237" t="s">
        <v>271</v>
      </c>
      <c r="B49" s="238"/>
      <c r="C49" s="238"/>
      <c r="D49" s="238"/>
      <c r="E49" s="238"/>
    </row>
    <row r="50" spans="1:5" x14ac:dyDescent="0.3">
      <c r="A50" s="126" t="s">
        <v>58</v>
      </c>
      <c r="B50" s="126" t="s">
        <v>251</v>
      </c>
      <c r="C50" s="126" t="s">
        <v>254</v>
      </c>
      <c r="D50" s="126" t="s">
        <v>272</v>
      </c>
      <c r="E50" s="126" t="s">
        <v>256</v>
      </c>
    </row>
    <row r="51" spans="1:5" x14ac:dyDescent="0.3">
      <c r="A51" s="110" t="s">
        <v>289</v>
      </c>
      <c r="B51" s="109" t="s">
        <v>270</v>
      </c>
      <c r="C51" s="127">
        <v>30</v>
      </c>
      <c r="D51" s="128">
        <v>210000</v>
      </c>
      <c r="E51" s="128">
        <f>D51/C51</f>
        <v>7000</v>
      </c>
    </row>
    <row r="52" spans="1:5" x14ac:dyDescent="0.3">
      <c r="A52" s="110"/>
      <c r="B52" s="109"/>
      <c r="C52" s="127"/>
      <c r="D52" s="128"/>
      <c r="E52" s="128"/>
    </row>
    <row r="53" spans="1:5" x14ac:dyDescent="0.3">
      <c r="A53" s="233" t="s">
        <v>260</v>
      </c>
      <c r="B53" s="234"/>
      <c r="C53" s="234"/>
      <c r="D53" s="234"/>
      <c r="E53" s="129">
        <f>SUM(E51)</f>
        <v>7000</v>
      </c>
    </row>
    <row r="54" spans="1:5" x14ac:dyDescent="0.3">
      <c r="A54" s="109"/>
      <c r="B54" s="104"/>
      <c r="C54" s="104"/>
      <c r="D54" s="104"/>
      <c r="E54" s="104"/>
    </row>
    <row r="55" spans="1:5" x14ac:dyDescent="0.3">
      <c r="A55" s="233" t="s">
        <v>274</v>
      </c>
      <c r="B55" s="234"/>
      <c r="C55" s="234"/>
      <c r="D55" s="234"/>
      <c r="E55" s="129">
        <f>SUM(E35,E43,E48,E53)</f>
        <v>41730</v>
      </c>
    </row>
    <row r="56" spans="1:5" x14ac:dyDescent="0.3">
      <c r="A56" s="109"/>
      <c r="B56" s="104"/>
      <c r="C56" s="104"/>
      <c r="D56" s="104"/>
      <c r="E56" s="104"/>
    </row>
    <row r="57" spans="1:5" x14ac:dyDescent="0.3">
      <c r="A57" s="239" t="s">
        <v>275</v>
      </c>
      <c r="B57" s="240"/>
      <c r="C57" s="240"/>
      <c r="D57" s="124" t="s">
        <v>203</v>
      </c>
      <c r="E57" s="124" t="s">
        <v>209</v>
      </c>
    </row>
    <row r="58" spans="1:5" x14ac:dyDescent="0.3">
      <c r="A58" s="241"/>
      <c r="B58" s="236"/>
      <c r="C58" s="236"/>
      <c r="D58" s="125" t="s">
        <v>251</v>
      </c>
      <c r="E58" s="125" t="s">
        <v>252</v>
      </c>
    </row>
    <row r="59" spans="1:5" x14ac:dyDescent="0.3">
      <c r="A59" s="237" t="s">
        <v>253</v>
      </c>
      <c r="B59" s="238"/>
      <c r="C59" s="238"/>
      <c r="D59" s="238"/>
      <c r="E59" s="238"/>
    </row>
    <row r="60" spans="1:5" x14ac:dyDescent="0.3">
      <c r="A60" s="126" t="s">
        <v>58</v>
      </c>
      <c r="B60" s="126" t="s">
        <v>251</v>
      </c>
      <c r="C60" s="126" t="s">
        <v>254</v>
      </c>
      <c r="D60" s="126" t="s">
        <v>255</v>
      </c>
      <c r="E60" s="126" t="s">
        <v>256</v>
      </c>
    </row>
    <row r="61" spans="1:5" x14ac:dyDescent="0.3">
      <c r="A61" s="110" t="s">
        <v>257</v>
      </c>
      <c r="B61" s="109" t="s">
        <v>258</v>
      </c>
      <c r="C61" s="127">
        <v>0.1</v>
      </c>
      <c r="D61" s="128">
        <f>E82</f>
        <v>8666.6666666666661</v>
      </c>
      <c r="E61" s="128">
        <f>C61*D61</f>
        <v>866.66666666666663</v>
      </c>
    </row>
    <row r="62" spans="1:5" x14ac:dyDescent="0.3">
      <c r="A62" s="110" t="s">
        <v>259</v>
      </c>
      <c r="B62" s="109" t="s">
        <v>258</v>
      </c>
      <c r="C62" s="127">
        <v>0.1</v>
      </c>
      <c r="D62" s="128">
        <v>25000</v>
      </c>
      <c r="E62" s="128">
        <f>C62*D62</f>
        <v>2500</v>
      </c>
    </row>
    <row r="63" spans="1:5" x14ac:dyDescent="0.3">
      <c r="A63" s="109"/>
      <c r="B63" s="109"/>
      <c r="C63" s="109"/>
      <c r="D63" s="128"/>
      <c r="E63" s="128"/>
    </row>
    <row r="64" spans="1:5" x14ac:dyDescent="0.3">
      <c r="A64" s="233" t="s">
        <v>260</v>
      </c>
      <c r="B64" s="234"/>
      <c r="C64" s="234"/>
      <c r="D64" s="234"/>
      <c r="E64" s="129">
        <f>SUM(E61:E62)</f>
        <v>3366.6666666666665</v>
      </c>
    </row>
    <row r="65" spans="1:5" x14ac:dyDescent="0.3">
      <c r="A65" s="237" t="s">
        <v>261</v>
      </c>
      <c r="B65" s="238"/>
      <c r="C65" s="238"/>
      <c r="D65" s="238"/>
      <c r="E65" s="238"/>
    </row>
    <row r="66" spans="1:5" x14ac:dyDescent="0.3">
      <c r="A66" s="126" t="s">
        <v>58</v>
      </c>
      <c r="B66" s="126" t="s">
        <v>251</v>
      </c>
      <c r="C66" s="126" t="s">
        <v>262</v>
      </c>
      <c r="D66" s="126" t="s">
        <v>263</v>
      </c>
      <c r="E66" s="126" t="s">
        <v>256</v>
      </c>
    </row>
    <row r="67" spans="1:5" x14ac:dyDescent="0.3">
      <c r="A67" s="110" t="s">
        <v>276</v>
      </c>
      <c r="B67" s="109" t="s">
        <v>265</v>
      </c>
      <c r="C67" s="130">
        <v>2</v>
      </c>
      <c r="D67" s="128">
        <v>59540</v>
      </c>
      <c r="E67" s="128">
        <f>C67*D67</f>
        <v>119080</v>
      </c>
    </row>
    <row r="68" spans="1:5" x14ac:dyDescent="0.3">
      <c r="A68" s="110" t="s">
        <v>266</v>
      </c>
      <c r="B68" s="109" t="s">
        <v>7</v>
      </c>
      <c r="C68" s="130">
        <v>1.4999999999999999E-2</v>
      </c>
      <c r="D68" s="128">
        <v>100000</v>
      </c>
      <c r="E68" s="128">
        <f>C68*D68</f>
        <v>1500</v>
      </c>
    </row>
    <row r="69" spans="1:5" x14ac:dyDescent="0.3">
      <c r="A69" s="110"/>
      <c r="B69" s="109"/>
      <c r="C69" s="130"/>
      <c r="D69" s="128"/>
      <c r="E69" s="128"/>
    </row>
    <row r="70" spans="1:5" x14ac:dyDescent="0.3">
      <c r="A70" s="131" t="s">
        <v>267</v>
      </c>
      <c r="B70" s="235"/>
      <c r="C70" s="236"/>
      <c r="D70" s="236"/>
      <c r="E70" s="128">
        <f>SUM(E67:E68)*0.02</f>
        <v>2411.6</v>
      </c>
    </row>
    <row r="71" spans="1:5" x14ac:dyDescent="0.3">
      <c r="A71" s="131"/>
      <c r="B71" s="132"/>
      <c r="C71" s="104"/>
      <c r="D71" s="104"/>
      <c r="E71" s="128"/>
    </row>
    <row r="72" spans="1:5" x14ac:dyDescent="0.3">
      <c r="A72" s="233" t="s">
        <v>260</v>
      </c>
      <c r="B72" s="234"/>
      <c r="C72" s="234"/>
      <c r="D72" s="234"/>
      <c r="E72" s="129">
        <f>SUM(E67:E70)</f>
        <v>122991.6</v>
      </c>
    </row>
    <row r="73" spans="1:5" x14ac:dyDescent="0.3">
      <c r="A73" s="237" t="s">
        <v>268</v>
      </c>
      <c r="B73" s="238"/>
      <c r="C73" s="238"/>
      <c r="D73" s="238"/>
      <c r="E73" s="238"/>
    </row>
    <row r="74" spans="1:5" x14ac:dyDescent="0.3">
      <c r="A74" s="126" t="s">
        <v>58</v>
      </c>
      <c r="B74" s="126" t="s">
        <v>251</v>
      </c>
      <c r="C74" s="126" t="s">
        <v>254</v>
      </c>
      <c r="D74" s="126" t="s">
        <v>255</v>
      </c>
      <c r="E74" s="126" t="s">
        <v>256</v>
      </c>
    </row>
    <row r="75" spans="1:5" x14ac:dyDescent="0.3">
      <c r="A75" s="110" t="s">
        <v>269</v>
      </c>
      <c r="B75" s="109" t="s">
        <v>270</v>
      </c>
      <c r="C75" s="127">
        <v>0.02</v>
      </c>
      <c r="D75" s="128">
        <v>45000</v>
      </c>
      <c r="E75" s="128">
        <f>D75*C75</f>
        <v>900</v>
      </c>
    </row>
    <row r="76" spans="1:5" x14ac:dyDescent="0.3">
      <c r="A76" s="110"/>
      <c r="B76" s="109"/>
      <c r="C76" s="127"/>
      <c r="D76" s="128"/>
      <c r="E76" s="128"/>
    </row>
    <row r="77" spans="1:5" x14ac:dyDescent="0.3">
      <c r="A77" s="233" t="s">
        <v>260</v>
      </c>
      <c r="B77" s="234"/>
      <c r="C77" s="234"/>
      <c r="D77" s="234"/>
      <c r="E77" s="129">
        <f>SUM(E75)</f>
        <v>900</v>
      </c>
    </row>
    <row r="78" spans="1:5" x14ac:dyDescent="0.3">
      <c r="A78" s="237" t="s">
        <v>271</v>
      </c>
      <c r="B78" s="238"/>
      <c r="C78" s="238"/>
      <c r="D78" s="238"/>
      <c r="E78" s="238"/>
    </row>
    <row r="79" spans="1:5" x14ac:dyDescent="0.3">
      <c r="A79" s="126" t="s">
        <v>58</v>
      </c>
      <c r="B79" s="126" t="s">
        <v>251</v>
      </c>
      <c r="C79" s="126" t="s">
        <v>254</v>
      </c>
      <c r="D79" s="126" t="s">
        <v>272</v>
      </c>
      <c r="E79" s="126" t="s">
        <v>256</v>
      </c>
    </row>
    <row r="80" spans="1:5" x14ac:dyDescent="0.3">
      <c r="A80" s="110" t="s">
        <v>273</v>
      </c>
      <c r="B80" s="109" t="s">
        <v>270</v>
      </c>
      <c r="C80" s="127">
        <v>15</v>
      </c>
      <c r="D80" s="128">
        <v>130000</v>
      </c>
      <c r="E80" s="128">
        <f>D80/C80</f>
        <v>8666.6666666666661</v>
      </c>
    </row>
    <row r="81" spans="1:5" x14ac:dyDescent="0.3">
      <c r="A81" s="110"/>
      <c r="B81" s="109"/>
      <c r="C81" s="127"/>
      <c r="D81" s="128"/>
      <c r="E81" s="128"/>
    </row>
    <row r="82" spans="1:5" x14ac:dyDescent="0.3">
      <c r="A82" s="233" t="s">
        <v>260</v>
      </c>
      <c r="B82" s="234"/>
      <c r="C82" s="234"/>
      <c r="D82" s="234"/>
      <c r="E82" s="129">
        <f>SUM(E80)</f>
        <v>8666.6666666666661</v>
      </c>
    </row>
    <row r="83" spans="1:5" x14ac:dyDescent="0.3">
      <c r="A83" s="109"/>
      <c r="B83" s="104"/>
      <c r="C83" s="104"/>
      <c r="D83" s="104"/>
      <c r="E83" s="104"/>
    </row>
    <row r="84" spans="1:5" x14ac:dyDescent="0.3">
      <c r="A84" s="233" t="s">
        <v>274</v>
      </c>
      <c r="B84" s="234"/>
      <c r="C84" s="234"/>
      <c r="D84" s="234"/>
      <c r="E84" s="129">
        <f>SUM(E64,E72,E77,E82)</f>
        <v>135924.93333333335</v>
      </c>
    </row>
    <row r="86" spans="1:5" x14ac:dyDescent="0.3">
      <c r="A86" s="139" t="s">
        <v>298</v>
      </c>
      <c r="B86" s="140"/>
      <c r="C86" s="140"/>
      <c r="D86" s="140"/>
      <c r="E86" s="140"/>
    </row>
    <row r="88" spans="1:5" x14ac:dyDescent="0.3">
      <c r="A88" s="244" t="s">
        <v>290</v>
      </c>
      <c r="B88" s="244"/>
      <c r="C88" s="244"/>
      <c r="D88" s="135" t="s">
        <v>203</v>
      </c>
      <c r="E88" s="135" t="s">
        <v>118</v>
      </c>
    </row>
    <row r="89" spans="1:5" x14ac:dyDescent="0.3">
      <c r="A89" s="241"/>
      <c r="B89" s="241"/>
      <c r="C89" s="241"/>
      <c r="D89" s="125" t="s">
        <v>251</v>
      </c>
      <c r="E89" s="125" t="s">
        <v>7</v>
      </c>
    </row>
    <row r="90" spans="1:5" x14ac:dyDescent="0.3">
      <c r="A90" s="237" t="s">
        <v>253</v>
      </c>
      <c r="B90" s="237"/>
      <c r="C90" s="237"/>
      <c r="D90" s="237"/>
      <c r="E90" s="237"/>
    </row>
    <row r="91" spans="1:5" x14ac:dyDescent="0.3">
      <c r="A91" s="126" t="s">
        <v>58</v>
      </c>
      <c r="B91" s="126" t="s">
        <v>251</v>
      </c>
      <c r="C91" s="126" t="s">
        <v>254</v>
      </c>
      <c r="D91" s="126" t="s">
        <v>255</v>
      </c>
      <c r="E91" s="126" t="s">
        <v>256</v>
      </c>
    </row>
    <row r="92" spans="1:5" x14ac:dyDescent="0.3">
      <c r="A92" s="110" t="s">
        <v>257</v>
      </c>
      <c r="B92" s="109" t="s">
        <v>258</v>
      </c>
      <c r="C92" s="127">
        <v>0.1</v>
      </c>
      <c r="D92" s="128">
        <f>E114</f>
        <v>950</v>
      </c>
      <c r="E92" s="128">
        <f>C92*D92</f>
        <v>95</v>
      </c>
    </row>
    <row r="93" spans="1:5" x14ac:dyDescent="0.3">
      <c r="A93" s="110" t="s">
        <v>291</v>
      </c>
      <c r="B93" s="109" t="s">
        <v>270</v>
      </c>
      <c r="C93" s="127">
        <v>1.4999999999999999E-2</v>
      </c>
      <c r="D93" s="128">
        <v>25000</v>
      </c>
      <c r="E93" s="128">
        <f>C93*D93</f>
        <v>375</v>
      </c>
    </row>
    <row r="94" spans="1:5" x14ac:dyDescent="0.3">
      <c r="A94" s="110" t="s">
        <v>292</v>
      </c>
      <c r="B94" s="109" t="s">
        <v>270</v>
      </c>
      <c r="C94" s="127">
        <v>0.01</v>
      </c>
      <c r="D94" s="128">
        <v>15000</v>
      </c>
      <c r="E94" s="128">
        <f>C94*D94</f>
        <v>150</v>
      </c>
    </row>
    <row r="95" spans="1:5" x14ac:dyDescent="0.3">
      <c r="A95" s="109"/>
      <c r="B95" s="109"/>
      <c r="C95" s="109"/>
      <c r="D95" s="128"/>
      <c r="E95" s="128"/>
    </row>
    <row r="96" spans="1:5" x14ac:dyDescent="0.3">
      <c r="A96" s="233" t="s">
        <v>260</v>
      </c>
      <c r="B96" s="233"/>
      <c r="C96" s="233"/>
      <c r="D96" s="233"/>
      <c r="E96" s="129">
        <f>SUM(E92:E94)</f>
        <v>620</v>
      </c>
    </row>
    <row r="97" spans="1:5" x14ac:dyDescent="0.3">
      <c r="A97" s="237" t="s">
        <v>261</v>
      </c>
      <c r="B97" s="237"/>
      <c r="C97" s="237"/>
      <c r="D97" s="237"/>
      <c r="E97" s="237"/>
    </row>
    <row r="98" spans="1:5" x14ac:dyDescent="0.3">
      <c r="A98" s="126" t="s">
        <v>58</v>
      </c>
      <c r="B98" s="126" t="s">
        <v>251</v>
      </c>
      <c r="C98" s="126" t="s">
        <v>262</v>
      </c>
      <c r="D98" s="126" t="s">
        <v>263</v>
      </c>
      <c r="E98" s="126" t="s">
        <v>256</v>
      </c>
    </row>
    <row r="99" spans="1:5" x14ac:dyDescent="0.3">
      <c r="A99" s="110" t="s">
        <v>293</v>
      </c>
      <c r="B99" s="109" t="s">
        <v>265</v>
      </c>
      <c r="C99" s="138">
        <v>0.17</v>
      </c>
      <c r="D99" s="128">
        <v>26380</v>
      </c>
      <c r="E99" s="128">
        <f>C99*D99</f>
        <v>4484.6000000000004</v>
      </c>
    </row>
    <row r="100" spans="1:5" x14ac:dyDescent="0.3">
      <c r="A100" s="110" t="s">
        <v>294</v>
      </c>
      <c r="B100" s="109" t="s">
        <v>287</v>
      </c>
      <c r="C100" s="138">
        <v>0.17</v>
      </c>
      <c r="D100" s="128">
        <v>500</v>
      </c>
      <c r="E100" s="128">
        <f>C100*D100</f>
        <v>85</v>
      </c>
    </row>
    <row r="101" spans="1:5" x14ac:dyDescent="0.3">
      <c r="A101" s="110"/>
      <c r="B101" s="109"/>
      <c r="C101" s="136"/>
      <c r="D101" s="128"/>
      <c r="E101" s="128"/>
    </row>
    <row r="102" spans="1:5" x14ac:dyDescent="0.3">
      <c r="A102" s="131" t="s">
        <v>267</v>
      </c>
      <c r="B102" s="235"/>
      <c r="C102" s="235"/>
      <c r="D102" s="235"/>
      <c r="E102" s="128">
        <f>(E99+E100)*0.02</f>
        <v>91.39200000000001</v>
      </c>
    </row>
    <row r="103" spans="1:5" x14ac:dyDescent="0.3">
      <c r="A103" s="131"/>
      <c r="B103" s="132"/>
      <c r="C103" s="104"/>
      <c r="D103" s="104"/>
      <c r="E103" s="128"/>
    </row>
    <row r="104" spans="1:5" x14ac:dyDescent="0.3">
      <c r="A104" s="233" t="s">
        <v>260</v>
      </c>
      <c r="B104" s="233"/>
      <c r="C104" s="233"/>
      <c r="D104" s="233"/>
      <c r="E104" s="129">
        <f>SUM(E99:E102)</f>
        <v>4660.9920000000002</v>
      </c>
    </row>
    <row r="105" spans="1:5" x14ac:dyDescent="0.3">
      <c r="A105" s="237" t="s">
        <v>268</v>
      </c>
      <c r="B105" s="237"/>
      <c r="C105" s="237"/>
      <c r="D105" s="237"/>
      <c r="E105" s="237"/>
    </row>
    <row r="106" spans="1:5" x14ac:dyDescent="0.3">
      <c r="A106" s="126" t="s">
        <v>58</v>
      </c>
      <c r="B106" s="126" t="s">
        <v>251</v>
      </c>
      <c r="C106" s="126" t="s">
        <v>254</v>
      </c>
      <c r="D106" s="126" t="s">
        <v>255</v>
      </c>
      <c r="E106" s="126" t="s">
        <v>256</v>
      </c>
    </row>
    <row r="107" spans="1:5" x14ac:dyDescent="0.3">
      <c r="A107" s="110" t="s">
        <v>269</v>
      </c>
      <c r="B107" s="109" t="s">
        <v>270</v>
      </c>
      <c r="C107" s="127">
        <v>0</v>
      </c>
      <c r="D107" s="128">
        <v>0</v>
      </c>
      <c r="E107" s="128">
        <v>0</v>
      </c>
    </row>
    <row r="108" spans="1:5" x14ac:dyDescent="0.3">
      <c r="A108" s="110"/>
      <c r="B108" s="109"/>
      <c r="C108" s="127"/>
      <c r="D108" s="128"/>
      <c r="E108" s="128"/>
    </row>
    <row r="109" spans="1:5" x14ac:dyDescent="0.3">
      <c r="A109" s="233" t="s">
        <v>260</v>
      </c>
      <c r="B109" s="233"/>
      <c r="C109" s="233"/>
      <c r="D109" s="233"/>
      <c r="E109" s="129">
        <f>SUM(E107)</f>
        <v>0</v>
      </c>
    </row>
    <row r="110" spans="1:5" x14ac:dyDescent="0.3">
      <c r="A110" s="237" t="s">
        <v>271</v>
      </c>
      <c r="B110" s="237"/>
      <c r="C110" s="237"/>
      <c r="D110" s="237"/>
      <c r="E110" s="237"/>
    </row>
    <row r="111" spans="1:5" x14ac:dyDescent="0.3">
      <c r="A111" s="126" t="s">
        <v>58</v>
      </c>
      <c r="B111" s="126" t="s">
        <v>251</v>
      </c>
      <c r="C111" s="126" t="s">
        <v>254</v>
      </c>
      <c r="D111" s="126" t="s">
        <v>272</v>
      </c>
      <c r="E111" s="126" t="s">
        <v>256</v>
      </c>
    </row>
    <row r="112" spans="1:5" x14ac:dyDescent="0.3">
      <c r="A112" s="110" t="s">
        <v>295</v>
      </c>
      <c r="B112" s="109" t="s">
        <v>270</v>
      </c>
      <c r="C112" s="127">
        <v>100</v>
      </c>
      <c r="D112" s="128">
        <v>95000</v>
      </c>
      <c r="E112" s="128">
        <f>D112/C112</f>
        <v>950</v>
      </c>
    </row>
    <row r="113" spans="1:5" x14ac:dyDescent="0.3">
      <c r="A113" s="110"/>
      <c r="B113" s="109"/>
      <c r="C113" s="127"/>
      <c r="D113" s="128"/>
      <c r="E113" s="128"/>
    </row>
    <row r="114" spans="1:5" x14ac:dyDescent="0.3">
      <c r="A114" s="233" t="s">
        <v>260</v>
      </c>
      <c r="B114" s="233"/>
      <c r="C114" s="233"/>
      <c r="D114" s="233"/>
      <c r="E114" s="129">
        <f>SUM(E112)</f>
        <v>950</v>
      </c>
    </row>
    <row r="115" spans="1:5" x14ac:dyDescent="0.3">
      <c r="A115" s="109"/>
      <c r="B115" s="104"/>
      <c r="C115" s="104"/>
      <c r="D115" s="104"/>
      <c r="E115" s="104"/>
    </row>
    <row r="116" spans="1:5" x14ac:dyDescent="0.3">
      <c r="A116" s="233" t="s">
        <v>274</v>
      </c>
      <c r="B116" s="233"/>
      <c r="C116" s="233"/>
      <c r="D116" s="233"/>
      <c r="E116" s="129">
        <f>SUM(E96,E104,E109,E114)</f>
        <v>6230.9920000000002</v>
      </c>
    </row>
    <row r="118" spans="1:5" x14ac:dyDescent="0.3">
      <c r="A118" s="239" t="s">
        <v>275</v>
      </c>
      <c r="B118" s="240"/>
      <c r="C118" s="240"/>
      <c r="D118" s="124" t="s">
        <v>203</v>
      </c>
      <c r="E118" s="124" t="s">
        <v>207</v>
      </c>
    </row>
    <row r="119" spans="1:5" x14ac:dyDescent="0.3">
      <c r="A119" s="241"/>
      <c r="B119" s="236"/>
      <c r="C119" s="236"/>
      <c r="D119" s="125" t="s">
        <v>251</v>
      </c>
      <c r="E119" s="125" t="s">
        <v>252</v>
      </c>
    </row>
    <row r="120" spans="1:5" x14ac:dyDescent="0.3">
      <c r="A120" s="237" t="s">
        <v>253</v>
      </c>
      <c r="B120" s="238"/>
      <c r="C120" s="238"/>
      <c r="D120" s="238"/>
      <c r="E120" s="238"/>
    </row>
    <row r="121" spans="1:5" x14ac:dyDescent="0.3">
      <c r="A121" s="126" t="s">
        <v>58</v>
      </c>
      <c r="B121" s="126" t="s">
        <v>251</v>
      </c>
      <c r="C121" s="126" t="s">
        <v>254</v>
      </c>
      <c r="D121" s="126" t="s">
        <v>255</v>
      </c>
      <c r="E121" s="126" t="s">
        <v>256</v>
      </c>
    </row>
    <row r="122" spans="1:5" x14ac:dyDescent="0.3">
      <c r="A122" s="110" t="s">
        <v>257</v>
      </c>
      <c r="B122" s="109" t="s">
        <v>258</v>
      </c>
      <c r="C122" s="127">
        <v>0.1</v>
      </c>
      <c r="D122" s="128">
        <f>E143</f>
        <v>8666.6666666666661</v>
      </c>
      <c r="E122" s="128">
        <f>C122*D122</f>
        <v>866.66666666666663</v>
      </c>
    </row>
    <row r="123" spans="1:5" x14ac:dyDescent="0.3">
      <c r="A123" s="110" t="s">
        <v>259</v>
      </c>
      <c r="B123" s="109" t="s">
        <v>258</v>
      </c>
      <c r="C123" s="127">
        <v>0.1</v>
      </c>
      <c r="D123" s="128">
        <v>25000</v>
      </c>
      <c r="E123" s="128">
        <f>C123*D123</f>
        <v>2500</v>
      </c>
    </row>
    <row r="124" spans="1:5" x14ac:dyDescent="0.3">
      <c r="A124" s="109"/>
      <c r="B124" s="109"/>
      <c r="C124" s="109"/>
      <c r="D124" s="128"/>
      <c r="E124" s="128"/>
    </row>
    <row r="125" spans="1:5" x14ac:dyDescent="0.3">
      <c r="A125" s="233" t="s">
        <v>260</v>
      </c>
      <c r="B125" s="234"/>
      <c r="C125" s="234"/>
      <c r="D125" s="234"/>
      <c r="E125" s="129">
        <f>SUM(E122:E123)</f>
        <v>3366.6666666666665</v>
      </c>
    </row>
    <row r="126" spans="1:5" x14ac:dyDescent="0.3">
      <c r="A126" s="237" t="s">
        <v>261</v>
      </c>
      <c r="B126" s="238"/>
      <c r="C126" s="238"/>
      <c r="D126" s="238"/>
      <c r="E126" s="238"/>
    </row>
    <row r="127" spans="1:5" x14ac:dyDescent="0.3">
      <c r="A127" s="126" t="s">
        <v>58</v>
      </c>
      <c r="B127" s="126" t="s">
        <v>251</v>
      </c>
      <c r="C127" s="126" t="s">
        <v>262</v>
      </c>
      <c r="D127" s="126" t="s">
        <v>263</v>
      </c>
      <c r="E127" s="126" t="s">
        <v>256</v>
      </c>
    </row>
    <row r="128" spans="1:5" x14ac:dyDescent="0.3">
      <c r="A128" s="110" t="s">
        <v>276</v>
      </c>
      <c r="B128" s="109" t="s">
        <v>265</v>
      </c>
      <c r="C128" s="130">
        <v>2</v>
      </c>
      <c r="D128" s="128">
        <v>59540</v>
      </c>
      <c r="E128" s="128">
        <f>C128*D128</f>
        <v>119080</v>
      </c>
    </row>
    <row r="129" spans="1:5" x14ac:dyDescent="0.3">
      <c r="A129" s="110" t="s">
        <v>266</v>
      </c>
      <c r="B129" s="109" t="s">
        <v>7</v>
      </c>
      <c r="C129" s="130">
        <v>1.4999999999999999E-2</v>
      </c>
      <c r="D129" s="128">
        <v>100000</v>
      </c>
      <c r="E129" s="128">
        <f>C129*D129</f>
        <v>1500</v>
      </c>
    </row>
    <row r="130" spans="1:5" x14ac:dyDescent="0.3">
      <c r="A130" s="110"/>
      <c r="B130" s="109"/>
      <c r="C130" s="130"/>
      <c r="D130" s="128"/>
      <c r="E130" s="128"/>
    </row>
    <row r="131" spans="1:5" x14ac:dyDescent="0.3">
      <c r="A131" s="131" t="s">
        <v>267</v>
      </c>
      <c r="B131" s="235"/>
      <c r="C131" s="236"/>
      <c r="D131" s="236"/>
      <c r="E131" s="128">
        <f>SUM(E128:E129)*0.02</f>
        <v>2411.6</v>
      </c>
    </row>
    <row r="132" spans="1:5" x14ac:dyDescent="0.3">
      <c r="A132" s="131"/>
      <c r="B132" s="132"/>
      <c r="C132" s="104"/>
      <c r="D132" s="104"/>
      <c r="E132" s="128"/>
    </row>
    <row r="133" spans="1:5" x14ac:dyDescent="0.3">
      <c r="A133" s="233" t="s">
        <v>260</v>
      </c>
      <c r="B133" s="234"/>
      <c r="C133" s="234"/>
      <c r="D133" s="234"/>
      <c r="E133" s="129">
        <f>SUM(E128:E131)</f>
        <v>122991.6</v>
      </c>
    </row>
    <row r="134" spans="1:5" x14ac:dyDescent="0.3">
      <c r="A134" s="237" t="s">
        <v>268</v>
      </c>
      <c r="B134" s="238"/>
      <c r="C134" s="238"/>
      <c r="D134" s="238"/>
      <c r="E134" s="238"/>
    </row>
    <row r="135" spans="1:5" x14ac:dyDescent="0.3">
      <c r="A135" s="126" t="s">
        <v>58</v>
      </c>
      <c r="B135" s="126" t="s">
        <v>251</v>
      </c>
      <c r="C135" s="126" t="s">
        <v>254</v>
      </c>
      <c r="D135" s="126" t="s">
        <v>255</v>
      </c>
      <c r="E135" s="126" t="s">
        <v>256</v>
      </c>
    </row>
    <row r="136" spans="1:5" x14ac:dyDescent="0.3">
      <c r="A136" s="110" t="s">
        <v>269</v>
      </c>
      <c r="B136" s="109" t="s">
        <v>270</v>
      </c>
      <c r="C136" s="127">
        <v>0.02</v>
      </c>
      <c r="D136" s="128">
        <v>45000</v>
      </c>
      <c r="E136" s="128">
        <f>D136*C136</f>
        <v>900</v>
      </c>
    </row>
    <row r="137" spans="1:5" x14ac:dyDescent="0.3">
      <c r="A137" s="110"/>
      <c r="B137" s="109"/>
      <c r="C137" s="127"/>
      <c r="D137" s="128"/>
      <c r="E137" s="128"/>
    </row>
    <row r="138" spans="1:5" x14ac:dyDescent="0.3">
      <c r="A138" s="233" t="s">
        <v>260</v>
      </c>
      <c r="B138" s="234"/>
      <c r="C138" s="234"/>
      <c r="D138" s="234"/>
      <c r="E138" s="129">
        <f>SUM(E136)</f>
        <v>900</v>
      </c>
    </row>
    <row r="139" spans="1:5" x14ac:dyDescent="0.3">
      <c r="A139" s="237" t="s">
        <v>271</v>
      </c>
      <c r="B139" s="238"/>
      <c r="C139" s="238"/>
      <c r="D139" s="238"/>
      <c r="E139" s="238"/>
    </row>
    <row r="140" spans="1:5" x14ac:dyDescent="0.3">
      <c r="A140" s="126" t="s">
        <v>58</v>
      </c>
      <c r="B140" s="126" t="s">
        <v>251</v>
      </c>
      <c r="C140" s="126" t="s">
        <v>254</v>
      </c>
      <c r="D140" s="126" t="s">
        <v>272</v>
      </c>
      <c r="E140" s="126" t="s">
        <v>256</v>
      </c>
    </row>
    <row r="141" spans="1:5" x14ac:dyDescent="0.3">
      <c r="A141" s="110" t="s">
        <v>273</v>
      </c>
      <c r="B141" s="109" t="s">
        <v>270</v>
      </c>
      <c r="C141" s="127">
        <v>15</v>
      </c>
      <c r="D141" s="128">
        <v>130000</v>
      </c>
      <c r="E141" s="128">
        <f>D141/C141</f>
        <v>8666.6666666666661</v>
      </c>
    </row>
    <row r="142" spans="1:5" x14ac:dyDescent="0.3">
      <c r="A142" s="110"/>
      <c r="B142" s="109"/>
      <c r="C142" s="127"/>
      <c r="D142" s="128"/>
      <c r="E142" s="128"/>
    </row>
    <row r="143" spans="1:5" x14ac:dyDescent="0.3">
      <c r="A143" s="233" t="s">
        <v>260</v>
      </c>
      <c r="B143" s="234"/>
      <c r="C143" s="234"/>
      <c r="D143" s="234"/>
      <c r="E143" s="129">
        <f>SUM(E141)</f>
        <v>8666.6666666666661</v>
      </c>
    </row>
    <row r="144" spans="1:5" x14ac:dyDescent="0.3">
      <c r="A144" s="109"/>
      <c r="B144" s="104"/>
      <c r="C144" s="104"/>
      <c r="D144" s="104"/>
      <c r="E144" s="104"/>
    </row>
    <row r="145" spans="1:5" x14ac:dyDescent="0.3">
      <c r="A145" s="233" t="s">
        <v>274</v>
      </c>
      <c r="B145" s="234"/>
      <c r="C145" s="234"/>
      <c r="D145" s="234"/>
      <c r="E145" s="129">
        <f>SUM(E125,E133,E138,E143)</f>
        <v>135924.93333333335</v>
      </c>
    </row>
    <row r="147" spans="1:5" x14ac:dyDescent="0.3">
      <c r="A147" s="139" t="s">
        <v>299</v>
      </c>
      <c r="B147" s="140"/>
      <c r="C147" s="140"/>
      <c r="D147" s="140"/>
      <c r="E147" s="140"/>
    </row>
    <row r="149" spans="1:5" x14ac:dyDescent="0.3">
      <c r="A149" s="246" t="s">
        <v>300</v>
      </c>
      <c r="B149" s="246"/>
      <c r="C149" s="246"/>
      <c r="D149" s="137" t="s">
        <v>203</v>
      </c>
      <c r="E149" s="137" t="s">
        <v>118</v>
      </c>
    </row>
    <row r="150" spans="1:5" x14ac:dyDescent="0.3">
      <c r="A150" s="241"/>
      <c r="B150" s="236"/>
      <c r="C150" s="236"/>
      <c r="D150" s="142" t="s">
        <v>251</v>
      </c>
      <c r="E150" s="142" t="s">
        <v>7</v>
      </c>
    </row>
    <row r="151" spans="1:5" x14ac:dyDescent="0.3">
      <c r="A151" s="237" t="s">
        <v>253</v>
      </c>
      <c r="B151" s="238"/>
      <c r="C151" s="238"/>
      <c r="D151" s="238"/>
      <c r="E151" s="238"/>
    </row>
    <row r="152" spans="1:5" x14ac:dyDescent="0.3">
      <c r="A152" s="142" t="s">
        <v>58</v>
      </c>
      <c r="B152" s="142" t="s">
        <v>251</v>
      </c>
      <c r="C152" s="142" t="s">
        <v>254</v>
      </c>
      <c r="D152" s="142" t="s">
        <v>255</v>
      </c>
      <c r="E152" s="142" t="s">
        <v>256</v>
      </c>
    </row>
    <row r="153" spans="1:5" x14ac:dyDescent="0.3">
      <c r="A153" s="109" t="s">
        <v>257</v>
      </c>
      <c r="B153" s="109" t="s">
        <v>258</v>
      </c>
      <c r="C153" s="127">
        <v>0.1</v>
      </c>
      <c r="D153" s="128">
        <f>E171</f>
        <v>19000</v>
      </c>
      <c r="E153" s="128">
        <f>C153*D153</f>
        <v>1900</v>
      </c>
    </row>
    <row r="154" spans="1:5" x14ac:dyDescent="0.3">
      <c r="A154" s="109"/>
      <c r="B154" s="109"/>
      <c r="C154" s="109"/>
      <c r="D154" s="128"/>
      <c r="E154" s="128"/>
    </row>
    <row r="155" spans="1:5" x14ac:dyDescent="0.3">
      <c r="A155" s="233" t="s">
        <v>260</v>
      </c>
      <c r="B155" s="234"/>
      <c r="C155" s="234"/>
      <c r="D155" s="234"/>
      <c r="E155" s="129">
        <f>SUM(E153:E153)</f>
        <v>1900</v>
      </c>
    </row>
    <row r="156" spans="1:5" x14ac:dyDescent="0.3">
      <c r="A156" s="237" t="s">
        <v>261</v>
      </c>
      <c r="B156" s="238"/>
      <c r="C156" s="238"/>
      <c r="D156" s="238"/>
      <c r="E156" s="238"/>
    </row>
    <row r="157" spans="1:5" x14ac:dyDescent="0.3">
      <c r="A157" s="142" t="s">
        <v>58</v>
      </c>
      <c r="B157" s="142" t="s">
        <v>251</v>
      </c>
      <c r="C157" s="142" t="s">
        <v>262</v>
      </c>
      <c r="D157" s="142" t="s">
        <v>263</v>
      </c>
      <c r="E157" s="142" t="s">
        <v>256</v>
      </c>
    </row>
    <row r="158" spans="1:5" x14ac:dyDescent="0.3">
      <c r="A158" s="110"/>
      <c r="B158" s="109"/>
      <c r="C158" s="130"/>
      <c r="D158" s="128"/>
      <c r="E158" s="128"/>
    </row>
    <row r="159" spans="1:5" x14ac:dyDescent="0.3">
      <c r="A159" s="131" t="s">
        <v>301</v>
      </c>
      <c r="B159" s="235"/>
      <c r="C159" s="236"/>
      <c r="D159" s="236"/>
      <c r="E159" s="128">
        <v>0</v>
      </c>
    </row>
    <row r="160" spans="1:5" x14ac:dyDescent="0.3">
      <c r="A160" s="131"/>
      <c r="B160" s="132"/>
      <c r="C160" s="104"/>
      <c r="D160" s="104"/>
      <c r="E160" s="128"/>
    </row>
    <row r="161" spans="1:5" x14ac:dyDescent="0.3">
      <c r="A161" s="242" t="s">
        <v>260</v>
      </c>
      <c r="B161" s="243"/>
      <c r="C161" s="243"/>
      <c r="D161" s="243"/>
      <c r="E161" s="143">
        <f>SUM(E158:E159)</f>
        <v>0</v>
      </c>
    </row>
    <row r="162" spans="1:5" x14ac:dyDescent="0.3">
      <c r="A162" s="237" t="s">
        <v>268</v>
      </c>
      <c r="B162" s="238"/>
      <c r="C162" s="238"/>
      <c r="D162" s="238"/>
      <c r="E162" s="238"/>
    </row>
    <row r="163" spans="1:5" x14ac:dyDescent="0.3">
      <c r="A163" s="142" t="s">
        <v>58</v>
      </c>
      <c r="B163" s="142" t="s">
        <v>251</v>
      </c>
      <c r="C163" s="142" t="s">
        <v>254</v>
      </c>
      <c r="D163" s="142" t="s">
        <v>255</v>
      </c>
      <c r="E163" s="142" t="s">
        <v>256</v>
      </c>
    </row>
    <row r="164" spans="1:5" x14ac:dyDescent="0.3">
      <c r="A164" s="110" t="s">
        <v>283</v>
      </c>
      <c r="B164" s="109" t="s">
        <v>270</v>
      </c>
      <c r="C164" s="127">
        <v>0</v>
      </c>
      <c r="D164" s="128">
        <v>45000</v>
      </c>
      <c r="E164" s="128">
        <f>D164*C164</f>
        <v>0</v>
      </c>
    </row>
    <row r="165" spans="1:5" x14ac:dyDescent="0.3">
      <c r="A165" s="110"/>
      <c r="B165" s="109"/>
      <c r="C165" s="127"/>
      <c r="D165" s="128"/>
      <c r="E165" s="128"/>
    </row>
    <row r="166" spans="1:5" x14ac:dyDescent="0.3">
      <c r="A166" s="233" t="s">
        <v>260</v>
      </c>
      <c r="B166" s="234"/>
      <c r="C166" s="234"/>
      <c r="D166" s="234"/>
      <c r="E166" s="129">
        <f>SUM(E164)</f>
        <v>0</v>
      </c>
    </row>
    <row r="167" spans="1:5" x14ac:dyDescent="0.3">
      <c r="A167" s="237" t="s">
        <v>271</v>
      </c>
      <c r="B167" s="238"/>
      <c r="C167" s="238"/>
      <c r="D167" s="238"/>
      <c r="E167" s="238"/>
    </row>
    <row r="168" spans="1:5" x14ac:dyDescent="0.3">
      <c r="A168" s="142" t="s">
        <v>58</v>
      </c>
      <c r="B168" s="142" t="s">
        <v>251</v>
      </c>
      <c r="C168" s="142" t="s">
        <v>254</v>
      </c>
      <c r="D168" s="142" t="s">
        <v>272</v>
      </c>
      <c r="E168" s="142" t="s">
        <v>256</v>
      </c>
    </row>
    <row r="169" spans="1:5" x14ac:dyDescent="0.3">
      <c r="A169" s="110" t="s">
        <v>302</v>
      </c>
      <c r="B169" s="109" t="s">
        <v>270</v>
      </c>
      <c r="C169" s="127">
        <v>10</v>
      </c>
      <c r="D169" s="128">
        <v>190000</v>
      </c>
      <c r="E169" s="128">
        <f>D169/C169</f>
        <v>19000</v>
      </c>
    </row>
    <row r="170" spans="1:5" x14ac:dyDescent="0.3">
      <c r="A170" s="110"/>
      <c r="B170" s="109"/>
      <c r="C170" s="127"/>
      <c r="D170" s="128"/>
      <c r="E170" s="128"/>
    </row>
    <row r="171" spans="1:5" x14ac:dyDescent="0.3">
      <c r="A171" s="242" t="s">
        <v>260</v>
      </c>
      <c r="B171" s="243"/>
      <c r="C171" s="243"/>
      <c r="D171" s="243"/>
      <c r="E171" s="143">
        <f>SUM(E169)</f>
        <v>19000</v>
      </c>
    </row>
    <row r="172" spans="1:5" x14ac:dyDescent="0.3">
      <c r="A172" s="109"/>
      <c r="B172" s="104"/>
      <c r="C172" s="104"/>
      <c r="D172" s="104"/>
      <c r="E172" s="104"/>
    </row>
    <row r="173" spans="1:5" x14ac:dyDescent="0.3">
      <c r="A173" s="242" t="s">
        <v>274</v>
      </c>
      <c r="B173" s="243"/>
      <c r="C173" s="243"/>
      <c r="D173" s="243"/>
      <c r="E173" s="143">
        <f>SUM(E155,E161,E166,E171)</f>
        <v>20900</v>
      </c>
    </row>
    <row r="175" spans="1:5" x14ac:dyDescent="0.3">
      <c r="A175" s="244" t="s">
        <v>285</v>
      </c>
      <c r="B175" s="245"/>
      <c r="C175" s="245"/>
      <c r="D175" s="135" t="s">
        <v>203</v>
      </c>
      <c r="E175" s="135" t="s">
        <v>209</v>
      </c>
    </row>
    <row r="176" spans="1:5" x14ac:dyDescent="0.3">
      <c r="A176" s="241"/>
      <c r="B176" s="236"/>
      <c r="C176" s="236"/>
      <c r="D176" s="125" t="s">
        <v>251</v>
      </c>
      <c r="E176" s="125" t="s">
        <v>7</v>
      </c>
    </row>
    <row r="177" spans="1:5" x14ac:dyDescent="0.3">
      <c r="A177" s="237" t="s">
        <v>253</v>
      </c>
      <c r="B177" s="238"/>
      <c r="C177" s="238"/>
      <c r="D177" s="238"/>
      <c r="E177" s="238"/>
    </row>
    <row r="178" spans="1:5" x14ac:dyDescent="0.3">
      <c r="A178" s="126" t="s">
        <v>58</v>
      </c>
      <c r="B178" s="126" t="s">
        <v>251</v>
      </c>
      <c r="C178" s="126" t="s">
        <v>254</v>
      </c>
      <c r="D178" s="126" t="s">
        <v>255</v>
      </c>
      <c r="E178" s="126" t="s">
        <v>256</v>
      </c>
    </row>
    <row r="179" spans="1:5" x14ac:dyDescent="0.3">
      <c r="A179" s="109" t="s">
        <v>257</v>
      </c>
      <c r="B179" s="109" t="s">
        <v>258</v>
      </c>
      <c r="C179" s="127">
        <v>0.25</v>
      </c>
      <c r="D179" s="128">
        <f>E199</f>
        <v>7000</v>
      </c>
      <c r="E179" s="128">
        <f>C179*D179</f>
        <v>1750</v>
      </c>
    </row>
    <row r="180" spans="1:5" x14ac:dyDescent="0.3">
      <c r="A180" s="109"/>
      <c r="B180" s="109"/>
      <c r="C180" s="109"/>
      <c r="D180" s="128"/>
      <c r="E180" s="128"/>
    </row>
    <row r="181" spans="1:5" x14ac:dyDescent="0.3">
      <c r="A181" s="233" t="s">
        <v>260</v>
      </c>
      <c r="B181" s="234"/>
      <c r="C181" s="234"/>
      <c r="D181" s="234"/>
      <c r="E181" s="129">
        <f>SUM(E179:E179)</f>
        <v>1750</v>
      </c>
    </row>
    <row r="182" spans="1:5" x14ac:dyDescent="0.3">
      <c r="A182" s="237" t="s">
        <v>261</v>
      </c>
      <c r="B182" s="238"/>
      <c r="C182" s="238"/>
      <c r="D182" s="238"/>
      <c r="E182" s="238"/>
    </row>
    <row r="183" spans="1:5" x14ac:dyDescent="0.3">
      <c r="A183" s="126" t="s">
        <v>58</v>
      </c>
      <c r="B183" s="126" t="s">
        <v>251</v>
      </c>
      <c r="C183" s="126" t="s">
        <v>262</v>
      </c>
      <c r="D183" s="126" t="s">
        <v>263</v>
      </c>
      <c r="E183" s="126" t="s">
        <v>256</v>
      </c>
    </row>
    <row r="184" spans="1:5" x14ac:dyDescent="0.3">
      <c r="A184" s="110" t="s">
        <v>286</v>
      </c>
      <c r="B184" s="109" t="s">
        <v>287</v>
      </c>
      <c r="C184" s="138">
        <v>0.06</v>
      </c>
      <c r="D184" s="128">
        <v>511000</v>
      </c>
      <c r="E184" s="128">
        <f>C184*D184</f>
        <v>30660</v>
      </c>
    </row>
    <row r="185" spans="1:5" x14ac:dyDescent="0.3">
      <c r="A185" s="110" t="s">
        <v>288</v>
      </c>
      <c r="B185" s="109" t="s">
        <v>281</v>
      </c>
      <c r="C185" s="138">
        <v>0.02</v>
      </c>
      <c r="D185" s="128">
        <v>56000</v>
      </c>
      <c r="E185" s="128">
        <f t="shared" ref="E185:E186" si="1">C185*D185</f>
        <v>1120</v>
      </c>
    </row>
    <row r="186" spans="1:5" x14ac:dyDescent="0.3">
      <c r="A186" s="110"/>
      <c r="B186" s="109"/>
      <c r="C186" s="130"/>
      <c r="D186" s="128"/>
      <c r="E186" s="128">
        <f t="shared" si="1"/>
        <v>0</v>
      </c>
    </row>
    <row r="187" spans="1:5" x14ac:dyDescent="0.3">
      <c r="A187" s="131" t="s">
        <v>267</v>
      </c>
      <c r="B187" s="235"/>
      <c r="C187" s="236"/>
      <c r="D187" s="236"/>
      <c r="E187" s="128">
        <v>0</v>
      </c>
    </row>
    <row r="188" spans="1:5" x14ac:dyDescent="0.3">
      <c r="A188" s="131"/>
      <c r="B188" s="132"/>
      <c r="C188" s="104"/>
      <c r="D188" s="104"/>
      <c r="E188" s="128"/>
    </row>
    <row r="189" spans="1:5" x14ac:dyDescent="0.3">
      <c r="A189" s="233" t="s">
        <v>260</v>
      </c>
      <c r="B189" s="234"/>
      <c r="C189" s="234"/>
      <c r="D189" s="234"/>
      <c r="E189" s="129">
        <f>SUM(E184:E187)</f>
        <v>31780</v>
      </c>
    </row>
    <row r="190" spans="1:5" x14ac:dyDescent="0.3">
      <c r="A190" s="237" t="s">
        <v>268</v>
      </c>
      <c r="B190" s="238"/>
      <c r="C190" s="238"/>
      <c r="D190" s="238"/>
      <c r="E190" s="238"/>
    </row>
    <row r="191" spans="1:5" x14ac:dyDescent="0.3">
      <c r="A191" s="126" t="s">
        <v>58</v>
      </c>
      <c r="B191" s="126" t="s">
        <v>251</v>
      </c>
      <c r="C191" s="126" t="s">
        <v>254</v>
      </c>
      <c r="D191" s="126" t="s">
        <v>255</v>
      </c>
      <c r="E191" s="126" t="s">
        <v>256</v>
      </c>
    </row>
    <row r="192" spans="1:5" x14ac:dyDescent="0.3">
      <c r="A192" s="110" t="s">
        <v>269</v>
      </c>
      <c r="B192" s="109" t="s">
        <v>270</v>
      </c>
      <c r="C192" s="127">
        <v>0.02</v>
      </c>
      <c r="D192" s="128">
        <v>60000</v>
      </c>
      <c r="E192" s="128">
        <f>D192*C192</f>
        <v>1200</v>
      </c>
    </row>
    <row r="193" spans="1:5" x14ac:dyDescent="0.3">
      <c r="A193" s="110"/>
      <c r="B193" s="109"/>
      <c r="C193" s="127"/>
      <c r="D193" s="128"/>
      <c r="E193" s="128"/>
    </row>
    <row r="194" spans="1:5" x14ac:dyDescent="0.3">
      <c r="A194" s="233" t="s">
        <v>260</v>
      </c>
      <c r="B194" s="234"/>
      <c r="C194" s="234"/>
      <c r="D194" s="234"/>
      <c r="E194" s="129">
        <f>SUM(E192)</f>
        <v>1200</v>
      </c>
    </row>
    <row r="195" spans="1:5" x14ac:dyDescent="0.3">
      <c r="A195" s="237" t="s">
        <v>271</v>
      </c>
      <c r="B195" s="238"/>
      <c r="C195" s="238"/>
      <c r="D195" s="238"/>
      <c r="E195" s="238"/>
    </row>
    <row r="196" spans="1:5" x14ac:dyDescent="0.3">
      <c r="A196" s="126" t="s">
        <v>58</v>
      </c>
      <c r="B196" s="126" t="s">
        <v>251</v>
      </c>
      <c r="C196" s="126" t="s">
        <v>254</v>
      </c>
      <c r="D196" s="126" t="s">
        <v>272</v>
      </c>
      <c r="E196" s="126" t="s">
        <v>256</v>
      </c>
    </row>
    <row r="197" spans="1:5" x14ac:dyDescent="0.3">
      <c r="A197" s="110" t="s">
        <v>289</v>
      </c>
      <c r="B197" s="109" t="s">
        <v>270</v>
      </c>
      <c r="C197" s="127">
        <v>30</v>
      </c>
      <c r="D197" s="128">
        <v>210000</v>
      </c>
      <c r="E197" s="128">
        <f>D197/C197</f>
        <v>7000</v>
      </c>
    </row>
    <row r="198" spans="1:5" x14ac:dyDescent="0.3">
      <c r="A198" s="110"/>
      <c r="B198" s="109"/>
      <c r="C198" s="127"/>
      <c r="D198" s="128"/>
      <c r="E198" s="128"/>
    </row>
    <row r="199" spans="1:5" x14ac:dyDescent="0.3">
      <c r="A199" s="233" t="s">
        <v>260</v>
      </c>
      <c r="B199" s="234"/>
      <c r="C199" s="234"/>
      <c r="D199" s="234"/>
      <c r="E199" s="129">
        <f>SUM(E197)</f>
        <v>7000</v>
      </c>
    </row>
    <row r="200" spans="1:5" x14ac:dyDescent="0.3">
      <c r="A200" s="109"/>
      <c r="B200" s="104"/>
      <c r="C200" s="104"/>
      <c r="D200" s="104"/>
      <c r="E200" s="104"/>
    </row>
    <row r="201" spans="1:5" x14ac:dyDescent="0.3">
      <c r="A201" s="233" t="s">
        <v>274</v>
      </c>
      <c r="B201" s="234"/>
      <c r="C201" s="234"/>
      <c r="D201" s="234"/>
      <c r="E201" s="129">
        <f>SUM(E181,E189,E194,E199)</f>
        <v>41730</v>
      </c>
    </row>
    <row r="203" spans="1:5" x14ac:dyDescent="0.3">
      <c r="A203" s="239" t="s">
        <v>250</v>
      </c>
      <c r="B203" s="240"/>
      <c r="C203" s="240"/>
      <c r="D203" s="124" t="s">
        <v>203</v>
      </c>
      <c r="E203" s="124" t="s">
        <v>211</v>
      </c>
    </row>
    <row r="204" spans="1:5" x14ac:dyDescent="0.3">
      <c r="A204" s="241"/>
      <c r="B204" s="236"/>
      <c r="C204" s="236"/>
      <c r="D204" s="125" t="s">
        <v>251</v>
      </c>
      <c r="E204" s="125" t="s">
        <v>252</v>
      </c>
    </row>
    <row r="205" spans="1:5" x14ac:dyDescent="0.3">
      <c r="A205" s="237" t="s">
        <v>253</v>
      </c>
      <c r="B205" s="238"/>
      <c r="C205" s="238"/>
      <c r="D205" s="238"/>
      <c r="E205" s="238"/>
    </row>
    <row r="206" spans="1:5" x14ac:dyDescent="0.3">
      <c r="A206" s="126" t="s">
        <v>58</v>
      </c>
      <c r="B206" s="126" t="s">
        <v>251</v>
      </c>
      <c r="C206" s="126" t="s">
        <v>254</v>
      </c>
      <c r="D206" s="126" t="s">
        <v>255</v>
      </c>
      <c r="E206" s="126" t="s">
        <v>256</v>
      </c>
    </row>
    <row r="207" spans="1:5" x14ac:dyDescent="0.3">
      <c r="A207" s="110" t="s">
        <v>257</v>
      </c>
      <c r="B207" s="109" t="s">
        <v>258</v>
      </c>
      <c r="C207" s="127">
        <v>0.1</v>
      </c>
      <c r="D207" s="128">
        <f>E228</f>
        <v>8666.6666666666661</v>
      </c>
      <c r="E207" s="128">
        <f>C207*D207</f>
        <v>866.66666666666663</v>
      </c>
    </row>
    <row r="208" spans="1:5" x14ac:dyDescent="0.3">
      <c r="A208" s="110" t="s">
        <v>259</v>
      </c>
      <c r="B208" s="109" t="s">
        <v>258</v>
      </c>
      <c r="C208" s="127">
        <v>0.1</v>
      </c>
      <c r="D208" s="128">
        <v>25000</v>
      </c>
      <c r="E208" s="128">
        <f>C208*D208</f>
        <v>2500</v>
      </c>
    </row>
    <row r="209" spans="1:5" x14ac:dyDescent="0.3">
      <c r="A209" s="109"/>
      <c r="B209" s="109"/>
      <c r="C209" s="109"/>
      <c r="D209" s="128"/>
      <c r="E209" s="128"/>
    </row>
    <row r="210" spans="1:5" x14ac:dyDescent="0.3">
      <c r="A210" s="233" t="s">
        <v>260</v>
      </c>
      <c r="B210" s="234"/>
      <c r="C210" s="234"/>
      <c r="D210" s="234"/>
      <c r="E210" s="129">
        <f>SUM(E207:E208)</f>
        <v>3366.6666666666665</v>
      </c>
    </row>
    <row r="211" spans="1:5" x14ac:dyDescent="0.3">
      <c r="A211" s="237" t="s">
        <v>261</v>
      </c>
      <c r="B211" s="238"/>
      <c r="C211" s="238"/>
      <c r="D211" s="238"/>
      <c r="E211" s="238"/>
    </row>
    <row r="212" spans="1:5" x14ac:dyDescent="0.3">
      <c r="A212" s="126" t="s">
        <v>58</v>
      </c>
      <c r="B212" s="126" t="s">
        <v>251</v>
      </c>
      <c r="C212" s="126" t="s">
        <v>262</v>
      </c>
      <c r="D212" s="126" t="s">
        <v>263</v>
      </c>
      <c r="E212" s="126" t="s">
        <v>256</v>
      </c>
    </row>
    <row r="213" spans="1:5" x14ac:dyDescent="0.3">
      <c r="A213" s="110" t="s">
        <v>264</v>
      </c>
      <c r="B213" s="109" t="s">
        <v>265</v>
      </c>
      <c r="C213" s="130">
        <v>1.5</v>
      </c>
      <c r="D213" s="128">
        <v>50090.631808278857</v>
      </c>
      <c r="E213" s="128">
        <f>C213*D213</f>
        <v>75135.947712418289</v>
      </c>
    </row>
    <row r="214" spans="1:5" x14ac:dyDescent="0.3">
      <c r="A214" s="110" t="s">
        <v>266</v>
      </c>
      <c r="B214" s="109" t="s">
        <v>7</v>
      </c>
      <c r="C214" s="130">
        <v>1.4999999999999999E-2</v>
      </c>
      <c r="D214" s="128">
        <v>100000</v>
      </c>
      <c r="E214" s="128">
        <f>C214*D214</f>
        <v>1500</v>
      </c>
    </row>
    <row r="215" spans="1:5" x14ac:dyDescent="0.3">
      <c r="A215" s="110"/>
      <c r="B215" s="109"/>
      <c r="C215" s="130"/>
      <c r="D215" s="128"/>
      <c r="E215" s="128"/>
    </row>
    <row r="216" spans="1:5" x14ac:dyDescent="0.3">
      <c r="A216" s="131" t="s">
        <v>267</v>
      </c>
      <c r="B216" s="235"/>
      <c r="C216" s="236"/>
      <c r="D216" s="236"/>
      <c r="E216" s="128">
        <f>SUM(E213:E214)*0.02</f>
        <v>1532.7189542483659</v>
      </c>
    </row>
    <row r="217" spans="1:5" x14ac:dyDescent="0.3">
      <c r="A217" s="131"/>
      <c r="B217" s="132"/>
      <c r="C217" s="104"/>
      <c r="D217" s="104"/>
      <c r="E217" s="128"/>
    </row>
    <row r="218" spans="1:5" x14ac:dyDescent="0.3">
      <c r="A218" s="233" t="s">
        <v>260</v>
      </c>
      <c r="B218" s="234"/>
      <c r="C218" s="234"/>
      <c r="D218" s="234"/>
      <c r="E218" s="129">
        <f>SUM(E213:E216)</f>
        <v>78168.666666666657</v>
      </c>
    </row>
    <row r="219" spans="1:5" x14ac:dyDescent="0.3">
      <c r="A219" s="237" t="s">
        <v>268</v>
      </c>
      <c r="B219" s="238"/>
      <c r="C219" s="238"/>
      <c r="D219" s="238"/>
      <c r="E219" s="238"/>
    </row>
    <row r="220" spans="1:5" x14ac:dyDescent="0.3">
      <c r="A220" s="126" t="s">
        <v>58</v>
      </c>
      <c r="B220" s="126" t="s">
        <v>251</v>
      </c>
      <c r="C220" s="126" t="s">
        <v>254</v>
      </c>
      <c r="D220" s="126" t="s">
        <v>255</v>
      </c>
      <c r="E220" s="126" t="s">
        <v>256</v>
      </c>
    </row>
    <row r="221" spans="1:5" x14ac:dyDescent="0.3">
      <c r="A221" s="110" t="s">
        <v>269</v>
      </c>
      <c r="B221" s="109" t="s">
        <v>270</v>
      </c>
      <c r="C221" s="127">
        <v>0.02</v>
      </c>
      <c r="D221" s="128">
        <v>45000</v>
      </c>
      <c r="E221" s="128">
        <f>D221*C221</f>
        <v>900</v>
      </c>
    </row>
    <row r="222" spans="1:5" x14ac:dyDescent="0.3">
      <c r="A222" s="110"/>
      <c r="B222" s="109"/>
      <c r="C222" s="127"/>
      <c r="D222" s="128"/>
      <c r="E222" s="128"/>
    </row>
    <row r="223" spans="1:5" x14ac:dyDescent="0.3">
      <c r="A223" s="233" t="s">
        <v>260</v>
      </c>
      <c r="B223" s="234"/>
      <c r="C223" s="234"/>
      <c r="D223" s="234"/>
      <c r="E223" s="129">
        <f>SUM(E221)</f>
        <v>900</v>
      </c>
    </row>
    <row r="224" spans="1:5" x14ac:dyDescent="0.3">
      <c r="A224" s="237" t="s">
        <v>271</v>
      </c>
      <c r="B224" s="238"/>
      <c r="C224" s="238"/>
      <c r="D224" s="238"/>
      <c r="E224" s="238"/>
    </row>
    <row r="225" spans="1:5" x14ac:dyDescent="0.3">
      <c r="A225" s="126" t="s">
        <v>58</v>
      </c>
      <c r="B225" s="126" t="s">
        <v>251</v>
      </c>
      <c r="C225" s="126" t="s">
        <v>254</v>
      </c>
      <c r="D225" s="126" t="s">
        <v>272</v>
      </c>
      <c r="E225" s="126" t="s">
        <v>256</v>
      </c>
    </row>
    <row r="226" spans="1:5" x14ac:dyDescent="0.3">
      <c r="A226" s="110" t="s">
        <v>273</v>
      </c>
      <c r="B226" s="109" t="s">
        <v>270</v>
      </c>
      <c r="C226" s="127">
        <v>15</v>
      </c>
      <c r="D226" s="128">
        <v>130000</v>
      </c>
      <c r="E226" s="128">
        <f>D226/C226</f>
        <v>8666.6666666666661</v>
      </c>
    </row>
    <row r="227" spans="1:5" x14ac:dyDescent="0.3">
      <c r="A227" s="110"/>
      <c r="B227" s="109"/>
      <c r="C227" s="127"/>
      <c r="D227" s="128"/>
      <c r="E227" s="128"/>
    </row>
    <row r="228" spans="1:5" x14ac:dyDescent="0.3">
      <c r="A228" s="233" t="s">
        <v>260</v>
      </c>
      <c r="B228" s="234"/>
      <c r="C228" s="234"/>
      <c r="D228" s="234"/>
      <c r="E228" s="129">
        <f>SUM(E226)</f>
        <v>8666.6666666666661</v>
      </c>
    </row>
    <row r="229" spans="1:5" x14ac:dyDescent="0.3">
      <c r="A229" s="109"/>
      <c r="B229" s="104"/>
      <c r="C229" s="104"/>
      <c r="D229" s="104"/>
      <c r="E229" s="104"/>
    </row>
    <row r="230" spans="1:5" x14ac:dyDescent="0.3">
      <c r="A230" s="233" t="s">
        <v>274</v>
      </c>
      <c r="B230" s="234"/>
      <c r="C230" s="234"/>
      <c r="D230" s="234"/>
      <c r="E230" s="129">
        <f>SUM(E210,E218,E223,E228)</f>
        <v>91102</v>
      </c>
    </row>
    <row r="232" spans="1:5" x14ac:dyDescent="0.3">
      <c r="A232" s="139" t="s">
        <v>303</v>
      </c>
      <c r="B232" s="140"/>
      <c r="C232" s="140"/>
      <c r="D232" s="140"/>
      <c r="E232" s="140"/>
    </row>
    <row r="234" spans="1:5" x14ac:dyDescent="0.3">
      <c r="A234" s="244" t="s">
        <v>304</v>
      </c>
      <c r="B234" s="245"/>
      <c r="C234" s="245"/>
      <c r="D234" s="135" t="s">
        <v>203</v>
      </c>
      <c r="E234" s="135" t="s">
        <v>118</v>
      </c>
    </row>
    <row r="235" spans="1:5" x14ac:dyDescent="0.3">
      <c r="A235" s="241"/>
      <c r="B235" s="236"/>
      <c r="C235" s="236"/>
      <c r="D235" s="125" t="s">
        <v>251</v>
      </c>
      <c r="E235" s="125" t="s">
        <v>7</v>
      </c>
    </row>
    <row r="236" spans="1:5" x14ac:dyDescent="0.3">
      <c r="A236" s="237" t="s">
        <v>253</v>
      </c>
      <c r="B236" s="238"/>
      <c r="C236" s="238"/>
      <c r="D236" s="238"/>
      <c r="E236" s="238"/>
    </row>
    <row r="237" spans="1:5" x14ac:dyDescent="0.3">
      <c r="A237" s="126" t="s">
        <v>58</v>
      </c>
      <c r="B237" s="126" t="s">
        <v>251</v>
      </c>
      <c r="C237" s="126" t="s">
        <v>254</v>
      </c>
      <c r="D237" s="126" t="s">
        <v>255</v>
      </c>
      <c r="E237" s="126" t="s">
        <v>256</v>
      </c>
    </row>
    <row r="238" spans="1:5" x14ac:dyDescent="0.3">
      <c r="A238" s="109" t="s">
        <v>257</v>
      </c>
      <c r="B238" s="109" t="s">
        <v>258</v>
      </c>
      <c r="C238" s="127">
        <v>0.1</v>
      </c>
      <c r="D238" s="128">
        <f>E256</f>
        <v>3611.1111111111113</v>
      </c>
      <c r="E238" s="128">
        <f>C238*D238</f>
        <v>361.11111111111114</v>
      </c>
    </row>
    <row r="239" spans="1:5" x14ac:dyDescent="0.3">
      <c r="A239" s="109"/>
      <c r="B239" s="109"/>
      <c r="C239" s="109"/>
      <c r="D239" s="128"/>
      <c r="E239" s="128"/>
    </row>
    <row r="240" spans="1:5" x14ac:dyDescent="0.3">
      <c r="A240" s="233" t="s">
        <v>260</v>
      </c>
      <c r="B240" s="234"/>
      <c r="C240" s="234"/>
      <c r="D240" s="234"/>
      <c r="E240" s="129">
        <f>SUM(E238:E238)</f>
        <v>361.11111111111114</v>
      </c>
    </row>
    <row r="241" spans="1:5" x14ac:dyDescent="0.3">
      <c r="A241" s="237" t="s">
        <v>261</v>
      </c>
      <c r="B241" s="238"/>
      <c r="C241" s="238"/>
      <c r="D241" s="238"/>
      <c r="E241" s="238"/>
    </row>
    <row r="242" spans="1:5" x14ac:dyDescent="0.3">
      <c r="A242" s="126" t="s">
        <v>58</v>
      </c>
      <c r="B242" s="126" t="s">
        <v>251</v>
      </c>
      <c r="C242" s="126" t="s">
        <v>262</v>
      </c>
      <c r="D242" s="126" t="s">
        <v>263</v>
      </c>
      <c r="E242" s="126" t="s">
        <v>256</v>
      </c>
    </row>
    <row r="243" spans="1:5" x14ac:dyDescent="0.3">
      <c r="A243" s="110"/>
      <c r="B243" s="109"/>
      <c r="C243" s="136"/>
      <c r="D243" s="128"/>
      <c r="E243" s="128"/>
    </row>
    <row r="244" spans="1:5" x14ac:dyDescent="0.3">
      <c r="A244" s="131" t="s">
        <v>267</v>
      </c>
      <c r="B244" s="235"/>
      <c r="C244" s="236"/>
      <c r="D244" s="236"/>
      <c r="E244" s="128">
        <f>SUM(E243:E243)*0.02</f>
        <v>0</v>
      </c>
    </row>
    <row r="245" spans="1:5" x14ac:dyDescent="0.3">
      <c r="A245" s="131"/>
      <c r="B245" s="132"/>
      <c r="C245" s="104"/>
      <c r="D245" s="104"/>
      <c r="E245" s="128"/>
    </row>
    <row r="246" spans="1:5" x14ac:dyDescent="0.3">
      <c r="A246" s="233" t="s">
        <v>260</v>
      </c>
      <c r="B246" s="234"/>
      <c r="C246" s="234"/>
      <c r="D246" s="234"/>
      <c r="E246" s="129">
        <f>SUM(E243:E244)</f>
        <v>0</v>
      </c>
    </row>
    <row r="247" spans="1:5" x14ac:dyDescent="0.3">
      <c r="A247" s="237" t="s">
        <v>268</v>
      </c>
      <c r="B247" s="238"/>
      <c r="C247" s="238"/>
      <c r="D247" s="238"/>
      <c r="E247" s="238"/>
    </row>
    <row r="248" spans="1:5" x14ac:dyDescent="0.3">
      <c r="A248" s="126" t="s">
        <v>58</v>
      </c>
      <c r="B248" s="126" t="s">
        <v>251</v>
      </c>
      <c r="C248" s="126" t="s">
        <v>254</v>
      </c>
      <c r="D248" s="126" t="s">
        <v>255</v>
      </c>
      <c r="E248" s="126" t="s">
        <v>256</v>
      </c>
    </row>
    <row r="249" spans="1:5" x14ac:dyDescent="0.3">
      <c r="A249" s="110" t="s">
        <v>269</v>
      </c>
      <c r="B249" s="109" t="s">
        <v>270</v>
      </c>
      <c r="C249" s="127">
        <v>0</v>
      </c>
      <c r="D249" s="128">
        <v>0</v>
      </c>
      <c r="E249" s="128">
        <v>0</v>
      </c>
    </row>
    <row r="250" spans="1:5" x14ac:dyDescent="0.3">
      <c r="A250" s="110"/>
      <c r="B250" s="109"/>
      <c r="C250" s="127"/>
      <c r="D250" s="128"/>
      <c r="E250" s="128"/>
    </row>
    <row r="251" spans="1:5" x14ac:dyDescent="0.3">
      <c r="A251" s="233" t="s">
        <v>260</v>
      </c>
      <c r="B251" s="234"/>
      <c r="C251" s="234"/>
      <c r="D251" s="234"/>
      <c r="E251" s="129">
        <f>SUM(E249)</f>
        <v>0</v>
      </c>
    </row>
    <row r="252" spans="1:5" x14ac:dyDescent="0.3">
      <c r="A252" s="237" t="s">
        <v>271</v>
      </c>
      <c r="B252" s="238"/>
      <c r="C252" s="238"/>
      <c r="D252" s="238"/>
      <c r="E252" s="238"/>
    </row>
    <row r="253" spans="1:5" x14ac:dyDescent="0.3">
      <c r="A253" s="126" t="s">
        <v>58</v>
      </c>
      <c r="B253" s="126" t="s">
        <v>251</v>
      </c>
      <c r="C253" s="126" t="s">
        <v>254</v>
      </c>
      <c r="D253" s="126" t="s">
        <v>272</v>
      </c>
      <c r="E253" s="126" t="s">
        <v>256</v>
      </c>
    </row>
    <row r="254" spans="1:5" x14ac:dyDescent="0.3">
      <c r="A254" s="110" t="s">
        <v>273</v>
      </c>
      <c r="B254" s="109" t="s">
        <v>270</v>
      </c>
      <c r="C254" s="127">
        <v>36</v>
      </c>
      <c r="D254" s="128">
        <v>130000</v>
      </c>
      <c r="E254" s="128">
        <f>D254/C254</f>
        <v>3611.1111111111113</v>
      </c>
    </row>
    <row r="255" spans="1:5" x14ac:dyDescent="0.3">
      <c r="A255" s="110"/>
      <c r="B255" s="109"/>
      <c r="C255" s="127"/>
      <c r="D255" s="128"/>
      <c r="E255" s="128"/>
    </row>
    <row r="256" spans="1:5" x14ac:dyDescent="0.3">
      <c r="A256" s="233" t="s">
        <v>260</v>
      </c>
      <c r="B256" s="234"/>
      <c r="C256" s="234"/>
      <c r="D256" s="234"/>
      <c r="E256" s="129">
        <f>SUM(E254)</f>
        <v>3611.1111111111113</v>
      </c>
    </row>
    <row r="258" spans="1:5" x14ac:dyDescent="0.3">
      <c r="A258" s="244" t="s">
        <v>305</v>
      </c>
      <c r="B258" s="245"/>
      <c r="C258" s="245"/>
      <c r="D258" s="135" t="s">
        <v>203</v>
      </c>
      <c r="E258" s="135" t="s">
        <v>207</v>
      </c>
    </row>
    <row r="259" spans="1:5" x14ac:dyDescent="0.3">
      <c r="A259" s="241"/>
      <c r="B259" s="236"/>
      <c r="C259" s="236"/>
      <c r="D259" s="125" t="s">
        <v>251</v>
      </c>
      <c r="E259" s="125" t="s">
        <v>7</v>
      </c>
    </row>
    <row r="260" spans="1:5" x14ac:dyDescent="0.3">
      <c r="A260" s="237" t="s">
        <v>253</v>
      </c>
      <c r="B260" s="238"/>
      <c r="C260" s="238"/>
      <c r="D260" s="238"/>
      <c r="E260" s="238"/>
    </row>
    <row r="261" spans="1:5" x14ac:dyDescent="0.3">
      <c r="A261" s="126" t="s">
        <v>58</v>
      </c>
      <c r="B261" s="126" t="s">
        <v>251</v>
      </c>
      <c r="C261" s="126" t="s">
        <v>254</v>
      </c>
      <c r="D261" s="126" t="s">
        <v>255</v>
      </c>
      <c r="E261" s="126" t="s">
        <v>256</v>
      </c>
    </row>
    <row r="262" spans="1:5" x14ac:dyDescent="0.3">
      <c r="A262" s="109" t="s">
        <v>257</v>
      </c>
      <c r="B262" s="109" t="s">
        <v>258</v>
      </c>
      <c r="C262" s="127">
        <v>0.1</v>
      </c>
      <c r="D262" s="128">
        <f>E280</f>
        <v>21099.999541198464</v>
      </c>
      <c r="E262" s="128">
        <f>C262*D262</f>
        <v>2109.9999541198463</v>
      </c>
    </row>
    <row r="263" spans="1:5" x14ac:dyDescent="0.3">
      <c r="A263" s="109"/>
      <c r="B263" s="109"/>
      <c r="C263" s="109"/>
      <c r="D263" s="128"/>
      <c r="E263" s="128"/>
    </row>
    <row r="264" spans="1:5" x14ac:dyDescent="0.3">
      <c r="A264" s="233" t="s">
        <v>260</v>
      </c>
      <c r="B264" s="234"/>
      <c r="C264" s="234"/>
      <c r="D264" s="234"/>
      <c r="E264" s="129">
        <f>SUM(E262:E262)</f>
        <v>2109.9999541198463</v>
      </c>
    </row>
    <row r="265" spans="1:5" x14ac:dyDescent="0.3">
      <c r="A265" s="237" t="s">
        <v>261</v>
      </c>
      <c r="B265" s="238"/>
      <c r="C265" s="238"/>
      <c r="D265" s="238"/>
      <c r="E265" s="238"/>
    </row>
    <row r="266" spans="1:5" x14ac:dyDescent="0.3">
      <c r="A266" s="126" t="s">
        <v>58</v>
      </c>
      <c r="B266" s="126" t="s">
        <v>251</v>
      </c>
      <c r="C266" s="126" t="s">
        <v>262</v>
      </c>
      <c r="D266" s="126" t="s">
        <v>263</v>
      </c>
      <c r="E266" s="126" t="s">
        <v>256</v>
      </c>
    </row>
    <row r="267" spans="1:5" x14ac:dyDescent="0.3">
      <c r="A267" s="110"/>
      <c r="B267" s="109"/>
      <c r="C267" s="136"/>
      <c r="D267" s="128"/>
      <c r="E267" s="128"/>
    </row>
    <row r="268" spans="1:5" x14ac:dyDescent="0.3">
      <c r="A268" s="131" t="s">
        <v>267</v>
      </c>
      <c r="B268" s="235"/>
      <c r="C268" s="236"/>
      <c r="D268" s="236"/>
      <c r="E268" s="128">
        <f>SUM(E267:E267)*0.02</f>
        <v>0</v>
      </c>
    </row>
    <row r="269" spans="1:5" x14ac:dyDescent="0.3">
      <c r="A269" s="131"/>
      <c r="B269" s="132"/>
      <c r="C269" s="104"/>
      <c r="D269" s="104"/>
      <c r="E269" s="128"/>
    </row>
    <row r="270" spans="1:5" x14ac:dyDescent="0.3">
      <c r="A270" s="233" t="s">
        <v>260</v>
      </c>
      <c r="B270" s="234"/>
      <c r="C270" s="234"/>
      <c r="D270" s="234"/>
      <c r="E270" s="129">
        <f>SUM(E267:E268)</f>
        <v>0</v>
      </c>
    </row>
    <row r="271" spans="1:5" x14ac:dyDescent="0.3">
      <c r="A271" s="237" t="s">
        <v>268</v>
      </c>
      <c r="B271" s="238"/>
      <c r="C271" s="238"/>
      <c r="D271" s="238"/>
      <c r="E271" s="238"/>
    </row>
    <row r="272" spans="1:5" x14ac:dyDescent="0.3">
      <c r="A272" s="126" t="s">
        <v>58</v>
      </c>
      <c r="B272" s="126" t="s">
        <v>251</v>
      </c>
      <c r="C272" s="126" t="s">
        <v>254</v>
      </c>
      <c r="D272" s="126" t="s">
        <v>255</v>
      </c>
      <c r="E272" s="126" t="s">
        <v>256</v>
      </c>
    </row>
    <row r="273" spans="1:5" x14ac:dyDescent="0.3">
      <c r="A273" s="110" t="s">
        <v>269</v>
      </c>
      <c r="B273" s="109" t="s">
        <v>270</v>
      </c>
      <c r="C273" s="127">
        <v>0</v>
      </c>
      <c r="D273" s="128">
        <v>0</v>
      </c>
      <c r="E273" s="128">
        <v>0</v>
      </c>
    </row>
    <row r="274" spans="1:5" x14ac:dyDescent="0.3">
      <c r="A274" s="110"/>
      <c r="B274" s="109"/>
      <c r="C274" s="127"/>
      <c r="D274" s="128"/>
      <c r="E274" s="128"/>
    </row>
    <row r="275" spans="1:5" x14ac:dyDescent="0.3">
      <c r="A275" s="233" t="s">
        <v>260</v>
      </c>
      <c r="B275" s="234"/>
      <c r="C275" s="234"/>
      <c r="D275" s="234"/>
      <c r="E275" s="129">
        <f>SUM(E273)</f>
        <v>0</v>
      </c>
    </row>
    <row r="276" spans="1:5" x14ac:dyDescent="0.3">
      <c r="A276" s="237" t="s">
        <v>271</v>
      </c>
      <c r="B276" s="238"/>
      <c r="C276" s="238"/>
      <c r="D276" s="238"/>
      <c r="E276" s="238"/>
    </row>
    <row r="277" spans="1:5" x14ac:dyDescent="0.3">
      <c r="A277" s="126" t="s">
        <v>58</v>
      </c>
      <c r="B277" s="126" t="s">
        <v>251</v>
      </c>
      <c r="C277" s="126" t="s">
        <v>254</v>
      </c>
      <c r="D277" s="126" t="s">
        <v>272</v>
      </c>
      <c r="E277" s="126" t="s">
        <v>256</v>
      </c>
    </row>
    <row r="278" spans="1:5" x14ac:dyDescent="0.3">
      <c r="A278" s="110" t="s">
        <v>273</v>
      </c>
      <c r="B278" s="109" t="s">
        <v>270</v>
      </c>
      <c r="C278" s="144">
        <v>6.1611375747269852</v>
      </c>
      <c r="D278" s="128">
        <v>130000</v>
      </c>
      <c r="E278" s="128">
        <f>D278/C278</f>
        <v>21099.999541198464</v>
      </c>
    </row>
    <row r="279" spans="1:5" x14ac:dyDescent="0.3">
      <c r="A279" s="110"/>
      <c r="B279" s="109"/>
      <c r="C279" s="127"/>
      <c r="D279" s="128"/>
      <c r="E279" s="128"/>
    </row>
    <row r="280" spans="1:5" x14ac:dyDescent="0.3">
      <c r="A280" s="233" t="s">
        <v>260</v>
      </c>
      <c r="B280" s="234"/>
      <c r="C280" s="234"/>
      <c r="D280" s="234"/>
      <c r="E280" s="129">
        <f>E278</f>
        <v>21099.999541198464</v>
      </c>
    </row>
    <row r="282" spans="1:5" x14ac:dyDescent="0.3">
      <c r="A282" s="244" t="s">
        <v>285</v>
      </c>
      <c r="B282" s="245"/>
      <c r="C282" s="245"/>
      <c r="D282" s="135" t="s">
        <v>203</v>
      </c>
      <c r="E282" s="135" t="s">
        <v>209</v>
      </c>
    </row>
    <row r="283" spans="1:5" x14ac:dyDescent="0.3">
      <c r="A283" s="241"/>
      <c r="B283" s="236"/>
      <c r="C283" s="236"/>
      <c r="D283" s="125" t="s">
        <v>251</v>
      </c>
      <c r="E283" s="125" t="s">
        <v>7</v>
      </c>
    </row>
    <row r="284" spans="1:5" x14ac:dyDescent="0.3">
      <c r="A284" s="237" t="s">
        <v>253</v>
      </c>
      <c r="B284" s="238"/>
      <c r="C284" s="238"/>
      <c r="D284" s="238"/>
      <c r="E284" s="238"/>
    </row>
    <row r="285" spans="1:5" x14ac:dyDescent="0.3">
      <c r="A285" s="126" t="s">
        <v>58</v>
      </c>
      <c r="B285" s="126" t="s">
        <v>251</v>
      </c>
      <c r="C285" s="126" t="s">
        <v>254</v>
      </c>
      <c r="D285" s="126" t="s">
        <v>255</v>
      </c>
      <c r="E285" s="126" t="s">
        <v>256</v>
      </c>
    </row>
    <row r="286" spans="1:5" x14ac:dyDescent="0.3">
      <c r="A286" s="109" t="s">
        <v>257</v>
      </c>
      <c r="B286" s="109" t="s">
        <v>258</v>
      </c>
      <c r="C286" s="127">
        <v>0.25</v>
      </c>
      <c r="D286" s="128">
        <f>E306</f>
        <v>7000</v>
      </c>
      <c r="E286" s="128">
        <f>C286*D286</f>
        <v>1750</v>
      </c>
    </row>
    <row r="287" spans="1:5" x14ac:dyDescent="0.3">
      <c r="A287" s="109"/>
      <c r="B287" s="109"/>
      <c r="C287" s="109"/>
      <c r="D287" s="128"/>
      <c r="E287" s="128"/>
    </row>
    <row r="288" spans="1:5" x14ac:dyDescent="0.3">
      <c r="A288" s="233" t="s">
        <v>260</v>
      </c>
      <c r="B288" s="234"/>
      <c r="C288" s="234"/>
      <c r="D288" s="234"/>
      <c r="E288" s="129">
        <f>SUM(E286:E286)</f>
        <v>1750</v>
      </c>
    </row>
    <row r="289" spans="1:5" x14ac:dyDescent="0.3">
      <c r="A289" s="237" t="s">
        <v>261</v>
      </c>
      <c r="B289" s="238"/>
      <c r="C289" s="238"/>
      <c r="D289" s="238"/>
      <c r="E289" s="238"/>
    </row>
    <row r="290" spans="1:5" x14ac:dyDescent="0.3">
      <c r="A290" s="126" t="s">
        <v>58</v>
      </c>
      <c r="B290" s="126" t="s">
        <v>251</v>
      </c>
      <c r="C290" s="126" t="s">
        <v>262</v>
      </c>
      <c r="D290" s="126" t="s">
        <v>263</v>
      </c>
      <c r="E290" s="126" t="s">
        <v>256</v>
      </c>
    </row>
    <row r="291" spans="1:5" x14ac:dyDescent="0.3">
      <c r="A291" s="110" t="s">
        <v>286</v>
      </c>
      <c r="B291" s="109" t="s">
        <v>287</v>
      </c>
      <c r="C291" s="138">
        <v>0.06</v>
      </c>
      <c r="D291" s="128">
        <v>511000</v>
      </c>
      <c r="E291" s="128">
        <f>C291*D291</f>
        <v>30660</v>
      </c>
    </row>
    <row r="292" spans="1:5" x14ac:dyDescent="0.3">
      <c r="A292" s="110" t="s">
        <v>288</v>
      </c>
      <c r="B292" s="109" t="s">
        <v>281</v>
      </c>
      <c r="C292" s="138">
        <v>0.02</v>
      </c>
      <c r="D292" s="128">
        <v>56000</v>
      </c>
      <c r="E292" s="128">
        <f t="shared" ref="E292:E293" si="2">C292*D292</f>
        <v>1120</v>
      </c>
    </row>
    <row r="293" spans="1:5" x14ac:dyDescent="0.3">
      <c r="A293" s="110"/>
      <c r="B293" s="109"/>
      <c r="C293" s="130"/>
      <c r="D293" s="128"/>
      <c r="E293" s="128">
        <f t="shared" si="2"/>
        <v>0</v>
      </c>
    </row>
    <row r="294" spans="1:5" x14ac:dyDescent="0.3">
      <c r="A294" s="131" t="s">
        <v>267</v>
      </c>
      <c r="B294" s="235"/>
      <c r="C294" s="236"/>
      <c r="D294" s="236"/>
      <c r="E294" s="128">
        <v>0</v>
      </c>
    </row>
    <row r="295" spans="1:5" x14ac:dyDescent="0.3">
      <c r="A295" s="131"/>
      <c r="B295" s="132"/>
      <c r="C295" s="104"/>
      <c r="D295" s="104"/>
      <c r="E295" s="128"/>
    </row>
    <row r="296" spans="1:5" x14ac:dyDescent="0.3">
      <c r="A296" s="233" t="s">
        <v>260</v>
      </c>
      <c r="B296" s="234"/>
      <c r="C296" s="234"/>
      <c r="D296" s="234"/>
      <c r="E296" s="129">
        <f>SUM(E291:E294)</f>
        <v>31780</v>
      </c>
    </row>
    <row r="297" spans="1:5" x14ac:dyDescent="0.3">
      <c r="A297" s="237" t="s">
        <v>268</v>
      </c>
      <c r="B297" s="238"/>
      <c r="C297" s="238"/>
      <c r="D297" s="238"/>
      <c r="E297" s="238"/>
    </row>
    <row r="298" spans="1:5" x14ac:dyDescent="0.3">
      <c r="A298" s="126" t="s">
        <v>58</v>
      </c>
      <c r="B298" s="126" t="s">
        <v>251</v>
      </c>
      <c r="C298" s="126" t="s">
        <v>254</v>
      </c>
      <c r="D298" s="126" t="s">
        <v>255</v>
      </c>
      <c r="E298" s="126" t="s">
        <v>256</v>
      </c>
    </row>
    <row r="299" spans="1:5" x14ac:dyDescent="0.3">
      <c r="A299" s="110" t="s">
        <v>269</v>
      </c>
      <c r="B299" s="109" t="s">
        <v>270</v>
      </c>
      <c r="C299" s="127">
        <v>0.02</v>
      </c>
      <c r="D299" s="128">
        <v>60000</v>
      </c>
      <c r="E299" s="128">
        <f>D299*C299</f>
        <v>1200</v>
      </c>
    </row>
    <row r="300" spans="1:5" x14ac:dyDescent="0.3">
      <c r="A300" s="110"/>
      <c r="B300" s="109"/>
      <c r="C300" s="127"/>
      <c r="D300" s="128"/>
      <c r="E300" s="128"/>
    </row>
    <row r="301" spans="1:5" x14ac:dyDescent="0.3">
      <c r="A301" s="233" t="s">
        <v>260</v>
      </c>
      <c r="B301" s="234"/>
      <c r="C301" s="234"/>
      <c r="D301" s="234"/>
      <c r="E301" s="129">
        <f>SUM(E299)</f>
        <v>1200</v>
      </c>
    </row>
    <row r="302" spans="1:5" x14ac:dyDescent="0.3">
      <c r="A302" s="237" t="s">
        <v>271</v>
      </c>
      <c r="B302" s="238"/>
      <c r="C302" s="238"/>
      <c r="D302" s="238"/>
      <c r="E302" s="238"/>
    </row>
    <row r="303" spans="1:5" x14ac:dyDescent="0.3">
      <c r="A303" s="126" t="s">
        <v>58</v>
      </c>
      <c r="B303" s="126" t="s">
        <v>251</v>
      </c>
      <c r="C303" s="126" t="s">
        <v>254</v>
      </c>
      <c r="D303" s="126" t="s">
        <v>272</v>
      </c>
      <c r="E303" s="126" t="s">
        <v>256</v>
      </c>
    </row>
    <row r="304" spans="1:5" x14ac:dyDescent="0.3">
      <c r="A304" s="110" t="s">
        <v>289</v>
      </c>
      <c r="B304" s="109" t="s">
        <v>270</v>
      </c>
      <c r="C304" s="127">
        <v>30</v>
      </c>
      <c r="D304" s="128">
        <v>210000</v>
      </c>
      <c r="E304" s="128">
        <f>D304/C304</f>
        <v>7000</v>
      </c>
    </row>
    <row r="305" spans="1:5" x14ac:dyDescent="0.3">
      <c r="A305" s="110"/>
      <c r="B305" s="109"/>
      <c r="C305" s="127"/>
      <c r="D305" s="128"/>
      <c r="E305" s="128"/>
    </row>
    <row r="306" spans="1:5" x14ac:dyDescent="0.3">
      <c r="A306" s="233" t="s">
        <v>260</v>
      </c>
      <c r="B306" s="234"/>
      <c r="C306" s="234"/>
      <c r="D306" s="234"/>
      <c r="E306" s="129">
        <f>SUM(E304)</f>
        <v>7000</v>
      </c>
    </row>
    <row r="307" spans="1:5" x14ac:dyDescent="0.3">
      <c r="A307" s="109"/>
      <c r="B307" s="104"/>
      <c r="C307" s="104"/>
      <c r="D307" s="104"/>
      <c r="E307" s="104"/>
    </row>
    <row r="308" spans="1:5" x14ac:dyDescent="0.3">
      <c r="A308" s="233" t="s">
        <v>274</v>
      </c>
      <c r="B308" s="234"/>
      <c r="C308" s="234"/>
      <c r="D308" s="234"/>
      <c r="E308" s="129">
        <f>SUM(E288,E296,E301,E306)</f>
        <v>41730</v>
      </c>
    </row>
    <row r="310" spans="1:5" x14ac:dyDescent="0.3">
      <c r="A310" s="239" t="s">
        <v>250</v>
      </c>
      <c r="B310" s="240"/>
      <c r="C310" s="240"/>
      <c r="D310" s="124" t="s">
        <v>203</v>
      </c>
      <c r="E310" s="124" t="s">
        <v>211</v>
      </c>
    </row>
    <row r="311" spans="1:5" x14ac:dyDescent="0.3">
      <c r="A311" s="241"/>
      <c r="B311" s="236"/>
      <c r="C311" s="236"/>
      <c r="D311" s="125" t="s">
        <v>251</v>
      </c>
      <c r="E311" s="125" t="s">
        <v>252</v>
      </c>
    </row>
    <row r="312" spans="1:5" x14ac:dyDescent="0.3">
      <c r="A312" s="237" t="s">
        <v>253</v>
      </c>
      <c r="B312" s="238"/>
      <c r="C312" s="238"/>
      <c r="D312" s="238"/>
      <c r="E312" s="238"/>
    </row>
    <row r="313" spans="1:5" x14ac:dyDescent="0.3">
      <c r="A313" s="126" t="s">
        <v>58</v>
      </c>
      <c r="B313" s="126" t="s">
        <v>251</v>
      </c>
      <c r="C313" s="126" t="s">
        <v>254</v>
      </c>
      <c r="D313" s="126" t="s">
        <v>255</v>
      </c>
      <c r="E313" s="126" t="s">
        <v>256</v>
      </c>
    </row>
    <row r="314" spans="1:5" x14ac:dyDescent="0.3">
      <c r="A314" s="110" t="s">
        <v>257</v>
      </c>
      <c r="B314" s="109" t="s">
        <v>258</v>
      </c>
      <c r="C314" s="127">
        <v>0.1</v>
      </c>
      <c r="D314" s="128">
        <f>E335</f>
        <v>8666.6666666666661</v>
      </c>
      <c r="E314" s="128">
        <f>C314*D314</f>
        <v>866.66666666666663</v>
      </c>
    </row>
    <row r="315" spans="1:5" x14ac:dyDescent="0.3">
      <c r="A315" s="110" t="s">
        <v>259</v>
      </c>
      <c r="B315" s="109" t="s">
        <v>258</v>
      </c>
      <c r="C315" s="127">
        <v>0.1</v>
      </c>
      <c r="D315" s="128">
        <v>25000</v>
      </c>
      <c r="E315" s="128">
        <f>C315*D315</f>
        <v>2500</v>
      </c>
    </row>
    <row r="316" spans="1:5" x14ac:dyDescent="0.3">
      <c r="A316" s="109"/>
      <c r="B316" s="109"/>
      <c r="C316" s="109"/>
      <c r="D316" s="128"/>
      <c r="E316" s="128"/>
    </row>
    <row r="317" spans="1:5" x14ac:dyDescent="0.3">
      <c r="A317" s="233" t="s">
        <v>260</v>
      </c>
      <c r="B317" s="234"/>
      <c r="C317" s="234"/>
      <c r="D317" s="234"/>
      <c r="E317" s="129">
        <f>SUM(E314:E315)</f>
        <v>3366.6666666666665</v>
      </c>
    </row>
    <row r="318" spans="1:5" x14ac:dyDescent="0.3">
      <c r="A318" s="237" t="s">
        <v>261</v>
      </c>
      <c r="B318" s="238"/>
      <c r="C318" s="238"/>
      <c r="D318" s="238"/>
      <c r="E318" s="238"/>
    </row>
    <row r="319" spans="1:5" x14ac:dyDescent="0.3">
      <c r="A319" s="126" t="s">
        <v>58</v>
      </c>
      <c r="B319" s="126" t="s">
        <v>251</v>
      </c>
      <c r="C319" s="126" t="s">
        <v>262</v>
      </c>
      <c r="D319" s="126" t="s">
        <v>263</v>
      </c>
      <c r="E319" s="126" t="s">
        <v>256</v>
      </c>
    </row>
    <row r="320" spans="1:5" x14ac:dyDescent="0.3">
      <c r="A320" s="110" t="s">
        <v>264</v>
      </c>
      <c r="B320" s="109" t="s">
        <v>265</v>
      </c>
      <c r="C320" s="130">
        <v>1.5</v>
      </c>
      <c r="D320" s="128">
        <v>50090.631808278857</v>
      </c>
      <c r="E320" s="128">
        <f>C320*D320</f>
        <v>75135.947712418289</v>
      </c>
    </row>
    <row r="321" spans="1:5" x14ac:dyDescent="0.3">
      <c r="A321" s="110" t="s">
        <v>266</v>
      </c>
      <c r="B321" s="109" t="s">
        <v>7</v>
      </c>
      <c r="C321" s="130">
        <v>1.4999999999999999E-2</v>
      </c>
      <c r="D321" s="128">
        <v>100000</v>
      </c>
      <c r="E321" s="128">
        <f>C321*D321</f>
        <v>1500</v>
      </c>
    </row>
    <row r="322" spans="1:5" x14ac:dyDescent="0.3">
      <c r="A322" s="110"/>
      <c r="B322" s="109"/>
      <c r="C322" s="130"/>
      <c r="D322" s="128"/>
      <c r="E322" s="128"/>
    </row>
    <row r="323" spans="1:5" x14ac:dyDescent="0.3">
      <c r="A323" s="131" t="s">
        <v>267</v>
      </c>
      <c r="B323" s="235"/>
      <c r="C323" s="236"/>
      <c r="D323" s="236"/>
      <c r="E323" s="128">
        <f>SUM(E320:E321)*0.02</f>
        <v>1532.7189542483659</v>
      </c>
    </row>
    <row r="324" spans="1:5" x14ac:dyDescent="0.3">
      <c r="A324" s="131"/>
      <c r="B324" s="132"/>
      <c r="C324" s="104"/>
      <c r="D324" s="104"/>
      <c r="E324" s="128"/>
    </row>
    <row r="325" spans="1:5" x14ac:dyDescent="0.3">
      <c r="A325" s="233" t="s">
        <v>260</v>
      </c>
      <c r="B325" s="234"/>
      <c r="C325" s="234"/>
      <c r="D325" s="234"/>
      <c r="E325" s="129">
        <f>SUM(E320:E323)</f>
        <v>78168.666666666657</v>
      </c>
    </row>
    <row r="326" spans="1:5" x14ac:dyDescent="0.3">
      <c r="A326" s="237" t="s">
        <v>268</v>
      </c>
      <c r="B326" s="238"/>
      <c r="C326" s="238"/>
      <c r="D326" s="238"/>
      <c r="E326" s="238"/>
    </row>
    <row r="327" spans="1:5" x14ac:dyDescent="0.3">
      <c r="A327" s="126" t="s">
        <v>58</v>
      </c>
      <c r="B327" s="126" t="s">
        <v>251</v>
      </c>
      <c r="C327" s="126" t="s">
        <v>254</v>
      </c>
      <c r="D327" s="126" t="s">
        <v>255</v>
      </c>
      <c r="E327" s="126" t="s">
        <v>256</v>
      </c>
    </row>
    <row r="328" spans="1:5" x14ac:dyDescent="0.3">
      <c r="A328" s="110" t="s">
        <v>269</v>
      </c>
      <c r="B328" s="109" t="s">
        <v>270</v>
      </c>
      <c r="C328" s="127">
        <v>0.02</v>
      </c>
      <c r="D328" s="128">
        <v>45000</v>
      </c>
      <c r="E328" s="128">
        <f>D328*C328</f>
        <v>900</v>
      </c>
    </row>
    <row r="329" spans="1:5" x14ac:dyDescent="0.3">
      <c r="A329" s="110"/>
      <c r="B329" s="109"/>
      <c r="C329" s="127"/>
      <c r="D329" s="128"/>
      <c r="E329" s="128"/>
    </row>
    <row r="330" spans="1:5" x14ac:dyDescent="0.3">
      <c r="A330" s="233" t="s">
        <v>260</v>
      </c>
      <c r="B330" s="234"/>
      <c r="C330" s="234"/>
      <c r="D330" s="234"/>
      <c r="E330" s="129">
        <f>SUM(E328)</f>
        <v>900</v>
      </c>
    </row>
    <row r="331" spans="1:5" x14ac:dyDescent="0.3">
      <c r="A331" s="237" t="s">
        <v>271</v>
      </c>
      <c r="B331" s="238"/>
      <c r="C331" s="238"/>
      <c r="D331" s="238"/>
      <c r="E331" s="238"/>
    </row>
    <row r="332" spans="1:5" x14ac:dyDescent="0.3">
      <c r="A332" s="126" t="s">
        <v>58</v>
      </c>
      <c r="B332" s="126" t="s">
        <v>251</v>
      </c>
      <c r="C332" s="126" t="s">
        <v>254</v>
      </c>
      <c r="D332" s="126" t="s">
        <v>272</v>
      </c>
      <c r="E332" s="126" t="s">
        <v>256</v>
      </c>
    </row>
    <row r="333" spans="1:5" x14ac:dyDescent="0.3">
      <c r="A333" s="110" t="s">
        <v>273</v>
      </c>
      <c r="B333" s="109" t="s">
        <v>270</v>
      </c>
      <c r="C333" s="127">
        <v>15</v>
      </c>
      <c r="D333" s="128">
        <v>130000</v>
      </c>
      <c r="E333" s="128">
        <f>D333/C333</f>
        <v>8666.6666666666661</v>
      </c>
    </row>
    <row r="334" spans="1:5" x14ac:dyDescent="0.3">
      <c r="A334" s="110"/>
      <c r="B334" s="109"/>
      <c r="C334" s="127"/>
      <c r="D334" s="128"/>
      <c r="E334" s="128"/>
    </row>
    <row r="335" spans="1:5" x14ac:dyDescent="0.3">
      <c r="A335" s="233" t="s">
        <v>260</v>
      </c>
      <c r="B335" s="234"/>
      <c r="C335" s="234"/>
      <c r="D335" s="234"/>
      <c r="E335" s="129">
        <f>SUM(E333)</f>
        <v>8666.6666666666661</v>
      </c>
    </row>
    <row r="336" spans="1:5" x14ac:dyDescent="0.3">
      <c r="A336" s="109"/>
      <c r="B336" s="104"/>
      <c r="C336" s="104"/>
      <c r="D336" s="104"/>
      <c r="E336" s="104"/>
    </row>
    <row r="337" spans="1:5" x14ac:dyDescent="0.3">
      <c r="A337" s="233" t="s">
        <v>274</v>
      </c>
      <c r="B337" s="234"/>
      <c r="C337" s="234"/>
      <c r="D337" s="234"/>
      <c r="E337" s="129">
        <f>SUM(E317,E325,E330,E335)</f>
        <v>91102</v>
      </c>
    </row>
    <row r="339" spans="1:5" x14ac:dyDescent="0.3">
      <c r="A339" s="246" t="s">
        <v>307</v>
      </c>
      <c r="B339" s="246"/>
      <c r="C339" s="246"/>
      <c r="D339" s="137" t="s">
        <v>203</v>
      </c>
      <c r="E339" s="137" t="s">
        <v>224</v>
      </c>
    </row>
    <row r="340" spans="1:5" x14ac:dyDescent="0.3">
      <c r="A340" s="241"/>
      <c r="B340" s="236"/>
      <c r="C340" s="236"/>
      <c r="D340" s="125" t="s">
        <v>251</v>
      </c>
      <c r="E340" s="125" t="s">
        <v>7</v>
      </c>
    </row>
    <row r="341" spans="1:5" x14ac:dyDescent="0.3">
      <c r="A341" s="237" t="s">
        <v>253</v>
      </c>
      <c r="B341" s="238"/>
      <c r="C341" s="238"/>
      <c r="D341" s="238"/>
      <c r="E341" s="238"/>
    </row>
    <row r="342" spans="1:5" x14ac:dyDescent="0.3">
      <c r="A342" s="126" t="s">
        <v>58</v>
      </c>
      <c r="B342" s="126" t="s">
        <v>251</v>
      </c>
      <c r="C342" s="126" t="s">
        <v>254</v>
      </c>
      <c r="D342" s="126" t="s">
        <v>255</v>
      </c>
      <c r="E342" s="126" t="s">
        <v>256</v>
      </c>
    </row>
    <row r="343" spans="1:5" x14ac:dyDescent="0.3">
      <c r="A343" s="109" t="s">
        <v>257</v>
      </c>
      <c r="B343" s="109" t="s">
        <v>258</v>
      </c>
      <c r="C343" s="127">
        <v>0.1</v>
      </c>
      <c r="D343" s="128">
        <f>E365</f>
        <v>2888.8888888888887</v>
      </c>
      <c r="E343" s="128">
        <f>C343*D343</f>
        <v>288.88888888888886</v>
      </c>
    </row>
    <row r="344" spans="1:5" x14ac:dyDescent="0.3">
      <c r="A344" s="109"/>
      <c r="B344" s="109"/>
      <c r="C344" s="109"/>
      <c r="D344" s="128"/>
      <c r="E344" s="128"/>
    </row>
    <row r="345" spans="1:5" x14ac:dyDescent="0.3">
      <c r="A345" s="233" t="s">
        <v>260</v>
      </c>
      <c r="B345" s="234"/>
      <c r="C345" s="234"/>
      <c r="D345" s="234"/>
      <c r="E345" s="129">
        <f>SUM(E343:E343)</f>
        <v>288.88888888888886</v>
      </c>
    </row>
    <row r="346" spans="1:5" x14ac:dyDescent="0.3">
      <c r="A346" s="237" t="s">
        <v>261</v>
      </c>
      <c r="B346" s="238"/>
      <c r="C346" s="238"/>
      <c r="D346" s="238"/>
      <c r="E346" s="238"/>
    </row>
    <row r="347" spans="1:5" x14ac:dyDescent="0.3">
      <c r="A347" s="126" t="s">
        <v>58</v>
      </c>
      <c r="B347" s="126" t="s">
        <v>251</v>
      </c>
      <c r="C347" s="126" t="s">
        <v>262</v>
      </c>
      <c r="D347" s="126" t="s">
        <v>263</v>
      </c>
      <c r="E347" s="126" t="s">
        <v>256</v>
      </c>
    </row>
    <row r="348" spans="1:5" x14ac:dyDescent="0.3">
      <c r="A348" s="110" t="s">
        <v>308</v>
      </c>
      <c r="B348" s="109" t="s">
        <v>7</v>
      </c>
      <c r="C348" s="144">
        <v>1</v>
      </c>
      <c r="D348" s="128">
        <v>63955.449735449729</v>
      </c>
      <c r="E348" s="128">
        <f>C348*D348</f>
        <v>63955.449735449729</v>
      </c>
    </row>
    <row r="349" spans="1:5" x14ac:dyDescent="0.3">
      <c r="A349" s="110" t="s">
        <v>306</v>
      </c>
      <c r="B349" s="109" t="s">
        <v>7</v>
      </c>
      <c r="C349" s="130">
        <v>0.15</v>
      </c>
      <c r="D349" s="128">
        <v>38000</v>
      </c>
      <c r="E349" s="128">
        <f>C349*D349</f>
        <v>5700</v>
      </c>
    </row>
    <row r="350" spans="1:5" x14ac:dyDescent="0.3">
      <c r="A350" s="110" t="s">
        <v>309</v>
      </c>
      <c r="B350" s="109" t="s">
        <v>7</v>
      </c>
      <c r="C350" s="130">
        <v>0.1</v>
      </c>
      <c r="D350" s="128">
        <v>28000</v>
      </c>
      <c r="E350" s="128">
        <f>C350*D350</f>
        <v>2800</v>
      </c>
    </row>
    <row r="351" spans="1:5" x14ac:dyDescent="0.3">
      <c r="A351" s="110" t="s">
        <v>310</v>
      </c>
      <c r="B351" s="109" t="s">
        <v>311</v>
      </c>
      <c r="C351" s="130">
        <v>0.1</v>
      </c>
      <c r="D351" s="128">
        <v>15000</v>
      </c>
      <c r="E351" s="128">
        <f>C351*D351</f>
        <v>1500</v>
      </c>
    </row>
    <row r="352" spans="1:5" x14ac:dyDescent="0.3">
      <c r="A352" s="110"/>
      <c r="B352" s="109"/>
      <c r="C352" s="130"/>
      <c r="D352" s="128"/>
      <c r="E352" s="128"/>
    </row>
    <row r="353" spans="1:5" x14ac:dyDescent="0.3">
      <c r="A353" s="145" t="s">
        <v>301</v>
      </c>
      <c r="B353" s="247"/>
      <c r="C353" s="236"/>
      <c r="D353" s="236"/>
      <c r="E353" s="147">
        <f>(E348+E352)*0.05</f>
        <v>3197.7724867724864</v>
      </c>
    </row>
    <row r="354" spans="1:5" x14ac:dyDescent="0.3">
      <c r="A354" s="145"/>
      <c r="B354" s="146"/>
      <c r="C354" s="104"/>
      <c r="D354" s="104"/>
      <c r="E354" s="147"/>
    </row>
    <row r="355" spans="1:5" x14ac:dyDescent="0.3">
      <c r="A355" s="233" t="s">
        <v>260</v>
      </c>
      <c r="B355" s="234"/>
      <c r="C355" s="234"/>
      <c r="D355" s="234"/>
      <c r="E355" s="129">
        <f>SUM(E348:E353)</f>
        <v>77153.222222222219</v>
      </c>
    </row>
    <row r="356" spans="1:5" x14ac:dyDescent="0.3">
      <c r="A356" s="237" t="s">
        <v>268</v>
      </c>
      <c r="B356" s="238"/>
      <c r="C356" s="238"/>
      <c r="D356" s="238"/>
      <c r="E356" s="238"/>
    </row>
    <row r="357" spans="1:5" x14ac:dyDescent="0.3">
      <c r="A357" s="126" t="s">
        <v>58</v>
      </c>
      <c r="B357" s="126" t="s">
        <v>251</v>
      </c>
      <c r="C357" s="126" t="s">
        <v>254</v>
      </c>
      <c r="D357" s="126" t="s">
        <v>255</v>
      </c>
      <c r="E357" s="126" t="s">
        <v>256</v>
      </c>
    </row>
    <row r="358" spans="1:5" x14ac:dyDescent="0.3">
      <c r="A358" s="110" t="s">
        <v>283</v>
      </c>
      <c r="B358" s="109" t="s">
        <v>270</v>
      </c>
      <c r="C358" s="127">
        <v>2.5000000000000001E-2</v>
      </c>
      <c r="D358" s="128">
        <v>45000</v>
      </c>
      <c r="E358" s="128">
        <f>D358*C358</f>
        <v>1125</v>
      </c>
    </row>
    <row r="359" spans="1:5" x14ac:dyDescent="0.3">
      <c r="A359" s="110"/>
      <c r="B359" s="109"/>
      <c r="C359" s="127"/>
      <c r="D359" s="128"/>
      <c r="E359" s="128"/>
    </row>
    <row r="360" spans="1:5" x14ac:dyDescent="0.3">
      <c r="A360" s="233" t="s">
        <v>260</v>
      </c>
      <c r="B360" s="234"/>
      <c r="C360" s="234"/>
      <c r="D360" s="234"/>
      <c r="E360" s="129">
        <f>SUM(E358)</f>
        <v>1125</v>
      </c>
    </row>
    <row r="361" spans="1:5" x14ac:dyDescent="0.3">
      <c r="A361" s="237" t="s">
        <v>271</v>
      </c>
      <c r="B361" s="238"/>
      <c r="C361" s="238"/>
      <c r="D361" s="238"/>
      <c r="E361" s="238"/>
    </row>
    <row r="362" spans="1:5" x14ac:dyDescent="0.3">
      <c r="A362" s="126" t="s">
        <v>58</v>
      </c>
      <c r="B362" s="126" t="s">
        <v>251</v>
      </c>
      <c r="C362" s="126" t="s">
        <v>254</v>
      </c>
      <c r="D362" s="126" t="s">
        <v>272</v>
      </c>
      <c r="E362" s="126" t="s">
        <v>256</v>
      </c>
    </row>
    <row r="363" spans="1:5" x14ac:dyDescent="0.3">
      <c r="A363" s="110" t="s">
        <v>289</v>
      </c>
      <c r="B363" s="109" t="s">
        <v>270</v>
      </c>
      <c r="C363" s="127">
        <v>45</v>
      </c>
      <c r="D363" s="128">
        <v>130000</v>
      </c>
      <c r="E363" s="128">
        <f>D363/C363</f>
        <v>2888.8888888888887</v>
      </c>
    </row>
    <row r="364" spans="1:5" x14ac:dyDescent="0.3">
      <c r="A364" s="110"/>
      <c r="B364" s="109"/>
      <c r="C364" s="127"/>
      <c r="D364" s="128"/>
      <c r="E364" s="128"/>
    </row>
    <row r="365" spans="1:5" x14ac:dyDescent="0.3">
      <c r="A365" s="233" t="s">
        <v>260</v>
      </c>
      <c r="B365" s="234"/>
      <c r="C365" s="234"/>
      <c r="D365" s="234"/>
      <c r="E365" s="129">
        <f>SUM(E363)</f>
        <v>2888.8888888888887</v>
      </c>
    </row>
    <row r="366" spans="1:5" x14ac:dyDescent="0.3">
      <c r="A366" s="109"/>
      <c r="B366" s="104"/>
      <c r="C366" s="104"/>
      <c r="D366" s="104"/>
      <c r="E366" s="104"/>
    </row>
    <row r="367" spans="1:5" x14ac:dyDescent="0.3">
      <c r="A367" s="233" t="s">
        <v>274</v>
      </c>
      <c r="B367" s="234"/>
      <c r="C367" s="234"/>
      <c r="D367" s="234"/>
      <c r="E367" s="129">
        <f>SUM(E345,E355,E360,E365)</f>
        <v>81456</v>
      </c>
    </row>
    <row r="369" spans="1:5" x14ac:dyDescent="0.3">
      <c r="A369" s="139" t="s">
        <v>296</v>
      </c>
      <c r="B369" s="140"/>
      <c r="C369" s="140"/>
      <c r="D369" s="140"/>
      <c r="E369" s="140"/>
    </row>
    <row r="370" spans="1:5" x14ac:dyDescent="0.3">
      <c r="A370" s="133"/>
      <c r="B370" s="134"/>
      <c r="C370" s="134"/>
      <c r="D370" s="134"/>
      <c r="E370" s="134"/>
    </row>
    <row r="371" spans="1:5" x14ac:dyDescent="0.3">
      <c r="A371" s="244" t="s">
        <v>227</v>
      </c>
      <c r="B371" s="245"/>
      <c r="C371" s="245"/>
      <c r="D371" s="135" t="s">
        <v>203</v>
      </c>
      <c r="E371" s="135" t="s">
        <v>226</v>
      </c>
    </row>
    <row r="372" spans="1:5" x14ac:dyDescent="0.3">
      <c r="A372" s="241"/>
      <c r="B372" s="236"/>
      <c r="C372" s="236"/>
      <c r="D372" s="142" t="s">
        <v>251</v>
      </c>
      <c r="E372" s="142" t="s">
        <v>7</v>
      </c>
    </row>
    <row r="373" spans="1:5" x14ac:dyDescent="0.3">
      <c r="A373" s="237" t="s">
        <v>253</v>
      </c>
      <c r="B373" s="238"/>
      <c r="C373" s="238"/>
      <c r="D373" s="238"/>
      <c r="E373" s="238"/>
    </row>
    <row r="374" spans="1:5" x14ac:dyDescent="0.3">
      <c r="A374" s="142" t="s">
        <v>58</v>
      </c>
      <c r="B374" s="142" t="s">
        <v>251</v>
      </c>
      <c r="C374" s="142" t="s">
        <v>254</v>
      </c>
      <c r="D374" s="142" t="s">
        <v>255</v>
      </c>
      <c r="E374" s="142" t="s">
        <v>256</v>
      </c>
    </row>
    <row r="375" spans="1:5" x14ac:dyDescent="0.3">
      <c r="A375" s="109" t="s">
        <v>257</v>
      </c>
      <c r="B375" s="109" t="s">
        <v>258</v>
      </c>
      <c r="C375" s="127">
        <v>0.1</v>
      </c>
      <c r="D375" s="128">
        <f>E393</f>
        <v>3714.2857142857142</v>
      </c>
      <c r="E375" s="128">
        <f>C375*D375</f>
        <v>371.42857142857144</v>
      </c>
    </row>
    <row r="376" spans="1:5" x14ac:dyDescent="0.3">
      <c r="A376" s="109"/>
      <c r="B376" s="109"/>
      <c r="C376" s="109"/>
      <c r="D376" s="128"/>
      <c r="E376" s="128"/>
    </row>
    <row r="377" spans="1:5" x14ac:dyDescent="0.3">
      <c r="A377" s="242" t="s">
        <v>260</v>
      </c>
      <c r="B377" s="243"/>
      <c r="C377" s="243"/>
      <c r="D377" s="243"/>
      <c r="E377" s="143">
        <f>SUM(E375:E375)</f>
        <v>371.42857142857144</v>
      </c>
    </row>
    <row r="378" spans="1:5" x14ac:dyDescent="0.3">
      <c r="A378" s="237" t="s">
        <v>261</v>
      </c>
      <c r="B378" s="238"/>
      <c r="C378" s="238"/>
      <c r="D378" s="238"/>
      <c r="E378" s="238"/>
    </row>
    <row r="379" spans="1:5" x14ac:dyDescent="0.3">
      <c r="A379" s="142" t="s">
        <v>58</v>
      </c>
      <c r="B379" s="142" t="s">
        <v>251</v>
      </c>
      <c r="C379" s="142" t="s">
        <v>262</v>
      </c>
      <c r="D379" s="142" t="s">
        <v>263</v>
      </c>
      <c r="E379" s="142" t="s">
        <v>256</v>
      </c>
    </row>
    <row r="380" spans="1:5" x14ac:dyDescent="0.3">
      <c r="A380" s="110"/>
      <c r="B380" s="109"/>
      <c r="C380" s="136"/>
      <c r="D380" s="128"/>
      <c r="E380" s="128"/>
    </row>
    <row r="381" spans="1:5" x14ac:dyDescent="0.3">
      <c r="A381" s="131" t="s">
        <v>267</v>
      </c>
      <c r="B381" s="235"/>
      <c r="C381" s="236"/>
      <c r="D381" s="236"/>
      <c r="E381" s="128">
        <f>SUM(E380:E380)*0.02</f>
        <v>0</v>
      </c>
    </row>
    <row r="382" spans="1:5" x14ac:dyDescent="0.3">
      <c r="A382" s="131"/>
      <c r="B382" s="132"/>
      <c r="C382" s="104"/>
      <c r="D382" s="104"/>
      <c r="E382" s="128"/>
    </row>
    <row r="383" spans="1:5" x14ac:dyDescent="0.3">
      <c r="A383" s="242" t="s">
        <v>260</v>
      </c>
      <c r="B383" s="243"/>
      <c r="C383" s="243"/>
      <c r="D383" s="243"/>
      <c r="E383" s="143">
        <f>SUM(E380:E381)</f>
        <v>0</v>
      </c>
    </row>
    <row r="384" spans="1:5" x14ac:dyDescent="0.3">
      <c r="A384" s="237" t="s">
        <v>268</v>
      </c>
      <c r="B384" s="238"/>
      <c r="C384" s="238"/>
      <c r="D384" s="238"/>
      <c r="E384" s="238"/>
    </row>
    <row r="385" spans="1:5" x14ac:dyDescent="0.3">
      <c r="A385" s="142" t="s">
        <v>58</v>
      </c>
      <c r="B385" s="142" t="s">
        <v>251</v>
      </c>
      <c r="C385" s="142" t="s">
        <v>254</v>
      </c>
      <c r="D385" s="142" t="s">
        <v>255</v>
      </c>
      <c r="E385" s="142" t="s">
        <v>256</v>
      </c>
    </row>
    <row r="386" spans="1:5" x14ac:dyDescent="0.3">
      <c r="A386" s="110" t="s">
        <v>269</v>
      </c>
      <c r="B386" s="109" t="s">
        <v>270</v>
      </c>
      <c r="C386" s="127">
        <v>0</v>
      </c>
      <c r="D386" s="128">
        <v>0</v>
      </c>
      <c r="E386" s="128">
        <v>0</v>
      </c>
    </row>
    <row r="387" spans="1:5" x14ac:dyDescent="0.3">
      <c r="A387" s="110"/>
      <c r="B387" s="109"/>
      <c r="C387" s="127"/>
      <c r="D387" s="128"/>
      <c r="E387" s="128"/>
    </row>
    <row r="388" spans="1:5" x14ac:dyDescent="0.3">
      <c r="A388" s="242" t="s">
        <v>260</v>
      </c>
      <c r="B388" s="243"/>
      <c r="C388" s="243"/>
      <c r="D388" s="243"/>
      <c r="E388" s="143">
        <f>SUM(E386)</f>
        <v>0</v>
      </c>
    </row>
    <row r="389" spans="1:5" x14ac:dyDescent="0.3">
      <c r="A389" s="237" t="s">
        <v>271</v>
      </c>
      <c r="B389" s="238"/>
      <c r="C389" s="238"/>
      <c r="D389" s="238"/>
      <c r="E389" s="238"/>
    </row>
    <row r="390" spans="1:5" x14ac:dyDescent="0.3">
      <c r="A390" s="142" t="s">
        <v>58</v>
      </c>
      <c r="B390" s="142" t="s">
        <v>251</v>
      </c>
      <c r="C390" s="142" t="s">
        <v>254</v>
      </c>
      <c r="D390" s="142" t="s">
        <v>272</v>
      </c>
      <c r="E390" s="142" t="s">
        <v>256</v>
      </c>
    </row>
    <row r="391" spans="1:5" x14ac:dyDescent="0.3">
      <c r="A391" s="110" t="s">
        <v>313</v>
      </c>
      <c r="B391" s="109" t="s">
        <v>270</v>
      </c>
      <c r="C391" s="127">
        <v>35</v>
      </c>
      <c r="D391" s="128">
        <v>130000</v>
      </c>
      <c r="E391" s="128">
        <f>D391/C391</f>
        <v>3714.2857142857142</v>
      </c>
    </row>
    <row r="392" spans="1:5" x14ac:dyDescent="0.3">
      <c r="A392" s="110"/>
      <c r="B392" s="109"/>
      <c r="C392" s="127"/>
      <c r="D392" s="128"/>
      <c r="E392" s="128"/>
    </row>
    <row r="393" spans="1:5" x14ac:dyDescent="0.3">
      <c r="A393" s="242" t="s">
        <v>260</v>
      </c>
      <c r="B393" s="243"/>
      <c r="C393" s="243"/>
      <c r="D393" s="243"/>
      <c r="E393" s="143">
        <f>SUM(E391)</f>
        <v>3714.2857142857142</v>
      </c>
    </row>
    <row r="394" spans="1:5" x14ac:dyDescent="0.3">
      <c r="A394" s="109"/>
      <c r="B394" s="104"/>
      <c r="C394" s="104"/>
      <c r="D394" s="104"/>
      <c r="E394" s="104"/>
    </row>
    <row r="395" spans="1:5" x14ac:dyDescent="0.3">
      <c r="A395" s="242" t="s">
        <v>274</v>
      </c>
      <c r="B395" s="243"/>
      <c r="C395" s="243"/>
      <c r="D395" s="243"/>
      <c r="E395" s="143">
        <f>SUM(E377,E383,E388,E393)</f>
        <v>4085.7142857142858</v>
      </c>
    </row>
    <row r="396" spans="1:5" x14ac:dyDescent="0.3">
      <c r="A396" s="133"/>
      <c r="B396" s="134"/>
      <c r="C396" s="134"/>
      <c r="D396" s="134"/>
      <c r="E396" s="134"/>
    </row>
    <row r="397" spans="1:5" x14ac:dyDescent="0.3">
      <c r="A397" s="133"/>
      <c r="B397" s="134"/>
      <c r="C397" s="134"/>
      <c r="D397" s="134"/>
      <c r="E397" s="134"/>
    </row>
    <row r="398" spans="1:5" x14ac:dyDescent="0.3">
      <c r="A398" s="244" t="s">
        <v>229</v>
      </c>
      <c r="B398" s="245"/>
      <c r="C398" s="245"/>
      <c r="D398" s="135" t="s">
        <v>203</v>
      </c>
      <c r="E398" s="135" t="s">
        <v>228</v>
      </c>
    </row>
    <row r="399" spans="1:5" x14ac:dyDescent="0.3">
      <c r="A399" s="241"/>
      <c r="B399" s="236"/>
      <c r="C399" s="236"/>
      <c r="D399" s="125" t="s">
        <v>251</v>
      </c>
      <c r="E399" s="125" t="s">
        <v>7</v>
      </c>
    </row>
    <row r="400" spans="1:5" x14ac:dyDescent="0.3">
      <c r="A400" s="237" t="s">
        <v>253</v>
      </c>
      <c r="B400" s="238"/>
      <c r="C400" s="238"/>
      <c r="D400" s="238"/>
      <c r="E400" s="238"/>
    </row>
    <row r="401" spans="1:5" x14ac:dyDescent="0.3">
      <c r="A401" s="126" t="s">
        <v>58</v>
      </c>
      <c r="B401" s="126" t="s">
        <v>251</v>
      </c>
      <c r="C401" s="126" t="s">
        <v>254</v>
      </c>
      <c r="D401" s="126" t="s">
        <v>255</v>
      </c>
      <c r="E401" s="126" t="s">
        <v>256</v>
      </c>
    </row>
    <row r="402" spans="1:5" x14ac:dyDescent="0.3">
      <c r="A402" s="109" t="s">
        <v>257</v>
      </c>
      <c r="B402" s="109" t="s">
        <v>258</v>
      </c>
      <c r="C402" s="127">
        <v>0.05</v>
      </c>
      <c r="D402" s="128">
        <f>E423</f>
        <v>4666.666666666667</v>
      </c>
      <c r="E402" s="128">
        <f>C402*D402</f>
        <v>233.33333333333337</v>
      </c>
    </row>
    <row r="403" spans="1:5" x14ac:dyDescent="0.3">
      <c r="A403" s="109"/>
      <c r="B403" s="109"/>
      <c r="C403" s="109"/>
      <c r="D403" s="128"/>
      <c r="E403" s="128"/>
    </row>
    <row r="404" spans="1:5" x14ac:dyDescent="0.3">
      <c r="A404" s="233" t="s">
        <v>260</v>
      </c>
      <c r="B404" s="234"/>
      <c r="C404" s="234"/>
      <c r="D404" s="234"/>
      <c r="E404" s="129">
        <f>SUM(E402:E402)</f>
        <v>233.33333333333337</v>
      </c>
    </row>
    <row r="405" spans="1:5" x14ac:dyDescent="0.3">
      <c r="A405" s="237" t="s">
        <v>261</v>
      </c>
      <c r="B405" s="238"/>
      <c r="C405" s="238"/>
      <c r="D405" s="238"/>
      <c r="E405" s="238"/>
    </row>
    <row r="406" spans="1:5" x14ac:dyDescent="0.3">
      <c r="A406" s="126" t="s">
        <v>58</v>
      </c>
      <c r="B406" s="126" t="s">
        <v>251</v>
      </c>
      <c r="C406" s="126" t="s">
        <v>262</v>
      </c>
      <c r="D406" s="126" t="s">
        <v>263</v>
      </c>
      <c r="E406" s="126" t="s">
        <v>256</v>
      </c>
    </row>
    <row r="407" spans="1:5" x14ac:dyDescent="0.3">
      <c r="A407" s="110" t="s">
        <v>314</v>
      </c>
      <c r="B407" s="109" t="s">
        <v>287</v>
      </c>
      <c r="C407" s="144">
        <v>0.60602656641603547</v>
      </c>
      <c r="D407" s="128">
        <v>9500</v>
      </c>
      <c r="E407" s="128">
        <f>C407*D407</f>
        <v>5757.2523809523373</v>
      </c>
    </row>
    <row r="408" spans="1:5" x14ac:dyDescent="0.3">
      <c r="A408" s="110" t="s">
        <v>315</v>
      </c>
      <c r="B408" s="109" t="s">
        <v>287</v>
      </c>
      <c r="C408" s="144">
        <v>0.60609999999999997</v>
      </c>
      <c r="D408" s="128">
        <v>9000</v>
      </c>
      <c r="E408" s="128">
        <f>C408*D408</f>
        <v>5454.9</v>
      </c>
    </row>
    <row r="409" spans="1:5" x14ac:dyDescent="0.3">
      <c r="A409" s="110" t="s">
        <v>316</v>
      </c>
      <c r="B409" s="109" t="s">
        <v>287</v>
      </c>
      <c r="C409" s="136">
        <v>50</v>
      </c>
      <c r="D409" s="128">
        <v>40</v>
      </c>
      <c r="E409" s="128">
        <f>C409*D409</f>
        <v>2000</v>
      </c>
    </row>
    <row r="410" spans="1:5" x14ac:dyDescent="0.3">
      <c r="A410" s="110"/>
      <c r="B410" s="109"/>
      <c r="C410" s="130"/>
      <c r="D410" s="128"/>
      <c r="E410" s="128"/>
    </row>
    <row r="411" spans="1:5" x14ac:dyDescent="0.3">
      <c r="A411" s="131" t="s">
        <v>267</v>
      </c>
      <c r="B411" s="235"/>
      <c r="C411" s="236"/>
      <c r="D411" s="236"/>
      <c r="E411" s="128">
        <v>0</v>
      </c>
    </row>
    <row r="412" spans="1:5" x14ac:dyDescent="0.3">
      <c r="A412" s="131"/>
      <c r="B412" s="132"/>
      <c r="C412" s="104"/>
      <c r="D412" s="104"/>
      <c r="E412" s="128"/>
    </row>
    <row r="413" spans="1:5" x14ac:dyDescent="0.3">
      <c r="A413" s="233" t="s">
        <v>260</v>
      </c>
      <c r="B413" s="234"/>
      <c r="C413" s="234"/>
      <c r="D413" s="234"/>
      <c r="E413" s="129">
        <f>SUM(E407:E411)</f>
        <v>13212.152380952337</v>
      </c>
    </row>
    <row r="414" spans="1:5" x14ac:dyDescent="0.3">
      <c r="A414" s="237" t="s">
        <v>268</v>
      </c>
      <c r="B414" s="238"/>
      <c r="C414" s="238"/>
      <c r="D414" s="238"/>
      <c r="E414" s="238"/>
    </row>
    <row r="415" spans="1:5" x14ac:dyDescent="0.3">
      <c r="A415" s="126" t="s">
        <v>58</v>
      </c>
      <c r="B415" s="126" t="s">
        <v>251</v>
      </c>
      <c r="C415" s="126" t="s">
        <v>254</v>
      </c>
      <c r="D415" s="126" t="s">
        <v>255</v>
      </c>
      <c r="E415" s="126" t="s">
        <v>256</v>
      </c>
    </row>
    <row r="416" spans="1:5" x14ac:dyDescent="0.3">
      <c r="A416" s="110" t="s">
        <v>269</v>
      </c>
      <c r="B416" s="109" t="s">
        <v>270</v>
      </c>
      <c r="C416" s="138">
        <v>1.9349999999999999E-2</v>
      </c>
      <c r="D416" s="128">
        <v>60000</v>
      </c>
      <c r="E416" s="128">
        <f>D416*C416</f>
        <v>1161</v>
      </c>
    </row>
    <row r="417" spans="1:5" x14ac:dyDescent="0.3">
      <c r="A417" s="110"/>
      <c r="B417" s="109"/>
      <c r="C417" s="127"/>
      <c r="D417" s="128"/>
      <c r="E417" s="128"/>
    </row>
    <row r="418" spans="1:5" x14ac:dyDescent="0.3">
      <c r="A418" s="233" t="s">
        <v>260</v>
      </c>
      <c r="B418" s="234"/>
      <c r="C418" s="234"/>
      <c r="D418" s="234"/>
      <c r="E418" s="129">
        <f>SUM(E416)</f>
        <v>1161</v>
      </c>
    </row>
    <row r="419" spans="1:5" x14ac:dyDescent="0.3">
      <c r="A419" s="237" t="s">
        <v>271</v>
      </c>
      <c r="B419" s="238"/>
      <c r="C419" s="238"/>
      <c r="D419" s="238"/>
      <c r="E419" s="238"/>
    </row>
    <row r="420" spans="1:5" x14ac:dyDescent="0.3">
      <c r="A420" s="126" t="s">
        <v>58</v>
      </c>
      <c r="B420" s="126" t="s">
        <v>251</v>
      </c>
      <c r="C420" s="126" t="s">
        <v>254</v>
      </c>
      <c r="D420" s="126" t="s">
        <v>272</v>
      </c>
      <c r="E420" s="126" t="s">
        <v>256</v>
      </c>
    </row>
    <row r="421" spans="1:5" x14ac:dyDescent="0.3">
      <c r="A421" s="110" t="s">
        <v>289</v>
      </c>
      <c r="B421" s="109" t="s">
        <v>270</v>
      </c>
      <c r="C421" s="127">
        <v>45</v>
      </c>
      <c r="D421" s="128">
        <v>210000</v>
      </c>
      <c r="E421" s="128">
        <f>D421/C421</f>
        <v>4666.666666666667</v>
      </c>
    </row>
    <row r="422" spans="1:5" x14ac:dyDescent="0.3">
      <c r="A422" s="110"/>
      <c r="B422" s="109"/>
      <c r="C422" s="127"/>
      <c r="D422" s="128"/>
      <c r="E422" s="128"/>
    </row>
    <row r="423" spans="1:5" x14ac:dyDescent="0.3">
      <c r="A423" s="233" t="s">
        <v>260</v>
      </c>
      <c r="B423" s="234"/>
      <c r="C423" s="234"/>
      <c r="D423" s="234"/>
      <c r="E423" s="129">
        <f>SUM(E421)</f>
        <v>4666.666666666667</v>
      </c>
    </row>
    <row r="424" spans="1:5" x14ac:dyDescent="0.3">
      <c r="A424" s="109"/>
      <c r="B424" s="104"/>
      <c r="C424" s="104"/>
      <c r="D424" s="104"/>
      <c r="E424" s="104"/>
    </row>
    <row r="425" spans="1:5" x14ac:dyDescent="0.3">
      <c r="A425" s="233" t="s">
        <v>274</v>
      </c>
      <c r="B425" s="234"/>
      <c r="C425" s="234"/>
      <c r="D425" s="234"/>
      <c r="E425" s="129">
        <f>SUM(E404,E413,E418,E423)</f>
        <v>19273.152380952339</v>
      </c>
    </row>
    <row r="426" spans="1:5" x14ac:dyDescent="0.3">
      <c r="A426" s="148"/>
      <c r="B426" s="148"/>
      <c r="C426" s="148"/>
      <c r="D426" s="148"/>
      <c r="E426" s="148"/>
    </row>
    <row r="427" spans="1:5" x14ac:dyDescent="0.3">
      <c r="A427" s="148"/>
      <c r="B427" s="148"/>
      <c r="C427" s="148"/>
      <c r="D427" s="148"/>
      <c r="E427" s="148"/>
    </row>
    <row r="428" spans="1:5" x14ac:dyDescent="0.3">
      <c r="A428" s="246" t="s">
        <v>317</v>
      </c>
      <c r="B428" s="246"/>
      <c r="C428" s="246"/>
      <c r="D428" s="137" t="s">
        <v>203</v>
      </c>
      <c r="E428" s="135" t="s">
        <v>230</v>
      </c>
    </row>
    <row r="429" spans="1:5" x14ac:dyDescent="0.3">
      <c r="A429" s="241"/>
      <c r="B429" s="241"/>
      <c r="C429" s="241"/>
      <c r="D429" s="125" t="s">
        <v>251</v>
      </c>
      <c r="E429" s="125" t="s">
        <v>7</v>
      </c>
    </row>
    <row r="430" spans="1:5" x14ac:dyDescent="0.3">
      <c r="A430" s="237" t="s">
        <v>253</v>
      </c>
      <c r="B430" s="237"/>
      <c r="C430" s="237"/>
      <c r="D430" s="237"/>
      <c r="E430" s="237"/>
    </row>
    <row r="431" spans="1:5" x14ac:dyDescent="0.3">
      <c r="A431" s="126" t="s">
        <v>58</v>
      </c>
      <c r="B431" s="126" t="s">
        <v>251</v>
      </c>
      <c r="C431" s="126" t="s">
        <v>254</v>
      </c>
      <c r="D431" s="126" t="s">
        <v>255</v>
      </c>
      <c r="E431" s="126" t="s">
        <v>256</v>
      </c>
    </row>
    <row r="432" spans="1:5" x14ac:dyDescent="0.3">
      <c r="A432" s="109" t="s">
        <v>257</v>
      </c>
      <c r="B432" s="109" t="s">
        <v>258</v>
      </c>
      <c r="C432" s="127">
        <v>0.1</v>
      </c>
      <c r="D432" s="128">
        <f>E453</f>
        <v>8666.6666666666661</v>
      </c>
      <c r="E432" s="128">
        <f>C432*D432</f>
        <v>866.66666666666663</v>
      </c>
    </row>
    <row r="433" spans="1:5" x14ac:dyDescent="0.3">
      <c r="A433" s="109" t="s">
        <v>318</v>
      </c>
      <c r="B433" s="109" t="s">
        <v>270</v>
      </c>
      <c r="C433" s="127">
        <v>0.1</v>
      </c>
      <c r="D433" s="128">
        <v>25000</v>
      </c>
      <c r="E433" s="128">
        <f>C433*D433</f>
        <v>2500</v>
      </c>
    </row>
    <row r="434" spans="1:5" x14ac:dyDescent="0.3">
      <c r="A434" s="109"/>
      <c r="B434" s="109"/>
      <c r="C434" s="109"/>
      <c r="D434" s="128"/>
      <c r="E434" s="128"/>
    </row>
    <row r="435" spans="1:5" x14ac:dyDescent="0.3">
      <c r="A435" s="233" t="s">
        <v>260</v>
      </c>
      <c r="B435" s="233"/>
      <c r="C435" s="233"/>
      <c r="D435" s="233"/>
      <c r="E435" s="129">
        <f>SUM(E432:E433)</f>
        <v>3366.6666666666665</v>
      </c>
    </row>
    <row r="436" spans="1:5" x14ac:dyDescent="0.3">
      <c r="A436" s="237" t="s">
        <v>261</v>
      </c>
      <c r="B436" s="237"/>
      <c r="C436" s="237"/>
      <c r="D436" s="237"/>
      <c r="E436" s="237"/>
    </row>
    <row r="437" spans="1:5" x14ac:dyDescent="0.3">
      <c r="A437" s="126" t="s">
        <v>58</v>
      </c>
      <c r="B437" s="126" t="s">
        <v>251</v>
      </c>
      <c r="C437" s="126" t="s">
        <v>262</v>
      </c>
      <c r="D437" s="126" t="s">
        <v>263</v>
      </c>
      <c r="E437" s="126" t="s">
        <v>256</v>
      </c>
    </row>
    <row r="438" spans="1:5" x14ac:dyDescent="0.3">
      <c r="A438" s="110" t="s">
        <v>319</v>
      </c>
      <c r="B438" s="109" t="s">
        <v>265</v>
      </c>
      <c r="C438" s="144">
        <v>1.5</v>
      </c>
      <c r="D438" s="128">
        <f>50110</f>
        <v>50110</v>
      </c>
      <c r="E438" s="128">
        <f>C438*D438</f>
        <v>75165</v>
      </c>
    </row>
    <row r="439" spans="1:5" x14ac:dyDescent="0.3">
      <c r="A439" s="110" t="s">
        <v>320</v>
      </c>
      <c r="B439" s="109" t="s">
        <v>7</v>
      </c>
      <c r="C439" s="130">
        <v>1.4999999999999999E-2</v>
      </c>
      <c r="D439" s="128">
        <v>100000</v>
      </c>
      <c r="E439" s="128">
        <f>C439*D439</f>
        <v>1500</v>
      </c>
    </row>
    <row r="440" spans="1:5" x14ac:dyDescent="0.3">
      <c r="A440" s="110"/>
      <c r="B440" s="109"/>
      <c r="C440" s="130"/>
      <c r="D440" s="128"/>
      <c r="E440" s="128"/>
    </row>
    <row r="441" spans="1:5" x14ac:dyDescent="0.3">
      <c r="A441" s="131" t="s">
        <v>267</v>
      </c>
      <c r="B441" s="235"/>
      <c r="C441" s="235"/>
      <c r="D441" s="235"/>
      <c r="E441" s="128">
        <f>E438*0.02</f>
        <v>1503.3</v>
      </c>
    </row>
    <row r="442" spans="1:5" x14ac:dyDescent="0.3">
      <c r="A442" s="131"/>
      <c r="B442" s="132"/>
      <c r="C442" s="104"/>
      <c r="D442" s="104"/>
      <c r="E442" s="128"/>
    </row>
    <row r="443" spans="1:5" x14ac:dyDescent="0.3">
      <c r="A443" s="233" t="s">
        <v>260</v>
      </c>
      <c r="B443" s="233"/>
      <c r="C443" s="233"/>
      <c r="D443" s="233"/>
      <c r="E443" s="129">
        <f>SUM(E438:E441)</f>
        <v>78168.3</v>
      </c>
    </row>
    <row r="444" spans="1:5" x14ac:dyDescent="0.3">
      <c r="A444" s="237" t="s">
        <v>268</v>
      </c>
      <c r="B444" s="237"/>
      <c r="C444" s="237"/>
      <c r="D444" s="237"/>
      <c r="E444" s="237"/>
    </row>
    <row r="445" spans="1:5" x14ac:dyDescent="0.3">
      <c r="A445" s="126" t="s">
        <v>58</v>
      </c>
      <c r="B445" s="126" t="s">
        <v>251</v>
      </c>
      <c r="C445" s="126" t="s">
        <v>254</v>
      </c>
      <c r="D445" s="126" t="s">
        <v>255</v>
      </c>
      <c r="E445" s="126" t="s">
        <v>256</v>
      </c>
    </row>
    <row r="446" spans="1:5" x14ac:dyDescent="0.3">
      <c r="A446" s="110" t="s">
        <v>283</v>
      </c>
      <c r="B446" s="109" t="s">
        <v>270</v>
      </c>
      <c r="C446" s="127">
        <v>0.02</v>
      </c>
      <c r="D446" s="128">
        <v>45000</v>
      </c>
      <c r="E446" s="128">
        <f>D446*C446</f>
        <v>900</v>
      </c>
    </row>
    <row r="447" spans="1:5" x14ac:dyDescent="0.3">
      <c r="A447" s="110"/>
      <c r="B447" s="109"/>
      <c r="C447" s="127"/>
      <c r="D447" s="128"/>
      <c r="E447" s="128"/>
    </row>
    <row r="448" spans="1:5" x14ac:dyDescent="0.3">
      <c r="A448" s="233" t="s">
        <v>260</v>
      </c>
      <c r="B448" s="233"/>
      <c r="C448" s="233"/>
      <c r="D448" s="233"/>
      <c r="E448" s="129">
        <f>SUM(E446)</f>
        <v>900</v>
      </c>
    </row>
    <row r="449" spans="1:5" x14ac:dyDescent="0.3">
      <c r="A449" s="237" t="s">
        <v>271</v>
      </c>
      <c r="B449" s="237"/>
      <c r="C449" s="237"/>
      <c r="D449" s="237"/>
      <c r="E449" s="237"/>
    </row>
    <row r="450" spans="1:5" x14ac:dyDescent="0.3">
      <c r="A450" s="126" t="s">
        <v>58</v>
      </c>
      <c r="B450" s="126" t="s">
        <v>251</v>
      </c>
      <c r="C450" s="126" t="s">
        <v>254</v>
      </c>
      <c r="D450" s="126" t="s">
        <v>272</v>
      </c>
      <c r="E450" s="126" t="s">
        <v>256</v>
      </c>
    </row>
    <row r="451" spans="1:5" x14ac:dyDescent="0.3">
      <c r="A451" s="110" t="s">
        <v>284</v>
      </c>
      <c r="B451" s="109" t="s">
        <v>270</v>
      </c>
      <c r="C451" s="127">
        <v>15</v>
      </c>
      <c r="D451" s="128">
        <v>130000</v>
      </c>
      <c r="E451" s="128">
        <f>D451/C451</f>
        <v>8666.6666666666661</v>
      </c>
    </row>
    <row r="452" spans="1:5" x14ac:dyDescent="0.3">
      <c r="A452" s="110"/>
      <c r="B452" s="109"/>
      <c r="C452" s="127"/>
      <c r="D452" s="128"/>
      <c r="E452" s="128"/>
    </row>
    <row r="453" spans="1:5" x14ac:dyDescent="0.3">
      <c r="A453" s="233" t="s">
        <v>260</v>
      </c>
      <c r="B453" s="233"/>
      <c r="C453" s="233"/>
      <c r="D453" s="233"/>
      <c r="E453" s="129">
        <f>SUM(E451)</f>
        <v>8666.6666666666661</v>
      </c>
    </row>
    <row r="454" spans="1:5" x14ac:dyDescent="0.3">
      <c r="A454" s="109"/>
      <c r="B454" s="104"/>
      <c r="C454" s="104"/>
      <c r="D454" s="104"/>
      <c r="E454" s="104"/>
    </row>
    <row r="455" spans="1:5" x14ac:dyDescent="0.3">
      <c r="A455" s="233" t="s">
        <v>274</v>
      </c>
      <c r="B455" s="233"/>
      <c r="C455" s="233"/>
      <c r="D455" s="233"/>
      <c r="E455" s="129">
        <f>SUM(E435,E443,E448,E453)</f>
        <v>91101.633333333346</v>
      </c>
    </row>
    <row r="456" spans="1:5" x14ac:dyDescent="0.3">
      <c r="A456" s="148"/>
      <c r="B456" s="148"/>
      <c r="C456" s="148"/>
      <c r="D456" s="148"/>
      <c r="E456" s="148"/>
    </row>
    <row r="457" spans="1:5" x14ac:dyDescent="0.3">
      <c r="A457" s="148"/>
      <c r="B457" s="148"/>
      <c r="C457" s="148"/>
      <c r="D457" s="148"/>
      <c r="E457" s="148"/>
    </row>
    <row r="458" spans="1:5" x14ac:dyDescent="0.3">
      <c r="A458" s="244" t="s">
        <v>321</v>
      </c>
      <c r="B458" s="245"/>
      <c r="C458" s="245"/>
      <c r="D458" s="135" t="s">
        <v>203</v>
      </c>
      <c r="E458" s="135" t="s">
        <v>231</v>
      </c>
    </row>
    <row r="459" spans="1:5" x14ac:dyDescent="0.3">
      <c r="A459" s="241"/>
      <c r="B459" s="236"/>
      <c r="C459" s="236"/>
      <c r="D459" s="125" t="s">
        <v>251</v>
      </c>
      <c r="E459" s="125" t="s">
        <v>7</v>
      </c>
    </row>
    <row r="460" spans="1:5" x14ac:dyDescent="0.3">
      <c r="A460" s="237" t="s">
        <v>253</v>
      </c>
      <c r="B460" s="238"/>
      <c r="C460" s="238"/>
      <c r="D460" s="238"/>
      <c r="E460" s="238"/>
    </row>
    <row r="461" spans="1:5" x14ac:dyDescent="0.3">
      <c r="A461" s="126" t="s">
        <v>58</v>
      </c>
      <c r="B461" s="126" t="s">
        <v>251</v>
      </c>
      <c r="C461" s="126" t="s">
        <v>254</v>
      </c>
      <c r="D461" s="126" t="s">
        <v>255</v>
      </c>
      <c r="E461" s="126" t="s">
        <v>256</v>
      </c>
    </row>
    <row r="462" spans="1:5" x14ac:dyDescent="0.3">
      <c r="A462" s="109" t="s">
        <v>257</v>
      </c>
      <c r="B462" s="109" t="s">
        <v>258</v>
      </c>
      <c r="C462" s="127">
        <v>0.05</v>
      </c>
      <c r="D462" s="128">
        <f>E482</f>
        <v>21000</v>
      </c>
      <c r="E462" s="128">
        <f>C462*D462</f>
        <v>1050</v>
      </c>
    </row>
    <row r="463" spans="1:5" x14ac:dyDescent="0.3">
      <c r="A463" s="109"/>
      <c r="B463" s="109"/>
      <c r="C463" s="109"/>
      <c r="D463" s="128"/>
      <c r="E463" s="128"/>
    </row>
    <row r="464" spans="1:5" x14ac:dyDescent="0.3">
      <c r="A464" s="233" t="s">
        <v>260</v>
      </c>
      <c r="B464" s="234"/>
      <c r="C464" s="234"/>
      <c r="D464" s="234"/>
      <c r="E464" s="129">
        <f>SUM(E462:E462)</f>
        <v>1050</v>
      </c>
    </row>
    <row r="465" spans="1:5" x14ac:dyDescent="0.3">
      <c r="A465" s="237" t="s">
        <v>261</v>
      </c>
      <c r="B465" s="238"/>
      <c r="C465" s="238"/>
      <c r="D465" s="238"/>
      <c r="E465" s="238"/>
    </row>
    <row r="466" spans="1:5" x14ac:dyDescent="0.3">
      <c r="A466" s="126" t="s">
        <v>58</v>
      </c>
      <c r="B466" s="126" t="s">
        <v>251</v>
      </c>
      <c r="C466" s="126" t="s">
        <v>262</v>
      </c>
      <c r="D466" s="126" t="s">
        <v>263</v>
      </c>
      <c r="E466" s="126" t="s">
        <v>256</v>
      </c>
    </row>
    <row r="467" spans="1:5" x14ac:dyDescent="0.3">
      <c r="A467" s="110" t="s">
        <v>322</v>
      </c>
      <c r="B467" s="109" t="s">
        <v>287</v>
      </c>
      <c r="C467" s="138">
        <v>0.38</v>
      </c>
      <c r="D467" s="128">
        <v>93300</v>
      </c>
      <c r="E467" s="128">
        <f>C467*D467</f>
        <v>35454</v>
      </c>
    </row>
    <row r="468" spans="1:5" x14ac:dyDescent="0.3">
      <c r="A468" s="110" t="s">
        <v>323</v>
      </c>
      <c r="B468" s="109" t="s">
        <v>7</v>
      </c>
      <c r="C468" s="130">
        <v>0.03</v>
      </c>
      <c r="D468" s="128">
        <v>276000</v>
      </c>
      <c r="E468" s="128">
        <f>C468*D468</f>
        <v>8280</v>
      </c>
    </row>
    <row r="469" spans="1:5" x14ac:dyDescent="0.3">
      <c r="A469" s="110"/>
      <c r="B469" s="109"/>
      <c r="C469" s="130"/>
      <c r="D469" s="128"/>
      <c r="E469" s="128"/>
    </row>
    <row r="470" spans="1:5" x14ac:dyDescent="0.3">
      <c r="A470" s="131" t="s">
        <v>267</v>
      </c>
      <c r="B470" s="235"/>
      <c r="C470" s="236"/>
      <c r="D470" s="236"/>
      <c r="E470" s="128">
        <v>0</v>
      </c>
    </row>
    <row r="471" spans="1:5" x14ac:dyDescent="0.3">
      <c r="A471" s="131"/>
      <c r="B471" s="132"/>
      <c r="C471" s="104"/>
      <c r="D471" s="104"/>
      <c r="E471" s="128"/>
    </row>
    <row r="472" spans="1:5" x14ac:dyDescent="0.3">
      <c r="A472" s="233" t="s">
        <v>260</v>
      </c>
      <c r="B472" s="234"/>
      <c r="C472" s="234"/>
      <c r="D472" s="234"/>
      <c r="E472" s="129">
        <f>SUM(E467:E470)</f>
        <v>43734</v>
      </c>
    </row>
    <row r="473" spans="1:5" x14ac:dyDescent="0.3">
      <c r="A473" s="237" t="s">
        <v>268</v>
      </c>
      <c r="B473" s="238"/>
      <c r="C473" s="238"/>
      <c r="D473" s="238"/>
      <c r="E473" s="238"/>
    </row>
    <row r="474" spans="1:5" x14ac:dyDescent="0.3">
      <c r="A474" s="126" t="s">
        <v>58</v>
      </c>
      <c r="B474" s="126" t="s">
        <v>251</v>
      </c>
      <c r="C474" s="126" t="s">
        <v>254</v>
      </c>
      <c r="D474" s="126" t="s">
        <v>255</v>
      </c>
      <c r="E474" s="126" t="s">
        <v>256</v>
      </c>
    </row>
    <row r="475" spans="1:5" x14ac:dyDescent="0.3">
      <c r="A475" s="110" t="s">
        <v>269</v>
      </c>
      <c r="B475" s="109" t="s">
        <v>270</v>
      </c>
      <c r="C475" s="127">
        <v>1.4999999999999999E-2</v>
      </c>
      <c r="D475" s="128">
        <v>60000</v>
      </c>
      <c r="E475" s="128">
        <f>D475*C475</f>
        <v>900</v>
      </c>
    </row>
    <row r="476" spans="1:5" x14ac:dyDescent="0.3">
      <c r="A476" s="110"/>
      <c r="B476" s="109"/>
      <c r="C476" s="127"/>
      <c r="D476" s="128"/>
      <c r="E476" s="128"/>
    </row>
    <row r="477" spans="1:5" x14ac:dyDescent="0.3">
      <c r="A477" s="233" t="s">
        <v>260</v>
      </c>
      <c r="B477" s="234"/>
      <c r="C477" s="234"/>
      <c r="D477" s="234"/>
      <c r="E477" s="129">
        <f>SUM(E475)</f>
        <v>900</v>
      </c>
    </row>
    <row r="478" spans="1:5" x14ac:dyDescent="0.3">
      <c r="A478" s="237" t="s">
        <v>271</v>
      </c>
      <c r="B478" s="238"/>
      <c r="C478" s="238"/>
      <c r="D478" s="238"/>
      <c r="E478" s="238"/>
    </row>
    <row r="479" spans="1:5" x14ac:dyDescent="0.3">
      <c r="A479" s="126" t="s">
        <v>58</v>
      </c>
      <c r="B479" s="126" t="s">
        <v>251</v>
      </c>
      <c r="C479" s="126" t="s">
        <v>254</v>
      </c>
      <c r="D479" s="126" t="s">
        <v>272</v>
      </c>
      <c r="E479" s="126" t="s">
        <v>256</v>
      </c>
    </row>
    <row r="480" spans="1:5" x14ac:dyDescent="0.3">
      <c r="A480" s="110" t="s">
        <v>289</v>
      </c>
      <c r="B480" s="109" t="s">
        <v>270</v>
      </c>
      <c r="C480" s="127">
        <v>10</v>
      </c>
      <c r="D480" s="128">
        <v>210000</v>
      </c>
      <c r="E480" s="128">
        <f>D480/C480</f>
        <v>21000</v>
      </c>
    </row>
    <row r="481" spans="1:5" x14ac:dyDescent="0.3">
      <c r="A481" s="110"/>
      <c r="B481" s="109"/>
      <c r="C481" s="127"/>
      <c r="D481" s="128"/>
      <c r="E481" s="128"/>
    </row>
    <row r="482" spans="1:5" x14ac:dyDescent="0.3">
      <c r="A482" s="233" t="s">
        <v>260</v>
      </c>
      <c r="B482" s="234"/>
      <c r="C482" s="234"/>
      <c r="D482" s="234"/>
      <c r="E482" s="129">
        <f>SUM(E480)</f>
        <v>21000</v>
      </c>
    </row>
    <row r="483" spans="1:5" x14ac:dyDescent="0.3">
      <c r="A483" s="109"/>
      <c r="B483" s="104"/>
      <c r="C483" s="104"/>
      <c r="D483" s="104"/>
      <c r="E483" s="104"/>
    </row>
    <row r="484" spans="1:5" x14ac:dyDescent="0.3">
      <c r="A484" s="233" t="s">
        <v>274</v>
      </c>
      <c r="B484" s="234"/>
      <c r="C484" s="234"/>
      <c r="D484" s="234"/>
      <c r="E484" s="129">
        <f>SUM(E464,E472,E477,E482)</f>
        <v>66684</v>
      </c>
    </row>
    <row r="485" spans="1:5" x14ac:dyDescent="0.3">
      <c r="A485" s="148"/>
      <c r="B485" s="148"/>
      <c r="C485" s="148"/>
      <c r="D485" s="148"/>
      <c r="E485" s="148"/>
    </row>
    <row r="486" spans="1:5" x14ac:dyDescent="0.3">
      <c r="A486" s="148"/>
      <c r="B486" s="148"/>
      <c r="C486" s="148"/>
      <c r="D486" s="148"/>
      <c r="E486" s="148"/>
    </row>
    <row r="487" spans="1:5" x14ac:dyDescent="0.3">
      <c r="A487" s="244" t="s">
        <v>234</v>
      </c>
      <c r="B487" s="245"/>
      <c r="C487" s="245"/>
      <c r="D487" s="135" t="s">
        <v>203</v>
      </c>
      <c r="E487" s="135" t="s">
        <v>233</v>
      </c>
    </row>
    <row r="488" spans="1:5" x14ac:dyDescent="0.3">
      <c r="A488" s="241"/>
      <c r="B488" s="236"/>
      <c r="C488" s="236"/>
      <c r="D488" s="125" t="s">
        <v>251</v>
      </c>
      <c r="E488" s="125" t="s">
        <v>7</v>
      </c>
    </row>
    <row r="489" spans="1:5" x14ac:dyDescent="0.3">
      <c r="A489" s="237" t="s">
        <v>253</v>
      </c>
      <c r="B489" s="238"/>
      <c r="C489" s="238"/>
      <c r="D489" s="238"/>
      <c r="E489" s="238"/>
    </row>
    <row r="490" spans="1:5" x14ac:dyDescent="0.3">
      <c r="A490" s="126" t="s">
        <v>58</v>
      </c>
      <c r="B490" s="126" t="s">
        <v>251</v>
      </c>
      <c r="C490" s="126" t="s">
        <v>254</v>
      </c>
      <c r="D490" s="126" t="s">
        <v>255</v>
      </c>
      <c r="E490" s="126" t="s">
        <v>256</v>
      </c>
    </row>
    <row r="491" spans="1:5" x14ac:dyDescent="0.3">
      <c r="A491" s="109" t="s">
        <v>257</v>
      </c>
      <c r="B491" s="109" t="s">
        <v>258</v>
      </c>
      <c r="C491" s="127">
        <v>0.05</v>
      </c>
      <c r="D491" s="128">
        <f>E511</f>
        <v>4200</v>
      </c>
      <c r="E491" s="128">
        <f>C491*D491</f>
        <v>210</v>
      </c>
    </row>
    <row r="492" spans="1:5" x14ac:dyDescent="0.3">
      <c r="A492" s="109"/>
      <c r="B492" s="109"/>
      <c r="C492" s="109"/>
      <c r="D492" s="128"/>
      <c r="E492" s="128"/>
    </row>
    <row r="493" spans="1:5" x14ac:dyDescent="0.3">
      <c r="A493" s="233" t="s">
        <v>260</v>
      </c>
      <c r="B493" s="234"/>
      <c r="C493" s="234"/>
      <c r="D493" s="234"/>
      <c r="E493" s="129">
        <f>SUM(E491:E491)</f>
        <v>210</v>
      </c>
    </row>
    <row r="494" spans="1:5" x14ac:dyDescent="0.3">
      <c r="A494" s="237" t="s">
        <v>261</v>
      </c>
      <c r="B494" s="238"/>
      <c r="C494" s="238"/>
      <c r="D494" s="238"/>
      <c r="E494" s="238"/>
    </row>
    <row r="495" spans="1:5" x14ac:dyDescent="0.3">
      <c r="A495" s="126" t="s">
        <v>58</v>
      </c>
      <c r="B495" s="126" t="s">
        <v>251</v>
      </c>
      <c r="C495" s="126" t="s">
        <v>262</v>
      </c>
      <c r="D495" s="126" t="s">
        <v>263</v>
      </c>
      <c r="E495" s="126" t="s">
        <v>256</v>
      </c>
    </row>
    <row r="496" spans="1:5" x14ac:dyDescent="0.3">
      <c r="A496" s="110" t="s">
        <v>322</v>
      </c>
      <c r="B496" s="109" t="s">
        <v>287</v>
      </c>
      <c r="C496" s="138">
        <v>3.5000000000000003E-2</v>
      </c>
      <c r="D496" s="128">
        <v>93300</v>
      </c>
      <c r="E496" s="128">
        <f>C496*D496</f>
        <v>3265.5000000000005</v>
      </c>
    </row>
    <row r="497" spans="1:5" x14ac:dyDescent="0.3">
      <c r="A497" s="110" t="s">
        <v>323</v>
      </c>
      <c r="B497" s="109" t="s">
        <v>7</v>
      </c>
      <c r="C497" s="130">
        <v>5.0000000000000001E-3</v>
      </c>
      <c r="D497" s="128">
        <v>276000</v>
      </c>
      <c r="E497" s="128">
        <f>C497*D497</f>
        <v>1380</v>
      </c>
    </row>
    <row r="498" spans="1:5" x14ac:dyDescent="0.3">
      <c r="A498" s="110"/>
      <c r="B498" s="109"/>
      <c r="C498" s="130"/>
      <c r="D498" s="128"/>
      <c r="E498" s="128"/>
    </row>
    <row r="499" spans="1:5" x14ac:dyDescent="0.3">
      <c r="A499" s="131" t="s">
        <v>267</v>
      </c>
      <c r="B499" s="235"/>
      <c r="C499" s="236"/>
      <c r="D499" s="236"/>
      <c r="E499" s="128">
        <v>0</v>
      </c>
    </row>
    <row r="500" spans="1:5" x14ac:dyDescent="0.3">
      <c r="A500" s="131"/>
      <c r="B500" s="132"/>
      <c r="C500" s="104"/>
      <c r="D500" s="104"/>
      <c r="E500" s="128"/>
    </row>
    <row r="501" spans="1:5" x14ac:dyDescent="0.3">
      <c r="A501" s="233" t="s">
        <v>260</v>
      </c>
      <c r="B501" s="234"/>
      <c r="C501" s="234"/>
      <c r="D501" s="234"/>
      <c r="E501" s="129">
        <f>SUM(E496:E499)</f>
        <v>4645.5</v>
      </c>
    </row>
    <row r="502" spans="1:5" x14ac:dyDescent="0.3">
      <c r="A502" s="237" t="s">
        <v>268</v>
      </c>
      <c r="B502" s="238"/>
      <c r="C502" s="238"/>
      <c r="D502" s="238"/>
      <c r="E502" s="238"/>
    </row>
    <row r="503" spans="1:5" x14ac:dyDescent="0.3">
      <c r="A503" s="126" t="s">
        <v>58</v>
      </c>
      <c r="B503" s="126" t="s">
        <v>251</v>
      </c>
      <c r="C503" s="126" t="s">
        <v>254</v>
      </c>
      <c r="D503" s="126" t="s">
        <v>255</v>
      </c>
      <c r="E503" s="126" t="s">
        <v>256</v>
      </c>
    </row>
    <row r="504" spans="1:5" x14ac:dyDescent="0.3">
      <c r="A504" s="110" t="s">
        <v>269</v>
      </c>
      <c r="B504" s="109" t="s">
        <v>270</v>
      </c>
      <c r="C504" s="127">
        <v>0</v>
      </c>
      <c r="D504" s="128">
        <v>60000</v>
      </c>
      <c r="E504" s="128">
        <f>D504*C504</f>
        <v>0</v>
      </c>
    </row>
    <row r="505" spans="1:5" x14ac:dyDescent="0.3">
      <c r="A505" s="110"/>
      <c r="B505" s="109"/>
      <c r="C505" s="127"/>
      <c r="D505" s="128"/>
      <c r="E505" s="128"/>
    </row>
    <row r="506" spans="1:5" x14ac:dyDescent="0.3">
      <c r="A506" s="233" t="s">
        <v>260</v>
      </c>
      <c r="B506" s="234"/>
      <c r="C506" s="234"/>
      <c r="D506" s="234"/>
      <c r="E506" s="129">
        <f>SUM(E504)</f>
        <v>0</v>
      </c>
    </row>
    <row r="507" spans="1:5" x14ac:dyDescent="0.3">
      <c r="A507" s="237" t="s">
        <v>271</v>
      </c>
      <c r="B507" s="238"/>
      <c r="C507" s="238"/>
      <c r="D507" s="238"/>
      <c r="E507" s="238"/>
    </row>
    <row r="508" spans="1:5" x14ac:dyDescent="0.3">
      <c r="A508" s="126" t="s">
        <v>58</v>
      </c>
      <c r="B508" s="126" t="s">
        <v>251</v>
      </c>
      <c r="C508" s="126" t="s">
        <v>254</v>
      </c>
      <c r="D508" s="126" t="s">
        <v>272</v>
      </c>
      <c r="E508" s="126" t="s">
        <v>256</v>
      </c>
    </row>
    <row r="509" spans="1:5" x14ac:dyDescent="0.3">
      <c r="A509" s="110" t="s">
        <v>289</v>
      </c>
      <c r="B509" s="109" t="s">
        <v>270</v>
      </c>
      <c r="C509" s="127">
        <v>50</v>
      </c>
      <c r="D509" s="128">
        <v>210000</v>
      </c>
      <c r="E509" s="128">
        <f>D509/C509</f>
        <v>4200</v>
      </c>
    </row>
    <row r="510" spans="1:5" x14ac:dyDescent="0.3">
      <c r="A510" s="110"/>
      <c r="B510" s="109"/>
      <c r="C510" s="127"/>
      <c r="D510" s="128"/>
      <c r="E510" s="128"/>
    </row>
    <row r="511" spans="1:5" x14ac:dyDescent="0.3">
      <c r="A511" s="233" t="s">
        <v>260</v>
      </c>
      <c r="B511" s="234"/>
      <c r="C511" s="234"/>
      <c r="D511" s="234"/>
      <c r="E511" s="129">
        <f>SUM(E509)</f>
        <v>4200</v>
      </c>
    </row>
    <row r="512" spans="1:5" x14ac:dyDescent="0.3">
      <c r="A512" s="109"/>
      <c r="B512" s="104"/>
      <c r="C512" s="104"/>
      <c r="D512" s="104"/>
      <c r="E512" s="104"/>
    </row>
    <row r="513" spans="1:5" x14ac:dyDescent="0.3">
      <c r="A513" s="233" t="s">
        <v>274</v>
      </c>
      <c r="B513" s="234"/>
      <c r="C513" s="234"/>
      <c r="D513" s="234"/>
      <c r="E513" s="129">
        <f>SUM(E493,E501,E506,E511)</f>
        <v>9055.5</v>
      </c>
    </row>
    <row r="514" spans="1:5" x14ac:dyDescent="0.3">
      <c r="A514" s="148"/>
      <c r="B514" s="148"/>
      <c r="C514" s="148"/>
      <c r="D514" s="148"/>
      <c r="E514" s="148"/>
    </row>
    <row r="515" spans="1:5" x14ac:dyDescent="0.3">
      <c r="A515" s="148"/>
      <c r="B515" s="148"/>
      <c r="C515" s="148"/>
      <c r="D515" s="148"/>
      <c r="E515" s="148"/>
    </row>
    <row r="516" spans="1:5" x14ac:dyDescent="0.3">
      <c r="A516" s="139" t="s">
        <v>324</v>
      </c>
      <c r="B516" s="149"/>
      <c r="C516" s="149"/>
      <c r="D516" s="149"/>
      <c r="E516" s="149"/>
    </row>
    <row r="517" spans="1:5" x14ac:dyDescent="0.3">
      <c r="A517" s="148"/>
      <c r="B517" s="148"/>
      <c r="C517" s="148"/>
      <c r="D517" s="148"/>
      <c r="E517" s="148"/>
    </row>
    <row r="518" spans="1:5" x14ac:dyDescent="0.3">
      <c r="A518" s="246" t="s">
        <v>278</v>
      </c>
      <c r="B518" s="246"/>
      <c r="C518" s="246"/>
      <c r="D518" s="137" t="s">
        <v>203</v>
      </c>
      <c r="E518" s="135" t="s">
        <v>235</v>
      </c>
    </row>
    <row r="519" spans="1:5" x14ac:dyDescent="0.3">
      <c r="A519" s="241"/>
      <c r="B519" s="241"/>
      <c r="C519" s="241"/>
      <c r="D519" s="142" t="s">
        <v>251</v>
      </c>
      <c r="E519" s="142" t="s">
        <v>7</v>
      </c>
    </row>
    <row r="520" spans="1:5" x14ac:dyDescent="0.3">
      <c r="A520" s="237" t="s">
        <v>253</v>
      </c>
      <c r="B520" s="237"/>
      <c r="C520" s="237"/>
      <c r="D520" s="237"/>
      <c r="E520" s="237"/>
    </row>
    <row r="521" spans="1:5" x14ac:dyDescent="0.3">
      <c r="A521" s="142" t="s">
        <v>58</v>
      </c>
      <c r="B521" s="142" t="s">
        <v>251</v>
      </c>
      <c r="C521" s="142" t="s">
        <v>254</v>
      </c>
      <c r="D521" s="142" t="s">
        <v>255</v>
      </c>
      <c r="E521" s="142" t="s">
        <v>256</v>
      </c>
    </row>
    <row r="522" spans="1:5" x14ac:dyDescent="0.3">
      <c r="A522" s="109" t="s">
        <v>257</v>
      </c>
      <c r="B522" s="109" t="s">
        <v>258</v>
      </c>
      <c r="C522" s="127">
        <v>0.1</v>
      </c>
      <c r="D522" s="128">
        <f>E540</f>
        <v>2111.1111111111113</v>
      </c>
      <c r="E522" s="128">
        <f>C522*D522</f>
        <v>211.11111111111114</v>
      </c>
    </row>
    <row r="523" spans="1:5" x14ac:dyDescent="0.3">
      <c r="A523" s="109"/>
      <c r="B523" s="109"/>
      <c r="C523" s="109"/>
      <c r="D523" s="128"/>
      <c r="E523" s="128"/>
    </row>
    <row r="524" spans="1:5" x14ac:dyDescent="0.3">
      <c r="A524" s="242" t="s">
        <v>260</v>
      </c>
      <c r="B524" s="242"/>
      <c r="C524" s="242"/>
      <c r="D524" s="242"/>
      <c r="E524" s="143">
        <f>SUM(E522:E522)</f>
        <v>211.11111111111114</v>
      </c>
    </row>
    <row r="525" spans="1:5" x14ac:dyDescent="0.3">
      <c r="A525" s="237" t="s">
        <v>261</v>
      </c>
      <c r="B525" s="237"/>
      <c r="C525" s="237"/>
      <c r="D525" s="237"/>
      <c r="E525" s="237"/>
    </row>
    <row r="526" spans="1:5" x14ac:dyDescent="0.3">
      <c r="A526" s="142" t="s">
        <v>58</v>
      </c>
      <c r="B526" s="142" t="s">
        <v>251</v>
      </c>
      <c r="C526" s="142" t="s">
        <v>262</v>
      </c>
      <c r="D526" s="142" t="s">
        <v>263</v>
      </c>
      <c r="E526" s="142" t="s">
        <v>256</v>
      </c>
    </row>
    <row r="527" spans="1:5" x14ac:dyDescent="0.3">
      <c r="A527" s="110"/>
      <c r="B527" s="109"/>
      <c r="C527" s="130"/>
      <c r="D527" s="128"/>
      <c r="E527" s="128"/>
    </row>
    <row r="528" spans="1:5" x14ac:dyDescent="0.3">
      <c r="A528" s="131" t="s">
        <v>282</v>
      </c>
      <c r="B528" s="235"/>
      <c r="C528" s="235"/>
      <c r="D528" s="235"/>
      <c r="E528" s="128">
        <v>0</v>
      </c>
    </row>
    <row r="529" spans="1:5" x14ac:dyDescent="0.3">
      <c r="A529" s="131"/>
      <c r="B529" s="132"/>
      <c r="C529" s="104"/>
      <c r="D529" s="104"/>
      <c r="E529" s="128"/>
    </row>
    <row r="530" spans="1:5" x14ac:dyDescent="0.3">
      <c r="A530" s="242" t="s">
        <v>260</v>
      </c>
      <c r="B530" s="242"/>
      <c r="C530" s="242"/>
      <c r="D530" s="242"/>
      <c r="E530" s="143">
        <f>SUM(E527:E528)</f>
        <v>0</v>
      </c>
    </row>
    <row r="531" spans="1:5" x14ac:dyDescent="0.3">
      <c r="A531" s="237" t="s">
        <v>268</v>
      </c>
      <c r="B531" s="237"/>
      <c r="C531" s="237"/>
      <c r="D531" s="237"/>
      <c r="E531" s="237"/>
    </row>
    <row r="532" spans="1:5" x14ac:dyDescent="0.3">
      <c r="A532" s="142" t="s">
        <v>58</v>
      </c>
      <c r="B532" s="142" t="s">
        <v>251</v>
      </c>
      <c r="C532" s="142" t="s">
        <v>254</v>
      </c>
      <c r="D532" s="142" t="s">
        <v>255</v>
      </c>
      <c r="E532" s="142" t="s">
        <v>256</v>
      </c>
    </row>
    <row r="533" spans="1:5" x14ac:dyDescent="0.3">
      <c r="A533" s="110" t="s">
        <v>283</v>
      </c>
      <c r="B533" s="109" t="s">
        <v>270</v>
      </c>
      <c r="C533" s="127">
        <v>0</v>
      </c>
      <c r="D533" s="128">
        <v>45000</v>
      </c>
      <c r="E533" s="128">
        <f>D533*C533</f>
        <v>0</v>
      </c>
    </row>
    <row r="534" spans="1:5" x14ac:dyDescent="0.3">
      <c r="A534" s="110"/>
      <c r="B534" s="109"/>
      <c r="C534" s="127"/>
      <c r="D534" s="128"/>
      <c r="E534" s="128"/>
    </row>
    <row r="535" spans="1:5" x14ac:dyDescent="0.3">
      <c r="A535" s="242" t="s">
        <v>260</v>
      </c>
      <c r="B535" s="242"/>
      <c r="C535" s="242"/>
      <c r="D535" s="242"/>
      <c r="E535" s="143">
        <f>SUM(E533)</f>
        <v>0</v>
      </c>
    </row>
    <row r="536" spans="1:5" x14ac:dyDescent="0.3">
      <c r="A536" s="237" t="s">
        <v>271</v>
      </c>
      <c r="B536" s="237"/>
      <c r="C536" s="237"/>
      <c r="D536" s="237"/>
      <c r="E536" s="237"/>
    </row>
    <row r="537" spans="1:5" x14ac:dyDescent="0.3">
      <c r="A537" s="142" t="s">
        <v>58</v>
      </c>
      <c r="B537" s="142" t="s">
        <v>251</v>
      </c>
      <c r="C537" s="142" t="s">
        <v>254</v>
      </c>
      <c r="D537" s="142" t="s">
        <v>272</v>
      </c>
      <c r="E537" s="142" t="s">
        <v>256</v>
      </c>
    </row>
    <row r="538" spans="1:5" x14ac:dyDescent="0.3">
      <c r="A538" s="110" t="s">
        <v>325</v>
      </c>
      <c r="B538" s="109" t="s">
        <v>270</v>
      </c>
      <c r="C538" s="127">
        <v>45</v>
      </c>
      <c r="D538" s="128">
        <v>95000</v>
      </c>
      <c r="E538" s="128">
        <f>D538/C538</f>
        <v>2111.1111111111113</v>
      </c>
    </row>
    <row r="539" spans="1:5" x14ac:dyDescent="0.3">
      <c r="A539" s="110"/>
      <c r="B539" s="109"/>
      <c r="C539" s="127"/>
      <c r="D539" s="128"/>
      <c r="E539" s="128"/>
    </row>
    <row r="540" spans="1:5" x14ac:dyDescent="0.3">
      <c r="A540" s="242" t="s">
        <v>260</v>
      </c>
      <c r="B540" s="242"/>
      <c r="C540" s="242"/>
      <c r="D540" s="242"/>
      <c r="E540" s="143">
        <f>SUM(E538)</f>
        <v>2111.1111111111113</v>
      </c>
    </row>
    <row r="541" spans="1:5" x14ac:dyDescent="0.3">
      <c r="A541" s="109"/>
      <c r="B541" s="104"/>
      <c r="C541" s="104"/>
      <c r="D541" s="104"/>
      <c r="E541" s="104"/>
    </row>
    <row r="542" spans="1:5" x14ac:dyDescent="0.3">
      <c r="A542" s="242" t="s">
        <v>274</v>
      </c>
      <c r="B542" s="242"/>
      <c r="C542" s="242"/>
      <c r="D542" s="242"/>
      <c r="E542" s="143">
        <f>SUM(E524,E530,E535,E540)</f>
        <v>2322.2222222222226</v>
      </c>
    </row>
    <row r="543" spans="1:5" x14ac:dyDescent="0.3">
      <c r="A543" s="148"/>
      <c r="B543" s="148"/>
      <c r="C543" s="148"/>
      <c r="D543" s="148"/>
      <c r="E543" s="148"/>
    </row>
    <row r="544" spans="1:5" x14ac:dyDescent="0.3">
      <c r="A544" s="148"/>
      <c r="B544" s="148"/>
      <c r="C544" s="148"/>
      <c r="D544" s="148"/>
      <c r="E544" s="148"/>
    </row>
    <row r="545" spans="1:5" x14ac:dyDescent="0.3">
      <c r="A545" s="246" t="s">
        <v>326</v>
      </c>
      <c r="B545" s="246"/>
      <c r="C545" s="246"/>
      <c r="D545" s="137" t="s">
        <v>203</v>
      </c>
      <c r="E545" s="135" t="s">
        <v>235</v>
      </c>
    </row>
    <row r="546" spans="1:5" x14ac:dyDescent="0.3">
      <c r="A546" s="241"/>
      <c r="B546" s="241"/>
      <c r="C546" s="241"/>
      <c r="D546" s="125" t="s">
        <v>251</v>
      </c>
      <c r="E546" s="125" t="s">
        <v>5</v>
      </c>
    </row>
    <row r="547" spans="1:5" x14ac:dyDescent="0.3">
      <c r="A547" s="237" t="s">
        <v>253</v>
      </c>
      <c r="B547" s="237"/>
      <c r="C547" s="237"/>
      <c r="D547" s="237"/>
      <c r="E547" s="237"/>
    </row>
    <row r="548" spans="1:5" x14ac:dyDescent="0.3">
      <c r="A548" s="126" t="s">
        <v>58</v>
      </c>
      <c r="B548" s="126" t="s">
        <v>251</v>
      </c>
      <c r="C548" s="126" t="s">
        <v>254</v>
      </c>
      <c r="D548" s="126" t="s">
        <v>255</v>
      </c>
      <c r="E548" s="126" t="s">
        <v>256</v>
      </c>
    </row>
    <row r="549" spans="1:5" x14ac:dyDescent="0.3">
      <c r="A549" s="109" t="s">
        <v>257</v>
      </c>
      <c r="B549" s="109" t="s">
        <v>258</v>
      </c>
      <c r="C549" s="127">
        <v>0.1</v>
      </c>
      <c r="D549" s="128">
        <f>E571</f>
        <v>3250</v>
      </c>
      <c r="E549" s="128">
        <f>C549*D549</f>
        <v>325</v>
      </c>
    </row>
    <row r="550" spans="1:5" x14ac:dyDescent="0.3">
      <c r="A550" s="109"/>
      <c r="B550" s="109"/>
      <c r="C550" s="109"/>
      <c r="D550" s="128"/>
      <c r="E550" s="128"/>
    </row>
    <row r="551" spans="1:5" x14ac:dyDescent="0.3">
      <c r="A551" s="233" t="s">
        <v>260</v>
      </c>
      <c r="B551" s="233"/>
      <c r="C551" s="233"/>
      <c r="D551" s="233"/>
      <c r="E551" s="129">
        <f>SUM(E549:E549)</f>
        <v>325</v>
      </c>
    </row>
    <row r="552" spans="1:5" x14ac:dyDescent="0.3">
      <c r="A552" s="237" t="s">
        <v>261</v>
      </c>
      <c r="B552" s="237"/>
      <c r="C552" s="237"/>
      <c r="D552" s="237"/>
      <c r="E552" s="237"/>
    </row>
    <row r="553" spans="1:5" x14ac:dyDescent="0.3">
      <c r="A553" s="126" t="s">
        <v>58</v>
      </c>
      <c r="B553" s="126" t="s">
        <v>251</v>
      </c>
      <c r="C553" s="126" t="s">
        <v>262</v>
      </c>
      <c r="D553" s="126" t="s">
        <v>263</v>
      </c>
      <c r="E553" s="126" t="s">
        <v>256</v>
      </c>
    </row>
    <row r="554" spans="1:5" x14ac:dyDescent="0.3">
      <c r="A554" s="110" t="s">
        <v>279</v>
      </c>
      <c r="B554" s="109" t="s">
        <v>7</v>
      </c>
      <c r="C554" s="138">
        <v>0.20330000000000001</v>
      </c>
      <c r="D554" s="128">
        <v>48000</v>
      </c>
      <c r="E554" s="128">
        <f>C554*D554</f>
        <v>9758.4</v>
      </c>
    </row>
    <row r="555" spans="1:5" x14ac:dyDescent="0.3">
      <c r="A555" s="110" t="s">
        <v>327</v>
      </c>
      <c r="B555" s="109" t="s">
        <v>247</v>
      </c>
      <c r="C555" s="138">
        <v>0.01</v>
      </c>
      <c r="D555" s="128">
        <v>110000</v>
      </c>
      <c r="E555" s="128">
        <f>C555*D555</f>
        <v>1100</v>
      </c>
    </row>
    <row r="556" spans="1:5" x14ac:dyDescent="0.3">
      <c r="A556" s="110" t="s">
        <v>328</v>
      </c>
      <c r="B556" s="109" t="s">
        <v>329</v>
      </c>
      <c r="C556" s="138">
        <v>0.05</v>
      </c>
      <c r="D556" s="128">
        <v>30000</v>
      </c>
      <c r="E556" s="128">
        <f>C556*D556</f>
        <v>1500</v>
      </c>
    </row>
    <row r="557" spans="1:5" x14ac:dyDescent="0.3">
      <c r="A557" s="110" t="s">
        <v>280</v>
      </c>
      <c r="B557" s="109" t="s">
        <v>281</v>
      </c>
      <c r="C557" s="130">
        <v>0.01</v>
      </c>
      <c r="D557" s="128">
        <v>56000</v>
      </c>
      <c r="E557" s="128">
        <f>C557*D557</f>
        <v>560</v>
      </c>
    </row>
    <row r="558" spans="1:5" x14ac:dyDescent="0.3">
      <c r="A558" s="110"/>
      <c r="B558" s="109"/>
      <c r="C558" s="130"/>
      <c r="D558" s="128"/>
      <c r="E558" s="128"/>
    </row>
    <row r="559" spans="1:5" x14ac:dyDescent="0.3">
      <c r="A559" s="131" t="s">
        <v>282</v>
      </c>
      <c r="B559" s="235"/>
      <c r="C559" s="235"/>
      <c r="D559" s="235"/>
      <c r="E559" s="128">
        <f>E554*0.03</f>
        <v>292.75199999999995</v>
      </c>
    </row>
    <row r="560" spans="1:5" x14ac:dyDescent="0.3">
      <c r="A560" s="131"/>
      <c r="B560" s="132"/>
      <c r="C560" s="104"/>
      <c r="D560" s="104"/>
      <c r="E560" s="128"/>
    </row>
    <row r="561" spans="1:5" x14ac:dyDescent="0.3">
      <c r="A561" s="233" t="s">
        <v>260</v>
      </c>
      <c r="B561" s="233"/>
      <c r="C561" s="233"/>
      <c r="D561" s="233"/>
      <c r="E561" s="129">
        <f>SUM(E554:E559)</f>
        <v>13211.152</v>
      </c>
    </row>
    <row r="562" spans="1:5" x14ac:dyDescent="0.3">
      <c r="A562" s="237" t="s">
        <v>268</v>
      </c>
      <c r="B562" s="237"/>
      <c r="C562" s="237"/>
      <c r="D562" s="237"/>
      <c r="E562" s="237"/>
    </row>
    <row r="563" spans="1:5" x14ac:dyDescent="0.3">
      <c r="A563" s="126" t="s">
        <v>58</v>
      </c>
      <c r="B563" s="126" t="s">
        <v>251</v>
      </c>
      <c r="C563" s="126" t="s">
        <v>254</v>
      </c>
      <c r="D563" s="126" t="s">
        <v>255</v>
      </c>
      <c r="E563" s="126" t="s">
        <v>256</v>
      </c>
    </row>
    <row r="564" spans="1:5" x14ac:dyDescent="0.3">
      <c r="A564" s="110" t="s">
        <v>283</v>
      </c>
      <c r="B564" s="109" t="s">
        <v>270</v>
      </c>
      <c r="C564" s="127">
        <v>0.02</v>
      </c>
      <c r="D564" s="128">
        <v>45000</v>
      </c>
      <c r="E564" s="128">
        <f>D564*C564</f>
        <v>900</v>
      </c>
    </row>
    <row r="565" spans="1:5" x14ac:dyDescent="0.3">
      <c r="A565" s="110"/>
      <c r="B565" s="109"/>
      <c r="C565" s="127"/>
      <c r="D565" s="128"/>
      <c r="E565" s="128"/>
    </row>
    <row r="566" spans="1:5" x14ac:dyDescent="0.3">
      <c r="A566" s="233" t="s">
        <v>260</v>
      </c>
      <c r="B566" s="233"/>
      <c r="C566" s="233"/>
      <c r="D566" s="233"/>
      <c r="E566" s="129">
        <f>SUM(E564)</f>
        <v>900</v>
      </c>
    </row>
    <row r="567" spans="1:5" x14ac:dyDescent="0.3">
      <c r="A567" s="237" t="s">
        <v>271</v>
      </c>
      <c r="B567" s="237"/>
      <c r="C567" s="237"/>
      <c r="D567" s="237"/>
      <c r="E567" s="237"/>
    </row>
    <row r="568" spans="1:5" x14ac:dyDescent="0.3">
      <c r="A568" s="126" t="s">
        <v>58</v>
      </c>
      <c r="B568" s="126" t="s">
        <v>251</v>
      </c>
      <c r="C568" s="126" t="s">
        <v>254</v>
      </c>
      <c r="D568" s="126" t="s">
        <v>272</v>
      </c>
      <c r="E568" s="126" t="s">
        <v>256</v>
      </c>
    </row>
    <row r="569" spans="1:5" x14ac:dyDescent="0.3">
      <c r="A569" s="110" t="s">
        <v>313</v>
      </c>
      <c r="B569" s="109" t="s">
        <v>270</v>
      </c>
      <c r="C569" s="127">
        <v>40</v>
      </c>
      <c r="D569" s="128">
        <v>130000</v>
      </c>
      <c r="E569" s="128">
        <f>D569/C569</f>
        <v>3250</v>
      </c>
    </row>
    <row r="570" spans="1:5" x14ac:dyDescent="0.3">
      <c r="A570" s="110"/>
      <c r="B570" s="109"/>
      <c r="C570" s="127"/>
      <c r="D570" s="128"/>
      <c r="E570" s="128"/>
    </row>
    <row r="571" spans="1:5" x14ac:dyDescent="0.3">
      <c r="A571" s="233" t="s">
        <v>260</v>
      </c>
      <c r="B571" s="233"/>
      <c r="C571" s="233"/>
      <c r="D571" s="233"/>
      <c r="E571" s="129">
        <f>SUM(E569)</f>
        <v>3250</v>
      </c>
    </row>
    <row r="572" spans="1:5" x14ac:dyDescent="0.3">
      <c r="A572" s="109"/>
      <c r="B572" s="104"/>
      <c r="C572" s="104"/>
      <c r="D572" s="104"/>
      <c r="E572" s="104"/>
    </row>
    <row r="573" spans="1:5" x14ac:dyDescent="0.3">
      <c r="A573" s="233" t="s">
        <v>274</v>
      </c>
      <c r="B573" s="233"/>
      <c r="C573" s="233"/>
      <c r="D573" s="233"/>
      <c r="E573" s="129">
        <f>SUM(E551,E561,E566,E571)</f>
        <v>17686.152000000002</v>
      </c>
    </row>
    <row r="574" spans="1:5" x14ac:dyDescent="0.3">
      <c r="A574" s="148"/>
      <c r="B574" s="148"/>
      <c r="C574" s="148"/>
      <c r="D574" s="148"/>
      <c r="E574" s="148"/>
    </row>
    <row r="575" spans="1:5" x14ac:dyDescent="0.3">
      <c r="A575" s="148"/>
      <c r="B575" s="148"/>
      <c r="C575" s="148"/>
      <c r="D575" s="148"/>
      <c r="E575" s="148"/>
    </row>
    <row r="576" spans="1:5" x14ac:dyDescent="0.3">
      <c r="A576" s="244" t="s">
        <v>238</v>
      </c>
      <c r="B576" s="245"/>
      <c r="C576" s="245"/>
      <c r="D576" s="135" t="s">
        <v>203</v>
      </c>
      <c r="E576" s="135" t="s">
        <v>233</v>
      </c>
    </row>
    <row r="577" spans="1:5" x14ac:dyDescent="0.3">
      <c r="A577" s="241"/>
      <c r="B577" s="236"/>
      <c r="C577" s="236"/>
      <c r="D577" s="125" t="s">
        <v>251</v>
      </c>
      <c r="E577" s="125" t="s">
        <v>7</v>
      </c>
    </row>
    <row r="578" spans="1:5" x14ac:dyDescent="0.3">
      <c r="A578" s="237" t="s">
        <v>253</v>
      </c>
      <c r="B578" s="238"/>
      <c r="C578" s="238"/>
      <c r="D578" s="238"/>
      <c r="E578" s="238"/>
    </row>
    <row r="579" spans="1:5" x14ac:dyDescent="0.3">
      <c r="A579" s="126" t="s">
        <v>58</v>
      </c>
      <c r="B579" s="126" t="s">
        <v>251</v>
      </c>
      <c r="C579" s="126" t="s">
        <v>254</v>
      </c>
      <c r="D579" s="126" t="s">
        <v>255</v>
      </c>
      <c r="E579" s="126" t="s">
        <v>256</v>
      </c>
    </row>
    <row r="580" spans="1:5" x14ac:dyDescent="0.3">
      <c r="A580" s="109" t="s">
        <v>257</v>
      </c>
      <c r="B580" s="109" t="s">
        <v>258</v>
      </c>
      <c r="C580" s="127">
        <v>0.05</v>
      </c>
      <c r="D580" s="128">
        <f>E599</f>
        <v>6000</v>
      </c>
      <c r="E580" s="128">
        <f>C580*D580</f>
        <v>300</v>
      </c>
    </row>
    <row r="581" spans="1:5" x14ac:dyDescent="0.3">
      <c r="A581" s="109"/>
      <c r="B581" s="109"/>
      <c r="C581" s="109"/>
      <c r="D581" s="128"/>
      <c r="E581" s="128"/>
    </row>
    <row r="582" spans="1:5" x14ac:dyDescent="0.3">
      <c r="A582" s="233" t="s">
        <v>260</v>
      </c>
      <c r="B582" s="234"/>
      <c r="C582" s="234"/>
      <c r="D582" s="234"/>
      <c r="E582" s="129">
        <f>SUM(E580:E580)</f>
        <v>300</v>
      </c>
    </row>
    <row r="583" spans="1:5" x14ac:dyDescent="0.3">
      <c r="A583" s="237" t="s">
        <v>261</v>
      </c>
      <c r="B583" s="238"/>
      <c r="C583" s="238"/>
      <c r="D583" s="238"/>
      <c r="E583" s="238"/>
    </row>
    <row r="584" spans="1:5" x14ac:dyDescent="0.3">
      <c r="A584" s="126" t="s">
        <v>58</v>
      </c>
      <c r="B584" s="126" t="s">
        <v>251</v>
      </c>
      <c r="C584" s="126" t="s">
        <v>262</v>
      </c>
      <c r="D584" s="126" t="s">
        <v>263</v>
      </c>
      <c r="E584" s="126" t="s">
        <v>256</v>
      </c>
    </row>
    <row r="585" spans="1:5" x14ac:dyDescent="0.3">
      <c r="A585" s="110" t="s">
        <v>330</v>
      </c>
      <c r="B585" s="109" t="s">
        <v>7</v>
      </c>
      <c r="C585" s="130">
        <v>4.5984151368760065E-2</v>
      </c>
      <c r="D585" s="128">
        <v>276000</v>
      </c>
      <c r="E585" s="128">
        <f>C585*D585</f>
        <v>12691.625777777777</v>
      </c>
    </row>
    <row r="586" spans="1:5" x14ac:dyDescent="0.3">
      <c r="A586" s="110"/>
      <c r="B586" s="109"/>
      <c r="C586" s="130"/>
      <c r="D586" s="128"/>
      <c r="E586" s="128"/>
    </row>
    <row r="587" spans="1:5" x14ac:dyDescent="0.3">
      <c r="A587" s="131" t="s">
        <v>267</v>
      </c>
      <c r="B587" s="235"/>
      <c r="C587" s="236"/>
      <c r="D587" s="236"/>
      <c r="E587" s="128">
        <v>0</v>
      </c>
    </row>
    <row r="588" spans="1:5" x14ac:dyDescent="0.3">
      <c r="A588" s="131"/>
      <c r="B588" s="132"/>
      <c r="C588" s="104"/>
      <c r="D588" s="104"/>
      <c r="E588" s="128"/>
    </row>
    <row r="589" spans="1:5" x14ac:dyDescent="0.3">
      <c r="A589" s="233" t="s">
        <v>260</v>
      </c>
      <c r="B589" s="234"/>
      <c r="C589" s="234"/>
      <c r="D589" s="234"/>
      <c r="E589" s="129">
        <f>SUM(E585:E587)</f>
        <v>12691.625777777777</v>
      </c>
    </row>
    <row r="590" spans="1:5" x14ac:dyDescent="0.3">
      <c r="A590" s="237" t="s">
        <v>268</v>
      </c>
      <c r="B590" s="238"/>
      <c r="C590" s="238"/>
      <c r="D590" s="238"/>
      <c r="E590" s="238"/>
    </row>
    <row r="591" spans="1:5" x14ac:dyDescent="0.3">
      <c r="A591" s="126" t="s">
        <v>58</v>
      </c>
      <c r="B591" s="126" t="s">
        <v>251</v>
      </c>
      <c r="C591" s="126" t="s">
        <v>254</v>
      </c>
      <c r="D591" s="126" t="s">
        <v>255</v>
      </c>
      <c r="E591" s="126" t="s">
        <v>256</v>
      </c>
    </row>
    <row r="592" spans="1:5" x14ac:dyDescent="0.3">
      <c r="A592" s="110" t="s">
        <v>269</v>
      </c>
      <c r="B592" s="109" t="s">
        <v>270</v>
      </c>
      <c r="C592" s="127">
        <v>0</v>
      </c>
      <c r="D592" s="128">
        <v>60000</v>
      </c>
      <c r="E592" s="128">
        <f>D592*C592</f>
        <v>0</v>
      </c>
    </row>
    <row r="593" spans="1:5" x14ac:dyDescent="0.3">
      <c r="A593" s="110"/>
      <c r="B593" s="109"/>
      <c r="C593" s="127"/>
      <c r="D593" s="128"/>
      <c r="E593" s="128"/>
    </row>
    <row r="594" spans="1:5" x14ac:dyDescent="0.3">
      <c r="A594" s="233" t="s">
        <v>260</v>
      </c>
      <c r="B594" s="234"/>
      <c r="C594" s="234"/>
      <c r="D594" s="234"/>
      <c r="E594" s="129">
        <f>SUM(E592)</f>
        <v>0</v>
      </c>
    </row>
    <row r="595" spans="1:5" x14ac:dyDescent="0.3">
      <c r="A595" s="237" t="s">
        <v>271</v>
      </c>
      <c r="B595" s="238"/>
      <c r="C595" s="238"/>
      <c r="D595" s="238"/>
      <c r="E595" s="238"/>
    </row>
    <row r="596" spans="1:5" x14ac:dyDescent="0.3">
      <c r="A596" s="126" t="s">
        <v>58</v>
      </c>
      <c r="B596" s="126" t="s">
        <v>251</v>
      </c>
      <c r="C596" s="126" t="s">
        <v>254</v>
      </c>
      <c r="D596" s="126" t="s">
        <v>272</v>
      </c>
      <c r="E596" s="126" t="s">
        <v>256</v>
      </c>
    </row>
    <row r="597" spans="1:5" x14ac:dyDescent="0.3">
      <c r="A597" s="110" t="s">
        <v>289</v>
      </c>
      <c r="B597" s="109" t="s">
        <v>270</v>
      </c>
      <c r="C597" s="127">
        <v>35</v>
      </c>
      <c r="D597" s="128">
        <v>210000</v>
      </c>
      <c r="E597" s="128">
        <f>D597/C597</f>
        <v>6000</v>
      </c>
    </row>
    <row r="598" spans="1:5" x14ac:dyDescent="0.3">
      <c r="A598" s="110"/>
      <c r="B598" s="109"/>
      <c r="C598" s="127"/>
      <c r="D598" s="128"/>
      <c r="E598" s="128"/>
    </row>
    <row r="599" spans="1:5" x14ac:dyDescent="0.3">
      <c r="A599" s="233" t="s">
        <v>260</v>
      </c>
      <c r="B599" s="234"/>
      <c r="C599" s="234"/>
      <c r="D599" s="234"/>
      <c r="E599" s="129">
        <f>SUM(E597)</f>
        <v>6000</v>
      </c>
    </row>
    <row r="600" spans="1:5" x14ac:dyDescent="0.3">
      <c r="A600" s="109"/>
      <c r="B600" s="104"/>
      <c r="C600" s="104"/>
      <c r="D600" s="104"/>
      <c r="E600" s="104"/>
    </row>
    <row r="601" spans="1:5" x14ac:dyDescent="0.3">
      <c r="A601" s="233" t="s">
        <v>274</v>
      </c>
      <c r="B601" s="234"/>
      <c r="C601" s="234"/>
      <c r="D601" s="234"/>
      <c r="E601" s="129">
        <f>SUM(E582,E589,E594,E599)</f>
        <v>18991.625777777779</v>
      </c>
    </row>
    <row r="602" spans="1:5" x14ac:dyDescent="0.3">
      <c r="A602" s="133"/>
      <c r="B602" s="134"/>
      <c r="C602" s="134"/>
      <c r="D602" s="134"/>
      <c r="E602" s="134"/>
    </row>
    <row r="603" spans="1:5" x14ac:dyDescent="0.3">
      <c r="A603" s="133"/>
      <c r="B603" s="134"/>
      <c r="C603" s="134"/>
      <c r="D603" s="134"/>
      <c r="E603" s="134"/>
    </row>
    <row r="604" spans="1:5" x14ac:dyDescent="0.3">
      <c r="A604" s="139" t="s">
        <v>331</v>
      </c>
      <c r="B604" s="149"/>
      <c r="C604" s="149"/>
      <c r="D604" s="149"/>
      <c r="E604" s="149"/>
    </row>
    <row r="605" spans="1:5" x14ac:dyDescent="0.3">
      <c r="A605" s="133"/>
      <c r="B605" s="134"/>
      <c r="C605" s="134"/>
      <c r="D605" s="134"/>
      <c r="E605" s="134"/>
    </row>
    <row r="606" spans="1:5" x14ac:dyDescent="0.3">
      <c r="A606" s="246" t="s">
        <v>300</v>
      </c>
      <c r="B606" s="246"/>
      <c r="C606" s="246"/>
      <c r="D606" s="137" t="s">
        <v>203</v>
      </c>
      <c r="E606" s="137" t="s">
        <v>239</v>
      </c>
    </row>
    <row r="607" spans="1:5" x14ac:dyDescent="0.3">
      <c r="A607" s="241"/>
      <c r="B607" s="236"/>
      <c r="C607" s="236"/>
      <c r="D607" s="142" t="s">
        <v>251</v>
      </c>
      <c r="E607" s="142" t="s">
        <v>7</v>
      </c>
    </row>
    <row r="608" spans="1:5" x14ac:dyDescent="0.3">
      <c r="A608" s="237" t="s">
        <v>253</v>
      </c>
      <c r="B608" s="238"/>
      <c r="C608" s="238"/>
      <c r="D608" s="238"/>
      <c r="E608" s="238"/>
    </row>
    <row r="609" spans="1:5" x14ac:dyDescent="0.3">
      <c r="A609" s="142" t="s">
        <v>58</v>
      </c>
      <c r="B609" s="142" t="s">
        <v>251</v>
      </c>
      <c r="C609" s="142" t="s">
        <v>254</v>
      </c>
      <c r="D609" s="142" t="s">
        <v>255</v>
      </c>
      <c r="E609" s="142" t="s">
        <v>256</v>
      </c>
    </row>
    <row r="610" spans="1:5" x14ac:dyDescent="0.3">
      <c r="A610" s="109" t="s">
        <v>257</v>
      </c>
      <c r="B610" s="109" t="s">
        <v>258</v>
      </c>
      <c r="C610" s="127">
        <v>0.1</v>
      </c>
      <c r="D610" s="128">
        <f>E628</f>
        <v>19000</v>
      </c>
      <c r="E610" s="128">
        <f>C610*D610</f>
        <v>1900</v>
      </c>
    </row>
    <row r="611" spans="1:5" x14ac:dyDescent="0.3">
      <c r="A611" s="109"/>
      <c r="B611" s="109"/>
      <c r="C611" s="109"/>
      <c r="D611" s="128"/>
      <c r="E611" s="128"/>
    </row>
    <row r="612" spans="1:5" x14ac:dyDescent="0.3">
      <c r="A612" s="233" t="s">
        <v>260</v>
      </c>
      <c r="B612" s="234"/>
      <c r="C612" s="234"/>
      <c r="D612" s="234"/>
      <c r="E612" s="129">
        <f>SUM(E610:E610)</f>
        <v>1900</v>
      </c>
    </row>
    <row r="613" spans="1:5" x14ac:dyDescent="0.3">
      <c r="A613" s="237" t="s">
        <v>261</v>
      </c>
      <c r="B613" s="238"/>
      <c r="C613" s="238"/>
      <c r="D613" s="238"/>
      <c r="E613" s="238"/>
    </row>
    <row r="614" spans="1:5" x14ac:dyDescent="0.3">
      <c r="A614" s="142" t="s">
        <v>58</v>
      </c>
      <c r="B614" s="142" t="s">
        <v>251</v>
      </c>
      <c r="C614" s="142" t="s">
        <v>262</v>
      </c>
      <c r="D614" s="142" t="s">
        <v>263</v>
      </c>
      <c r="E614" s="142" t="s">
        <v>256</v>
      </c>
    </row>
    <row r="615" spans="1:5" x14ac:dyDescent="0.3">
      <c r="A615" s="110"/>
      <c r="B615" s="109"/>
      <c r="C615" s="130"/>
      <c r="D615" s="128"/>
      <c r="E615" s="128"/>
    </row>
    <row r="616" spans="1:5" x14ac:dyDescent="0.3">
      <c r="A616" s="131" t="s">
        <v>301</v>
      </c>
      <c r="B616" s="235"/>
      <c r="C616" s="236"/>
      <c r="D616" s="236"/>
      <c r="E616" s="128">
        <v>0</v>
      </c>
    </row>
    <row r="617" spans="1:5" x14ac:dyDescent="0.3">
      <c r="A617" s="131"/>
      <c r="B617" s="132"/>
      <c r="C617" s="104"/>
      <c r="D617" s="104"/>
      <c r="E617" s="128"/>
    </row>
    <row r="618" spans="1:5" x14ac:dyDescent="0.3">
      <c r="A618" s="242" t="s">
        <v>260</v>
      </c>
      <c r="B618" s="243"/>
      <c r="C618" s="243"/>
      <c r="D618" s="243"/>
      <c r="E618" s="143">
        <f>SUM(E615:E616)</f>
        <v>0</v>
      </c>
    </row>
    <row r="619" spans="1:5" x14ac:dyDescent="0.3">
      <c r="A619" s="237" t="s">
        <v>268</v>
      </c>
      <c r="B619" s="238"/>
      <c r="C619" s="238"/>
      <c r="D619" s="238"/>
      <c r="E619" s="238"/>
    </row>
    <row r="620" spans="1:5" x14ac:dyDescent="0.3">
      <c r="A620" s="142" t="s">
        <v>58</v>
      </c>
      <c r="B620" s="142" t="s">
        <v>251</v>
      </c>
      <c r="C620" s="142" t="s">
        <v>254</v>
      </c>
      <c r="D620" s="142" t="s">
        <v>255</v>
      </c>
      <c r="E620" s="142" t="s">
        <v>256</v>
      </c>
    </row>
    <row r="621" spans="1:5" x14ac:dyDescent="0.3">
      <c r="A621" s="110" t="s">
        <v>283</v>
      </c>
      <c r="B621" s="109" t="s">
        <v>270</v>
      </c>
      <c r="C621" s="127">
        <v>0</v>
      </c>
      <c r="D621" s="128">
        <v>45000</v>
      </c>
      <c r="E621" s="128">
        <f>D621*C621</f>
        <v>0</v>
      </c>
    </row>
    <row r="622" spans="1:5" x14ac:dyDescent="0.3">
      <c r="A622" s="110"/>
      <c r="B622" s="109"/>
      <c r="C622" s="127"/>
      <c r="D622" s="128"/>
      <c r="E622" s="128"/>
    </row>
    <row r="623" spans="1:5" x14ac:dyDescent="0.3">
      <c r="A623" s="233" t="s">
        <v>260</v>
      </c>
      <c r="B623" s="234"/>
      <c r="C623" s="234"/>
      <c r="D623" s="234"/>
      <c r="E623" s="129">
        <f>SUM(E621)</f>
        <v>0</v>
      </c>
    </row>
    <row r="624" spans="1:5" x14ac:dyDescent="0.3">
      <c r="A624" s="237" t="s">
        <v>271</v>
      </c>
      <c r="B624" s="238"/>
      <c r="C624" s="238"/>
      <c r="D624" s="238"/>
      <c r="E624" s="238"/>
    </row>
    <row r="625" spans="1:5" x14ac:dyDescent="0.3">
      <c r="A625" s="142" t="s">
        <v>58</v>
      </c>
      <c r="B625" s="142" t="s">
        <v>251</v>
      </c>
      <c r="C625" s="142" t="s">
        <v>254</v>
      </c>
      <c r="D625" s="142" t="s">
        <v>272</v>
      </c>
      <c r="E625" s="142" t="s">
        <v>256</v>
      </c>
    </row>
    <row r="626" spans="1:5" x14ac:dyDescent="0.3">
      <c r="A626" s="110" t="s">
        <v>302</v>
      </c>
      <c r="B626" s="109" t="s">
        <v>270</v>
      </c>
      <c r="C626" s="127">
        <v>10</v>
      </c>
      <c r="D626" s="128">
        <v>190000</v>
      </c>
      <c r="E626" s="128">
        <f>D626/C626</f>
        <v>19000</v>
      </c>
    </row>
    <row r="627" spans="1:5" x14ac:dyDescent="0.3">
      <c r="A627" s="110"/>
      <c r="B627" s="109"/>
      <c r="C627" s="127"/>
      <c r="D627" s="128"/>
      <c r="E627" s="128"/>
    </row>
    <row r="628" spans="1:5" x14ac:dyDescent="0.3">
      <c r="A628" s="242" t="s">
        <v>260</v>
      </c>
      <c r="B628" s="243"/>
      <c r="C628" s="243"/>
      <c r="D628" s="243"/>
      <c r="E628" s="143">
        <f>SUM(E626)</f>
        <v>19000</v>
      </c>
    </row>
    <row r="629" spans="1:5" x14ac:dyDescent="0.3">
      <c r="A629" s="109"/>
      <c r="B629" s="104"/>
      <c r="C629" s="104"/>
      <c r="D629" s="104"/>
      <c r="E629" s="104"/>
    </row>
    <row r="630" spans="1:5" x14ac:dyDescent="0.3">
      <c r="A630" s="242" t="s">
        <v>274</v>
      </c>
      <c r="B630" s="243"/>
      <c r="C630" s="243"/>
      <c r="D630" s="243"/>
      <c r="E630" s="143">
        <f>SUM(E612,E618,E623,E628)</f>
        <v>20900</v>
      </c>
    </row>
    <row r="631" spans="1:5" x14ac:dyDescent="0.3">
      <c r="A631" s="148"/>
      <c r="B631" s="148"/>
      <c r="C631" s="148"/>
      <c r="D631" s="148"/>
      <c r="E631" s="148"/>
    </row>
    <row r="632" spans="1:5" x14ac:dyDescent="0.3">
      <c r="A632" s="148"/>
      <c r="B632" s="148"/>
      <c r="C632" s="148"/>
      <c r="D632" s="148"/>
      <c r="E632" s="148"/>
    </row>
    <row r="633" spans="1:5" x14ac:dyDescent="0.3">
      <c r="A633" s="244" t="s">
        <v>243</v>
      </c>
      <c r="B633" s="245"/>
      <c r="C633" s="245"/>
      <c r="D633" s="135" t="s">
        <v>203</v>
      </c>
      <c r="E633" s="137" t="s">
        <v>240</v>
      </c>
    </row>
    <row r="634" spans="1:5" x14ac:dyDescent="0.3">
      <c r="A634" s="241"/>
      <c r="B634" s="236"/>
      <c r="C634" s="236"/>
      <c r="D634" s="125" t="s">
        <v>251</v>
      </c>
      <c r="E634" s="125" t="s">
        <v>5</v>
      </c>
    </row>
    <row r="635" spans="1:5" x14ac:dyDescent="0.3">
      <c r="A635" s="237" t="s">
        <v>253</v>
      </c>
      <c r="B635" s="238"/>
      <c r="C635" s="238"/>
      <c r="D635" s="238"/>
      <c r="E635" s="238"/>
    </row>
    <row r="636" spans="1:5" x14ac:dyDescent="0.3">
      <c r="A636" s="126" t="s">
        <v>58</v>
      </c>
      <c r="B636" s="126" t="s">
        <v>251</v>
      </c>
      <c r="C636" s="126" t="s">
        <v>254</v>
      </c>
      <c r="D636" s="126" t="s">
        <v>255</v>
      </c>
      <c r="E636" s="126" t="s">
        <v>256</v>
      </c>
    </row>
    <row r="637" spans="1:5" x14ac:dyDescent="0.3">
      <c r="A637" s="109" t="s">
        <v>257</v>
      </c>
      <c r="B637" s="109" t="s">
        <v>258</v>
      </c>
      <c r="C637" s="127">
        <v>0.1</v>
      </c>
      <c r="D637" s="128">
        <f>E657</f>
        <v>8125</v>
      </c>
      <c r="E637" s="128">
        <f>C637*D637</f>
        <v>812.5</v>
      </c>
    </row>
    <row r="638" spans="1:5" x14ac:dyDescent="0.3">
      <c r="A638" s="109"/>
      <c r="B638" s="109"/>
      <c r="C638" s="109"/>
      <c r="D638" s="128"/>
      <c r="E638" s="128"/>
    </row>
    <row r="639" spans="1:5" x14ac:dyDescent="0.3">
      <c r="A639" s="233" t="s">
        <v>260</v>
      </c>
      <c r="B639" s="234"/>
      <c r="C639" s="234"/>
      <c r="D639" s="234"/>
      <c r="E639" s="129">
        <f>SUM(E637:E637)</f>
        <v>812.5</v>
      </c>
    </row>
    <row r="640" spans="1:5" x14ac:dyDescent="0.3">
      <c r="A640" s="237" t="s">
        <v>261</v>
      </c>
      <c r="B640" s="238"/>
      <c r="C640" s="238"/>
      <c r="D640" s="238"/>
      <c r="E640" s="238"/>
    </row>
    <row r="641" spans="1:5" x14ac:dyDescent="0.3">
      <c r="A641" s="126" t="s">
        <v>58</v>
      </c>
      <c r="B641" s="126" t="s">
        <v>251</v>
      </c>
      <c r="C641" s="126" t="s">
        <v>262</v>
      </c>
      <c r="D641" s="126" t="s">
        <v>263</v>
      </c>
      <c r="E641" s="126" t="s">
        <v>256</v>
      </c>
    </row>
    <row r="642" spans="1:5" x14ac:dyDescent="0.3">
      <c r="A642" s="110" t="s">
        <v>332</v>
      </c>
      <c r="B642" s="109" t="s">
        <v>247</v>
      </c>
      <c r="C642" s="130">
        <v>6.5000000000000002E-2</v>
      </c>
      <c r="D642" s="128">
        <v>620000</v>
      </c>
      <c r="E642" s="128">
        <f>C642*D642</f>
        <v>40300</v>
      </c>
    </row>
    <row r="643" spans="1:5" x14ac:dyDescent="0.3">
      <c r="A643" s="110" t="s">
        <v>333</v>
      </c>
      <c r="B643" s="109" t="s">
        <v>334</v>
      </c>
      <c r="C643" s="144">
        <v>0.5</v>
      </c>
      <c r="D643" s="128">
        <v>4200</v>
      </c>
      <c r="E643" s="128">
        <f>C643*D643</f>
        <v>2100</v>
      </c>
    </row>
    <row r="644" spans="1:5" x14ac:dyDescent="0.3">
      <c r="A644" s="110"/>
      <c r="B644" s="109"/>
      <c r="C644" s="130"/>
      <c r="D644" s="128"/>
      <c r="E644" s="128"/>
    </row>
    <row r="645" spans="1:5" x14ac:dyDescent="0.3">
      <c r="A645" s="131" t="s">
        <v>267</v>
      </c>
      <c r="B645" s="235"/>
      <c r="C645" s="236"/>
      <c r="D645" s="236"/>
      <c r="E645" s="128">
        <v>0</v>
      </c>
    </row>
    <row r="646" spans="1:5" x14ac:dyDescent="0.3">
      <c r="A646" s="131"/>
      <c r="B646" s="132"/>
      <c r="C646" s="104"/>
      <c r="D646" s="104"/>
      <c r="E646" s="128"/>
    </row>
    <row r="647" spans="1:5" x14ac:dyDescent="0.3">
      <c r="A647" s="233" t="s">
        <v>260</v>
      </c>
      <c r="B647" s="234"/>
      <c r="C647" s="234"/>
      <c r="D647" s="234"/>
      <c r="E647" s="129">
        <f>SUM(E642:E645)</f>
        <v>42400</v>
      </c>
    </row>
    <row r="648" spans="1:5" x14ac:dyDescent="0.3">
      <c r="A648" s="237" t="s">
        <v>268</v>
      </c>
      <c r="B648" s="238"/>
      <c r="C648" s="238"/>
      <c r="D648" s="238"/>
      <c r="E648" s="238"/>
    </row>
    <row r="649" spans="1:5" x14ac:dyDescent="0.3">
      <c r="A649" s="126" t="s">
        <v>58</v>
      </c>
      <c r="B649" s="126" t="s">
        <v>251</v>
      </c>
      <c r="C649" s="126" t="s">
        <v>254</v>
      </c>
      <c r="D649" s="126" t="s">
        <v>255</v>
      </c>
      <c r="E649" s="126" t="s">
        <v>256</v>
      </c>
    </row>
    <row r="650" spans="1:5" x14ac:dyDescent="0.3">
      <c r="A650" s="110" t="s">
        <v>269</v>
      </c>
      <c r="B650" s="109" t="s">
        <v>270</v>
      </c>
      <c r="C650" s="127">
        <v>0.02</v>
      </c>
      <c r="D650" s="128">
        <v>45000</v>
      </c>
      <c r="E650" s="128">
        <f>D650*C650</f>
        <v>900</v>
      </c>
    </row>
    <row r="651" spans="1:5" x14ac:dyDescent="0.3">
      <c r="A651" s="110"/>
      <c r="B651" s="109"/>
      <c r="C651" s="127"/>
      <c r="D651" s="128"/>
      <c r="E651" s="128"/>
    </row>
    <row r="652" spans="1:5" x14ac:dyDescent="0.3">
      <c r="A652" s="233" t="s">
        <v>260</v>
      </c>
      <c r="B652" s="234"/>
      <c r="C652" s="234"/>
      <c r="D652" s="234"/>
      <c r="E652" s="129">
        <f>SUM(E650)</f>
        <v>900</v>
      </c>
    </row>
    <row r="653" spans="1:5" x14ac:dyDescent="0.3">
      <c r="A653" s="237" t="s">
        <v>271</v>
      </c>
      <c r="B653" s="238"/>
      <c r="C653" s="238"/>
      <c r="D653" s="238"/>
      <c r="E653" s="238"/>
    </row>
    <row r="654" spans="1:5" x14ac:dyDescent="0.3">
      <c r="A654" s="126" t="s">
        <v>58</v>
      </c>
      <c r="B654" s="126" t="s">
        <v>251</v>
      </c>
      <c r="C654" s="126" t="s">
        <v>254</v>
      </c>
      <c r="D654" s="126" t="s">
        <v>272</v>
      </c>
      <c r="E654" s="126" t="s">
        <v>256</v>
      </c>
    </row>
    <row r="655" spans="1:5" x14ac:dyDescent="0.3">
      <c r="A655" s="110" t="s">
        <v>273</v>
      </c>
      <c r="B655" s="109" t="s">
        <v>270</v>
      </c>
      <c r="C655" s="127">
        <v>16</v>
      </c>
      <c r="D655" s="128">
        <v>130000</v>
      </c>
      <c r="E655" s="128">
        <f>D655/C655</f>
        <v>8125</v>
      </c>
    </row>
    <row r="656" spans="1:5" x14ac:dyDescent="0.3">
      <c r="A656" s="110"/>
      <c r="B656" s="109"/>
      <c r="C656" s="127"/>
      <c r="D656" s="128"/>
      <c r="E656" s="128"/>
    </row>
    <row r="657" spans="1:5" x14ac:dyDescent="0.3">
      <c r="A657" s="233" t="s">
        <v>260</v>
      </c>
      <c r="B657" s="234"/>
      <c r="C657" s="234"/>
      <c r="D657" s="234"/>
      <c r="E657" s="129">
        <f>SUM(E655)</f>
        <v>8125</v>
      </c>
    </row>
    <row r="658" spans="1:5" x14ac:dyDescent="0.3">
      <c r="A658" s="109"/>
      <c r="B658" s="104"/>
      <c r="C658" s="104"/>
      <c r="D658" s="104"/>
      <c r="E658" s="104"/>
    </row>
    <row r="659" spans="1:5" x14ac:dyDescent="0.3">
      <c r="A659" s="233" t="s">
        <v>274</v>
      </c>
      <c r="B659" s="234"/>
      <c r="C659" s="234"/>
      <c r="D659" s="234"/>
      <c r="E659" s="129">
        <f>SUM(E639,E647,E652,E657)</f>
        <v>52237.5</v>
      </c>
    </row>
    <row r="660" spans="1:5" x14ac:dyDescent="0.3">
      <c r="A660" s="148"/>
      <c r="B660" s="148"/>
      <c r="C660" s="148"/>
      <c r="D660" s="148"/>
      <c r="E660" s="148"/>
    </row>
    <row r="661" spans="1:5" x14ac:dyDescent="0.3">
      <c r="A661" s="148"/>
      <c r="B661" s="148"/>
      <c r="C661" s="148"/>
      <c r="D661" s="148"/>
      <c r="E661" s="148"/>
    </row>
    <row r="662" spans="1:5" x14ac:dyDescent="0.3">
      <c r="A662" s="148"/>
      <c r="B662" s="148"/>
      <c r="C662" s="148"/>
      <c r="D662" s="148"/>
      <c r="E662" s="148"/>
    </row>
    <row r="663" spans="1:5" x14ac:dyDescent="0.3">
      <c r="A663" s="150" t="s">
        <v>335</v>
      </c>
      <c r="B663" s="151"/>
      <c r="C663" s="151"/>
      <c r="D663" s="151"/>
      <c r="E663" s="151"/>
    </row>
    <row r="664" spans="1:5" x14ac:dyDescent="0.3">
      <c r="A664" s="133"/>
      <c r="B664" s="134"/>
      <c r="C664" s="134"/>
      <c r="D664" s="134"/>
      <c r="E664" s="134"/>
    </row>
    <row r="665" spans="1:5" x14ac:dyDescent="0.3">
      <c r="A665" s="239" t="s">
        <v>336</v>
      </c>
      <c r="B665" s="240"/>
      <c r="C665" s="240"/>
      <c r="D665" s="124" t="s">
        <v>203</v>
      </c>
      <c r="E665" s="152" t="s">
        <v>245</v>
      </c>
    </row>
    <row r="666" spans="1:5" x14ac:dyDescent="0.3">
      <c r="A666" s="241"/>
      <c r="B666" s="236"/>
      <c r="C666" s="236"/>
      <c r="D666" s="125" t="s">
        <v>251</v>
      </c>
      <c r="E666" s="125" t="s">
        <v>252</v>
      </c>
    </row>
    <row r="667" spans="1:5" x14ac:dyDescent="0.3">
      <c r="A667" s="237" t="s">
        <v>253</v>
      </c>
      <c r="B667" s="238"/>
      <c r="C667" s="238"/>
      <c r="D667" s="238"/>
      <c r="E667" s="238"/>
    </row>
    <row r="668" spans="1:5" x14ac:dyDescent="0.3">
      <c r="A668" s="126" t="s">
        <v>58</v>
      </c>
      <c r="B668" s="126" t="s">
        <v>251</v>
      </c>
      <c r="C668" s="126" t="s">
        <v>254</v>
      </c>
      <c r="D668" s="126" t="s">
        <v>255</v>
      </c>
      <c r="E668" s="126" t="s">
        <v>256</v>
      </c>
    </row>
    <row r="669" spans="1:5" x14ac:dyDescent="0.3">
      <c r="A669" s="110" t="s">
        <v>257</v>
      </c>
      <c r="B669" s="109" t="s">
        <v>258</v>
      </c>
      <c r="C669" s="127">
        <v>0.1</v>
      </c>
      <c r="D669" s="128">
        <f>E688</f>
        <v>8666.6666666666661</v>
      </c>
      <c r="E669" s="128">
        <f>C669*D669</f>
        <v>866.66666666666663</v>
      </c>
    </row>
    <row r="670" spans="1:5" x14ac:dyDescent="0.3">
      <c r="A670" s="109"/>
      <c r="B670" s="109"/>
      <c r="C670" s="109"/>
      <c r="D670" s="128"/>
      <c r="E670" s="128"/>
    </row>
    <row r="671" spans="1:5" x14ac:dyDescent="0.3">
      <c r="A671" s="233" t="s">
        <v>260</v>
      </c>
      <c r="B671" s="234"/>
      <c r="C671" s="234"/>
      <c r="D671" s="234"/>
      <c r="E671" s="129">
        <f>SUM(E669:E669)</f>
        <v>866.66666666666663</v>
      </c>
    </row>
    <row r="672" spans="1:5" x14ac:dyDescent="0.3">
      <c r="A672" s="237" t="s">
        <v>261</v>
      </c>
      <c r="B672" s="238"/>
      <c r="C672" s="238"/>
      <c r="D672" s="238"/>
      <c r="E672" s="238"/>
    </row>
    <row r="673" spans="1:5" x14ac:dyDescent="0.3">
      <c r="A673" s="126" t="s">
        <v>58</v>
      </c>
      <c r="B673" s="126" t="s">
        <v>251</v>
      </c>
      <c r="C673" s="126" t="s">
        <v>262</v>
      </c>
      <c r="D673" s="126" t="s">
        <v>263</v>
      </c>
      <c r="E673" s="126" t="s">
        <v>256</v>
      </c>
    </row>
    <row r="674" spans="1:5" x14ac:dyDescent="0.3">
      <c r="A674" s="110" t="s">
        <v>337</v>
      </c>
      <c r="B674" s="109" t="s">
        <v>7</v>
      </c>
      <c r="C674" s="130">
        <v>2.1934891586264098E-2</v>
      </c>
      <c r="D674" s="128">
        <v>420000</v>
      </c>
      <c r="E674" s="128">
        <f>D674*C674</f>
        <v>9212.6544662309207</v>
      </c>
    </row>
    <row r="675" spans="1:5" x14ac:dyDescent="0.3">
      <c r="A675" s="110"/>
      <c r="B675" s="109"/>
      <c r="C675" s="130"/>
      <c r="D675" s="128"/>
      <c r="E675" s="128"/>
    </row>
    <row r="676" spans="1:5" x14ac:dyDescent="0.3">
      <c r="A676" s="131" t="s">
        <v>267</v>
      </c>
      <c r="B676" s="235"/>
      <c r="C676" s="236"/>
      <c r="D676" s="236"/>
      <c r="E676" s="128">
        <f>SUM(E674:E674)*0.02</f>
        <v>184.25308932461843</v>
      </c>
    </row>
    <row r="677" spans="1:5" x14ac:dyDescent="0.3">
      <c r="A677" s="131"/>
      <c r="B677" s="132"/>
      <c r="C677" s="104"/>
      <c r="D677" s="104"/>
      <c r="E677" s="128"/>
    </row>
    <row r="678" spans="1:5" x14ac:dyDescent="0.3">
      <c r="A678" s="233" t="s">
        <v>260</v>
      </c>
      <c r="B678" s="234"/>
      <c r="C678" s="234"/>
      <c r="D678" s="234"/>
      <c r="E678" s="129">
        <f>SUM(E674:E676)</f>
        <v>9396.9075555555391</v>
      </c>
    </row>
    <row r="679" spans="1:5" x14ac:dyDescent="0.3">
      <c r="A679" s="237" t="s">
        <v>268</v>
      </c>
      <c r="B679" s="238"/>
      <c r="C679" s="238"/>
      <c r="D679" s="238"/>
      <c r="E679" s="238"/>
    </row>
    <row r="680" spans="1:5" x14ac:dyDescent="0.3">
      <c r="A680" s="126" t="s">
        <v>58</v>
      </c>
      <c r="B680" s="126" t="s">
        <v>251</v>
      </c>
      <c r="C680" s="126" t="s">
        <v>254</v>
      </c>
      <c r="D680" s="126" t="s">
        <v>255</v>
      </c>
      <c r="E680" s="126" t="s">
        <v>256</v>
      </c>
    </row>
    <row r="681" spans="1:5" x14ac:dyDescent="0.3">
      <c r="A681" s="110" t="s">
        <v>269</v>
      </c>
      <c r="B681" s="109" t="s">
        <v>270</v>
      </c>
      <c r="C681" s="127">
        <v>1.4999999999999999E-2</v>
      </c>
      <c r="D681" s="128">
        <v>45000</v>
      </c>
      <c r="E681" s="128">
        <f>D681*C681</f>
        <v>675</v>
      </c>
    </row>
    <row r="682" spans="1:5" x14ac:dyDescent="0.3">
      <c r="A682" s="110"/>
      <c r="B682" s="109"/>
      <c r="C682" s="127"/>
      <c r="D682" s="128"/>
      <c r="E682" s="128"/>
    </row>
    <row r="683" spans="1:5" x14ac:dyDescent="0.3">
      <c r="A683" s="233" t="s">
        <v>260</v>
      </c>
      <c r="B683" s="234"/>
      <c r="C683" s="234"/>
      <c r="D683" s="234"/>
      <c r="E683" s="129">
        <f>SUM(E681)</f>
        <v>675</v>
      </c>
    </row>
    <row r="684" spans="1:5" x14ac:dyDescent="0.3">
      <c r="A684" s="237" t="s">
        <v>271</v>
      </c>
      <c r="B684" s="238"/>
      <c r="C684" s="238"/>
      <c r="D684" s="238"/>
      <c r="E684" s="238"/>
    </row>
    <row r="685" spans="1:5" x14ac:dyDescent="0.3">
      <c r="A685" s="126" t="s">
        <v>58</v>
      </c>
      <c r="B685" s="126" t="s">
        <v>251</v>
      </c>
      <c r="C685" s="126" t="s">
        <v>254</v>
      </c>
      <c r="D685" s="126" t="s">
        <v>272</v>
      </c>
      <c r="E685" s="126" t="s">
        <v>256</v>
      </c>
    </row>
    <row r="686" spans="1:5" x14ac:dyDescent="0.3">
      <c r="A686" s="110" t="s">
        <v>273</v>
      </c>
      <c r="B686" s="109" t="s">
        <v>270</v>
      </c>
      <c r="C686" s="127">
        <v>15</v>
      </c>
      <c r="D686" s="128">
        <v>130000</v>
      </c>
      <c r="E686" s="128">
        <f>D686/C686</f>
        <v>8666.6666666666661</v>
      </c>
    </row>
    <row r="687" spans="1:5" x14ac:dyDescent="0.3">
      <c r="A687" s="110"/>
      <c r="B687" s="109"/>
      <c r="C687" s="127"/>
      <c r="D687" s="128"/>
      <c r="E687" s="128"/>
    </row>
    <row r="688" spans="1:5" x14ac:dyDescent="0.3">
      <c r="A688" s="233" t="s">
        <v>260</v>
      </c>
      <c r="B688" s="234"/>
      <c r="C688" s="234"/>
      <c r="D688" s="234"/>
      <c r="E688" s="129">
        <f>SUM(E686)</f>
        <v>8666.6666666666661</v>
      </c>
    </row>
    <row r="689" spans="1:5" x14ac:dyDescent="0.3">
      <c r="A689" s="109"/>
      <c r="B689" s="104"/>
      <c r="C689" s="104"/>
      <c r="D689" s="104"/>
      <c r="E689" s="104"/>
    </row>
    <row r="690" spans="1:5" x14ac:dyDescent="0.3">
      <c r="A690" s="233" t="s">
        <v>274</v>
      </c>
      <c r="B690" s="234"/>
      <c r="C690" s="234"/>
      <c r="D690" s="234"/>
      <c r="E690" s="129">
        <f>SUM(E671,E678,E683,E688)</f>
        <v>19605.240888888871</v>
      </c>
    </row>
  </sheetData>
  <mergeCells count="286">
    <mergeCell ref="A116:D116"/>
    <mergeCell ref="A118:C118"/>
    <mergeCell ref="A119:C119"/>
    <mergeCell ref="A120:E120"/>
    <mergeCell ref="A114:D114"/>
    <mergeCell ref="A88:C88"/>
    <mergeCell ref="A89:C89"/>
    <mergeCell ref="A90:E90"/>
    <mergeCell ref="A96:D96"/>
    <mergeCell ref="B15:D15"/>
    <mergeCell ref="A17:D17"/>
    <mergeCell ref="A18:E18"/>
    <mergeCell ref="A22:D22"/>
    <mergeCell ref="A23:E23"/>
    <mergeCell ref="A27:D27"/>
    <mergeCell ref="A1:E1"/>
    <mergeCell ref="A5:C5"/>
    <mergeCell ref="A6:C6"/>
    <mergeCell ref="A7:E7"/>
    <mergeCell ref="A11:D11"/>
    <mergeCell ref="A12:E12"/>
    <mergeCell ref="A44:E44"/>
    <mergeCell ref="A48:D48"/>
    <mergeCell ref="A49:E49"/>
    <mergeCell ref="A53:D53"/>
    <mergeCell ref="A57:C57"/>
    <mergeCell ref="A58:C58"/>
    <mergeCell ref="A29:C29"/>
    <mergeCell ref="A31:E31"/>
    <mergeCell ref="A35:D35"/>
    <mergeCell ref="A36:E36"/>
    <mergeCell ref="B41:D41"/>
    <mergeCell ref="A43:D43"/>
    <mergeCell ref="A55:D55"/>
    <mergeCell ref="A30:C30"/>
    <mergeCell ref="A97:E97"/>
    <mergeCell ref="B102:D102"/>
    <mergeCell ref="A104:D104"/>
    <mergeCell ref="A105:E105"/>
    <mergeCell ref="A109:D109"/>
    <mergeCell ref="A110:E110"/>
    <mergeCell ref="A59:E59"/>
    <mergeCell ref="A64:D64"/>
    <mergeCell ref="A65:E65"/>
    <mergeCell ref="B70:D70"/>
    <mergeCell ref="A72:D72"/>
    <mergeCell ref="A73:E73"/>
    <mergeCell ref="A77:D77"/>
    <mergeCell ref="A78:E78"/>
    <mergeCell ref="A82:D82"/>
    <mergeCell ref="A84:D84"/>
    <mergeCell ref="A155:D155"/>
    <mergeCell ref="A156:E156"/>
    <mergeCell ref="B159:D159"/>
    <mergeCell ref="A161:D161"/>
    <mergeCell ref="A162:E162"/>
    <mergeCell ref="A166:D166"/>
    <mergeCell ref="A125:D125"/>
    <mergeCell ref="A126:E126"/>
    <mergeCell ref="B131:D131"/>
    <mergeCell ref="A133:D133"/>
    <mergeCell ref="A134:E134"/>
    <mergeCell ref="A138:D138"/>
    <mergeCell ref="A145:D145"/>
    <mergeCell ref="A149:C149"/>
    <mergeCell ref="A150:C150"/>
    <mergeCell ref="A151:E151"/>
    <mergeCell ref="A139:E139"/>
    <mergeCell ref="A143:D143"/>
    <mergeCell ref="A181:D181"/>
    <mergeCell ref="A182:E182"/>
    <mergeCell ref="B187:D187"/>
    <mergeCell ref="A189:D189"/>
    <mergeCell ref="A190:E190"/>
    <mergeCell ref="A194:D194"/>
    <mergeCell ref="A167:E167"/>
    <mergeCell ref="A171:D171"/>
    <mergeCell ref="A173:D173"/>
    <mergeCell ref="A175:C175"/>
    <mergeCell ref="A176:C176"/>
    <mergeCell ref="A177:E177"/>
    <mergeCell ref="A210:D210"/>
    <mergeCell ref="A211:E211"/>
    <mergeCell ref="B216:D216"/>
    <mergeCell ref="A218:D218"/>
    <mergeCell ref="A219:E219"/>
    <mergeCell ref="A223:D223"/>
    <mergeCell ref="A195:E195"/>
    <mergeCell ref="A199:D199"/>
    <mergeCell ref="A201:D201"/>
    <mergeCell ref="A203:C203"/>
    <mergeCell ref="A204:C204"/>
    <mergeCell ref="A205:E205"/>
    <mergeCell ref="A240:D240"/>
    <mergeCell ref="A241:E241"/>
    <mergeCell ref="B244:D244"/>
    <mergeCell ref="A246:D246"/>
    <mergeCell ref="A247:E247"/>
    <mergeCell ref="A251:D251"/>
    <mergeCell ref="A224:E224"/>
    <mergeCell ref="A228:D228"/>
    <mergeCell ref="A230:D230"/>
    <mergeCell ref="A234:C234"/>
    <mergeCell ref="A235:C235"/>
    <mergeCell ref="A236:E236"/>
    <mergeCell ref="A265:E265"/>
    <mergeCell ref="B268:D268"/>
    <mergeCell ref="A270:D270"/>
    <mergeCell ref="A271:E271"/>
    <mergeCell ref="A275:D275"/>
    <mergeCell ref="A276:E276"/>
    <mergeCell ref="A252:E252"/>
    <mergeCell ref="A256:D256"/>
    <mergeCell ref="A258:C258"/>
    <mergeCell ref="A259:C259"/>
    <mergeCell ref="A260:E260"/>
    <mergeCell ref="A264:D264"/>
    <mergeCell ref="B294:D294"/>
    <mergeCell ref="A296:D296"/>
    <mergeCell ref="A297:E297"/>
    <mergeCell ref="A301:D301"/>
    <mergeCell ref="A302:E302"/>
    <mergeCell ref="A306:D306"/>
    <mergeCell ref="A280:D280"/>
    <mergeCell ref="A282:C282"/>
    <mergeCell ref="A283:C283"/>
    <mergeCell ref="A284:E284"/>
    <mergeCell ref="A288:D288"/>
    <mergeCell ref="A289:E289"/>
    <mergeCell ref="A337:D337"/>
    <mergeCell ref="B323:D323"/>
    <mergeCell ref="A325:D325"/>
    <mergeCell ref="A326:E326"/>
    <mergeCell ref="A330:D330"/>
    <mergeCell ref="A331:E331"/>
    <mergeCell ref="A335:D335"/>
    <mergeCell ref="A308:D308"/>
    <mergeCell ref="A310:C310"/>
    <mergeCell ref="A311:C311"/>
    <mergeCell ref="A312:E312"/>
    <mergeCell ref="A317:D317"/>
    <mergeCell ref="A318:E318"/>
    <mergeCell ref="A365:D365"/>
    <mergeCell ref="B353:D353"/>
    <mergeCell ref="A355:D355"/>
    <mergeCell ref="A339:C339"/>
    <mergeCell ref="A340:C340"/>
    <mergeCell ref="A341:E341"/>
    <mergeCell ref="A345:D345"/>
    <mergeCell ref="A346:E346"/>
    <mergeCell ref="A356:E356"/>
    <mergeCell ref="A360:D360"/>
    <mergeCell ref="A361:E361"/>
    <mergeCell ref="B381:D381"/>
    <mergeCell ref="A383:D383"/>
    <mergeCell ref="A384:E384"/>
    <mergeCell ref="A388:D388"/>
    <mergeCell ref="A389:E389"/>
    <mergeCell ref="A393:D393"/>
    <mergeCell ref="A367:D367"/>
    <mergeCell ref="A371:C371"/>
    <mergeCell ref="A372:C372"/>
    <mergeCell ref="A373:E373"/>
    <mergeCell ref="A377:D377"/>
    <mergeCell ref="A378:E378"/>
    <mergeCell ref="B411:D411"/>
    <mergeCell ref="A413:D413"/>
    <mergeCell ref="A414:E414"/>
    <mergeCell ref="A418:D418"/>
    <mergeCell ref="A419:E419"/>
    <mergeCell ref="A423:D423"/>
    <mergeCell ref="A395:D395"/>
    <mergeCell ref="A398:C398"/>
    <mergeCell ref="A399:C399"/>
    <mergeCell ref="A400:E400"/>
    <mergeCell ref="A404:D404"/>
    <mergeCell ref="A405:E405"/>
    <mergeCell ref="B441:D441"/>
    <mergeCell ref="A443:D443"/>
    <mergeCell ref="A444:E444"/>
    <mergeCell ref="A448:D448"/>
    <mergeCell ref="A449:E449"/>
    <mergeCell ref="A453:D453"/>
    <mergeCell ref="A425:D425"/>
    <mergeCell ref="A428:C428"/>
    <mergeCell ref="A429:C429"/>
    <mergeCell ref="A430:E430"/>
    <mergeCell ref="A435:D435"/>
    <mergeCell ref="A436:E436"/>
    <mergeCell ref="B470:D470"/>
    <mergeCell ref="A472:D472"/>
    <mergeCell ref="A473:E473"/>
    <mergeCell ref="A477:D477"/>
    <mergeCell ref="A478:E478"/>
    <mergeCell ref="A482:D482"/>
    <mergeCell ref="A455:D455"/>
    <mergeCell ref="A458:C458"/>
    <mergeCell ref="A459:C459"/>
    <mergeCell ref="A460:E460"/>
    <mergeCell ref="A464:D464"/>
    <mergeCell ref="A465:E465"/>
    <mergeCell ref="B499:D499"/>
    <mergeCell ref="A501:D501"/>
    <mergeCell ref="A502:E502"/>
    <mergeCell ref="A506:D506"/>
    <mergeCell ref="A507:E507"/>
    <mergeCell ref="A511:D511"/>
    <mergeCell ref="A484:D484"/>
    <mergeCell ref="A487:C487"/>
    <mergeCell ref="A488:C488"/>
    <mergeCell ref="A489:E489"/>
    <mergeCell ref="A493:D493"/>
    <mergeCell ref="A494:E494"/>
    <mergeCell ref="B528:D528"/>
    <mergeCell ref="A530:D530"/>
    <mergeCell ref="A531:E531"/>
    <mergeCell ref="A535:D535"/>
    <mergeCell ref="A536:E536"/>
    <mergeCell ref="A540:D540"/>
    <mergeCell ref="A513:D513"/>
    <mergeCell ref="A518:C518"/>
    <mergeCell ref="A519:C519"/>
    <mergeCell ref="A520:E520"/>
    <mergeCell ref="A524:D524"/>
    <mergeCell ref="A525:E525"/>
    <mergeCell ref="B559:D559"/>
    <mergeCell ref="A561:D561"/>
    <mergeCell ref="A562:E562"/>
    <mergeCell ref="A566:D566"/>
    <mergeCell ref="A567:E567"/>
    <mergeCell ref="A571:D571"/>
    <mergeCell ref="A542:D542"/>
    <mergeCell ref="A545:C545"/>
    <mergeCell ref="A546:C546"/>
    <mergeCell ref="A547:E547"/>
    <mergeCell ref="A551:D551"/>
    <mergeCell ref="A552:E552"/>
    <mergeCell ref="B587:D587"/>
    <mergeCell ref="A589:D589"/>
    <mergeCell ref="A590:E590"/>
    <mergeCell ref="A594:D594"/>
    <mergeCell ref="A595:E595"/>
    <mergeCell ref="A599:D599"/>
    <mergeCell ref="A573:D573"/>
    <mergeCell ref="A576:C576"/>
    <mergeCell ref="A577:C577"/>
    <mergeCell ref="A578:E578"/>
    <mergeCell ref="A582:D582"/>
    <mergeCell ref="A583:E583"/>
    <mergeCell ref="B616:D616"/>
    <mergeCell ref="A618:D618"/>
    <mergeCell ref="A619:E619"/>
    <mergeCell ref="A623:D623"/>
    <mergeCell ref="A624:E624"/>
    <mergeCell ref="A628:D628"/>
    <mergeCell ref="A601:D601"/>
    <mergeCell ref="A606:C606"/>
    <mergeCell ref="A607:C607"/>
    <mergeCell ref="A608:E608"/>
    <mergeCell ref="A612:D612"/>
    <mergeCell ref="A613:E613"/>
    <mergeCell ref="B645:D645"/>
    <mergeCell ref="A647:D647"/>
    <mergeCell ref="A648:E648"/>
    <mergeCell ref="A652:D652"/>
    <mergeCell ref="A653:E653"/>
    <mergeCell ref="A657:D657"/>
    <mergeCell ref="A630:D630"/>
    <mergeCell ref="A633:C633"/>
    <mergeCell ref="A634:C634"/>
    <mergeCell ref="A635:E635"/>
    <mergeCell ref="A639:D639"/>
    <mergeCell ref="A640:E640"/>
    <mergeCell ref="A690:D690"/>
    <mergeCell ref="B676:D676"/>
    <mergeCell ref="A678:D678"/>
    <mergeCell ref="A679:E679"/>
    <mergeCell ref="A683:D683"/>
    <mergeCell ref="A684:E684"/>
    <mergeCell ref="A688:D688"/>
    <mergeCell ref="A659:D659"/>
    <mergeCell ref="A665:C665"/>
    <mergeCell ref="A666:C666"/>
    <mergeCell ref="A667:E667"/>
    <mergeCell ref="A671:D671"/>
    <mergeCell ref="A672:E67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79A6B-765B-4C54-8121-9A4AA7C9F58F}">
  <dimension ref="A1:C62"/>
  <sheetViews>
    <sheetView topLeftCell="A40" workbookViewId="0">
      <selection activeCell="C60" sqref="C60"/>
    </sheetView>
  </sheetViews>
  <sheetFormatPr baseColWidth="10" defaultRowHeight="14.4" x14ac:dyDescent="0.3"/>
  <cols>
    <col min="1" max="1" width="11.77734375" customWidth="1"/>
    <col min="2" max="2" width="79" customWidth="1"/>
    <col min="3" max="3" width="14" customWidth="1"/>
    <col min="4" max="4" width="21" customWidth="1"/>
  </cols>
  <sheetData>
    <row r="1" spans="1:3" x14ac:dyDescent="0.3">
      <c r="A1" s="246" t="s">
        <v>202</v>
      </c>
      <c r="B1" s="245"/>
      <c r="C1" s="245"/>
    </row>
    <row r="2" spans="1:3" x14ac:dyDescent="0.3">
      <c r="A2" s="103"/>
      <c r="B2" s="104"/>
      <c r="C2" s="104"/>
    </row>
    <row r="3" spans="1:3" x14ac:dyDescent="0.3">
      <c r="A3" s="105" t="s">
        <v>203</v>
      </c>
      <c r="B3" s="105" t="s">
        <v>58</v>
      </c>
      <c r="C3" s="105" t="s">
        <v>204</v>
      </c>
    </row>
    <row r="4" spans="1:3" x14ac:dyDescent="0.3">
      <c r="A4" s="106" t="s">
        <v>205</v>
      </c>
      <c r="B4" s="107" t="s">
        <v>152</v>
      </c>
      <c r="C4" s="108">
        <f>SUM(C5:C8)</f>
        <v>186300.00000000003</v>
      </c>
    </row>
    <row r="5" spans="1:3" x14ac:dyDescent="0.3">
      <c r="A5" s="109" t="s">
        <v>118</v>
      </c>
      <c r="B5" s="110" t="s">
        <v>206</v>
      </c>
      <c r="C5" s="111">
        <f>'APU IMPERMEABILIZACIÓN'!E27</f>
        <v>3611.1111111111113</v>
      </c>
    </row>
    <row r="6" spans="1:3" x14ac:dyDescent="0.3">
      <c r="A6" s="109" t="s">
        <v>207</v>
      </c>
      <c r="B6" s="110" t="s">
        <v>208</v>
      </c>
      <c r="C6" s="112">
        <f>'APU IMPERMEABILIZACIÓN'!E55</f>
        <v>41730</v>
      </c>
    </row>
    <row r="7" spans="1:3" x14ac:dyDescent="0.3">
      <c r="A7" s="109" t="s">
        <v>209</v>
      </c>
      <c r="B7" s="110" t="s">
        <v>210</v>
      </c>
      <c r="C7" s="112">
        <f>'APU IMPERMEABILIZACIÓN'!E84</f>
        <v>135924.93333333335</v>
      </c>
    </row>
    <row r="8" spans="1:3" x14ac:dyDescent="0.3">
      <c r="A8" s="109" t="s">
        <v>211</v>
      </c>
      <c r="B8" s="110" t="s">
        <v>212</v>
      </c>
      <c r="C8" s="141">
        <v>5033.9555555555489</v>
      </c>
    </row>
    <row r="9" spans="1:3" x14ac:dyDescent="0.3">
      <c r="A9" s="113"/>
      <c r="B9" s="113"/>
      <c r="C9" s="113"/>
    </row>
    <row r="11" spans="1:3" x14ac:dyDescent="0.3">
      <c r="A11" s="105" t="s">
        <v>203</v>
      </c>
      <c r="B11" s="105" t="s">
        <v>58</v>
      </c>
      <c r="C11" s="105" t="s">
        <v>204</v>
      </c>
    </row>
    <row r="12" spans="1:3" ht="26.4" x14ac:dyDescent="0.3">
      <c r="A12" s="106" t="s">
        <v>213</v>
      </c>
      <c r="B12" s="107" t="s">
        <v>153</v>
      </c>
      <c r="C12" s="108">
        <f>SUM(C13:C14)</f>
        <v>142155.92533333335</v>
      </c>
    </row>
    <row r="13" spans="1:3" x14ac:dyDescent="0.3">
      <c r="A13" s="109" t="s">
        <v>118</v>
      </c>
      <c r="B13" s="110" t="s">
        <v>214</v>
      </c>
      <c r="C13" s="111">
        <f>'APU IMPERMEABILIZACIÓN'!E116</f>
        <v>6230.9920000000002</v>
      </c>
    </row>
    <row r="14" spans="1:3" x14ac:dyDescent="0.3">
      <c r="A14" s="109" t="s">
        <v>207</v>
      </c>
      <c r="B14" s="110" t="s">
        <v>210</v>
      </c>
      <c r="C14" s="112">
        <f>'APU IMPERMEABILIZACIÓN'!E145</f>
        <v>135924.93333333335</v>
      </c>
    </row>
    <row r="15" spans="1:3" x14ac:dyDescent="0.3">
      <c r="A15" s="113"/>
      <c r="B15" s="113"/>
      <c r="C15" s="113"/>
    </row>
    <row r="17" spans="1:3" x14ac:dyDescent="0.3">
      <c r="A17" s="105" t="s">
        <v>203</v>
      </c>
      <c r="B17" s="105" t="s">
        <v>58</v>
      </c>
      <c r="C17" s="105" t="s">
        <v>204</v>
      </c>
    </row>
    <row r="18" spans="1:3" ht="26.4" x14ac:dyDescent="0.3">
      <c r="A18" s="106" t="s">
        <v>215</v>
      </c>
      <c r="B18" s="107" t="s">
        <v>154</v>
      </c>
      <c r="C18" s="108">
        <f>SUM(C19:C22)</f>
        <v>159500</v>
      </c>
    </row>
    <row r="19" spans="1:3" x14ac:dyDescent="0.3">
      <c r="A19" s="109" t="s">
        <v>118</v>
      </c>
      <c r="B19" s="110" t="s">
        <v>216</v>
      </c>
      <c r="C19" s="111">
        <f>'APU IMPERMEABILIZACIÓN'!E173</f>
        <v>20900</v>
      </c>
    </row>
    <row r="20" spans="1:3" x14ac:dyDescent="0.3">
      <c r="A20" s="109" t="s">
        <v>207</v>
      </c>
      <c r="B20" s="110" t="s">
        <v>217</v>
      </c>
      <c r="C20" s="111">
        <v>5768.0000000000164</v>
      </c>
    </row>
    <row r="21" spans="1:3" x14ac:dyDescent="0.3">
      <c r="A21" s="109" t="s">
        <v>209</v>
      </c>
      <c r="B21" s="110" t="s">
        <v>208</v>
      </c>
      <c r="C21" s="112">
        <f>'APU IMPERMEABILIZACIÓN'!E201</f>
        <v>41730</v>
      </c>
    </row>
    <row r="22" spans="1:3" x14ac:dyDescent="0.3">
      <c r="A22" s="109" t="s">
        <v>211</v>
      </c>
      <c r="B22" s="110" t="s">
        <v>218</v>
      </c>
      <c r="C22" s="112">
        <f>'APU IMPERMEABILIZACIÓN'!E230</f>
        <v>91102</v>
      </c>
    </row>
    <row r="23" spans="1:3" x14ac:dyDescent="0.3">
      <c r="A23" s="113"/>
      <c r="B23" s="113"/>
      <c r="C23" s="113"/>
    </row>
    <row r="25" spans="1:3" x14ac:dyDescent="0.3">
      <c r="A25" s="105" t="s">
        <v>203</v>
      </c>
      <c r="B25" s="105" t="s">
        <v>58</v>
      </c>
      <c r="C25" s="105" t="s">
        <v>204</v>
      </c>
    </row>
    <row r="26" spans="1:3" x14ac:dyDescent="0.3">
      <c r="A26" s="106" t="s">
        <v>223</v>
      </c>
      <c r="B26" s="107" t="s">
        <v>155</v>
      </c>
      <c r="C26" s="108">
        <f>SUM(C27:C31)</f>
        <v>238999.11111111112</v>
      </c>
    </row>
    <row r="27" spans="1:3" x14ac:dyDescent="0.3">
      <c r="A27" s="109" t="s">
        <v>118</v>
      </c>
      <c r="B27" s="110" t="s">
        <v>219</v>
      </c>
      <c r="C27" s="111">
        <f>C5</f>
        <v>3611.1111111111113</v>
      </c>
    </row>
    <row r="28" spans="1:3" x14ac:dyDescent="0.3">
      <c r="A28" s="109" t="s">
        <v>207</v>
      </c>
      <c r="B28" s="110" t="s">
        <v>220</v>
      </c>
      <c r="C28" s="141">
        <v>21100</v>
      </c>
    </row>
    <row r="29" spans="1:3" x14ac:dyDescent="0.3">
      <c r="A29" s="109" t="s">
        <v>209</v>
      </c>
      <c r="B29" s="110" t="s">
        <v>208</v>
      </c>
      <c r="C29" s="112">
        <v>41730</v>
      </c>
    </row>
    <row r="30" spans="1:3" x14ac:dyDescent="0.3">
      <c r="A30" s="109" t="s">
        <v>211</v>
      </c>
      <c r="B30" s="110" t="s">
        <v>221</v>
      </c>
      <c r="C30" s="112">
        <f>[1]Hoja1!E114</f>
        <v>91102</v>
      </c>
    </row>
    <row r="31" spans="1:3" x14ac:dyDescent="0.3">
      <c r="A31" s="109" t="s">
        <v>224</v>
      </c>
      <c r="B31" s="110" t="s">
        <v>222</v>
      </c>
      <c r="C31" s="141">
        <v>81456</v>
      </c>
    </row>
    <row r="32" spans="1:3" x14ac:dyDescent="0.3">
      <c r="A32" s="113"/>
      <c r="B32" s="113"/>
      <c r="C32" s="113"/>
    </row>
    <row r="34" spans="1:3" x14ac:dyDescent="0.3">
      <c r="A34" s="105" t="s">
        <v>203</v>
      </c>
      <c r="B34" s="105" t="s">
        <v>58</v>
      </c>
      <c r="C34" s="105" t="s">
        <v>204</v>
      </c>
    </row>
    <row r="35" spans="1:3" ht="27.6" x14ac:dyDescent="0.3">
      <c r="A35" s="114" t="s">
        <v>248</v>
      </c>
      <c r="B35" s="115" t="s">
        <v>225</v>
      </c>
      <c r="C35" s="116">
        <f>SUM(C36:C40)</f>
        <v>190199.99999999997</v>
      </c>
    </row>
    <row r="36" spans="1:3" x14ac:dyDescent="0.3">
      <c r="A36" s="117" t="s">
        <v>118</v>
      </c>
      <c r="B36" s="118" t="s">
        <v>227</v>
      </c>
      <c r="C36" s="119">
        <v>4085.7142857142858</v>
      </c>
    </row>
    <row r="37" spans="1:3" x14ac:dyDescent="0.3">
      <c r="A37" s="117" t="s">
        <v>207</v>
      </c>
      <c r="B37" s="118" t="s">
        <v>229</v>
      </c>
      <c r="C37" s="119">
        <v>19273.152380952339</v>
      </c>
    </row>
    <row r="38" spans="1:3" x14ac:dyDescent="0.3">
      <c r="A38" s="117" t="s">
        <v>209</v>
      </c>
      <c r="B38" s="118" t="s">
        <v>221</v>
      </c>
      <c r="C38" s="119">
        <v>91101.633333333346</v>
      </c>
    </row>
    <row r="39" spans="1:3" x14ac:dyDescent="0.3">
      <c r="A39" s="117" t="s">
        <v>211</v>
      </c>
      <c r="B39" s="118" t="s">
        <v>232</v>
      </c>
      <c r="C39" s="119">
        <v>66684</v>
      </c>
    </row>
    <row r="40" spans="1:3" x14ac:dyDescent="0.3">
      <c r="A40" s="117" t="s">
        <v>224</v>
      </c>
      <c r="B40" s="118" t="s">
        <v>234</v>
      </c>
      <c r="C40" s="119">
        <v>9055.5</v>
      </c>
    </row>
    <row r="41" spans="1:3" x14ac:dyDescent="0.3">
      <c r="A41" s="113"/>
      <c r="B41" s="113"/>
      <c r="C41" s="113"/>
    </row>
    <row r="43" spans="1:3" x14ac:dyDescent="0.3">
      <c r="A43" s="105" t="s">
        <v>203</v>
      </c>
      <c r="B43" s="105" t="s">
        <v>58</v>
      </c>
      <c r="C43" s="105" t="s">
        <v>204</v>
      </c>
    </row>
    <row r="44" spans="1:3" ht="27.6" x14ac:dyDescent="0.3">
      <c r="A44" s="114" t="s">
        <v>312</v>
      </c>
      <c r="B44" s="115" t="s">
        <v>157</v>
      </c>
      <c r="C44" s="116">
        <f>SUM(C45:C47)</f>
        <v>39000</v>
      </c>
    </row>
    <row r="45" spans="1:3" x14ac:dyDescent="0.3">
      <c r="A45" s="117" t="s">
        <v>118</v>
      </c>
      <c r="B45" s="118" t="s">
        <v>236</v>
      </c>
      <c r="C45" s="119">
        <v>2322.2222222222226</v>
      </c>
    </row>
    <row r="46" spans="1:3" x14ac:dyDescent="0.3">
      <c r="A46" s="117" t="s">
        <v>207</v>
      </c>
      <c r="B46" s="118" t="s">
        <v>237</v>
      </c>
      <c r="C46" s="119">
        <v>17686.152000000002</v>
      </c>
    </row>
    <row r="47" spans="1:3" x14ac:dyDescent="0.3">
      <c r="A47" s="117" t="s">
        <v>209</v>
      </c>
      <c r="B47" s="118" t="s">
        <v>238</v>
      </c>
      <c r="C47" s="119">
        <v>18991.625777777779</v>
      </c>
    </row>
    <row r="48" spans="1:3" x14ac:dyDescent="0.3">
      <c r="A48" s="113"/>
      <c r="B48" s="113"/>
      <c r="C48" s="113"/>
    </row>
    <row r="50" spans="1:3" x14ac:dyDescent="0.3">
      <c r="A50" s="120" t="s">
        <v>158</v>
      </c>
      <c r="B50" s="121" t="s">
        <v>159</v>
      </c>
      <c r="C50" s="122">
        <v>24300</v>
      </c>
    </row>
    <row r="51" spans="1:3" x14ac:dyDescent="0.3">
      <c r="A51" s="120" t="s">
        <v>166</v>
      </c>
      <c r="B51" s="121" t="s">
        <v>167</v>
      </c>
      <c r="C51" s="122">
        <v>25000</v>
      </c>
    </row>
    <row r="52" spans="1:3" x14ac:dyDescent="0.3">
      <c r="A52" s="120" t="s">
        <v>171</v>
      </c>
      <c r="B52" s="121" t="s">
        <v>172</v>
      </c>
      <c r="C52" s="122">
        <v>20300</v>
      </c>
    </row>
    <row r="54" spans="1:3" x14ac:dyDescent="0.3">
      <c r="A54" s="105" t="s">
        <v>203</v>
      </c>
      <c r="B54" s="105" t="s">
        <v>58</v>
      </c>
      <c r="C54" s="105" t="s">
        <v>204</v>
      </c>
    </row>
    <row r="55" spans="1:3" x14ac:dyDescent="0.3">
      <c r="A55" s="114" t="s">
        <v>174</v>
      </c>
      <c r="B55" s="115" t="s">
        <v>175</v>
      </c>
      <c r="C55" s="116">
        <f>SUM(C56:C61)</f>
        <v>214999.99999999997</v>
      </c>
    </row>
    <row r="56" spans="1:3" x14ac:dyDescent="0.3">
      <c r="A56" s="117" t="s">
        <v>118</v>
      </c>
      <c r="B56" s="123" t="s">
        <v>216</v>
      </c>
      <c r="C56" s="119">
        <v>20900</v>
      </c>
    </row>
    <row r="57" spans="1:3" x14ac:dyDescent="0.3">
      <c r="A57" s="117" t="s">
        <v>207</v>
      </c>
      <c r="B57" s="123" t="s">
        <v>241</v>
      </c>
      <c r="C57" s="119">
        <v>18991.625777777779</v>
      </c>
    </row>
    <row r="58" spans="1:3" x14ac:dyDescent="0.3">
      <c r="A58" s="117" t="s">
        <v>209</v>
      </c>
      <c r="B58" s="123" t="s">
        <v>242</v>
      </c>
      <c r="C58" s="119">
        <v>12164</v>
      </c>
    </row>
    <row r="59" spans="1:3" x14ac:dyDescent="0.3">
      <c r="A59" s="117" t="s">
        <v>211</v>
      </c>
      <c r="B59" s="123" t="s">
        <v>243</v>
      </c>
      <c r="C59" s="119">
        <v>52237.5</v>
      </c>
    </row>
    <row r="60" spans="1:3" x14ac:dyDescent="0.3">
      <c r="A60" s="117" t="s">
        <v>224</v>
      </c>
      <c r="B60" s="123" t="s">
        <v>244</v>
      </c>
      <c r="C60" s="119">
        <v>91101.633333333346</v>
      </c>
    </row>
    <row r="61" spans="1:3" x14ac:dyDescent="0.3">
      <c r="A61" s="117" t="s">
        <v>249</v>
      </c>
      <c r="B61" s="123" t="s">
        <v>246</v>
      </c>
      <c r="C61" s="119">
        <f>'APU IMPERMEABILIZACIÓN'!E690</f>
        <v>19605.240888888871</v>
      </c>
    </row>
    <row r="62" spans="1:3" x14ac:dyDescent="0.3">
      <c r="A62" s="113"/>
      <c r="B62" s="113"/>
      <c r="C62" s="113"/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medidas definitivas</vt:lpstr>
      <vt:lpstr>CUADRO GENERAL DE ACTIVIDADES</vt:lpstr>
      <vt:lpstr>APU IMPERMEABILIZACIÓN</vt:lpstr>
      <vt:lpstr>RESUMEN APU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FRESHOUSE S.A.S</dc:creator>
  <cp:lastModifiedBy>Andrés Felipe Montoya Osorio</cp:lastModifiedBy>
  <dcterms:created xsi:type="dcterms:W3CDTF">2025-04-29T23:38:11Z</dcterms:created>
  <dcterms:modified xsi:type="dcterms:W3CDTF">2025-06-06T16:26:36Z</dcterms:modified>
</cp:coreProperties>
</file>