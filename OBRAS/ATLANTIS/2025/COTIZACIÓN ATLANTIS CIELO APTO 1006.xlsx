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ie/"/>
    </mc:Choice>
  </mc:AlternateContent>
  <xr:revisionPtr revIDLastSave="0" documentId="8_{7937ED81-7FA2-5C42-850C-07A01905BD31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COT. SANTA CLARA PINT. IMP" sheetId="27" r:id="rId1"/>
  </sheets>
  <definedNames>
    <definedName name="_xlnm.Print_Area" localSheetId="0">'COT. SANTA CLARA PINT. IMP'!$A$1:$G$16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7" l="1"/>
  <c r="E10" i="27"/>
  <c r="G13" i="27" l="1"/>
  <c r="G12" i="27" s="1"/>
  <c r="G6" i="27"/>
  <c r="G9" i="27" l="1"/>
  <c r="G14" i="27" s="1"/>
  <c r="G15" i="27" s="1"/>
  <c r="G16" i="27" s="1"/>
</calcChain>
</file>

<file path=xl/sharedStrings.xml><?xml version="1.0" encoding="utf-8"?>
<sst xmlns="http://schemas.openxmlformats.org/spreadsheetml/2006/main" count="36" uniqueCount="34">
  <si>
    <t>CAPT</t>
  </si>
  <si>
    <t>ITEMS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</si>
  <si>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</si>
  <si>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</si>
  <si>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</si>
  <si>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</si>
  <si>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</si>
  <si>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</si>
  <si>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</si>
  <si>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</si>
  <si>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</si>
  <si>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</si>
  <si>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</si>
  <si>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</si>
  <si>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</si>
  <si>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</si>
  <si>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</si>
  <si>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</si>
  <si>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</si>
  <si>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INCLUIDO</t>
  </si>
  <si>
    <t>M2</t>
  </si>
  <si>
    <t>Calle 19 Norte 18-64 Ed. Atlantis piso 3 local 7</t>
  </si>
  <si>
    <t>Gerencia@freshouse.com.co</t>
  </si>
  <si>
    <t xml:space="preserve">             LIMPIEZA Y ALISTAMIENTO DE SUPERFICIES</t>
  </si>
  <si>
    <t xml:space="preserve">            TERMINADO Y LIMPIEZA</t>
  </si>
  <si>
    <t>COSTO DIRECTO</t>
  </si>
  <si>
    <t>VALOR PROPUESTA</t>
  </si>
  <si>
    <t>COTIZACIÓN OBRA - EDIFICIO ATLANTIS APTO 1106</t>
  </si>
  <si>
    <t xml:space="preserve">  VALIDO HASTA: 31/12/2025</t>
  </si>
  <si>
    <t xml:space="preserve">  FECHA: 22/10/2025</t>
  </si>
  <si>
    <t>Retiro y disposición de Placas de Fibrocemente existente</t>
  </si>
  <si>
    <t>Suministro e instalación de Laminas de Fibrocemento de 12mm. Con acabado final de vinilo tipo 1 de Pintuco</t>
  </si>
  <si>
    <t>IVA</t>
  </si>
  <si>
    <t>Aseo general, Retiro de Material y 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</si>
</sst>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165" fontId="2" fillId="2" borderId="12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165" fontId="2" fillId="8" borderId="12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left" vertical="center" wrapText="1"/>
    </xf>
    <xf numFmtId="164" fontId="4" fillId="10" borderId="2" xfId="0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6" borderId="20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left" vertical="center" wrapText="1"/>
    </xf>
    <xf numFmtId="0" fontId="2" fillId="8" borderId="11" xfId="0" applyFont="1" applyFill="1" applyBorder="1" applyAlignment="1">
      <alignment horizontal="left" vertical="center" wrapText="1"/>
    </xf>
    <xf numFmtId="43" fontId="2" fillId="10" borderId="20" xfId="1" applyFont="1" applyFill="1" applyBorder="1" applyAlignment="1">
      <alignment horizontal="center" vertical="center"/>
    </xf>
    <xf numFmtId="43" fontId="2" fillId="10" borderId="22" xfId="1" applyFont="1" applyFill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43" fontId="4" fillId="0" borderId="23" xfId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2" borderId="23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362528</xdr:colOff>
      <xdr:row>1</xdr:row>
      <xdr:rowOff>110841</xdr:rowOff>
    </xdr:from>
    <xdr:to>
      <xdr:col>6</xdr:col>
      <xdr:colOff>1173727</xdr:colOff>
      <xdr:row>2</xdr:row>
      <xdr:rowOff>301341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8268" y="392781"/>
          <a:ext cx="2341202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J19"/>
  <sheetViews>
    <sheetView tabSelected="1" zoomScaleNormal="66" workbookViewId="0">
      <selection activeCell="B12" sqref="B12:F12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10" s="21" customFormat="1" ht="22.5" customHeight="1" x14ac:dyDescent="0.2">
      <c r="A1" s="42" t="s">
        <v>27</v>
      </c>
      <c r="B1" s="43"/>
      <c r="C1" s="43"/>
      <c r="D1" s="43"/>
      <c r="E1" s="43"/>
      <c r="F1" s="43"/>
      <c r="G1" s="44"/>
    </row>
    <row r="2" spans="1:10" ht="44" customHeight="1" x14ac:dyDescent="0.2">
      <c r="A2" s="45" t="s">
        <v>5</v>
      </c>
      <c r="B2" s="46"/>
      <c r="C2" s="3" t="s">
        <v>21</v>
      </c>
      <c r="D2" s="3" t="s">
        <v>6</v>
      </c>
      <c r="E2" s="3" t="s">
        <v>7</v>
      </c>
      <c r="F2" s="47"/>
      <c r="G2" s="48"/>
    </row>
    <row r="3" spans="1:10" ht="35" customHeight="1" x14ac:dyDescent="0.2">
      <c r="A3" s="45" t="s">
        <v>8</v>
      </c>
      <c r="B3" s="46"/>
      <c r="C3" s="36" t="s">
        <v>22</v>
      </c>
      <c r="D3" s="45" t="s">
        <v>29</v>
      </c>
      <c r="E3" s="46"/>
      <c r="F3" s="49"/>
      <c r="G3" s="50"/>
      <c r="H3"/>
    </row>
    <row r="4" spans="1:10" ht="53" customHeight="1" x14ac:dyDescent="0.2">
      <c r="A4" s="45" t="s">
        <v>9</v>
      </c>
      <c r="B4" s="46"/>
      <c r="C4" s="3" t="s">
        <v>10</v>
      </c>
      <c r="D4" s="45" t="s">
        <v>28</v>
      </c>
      <c r="E4" s="46"/>
      <c r="F4" s="51"/>
      <c r="G4" s="52"/>
      <c r="H4"/>
    </row>
    <row r="5" spans="1:10" ht="45" customHeight="1" x14ac:dyDescent="0.2">
      <c r="A5" s="9" t="s">
        <v>0</v>
      </c>
      <c r="B5" s="9" t="s">
        <v>1</v>
      </c>
      <c r="C5" s="9" t="s">
        <v>2</v>
      </c>
      <c r="D5" s="9" t="s">
        <v>11</v>
      </c>
      <c r="E5" s="9" t="s">
        <v>12</v>
      </c>
      <c r="F5" s="9" t="s">
        <v>13</v>
      </c>
      <c r="G5" s="9" t="s">
        <v>14</v>
      </c>
      <c r="H5"/>
    </row>
    <row r="6" spans="1:10" ht="23.25" customHeight="1" x14ac:dyDescent="0.2">
      <c r="A6" s="13" t="s">
        <v>3</v>
      </c>
      <c r="B6" s="12"/>
      <c r="C6" s="12" t="s">
        <v>4</v>
      </c>
      <c r="D6" s="12"/>
      <c r="E6" s="12"/>
      <c r="F6" s="12"/>
      <c r="G6" s="4">
        <f>SUM(G7:G8)</f>
        <v>0</v>
      </c>
    </row>
    <row r="7" spans="1:10" ht="39" customHeight="1" x14ac:dyDescent="0.2">
      <c r="A7" s="10"/>
      <c r="B7" s="15">
        <v>1.1000000000000001</v>
      </c>
      <c r="C7" s="19" t="s">
        <v>17</v>
      </c>
      <c r="D7" s="17" t="s">
        <v>16</v>
      </c>
      <c r="E7" s="11">
        <v>1</v>
      </c>
      <c r="F7" s="20" t="s">
        <v>19</v>
      </c>
      <c r="G7" s="6"/>
    </row>
    <row r="8" spans="1:10" ht="99" customHeight="1" x14ac:dyDescent="0.2">
      <c r="A8" s="10"/>
      <c r="B8" s="15">
        <v>1.2</v>
      </c>
      <c r="C8" s="19" t="s">
        <v>18</v>
      </c>
      <c r="D8" s="17" t="s">
        <v>15</v>
      </c>
      <c r="E8" s="11">
        <v>1</v>
      </c>
      <c r="F8" s="20" t="s">
        <v>19</v>
      </c>
      <c r="G8" s="6"/>
    </row>
    <row r="9" spans="1:10" s="22" customFormat="1" ht="16" x14ac:dyDescent="0.2">
      <c r="A9" s="24">
        <v>2</v>
      </c>
      <c r="B9" s="39" t="s">
        <v>23</v>
      </c>
      <c r="C9" s="40"/>
      <c r="D9" s="40"/>
      <c r="E9" s="40"/>
      <c r="F9" s="41"/>
      <c r="G9" s="25">
        <f>SUM(G10:G11)</f>
        <v>5253119.9999999991</v>
      </c>
    </row>
    <row r="10" spans="1:10" s="22" customFormat="1" ht="64.25" customHeight="1" x14ac:dyDescent="0.2">
      <c r="A10" s="26"/>
      <c r="B10" s="27">
        <v>2.1</v>
      </c>
      <c r="C10" s="28" t="s">
        <v>30</v>
      </c>
      <c r="D10" s="63" t="s">
        <v>20</v>
      </c>
      <c r="E10" s="61">
        <f>114*0.6</f>
        <v>68.399999999999991</v>
      </c>
      <c r="F10" s="59">
        <v>76800</v>
      </c>
      <c r="G10" s="65">
        <f>F10*E10</f>
        <v>5253119.9999999991</v>
      </c>
      <c r="H10" s="37"/>
      <c r="I10" s="37"/>
      <c r="J10" s="23"/>
    </row>
    <row r="11" spans="1:10" s="22" customFormat="1" ht="64.25" customHeight="1" x14ac:dyDescent="0.2">
      <c r="A11" s="26"/>
      <c r="B11" s="27">
        <v>2.2000000000000002</v>
      </c>
      <c r="C11" s="28" t="s">
        <v>31</v>
      </c>
      <c r="D11" s="64"/>
      <c r="E11" s="62"/>
      <c r="F11" s="60"/>
      <c r="G11" s="66"/>
      <c r="J11" s="23"/>
    </row>
    <row r="12" spans="1:10" customFormat="1" ht="35.5" customHeight="1" x14ac:dyDescent="0.2">
      <c r="A12" s="29">
        <v>5</v>
      </c>
      <c r="B12" s="55" t="s">
        <v>24</v>
      </c>
      <c r="C12" s="55"/>
      <c r="D12" s="55"/>
      <c r="E12" s="55"/>
      <c r="F12" s="56"/>
      <c r="G12" s="30">
        <f>SUM(G13:G13)</f>
        <v>300000</v>
      </c>
    </row>
    <row r="13" spans="1:10" ht="64.25" customHeight="1" x14ac:dyDescent="0.2">
      <c r="A13" s="14"/>
      <c r="B13" s="16">
        <v>5.0999999999999996</v>
      </c>
      <c r="C13" s="19" t="s">
        <v>33</v>
      </c>
      <c r="D13" s="18" t="s">
        <v>16</v>
      </c>
      <c r="E13" s="11">
        <v>1</v>
      </c>
      <c r="F13" s="5">
        <v>300000</v>
      </c>
      <c r="G13" s="35">
        <f>F13*E13</f>
        <v>300000</v>
      </c>
    </row>
    <row r="14" spans="1:10" ht="27.5" customHeight="1" x14ac:dyDescent="0.2">
      <c r="A14" s="7"/>
      <c r="B14" s="8"/>
      <c r="C14" s="8"/>
      <c r="E14" s="57" t="s">
        <v>25</v>
      </c>
      <c r="F14" s="58"/>
      <c r="G14" s="31">
        <f>G9+G12</f>
        <v>5553119.9999999991</v>
      </c>
    </row>
    <row r="15" spans="1:10" ht="21.75" customHeight="1" x14ac:dyDescent="0.2">
      <c r="A15" s="7"/>
      <c r="B15" s="8"/>
      <c r="C15" s="8"/>
      <c r="E15" s="26" t="s">
        <v>32</v>
      </c>
      <c r="F15" s="32">
        <v>0.19</v>
      </c>
      <c r="G15" s="33">
        <f>F15*G14</f>
        <v>1055092.7999999998</v>
      </c>
    </row>
    <row r="16" spans="1:10" ht="16" x14ac:dyDescent="0.2">
      <c r="A16" s="7"/>
      <c r="B16" s="8"/>
      <c r="C16" s="8"/>
      <c r="E16" s="53" t="s">
        <v>26</v>
      </c>
      <c r="F16" s="54"/>
      <c r="G16" s="34">
        <f>+G14+G15</f>
        <v>6608212.7999999989</v>
      </c>
    </row>
    <row r="18" spans="7:7" x14ac:dyDescent="0.2">
      <c r="G18" s="38"/>
    </row>
    <row r="19" spans="7:7" x14ac:dyDescent="0.2">
      <c r="G19" s="38"/>
    </row>
  </sheetData>
  <mergeCells count="15">
    <mergeCell ref="F10:F11"/>
    <mergeCell ref="E10:E11"/>
    <mergeCell ref="D10:D11"/>
    <mergeCell ref="G10:G11"/>
    <mergeCell ref="E16:F16"/>
    <mergeCell ref="B12:F12"/>
    <mergeCell ref="E14:F14"/>
    <mergeCell ref="B9:F9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COT. SANTA CLARA PINT. IMP</vt:lpstr>
      <vt:lpstr>'COT. SANTA CLARA PINT. IMP'!Área_de_impresión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2025-11-24T20:57:25Z</dcterms:modified>
  <cp:category/>
  <cp:contentStatus/>
</cp:coreProperties>
</file>