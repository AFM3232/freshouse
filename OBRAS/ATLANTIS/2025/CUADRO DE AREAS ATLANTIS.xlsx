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fresh\"/>
    </mc:Choice>
  </mc:AlternateContent>
  <xr:revisionPtr revIDLastSave="0" documentId="13_ncr:1_{8096B477-FC3B-4A75-8358-D3EED37B9EB6}" xr6:coauthVersionLast="47" xr6:coauthVersionMax="47" xr10:uidLastSave="{00000000-0000-0000-0000-000000000000}"/>
  <bookViews>
    <workbookView xWindow="24" yWindow="24" windowWidth="23016" windowHeight="12216" xr2:uid="{6719E712-6974-4EFB-8955-222AD0D9EB97}"/>
  </bookViews>
  <sheets>
    <sheet name="Hoja1" sheetId="1" r:id="rId1"/>
    <sheet name="Hoja3" sheetId="3" r:id="rId2"/>
    <sheet name="Hoja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G33" i="1" s="1"/>
  <c r="P11" i="1"/>
  <c r="J11" i="1"/>
  <c r="L18" i="1"/>
  <c r="L19" i="1"/>
  <c r="L20" i="1"/>
  <c r="L21" i="1"/>
  <c r="M23" i="1"/>
  <c r="L23" i="1" l="1"/>
  <c r="M11" i="1"/>
  <c r="M13" i="1" s="1"/>
</calcChain>
</file>

<file path=xl/sharedStrings.xml><?xml version="1.0" encoding="utf-8"?>
<sst xmlns="http://schemas.openxmlformats.org/spreadsheetml/2006/main" count="125" uniqueCount="105">
  <si>
    <t>BLOQUE 1</t>
  </si>
  <si>
    <t>BLOQUE 2</t>
  </si>
  <si>
    <t>BLOQUE 3</t>
  </si>
  <si>
    <t>BLOQUE 4</t>
  </si>
  <si>
    <t>VACIOS</t>
  </si>
  <si>
    <t>LAVADO</t>
  </si>
  <si>
    <t>AREA CARA 1</t>
  </si>
  <si>
    <t>AREA CARA 2</t>
  </si>
  <si>
    <t>DOS CARAS</t>
  </si>
  <si>
    <t>VIDRIOS</t>
  </si>
  <si>
    <t>BALCONES</t>
  </si>
  <si>
    <t xml:space="preserve">1 CARA </t>
  </si>
  <si>
    <t xml:space="preserve">TOTAL VIDRIO </t>
  </si>
  <si>
    <t>TOTAL BALCONES</t>
  </si>
  <si>
    <t>Criterio</t>
  </si>
  <si>
    <t>PVC (convencional / traslúcido u opaco)</t>
  </si>
  <si>
    <t>uPVC (rígido, a veces con capa ASA)</t>
  </si>
  <si>
    <t>Composición</t>
  </si>
  <si>
    <t>PVC con plastificantes (más flexible).</t>
  </si>
  <si>
    <t>PVC sin plastificantes (rígido); a menudo multicapa y/o con recubrimiento ASA. (Diffen, BuscalPeru)</t>
  </si>
  <si>
    <t>Precio típico en retail (Colombia, COP/m²)</t>
  </si>
  <si>
    <t>Peso típico</t>
  </si>
  <si>
    <t>Rigidez / estabilidad dimensional</t>
  </si>
  <si>
    <t>Más flexible; mayor dilatación y posibilidad de “ondulación” si no se respeta la pendiente/soporte.</t>
  </si>
  <si>
    <t>Más rígido y estable; menor deformación. Diseñado para cubiertas autoportantes ligeras. (Diffen)</t>
  </si>
  <si>
    <t>Aislamiento térmico (referencias)</t>
  </si>
  <si>
    <t>U-value ≈5,7 W/m²·K @ 1 mm (hoja corrugada PVC). Servicio típico −20 a +60 °C. (Storm Building Products)</t>
  </si>
  <si>
    <t>Fichas de uPVC reportan λ ≈ 0,06 W/m·K y diseño termoacústico multicapa. (Valores varían por marca/espesor). (Solo Tejas)</t>
  </si>
  <si>
    <t>Atenuación acústica</t>
  </si>
  <si>
    <t>Depende de espesor; no siempre especificado.</t>
  </si>
  <si>
    <t>≈20 dB (ej. uPVC cresta alta). (Solo Tejas)</t>
  </si>
  <si>
    <t>Resistencia química / ambiente marino</t>
  </si>
  <si>
    <t>Buena resistencia general; consultar hoja según aplicación.</t>
  </si>
  <si>
    <t>Muy buena; hojas uPVC/ASA especifican alta resistencia a sales y alcalinos ≤60 %. (BuscalPeru)</t>
  </si>
  <si>
    <t>Resistencia al fuego (ejemplos)</t>
  </si>
  <si>
    <t>Clasificaciones disponibles en sistemas de membrana PVC y lámina corrugada (p.ej. B-s1,d0 en ciertos productos europeos). (Roof Giant)</t>
  </si>
  <si>
    <t>Algunos uPVC reportan Clase B1 (retardante) según proveedor. (Ver ficha específica del fabricante local.) (LTA Canada Inc.)</t>
  </si>
  <si>
    <t>Pendiente mínima</t>
  </si>
  <si>
    <t>Ejemplo PVC termoacústica: ≈22° (≈40 %) como mínimo. (LTA Canada Inc.)</t>
  </si>
  <si>
    <t>uPVC cresta alta: ≥10 % (con traslape 15 %). (Solo Tejas)</t>
  </si>
  <si>
    <t>Dimensiones típicas</t>
  </si>
  <si>
    <t>Perfiles de 1,07 m ancho total / 1,00 m útil, largos hasta 11,8 m (una sola pieza de cumbrera a canal). (Solo Tejas)</t>
  </si>
  <si>
    <t>Traslapes</t>
  </si>
  <si>
    <t>Según perfil; p. ej. manuales de PVC colonial establecen áreas útiles y traslapes específicos. (Plamat)</t>
  </si>
  <si>
    <t>Longitudinal 25 cm; lateral 1 cresta (perfil cresta alta). (Solo Tejas)</t>
  </si>
  <si>
    <t>Voladizo máximo</t>
  </si>
  <si>
    <t>Usualmente 15–20 cm en fichas/ manuales. (neufert-cdn.archdaily.net)</t>
  </si>
  <si>
    <t>30 cm (uPVC cresta alta). (Solo Tejas)</t>
  </si>
  <si>
    <t>Radio mínimo de curvatura</t>
  </si>
  <si>
    <t>No siempre aplicable/ informado.</t>
  </si>
  <si>
    <t>R ≥ 16 m (curva muy suave). (Solo Tejas)</t>
  </si>
  <si>
    <t>Fijaciones recomendadas</t>
  </si>
  <si>
    <t>Varía por marca; como referencia, 5 fijaciones por m² en ASA-PVC termoacústica (accesorios compatibles). (habitar.com.co)</t>
  </si>
  <si>
    <t>Referencias de uPVC: 4 tornillos/m² (hasta 6/m² en zonas de viento). (panaplast.net)</t>
  </si>
  <si>
    <t>Instalación (tips críticos)</t>
  </si>
  <si>
    <t>Respetar pendiente mínima del perfil; usar accesorios del sistema; seguir manuales de corte/perforado del fabricante. (Plamat)</t>
  </si>
  <si>
    <t>Pre-perforar (≈8 mm) para permitir dilatación; taladro a baja velocidad; respetar pendiente y traslapes del perfil. (JMG Espacios en PVC)</t>
  </si>
  <si>
    <t>Garantías típicas</t>
  </si>
  <si>
    <t>Ejemplos retail: 3 años (PVC). (Homecenter)</t>
  </si>
  <si>
    <t>Ejemplos retail: 8 años (uPVC multicapa), 1 año en ciertas líneas económicas. (Varía mucho.) (Homecenter)</t>
  </si>
  <si>
    <t>Accesorios / compatibilidad</t>
  </si>
  <si>
    <t>Caballetes, cumbreras y traslúcidas compatibles por perfil (Ajover/otros). (Ajover)</t>
  </si>
  <si>
    <t>Igual: caballetes/cumbreras propios del perfil uPVC. (supertechoscolombia)</t>
  </si>
  <si>
    <t>Aplicaciones típicas</t>
  </si>
  <si>
    <t>Cubiertas económicas, complementos traslúcidos para iluminación natural, proyectos livianos. (Ajover)</t>
  </si>
  <si>
    <t>Naves, granjas, ambientes corrosivos, cubiertas livianas con mejor desempeño termoacústico. (panelconstructor.com.co, Fajobe)</t>
  </si>
  <si>
    <r>
      <t>$22.000–$28.000/m²</t>
    </r>
    <r>
      <rPr>
        <sz val="11"/>
        <color theme="1"/>
        <rFont val="Century Gothic"/>
        <family val="2"/>
      </rPr>
      <t xml:space="preserve"> (ej. Ajover 0,9 mm en Homecenter/Easy/Jumbo). (Homecenter, Jumbo Colombia, EASY Colombia)</t>
    </r>
  </si>
  <si>
    <r>
      <t>$35.000–$40.000/m²</t>
    </r>
    <r>
      <rPr>
        <sz val="11"/>
        <color theme="1"/>
        <rFont val="Century Gothic"/>
        <family val="2"/>
      </rPr>
      <t xml:space="preserve"> (ej. UPVC 1,5–2,0 mm y 2,0 mm). En ecommerce también se ven ~</t>
    </r>
    <r>
      <rPr>
        <b/>
        <sz val="11"/>
        <color theme="1"/>
        <rFont val="Century Gothic"/>
        <family val="2"/>
      </rPr>
      <t>$31.000/m²</t>
    </r>
    <r>
      <rPr>
        <sz val="11"/>
        <color theme="1"/>
        <rFont val="Century Gothic"/>
        <family val="2"/>
      </rPr>
      <t xml:space="preserve"> en largos de 11,8 m. (Homecenter, Mercado Libre)</t>
    </r>
  </si>
  <si>
    <r>
      <t>~</t>
    </r>
    <r>
      <rPr>
        <b/>
        <sz val="11"/>
        <color theme="1"/>
        <rFont val="Century Gothic"/>
        <family val="2"/>
      </rPr>
      <t>1,4 kg/m² @ 1 mm</t>
    </r>
    <r>
      <rPr>
        <sz val="11"/>
        <color theme="1"/>
        <rFont val="Century Gothic"/>
        <family val="2"/>
      </rPr>
      <t xml:space="preserve">; </t>
    </r>
    <r>
      <rPr>
        <b/>
        <sz val="11"/>
        <color theme="1"/>
        <rFont val="Century Gothic"/>
        <family val="2"/>
      </rPr>
      <t>3,6 kg/m² @ 2 mm</t>
    </r>
    <r>
      <rPr>
        <sz val="11"/>
        <color theme="1"/>
        <rFont val="Century Gothic"/>
        <family val="2"/>
      </rPr>
      <t xml:space="preserve"> (según ficha de fabricante). (Roof Giant, Storm Building Products, LTA Canada Inc.)</t>
    </r>
  </si>
  <si>
    <r>
      <t>4,4–5,9 kg/m² @ 2,0–2,5 mm</t>
    </r>
    <r>
      <rPr>
        <sz val="11"/>
        <color theme="1"/>
        <rFont val="Century Gothic"/>
        <family val="2"/>
      </rPr>
      <t xml:space="preserve"> (cresta alta). (JMG Espacios en PVC, Solo Tejas)</t>
    </r>
  </si>
  <si>
    <r>
      <t>Planchas onduladas ~</t>
    </r>
    <r>
      <rPr>
        <b/>
        <sz val="11"/>
        <color theme="1"/>
        <rFont val="Century Gothic"/>
        <family val="2"/>
      </rPr>
      <t>0,92–1,06 m</t>
    </r>
    <r>
      <rPr>
        <sz val="11"/>
        <color theme="1"/>
        <rFont val="Century Gothic"/>
        <family val="2"/>
      </rPr>
      <t xml:space="preserve"> de ancho y largos de </t>
    </r>
    <r>
      <rPr>
        <b/>
        <sz val="11"/>
        <color theme="1"/>
        <rFont val="Century Gothic"/>
        <family val="2"/>
      </rPr>
      <t>1,22 a 3,05 m</t>
    </r>
    <r>
      <rPr>
        <sz val="11"/>
        <color theme="1"/>
        <rFont val="Century Gothic"/>
        <family val="2"/>
      </rPr>
      <t xml:space="preserve"> (segmento retail); también formatos “española”. (Homecenter, Jumbo Colombia)</t>
    </r>
  </si>
  <si>
    <t>0.3.</t>
  </si>
  <si>
    <t>lavado general vidros</t>
  </si>
  <si>
    <t>lavado general concreto</t>
  </si>
  <si>
    <t xml:space="preserve">lavado general super board </t>
  </si>
  <si>
    <t>sellado de superborar</t>
  </si>
  <si>
    <t>remplazo de laminas super board</t>
  </si>
  <si>
    <t>remplezo de silcoplast</t>
  </si>
  <si>
    <t xml:space="preserve">descripcion de sellamiento de juntas  de superboard </t>
  </si>
  <si>
    <t>v</t>
  </si>
  <si>
    <t>h</t>
  </si>
  <si>
    <t>pintura de concreto</t>
  </si>
  <si>
    <t>pintura de super board</t>
  </si>
  <si>
    <t xml:space="preserve">pintura de alfajias </t>
  </si>
  <si>
    <t xml:space="preserve">balcones  siliconite </t>
  </si>
  <si>
    <t xml:space="preserve">sellamiento de elemento de balcones </t>
  </si>
  <si>
    <t xml:space="preserve">instalacion de desagues en balcones </t>
  </si>
  <si>
    <t>EDIFICIO ATLANTIS</t>
  </si>
  <si>
    <t xml:space="preserve">             LIMPIEZA Y ALISTAMIENTO DE SUPERFICIES</t>
  </si>
  <si>
    <t>Lavado y eliminación previa de focos de moho u hongos donde se evidencie humedad.</t>
  </si>
  <si>
    <t>M2</t>
  </si>
  <si>
    <t>Inspección, apertura y sellado de grietas en fachadas de mortero y/o de Superboard. PINTUCO FIX PROFESIONAL</t>
  </si>
  <si>
    <t>ML</t>
  </si>
  <si>
    <t>Reparación del recubrimiento mediante estuco impermeable (Silcoplast de Pintuco). Imprimación con IMPRIMAX de PINTUCO y posterior aplicación del Silcoplast de PINTUCO</t>
  </si>
  <si>
    <t>????????????????????????</t>
  </si>
  <si>
    <t xml:space="preserve">            OBRAS DE PINTURA EN MUROS DE FACHADA E IMPERMEABILIZACIÓN</t>
  </si>
  <si>
    <t>Aplicación de pintura elastomérica para exteriores (Koraza de Pintuco). Pintura KORAZA PRO 550 de PINTUCO</t>
  </si>
  <si>
    <t xml:space="preserve">            RESTAURACIÓN DE SELLOS</t>
  </si>
  <si>
    <t>Limpieza general del elemento vidriado a intervenir</t>
  </si>
  <si>
    <t>Limpieza detallada con alcohol Isopropílico sobre la zona de sellado</t>
  </si>
  <si>
    <t>Suministro y Aplicación del material sellante, dándole acabado pulido y estético. Con Sikasil C</t>
  </si>
  <si>
    <t xml:space="preserve">volumen blaco pintado 1 cara </t>
  </si>
  <si>
    <t xml:space="preserve">volumen blaco pintado 2 cara </t>
  </si>
  <si>
    <t>TOTAL</t>
  </si>
  <si>
    <t xml:space="preserve">VOLUMEN BLANCO PINTADO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</si>
</sst>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20"/>
      <color theme="0"/>
      <name val="Swis721 BT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0000"/>
      <name val="Century Gothic"/>
      <family val="2"/>
    </font>
    <font>
      <sz val="12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684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43" fontId="7" fillId="0" borderId="1" xfId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43" fontId="12" fillId="0" borderId="1" xfId="1" applyFont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5405-0736-4BFD-A44D-53AED7295F8F}">
  <dimension ref="C3:P59"/>
  <sheetViews>
    <sheetView tabSelected="1" topLeftCell="A43" workbookViewId="0">
      <selection activeCell="G60" sqref="G60"/>
    </sheetView>
  </sheetViews>
  <sheetFormatPr baseColWidth="10" defaultRowHeight="14.4" x14ac:dyDescent="0.3"/>
  <cols>
    <col min="3" max="3" width="21.5546875" customWidth="1"/>
    <col min="7" max="7" width="16.88671875" customWidth="1"/>
    <col min="13" max="13" width="14.21875" customWidth="1"/>
    <col min="14" max="14" width="4.109375" customWidth="1"/>
  </cols>
  <sheetData>
    <row r="3" spans="3:16" x14ac:dyDescent="0.3">
      <c r="C3" t="s">
        <v>5</v>
      </c>
      <c r="E3" s="1" t="s">
        <v>4</v>
      </c>
      <c r="F3" s="1" t="s">
        <v>4</v>
      </c>
      <c r="G3" s="1" t="s">
        <v>4</v>
      </c>
      <c r="H3" s="1" t="s">
        <v>4</v>
      </c>
      <c r="J3" t="s">
        <v>6</v>
      </c>
      <c r="K3" s="1" t="s">
        <v>11</v>
      </c>
      <c r="L3" s="1" t="s">
        <v>11</v>
      </c>
      <c r="M3" s="1" t="s">
        <v>11</v>
      </c>
      <c r="O3" t="s">
        <v>7</v>
      </c>
      <c r="P3" t="s">
        <v>8</v>
      </c>
    </row>
    <row r="5" spans="3:16" x14ac:dyDescent="0.3">
      <c r="C5" t="s">
        <v>0</v>
      </c>
      <c r="D5">
        <v>488.9</v>
      </c>
      <c r="E5">
        <v>11.34</v>
      </c>
      <c r="F5">
        <v>93.87</v>
      </c>
      <c r="G5">
        <v>38.200000000000003</v>
      </c>
      <c r="H5">
        <v>75.75</v>
      </c>
      <c r="J5">
        <v>269.74</v>
      </c>
      <c r="K5">
        <v>142.06</v>
      </c>
      <c r="L5">
        <v>50.94</v>
      </c>
      <c r="O5">
        <v>76.739999999999995</v>
      </c>
      <c r="P5">
        <v>346.48</v>
      </c>
    </row>
    <row r="6" spans="3:16" x14ac:dyDescent="0.3">
      <c r="C6" t="s">
        <v>1</v>
      </c>
      <c r="D6">
        <v>417.97</v>
      </c>
      <c r="E6">
        <v>110.84</v>
      </c>
      <c r="F6">
        <v>64.959999999999994</v>
      </c>
      <c r="J6">
        <v>242.17</v>
      </c>
      <c r="K6">
        <v>40.51</v>
      </c>
      <c r="L6">
        <v>5.33</v>
      </c>
      <c r="M6">
        <v>39.78</v>
      </c>
      <c r="O6">
        <v>156.55000000000001</v>
      </c>
      <c r="P6">
        <v>398.72</v>
      </c>
    </row>
    <row r="7" spans="3:16" x14ac:dyDescent="0.3">
      <c r="C7" t="s">
        <v>2</v>
      </c>
      <c r="D7">
        <v>593.58000000000004</v>
      </c>
      <c r="E7">
        <v>51.6</v>
      </c>
      <c r="F7">
        <v>63.86</v>
      </c>
      <c r="G7">
        <v>68.67</v>
      </c>
      <c r="H7">
        <v>112.3</v>
      </c>
      <c r="J7">
        <v>297.14999999999998</v>
      </c>
      <c r="K7">
        <v>5.56</v>
      </c>
      <c r="L7">
        <v>15.53</v>
      </c>
      <c r="M7">
        <v>62.01</v>
      </c>
      <c r="O7">
        <v>214.05</v>
      </c>
      <c r="P7">
        <v>511.2</v>
      </c>
    </row>
    <row r="8" spans="3:16" x14ac:dyDescent="0.3">
      <c r="C8" t="s">
        <v>3</v>
      </c>
      <c r="D8">
        <v>468.18</v>
      </c>
      <c r="E8">
        <v>55.67</v>
      </c>
      <c r="F8">
        <v>129.6</v>
      </c>
      <c r="G8">
        <v>39.9</v>
      </c>
      <c r="J8">
        <v>243.01</v>
      </c>
      <c r="K8">
        <v>36.54</v>
      </c>
      <c r="L8">
        <v>5</v>
      </c>
      <c r="M8">
        <v>80.510000000000005</v>
      </c>
      <c r="O8">
        <v>120.96</v>
      </c>
      <c r="P8">
        <v>363.97</v>
      </c>
    </row>
    <row r="11" spans="3:16" x14ac:dyDescent="0.3">
      <c r="J11">
        <f>SUM(J5:J10)</f>
        <v>1052.07</v>
      </c>
      <c r="M11">
        <f>J11+P11</f>
        <v>2672.44</v>
      </c>
      <c r="P11">
        <f>SUM(P5:P10)</f>
        <v>1620.3700000000001</v>
      </c>
    </row>
    <row r="13" spans="3:16" x14ac:dyDescent="0.3">
      <c r="M13">
        <f>M11+M23</f>
        <v>5242.59</v>
      </c>
    </row>
    <row r="16" spans="3:16" x14ac:dyDescent="0.3">
      <c r="C16" t="s">
        <v>9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13</v>
      </c>
      <c r="M16" t="s">
        <v>12</v>
      </c>
    </row>
    <row r="18" spans="3:13" x14ac:dyDescent="0.3">
      <c r="C18" t="s">
        <v>0</v>
      </c>
      <c r="D18">
        <v>509.93</v>
      </c>
      <c r="E18">
        <v>4.07</v>
      </c>
      <c r="F18">
        <v>1.76</v>
      </c>
      <c r="G18">
        <v>2.89</v>
      </c>
      <c r="H18">
        <v>1.82</v>
      </c>
      <c r="I18">
        <v>1.32</v>
      </c>
      <c r="J18">
        <v>2.41</v>
      </c>
      <c r="K18">
        <v>1.84</v>
      </c>
      <c r="L18">
        <f>SUM(E18:K18)</f>
        <v>16.110000000000003</v>
      </c>
      <c r="M18">
        <v>493.82</v>
      </c>
    </row>
    <row r="19" spans="3:13" x14ac:dyDescent="0.3">
      <c r="C19" t="s">
        <v>1</v>
      </c>
      <c r="D19">
        <v>709.47</v>
      </c>
      <c r="E19">
        <v>4.9000000000000004</v>
      </c>
      <c r="F19">
        <v>1.75</v>
      </c>
      <c r="G19">
        <v>1.49</v>
      </c>
      <c r="H19">
        <v>1.63</v>
      </c>
      <c r="I19">
        <v>3.21</v>
      </c>
      <c r="J19">
        <v>1.48</v>
      </c>
      <c r="K19">
        <v>7.32</v>
      </c>
      <c r="L19">
        <f>SUM(E19:K19)</f>
        <v>21.78</v>
      </c>
      <c r="M19">
        <v>687.22</v>
      </c>
    </row>
    <row r="20" spans="3:13" x14ac:dyDescent="0.3">
      <c r="C20" t="s">
        <v>2</v>
      </c>
      <c r="D20">
        <v>646.65</v>
      </c>
      <c r="E20">
        <v>2.1800000000000002</v>
      </c>
      <c r="F20">
        <v>1.95</v>
      </c>
      <c r="G20">
        <v>1.73</v>
      </c>
      <c r="H20">
        <v>3.64</v>
      </c>
      <c r="I20">
        <v>1.5</v>
      </c>
      <c r="J20">
        <v>4.12</v>
      </c>
      <c r="K20">
        <v>6.96</v>
      </c>
      <c r="L20">
        <f>SUM(E20:K20)</f>
        <v>22.080000000000002</v>
      </c>
      <c r="M20">
        <v>624.57000000000005</v>
      </c>
    </row>
    <row r="21" spans="3:13" x14ac:dyDescent="0.3">
      <c r="C21" t="s">
        <v>3</v>
      </c>
      <c r="D21">
        <v>785.54</v>
      </c>
      <c r="E21">
        <v>1.72</v>
      </c>
      <c r="F21">
        <v>3.8</v>
      </c>
      <c r="G21">
        <v>1.46</v>
      </c>
      <c r="H21">
        <v>1.98</v>
      </c>
      <c r="I21">
        <v>2.96</v>
      </c>
      <c r="J21">
        <v>9.11</v>
      </c>
      <c r="L21">
        <f>SUM(E21:K21)</f>
        <v>21.029999999999998</v>
      </c>
      <c r="M21">
        <v>764.54</v>
      </c>
    </row>
    <row r="23" spans="3:13" x14ac:dyDescent="0.3">
      <c r="L23">
        <f>SUM(L18:L22)</f>
        <v>81</v>
      </c>
      <c r="M23">
        <f>SUM(M18:M22)</f>
        <v>2570.15</v>
      </c>
    </row>
    <row r="29" spans="3:13" x14ac:dyDescent="0.3">
      <c r="C29" t="s">
        <v>71</v>
      </c>
    </row>
    <row r="30" spans="3:13" x14ac:dyDescent="0.3">
      <c r="D30">
        <v>24.19</v>
      </c>
      <c r="E30">
        <v>28</v>
      </c>
      <c r="F30">
        <v>677.32</v>
      </c>
      <c r="G30">
        <v>1.3540000000000001</v>
      </c>
      <c r="H30" t="s">
        <v>79</v>
      </c>
    </row>
    <row r="31" spans="3:13" x14ac:dyDescent="0.3">
      <c r="D31">
        <v>31.66</v>
      </c>
      <c r="E31">
        <v>24</v>
      </c>
      <c r="F31">
        <v>759.84</v>
      </c>
      <c r="G31">
        <v>1.5189999999999999</v>
      </c>
      <c r="H31" t="s">
        <v>80</v>
      </c>
    </row>
    <row r="32" spans="3:13" x14ac:dyDescent="0.3">
      <c r="G32">
        <f>SUM(G30:G31)</f>
        <v>2.8730000000000002</v>
      </c>
    </row>
    <row r="33" spans="3:7" x14ac:dyDescent="0.3">
      <c r="G33">
        <f>G32*4</f>
        <v>11.492000000000001</v>
      </c>
    </row>
    <row r="34" spans="3:7" x14ac:dyDescent="0.3">
      <c r="C34" t="s">
        <v>72</v>
      </c>
    </row>
    <row r="35" spans="3:7" x14ac:dyDescent="0.3">
      <c r="C35" t="s">
        <v>73</v>
      </c>
    </row>
    <row r="36" spans="3:7" x14ac:dyDescent="0.3">
      <c r="C36" t="s">
        <v>74</v>
      </c>
    </row>
    <row r="38" spans="3:7" x14ac:dyDescent="0.3">
      <c r="C38" t="s">
        <v>75</v>
      </c>
    </row>
    <row r="39" spans="3:7" x14ac:dyDescent="0.3">
      <c r="C39" t="s">
        <v>76</v>
      </c>
    </row>
    <row r="40" spans="3:7" x14ac:dyDescent="0.3">
      <c r="C40" t="s">
        <v>77</v>
      </c>
    </row>
    <row r="41" spans="3:7" x14ac:dyDescent="0.3">
      <c r="C41" t="s">
        <v>78</v>
      </c>
    </row>
    <row r="44" spans="3:7" x14ac:dyDescent="0.3">
      <c r="C44" t="s">
        <v>81</v>
      </c>
    </row>
    <row r="45" spans="3:7" x14ac:dyDescent="0.3">
      <c r="C45" t="s">
        <v>82</v>
      </c>
    </row>
    <row r="46" spans="3:7" x14ac:dyDescent="0.3">
      <c r="C46" t="s">
        <v>83</v>
      </c>
    </row>
    <row r="47" spans="3:7" x14ac:dyDescent="0.3">
      <c r="C47" t="s">
        <v>84</v>
      </c>
    </row>
    <row r="48" spans="3:7" x14ac:dyDescent="0.3">
      <c r="C48" t="s">
        <v>85</v>
      </c>
    </row>
    <row r="49" spans="3:5" x14ac:dyDescent="0.3">
      <c r="C49" t="s">
        <v>86</v>
      </c>
    </row>
    <row r="55" spans="3:5" x14ac:dyDescent="0.3">
      <c r="C55" s="23" t="s">
        <v>104</v>
      </c>
      <c r="D55" s="23"/>
      <c r="E55" s="23"/>
    </row>
    <row r="57" spans="3:5" x14ac:dyDescent="0.3">
      <c r="C57" t="s">
        <v>101</v>
      </c>
      <c r="E57">
        <v>45.84</v>
      </c>
    </row>
    <row r="58" spans="3:5" x14ac:dyDescent="0.3">
      <c r="C58" t="s">
        <v>102</v>
      </c>
      <c r="E58">
        <v>246.04</v>
      </c>
    </row>
    <row r="59" spans="3:5" x14ac:dyDescent="0.3">
      <c r="C59" t="s">
        <v>103</v>
      </c>
      <c r="E59">
        <v>291.88</v>
      </c>
    </row>
  </sheetData>
  <mergeCells count="1">
    <mergeCell ref="C55:E5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EB18-09F5-4485-9D80-505B80B55BAE}">
  <dimension ref="B2:G19"/>
  <sheetViews>
    <sheetView workbookViewId="0">
      <selection activeCell="H2" sqref="H2"/>
    </sheetView>
  </sheetViews>
  <sheetFormatPr baseColWidth="10" defaultRowHeight="14.4" x14ac:dyDescent="0.3"/>
  <cols>
    <col min="4" max="4" width="86" customWidth="1"/>
    <col min="6" max="6" width="15.109375" customWidth="1"/>
  </cols>
  <sheetData>
    <row r="2" spans="2:7" ht="25.2" x14ac:dyDescent="0.3">
      <c r="B2" s="22" t="s">
        <v>87</v>
      </c>
      <c r="C2" s="22"/>
      <c r="D2" s="22"/>
      <c r="E2" s="22"/>
      <c r="F2" s="22"/>
      <c r="G2" s="7"/>
    </row>
    <row r="3" spans="2:7" s="7" customFormat="1" ht="15" x14ac:dyDescent="0.3">
      <c r="B3" s="19">
        <v>2</v>
      </c>
      <c r="C3" s="20" t="s">
        <v>88</v>
      </c>
      <c r="D3" s="20"/>
      <c r="E3" s="20"/>
      <c r="F3" s="20"/>
      <c r="G3"/>
    </row>
    <row r="4" spans="2:7" ht="30" x14ac:dyDescent="0.3">
      <c r="B4" s="10"/>
      <c r="C4" s="11">
        <v>2.1</v>
      </c>
      <c r="D4" s="12" t="s">
        <v>89</v>
      </c>
      <c r="E4" s="13" t="s">
        <v>90</v>
      </c>
      <c r="F4" s="14">
        <v>2672.44</v>
      </c>
    </row>
    <row r="5" spans="2:7" ht="30" x14ac:dyDescent="0.3">
      <c r="B5" s="10"/>
      <c r="C5" s="11">
        <v>2.2000000000000002</v>
      </c>
      <c r="D5" s="12" t="s">
        <v>91</v>
      </c>
      <c r="E5" s="13" t="s">
        <v>92</v>
      </c>
      <c r="F5" s="14">
        <v>133.6</v>
      </c>
    </row>
    <row r="6" spans="2:7" ht="45" x14ac:dyDescent="0.3">
      <c r="B6" s="15"/>
      <c r="C6" s="16">
        <v>2.2999999999999998</v>
      </c>
      <c r="D6" s="17" t="s">
        <v>93</v>
      </c>
      <c r="E6" s="16" t="s">
        <v>90</v>
      </c>
      <c r="F6" s="18">
        <v>10</v>
      </c>
      <c r="G6" s="7" t="s">
        <v>94</v>
      </c>
    </row>
    <row r="7" spans="2:7" ht="15" x14ac:dyDescent="0.3">
      <c r="B7" s="19">
        <v>3</v>
      </c>
      <c r="C7" s="20" t="s">
        <v>95</v>
      </c>
      <c r="D7" s="20"/>
      <c r="E7" s="20"/>
      <c r="F7" s="20"/>
      <c r="G7" s="7"/>
    </row>
    <row r="8" spans="2:7" ht="30" x14ac:dyDescent="0.3">
      <c r="B8" s="10"/>
      <c r="C8" s="11">
        <v>3.1</v>
      </c>
      <c r="D8" s="12" t="s">
        <v>96</v>
      </c>
      <c r="E8" s="13" t="s">
        <v>90</v>
      </c>
      <c r="F8" s="14">
        <v>2672.44</v>
      </c>
      <c r="G8" s="7"/>
    </row>
    <row r="9" spans="2:7" ht="15" x14ac:dyDescent="0.3">
      <c r="B9" s="19">
        <v>4</v>
      </c>
      <c r="C9" s="20" t="s">
        <v>97</v>
      </c>
      <c r="D9" s="20"/>
      <c r="E9" s="20"/>
      <c r="F9" s="20"/>
      <c r="G9" s="7"/>
    </row>
    <row r="10" spans="2:7" ht="15" x14ac:dyDescent="0.3">
      <c r="B10" s="10"/>
      <c r="C10" s="11">
        <v>4.0999999999999996</v>
      </c>
      <c r="D10" s="12" t="s">
        <v>98</v>
      </c>
      <c r="E10" s="13" t="s">
        <v>90</v>
      </c>
      <c r="F10" s="14">
        <v>2570.15</v>
      </c>
    </row>
    <row r="11" spans="2:7" ht="15" x14ac:dyDescent="0.3">
      <c r="B11" s="10"/>
      <c r="C11" s="11">
        <v>4.2</v>
      </c>
      <c r="D11" s="12" t="s">
        <v>99</v>
      </c>
      <c r="E11" s="13" t="s">
        <v>92</v>
      </c>
      <c r="F11" s="14">
        <v>10837</v>
      </c>
      <c r="G11" s="6"/>
    </row>
    <row r="12" spans="2:7" ht="30" x14ac:dyDescent="0.3">
      <c r="B12" s="21"/>
      <c r="C12" s="11">
        <v>4.3</v>
      </c>
      <c r="D12" s="12" t="s">
        <v>100</v>
      </c>
      <c r="E12" s="11" t="s">
        <v>92</v>
      </c>
      <c r="F12" s="14">
        <v>10837</v>
      </c>
      <c r="G12" s="6"/>
    </row>
    <row r="13" spans="2:7" ht="15" x14ac:dyDescent="0.3">
      <c r="B13" s="8"/>
      <c r="C13" s="9"/>
      <c r="D13" s="9"/>
    </row>
    <row r="14" spans="2:7" ht="15" x14ac:dyDescent="0.3">
      <c r="B14" s="8"/>
      <c r="C14" s="9"/>
      <c r="D14" s="9"/>
    </row>
    <row r="15" spans="2:7" ht="15" x14ac:dyDescent="0.3">
      <c r="B15" s="8"/>
      <c r="C15" s="9"/>
      <c r="D15" s="9"/>
    </row>
    <row r="16" spans="2:7" ht="15" x14ac:dyDescent="0.3">
      <c r="B16" s="8"/>
      <c r="C16" s="9"/>
      <c r="D16" s="9"/>
    </row>
    <row r="17" spans="2:4" ht="15" x14ac:dyDescent="0.3">
      <c r="B17" s="8"/>
      <c r="C17" s="9"/>
      <c r="D17" s="9"/>
    </row>
    <row r="18" spans="2:4" ht="15" x14ac:dyDescent="0.3">
      <c r="B18" s="8"/>
      <c r="C18" s="9"/>
      <c r="D18" s="9"/>
    </row>
    <row r="19" spans="2:4" ht="15" x14ac:dyDescent="0.3">
      <c r="B19" s="8"/>
      <c r="C19" s="9"/>
      <c r="D19" s="9"/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D8FB-A8DA-45DC-AF99-6A01549A3B9D}">
  <sheetPr>
    <pageSetUpPr fitToPage="1"/>
  </sheetPr>
  <dimension ref="C5:E23"/>
  <sheetViews>
    <sheetView topLeftCell="A5" zoomScale="70" zoomScaleNormal="70" workbookViewId="0">
      <selection activeCell="D5" sqref="C5:E23"/>
    </sheetView>
  </sheetViews>
  <sheetFormatPr baseColWidth="10" defaultRowHeight="14.4" x14ac:dyDescent="0.3"/>
  <cols>
    <col min="3" max="3" width="19.88671875" customWidth="1"/>
    <col min="4" max="4" width="104.6640625" customWidth="1"/>
    <col min="5" max="5" width="122.109375" customWidth="1"/>
  </cols>
  <sheetData>
    <row r="5" spans="3:5" ht="49.95" customHeight="1" x14ac:dyDescent="0.3">
      <c r="C5" s="4" t="s">
        <v>14</v>
      </c>
      <c r="D5" s="4" t="s">
        <v>15</v>
      </c>
      <c r="E5" s="4" t="s">
        <v>16</v>
      </c>
    </row>
    <row r="6" spans="3:5" ht="49.95" customHeight="1" x14ac:dyDescent="0.3">
      <c r="C6" s="5" t="s">
        <v>17</v>
      </c>
      <c r="D6" s="3" t="s">
        <v>18</v>
      </c>
      <c r="E6" s="3" t="s">
        <v>19</v>
      </c>
    </row>
    <row r="7" spans="3:5" ht="49.95" customHeight="1" x14ac:dyDescent="0.3">
      <c r="C7" s="5" t="s">
        <v>20</v>
      </c>
      <c r="D7" s="2" t="s">
        <v>66</v>
      </c>
      <c r="E7" s="2" t="s">
        <v>67</v>
      </c>
    </row>
    <row r="8" spans="3:5" ht="49.95" customHeight="1" x14ac:dyDescent="0.3">
      <c r="C8" s="5" t="s">
        <v>21</v>
      </c>
      <c r="D8" s="3" t="s">
        <v>68</v>
      </c>
      <c r="E8" s="2" t="s">
        <v>69</v>
      </c>
    </row>
    <row r="9" spans="3:5" ht="49.95" customHeight="1" x14ac:dyDescent="0.3">
      <c r="C9" s="5" t="s">
        <v>22</v>
      </c>
      <c r="D9" s="3" t="s">
        <v>23</v>
      </c>
      <c r="E9" s="3" t="s">
        <v>24</v>
      </c>
    </row>
    <row r="10" spans="3:5" ht="49.95" customHeight="1" x14ac:dyDescent="0.3">
      <c r="C10" s="5" t="s">
        <v>25</v>
      </c>
      <c r="D10" s="3" t="s">
        <v>26</v>
      </c>
      <c r="E10" s="3" t="s">
        <v>27</v>
      </c>
    </row>
    <row r="11" spans="3:5" ht="49.95" customHeight="1" x14ac:dyDescent="0.3">
      <c r="C11" s="5" t="s">
        <v>28</v>
      </c>
      <c r="D11" s="3" t="s">
        <v>29</v>
      </c>
      <c r="E11" s="3" t="s">
        <v>30</v>
      </c>
    </row>
    <row r="12" spans="3:5" ht="49.95" customHeight="1" x14ac:dyDescent="0.3">
      <c r="C12" s="5" t="s">
        <v>31</v>
      </c>
      <c r="D12" s="3" t="s">
        <v>32</v>
      </c>
      <c r="E12" s="3" t="s">
        <v>33</v>
      </c>
    </row>
    <row r="13" spans="3:5" ht="49.95" customHeight="1" x14ac:dyDescent="0.3">
      <c r="C13" s="5" t="s">
        <v>34</v>
      </c>
      <c r="D13" s="3" t="s">
        <v>35</v>
      </c>
      <c r="E13" s="3" t="s">
        <v>36</v>
      </c>
    </row>
    <row r="14" spans="3:5" ht="49.95" customHeight="1" x14ac:dyDescent="0.3">
      <c r="C14" s="5" t="s">
        <v>37</v>
      </c>
      <c r="D14" s="3" t="s">
        <v>38</v>
      </c>
      <c r="E14" s="3" t="s">
        <v>39</v>
      </c>
    </row>
    <row r="15" spans="3:5" ht="49.95" customHeight="1" x14ac:dyDescent="0.3">
      <c r="C15" s="5" t="s">
        <v>40</v>
      </c>
      <c r="D15" s="3" t="s">
        <v>70</v>
      </c>
      <c r="E15" s="3" t="s">
        <v>41</v>
      </c>
    </row>
    <row r="16" spans="3:5" ht="49.95" customHeight="1" x14ac:dyDescent="0.3">
      <c r="C16" s="5" t="s">
        <v>42</v>
      </c>
      <c r="D16" s="3" t="s">
        <v>43</v>
      </c>
      <c r="E16" s="3" t="s">
        <v>44</v>
      </c>
    </row>
    <row r="17" spans="3:5" ht="49.95" customHeight="1" x14ac:dyDescent="0.3">
      <c r="C17" s="5" t="s">
        <v>45</v>
      </c>
      <c r="D17" s="3" t="s">
        <v>46</v>
      </c>
      <c r="E17" s="3" t="s">
        <v>47</v>
      </c>
    </row>
    <row r="18" spans="3:5" ht="49.95" customHeight="1" x14ac:dyDescent="0.3">
      <c r="C18" s="5" t="s">
        <v>48</v>
      </c>
      <c r="D18" s="3" t="s">
        <v>49</v>
      </c>
      <c r="E18" s="3" t="s">
        <v>50</v>
      </c>
    </row>
    <row r="19" spans="3:5" ht="49.95" customHeight="1" x14ac:dyDescent="0.3">
      <c r="C19" s="5" t="s">
        <v>51</v>
      </c>
      <c r="D19" s="3" t="s">
        <v>52</v>
      </c>
      <c r="E19" s="3" t="s">
        <v>53</v>
      </c>
    </row>
    <row r="20" spans="3:5" ht="49.95" customHeight="1" x14ac:dyDescent="0.3">
      <c r="C20" s="5" t="s">
        <v>54</v>
      </c>
      <c r="D20" s="3" t="s">
        <v>55</v>
      </c>
      <c r="E20" s="3" t="s">
        <v>56</v>
      </c>
    </row>
    <row r="21" spans="3:5" ht="49.95" customHeight="1" x14ac:dyDescent="0.3">
      <c r="C21" s="5" t="s">
        <v>57</v>
      </c>
      <c r="D21" s="3" t="s">
        <v>58</v>
      </c>
      <c r="E21" s="3" t="s">
        <v>59</v>
      </c>
    </row>
    <row r="22" spans="3:5" ht="49.95" customHeight="1" x14ac:dyDescent="0.3">
      <c r="C22" s="5" t="s">
        <v>60</v>
      </c>
      <c r="D22" s="3" t="s">
        <v>61</v>
      </c>
      <c r="E22" s="3" t="s">
        <v>62</v>
      </c>
    </row>
    <row r="23" spans="3:5" ht="49.95" customHeight="1" x14ac:dyDescent="0.3">
      <c r="C23" s="5" t="s">
        <v>63</v>
      </c>
      <c r="D23" s="3" t="s">
        <v>64</v>
      </c>
      <c r="E23" s="3" t="s">
        <v>65</v>
      </c>
    </row>
  </sheetData>
  <pageMargins left="0.25" right="0.25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montoya osorio</dc:creator>
  <cp:lastModifiedBy>andres felipe montoya osorio</cp:lastModifiedBy>
  <cp:lastPrinted>2025-08-28T21:17:30Z</cp:lastPrinted>
  <dcterms:created xsi:type="dcterms:W3CDTF">2025-08-20T18:27:49Z</dcterms:created>
  <dcterms:modified xsi:type="dcterms:W3CDTF">2025-09-04T20:01:54Z</dcterms:modified>
</cp:coreProperties>
</file>