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smontoyaosorio/Downloads/"/>
    </mc:Choice>
  </mc:AlternateContent>
  <xr:revisionPtr revIDLastSave="0" documentId="8_{BBAE5515-A9C1-F848-8CFE-94728D0F6874}" xr6:coauthVersionLast="47" xr6:coauthVersionMax="47" xr10:uidLastSave="{00000000-0000-0000-0000-000000000000}"/>
  <bookViews>
    <workbookView xWindow="0" yWindow="680" windowWidth="29400" windowHeight="16940" xr2:uid="{462F4530-0C93-4660-B233-E25E951045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1" l="1"/>
  <c r="G29" i="1"/>
  <c r="G18" i="1"/>
  <c r="G17" i="1"/>
  <c r="G16" i="1"/>
  <c r="G22" i="1"/>
  <c r="G23" i="1"/>
  <c r="G24" i="1"/>
  <c r="G25" i="1"/>
  <c r="G19" i="1"/>
  <c r="G20" i="1"/>
  <c r="G13" i="1"/>
  <c r="G14" i="1"/>
  <c r="G12" i="1"/>
  <c r="G11" i="1" s="1"/>
  <c r="G27" i="1" l="1"/>
  <c r="G26" i="1" s="1"/>
  <c r="G15" i="1"/>
  <c r="G21" i="1"/>
  <c r="G28" i="1" l="1"/>
</calcChain>
</file>

<file path=xl/sharedStrings.xml><?xml version="1.0" encoding="utf-8"?>
<sst xmlns="http://schemas.openxmlformats.org/spreadsheetml/2006/main" count="64" uniqueCount="54">
  <si>
    <t>COTIZACIÓN OBRA - EDIFICIO ATLANTIS</t>
  </si>
  <si>
    <t>DIRECCION:</t>
  </si>
  <si>
    <t>CODIGO: FH-F-02</t>
  </si>
  <si>
    <t xml:space="preserve"> VERSIÓN: 01</t>
  </si>
  <si>
    <t>CORREO:</t>
  </si>
  <si>
    <t xml:space="preserve">  FECHA: 22/08/2025</t>
  </si>
  <si>
    <t>TELEFONO:</t>
  </si>
  <si>
    <t xml:space="preserve"> </t>
  </si>
  <si>
    <t>CAPT</t>
  </si>
  <si>
    <t>ITEMS</t>
  </si>
  <si>
    <t>UNIDAD</t>
  </si>
  <si>
    <t>CANTIDAD</t>
  </si>
  <si>
    <t>VR UNITARIO</t>
  </si>
  <si>
    <t>VALOR DIRECTO ACTIVIDAD</t>
  </si>
  <si>
    <t>1,1</t>
  </si>
  <si>
    <t>UND</t>
  </si>
  <si>
    <t xml:space="preserve"> INCLUIDO </t>
  </si>
  <si>
    <t>1,2</t>
  </si>
  <si>
    <t>GLB</t>
  </si>
  <si>
    <t xml:space="preserve"> Lavado General de Superficies a Intervenir </t>
  </si>
  <si>
    <t>M2</t>
  </si>
  <si>
    <t xml:space="preserve"> Retiro y Reemplazo de Graniplast Deteriorado   en fachadas de las tres torres        </t>
  </si>
  <si>
    <t xml:space="preserve">  M2</t>
  </si>
  <si>
    <t xml:space="preserve"> Reposicion de Mortero en mal estado en fachadas  </t>
  </si>
  <si>
    <t xml:space="preserve">            </t>
  </si>
  <si>
    <t>OBRAS DE PINTURA EN MUROS DE FACHADA E IMPERMEABILIZACIÓN</t>
  </si>
  <si>
    <t xml:space="preserve"> Suministro y Aplicación de imprimación con Acrolatex </t>
  </si>
  <si>
    <t xml:space="preserve"> Suministro y Aplicación de Pintura para exteriores, tipo Koraza, sobre superficies de Fachadas y Muros Externos del Edificio </t>
  </si>
  <si>
    <t xml:space="preserve"> Suministro y Aplicación de Pintura para exteriores, tipo Koraza, en elementos volumetricos de superboard en las fachadas </t>
  </si>
  <si>
    <t xml:space="preserve"> Suministro y Aplicacion de Pintura Tipo Koraza en alfajias  </t>
  </si>
  <si>
    <t>ML</t>
  </si>
  <si>
    <t xml:space="preserve"> Suministro y Aplicación de Pintura tipo Vinilo en areas comunes externas e internas del edificio: paredes y cielos rasos </t>
  </si>
  <si>
    <t xml:space="preserve"> Retiro y Reposicion de sello perimetral en elementos vidriados de los bloque de apartamentos   </t>
  </si>
  <si>
    <t xml:space="preserve"> Limpieza detallada con alcohol Isopropílico sobre la zona de sellado </t>
  </si>
  <si>
    <t xml:space="preserve"> Suministro e Instalacion de Cortagoteras en Balcones  </t>
  </si>
  <si>
    <t xml:space="preserve"> Sellamiento de bordillos en grano lavado bajo balcones </t>
  </si>
  <si>
    <t>Ml</t>
  </si>
  <si>
    <t>5,1</t>
  </si>
  <si>
    <t xml:space="preserve"> Aseo general y retiro de pintura. </t>
  </si>
  <si>
    <t xml:space="preserve"> UND </t>
  </si>
  <si>
    <t>COSTO DIRECTO</t>
  </si>
  <si>
    <t>VALOR PROPUESTA</t>
  </si>
  <si>
    <r>
      <t>PRELIMINARES</t>
    </r>
    <r>
      <rPr>
        <sz val="12"/>
        <color rgb="FF000000"/>
        <rFont val="Aptos Display"/>
        <family val="2"/>
        <scheme val="major"/>
      </rPr>
      <t xml:space="preserve"> </t>
    </r>
  </si>
  <si>
    <r>
      <t xml:space="preserve">  </t>
    </r>
    <r>
      <rPr>
        <b/>
        <sz val="12"/>
        <color rgb="FF000000"/>
        <rFont val="Aptos Display"/>
        <family val="2"/>
        <scheme val="major"/>
      </rPr>
      <t>Calle 19 Norte 18-64 Ed. Atlantis piso 3 local 7</t>
    </r>
  </si>
  <si>
    <r>
      <t xml:space="preserve">  </t>
    </r>
    <r>
      <rPr>
        <b/>
        <sz val="12"/>
        <color rgb="FF000000"/>
        <rFont val="Aptos Display"/>
        <family val="2"/>
        <scheme val="major"/>
      </rPr>
      <t>Gerencia@freshouse.com.co</t>
    </r>
  </si>
  <si>
    <r>
      <t xml:space="preserve">  </t>
    </r>
    <r>
      <rPr>
        <b/>
        <sz val="12"/>
        <color rgb="FF000000"/>
        <rFont val="Aptos Display"/>
        <family val="2"/>
        <scheme val="major"/>
      </rPr>
      <t>+57 310 461 7353</t>
    </r>
  </si>
  <si>
    <r>
      <t xml:space="preserve">  </t>
    </r>
    <r>
      <rPr>
        <b/>
        <sz val="12"/>
        <color rgb="FF000000"/>
        <rFont val="Aptos Display"/>
        <family val="2"/>
        <scheme val="major"/>
      </rPr>
      <t>DESCRIPCION</t>
    </r>
  </si>
  <si>
    <t xml:space="preserve">Construcción de campamento provisional de obra y bodega para los trabajadores | deposito seguro de los materiales en obra </t>
  </si>
  <si>
    <t>Instalación y demarcación de con avisos y señalética necesaria como: salidas  vehiculares y peatonales | colocación de señales de precaución caída de objetos, transite con cuidado, instalación de conos y colombinas para demarcar  senderos peatonales etc.… toda la implementación del sistema de gestión para la prevención de riesgos laborales</t>
  </si>
  <si>
    <t>RESTAURACIÓN DE SELLOS</t>
  </si>
  <si>
    <t>LIMPIEZA Y ALISTAMIENTO DE SUPERFICIES</t>
  </si>
  <si>
    <t xml:space="preserve">TERMINADO Y LIMPIEZA </t>
  </si>
  <si>
    <t xml:space="preserve"> $                                       </t>
  </si>
  <si>
    <t>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</si>
</sst>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  <numFmt numFmtId="165" formatCode="_-&quot;$&quot;\ * #,##0.00_-;\-&quot;$&quot;\ * #,##0.00_-;_-&quot;$&quot;\ * &quot;-&quot;_-;_-@_-"/>
  </numFmts>
  <fonts count="6" x14ac:knownFonts="1">
    <font>
      <sz val="11"/>
      <color theme="1"/>
      <name val="Aptos Narrow"/>
      <family val="2"/>
      <scheme val="minor"/>
    </font>
    <font>
      <sz val="12"/>
      <color rgb="FF000000"/>
      <name val="Aptos Display"/>
      <family val="2"/>
      <scheme val="major"/>
    </font>
    <font>
      <b/>
      <sz val="12"/>
      <color rgb="FF000000"/>
      <name val="Aptos Display"/>
      <family val="2"/>
      <scheme val="major"/>
    </font>
    <font>
      <sz val="12"/>
      <color theme="1"/>
      <name val="Aptos Display"/>
      <family val="2"/>
      <scheme val="major"/>
    </font>
    <font>
      <b/>
      <sz val="12"/>
      <color rgb="FFFF0000"/>
      <name val="Aptos Display"/>
      <family val="2"/>
      <scheme val="major"/>
    </font>
    <font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8CAA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1EF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CFCDCD"/>
        <bgColor indexed="64"/>
      </patternFill>
    </fill>
  </fills>
  <borders count="37">
    <border>
      <left/>
      <right/>
      <top/>
      <bottom/>
      <diagonal/>
    </border>
    <border>
      <left style="medium">
        <color rgb="FFD3D3D3"/>
      </left>
      <right/>
      <top style="medium">
        <color rgb="FFD3D3D3"/>
      </top>
      <bottom style="medium">
        <color rgb="FF000000"/>
      </bottom>
      <diagonal/>
    </border>
    <border>
      <left/>
      <right/>
      <top style="medium">
        <color rgb="FFD3D3D3"/>
      </top>
      <bottom style="medium">
        <color rgb="FF000000"/>
      </bottom>
      <diagonal/>
    </border>
    <border>
      <left/>
      <right style="medium">
        <color rgb="FF4F4F4F"/>
      </right>
      <top style="medium">
        <color rgb="FFD3D3D3"/>
      </top>
      <bottom style="medium">
        <color rgb="FF000000"/>
      </bottom>
      <diagonal/>
    </border>
    <border>
      <left style="medium">
        <color rgb="FFD3D3D3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D3D3D3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D3D3D3"/>
      </left>
      <right style="medium">
        <color rgb="FF4F4F4F"/>
      </right>
      <top/>
      <bottom style="medium">
        <color rgb="FF4F4F4F"/>
      </bottom>
      <diagonal/>
    </border>
    <border>
      <left/>
      <right style="medium">
        <color rgb="FF4F4F4F"/>
      </right>
      <top/>
      <bottom style="medium">
        <color rgb="FF4F4F4F"/>
      </bottom>
      <diagonal/>
    </border>
    <border>
      <left/>
      <right style="medium">
        <color rgb="FF4F4F4F"/>
      </right>
      <top/>
      <bottom style="medium">
        <color rgb="FF000000"/>
      </bottom>
      <diagonal/>
    </border>
    <border>
      <left style="medium">
        <color rgb="FFD3D3D3"/>
      </left>
      <right style="medium">
        <color rgb="FF4F4F4F"/>
      </right>
      <top/>
      <bottom style="medium">
        <color rgb="FF000000"/>
      </bottom>
      <diagonal/>
    </border>
    <border>
      <left style="medium">
        <color rgb="FFD3D3D3"/>
      </left>
      <right style="medium">
        <color rgb="FFD3D3D3"/>
      </right>
      <top/>
      <bottom style="medium">
        <color rgb="FFD3D3D3"/>
      </bottom>
      <diagonal/>
    </border>
    <border>
      <left/>
      <right style="medium">
        <color rgb="FFD3D3D3"/>
      </right>
      <top/>
      <bottom style="medium">
        <color rgb="FFD3D3D3"/>
      </bottom>
      <diagonal/>
    </border>
    <border>
      <left/>
      <right style="medium">
        <color rgb="FF4F4F4F"/>
      </right>
      <top/>
      <bottom style="medium">
        <color rgb="FFD3D3D3"/>
      </bottom>
      <diagonal/>
    </border>
    <border>
      <left style="medium">
        <color rgb="FFD3D3D3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D3D3D3"/>
      </left>
      <right/>
      <top style="medium">
        <color rgb="FF000000"/>
      </top>
      <bottom/>
      <diagonal/>
    </border>
    <border>
      <left style="medium">
        <color rgb="FFD3D3D3"/>
      </left>
      <right/>
      <top style="medium">
        <color rgb="FF4F4F4F"/>
      </top>
      <bottom style="medium">
        <color rgb="FF000000"/>
      </bottom>
      <diagonal/>
    </border>
    <border>
      <left/>
      <right/>
      <top style="medium">
        <color rgb="FF4F4F4F"/>
      </top>
      <bottom style="medium">
        <color rgb="FF000000"/>
      </bottom>
      <diagonal/>
    </border>
    <border>
      <left/>
      <right style="medium">
        <color rgb="FF4F4F4F"/>
      </right>
      <top style="medium">
        <color rgb="FF4F4F4F"/>
      </top>
      <bottom style="medium">
        <color rgb="FF000000"/>
      </bottom>
      <diagonal/>
    </border>
    <border>
      <left style="medium">
        <color rgb="FFD3D3D3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4F4F4F"/>
      </right>
      <top style="medium">
        <color rgb="FF4F4F4F"/>
      </top>
      <bottom/>
      <diagonal/>
    </border>
    <border>
      <left style="medium">
        <color rgb="FF000000"/>
      </left>
      <right style="medium">
        <color rgb="FF4F4F4F"/>
      </right>
      <top/>
      <bottom style="medium">
        <color rgb="FF4F4F4F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4F4F4F"/>
      </right>
      <top style="medium">
        <color rgb="FF000000"/>
      </top>
      <bottom style="medium">
        <color rgb="FF000000"/>
      </bottom>
      <diagonal/>
    </border>
    <border>
      <left style="medium">
        <color rgb="FF4F4F4F"/>
      </left>
      <right/>
      <top style="medium">
        <color rgb="FF000000"/>
      </top>
      <bottom style="medium">
        <color rgb="FF4F4F4F"/>
      </bottom>
      <diagonal/>
    </border>
    <border>
      <left/>
      <right style="medium">
        <color rgb="FF4F4F4F"/>
      </right>
      <top style="medium">
        <color rgb="FF000000"/>
      </top>
      <bottom style="medium">
        <color rgb="FF4F4F4F"/>
      </bottom>
      <diagonal/>
    </border>
    <border>
      <left style="medium">
        <color rgb="FF4F4F4F"/>
      </left>
      <right/>
      <top style="medium">
        <color rgb="FF4F4F4F"/>
      </top>
      <bottom style="medium">
        <color rgb="FF4F4F4F"/>
      </bottom>
      <diagonal/>
    </border>
    <border>
      <left/>
      <right style="medium">
        <color rgb="FF4F4F4F"/>
      </right>
      <top style="medium">
        <color rgb="FF4F4F4F"/>
      </top>
      <bottom style="medium">
        <color rgb="FF4F4F4F"/>
      </bottom>
      <diagonal/>
    </border>
  </borders>
  <cellStyleXfs count="2">
    <xf numFmtId="0" fontId="0" fillId="0" borderId="0"/>
    <xf numFmtId="42" fontId="5" fillId="0" borderId="0" applyFont="0" applyFill="0" applyBorder="0" applyAlignment="0" applyProtection="0"/>
  </cellStyleXfs>
  <cellXfs count="83">
    <xf numFmtId="0" fontId="0" fillId="0" borderId="0" xfId="0"/>
    <xf numFmtId="0" fontId="1" fillId="3" borderId="6" xfId="0" applyFont="1" applyFill="1" applyBorder="1" applyAlignment="1">
      <alignment vertical="center" wrapText="1"/>
    </xf>
    <xf numFmtId="0" fontId="1" fillId="2" borderId="10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horizontal="left" vertical="center" wrapText="1" indent="1"/>
    </xf>
    <xf numFmtId="0" fontId="1" fillId="0" borderId="14" xfId="0" applyFont="1" applyBorder="1" applyAlignment="1">
      <alignment horizontal="left" vertical="center" wrapText="1" indent="1"/>
    </xf>
    <xf numFmtId="0" fontId="3" fillId="0" borderId="0" xfId="0" applyFont="1"/>
    <xf numFmtId="0" fontId="2" fillId="3" borderId="6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horizontal="justify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justify" vertical="center" wrapText="1"/>
    </xf>
    <xf numFmtId="0" fontId="2" fillId="6" borderId="8" xfId="0" applyFont="1" applyFill="1" applyBorder="1" applyAlignment="1">
      <alignment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right" vertical="center" wrapText="1"/>
    </xf>
    <xf numFmtId="0" fontId="2" fillId="8" borderId="31" xfId="0" applyFont="1" applyFill="1" applyBorder="1" applyAlignment="1">
      <alignment vertical="center" wrapText="1"/>
    </xf>
    <xf numFmtId="0" fontId="2" fillId="8" borderId="8" xfId="0" applyFont="1" applyFill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2" fillId="3" borderId="10" xfId="0" applyFont="1" applyFill="1" applyBorder="1" applyAlignment="1">
      <alignment horizontal="center" vertical="center" wrapText="1"/>
    </xf>
    <xf numFmtId="9" fontId="1" fillId="3" borderId="10" xfId="0" applyNumberFormat="1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10" borderId="33" xfId="0" applyFont="1" applyFill="1" applyBorder="1" applyAlignment="1">
      <alignment horizontal="center" vertical="center" wrapText="1"/>
    </xf>
    <xf numFmtId="0" fontId="2" fillId="10" borderId="34" xfId="0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vertical="center" wrapText="1"/>
    </xf>
    <xf numFmtId="0" fontId="1" fillId="3" borderId="30" xfId="0" applyFont="1" applyFill="1" applyBorder="1" applyAlignment="1">
      <alignment vertical="center" wrapText="1"/>
    </xf>
    <xf numFmtId="0" fontId="1" fillId="6" borderId="31" xfId="0" applyFont="1" applyFill="1" applyBorder="1" applyAlignment="1">
      <alignment vertical="center" wrapText="1"/>
    </xf>
    <xf numFmtId="0" fontId="1" fillId="6" borderId="32" xfId="0" applyFont="1" applyFill="1" applyBorder="1" applyAlignment="1">
      <alignment vertical="center" wrapText="1"/>
    </xf>
    <xf numFmtId="0" fontId="1" fillId="8" borderId="31" xfId="0" applyFont="1" applyFill="1" applyBorder="1" applyAlignment="1">
      <alignment vertical="center" wrapText="1"/>
    </xf>
    <xf numFmtId="0" fontId="1" fillId="8" borderId="32" xfId="0" applyFont="1" applyFill="1" applyBorder="1" applyAlignment="1">
      <alignment vertical="center" wrapText="1"/>
    </xf>
    <xf numFmtId="0" fontId="1" fillId="4" borderId="24" xfId="0" applyFont="1" applyFill="1" applyBorder="1" applyAlignment="1">
      <alignment vertical="center" wrapText="1"/>
    </xf>
    <xf numFmtId="0" fontId="1" fillId="4" borderId="25" xfId="0" applyFont="1" applyFill="1" applyBorder="1" applyAlignment="1">
      <alignment vertical="center" wrapText="1"/>
    </xf>
    <xf numFmtId="0" fontId="1" fillId="3" borderId="26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2" fillId="3" borderId="27" xfId="0" applyFont="1" applyFill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vertical="center" wrapText="1"/>
    </xf>
    <xf numFmtId="0" fontId="1" fillId="3" borderId="28" xfId="0" applyFont="1" applyFill="1" applyBorder="1" applyAlignment="1">
      <alignment vertical="center" wrapText="1"/>
    </xf>
    <xf numFmtId="0" fontId="4" fillId="5" borderId="27" xfId="0" applyFont="1" applyFill="1" applyBorder="1" applyAlignment="1">
      <alignment horizontal="center" vertical="center" wrapText="1"/>
    </xf>
    <xf numFmtId="0" fontId="4" fillId="5" borderId="28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vertical="top" wrapText="1"/>
    </xf>
    <xf numFmtId="0" fontId="1" fillId="3" borderId="19" xfId="0" applyFont="1" applyFill="1" applyBorder="1" applyAlignment="1">
      <alignment vertical="top" wrapText="1"/>
    </xf>
    <xf numFmtId="0" fontId="1" fillId="3" borderId="20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21" xfId="0" applyFont="1" applyFill="1" applyBorder="1" applyAlignment="1">
      <alignment vertical="top" wrapText="1"/>
    </xf>
    <xf numFmtId="0" fontId="1" fillId="3" borderId="6" xfId="0" applyFont="1" applyFill="1" applyBorder="1" applyAlignment="1">
      <alignment vertical="top" wrapText="1"/>
    </xf>
    <xf numFmtId="0" fontId="2" fillId="3" borderId="22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165" fontId="1" fillId="3" borderId="6" xfId="1" applyNumberFormat="1" applyFont="1" applyFill="1" applyBorder="1" applyAlignment="1">
      <alignment vertical="center" wrapText="1"/>
    </xf>
    <xf numFmtId="165" fontId="2" fillId="7" borderId="11" xfId="0" applyNumberFormat="1" applyFont="1" applyFill="1" applyBorder="1" applyAlignment="1">
      <alignment horizontal="justify" vertical="center" wrapText="1"/>
    </xf>
    <xf numFmtId="44" fontId="2" fillId="10" borderId="10" xfId="0" applyNumberFormat="1" applyFont="1" applyFill="1" applyBorder="1" applyAlignment="1">
      <alignment horizontal="center" vertical="center" wrapText="1"/>
    </xf>
    <xf numFmtId="44" fontId="1" fillId="3" borderId="10" xfId="0" applyNumberFormat="1" applyFont="1" applyFill="1" applyBorder="1" applyAlignment="1">
      <alignment vertical="center" wrapText="1"/>
    </xf>
    <xf numFmtId="44" fontId="2" fillId="2" borderId="10" xfId="0" applyNumberFormat="1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2" fillId="4" borderId="24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4" borderId="23" xfId="0" applyFont="1" applyFill="1" applyBorder="1" applyAlignment="1">
      <alignment horizontal="center" vertical="center" wrapText="1"/>
    </xf>
    <xf numFmtId="0" fontId="2" fillId="8" borderId="16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left" vertical="center" wrapText="1"/>
    </xf>
    <xf numFmtId="165" fontId="2" fillId="9" borderId="10" xfId="1" applyNumberFormat="1" applyFont="1" applyFill="1" applyBorder="1" applyAlignment="1">
      <alignment horizontal="right" vertical="center" wrapText="1"/>
    </xf>
    <xf numFmtId="165" fontId="1" fillId="4" borderId="10" xfId="1" applyNumberFormat="1" applyFont="1" applyFill="1" applyBorder="1" applyAlignment="1">
      <alignment horizontal="right" vertical="center" wrapText="1"/>
    </xf>
    <xf numFmtId="165" fontId="1" fillId="3" borderId="6" xfId="1" applyNumberFormat="1" applyFont="1" applyFill="1" applyBorder="1" applyAlignment="1">
      <alignment horizontal="center" vertical="center" wrapText="1"/>
    </xf>
    <xf numFmtId="44" fontId="3" fillId="0" borderId="0" xfId="0" applyNumberFormat="1" applyFont="1"/>
    <xf numFmtId="44" fontId="1" fillId="3" borderId="6" xfId="1" applyNumberFormat="1" applyFont="1" applyFill="1" applyBorder="1" applyAlignment="1">
      <alignment horizontal="center" vertical="center" wrapText="1"/>
    </xf>
    <xf numFmtId="44" fontId="1" fillId="3" borderId="6" xfId="0" applyNumberFormat="1" applyFont="1" applyFill="1" applyBorder="1" applyAlignment="1">
      <alignment horizontal="center" vertical="center" wrapText="1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389468</xdr:colOff>
      <xdr:row>1</xdr:row>
      <xdr:rowOff>254000</xdr:rowOff>
    </xdr:from>
    <xdr:to>
      <xdr:col>6</xdr:col>
      <xdr:colOff>1481668</xdr:colOff>
      <xdr:row>4</xdr:row>
      <xdr:rowOff>127000</xdr:rowOff>
    </xdr:to>
    <xdr:pic>
      <xdr:nvPicPr>
        <xdr:cNvPr id="2" name="Picture 1191">
          <a:extLst>
            <a:ext uri="{FF2B5EF4-FFF2-40B4-BE49-F238E27FC236}">
              <a16:creationId xmlns:a16="http://schemas.microsoft.com/office/drawing/2014/main" id="{B5CED602-24C4-1F49-275D-45C04300C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5735" y="457200"/>
          <a:ext cx="2853266" cy="11091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E4A8F-40DD-41CA-AEBE-65694BDF2E9F}">
  <sheetPr>
    <pageSetUpPr fitToPage="1"/>
  </sheetPr>
  <dimension ref="A1:I30"/>
  <sheetViews>
    <sheetView tabSelected="1" zoomScale="56" workbookViewId="0">
      <selection activeCell="N18" sqref="N18"/>
    </sheetView>
  </sheetViews>
  <sheetFormatPr baseColWidth="10" defaultColWidth="11.5" defaultRowHeight="15" x14ac:dyDescent="0.2"/>
  <cols>
    <col min="1" max="2" width="11.5" style="5"/>
    <col min="3" max="3" width="88.1640625" style="5" customWidth="1"/>
    <col min="4" max="4" width="18.6640625" style="5" customWidth="1"/>
    <col min="5" max="5" width="22.5" style="5" bestFit="1" customWidth="1"/>
    <col min="6" max="7" width="23.1640625" style="5" customWidth="1"/>
    <col min="8" max="8" width="11.5" style="5"/>
    <col min="9" max="9" width="14.1640625" style="5" bestFit="1" customWidth="1"/>
    <col min="10" max="16384" width="11.5" style="5"/>
  </cols>
  <sheetData>
    <row r="1" spans="1:9" ht="16" thickBot="1" x14ac:dyDescent="0.25">
      <c r="A1" s="48" t="s">
        <v>0</v>
      </c>
      <c r="B1" s="49"/>
      <c r="C1" s="49"/>
      <c r="D1" s="49"/>
      <c r="E1" s="49"/>
      <c r="F1" s="49"/>
      <c r="G1" s="50"/>
    </row>
    <row r="2" spans="1:9" ht="40" customHeight="1" thickBot="1" x14ac:dyDescent="0.25">
      <c r="A2" s="51" t="s">
        <v>1</v>
      </c>
      <c r="B2" s="52"/>
      <c r="C2" s="11" t="s">
        <v>43</v>
      </c>
      <c r="D2" s="6" t="s">
        <v>2</v>
      </c>
      <c r="E2" s="6" t="s">
        <v>3</v>
      </c>
      <c r="F2" s="53"/>
      <c r="G2" s="54"/>
    </row>
    <row r="3" spans="1:9" ht="41" customHeight="1" thickBot="1" x14ac:dyDescent="0.25">
      <c r="A3" s="51" t="s">
        <v>4</v>
      </c>
      <c r="B3" s="52"/>
      <c r="C3" s="11" t="s">
        <v>44</v>
      </c>
      <c r="D3" s="68" t="s">
        <v>5</v>
      </c>
      <c r="E3" s="60"/>
      <c r="F3" s="55"/>
      <c r="G3" s="56"/>
    </row>
    <row r="4" spans="1:9" ht="16" customHeight="1" x14ac:dyDescent="0.2">
      <c r="A4" s="59" t="s">
        <v>6</v>
      </c>
      <c r="B4" s="60"/>
      <c r="C4" s="42" t="s">
        <v>45</v>
      </c>
      <c r="D4" s="69"/>
      <c r="E4" s="70"/>
      <c r="F4" s="55"/>
      <c r="G4" s="56"/>
    </row>
    <row r="5" spans="1:9" ht="22" customHeight="1" thickBot="1" x14ac:dyDescent="0.25">
      <c r="A5" s="61"/>
      <c r="B5" s="62"/>
      <c r="C5" s="43"/>
      <c r="D5" s="71"/>
      <c r="E5" s="62"/>
      <c r="F5" s="57"/>
      <c r="G5" s="58"/>
    </row>
    <row r="6" spans="1:9" ht="33" thickBot="1" x14ac:dyDescent="0.25">
      <c r="A6" s="73" t="s">
        <v>8</v>
      </c>
      <c r="B6" s="7" t="s">
        <v>9</v>
      </c>
      <c r="C6" s="2" t="s">
        <v>46</v>
      </c>
      <c r="D6" s="7" t="s">
        <v>10</v>
      </c>
      <c r="E6" s="7" t="s">
        <v>11</v>
      </c>
      <c r="F6" s="7" t="s">
        <v>12</v>
      </c>
      <c r="G6" s="7" t="s">
        <v>13</v>
      </c>
    </row>
    <row r="7" spans="1:9" ht="17" thickBot="1" x14ac:dyDescent="0.25">
      <c r="A7" s="74">
        <v>1</v>
      </c>
      <c r="B7" s="72"/>
      <c r="C7" s="8" t="s">
        <v>42</v>
      </c>
      <c r="D7" s="36"/>
      <c r="E7" s="36"/>
      <c r="F7" s="37"/>
      <c r="G7" s="76" t="s">
        <v>52</v>
      </c>
    </row>
    <row r="8" spans="1:9" ht="16" x14ac:dyDescent="0.2">
      <c r="A8" s="38"/>
      <c r="B8" s="40" t="s">
        <v>14</v>
      </c>
      <c r="C8" s="3" t="s">
        <v>7</v>
      </c>
      <c r="D8" s="42" t="s">
        <v>15</v>
      </c>
      <c r="E8" s="44">
        <v>1</v>
      </c>
      <c r="F8" s="46" t="s">
        <v>16</v>
      </c>
      <c r="G8" s="30"/>
    </row>
    <row r="9" spans="1:9" ht="33" thickBot="1" x14ac:dyDescent="0.25">
      <c r="A9" s="39"/>
      <c r="B9" s="41"/>
      <c r="C9" s="10" t="s">
        <v>47</v>
      </c>
      <c r="D9" s="43"/>
      <c r="E9" s="45"/>
      <c r="F9" s="47"/>
      <c r="G9" s="31"/>
    </row>
    <row r="10" spans="1:9" ht="65" thickBot="1" x14ac:dyDescent="0.25">
      <c r="A10" s="9"/>
      <c r="B10" s="6" t="s">
        <v>17</v>
      </c>
      <c r="C10" s="10" t="s">
        <v>48</v>
      </c>
      <c r="D10" s="11" t="s">
        <v>18</v>
      </c>
      <c r="E10" s="1">
        <v>1</v>
      </c>
      <c r="F10" s="12" t="s">
        <v>16</v>
      </c>
      <c r="G10" s="13"/>
    </row>
    <row r="11" spans="1:9" ht="30" customHeight="1" thickBot="1" x14ac:dyDescent="0.25">
      <c r="A11" s="14">
        <v>2</v>
      </c>
      <c r="B11" s="15"/>
      <c r="C11" s="16" t="s">
        <v>50</v>
      </c>
      <c r="D11" s="32"/>
      <c r="E11" s="32"/>
      <c r="F11" s="33"/>
      <c r="G11" s="64">
        <f>SUM(G12:G14)</f>
        <v>1831481.835</v>
      </c>
    </row>
    <row r="12" spans="1:9" ht="30" customHeight="1" thickBot="1" x14ac:dyDescent="0.25">
      <c r="A12" s="9"/>
      <c r="B12" s="6">
        <v>2.1</v>
      </c>
      <c r="C12" s="1" t="s">
        <v>19</v>
      </c>
      <c r="D12" s="11" t="s">
        <v>20</v>
      </c>
      <c r="E12" s="11">
        <v>207.50800000000001</v>
      </c>
      <c r="F12" s="79">
        <v>4370</v>
      </c>
      <c r="G12" s="63">
        <f>F12*E12</f>
        <v>906809.96000000008</v>
      </c>
      <c r="I12" s="80"/>
    </row>
    <row r="13" spans="1:9" ht="30" customHeight="1" thickBot="1" x14ac:dyDescent="0.25">
      <c r="A13" s="9"/>
      <c r="B13" s="6">
        <v>2.2000000000000002</v>
      </c>
      <c r="C13" s="10" t="s">
        <v>21</v>
      </c>
      <c r="D13" s="11" t="s">
        <v>22</v>
      </c>
      <c r="E13" s="11">
        <v>10.375</v>
      </c>
      <c r="F13" s="79">
        <v>47149.999999999993</v>
      </c>
      <c r="G13" s="63">
        <f t="shared" ref="G13:G14" si="0">F13*E13</f>
        <v>489181.24999999994</v>
      </c>
      <c r="I13" s="80"/>
    </row>
    <row r="14" spans="1:9" ht="30" customHeight="1" thickBot="1" x14ac:dyDescent="0.25">
      <c r="A14" s="9"/>
      <c r="B14" s="6">
        <v>2.2999999999999998</v>
      </c>
      <c r="C14" s="1" t="s">
        <v>23</v>
      </c>
      <c r="D14" s="11" t="s">
        <v>20</v>
      </c>
      <c r="E14" s="11">
        <v>10.375</v>
      </c>
      <c r="F14" s="79">
        <v>41975</v>
      </c>
      <c r="G14" s="63">
        <f t="shared" si="0"/>
        <v>435490.625</v>
      </c>
      <c r="I14" s="80"/>
    </row>
    <row r="15" spans="1:9" ht="30" customHeight="1" thickBot="1" x14ac:dyDescent="0.25">
      <c r="A15" s="14">
        <v>3</v>
      </c>
      <c r="B15" s="17" t="s">
        <v>24</v>
      </c>
      <c r="C15" s="16" t="s">
        <v>25</v>
      </c>
      <c r="D15" s="32"/>
      <c r="E15" s="32"/>
      <c r="F15" s="33"/>
      <c r="G15" s="64">
        <f>SUM(G16:G20)</f>
        <v>6451008.375</v>
      </c>
    </row>
    <row r="16" spans="1:9" ht="30" customHeight="1" thickBot="1" x14ac:dyDescent="0.25">
      <c r="A16" s="9"/>
      <c r="B16" s="6">
        <v>3.1</v>
      </c>
      <c r="C16" s="1" t="s">
        <v>26</v>
      </c>
      <c r="D16" s="11" t="s">
        <v>20</v>
      </c>
      <c r="E16" s="11">
        <v>113.7</v>
      </c>
      <c r="F16" s="81">
        <v>18745</v>
      </c>
      <c r="G16" s="63">
        <f>F16*E16</f>
        <v>2131306.5</v>
      </c>
      <c r="I16" s="80"/>
    </row>
    <row r="17" spans="1:9" ht="30" customHeight="1" thickBot="1" x14ac:dyDescent="0.25">
      <c r="A17" s="9"/>
      <c r="B17" s="6">
        <v>3.2</v>
      </c>
      <c r="C17" s="10" t="s">
        <v>27</v>
      </c>
      <c r="D17" s="11" t="s">
        <v>20</v>
      </c>
      <c r="E17" s="11">
        <v>88.85</v>
      </c>
      <c r="F17" s="81">
        <v>33637.5</v>
      </c>
      <c r="G17" s="63">
        <f t="shared" ref="G17:G25" si="1">F17*E17</f>
        <v>2988691.875</v>
      </c>
      <c r="I17" s="80"/>
    </row>
    <row r="18" spans="1:9" ht="30" customHeight="1" thickBot="1" x14ac:dyDescent="0.25">
      <c r="A18" s="9"/>
      <c r="B18" s="6">
        <v>3.3</v>
      </c>
      <c r="C18" s="10" t="s">
        <v>28</v>
      </c>
      <c r="D18" s="11" t="s">
        <v>20</v>
      </c>
      <c r="E18" s="11">
        <v>24.85</v>
      </c>
      <c r="F18" s="81">
        <v>44850</v>
      </c>
      <c r="G18" s="63">
        <f t="shared" si="1"/>
        <v>1114522.5</v>
      </c>
      <c r="I18" s="80"/>
    </row>
    <row r="19" spans="1:9" ht="30" customHeight="1" thickBot="1" x14ac:dyDescent="0.25">
      <c r="A19" s="9"/>
      <c r="B19" s="6">
        <v>3.4</v>
      </c>
      <c r="C19" s="1" t="s">
        <v>29</v>
      </c>
      <c r="D19" s="11" t="s">
        <v>30</v>
      </c>
      <c r="E19" s="11">
        <v>8</v>
      </c>
      <c r="F19" s="81">
        <v>8280</v>
      </c>
      <c r="G19" s="63">
        <f t="shared" si="1"/>
        <v>66240</v>
      </c>
      <c r="I19" s="80"/>
    </row>
    <row r="20" spans="1:9" ht="30" customHeight="1" thickBot="1" x14ac:dyDescent="0.25">
      <c r="A20" s="9"/>
      <c r="B20" s="6">
        <v>3.5</v>
      </c>
      <c r="C20" s="1" t="s">
        <v>31</v>
      </c>
      <c r="D20" s="11" t="s">
        <v>20</v>
      </c>
      <c r="E20" s="11">
        <v>10.050000000000001</v>
      </c>
      <c r="F20" s="81">
        <v>14949.999999999998</v>
      </c>
      <c r="G20" s="63">
        <f t="shared" si="1"/>
        <v>150247.5</v>
      </c>
      <c r="I20" s="80"/>
    </row>
    <row r="21" spans="1:9" ht="30" customHeight="1" thickBot="1" x14ac:dyDescent="0.25">
      <c r="A21" s="14">
        <v>4</v>
      </c>
      <c r="B21" s="18"/>
      <c r="C21" s="16" t="s">
        <v>49</v>
      </c>
      <c r="D21" s="32"/>
      <c r="E21" s="32"/>
      <c r="F21" s="33"/>
      <c r="G21" s="64">
        <f>SUM(G22:G26)</f>
        <v>10251017.199999999</v>
      </c>
    </row>
    <row r="22" spans="1:9" ht="30" customHeight="1" thickBot="1" x14ac:dyDescent="0.25">
      <c r="A22" s="9"/>
      <c r="B22" s="6">
        <v>4.0999999999999996</v>
      </c>
      <c r="C22" s="1" t="s">
        <v>32</v>
      </c>
      <c r="D22" s="11" t="s">
        <v>30</v>
      </c>
      <c r="E22" s="11">
        <v>634.1</v>
      </c>
      <c r="F22" s="82">
        <v>8855</v>
      </c>
      <c r="G22" s="63">
        <f>F22*E22</f>
        <v>5614955.5</v>
      </c>
      <c r="I22" s="80"/>
    </row>
    <row r="23" spans="1:9" ht="30" customHeight="1" thickBot="1" x14ac:dyDescent="0.25">
      <c r="A23" s="9"/>
      <c r="B23" s="6">
        <v>4.2</v>
      </c>
      <c r="C23" s="1" t="s">
        <v>33</v>
      </c>
      <c r="D23" s="11" t="s">
        <v>30</v>
      </c>
      <c r="E23" s="11">
        <v>634.1</v>
      </c>
      <c r="F23" s="82">
        <v>4370</v>
      </c>
      <c r="G23" s="63">
        <f t="shared" si="1"/>
        <v>2771017</v>
      </c>
      <c r="I23" s="80"/>
    </row>
    <row r="24" spans="1:9" ht="30" customHeight="1" thickBot="1" x14ac:dyDescent="0.25">
      <c r="A24" s="9"/>
      <c r="B24" s="6">
        <v>4.5</v>
      </c>
      <c r="C24" s="1" t="s">
        <v>34</v>
      </c>
      <c r="D24" s="11" t="s">
        <v>30</v>
      </c>
      <c r="E24" s="11">
        <v>6.7</v>
      </c>
      <c r="F24" s="82">
        <v>48644.999999999993</v>
      </c>
      <c r="G24" s="63">
        <f t="shared" si="1"/>
        <v>325921.49999999994</v>
      </c>
      <c r="I24" s="80"/>
    </row>
    <row r="25" spans="1:9" ht="30" customHeight="1" thickBot="1" x14ac:dyDescent="0.25">
      <c r="A25" s="9"/>
      <c r="B25" s="6">
        <v>4.5999999999999996</v>
      </c>
      <c r="C25" s="1" t="s">
        <v>35</v>
      </c>
      <c r="D25" s="11" t="s">
        <v>36</v>
      </c>
      <c r="E25" s="11">
        <v>59.04</v>
      </c>
      <c r="F25" s="82">
        <v>16329.999999999998</v>
      </c>
      <c r="G25" s="63">
        <f t="shared" si="1"/>
        <v>964123.19999999984</v>
      </c>
      <c r="I25" s="80"/>
    </row>
    <row r="26" spans="1:9" ht="30" customHeight="1" thickBot="1" x14ac:dyDescent="0.25">
      <c r="A26" s="75">
        <v>5</v>
      </c>
      <c r="B26" s="19"/>
      <c r="C26" s="20" t="s">
        <v>51</v>
      </c>
      <c r="D26" s="34"/>
      <c r="E26" s="34"/>
      <c r="F26" s="35"/>
      <c r="G26" s="77">
        <f>G27</f>
        <v>575000</v>
      </c>
    </row>
    <row r="27" spans="1:9" ht="30" customHeight="1" thickBot="1" x14ac:dyDescent="0.25">
      <c r="A27" s="9"/>
      <c r="B27" s="11" t="s">
        <v>37</v>
      </c>
      <c r="C27" s="1" t="s">
        <v>38</v>
      </c>
      <c r="D27" s="11" t="s">
        <v>39</v>
      </c>
      <c r="E27" s="11">
        <v>1</v>
      </c>
      <c r="F27" s="81">
        <v>575000</v>
      </c>
      <c r="G27" s="78">
        <f>F27*E27</f>
        <v>575000</v>
      </c>
      <c r="I27" s="80"/>
    </row>
    <row r="28" spans="1:9" ht="16" thickBot="1" x14ac:dyDescent="0.25">
      <c r="A28" s="21"/>
      <c r="B28" s="22"/>
      <c r="C28" s="22"/>
      <c r="D28" s="23"/>
      <c r="E28" s="28" t="s">
        <v>40</v>
      </c>
      <c r="F28" s="29"/>
      <c r="G28" s="65">
        <f>G26+G21+G15+G11</f>
        <v>19108507.41</v>
      </c>
    </row>
    <row r="29" spans="1:9" ht="17" thickBot="1" x14ac:dyDescent="0.25">
      <c r="A29" s="21"/>
      <c r="B29" s="22"/>
      <c r="C29" s="4" t="s">
        <v>7</v>
      </c>
      <c r="D29" s="23"/>
      <c r="E29" s="24" t="s">
        <v>53</v>
      </c>
      <c r="F29" s="25">
        <v>0.19</v>
      </c>
      <c r="G29" s="66">
        <f>G28*F29</f>
        <v>3630616.4079</v>
      </c>
    </row>
    <row r="30" spans="1:9" ht="16" thickBot="1" x14ac:dyDescent="0.25">
      <c r="A30" s="21"/>
      <c r="B30" s="22"/>
      <c r="C30" s="22"/>
      <c r="D30" s="23"/>
      <c r="E30" s="26" t="s">
        <v>41</v>
      </c>
      <c r="F30" s="27"/>
      <c r="G30" s="67">
        <f>G29+G28</f>
        <v>22739123.817900002</v>
      </c>
    </row>
  </sheetData>
  <mergeCells count="20">
    <mergeCell ref="A1:G1"/>
    <mergeCell ref="A2:B2"/>
    <mergeCell ref="F2:G5"/>
    <mergeCell ref="A3:B3"/>
    <mergeCell ref="A4:B5"/>
    <mergeCell ref="D3:E5"/>
    <mergeCell ref="C4:C5"/>
    <mergeCell ref="D7:F7"/>
    <mergeCell ref="A8:A9"/>
    <mergeCell ref="B8:B9"/>
    <mergeCell ref="D8:D9"/>
    <mergeCell ref="E8:E9"/>
    <mergeCell ref="F8:F9"/>
    <mergeCell ref="G8:G9"/>
    <mergeCell ref="D11:F11"/>
    <mergeCell ref="D15:F15"/>
    <mergeCell ref="D21:F21"/>
    <mergeCell ref="D26:F26"/>
    <mergeCell ref="E30:F30"/>
    <mergeCell ref="E28:F28"/>
  </mergeCells>
  <pageMargins left="0.70866141732283472" right="0.70866141732283472" top="0.74803149606299213" bottom="0.74803149606299213" header="0.31496062992125984" footer="0.31496062992125984"/>
  <pageSetup scale="44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FRESHOUSE SAS</dc:creator>
  <cp:lastModifiedBy>Renso Montoya Upegui</cp:lastModifiedBy>
  <cp:lastPrinted>2025-09-29T15:59:55Z</cp:lastPrinted>
  <dcterms:created xsi:type="dcterms:W3CDTF">2025-09-29T15:55:50Z</dcterms:created>
  <dcterms:modified xsi:type="dcterms:W3CDTF">2025-11-30T21:18:11Z</dcterms:modified>
</cp:coreProperties>
</file>