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montoyaosorio/Documents/TRABAJO/COTIZACIONES/EDITABLES/"/>
    </mc:Choice>
  </mc:AlternateContent>
  <xr:revisionPtr revIDLastSave="0" documentId="13_ncr:1_{AF494BDD-FC3A-AF4B-8EB3-2BAC7BF78DF8}" xr6:coauthVersionLast="47" xr6:coauthVersionMax="47" xr10:uidLastSave="{00000000-0000-0000-0000-000000000000}"/>
  <bookViews>
    <workbookView xWindow="0" yWindow="760" windowWidth="29400" windowHeight="16880" xr2:uid="{00000000-000D-0000-FFFF-FFFF00000000}"/>
  </bookViews>
  <sheets>
    <sheet name="COT. SANTA CLARA PINT. IMP" sheetId="27" r:id="rId1"/>
  </sheets>
  <definedNames>
    <definedName name="_xlnm.Print_Area" localSheetId="0">'COT. SANTA CLARA PINT. IMP'!$A$1:$G$37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7" l="1"/>
  <c r="H16" i="27" l="1"/>
  <c r="G25" i="27"/>
  <c r="G28" i="27"/>
  <c r="G27" i="27"/>
  <c r="G26" i="27"/>
  <c r="G24" i="27"/>
  <c r="G23" i="27"/>
  <c r="G21" i="27"/>
  <c r="G20" i="27"/>
  <c r="G19" i="27"/>
  <c r="G18" i="27"/>
  <c r="G17" i="27"/>
  <c r="G16" i="27"/>
  <c r="G14" i="27"/>
  <c r="G13" i="27"/>
  <c r="G12" i="27"/>
  <c r="G11" i="27"/>
  <c r="G10" i="27"/>
  <c r="G22" i="27" l="1"/>
  <c r="G15" i="27"/>
  <c r="G9" i="27"/>
  <c r="G30" i="27" l="1"/>
  <c r="G29" i="27" s="1"/>
  <c r="G6" i="27"/>
  <c r="G31" i="27" l="1"/>
  <c r="G32" i="27" l="1"/>
  <c r="G33" i="27"/>
  <c r="G34" i="27"/>
  <c r="G35" i="27" s="1"/>
  <c r="G36" i="27" l="1"/>
  <c r="G37" i="27" s="1"/>
  <c r="G41" i="27" s="1"/>
  <c r="G39" i="27" l="1"/>
  <c r="G40" i="27" s="1"/>
</calcChain>
</file>

<file path=xl/sharedStrings.xml><?xml version="1.0" encoding="utf-8"?>
<sst xmlns="http://schemas.openxmlformats.org/spreadsheetml/2006/main" count="91" uniqueCount="75">
  <si>
    <t>CAPT</t>
  </si>
  <si>
    <t>ITEMS</t>
  </si>
  <si>
    <t>ML</t>
  </si>
  <si>
    <t>IVA/U</t>
  </si>
  <si>
    <t>DESCRIPCION</t>
  </si>
  <si>
    <t>1.0</t>
  </si>
  <si>
    <t>PRELIMINARES</t>
  </si>
  <si>
    <t>DIRECCION: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</si>
  <si>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</si>
  <si>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</si>
  <si>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</si>
  <si>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</si>
  <si>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</si>
  <si>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</si>
  <si>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</si>
  <si>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</si>
  <si>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</si>
  <si>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</si>
  <si>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</si>
  <si>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</si>
  <si>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</si>
  <si>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</si>
  <si>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>INCLUIDO</t>
  </si>
  <si>
    <t>M2</t>
  </si>
  <si>
    <t>Calle 19 Norte 18-64 Ed. Atlantis piso 3 local 7</t>
  </si>
  <si>
    <t>Gerencia@freshouse.com.co</t>
  </si>
  <si>
    <t>Limpieza detallada con alcohol Isopropílico sobre la zona de sellado</t>
  </si>
  <si>
    <t xml:space="preserve">             LIMPIEZA Y ALISTAMIENTO DE SUPERFICIES</t>
  </si>
  <si>
    <t xml:space="preserve">            OBRAS DE PINTURA EN MUROS DE FACHADA E IMPERMEABILIZACIÓN</t>
  </si>
  <si>
    <t xml:space="preserve">            RESTAURACIÓN DE SELLOS</t>
  </si>
  <si>
    <t xml:space="preserve">            TERMINADO Y LIMPIEZA</t>
  </si>
  <si>
    <t>COSTO DIRECTO</t>
  </si>
  <si>
    <t>ADMON</t>
  </si>
  <si>
    <t>IMPREV</t>
  </si>
  <si>
    <t>UTILIDADES</t>
  </si>
  <si>
    <t>COSTO INDIRECTO</t>
  </si>
  <si>
    <t>VALOR PROPUESTA</t>
  </si>
  <si>
    <t>COTIZACIÓN OBRA - EDIFICIO ATLANTIS</t>
  </si>
  <si>
    <t xml:space="preserve">  FECHA: 22/08/2025</t>
  </si>
  <si>
    <t xml:space="preserve">  VALIDO HASTA: 22/11/2025</t>
  </si>
  <si>
    <t>2.1</t>
  </si>
  <si>
    <t>Lavado General de Superficies a Intervenir</t>
  </si>
  <si>
    <t>2.2</t>
  </si>
  <si>
    <t>2.3</t>
  </si>
  <si>
    <t>2.4</t>
  </si>
  <si>
    <t>2.5</t>
  </si>
  <si>
    <t>3.1</t>
  </si>
  <si>
    <t>Suministro y Aplicación de imprimación con Acrolatex</t>
  </si>
  <si>
    <t>Suministro y Aplicación de Pintura para exteriores, tipo Koraza, sobre superficies de Fachadas y Muros Externos del Edificio</t>
  </si>
  <si>
    <t>3.2</t>
  </si>
  <si>
    <t>Suministro y Aplicación de Pintura para exteriores, tipo Koraza, en elementos volumetricos de superboard en las fachadas</t>
  </si>
  <si>
    <t>3.4</t>
  </si>
  <si>
    <t xml:space="preserve">Suministro y Aplicacion de Pintura Tipo Koraza en alfajias </t>
  </si>
  <si>
    <t>3.5</t>
  </si>
  <si>
    <t>Suministro y Aplicación de Pintura tipo Vinilo en areas comunes externas e internas del edificio: paredes y cielos rasos</t>
  </si>
  <si>
    <t>Suministro y Aplicación de Pintura tipo 3 en 1 en puerta de acceso a los parqueaderos</t>
  </si>
  <si>
    <t>4.1</t>
  </si>
  <si>
    <t>4.2</t>
  </si>
  <si>
    <t>Impermeabilizacion de Techos sobre ventilaciones en terraza</t>
  </si>
  <si>
    <t>4.3</t>
  </si>
  <si>
    <t>Impermeabilizacion de areas bajo ventanas en fachadas Y CUARTO DE MÁQUINAS TERRAZA</t>
  </si>
  <si>
    <t>4.4</t>
  </si>
  <si>
    <t xml:space="preserve">Suministro e Instalacion de Cortagoteras en Balcones </t>
  </si>
  <si>
    <t>4.5</t>
  </si>
  <si>
    <t>Sellamiento de bordillos en grano lavado bajo balcones</t>
  </si>
  <si>
    <t>Ml</t>
  </si>
  <si>
    <t xml:space="preserve">Retiro y Reemplazo de Graniplast Deteriorado   en fachadas de las tres torres                              </t>
  </si>
  <si>
    <t xml:space="preserve">Reposicion de Mortero en mal estado en fachadas </t>
  </si>
  <si>
    <t xml:space="preserve">Retiro y Reemplazo de Superboard en mal estado en fachadas de las tres torres </t>
  </si>
  <si>
    <t xml:space="preserve">Retiro y Reemplazo de Drywall en mal estado en cielos rasos de fachadas                                  </t>
  </si>
  <si>
    <t xml:space="preserve">Retiro y Reposicion de sello perimetral en elementos vidriados de los bloque de apartamentos  </t>
  </si>
  <si>
    <t>3.3</t>
  </si>
  <si>
    <t>3.6</t>
  </si>
  <si>
    <t>4.6</t>
  </si>
  <si>
    <t>5 mas representativos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</si>
</sst>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entury Gothic"/>
      <family val="1"/>
    </font>
    <font>
      <b/>
      <sz val="11"/>
      <name val="Century Gothic"/>
      <family val="1"/>
    </font>
    <font>
      <b/>
      <sz val="11"/>
      <color theme="1"/>
      <name val="Century Gothic"/>
      <family val="1"/>
    </font>
    <font>
      <sz val="11"/>
      <color theme="1"/>
      <name val="Century Gothic"/>
      <family val="1"/>
    </font>
    <font>
      <sz val="11"/>
      <color rgb="FF000000"/>
      <name val="Century Gothic"/>
      <family val="1"/>
    </font>
    <font>
      <b/>
      <sz val="11"/>
      <color rgb="FFFF0000"/>
      <name val="Century Gothic"/>
      <family val="1"/>
    </font>
    <font>
      <b/>
      <sz val="11"/>
      <color rgb="FF000000"/>
      <name val="Century Gothic"/>
      <family val="1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indexed="64"/>
      </top>
      <bottom style="thin">
        <color rgb="FF505050"/>
      </bottom>
      <diagonal/>
    </border>
    <border>
      <left/>
      <right/>
      <top style="thin">
        <color indexed="64"/>
      </top>
      <bottom style="thin">
        <color rgb="FF505050"/>
      </bottom>
      <diagonal/>
    </border>
    <border>
      <left/>
      <right style="thin">
        <color rgb="FF505050"/>
      </right>
      <top style="thin">
        <color indexed="64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5" fontId="9" fillId="2" borderId="11" xfId="0" applyNumberFormat="1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vertical="center" wrapText="1"/>
    </xf>
    <xf numFmtId="164" fontId="12" fillId="4" borderId="5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165" fontId="9" fillId="8" borderId="1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4" fontId="10" fillId="2" borderId="1" xfId="0" applyNumberFormat="1" applyFont="1" applyFill="1" applyBorder="1" applyAlignment="1">
      <alignment horizontal="left" vertical="center" wrapText="1"/>
    </xf>
    <xf numFmtId="44" fontId="13" fillId="7" borderId="3" xfId="0" applyNumberFormat="1" applyFont="1" applyFill="1" applyBorder="1" applyAlignment="1">
      <alignment horizontal="left" vertical="center" wrapText="1"/>
    </xf>
    <xf numFmtId="44" fontId="9" fillId="9" borderId="1" xfId="0" applyNumberFormat="1" applyFont="1" applyFill="1" applyBorder="1" applyAlignment="1">
      <alignment horizontal="left" vertical="center" wrapText="1"/>
    </xf>
    <xf numFmtId="44" fontId="10" fillId="2" borderId="3" xfId="0" applyNumberFormat="1" applyFont="1" applyFill="1" applyBorder="1" applyAlignment="1">
      <alignment horizontal="left" vertical="center" wrapText="1"/>
    </xf>
    <xf numFmtId="44" fontId="9" fillId="10" borderId="2" xfId="0" applyNumberFormat="1" applyFont="1" applyFill="1" applyBorder="1" applyAlignment="1">
      <alignment horizontal="center" vertical="center"/>
    </xf>
    <xf numFmtId="44" fontId="10" fillId="10" borderId="1" xfId="0" applyNumberFormat="1" applyFont="1" applyFill="1" applyBorder="1" applyAlignment="1">
      <alignment horizontal="center" vertical="center"/>
    </xf>
    <xf numFmtId="44" fontId="9" fillId="3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9" fontId="10" fillId="5" borderId="1" xfId="3" applyFont="1" applyFill="1" applyBorder="1" applyAlignment="1">
      <alignment horizontal="center" vertical="center"/>
    </xf>
    <xf numFmtId="44" fontId="10" fillId="5" borderId="1" xfId="2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165" fontId="11" fillId="5" borderId="6" xfId="0" applyNumberFormat="1" applyFont="1" applyFill="1" applyBorder="1" applyAlignment="1">
      <alignment horizontal="center" vertical="center" wrapText="1"/>
    </xf>
    <xf numFmtId="44" fontId="11" fillId="5" borderId="5" xfId="0" applyNumberFormat="1" applyFont="1" applyFill="1" applyBorder="1" applyAlignment="1">
      <alignment vertical="center" wrapText="1"/>
    </xf>
    <xf numFmtId="44" fontId="11" fillId="5" borderId="7" xfId="0" applyNumberFormat="1" applyFont="1" applyFill="1" applyBorder="1" applyAlignment="1">
      <alignment horizontal="center" vertical="center" wrapText="1"/>
    </xf>
    <xf numFmtId="44" fontId="10" fillId="5" borderId="5" xfId="1" applyNumberFormat="1" applyFont="1" applyFill="1" applyBorder="1" applyAlignment="1">
      <alignment vertical="center" wrapText="1"/>
    </xf>
    <xf numFmtId="44" fontId="10" fillId="5" borderId="5" xfId="0" applyNumberFormat="1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center" vertical="center"/>
    </xf>
    <xf numFmtId="44" fontId="8" fillId="5" borderId="5" xfId="0" applyNumberFormat="1" applyFont="1" applyFill="1" applyBorder="1" applyAlignment="1">
      <alignment horizontal="center" vertical="center"/>
    </xf>
    <xf numFmtId="44" fontId="7" fillId="5" borderId="5" xfId="0" applyNumberFormat="1" applyFont="1" applyFill="1" applyBorder="1" applyAlignment="1">
      <alignment vertical="center" wrapText="1"/>
    </xf>
    <xf numFmtId="44" fontId="7" fillId="5" borderId="5" xfId="0" applyNumberFormat="1" applyFont="1" applyFill="1" applyBorder="1" applyAlignment="1">
      <alignment horizontal="center" vertical="center"/>
    </xf>
    <xf numFmtId="44" fontId="7" fillId="5" borderId="5" xfId="2" applyFont="1" applyFill="1" applyBorder="1" applyAlignment="1">
      <alignment horizontal="center" vertical="center"/>
    </xf>
    <xf numFmtId="0" fontId="7" fillId="5" borderId="5" xfId="0" applyFont="1" applyFill="1" applyBorder="1" applyAlignment="1">
      <alignment vertical="center"/>
    </xf>
    <xf numFmtId="44" fontId="7" fillId="5" borderId="5" xfId="2" applyFont="1" applyFill="1" applyBorder="1" applyAlignment="1">
      <alignment vertical="center"/>
    </xf>
    <xf numFmtId="44" fontId="10" fillId="5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horizontal="center" vertical="center" wrapText="1"/>
    </xf>
    <xf numFmtId="43" fontId="10" fillId="5" borderId="5" xfId="1" applyFont="1" applyFill="1" applyBorder="1" applyAlignment="1">
      <alignment vertical="center" wrapText="1"/>
    </xf>
    <xf numFmtId="44" fontId="10" fillId="5" borderId="3" xfId="0" applyNumberFormat="1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44" fontId="13" fillId="6" borderId="4" xfId="0" applyNumberFormat="1" applyFont="1" applyFill="1" applyBorder="1" applyAlignment="1">
      <alignment horizontal="left" vertical="center"/>
    </xf>
    <xf numFmtId="44" fontId="13" fillId="6" borderId="22" xfId="0" applyNumberFormat="1" applyFont="1" applyFill="1" applyBorder="1" applyAlignment="1">
      <alignment horizontal="left" vertical="center"/>
    </xf>
    <xf numFmtId="44" fontId="13" fillId="6" borderId="3" xfId="0" applyNumberFormat="1" applyFont="1" applyFill="1" applyBorder="1" applyAlignment="1">
      <alignment horizontal="left" vertical="center"/>
    </xf>
    <xf numFmtId="44" fontId="9" fillId="8" borderId="9" xfId="0" applyNumberFormat="1" applyFont="1" applyFill="1" applyBorder="1" applyAlignment="1">
      <alignment horizontal="left" vertical="center" wrapText="1"/>
    </xf>
    <xf numFmtId="44" fontId="9" fillId="8" borderId="10" xfId="0" applyNumberFormat="1" applyFont="1" applyFill="1" applyBorder="1" applyAlignment="1">
      <alignment horizontal="left" vertical="center" wrapText="1"/>
    </xf>
    <xf numFmtId="43" fontId="9" fillId="10" borderId="19" xfId="1" applyFont="1" applyFill="1" applyBorder="1" applyAlignment="1">
      <alignment horizontal="center" vertical="center"/>
    </xf>
    <xf numFmtId="43" fontId="9" fillId="10" borderId="21" xfId="1" applyFont="1" applyFill="1" applyBorder="1" applyAlignment="1">
      <alignment horizontal="center" vertical="center"/>
    </xf>
    <xf numFmtId="0" fontId="13" fillId="6" borderId="19" xfId="0" applyFont="1" applyFill="1" applyBorder="1" applyAlignment="1">
      <alignment horizontal="left" vertical="center"/>
    </xf>
    <xf numFmtId="0" fontId="13" fillId="6" borderId="20" xfId="0" applyFont="1" applyFill="1" applyBorder="1" applyAlignment="1">
      <alignment horizontal="left" vertical="center"/>
    </xf>
    <xf numFmtId="0" fontId="13" fillId="6" borderId="21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44" fontId="6" fillId="0" borderId="0" xfId="0" applyNumberFormat="1" applyFont="1" applyAlignment="1">
      <alignment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198967</xdr:colOff>
      <xdr:row>1</xdr:row>
      <xdr:rowOff>120462</xdr:rowOff>
    </xdr:from>
    <xdr:to>
      <xdr:col>6</xdr:col>
      <xdr:colOff>2097424</xdr:colOff>
      <xdr:row>3</xdr:row>
      <xdr:rowOff>375227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8606EF-34FC-4333-9991-FE2C598A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9119" y="399477"/>
          <a:ext cx="3601411" cy="1274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BBE5-0650-4C32-9372-B11BD1231774}">
  <dimension ref="A1:J41"/>
  <sheetViews>
    <sheetView tabSelected="1" topLeftCell="C8" zoomScale="125" zoomScaleNormal="66" workbookViewId="0">
      <selection activeCell="H12" sqref="H12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21.5" style="1" customWidth="1"/>
    <col min="5" max="5" width="25.1640625" style="1" bestFit="1" customWidth="1"/>
    <col min="6" max="6" width="22.33203125" style="1" bestFit="1" customWidth="1"/>
    <col min="7" max="7" width="28.83203125" style="1" customWidth="1"/>
    <col min="8" max="8" width="25.5" style="1" customWidth="1"/>
    <col min="9" max="16384" width="12.33203125" style="1"/>
  </cols>
  <sheetData>
    <row r="1" spans="1:10" s="4" customFormat="1" ht="40" customHeight="1" x14ac:dyDescent="0.2">
      <c r="A1" s="62" t="s">
        <v>37</v>
      </c>
      <c r="B1" s="63"/>
      <c r="C1" s="63"/>
      <c r="D1" s="63"/>
      <c r="E1" s="63"/>
      <c r="F1" s="63"/>
      <c r="G1" s="64"/>
    </row>
    <row r="2" spans="1:10" ht="40" customHeight="1" x14ac:dyDescent="0.2">
      <c r="A2" s="65" t="s">
        <v>7</v>
      </c>
      <c r="B2" s="66"/>
      <c r="C2" s="46" t="s">
        <v>24</v>
      </c>
      <c r="D2" s="46" t="s">
        <v>8</v>
      </c>
      <c r="E2" s="46" t="s">
        <v>9</v>
      </c>
      <c r="F2" s="67"/>
      <c r="G2" s="68"/>
    </row>
    <row r="3" spans="1:10" ht="40" customHeight="1" x14ac:dyDescent="0.2">
      <c r="A3" s="65" t="s">
        <v>10</v>
      </c>
      <c r="B3" s="66"/>
      <c r="C3" s="47" t="s">
        <v>25</v>
      </c>
      <c r="D3" s="65" t="s">
        <v>38</v>
      </c>
      <c r="E3" s="66"/>
      <c r="F3" s="69"/>
      <c r="G3" s="70"/>
      <c r="H3"/>
    </row>
    <row r="4" spans="1:10" ht="40" customHeight="1" x14ac:dyDescent="0.2">
      <c r="A4" s="65" t="s">
        <v>11</v>
      </c>
      <c r="B4" s="66"/>
      <c r="C4" s="46" t="s">
        <v>12</v>
      </c>
      <c r="D4" s="65" t="s">
        <v>39</v>
      </c>
      <c r="E4" s="66"/>
      <c r="F4" s="71"/>
      <c r="G4" s="72"/>
      <c r="H4"/>
    </row>
    <row r="5" spans="1:10" ht="40" customHeight="1" x14ac:dyDescent="0.2">
      <c r="A5" s="3" t="s">
        <v>0</v>
      </c>
      <c r="B5" s="3" t="s">
        <v>1</v>
      </c>
      <c r="C5" s="3" t="s">
        <v>4</v>
      </c>
      <c r="D5" s="3" t="s">
        <v>13</v>
      </c>
      <c r="E5" s="3" t="s">
        <v>14</v>
      </c>
      <c r="F5" s="3" t="s">
        <v>15</v>
      </c>
      <c r="G5" s="3" t="s">
        <v>16</v>
      </c>
      <c r="H5"/>
    </row>
    <row r="6" spans="1:10" ht="40" customHeight="1" x14ac:dyDescent="0.2">
      <c r="A6" s="9" t="s">
        <v>5</v>
      </c>
      <c r="B6" s="10"/>
      <c r="C6" s="10" t="s">
        <v>6</v>
      </c>
      <c r="D6" s="10"/>
      <c r="E6" s="10"/>
      <c r="F6" s="10"/>
      <c r="G6" s="16">
        <f>SUM(G7:G8)</f>
        <v>0</v>
      </c>
    </row>
    <row r="7" spans="1:10" ht="40" customHeight="1" x14ac:dyDescent="0.2">
      <c r="A7" s="40"/>
      <c r="B7" s="41">
        <v>1.1000000000000001</v>
      </c>
      <c r="C7" s="42" t="s">
        <v>19</v>
      </c>
      <c r="D7" s="43" t="s">
        <v>18</v>
      </c>
      <c r="E7" s="44">
        <v>1</v>
      </c>
      <c r="F7" s="11" t="s">
        <v>22</v>
      </c>
      <c r="G7" s="45"/>
    </row>
    <row r="8" spans="1:10" ht="87" customHeight="1" x14ac:dyDescent="0.2">
      <c r="A8" s="40"/>
      <c r="B8" s="41">
        <v>1.2</v>
      </c>
      <c r="C8" s="42" t="s">
        <v>20</v>
      </c>
      <c r="D8" s="43" t="s">
        <v>17</v>
      </c>
      <c r="E8" s="44">
        <v>1</v>
      </c>
      <c r="F8" s="11" t="s">
        <v>22</v>
      </c>
      <c r="G8" s="45"/>
    </row>
    <row r="9" spans="1:10" s="5" customFormat="1" ht="40" customHeight="1" x14ac:dyDescent="0.2">
      <c r="A9" s="12">
        <v>2</v>
      </c>
      <c r="B9" s="59" t="s">
        <v>27</v>
      </c>
      <c r="C9" s="60"/>
      <c r="D9" s="60"/>
      <c r="E9" s="60"/>
      <c r="F9" s="61"/>
      <c r="G9" s="17">
        <f>SUM(G10:G14)</f>
        <v>6214705</v>
      </c>
    </row>
    <row r="10" spans="1:10" s="5" customFormat="1" ht="40" customHeight="1" x14ac:dyDescent="0.2">
      <c r="A10" s="37"/>
      <c r="B10" s="33" t="s">
        <v>40</v>
      </c>
      <c r="C10" s="34" t="s">
        <v>41</v>
      </c>
      <c r="D10" s="35" t="s">
        <v>23</v>
      </c>
      <c r="E10" s="35">
        <v>772.6</v>
      </c>
      <c r="F10" s="38">
        <v>3800</v>
      </c>
      <c r="G10" s="38">
        <f>E10*F10</f>
        <v>2935880</v>
      </c>
    </row>
    <row r="11" spans="1:10" s="5" customFormat="1" ht="40" customHeight="1" x14ac:dyDescent="0.2">
      <c r="A11" s="37"/>
      <c r="B11" s="33" t="s">
        <v>42</v>
      </c>
      <c r="C11" s="34" t="s">
        <v>66</v>
      </c>
      <c r="D11" s="35" t="s">
        <v>23</v>
      </c>
      <c r="E11" s="39">
        <v>38.630000000000003</v>
      </c>
      <c r="F11" s="38">
        <v>41000</v>
      </c>
      <c r="G11" s="38">
        <f t="shared" ref="G11:G14" si="0">E11*F11</f>
        <v>1583830</v>
      </c>
      <c r="H11" s="5" t="s">
        <v>74</v>
      </c>
    </row>
    <row r="12" spans="1:10" s="5" customFormat="1" ht="40" customHeight="1" x14ac:dyDescent="0.2">
      <c r="A12" s="37"/>
      <c r="B12" s="33" t="s">
        <v>43</v>
      </c>
      <c r="C12" s="34" t="s">
        <v>67</v>
      </c>
      <c r="D12" s="35" t="s">
        <v>23</v>
      </c>
      <c r="E12" s="39">
        <v>38.630000000000003</v>
      </c>
      <c r="F12" s="38">
        <v>36500</v>
      </c>
      <c r="G12" s="38">
        <f t="shared" si="0"/>
        <v>1409995</v>
      </c>
    </row>
    <row r="13" spans="1:10" s="5" customFormat="1" ht="40" customHeight="1" x14ac:dyDescent="0.2">
      <c r="A13" s="37"/>
      <c r="B13" s="33" t="s">
        <v>44</v>
      </c>
      <c r="C13" s="34" t="s">
        <v>68</v>
      </c>
      <c r="D13" s="35" t="s">
        <v>23</v>
      </c>
      <c r="E13" s="39"/>
      <c r="F13" s="38"/>
      <c r="G13" s="38">
        <f t="shared" si="0"/>
        <v>0</v>
      </c>
      <c r="J13" s="6"/>
    </row>
    <row r="14" spans="1:10" s="5" customFormat="1" ht="40" customHeight="1" x14ac:dyDescent="0.2">
      <c r="A14" s="37"/>
      <c r="B14" s="33" t="s">
        <v>45</v>
      </c>
      <c r="C14" s="34" t="s">
        <v>69</v>
      </c>
      <c r="D14" s="35" t="s">
        <v>23</v>
      </c>
      <c r="E14" s="39">
        <v>5</v>
      </c>
      <c r="F14" s="38">
        <v>57000</v>
      </c>
      <c r="G14" s="38">
        <f t="shared" si="0"/>
        <v>285000</v>
      </c>
      <c r="J14" s="6"/>
    </row>
    <row r="15" spans="1:10" s="5" customFormat="1" ht="40" customHeight="1" x14ac:dyDescent="0.2">
      <c r="A15" s="12">
        <v>3</v>
      </c>
      <c r="B15" s="52" t="s">
        <v>28</v>
      </c>
      <c r="C15" s="53"/>
      <c r="D15" s="53"/>
      <c r="E15" s="53"/>
      <c r="F15" s="54"/>
      <c r="G15" s="17">
        <f>SUM(G16:G21)</f>
        <v>22931438.199999999</v>
      </c>
    </row>
    <row r="16" spans="1:10" s="8" customFormat="1" ht="40" customHeight="1" x14ac:dyDescent="0.2">
      <c r="A16" s="37"/>
      <c r="B16" s="33" t="s">
        <v>46</v>
      </c>
      <c r="C16" s="34" t="s">
        <v>47</v>
      </c>
      <c r="D16" s="35" t="s">
        <v>23</v>
      </c>
      <c r="E16" s="35">
        <v>442.28</v>
      </c>
      <c r="F16" s="36">
        <v>7800</v>
      </c>
      <c r="G16" s="36">
        <f>E16*F16</f>
        <v>3449784</v>
      </c>
      <c r="H16" s="73">
        <f>E17+E18</f>
        <v>541.28</v>
      </c>
    </row>
    <row r="17" spans="1:8" s="8" customFormat="1" ht="40" customHeight="1" x14ac:dyDescent="0.2">
      <c r="A17" s="37"/>
      <c r="B17" s="33" t="s">
        <v>49</v>
      </c>
      <c r="C17" s="34" t="s">
        <v>48</v>
      </c>
      <c r="D17" s="35" t="s">
        <v>23</v>
      </c>
      <c r="E17" s="35">
        <v>289.5</v>
      </c>
      <c r="F17" s="36">
        <v>26300</v>
      </c>
      <c r="G17" s="36">
        <f>E17*F17</f>
        <v>7613850</v>
      </c>
      <c r="H17" s="73">
        <f>442.28-E18</f>
        <v>190.49999999999997</v>
      </c>
    </row>
    <row r="18" spans="1:8" s="8" customFormat="1" ht="40" customHeight="1" x14ac:dyDescent="0.2">
      <c r="A18" s="37"/>
      <c r="B18" s="33" t="s">
        <v>71</v>
      </c>
      <c r="C18" s="34" t="s">
        <v>50</v>
      </c>
      <c r="D18" s="35" t="s">
        <v>23</v>
      </c>
      <c r="E18" s="35">
        <v>251.78</v>
      </c>
      <c r="F18" s="36">
        <v>39000</v>
      </c>
      <c r="G18" s="36">
        <f>E18*F18</f>
        <v>9819420</v>
      </c>
    </row>
    <row r="19" spans="1:8" s="8" customFormat="1" ht="40" customHeight="1" x14ac:dyDescent="0.2">
      <c r="A19" s="37"/>
      <c r="B19" s="33" t="s">
        <v>51</v>
      </c>
      <c r="C19" s="34" t="s">
        <v>52</v>
      </c>
      <c r="D19" s="35" t="s">
        <v>2</v>
      </c>
      <c r="E19" s="35">
        <v>93.045000000000016</v>
      </c>
      <c r="F19" s="36">
        <v>7200</v>
      </c>
      <c r="G19" s="36">
        <f t="shared" ref="G19:G21" si="1">E19*F19</f>
        <v>669924.00000000012</v>
      </c>
    </row>
    <row r="20" spans="1:8" s="8" customFormat="1" ht="40" customHeight="1" x14ac:dyDescent="0.2">
      <c r="A20" s="37"/>
      <c r="B20" s="33" t="s">
        <v>53</v>
      </c>
      <c r="C20" s="34" t="s">
        <v>54</v>
      </c>
      <c r="D20" s="35" t="s">
        <v>23</v>
      </c>
      <c r="E20" s="35">
        <v>98.475000000000009</v>
      </c>
      <c r="F20" s="36">
        <v>13000</v>
      </c>
      <c r="G20" s="36">
        <f t="shared" si="1"/>
        <v>1280175</v>
      </c>
    </row>
    <row r="21" spans="1:8" s="8" customFormat="1" ht="40" customHeight="1" x14ac:dyDescent="0.2">
      <c r="A21" s="37"/>
      <c r="B21" s="33" t="s">
        <v>72</v>
      </c>
      <c r="C21" s="34" t="s">
        <v>55</v>
      </c>
      <c r="D21" s="35" t="s">
        <v>23</v>
      </c>
      <c r="E21" s="35">
        <v>5.2</v>
      </c>
      <c r="F21" s="36">
        <v>18901</v>
      </c>
      <c r="G21" s="36">
        <f t="shared" si="1"/>
        <v>98285.2</v>
      </c>
    </row>
    <row r="22" spans="1:8" ht="40" customHeight="1" x14ac:dyDescent="0.2">
      <c r="A22" s="12">
        <v>4</v>
      </c>
      <c r="B22" s="52" t="s">
        <v>29</v>
      </c>
      <c r="C22" s="53"/>
      <c r="D22" s="53"/>
      <c r="E22" s="53"/>
      <c r="F22" s="54"/>
      <c r="G22" s="17">
        <f>SUM(G23:G28)</f>
        <v>36398260</v>
      </c>
    </row>
    <row r="23" spans="1:8" ht="40" customHeight="1" x14ac:dyDescent="0.2">
      <c r="A23" s="32"/>
      <c r="B23" s="33" t="s">
        <v>56</v>
      </c>
      <c r="C23" s="34" t="s">
        <v>70</v>
      </c>
      <c r="D23" s="35" t="s">
        <v>2</v>
      </c>
      <c r="E23" s="35">
        <v>2875</v>
      </c>
      <c r="F23" s="36">
        <v>7700</v>
      </c>
      <c r="G23" s="36">
        <f>+E23*F23</f>
        <v>22137500</v>
      </c>
    </row>
    <row r="24" spans="1:8" ht="40" customHeight="1" x14ac:dyDescent="0.2">
      <c r="A24" s="32"/>
      <c r="B24" s="33" t="s">
        <v>57</v>
      </c>
      <c r="C24" s="34" t="s">
        <v>26</v>
      </c>
      <c r="D24" s="35" t="s">
        <v>2</v>
      </c>
      <c r="E24" s="35">
        <v>2875</v>
      </c>
      <c r="F24" s="36">
        <v>3800</v>
      </c>
      <c r="G24" s="36">
        <f>+E24*F24</f>
        <v>10925000</v>
      </c>
    </row>
    <row r="25" spans="1:8" ht="40" customHeight="1" x14ac:dyDescent="0.2">
      <c r="A25" s="32"/>
      <c r="B25" s="33" t="s">
        <v>59</v>
      </c>
      <c r="C25" s="34" t="s">
        <v>58</v>
      </c>
      <c r="D25" s="35" t="s">
        <v>23</v>
      </c>
      <c r="E25" s="35"/>
      <c r="F25" s="36"/>
      <c r="G25" s="36">
        <f t="shared" ref="G25:G28" si="2">+E25*F25</f>
        <v>0</v>
      </c>
    </row>
    <row r="26" spans="1:8" ht="40" customHeight="1" x14ac:dyDescent="0.2">
      <c r="A26" s="32"/>
      <c r="B26" s="33" t="s">
        <v>61</v>
      </c>
      <c r="C26" s="34" t="s">
        <v>60</v>
      </c>
      <c r="D26" s="35" t="s">
        <v>23</v>
      </c>
      <c r="E26" s="35"/>
      <c r="F26" s="36"/>
      <c r="G26" s="36">
        <f t="shared" si="2"/>
        <v>0</v>
      </c>
    </row>
    <row r="27" spans="1:8" ht="40" customHeight="1" x14ac:dyDescent="0.2">
      <c r="A27" s="32"/>
      <c r="B27" s="33" t="s">
        <v>63</v>
      </c>
      <c r="C27" s="34" t="s">
        <v>62</v>
      </c>
      <c r="D27" s="35" t="s">
        <v>2</v>
      </c>
      <c r="E27" s="35">
        <v>59.04</v>
      </c>
      <c r="F27" s="36">
        <v>42300</v>
      </c>
      <c r="G27" s="36">
        <f t="shared" si="2"/>
        <v>2497392</v>
      </c>
    </row>
    <row r="28" spans="1:8" ht="40" customHeight="1" x14ac:dyDescent="0.2">
      <c r="A28" s="32"/>
      <c r="B28" s="33" t="s">
        <v>73</v>
      </c>
      <c r="C28" s="34" t="s">
        <v>64</v>
      </c>
      <c r="D28" s="35" t="s">
        <v>65</v>
      </c>
      <c r="E28" s="35">
        <v>59.04</v>
      </c>
      <c r="F28" s="36">
        <v>14200</v>
      </c>
      <c r="G28" s="36">
        <f t="shared" si="2"/>
        <v>838368</v>
      </c>
    </row>
    <row r="29" spans="1:8" ht="40" customHeight="1" x14ac:dyDescent="0.2">
      <c r="A29" s="13">
        <v>5</v>
      </c>
      <c r="B29" s="55" t="s">
        <v>30</v>
      </c>
      <c r="C29" s="55"/>
      <c r="D29" s="55"/>
      <c r="E29" s="55"/>
      <c r="F29" s="56"/>
      <c r="G29" s="18">
        <f>SUM(G30:G30)</f>
        <v>750000</v>
      </c>
    </row>
    <row r="30" spans="1:8" ht="40" customHeight="1" x14ac:dyDescent="0.2">
      <c r="A30" s="26"/>
      <c r="B30" s="27">
        <v>5.0999999999999996</v>
      </c>
      <c r="C30" s="28" t="s">
        <v>21</v>
      </c>
      <c r="D30" s="29" t="s">
        <v>18</v>
      </c>
      <c r="E30" s="30">
        <v>1</v>
      </c>
      <c r="F30" s="31">
        <v>750000</v>
      </c>
      <c r="G30" s="19">
        <f>F30*E30</f>
        <v>750000</v>
      </c>
    </row>
    <row r="31" spans="1:8" ht="40" customHeight="1" x14ac:dyDescent="0.2">
      <c r="A31" s="14"/>
      <c r="B31" s="15"/>
      <c r="C31" s="15"/>
      <c r="D31" s="15"/>
      <c r="E31" s="57" t="s">
        <v>31</v>
      </c>
      <c r="F31" s="58"/>
      <c r="G31" s="20">
        <f>G9+G15+G22+G29</f>
        <v>66294403.200000003</v>
      </c>
    </row>
    <row r="32" spans="1:8" ht="40" customHeight="1" x14ac:dyDescent="0.2">
      <c r="A32" s="14"/>
      <c r="B32" s="15"/>
      <c r="C32" s="15"/>
      <c r="D32" s="15"/>
      <c r="E32" s="23" t="s">
        <v>32</v>
      </c>
      <c r="F32" s="24">
        <v>0.08</v>
      </c>
      <c r="G32" s="25">
        <f>+$G$31*F32</f>
        <v>5303552.2560000001</v>
      </c>
    </row>
    <row r="33" spans="1:7" ht="40" customHeight="1" x14ac:dyDescent="0.2">
      <c r="A33" s="14"/>
      <c r="B33" s="15"/>
      <c r="C33" s="15"/>
      <c r="D33" s="15"/>
      <c r="E33" s="23" t="s">
        <v>33</v>
      </c>
      <c r="F33" s="24">
        <v>0.05</v>
      </c>
      <c r="G33" s="25">
        <f t="shared" ref="G33:G34" si="3">+$G$31*F33</f>
        <v>3314720.16</v>
      </c>
    </row>
    <row r="34" spans="1:7" ht="40" customHeight="1" x14ac:dyDescent="0.2">
      <c r="A34" s="14"/>
      <c r="B34" s="15"/>
      <c r="C34" s="15"/>
      <c r="D34" s="15"/>
      <c r="E34" s="23" t="s">
        <v>34</v>
      </c>
      <c r="F34" s="24">
        <v>0.05</v>
      </c>
      <c r="G34" s="25">
        <f t="shared" si="3"/>
        <v>3314720.16</v>
      </c>
    </row>
    <row r="35" spans="1:7" ht="40" customHeight="1" x14ac:dyDescent="0.2">
      <c r="A35" s="14"/>
      <c r="B35" s="15"/>
      <c r="C35" s="15"/>
      <c r="D35" s="15"/>
      <c r="E35" s="23" t="s">
        <v>3</v>
      </c>
      <c r="F35" s="24">
        <v>0.19</v>
      </c>
      <c r="G35" s="25">
        <f>+G34*F35</f>
        <v>629796.83040000009</v>
      </c>
    </row>
    <row r="36" spans="1:7" ht="40" customHeight="1" x14ac:dyDescent="0.2">
      <c r="A36" s="14"/>
      <c r="B36" s="15"/>
      <c r="C36" s="15"/>
      <c r="D36" s="15"/>
      <c r="E36" s="48" t="s">
        <v>35</v>
      </c>
      <c r="F36" s="49"/>
      <c r="G36" s="21">
        <f>+G32+G33+G34+G35</f>
        <v>12562789.406400001</v>
      </c>
    </row>
    <row r="37" spans="1:7" ht="40" customHeight="1" x14ac:dyDescent="0.2">
      <c r="A37" s="14"/>
      <c r="B37" s="15"/>
      <c r="C37" s="15"/>
      <c r="D37" s="15"/>
      <c r="E37" s="50" t="s">
        <v>36</v>
      </c>
      <c r="F37" s="51"/>
      <c r="G37" s="22">
        <f>+G31+G36</f>
        <v>78857192.606399998</v>
      </c>
    </row>
    <row r="39" spans="1:7" x14ac:dyDescent="0.2">
      <c r="G39" s="7">
        <f>G37*8.5</f>
        <v>670286137.15439999</v>
      </c>
    </row>
    <row r="40" spans="1:7" x14ac:dyDescent="0.2">
      <c r="G40" s="7">
        <f>G39+270000000</f>
        <v>940286137.15439999</v>
      </c>
    </row>
    <row r="41" spans="1:7" x14ac:dyDescent="0.2">
      <c r="G41" s="1">
        <f>G37/E10</f>
        <v>102067.29563344551</v>
      </c>
    </row>
  </sheetData>
  <mergeCells count="14">
    <mergeCell ref="B9:F9"/>
    <mergeCell ref="B15:F15"/>
    <mergeCell ref="A1:G1"/>
    <mergeCell ref="A2:B2"/>
    <mergeCell ref="F2:G4"/>
    <mergeCell ref="A3:B3"/>
    <mergeCell ref="D3:E3"/>
    <mergeCell ref="A4:B4"/>
    <mergeCell ref="D4:E4"/>
    <mergeCell ref="E36:F36"/>
    <mergeCell ref="E37:F37"/>
    <mergeCell ref="B22:F22"/>
    <mergeCell ref="B29:F29"/>
    <mergeCell ref="E31:F31"/>
  </mergeCells>
  <phoneticPr fontId="14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3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COT. SANTA CLARA PINT. IMP</vt:lpstr>
      <vt:lpstr>'COT. SANTA CLARA PINT. IMP'!Área_de_impresión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2025-03-03T21:27:54Z</cp:lastPrinted>
  <dcterms:created xsi:type="dcterms:W3CDTF">2024-02-08T21:06:52Z</dcterms:created>
  <dcterms:modified xsi:type="dcterms:W3CDTF">2025-09-24T16:48:35Z</dcterms:modified>
  <cp:category/>
  <cp:contentStatus/>
</cp:coreProperties>
</file>