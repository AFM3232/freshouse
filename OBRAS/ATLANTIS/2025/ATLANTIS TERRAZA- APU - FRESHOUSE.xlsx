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B9E566FF-5E3A-45E1-9772-AD7184D7B30C}" xr6:coauthVersionLast="47" xr6:coauthVersionMax="47" xr10:uidLastSave="{00000000-0000-0000-0000-000000000000}"/>
  <bookViews>
    <workbookView xWindow="-108" yWindow="-108" windowWidth="23256" windowHeight="12456" xr2:uid="{73ACC450-E8BD-4D58-8B72-D6A8F5F48B49}"/>
  </bookViews>
  <sheets>
    <sheet name="APU O.G" sheetId="5" r:id="rId1"/>
    <sheet name="RESUMEN APU" sheetId="4" r:id="rId2"/>
  </sheets>
  <definedNames>
    <definedName name="_xlnm.Print_Area" localSheetId="1">'RESUMEN APU'!$A$1:$F$36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8" i="5" l="1"/>
  <c r="E277" i="5"/>
  <c r="E190" i="5"/>
  <c r="E189" i="5"/>
  <c r="E231" i="5"/>
  <c r="E233" i="5" s="1"/>
  <c r="D214" i="5" s="1"/>
  <c r="E214" i="5" s="1"/>
  <c r="E216" i="5" s="1"/>
  <c r="E226" i="5"/>
  <c r="E228" i="5" s="1"/>
  <c r="E219" i="5"/>
  <c r="E223" i="5" s="1"/>
  <c r="E172" i="5"/>
  <c r="E174" i="5" s="1"/>
  <c r="D156" i="5" s="1"/>
  <c r="E156" i="5" s="1"/>
  <c r="E158" i="5" s="1"/>
  <c r="E167" i="5"/>
  <c r="E169" i="5" s="1"/>
  <c r="E143" i="5"/>
  <c r="E145" i="5" s="1"/>
  <c r="D125" i="5" s="1"/>
  <c r="E125" i="5" s="1"/>
  <c r="E127" i="5" s="1"/>
  <c r="E138" i="5"/>
  <c r="E140" i="5" s="1"/>
  <c r="E131" i="5"/>
  <c r="E130" i="5"/>
  <c r="E135" i="5" s="1"/>
  <c r="E102" i="5"/>
  <c r="E67" i="5"/>
  <c r="E73" i="5"/>
  <c r="D72" i="5"/>
  <c r="H13" i="4"/>
  <c r="E235" i="5" l="1"/>
  <c r="D26" i="4" s="1"/>
  <c r="E164" i="5"/>
  <c r="E176" i="5" s="1"/>
  <c r="D24" i="4" s="1"/>
  <c r="E147" i="5"/>
  <c r="D22" i="4" s="1"/>
  <c r="D32" i="4" l="1"/>
  <c r="D23" i="4"/>
  <c r="E379" i="5"/>
  <c r="E381" i="5" s="1"/>
  <c r="D359" i="5" s="1"/>
  <c r="E359" i="5" s="1"/>
  <c r="E361" i="5" s="1"/>
  <c r="E374" i="5"/>
  <c r="E376" i="5" s="1"/>
  <c r="E367" i="5"/>
  <c r="E366" i="5"/>
  <c r="E365" i="5"/>
  <c r="E364" i="5"/>
  <c r="E85" i="5"/>
  <c r="E87" i="5" s="1"/>
  <c r="D66" i="5" s="1"/>
  <c r="E66" i="5" s="1"/>
  <c r="E69" i="5" s="1"/>
  <c r="E80" i="5"/>
  <c r="E82" i="5" s="1"/>
  <c r="E72" i="5"/>
  <c r="E75" i="5" s="1"/>
  <c r="E320" i="5"/>
  <c r="E322" i="5" s="1"/>
  <c r="D303" i="5" s="1"/>
  <c r="E303" i="5" s="1"/>
  <c r="E315" i="5"/>
  <c r="E317" i="5" s="1"/>
  <c r="E310" i="5"/>
  <c r="E312" i="5" s="1"/>
  <c r="E289" i="5"/>
  <c r="E291" i="5" s="1"/>
  <c r="D271" i="5" s="1"/>
  <c r="E271" i="5" s="1"/>
  <c r="E273" i="5" s="1"/>
  <c r="E284" i="5"/>
  <c r="E286" i="5" s="1"/>
  <c r="E276" i="5"/>
  <c r="E281" i="5" s="1"/>
  <c r="E260" i="5"/>
  <c r="E262" i="5" s="1"/>
  <c r="D244" i="5" s="1"/>
  <c r="E244" i="5" s="1"/>
  <c r="E246" i="5" s="1"/>
  <c r="E255" i="5"/>
  <c r="E257" i="5" s="1"/>
  <c r="E203" i="5"/>
  <c r="E205" i="5" s="1"/>
  <c r="D183" i="5" s="1"/>
  <c r="E183" i="5" s="1"/>
  <c r="E185" i="5" s="1"/>
  <c r="E198" i="5"/>
  <c r="E200" i="5" s="1"/>
  <c r="E191" i="5"/>
  <c r="E188" i="5"/>
  <c r="E193" i="5" s="1"/>
  <c r="E114" i="5"/>
  <c r="E116" i="5" s="1"/>
  <c r="D96" i="5" s="1"/>
  <c r="E96" i="5" s="1"/>
  <c r="E98" i="5" s="1"/>
  <c r="E109" i="5"/>
  <c r="E111" i="5" s="1"/>
  <c r="E101" i="5"/>
  <c r="E55" i="5"/>
  <c r="E57" i="5" s="1"/>
  <c r="D36" i="5" s="1"/>
  <c r="E36" i="5" s="1"/>
  <c r="E38" i="5" s="1"/>
  <c r="E50" i="5"/>
  <c r="E52" i="5" s="1"/>
  <c r="E43" i="5"/>
  <c r="E42" i="5"/>
  <c r="E41" i="5"/>
  <c r="E25" i="5"/>
  <c r="E27" i="5" s="1"/>
  <c r="D9" i="5" s="1"/>
  <c r="E9" i="5" s="1"/>
  <c r="E11" i="5" s="1"/>
  <c r="E22" i="5"/>
  <c r="E15" i="5"/>
  <c r="E17" i="5" s="1"/>
  <c r="E47" i="5" l="1"/>
  <c r="E59" i="5" s="1"/>
  <c r="D19" i="4" s="1"/>
  <c r="D17" i="4" s="1"/>
  <c r="E106" i="5"/>
  <c r="E118" i="5" s="1"/>
  <c r="D21" i="4" s="1"/>
  <c r="E305" i="5"/>
  <c r="E324" i="5" s="1"/>
  <c r="D36" i="4" s="1"/>
  <c r="E30" i="4" s="1"/>
  <c r="E293" i="5"/>
  <c r="D34" i="4" s="1"/>
  <c r="E29" i="5"/>
  <c r="D18" i="4" s="1"/>
  <c r="E252" i="5"/>
  <c r="E264" i="5" s="1"/>
  <c r="D31" i="4" s="1"/>
  <c r="E369" i="5"/>
  <c r="E371" i="5" s="1"/>
  <c r="E383" i="5" s="1"/>
  <c r="E195" i="5"/>
  <c r="E207" i="5" s="1"/>
  <c r="D25" i="4" s="1"/>
  <c r="E77" i="5"/>
  <c r="E89" i="5" s="1"/>
  <c r="D20" i="4" s="1"/>
  <c r="D35" i="4" s="1"/>
</calcChain>
</file>

<file path=xl/sharedStrings.xml><?xml version="1.0" encoding="utf-8"?>
<sst xmlns="http://schemas.openxmlformats.org/spreadsheetml/2006/main" count="628" uniqueCount="136">
  <si>
    <t>Item</t>
  </si>
  <si>
    <t>Descripción</t>
  </si>
  <si>
    <t>Und</t>
  </si>
  <si>
    <t>Preliminares de obra</t>
  </si>
  <si>
    <t>M2</t>
  </si>
  <si>
    <t>ML</t>
  </si>
  <si>
    <t>Campamento</t>
  </si>
  <si>
    <t>Gl</t>
  </si>
  <si>
    <t>Señalizacion y Seguridad en Obra</t>
  </si>
  <si>
    <t>Asesoria y/o Consulta Tecnica</t>
  </si>
  <si>
    <t>Impermeabilizacion de Zonas de anterior Grama Sintetica</t>
  </si>
  <si>
    <t xml:space="preserve"> Impermeabilizacion y Mantenimiento Integral a Jardineras de terrazas 2 y 3</t>
  </si>
  <si>
    <t>Impermeabilizacion en area adyacente a la piscina pequeña</t>
  </si>
  <si>
    <t>Impermeabilizacion y Mantenimeinto Integral a Viga Canal de la cubierta de la torre 4</t>
  </si>
  <si>
    <t>Recorrido General a la cubierta de Fibrocemento de la torre 4</t>
  </si>
  <si>
    <t>Recorrido a Canales Perimetrales de Domos de Iluminacion Cenital</t>
  </si>
  <si>
    <t>Recorrido General a Domos de iluminacion Cenital</t>
  </si>
  <si>
    <t>Impermeabilizacion y Tratamiento de Materas</t>
  </si>
  <si>
    <t>Impermeabilizaciónes</t>
  </si>
  <si>
    <t>Impermeabilizacion y Revestimiento de pisos Deck en cuarto de equipos de Piscina y Jacuzzi</t>
  </si>
  <si>
    <t>PROYECTO EDIFICIO ATLANTIS</t>
  </si>
  <si>
    <t>Impermeabilizacion de losas de concreto sobre areas comunes en terrazas 2 y 3 (turco, pto fijo de escalera, etc)</t>
  </si>
  <si>
    <t>Valor</t>
  </si>
  <si>
    <t>EDIFICIO ATLANTIS</t>
  </si>
  <si>
    <t>ITEM</t>
  </si>
  <si>
    <t>UNIDAD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</si>
  <si>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</si>
  <si>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</si>
  <si>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</si>
  <si>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</si>
  <si>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</si>
  <si>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</si>
  <si>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</si>
  <si>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</si>
  <si>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</si>
  <si>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</si>
  <si>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</si>
  <si>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</si>
  <si>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</si>
  <si>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</si>
  <si>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</si>
  <si>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</si>
  <si>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</si>
  <si>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</si>
  <si>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</si>
  <si>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Lamina fibrocemento de 10mm</t>
  </si>
  <si>
    <t>Paral Estructural</t>
  </si>
  <si>
    <t>Canal Estructural</t>
  </si>
  <si>
    <t>Tornillos</t>
  </si>
  <si>
    <t>CUADRILLA 1: 1 Oficial y 1 ayudante</t>
  </si>
  <si>
    <t>ACTIVIDAD: Mortero de alistamiento</t>
  </si>
  <si>
    <t>MorteroListo Impadoc x 40 kg</t>
  </si>
  <si>
    <t xml:space="preserve">Acronal </t>
  </si>
  <si>
    <t>GL</t>
  </si>
  <si>
    <t>Desperdicio 3%</t>
  </si>
  <si>
    <t xml:space="preserve">Acarreo </t>
  </si>
  <si>
    <t>Oficial</t>
  </si>
  <si>
    <t>ACTIVIDAD: Instalación de piso cerámico incluye boquilla</t>
  </si>
  <si>
    <t>Piso cerámico</t>
  </si>
  <si>
    <t>Mortero de pega</t>
  </si>
  <si>
    <t xml:space="preserve">Boquilla </t>
  </si>
  <si>
    <t>Separadores</t>
  </si>
  <si>
    <t>GLB</t>
  </si>
  <si>
    <t>Desperdicio 5%</t>
  </si>
  <si>
    <t>UND</t>
  </si>
  <si>
    <t>Acero de refuerzo</t>
  </si>
  <si>
    <t>Kg</t>
  </si>
  <si>
    <t>Concreto 3500PSI</t>
  </si>
  <si>
    <t>M3</t>
  </si>
  <si>
    <t>APU V - Construccion de rejilla de drenaje en peatonal</t>
  </si>
  <si>
    <t>KG</t>
  </si>
  <si>
    <t>ACTIVIDAD: Impermeabilización de superficie</t>
  </si>
  <si>
    <t>RESUMEN APU</t>
  </si>
  <si>
    <t>II.1</t>
  </si>
  <si>
    <t>II.2</t>
  </si>
  <si>
    <t>II.3</t>
  </si>
  <si>
    <t>II.4</t>
  </si>
  <si>
    <t>II.5</t>
  </si>
  <si>
    <t>II.6</t>
  </si>
  <si>
    <t>II.7</t>
  </si>
  <si>
    <t>II.8</t>
  </si>
  <si>
    <t>II.9</t>
  </si>
  <si>
    <t>II.10</t>
  </si>
  <si>
    <t>UM</t>
  </si>
  <si>
    <t>II</t>
  </si>
  <si>
    <t>I</t>
  </si>
  <si>
    <t>I.1</t>
  </si>
  <si>
    <t>I.2</t>
  </si>
  <si>
    <t>I.3</t>
  </si>
  <si>
    <t>Impermeabilización de superficie</t>
  </si>
  <si>
    <t>II.5.1</t>
  </si>
  <si>
    <t>II.5.2</t>
  </si>
  <si>
    <t>II.5.3</t>
  </si>
  <si>
    <t>II.5.4</t>
  </si>
  <si>
    <t>II.5.5</t>
  </si>
  <si>
    <t>Rasqueteado de superfice de Viga Canal (Retiro de material existente)</t>
  </si>
  <si>
    <t>Corrección de pendientes de Viga Canal</t>
  </si>
  <si>
    <t>II.6.1</t>
  </si>
  <si>
    <t>II.6.2</t>
  </si>
  <si>
    <t>II.6.3</t>
  </si>
  <si>
    <t>Impermeabilización de Viga Canal con Sika Techo E</t>
  </si>
  <si>
    <t>1 Oficial + 1 Ayudante</t>
  </si>
  <si>
    <t>Desmonte de deck existente</t>
  </si>
  <si>
    <t>Mantenimiento integral de la estructura de soporte</t>
  </si>
  <si>
    <t>Instalación de Deck nuevo</t>
  </si>
  <si>
    <t>Adecuación de la compuerta de acceso</t>
  </si>
  <si>
    <t>APUII-5 | Impermeabilizacion y Revestimiento de pisos Deck en cuarto de equipos de Piscina y Jacuzzi</t>
  </si>
  <si>
    <t>Sikalastic 560</t>
  </si>
  <si>
    <t>Sika Felp</t>
  </si>
  <si>
    <t>Equipo Freshouse</t>
  </si>
  <si>
    <t>ACTIVIDAD: Instalación de lámina de fibrocemento</t>
  </si>
  <si>
    <t>Pintuco Fill</t>
  </si>
  <si>
    <t>Ayudante</t>
  </si>
  <si>
    <t>APUII-6 | Impermeabilizacion y Mantenimeinto Integral a Viga Canal de la cubierta de la torre 4</t>
  </si>
  <si>
    <t>Sika Techo E</t>
  </si>
  <si>
    <t>ACTIVIDAD: Mortero de corrección</t>
  </si>
  <si>
    <t xml:space="preserve">Arena Media </t>
  </si>
  <si>
    <t xml:space="preserve">Saco </t>
  </si>
  <si>
    <t>Cemento x 50kg</t>
  </si>
  <si>
    <t>Retiro de tierra y vegetación</t>
  </si>
  <si>
    <t>II.10.1</t>
  </si>
  <si>
    <t>APUII-10 | Impermeabilizacion y Tratamiento de Materas</t>
  </si>
  <si>
    <t>Retiro de tierra y la vegetación</t>
  </si>
  <si>
    <t>II.10.2</t>
  </si>
  <si>
    <t>Corte de matera en concreto</t>
  </si>
  <si>
    <t>II.10.3</t>
  </si>
  <si>
    <t>II.10.4</t>
  </si>
  <si>
    <t>Fundición de placa en matera</t>
  </si>
  <si>
    <t>Impermeabilización de matera general</t>
  </si>
  <si>
    <t>II.10.5</t>
  </si>
  <si>
    <t>2 Ayudante</t>
  </si>
  <si>
    <t>II.10.6</t>
  </si>
  <si>
    <t>Impermeabilización interior matera</t>
  </si>
  <si>
    <t xml:space="preserve">ACTIVIDAD: Pintura exterior de matera con Koraza </t>
  </si>
  <si>
    <t>Koraza Pro 550</t>
  </si>
  <si>
    <t>Aplicación de pintura Koraza en parte exterior matera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</si>
</sst>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0.0"/>
    <numFmt numFmtId="165" formatCode="&quot;$&quot;\ #,##0"/>
    <numFmt numFmtId="166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Swis721 BT"/>
      <family val="2"/>
    </font>
    <font>
      <sz val="12"/>
      <color theme="1"/>
      <name val="Swis721 BT"/>
      <family val="2"/>
    </font>
    <font>
      <b/>
      <sz val="12"/>
      <color theme="0"/>
      <name val="Swis721 BT"/>
      <family val="2"/>
    </font>
    <font>
      <b/>
      <sz val="12"/>
      <name val="Swis721 BT"/>
      <family val="2"/>
    </font>
    <font>
      <sz val="12"/>
      <name val="Swis721 BT"/>
      <family val="2"/>
    </font>
    <font>
      <sz val="11"/>
      <color theme="1"/>
      <name val="Swis721 BT"/>
      <family val="2"/>
    </font>
    <font>
      <sz val="11"/>
      <color rgb="FF000000"/>
      <name val="Swis721 BT"/>
      <family val="2"/>
    </font>
    <font>
      <sz val="11"/>
      <color theme="1"/>
      <name val="Arial"/>
      <family val="2"/>
    </font>
    <font>
      <b/>
      <sz val="11"/>
      <color theme="0"/>
      <name val="Swis721 BT"/>
      <family val="2"/>
    </font>
    <font>
      <sz val="1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sz val="8"/>
      <name val="Calibri"/>
      <family val="2"/>
      <scheme val="minor"/>
    </font>
    <font>
      <b/>
      <sz val="11"/>
      <color theme="1"/>
      <name val="Swis721 BT"/>
      <family val="2"/>
    </font>
    <font>
      <b/>
      <sz val="11"/>
      <color rgb="FF000000"/>
      <name val="Swis721 BT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64A0B0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indexed="64"/>
      </patternFill>
    </fill>
    <fill>
      <patternFill patternType="solid">
        <fgColor rgb="FFF2F2F2"/>
        <bgColor rgb="FF8496B0"/>
      </patternFill>
    </fill>
    <fill>
      <patternFill patternType="solid">
        <fgColor rgb="FFF2F2F2"/>
        <bgColor rgb="FFD6DCE4"/>
      </patternFill>
    </fill>
    <fill>
      <patternFill patternType="solid">
        <fgColor rgb="FFA1C5C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83">
    <xf numFmtId="0" fontId="0" fillId="0" borderId="0" xfId="0"/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44" fontId="6" fillId="0" borderId="0" xfId="1" applyFont="1" applyFill="1" applyBorder="1" applyAlignment="1">
      <alignment horizontal="right" vertical="center"/>
    </xf>
    <xf numFmtId="44" fontId="7" fillId="0" borderId="0" xfId="1" applyFont="1" applyFill="1" applyBorder="1" applyAlignment="1">
      <alignment horizontal="center" vertical="center" wrapText="1"/>
    </xf>
    <xf numFmtId="0" fontId="10" fillId="4" borderId="0" xfId="3" applyFont="1" applyFill="1" applyAlignment="1">
      <alignment horizontal="left" vertical="center"/>
    </xf>
    <xf numFmtId="0" fontId="11" fillId="5" borderId="0" xfId="3" applyFont="1" applyFill="1" applyAlignment="1">
      <alignment vertical="center"/>
    </xf>
    <xf numFmtId="0" fontId="7" fillId="0" borderId="0" xfId="3" applyFont="1" applyAlignment="1">
      <alignment vertical="center"/>
    </xf>
    <xf numFmtId="0" fontId="10" fillId="0" borderId="0" xfId="3" applyFont="1" applyAlignment="1">
      <alignment horizontal="left" vertical="center"/>
    </xf>
    <xf numFmtId="0" fontId="11" fillId="0" borderId="0" xfId="3" applyFont="1" applyAlignment="1">
      <alignment vertical="center"/>
    </xf>
    <xf numFmtId="0" fontId="12" fillId="5" borderId="0" xfId="3" applyFont="1" applyFill="1" applyAlignment="1">
      <alignment horizontal="center" vertical="center"/>
    </xf>
    <xf numFmtId="0" fontId="13" fillId="0" borderId="0" xfId="3" applyFont="1" applyAlignment="1">
      <alignment vertical="center"/>
    </xf>
    <xf numFmtId="0" fontId="14" fillId="6" borderId="0" xfId="3" applyFont="1" applyFill="1" applyAlignment="1">
      <alignment horizontal="center" vertical="center"/>
    </xf>
    <xf numFmtId="0" fontId="14" fillId="8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5" fontId="15" fillId="0" borderId="0" xfId="3" applyNumberFormat="1" applyFont="1" applyAlignment="1">
      <alignment horizontal="right" vertical="center"/>
    </xf>
    <xf numFmtId="165" fontId="14" fillId="9" borderId="0" xfId="3" applyNumberFormat="1" applyFont="1" applyFill="1" applyAlignment="1">
      <alignment horizontal="right" vertical="center"/>
    </xf>
    <xf numFmtId="0" fontId="15" fillId="0" borderId="0" xfId="3" applyFont="1" applyAlignment="1">
      <alignment horizontal="left" vertical="center"/>
    </xf>
    <xf numFmtId="1" fontId="16" fillId="0" borderId="0" xfId="3" applyNumberFormat="1" applyFont="1" applyAlignment="1">
      <alignment horizontal="center" vertical="center"/>
    </xf>
    <xf numFmtId="0" fontId="16" fillId="0" borderId="0" xfId="3" applyFont="1" applyAlignment="1">
      <alignment horizontal="left" vertical="center"/>
    </xf>
    <xf numFmtId="0" fontId="14" fillId="0" borderId="0" xfId="3" applyFont="1" applyAlignment="1">
      <alignment horizontal="right" vertical="center"/>
    </xf>
    <xf numFmtId="0" fontId="15" fillId="0" borderId="0" xfId="3" applyFont="1" applyAlignment="1">
      <alignment vertical="center"/>
    </xf>
    <xf numFmtId="2" fontId="16" fillId="0" borderId="0" xfId="3" applyNumberFormat="1" applyFont="1" applyAlignment="1">
      <alignment horizontal="center" vertical="center"/>
    </xf>
    <xf numFmtId="166" fontId="16" fillId="0" borderId="0" xfId="3" applyNumberFormat="1" applyFont="1" applyAlignment="1">
      <alignment horizontal="center" vertical="center"/>
    </xf>
    <xf numFmtId="164" fontId="15" fillId="0" borderId="0" xfId="3" applyNumberFormat="1" applyFont="1" applyAlignment="1">
      <alignment vertical="center"/>
    </xf>
    <xf numFmtId="165" fontId="15" fillId="0" borderId="0" xfId="3" applyNumberFormat="1" applyFont="1" applyAlignment="1">
      <alignment vertical="center"/>
    </xf>
    <xf numFmtId="0" fontId="12" fillId="4" borderId="0" xfId="3" applyFont="1" applyFill="1" applyAlignment="1">
      <alignment horizontal="center" vertical="center"/>
    </xf>
    <xf numFmtId="164" fontId="16" fillId="0" borderId="0" xfId="3" applyNumberFormat="1" applyFont="1" applyAlignment="1">
      <alignment horizontal="center" vertical="center"/>
    </xf>
    <xf numFmtId="0" fontId="16" fillId="11" borderId="0" xfId="3" applyFont="1" applyFill="1" applyAlignment="1">
      <alignment horizontal="left" vertical="center"/>
    </xf>
    <xf numFmtId="0" fontId="14" fillId="11" borderId="0" xfId="3" applyFont="1" applyFill="1" applyAlignment="1">
      <alignment horizontal="right" vertical="center"/>
    </xf>
    <xf numFmtId="165" fontId="15" fillId="11" borderId="0" xfId="3" applyNumberFormat="1" applyFont="1" applyFill="1" applyAlignment="1">
      <alignment horizontal="right" vertical="center"/>
    </xf>
    <xf numFmtId="0" fontId="10" fillId="12" borderId="0" xfId="3" applyFont="1" applyFill="1" applyAlignment="1">
      <alignment horizontal="left" vertical="center"/>
    </xf>
    <xf numFmtId="0" fontId="11" fillId="13" borderId="0" xfId="3" applyFont="1" applyFill="1" applyAlignment="1">
      <alignment vertical="center"/>
    </xf>
    <xf numFmtId="0" fontId="12" fillId="13" borderId="0" xfId="3" applyFont="1" applyFill="1" applyAlignment="1">
      <alignment horizontal="center" vertical="center"/>
    </xf>
    <xf numFmtId="0" fontId="14" fillId="14" borderId="0" xfId="3" applyFont="1" applyFill="1" applyAlignment="1">
      <alignment horizontal="center" vertical="center"/>
    </xf>
    <xf numFmtId="165" fontId="14" fillId="15" borderId="0" xfId="3" applyNumberFormat="1" applyFont="1" applyFill="1" applyAlignment="1">
      <alignment horizontal="right" vertical="center"/>
    </xf>
    <xf numFmtId="1" fontId="2" fillId="16" borderId="0" xfId="0" applyNumberFormat="1" applyFont="1" applyFill="1" applyAlignment="1">
      <alignment horizontal="center" vertical="center"/>
    </xf>
    <xf numFmtId="0" fontId="2" fillId="16" borderId="0" xfId="0" applyFont="1" applyFill="1" applyAlignment="1">
      <alignment horizontal="left" vertical="center" wrapText="1"/>
    </xf>
    <xf numFmtId="0" fontId="2" fillId="16" borderId="0" xfId="1" applyNumberFormat="1" applyFont="1" applyFill="1" applyBorder="1" applyAlignment="1">
      <alignment horizontal="center" vertical="center"/>
    </xf>
    <xf numFmtId="0" fontId="5" fillId="16" borderId="0" xfId="1" applyNumberFormat="1" applyFont="1" applyFill="1" applyBorder="1" applyAlignment="1">
      <alignment horizontal="right" vertical="center"/>
    </xf>
    <xf numFmtId="44" fontId="5" fillId="16" borderId="0" xfId="1" applyFont="1" applyFill="1" applyBorder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44" fontId="18" fillId="0" borderId="0" xfId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vertical="center" wrapText="1"/>
    </xf>
    <xf numFmtId="44" fontId="18" fillId="2" borderId="0" xfId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vertical="center"/>
    </xf>
    <xf numFmtId="44" fontId="3" fillId="0" borderId="0" xfId="0" applyNumberFormat="1" applyFont="1" applyAlignment="1">
      <alignment vertical="center"/>
    </xf>
    <xf numFmtId="9" fontId="3" fillId="0" borderId="0" xfId="2" applyFont="1" applyAlignment="1">
      <alignment vertical="center"/>
    </xf>
    <xf numFmtId="44" fontId="3" fillId="0" borderId="0" xfId="1" applyFont="1" applyAlignment="1">
      <alignment vertical="center"/>
    </xf>
    <xf numFmtId="0" fontId="15" fillId="5" borderId="0" xfId="3" applyFont="1" applyFill="1" applyAlignment="1">
      <alignment vertical="center"/>
    </xf>
    <xf numFmtId="0" fontId="12" fillId="12" borderId="0" xfId="3" applyFont="1" applyFill="1" applyAlignment="1">
      <alignment horizontal="center" vertical="center"/>
    </xf>
    <xf numFmtId="0" fontId="14" fillId="9" borderId="0" xfId="3" applyFont="1" applyFill="1" applyAlignment="1">
      <alignment horizontal="right" vertical="center"/>
    </xf>
    <xf numFmtId="0" fontId="13" fillId="10" borderId="0" xfId="3" applyFont="1" applyFill="1" applyAlignment="1">
      <alignment vertical="center"/>
    </xf>
    <xf numFmtId="0" fontId="12" fillId="7" borderId="0" xfId="3" applyFont="1" applyFill="1" applyAlignment="1">
      <alignment horizontal="left" vertical="center"/>
    </xf>
    <xf numFmtId="0" fontId="13" fillId="3" borderId="0" xfId="3" applyFont="1" applyFill="1" applyAlignment="1">
      <alignment vertical="center"/>
    </xf>
    <xf numFmtId="0" fontId="14" fillId="15" borderId="0" xfId="3" applyFont="1" applyFill="1" applyAlignment="1">
      <alignment horizontal="right" vertical="center"/>
    </xf>
    <xf numFmtId="0" fontId="12" fillId="5" borderId="0" xfId="3" applyFont="1" applyFill="1" applyAlignment="1">
      <alignment horizontal="left" vertical="center"/>
    </xf>
    <xf numFmtId="0" fontId="13" fillId="5" borderId="0" xfId="3" applyFont="1" applyFill="1" applyAlignment="1">
      <alignment vertical="center"/>
    </xf>
    <xf numFmtId="0" fontId="14" fillId="0" borderId="0" xfId="3" applyFont="1" applyAlignment="1">
      <alignment horizontal="center"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horizontal="right" vertical="center"/>
    </xf>
    <xf numFmtId="0" fontId="12" fillId="4" borderId="0" xfId="3" applyFont="1" applyFill="1" applyAlignment="1">
      <alignment horizontal="left" vertical="center"/>
    </xf>
    <xf numFmtId="0" fontId="14" fillId="11" borderId="0" xfId="3" applyFont="1" applyFill="1" applyAlignment="1">
      <alignment horizontal="right" vertical="center"/>
    </xf>
    <xf numFmtId="0" fontId="12" fillId="13" borderId="0" xfId="3" applyFont="1" applyFill="1" applyAlignment="1">
      <alignment horizontal="left" vertical="center"/>
    </xf>
    <xf numFmtId="0" fontId="13" fillId="13" borderId="0" xfId="3" applyFont="1" applyFill="1" applyAlignment="1">
      <alignment vertical="center"/>
    </xf>
    <xf numFmtId="0" fontId="13" fillId="2" borderId="0" xfId="3" applyFont="1" applyFill="1" applyAlignment="1">
      <alignment vertical="center"/>
    </xf>
    <xf numFmtId="0" fontId="10" fillId="4" borderId="0" xfId="3" applyFont="1" applyFill="1" applyAlignment="1">
      <alignment horizontal="left" vertical="center"/>
    </xf>
    <xf numFmtId="0" fontId="11" fillId="5" borderId="0" xfId="3" applyFont="1" applyFill="1" applyAlignment="1">
      <alignment vertical="center"/>
    </xf>
  </cellXfs>
  <cellStyles count="4">
    <cellStyle name="Moneda" xfId="1" builtinId="4"/>
    <cellStyle name="Normal" xfId="0" builtinId="0"/>
    <cellStyle name="Normal 2" xfId="3" xr:uid="{B143FD76-0802-4585-AE73-94C33436F6B6}"/>
    <cellStyle name="Porcentaje" xfId="2" builtinId="5"/>
  </cellStyles>
  <dxfs count="0"/>
  <tableStyles count="0" defaultTableStyle="TableStyleMedium2" defaultPivotStyle="PivotStyleLight16"/>
  <colors>
    <mruColors>
      <color rgb="FFFF7B89"/>
      <color rgb="FFF2F2F2"/>
      <color rgb="FF315761"/>
      <color rgb="FF447684"/>
      <color rgb="FFA1C5CF"/>
      <color rgb="FF64A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E4A8-A4C0-48C0-B734-428719D3838D}">
  <dimension ref="A1:G383"/>
  <sheetViews>
    <sheetView tabSelected="1" topLeftCell="A322" zoomScale="90" zoomScaleNormal="90" workbookViewId="0">
      <selection activeCell="A3" sqref="A3:E324"/>
    </sheetView>
  </sheetViews>
  <sheetFormatPr baseColWidth="10" defaultColWidth="14.44140625" defaultRowHeight="18" customHeight="1" x14ac:dyDescent="0.3"/>
  <cols>
    <col min="1" max="1" width="37.44140625" style="27" customWidth="1"/>
    <col min="2" max="2" width="12.109375" style="27" customWidth="1"/>
    <col min="3" max="5" width="18.6640625" style="27" customWidth="1"/>
    <col min="6" max="6" width="15.44140625" style="27" customWidth="1"/>
    <col min="7" max="7" width="18.77734375" style="27" customWidth="1"/>
    <col min="8" max="8" width="11.44140625" style="27" customWidth="1"/>
    <col min="9" max="9" width="14.109375" style="27" customWidth="1"/>
    <col min="10" max="26" width="10.6640625" style="27" customWidth="1"/>
    <col min="27" max="16384" width="14.44140625" style="27"/>
  </cols>
  <sheetData>
    <row r="1" spans="1:5" s="12" customFormat="1" ht="20.100000000000001" customHeight="1" x14ac:dyDescent="0.3">
      <c r="A1" s="81" t="s">
        <v>23</v>
      </c>
      <c r="B1" s="82"/>
      <c r="C1" s="82"/>
      <c r="D1" s="82"/>
      <c r="E1" s="82"/>
    </row>
    <row r="2" spans="1:5" s="12" customFormat="1" ht="20.100000000000001" customHeight="1" x14ac:dyDescent="0.3">
      <c r="A2" s="13"/>
      <c r="B2" s="14"/>
      <c r="C2" s="14"/>
      <c r="D2" s="14"/>
      <c r="E2" s="14"/>
    </row>
    <row r="3" spans="1:5" s="12" customFormat="1" ht="33.6" customHeight="1" x14ac:dyDescent="0.3">
      <c r="A3" s="10" t="s">
        <v>106</v>
      </c>
      <c r="B3" s="11"/>
      <c r="C3" s="11"/>
      <c r="D3" s="11"/>
      <c r="E3" s="11"/>
    </row>
    <row r="4" spans="1:5" s="12" customFormat="1" ht="20.100000000000001" customHeight="1" x14ac:dyDescent="0.3">
      <c r="A4" s="13"/>
      <c r="B4" s="14"/>
      <c r="C4" s="14"/>
      <c r="D4" s="14"/>
      <c r="E4" s="14"/>
    </row>
    <row r="5" spans="1:5" s="12" customFormat="1" ht="20.100000000000001" customHeight="1" x14ac:dyDescent="0.3">
      <c r="A5" s="71" t="s">
        <v>102</v>
      </c>
      <c r="B5" s="72"/>
      <c r="C5" s="72"/>
      <c r="D5" s="15" t="s">
        <v>24</v>
      </c>
      <c r="E5" s="15" t="s">
        <v>90</v>
      </c>
    </row>
    <row r="6" spans="1:5" s="12" customFormat="1" ht="20.100000000000001" customHeight="1" x14ac:dyDescent="0.3">
      <c r="A6" s="73"/>
      <c r="B6" s="74"/>
      <c r="C6" s="74"/>
      <c r="D6" s="40" t="s">
        <v>25</v>
      </c>
      <c r="E6" s="40" t="s">
        <v>4</v>
      </c>
    </row>
    <row r="7" spans="1:5" s="12" customFormat="1" ht="20.100000000000001" customHeight="1" x14ac:dyDescent="0.3">
      <c r="A7" s="68" t="s">
        <v>26</v>
      </c>
      <c r="B7" s="69"/>
      <c r="C7" s="69"/>
      <c r="D7" s="69"/>
      <c r="E7" s="69"/>
    </row>
    <row r="8" spans="1:5" s="12" customFormat="1" ht="20.100000000000001" customHeight="1" x14ac:dyDescent="0.3">
      <c r="A8" s="40" t="s">
        <v>27</v>
      </c>
      <c r="B8" s="40" t="s">
        <v>25</v>
      </c>
      <c r="C8" s="40" t="s">
        <v>28</v>
      </c>
      <c r="D8" s="40" t="s">
        <v>29</v>
      </c>
      <c r="E8" s="40" t="s">
        <v>30</v>
      </c>
    </row>
    <row r="9" spans="1:5" s="12" customFormat="1" ht="20.100000000000001" customHeight="1" x14ac:dyDescent="0.3">
      <c r="A9" s="19" t="s">
        <v>31</v>
      </c>
      <c r="B9" s="19" t="s">
        <v>32</v>
      </c>
      <c r="C9" s="20">
        <v>0.1</v>
      </c>
      <c r="D9" s="21">
        <f>E27</f>
        <v>3714.2857142857142</v>
      </c>
      <c r="E9" s="21">
        <f>C9*D9</f>
        <v>371.42857142857144</v>
      </c>
    </row>
    <row r="10" spans="1:5" s="12" customFormat="1" ht="20.100000000000001" customHeight="1" x14ac:dyDescent="0.3">
      <c r="A10" s="19"/>
      <c r="B10" s="19"/>
      <c r="C10" s="19"/>
      <c r="D10" s="21"/>
      <c r="E10" s="21"/>
    </row>
    <row r="11" spans="1:5" s="12" customFormat="1" ht="20.100000000000001" customHeight="1" x14ac:dyDescent="0.3">
      <c r="A11" s="70" t="s">
        <v>33</v>
      </c>
      <c r="B11" s="80"/>
      <c r="C11" s="80"/>
      <c r="D11" s="80"/>
      <c r="E11" s="41">
        <f>SUM(E9:E9)</f>
        <v>371.42857142857144</v>
      </c>
    </row>
    <row r="12" spans="1:5" s="12" customFormat="1" ht="20.100000000000001" customHeight="1" x14ac:dyDescent="0.3">
      <c r="A12" s="68" t="s">
        <v>34</v>
      </c>
      <c r="B12" s="69"/>
      <c r="C12" s="69"/>
      <c r="D12" s="69"/>
      <c r="E12" s="69"/>
    </row>
    <row r="13" spans="1:5" s="12" customFormat="1" ht="20.100000000000001" customHeight="1" x14ac:dyDescent="0.3">
      <c r="A13" s="40" t="s">
        <v>27</v>
      </c>
      <c r="B13" s="40" t="s">
        <v>25</v>
      </c>
      <c r="C13" s="40" t="s">
        <v>35</v>
      </c>
      <c r="D13" s="40" t="s">
        <v>36</v>
      </c>
      <c r="E13" s="40" t="s">
        <v>30</v>
      </c>
    </row>
    <row r="14" spans="1:5" s="12" customFormat="1" ht="20.100000000000001" customHeight="1" x14ac:dyDescent="0.3">
      <c r="A14" s="23"/>
      <c r="B14" s="19"/>
      <c r="C14" s="24"/>
      <c r="D14" s="21"/>
      <c r="E14" s="21"/>
    </row>
    <row r="15" spans="1:5" s="12" customFormat="1" ht="20.100000000000001" customHeight="1" x14ac:dyDescent="0.3">
      <c r="A15" s="25" t="s">
        <v>37</v>
      </c>
      <c r="B15" s="75"/>
      <c r="C15" s="74"/>
      <c r="D15" s="74"/>
      <c r="E15" s="21">
        <f>SUM(E14:E14)*0.02</f>
        <v>0</v>
      </c>
    </row>
    <row r="16" spans="1:5" s="12" customFormat="1" ht="20.100000000000001" customHeight="1" x14ac:dyDescent="0.3">
      <c r="A16" s="25"/>
      <c r="B16" s="26"/>
      <c r="C16" s="16"/>
      <c r="D16" s="16"/>
      <c r="E16" s="21"/>
    </row>
    <row r="17" spans="1:5" s="12" customFormat="1" ht="20.100000000000001" customHeight="1" x14ac:dyDescent="0.3">
      <c r="A17" s="70" t="s">
        <v>33</v>
      </c>
      <c r="B17" s="80"/>
      <c r="C17" s="80"/>
      <c r="D17" s="80"/>
      <c r="E17" s="41">
        <f>SUM(E14:E15)</f>
        <v>0</v>
      </c>
    </row>
    <row r="18" spans="1:5" s="12" customFormat="1" ht="20.100000000000001" customHeight="1" x14ac:dyDescent="0.3">
      <c r="A18" s="68" t="s">
        <v>38</v>
      </c>
      <c r="B18" s="69"/>
      <c r="C18" s="69"/>
      <c r="D18" s="69"/>
      <c r="E18" s="69"/>
    </row>
    <row r="19" spans="1:5" s="12" customFormat="1" ht="20.100000000000001" customHeight="1" x14ac:dyDescent="0.3">
      <c r="A19" s="40" t="s">
        <v>27</v>
      </c>
      <c r="B19" s="40" t="s">
        <v>25</v>
      </c>
      <c r="C19" s="40" t="s">
        <v>28</v>
      </c>
      <c r="D19" s="40" t="s">
        <v>29</v>
      </c>
      <c r="E19" s="40" t="s">
        <v>30</v>
      </c>
    </row>
    <row r="20" spans="1:5" s="12" customFormat="1" ht="20.100000000000001" customHeight="1" x14ac:dyDescent="0.3">
      <c r="A20" s="23" t="s">
        <v>39</v>
      </c>
      <c r="B20" s="19" t="s">
        <v>40</v>
      </c>
      <c r="C20" s="20">
        <v>0</v>
      </c>
      <c r="D20" s="21">
        <v>0</v>
      </c>
      <c r="E20" s="21">
        <v>0</v>
      </c>
    </row>
    <row r="21" spans="1:5" s="12" customFormat="1" ht="20.100000000000001" customHeight="1" x14ac:dyDescent="0.3">
      <c r="A21" s="23"/>
      <c r="B21" s="19"/>
      <c r="C21" s="20"/>
      <c r="D21" s="21"/>
      <c r="E21" s="21"/>
    </row>
    <row r="22" spans="1:5" s="12" customFormat="1" ht="20.100000000000001" customHeight="1" x14ac:dyDescent="0.3">
      <c r="A22" s="70" t="s">
        <v>33</v>
      </c>
      <c r="B22" s="80"/>
      <c r="C22" s="80"/>
      <c r="D22" s="80"/>
      <c r="E22" s="41">
        <f>SUM(E20)</f>
        <v>0</v>
      </c>
    </row>
    <row r="23" spans="1:5" s="12" customFormat="1" ht="20.100000000000001" customHeight="1" x14ac:dyDescent="0.3">
      <c r="A23" s="68" t="s">
        <v>41</v>
      </c>
      <c r="B23" s="69"/>
      <c r="C23" s="69"/>
      <c r="D23" s="69"/>
      <c r="E23" s="69"/>
    </row>
    <row r="24" spans="1:5" s="12" customFormat="1" ht="20.100000000000001" customHeight="1" x14ac:dyDescent="0.3">
      <c r="A24" s="40" t="s">
        <v>27</v>
      </c>
      <c r="B24" s="40" t="s">
        <v>25</v>
      </c>
      <c r="C24" s="40" t="s">
        <v>28</v>
      </c>
      <c r="D24" s="40" t="s">
        <v>42</v>
      </c>
      <c r="E24" s="40" t="s">
        <v>30</v>
      </c>
    </row>
    <row r="25" spans="1:5" s="12" customFormat="1" ht="20.100000000000001" customHeight="1" x14ac:dyDescent="0.3">
      <c r="A25" s="23" t="s">
        <v>101</v>
      </c>
      <c r="B25" s="19" t="s">
        <v>40</v>
      </c>
      <c r="C25" s="20">
        <v>35</v>
      </c>
      <c r="D25" s="21">
        <v>130000</v>
      </c>
      <c r="E25" s="21">
        <f>D25/C25</f>
        <v>3714.2857142857142</v>
      </c>
    </row>
    <row r="26" spans="1:5" s="12" customFormat="1" ht="20.100000000000001" customHeight="1" x14ac:dyDescent="0.3">
      <c r="A26" s="23"/>
      <c r="B26" s="19"/>
      <c r="C26" s="20"/>
      <c r="D26" s="21"/>
      <c r="E26" s="21"/>
    </row>
    <row r="27" spans="1:5" s="12" customFormat="1" ht="20.100000000000001" customHeight="1" x14ac:dyDescent="0.3">
      <c r="A27" s="70" t="s">
        <v>33</v>
      </c>
      <c r="B27" s="80"/>
      <c r="C27" s="80"/>
      <c r="D27" s="80"/>
      <c r="E27" s="41">
        <f>SUM(E25)</f>
        <v>3714.2857142857142</v>
      </c>
    </row>
    <row r="28" spans="1:5" s="12" customFormat="1" ht="20.100000000000001" customHeight="1" x14ac:dyDescent="0.3">
      <c r="A28" s="19"/>
      <c r="B28" s="16"/>
      <c r="C28" s="16"/>
      <c r="D28" s="16"/>
      <c r="E28" s="16"/>
    </row>
    <row r="29" spans="1:5" s="12" customFormat="1" ht="20.100000000000001" customHeight="1" x14ac:dyDescent="0.3">
      <c r="A29" s="70" t="s">
        <v>44</v>
      </c>
      <c r="B29" s="80"/>
      <c r="C29" s="80"/>
      <c r="D29" s="80"/>
      <c r="E29" s="41">
        <f>SUM(E11,E17,E22,E27)</f>
        <v>4085.7142857142858</v>
      </c>
    </row>
    <row r="30" spans="1:5" s="12" customFormat="1" ht="20.100000000000001" customHeight="1" x14ac:dyDescent="0.3">
      <c r="A30" s="13"/>
      <c r="B30" s="14"/>
      <c r="C30" s="14"/>
      <c r="D30" s="14"/>
      <c r="E30" s="14"/>
    </row>
    <row r="31" spans="1:5" s="12" customFormat="1" ht="20.100000000000001" customHeight="1" x14ac:dyDescent="0.3">
      <c r="A31" s="13"/>
      <c r="B31" s="14"/>
      <c r="C31" s="14"/>
      <c r="D31" s="14"/>
      <c r="E31" s="14"/>
    </row>
    <row r="32" spans="1:5" ht="18" customHeight="1" x14ac:dyDescent="0.3">
      <c r="A32" s="71" t="s">
        <v>103</v>
      </c>
      <c r="B32" s="72"/>
      <c r="C32" s="72"/>
      <c r="D32" s="15" t="s">
        <v>24</v>
      </c>
      <c r="E32" s="15" t="s">
        <v>91</v>
      </c>
    </row>
    <row r="33" spans="1:5" ht="18" customHeight="1" x14ac:dyDescent="0.3">
      <c r="A33" s="73"/>
      <c r="B33" s="74"/>
      <c r="C33" s="74"/>
      <c r="D33" s="17" t="s">
        <v>25</v>
      </c>
      <c r="E33" s="17" t="s">
        <v>4</v>
      </c>
    </row>
    <row r="34" spans="1:5" ht="18" customHeight="1" x14ac:dyDescent="0.3">
      <c r="A34" s="68" t="s">
        <v>26</v>
      </c>
      <c r="B34" s="69"/>
      <c r="C34" s="69"/>
      <c r="D34" s="69"/>
      <c r="E34" s="69"/>
    </row>
    <row r="35" spans="1:5" ht="18" customHeight="1" x14ac:dyDescent="0.3">
      <c r="A35" s="18" t="s">
        <v>27</v>
      </c>
      <c r="B35" s="18" t="s">
        <v>25</v>
      </c>
      <c r="C35" s="18" t="s">
        <v>28</v>
      </c>
      <c r="D35" s="18" t="s">
        <v>29</v>
      </c>
      <c r="E35" s="18" t="s">
        <v>30</v>
      </c>
    </row>
    <row r="36" spans="1:5" ht="18" customHeight="1" x14ac:dyDescent="0.3">
      <c r="A36" s="19" t="s">
        <v>31</v>
      </c>
      <c r="B36" s="19" t="s">
        <v>32</v>
      </c>
      <c r="C36" s="20">
        <v>0.05</v>
      </c>
      <c r="D36" s="21">
        <f>E57</f>
        <v>4666.666666666667</v>
      </c>
      <c r="E36" s="21">
        <f>C36*D36</f>
        <v>233.33333333333337</v>
      </c>
    </row>
    <row r="37" spans="1:5" ht="18" customHeight="1" x14ac:dyDescent="0.3">
      <c r="A37" s="19"/>
      <c r="B37" s="19"/>
      <c r="C37" s="19"/>
      <c r="D37" s="21"/>
      <c r="E37" s="21"/>
    </row>
    <row r="38" spans="1:5" ht="18" customHeight="1" x14ac:dyDescent="0.3">
      <c r="A38" s="66" t="s">
        <v>33</v>
      </c>
      <c r="B38" s="67"/>
      <c r="C38" s="67"/>
      <c r="D38" s="67"/>
      <c r="E38" s="22">
        <f>SUM(E36:E36)</f>
        <v>233.33333333333337</v>
      </c>
    </row>
    <row r="39" spans="1:5" ht="18" customHeight="1" x14ac:dyDescent="0.3">
      <c r="A39" s="68" t="s">
        <v>34</v>
      </c>
      <c r="B39" s="69"/>
      <c r="C39" s="69"/>
      <c r="D39" s="69"/>
      <c r="E39" s="69"/>
    </row>
    <row r="40" spans="1:5" ht="18" customHeight="1" x14ac:dyDescent="0.3">
      <c r="A40" s="18" t="s">
        <v>27</v>
      </c>
      <c r="B40" s="18" t="s">
        <v>25</v>
      </c>
      <c r="C40" s="18" t="s">
        <v>35</v>
      </c>
      <c r="D40" s="18" t="s">
        <v>36</v>
      </c>
      <c r="E40" s="18" t="s">
        <v>30</v>
      </c>
    </row>
    <row r="41" spans="1:5" ht="18" customHeight="1" x14ac:dyDescent="0.3">
      <c r="A41" s="23" t="s">
        <v>46</v>
      </c>
      <c r="B41" s="19" t="s">
        <v>2</v>
      </c>
      <c r="C41" s="33">
        <v>0.60602656641603547</v>
      </c>
      <c r="D41" s="21">
        <v>9500</v>
      </c>
      <c r="E41" s="21">
        <f>C41*D41</f>
        <v>5757.2523809523373</v>
      </c>
    </row>
    <row r="42" spans="1:5" ht="18" customHeight="1" x14ac:dyDescent="0.3">
      <c r="A42" s="23" t="s">
        <v>47</v>
      </c>
      <c r="B42" s="19" t="s">
        <v>2</v>
      </c>
      <c r="C42" s="33">
        <v>0.60609999999999997</v>
      </c>
      <c r="D42" s="21">
        <v>9000</v>
      </c>
      <c r="E42" s="21">
        <f>C42*D42</f>
        <v>5454.9</v>
      </c>
    </row>
    <row r="43" spans="1:5" ht="18" customHeight="1" x14ac:dyDescent="0.3">
      <c r="A43" s="23" t="s">
        <v>48</v>
      </c>
      <c r="B43" s="19" t="s">
        <v>2</v>
      </c>
      <c r="C43" s="24">
        <v>50</v>
      </c>
      <c r="D43" s="21">
        <v>40</v>
      </c>
      <c r="E43" s="21">
        <f>C43*D43</f>
        <v>2000</v>
      </c>
    </row>
    <row r="44" spans="1:5" ht="18" customHeight="1" x14ac:dyDescent="0.3">
      <c r="A44" s="23"/>
      <c r="B44" s="19"/>
      <c r="C44" s="29"/>
      <c r="D44" s="21"/>
      <c r="E44" s="21"/>
    </row>
    <row r="45" spans="1:5" ht="18" customHeight="1" x14ac:dyDescent="0.3">
      <c r="A45" s="25" t="s">
        <v>37</v>
      </c>
      <c r="B45" s="75"/>
      <c r="C45" s="74"/>
      <c r="D45" s="74"/>
      <c r="E45" s="21">
        <v>0</v>
      </c>
    </row>
    <row r="46" spans="1:5" ht="18" customHeight="1" x14ac:dyDescent="0.3">
      <c r="A46" s="25"/>
      <c r="B46" s="26"/>
      <c r="C46" s="16"/>
      <c r="D46" s="16"/>
      <c r="E46" s="21"/>
    </row>
    <row r="47" spans="1:5" ht="18" customHeight="1" x14ac:dyDescent="0.3">
      <c r="A47" s="66" t="s">
        <v>33</v>
      </c>
      <c r="B47" s="67"/>
      <c r="C47" s="67"/>
      <c r="D47" s="67"/>
      <c r="E47" s="22">
        <f>SUM(E41:E45)</f>
        <v>13212.152380952337</v>
      </c>
    </row>
    <row r="48" spans="1:5" ht="18" customHeight="1" x14ac:dyDescent="0.3">
      <c r="A48" s="68" t="s">
        <v>38</v>
      </c>
      <c r="B48" s="69"/>
      <c r="C48" s="69"/>
      <c r="D48" s="69"/>
      <c r="E48" s="69"/>
    </row>
    <row r="49" spans="1:7" ht="18" customHeight="1" x14ac:dyDescent="0.3">
      <c r="A49" s="18" t="s">
        <v>27</v>
      </c>
      <c r="B49" s="18" t="s">
        <v>25</v>
      </c>
      <c r="C49" s="18" t="s">
        <v>28</v>
      </c>
      <c r="D49" s="18" t="s">
        <v>29</v>
      </c>
      <c r="E49" s="18" t="s">
        <v>30</v>
      </c>
    </row>
    <row r="50" spans="1:7" ht="18" customHeight="1" x14ac:dyDescent="0.3">
      <c r="A50" s="23" t="s">
        <v>39</v>
      </c>
      <c r="B50" s="19" t="s">
        <v>40</v>
      </c>
      <c r="C50" s="28">
        <v>1.9349999999999999E-2</v>
      </c>
      <c r="D50" s="21">
        <v>60000</v>
      </c>
      <c r="E50" s="21">
        <f>D50*C50</f>
        <v>1161</v>
      </c>
      <c r="G50" s="30"/>
    </row>
    <row r="51" spans="1:7" ht="18" customHeight="1" x14ac:dyDescent="0.3">
      <c r="A51" s="23"/>
      <c r="B51" s="19"/>
      <c r="C51" s="20"/>
      <c r="D51" s="21"/>
      <c r="E51" s="21"/>
    </row>
    <row r="52" spans="1:7" ht="18" customHeight="1" x14ac:dyDescent="0.3">
      <c r="A52" s="66" t="s">
        <v>33</v>
      </c>
      <c r="B52" s="67"/>
      <c r="C52" s="67"/>
      <c r="D52" s="67"/>
      <c r="E52" s="22">
        <f>SUM(E50)</f>
        <v>1161</v>
      </c>
    </row>
    <row r="53" spans="1:7" ht="18" customHeight="1" x14ac:dyDescent="0.3">
      <c r="A53" s="68" t="s">
        <v>41</v>
      </c>
      <c r="B53" s="69"/>
      <c r="C53" s="69"/>
      <c r="D53" s="69"/>
      <c r="E53" s="69"/>
    </row>
    <row r="54" spans="1:7" ht="18" customHeight="1" x14ac:dyDescent="0.3">
      <c r="A54" s="18" t="s">
        <v>27</v>
      </c>
      <c r="B54" s="18" t="s">
        <v>25</v>
      </c>
      <c r="C54" s="18" t="s">
        <v>28</v>
      </c>
      <c r="D54" s="18" t="s">
        <v>42</v>
      </c>
      <c r="E54" s="18" t="s">
        <v>30</v>
      </c>
    </row>
    <row r="55" spans="1:7" ht="18" customHeight="1" x14ac:dyDescent="0.3">
      <c r="A55" s="23" t="s">
        <v>49</v>
      </c>
      <c r="B55" s="19" t="s">
        <v>40</v>
      </c>
      <c r="C55" s="20">
        <v>45</v>
      </c>
      <c r="D55" s="21">
        <v>210000</v>
      </c>
      <c r="E55" s="21">
        <f>D55/C55</f>
        <v>4666.666666666667</v>
      </c>
    </row>
    <row r="56" spans="1:7" ht="18" customHeight="1" x14ac:dyDescent="0.3">
      <c r="A56" s="23"/>
      <c r="B56" s="19"/>
      <c r="C56" s="20"/>
      <c r="D56" s="21"/>
      <c r="E56" s="21"/>
    </row>
    <row r="57" spans="1:7" ht="18" customHeight="1" x14ac:dyDescent="0.3">
      <c r="A57" s="66" t="s">
        <v>33</v>
      </c>
      <c r="B57" s="67"/>
      <c r="C57" s="67"/>
      <c r="D57" s="67"/>
      <c r="E57" s="22">
        <f>SUM(E55)</f>
        <v>4666.666666666667</v>
      </c>
    </row>
    <row r="58" spans="1:7" ht="18" customHeight="1" x14ac:dyDescent="0.3">
      <c r="A58" s="19"/>
      <c r="B58" s="16"/>
      <c r="C58" s="16"/>
      <c r="D58" s="16"/>
      <c r="E58" s="16"/>
    </row>
    <row r="59" spans="1:7" ht="18" customHeight="1" x14ac:dyDescent="0.3">
      <c r="A59" s="66" t="s">
        <v>44</v>
      </c>
      <c r="B59" s="67"/>
      <c r="C59" s="67"/>
      <c r="D59" s="67"/>
      <c r="E59" s="22">
        <f>SUM(E38,E47,E52,E57)</f>
        <v>19273.152380952339</v>
      </c>
    </row>
    <row r="62" spans="1:7" ht="26.4" customHeight="1" x14ac:dyDescent="0.3">
      <c r="A62" s="76" t="s">
        <v>71</v>
      </c>
      <c r="B62" s="76"/>
      <c r="C62" s="76"/>
      <c r="D62" s="32" t="s">
        <v>24</v>
      </c>
      <c r="E62" s="15" t="s">
        <v>92</v>
      </c>
    </row>
    <row r="63" spans="1:7" ht="18" customHeight="1" x14ac:dyDescent="0.3">
      <c r="A63" s="73"/>
      <c r="B63" s="73"/>
      <c r="C63" s="73"/>
      <c r="D63" s="17" t="s">
        <v>25</v>
      </c>
      <c r="E63" s="17" t="s">
        <v>4</v>
      </c>
    </row>
    <row r="64" spans="1:7" ht="18" customHeight="1" x14ac:dyDescent="0.3">
      <c r="A64" s="68" t="s">
        <v>26</v>
      </c>
      <c r="B64" s="68"/>
      <c r="C64" s="68"/>
      <c r="D64" s="68"/>
      <c r="E64" s="68"/>
    </row>
    <row r="65" spans="1:5" ht="18" customHeight="1" x14ac:dyDescent="0.3">
      <c r="A65" s="18" t="s">
        <v>27</v>
      </c>
      <c r="B65" s="18" t="s">
        <v>25</v>
      </c>
      <c r="C65" s="18" t="s">
        <v>28</v>
      </c>
      <c r="D65" s="18" t="s">
        <v>29</v>
      </c>
      <c r="E65" s="18" t="s">
        <v>30</v>
      </c>
    </row>
    <row r="66" spans="1:5" ht="18" customHeight="1" x14ac:dyDescent="0.3">
      <c r="A66" s="19" t="s">
        <v>31</v>
      </c>
      <c r="B66" s="19" t="s">
        <v>32</v>
      </c>
      <c r="C66" s="20">
        <v>0.1</v>
      </c>
      <c r="D66" s="21">
        <f>E87</f>
        <v>8666.6666666666661</v>
      </c>
      <c r="E66" s="21">
        <f>C66*D66</f>
        <v>866.66666666666663</v>
      </c>
    </row>
    <row r="67" spans="1:5" ht="18" customHeight="1" x14ac:dyDescent="0.3">
      <c r="A67" s="19" t="s">
        <v>109</v>
      </c>
      <c r="B67" s="19" t="s">
        <v>40</v>
      </c>
      <c r="C67" s="20">
        <v>0.1</v>
      </c>
      <c r="D67" s="21">
        <v>25000</v>
      </c>
      <c r="E67" s="21">
        <f>C67*D67</f>
        <v>2500</v>
      </c>
    </row>
    <row r="68" spans="1:5" ht="18" customHeight="1" x14ac:dyDescent="0.3">
      <c r="A68" s="19"/>
      <c r="B68" s="19"/>
      <c r="C68" s="19"/>
      <c r="D68" s="21"/>
      <c r="E68" s="21"/>
    </row>
    <row r="69" spans="1:5" ht="18" customHeight="1" x14ac:dyDescent="0.3">
      <c r="A69" s="66" t="s">
        <v>33</v>
      </c>
      <c r="B69" s="66"/>
      <c r="C69" s="66"/>
      <c r="D69" s="66"/>
      <c r="E69" s="22">
        <f>SUM(E66:E67)</f>
        <v>3366.6666666666665</v>
      </c>
    </row>
    <row r="70" spans="1:5" ht="18" customHeight="1" x14ac:dyDescent="0.3">
      <c r="A70" s="68" t="s">
        <v>34</v>
      </c>
      <c r="B70" s="68"/>
      <c r="C70" s="68"/>
      <c r="D70" s="68"/>
      <c r="E70" s="68"/>
    </row>
    <row r="71" spans="1:5" ht="18" customHeight="1" x14ac:dyDescent="0.3">
      <c r="A71" s="18" t="s">
        <v>27</v>
      </c>
      <c r="B71" s="18" t="s">
        <v>25</v>
      </c>
      <c r="C71" s="18" t="s">
        <v>35</v>
      </c>
      <c r="D71" s="18" t="s">
        <v>36</v>
      </c>
      <c r="E71" s="18" t="s">
        <v>30</v>
      </c>
    </row>
    <row r="72" spans="1:5" ht="18" customHeight="1" x14ac:dyDescent="0.3">
      <c r="A72" s="23" t="s">
        <v>107</v>
      </c>
      <c r="B72" s="19" t="s">
        <v>70</v>
      </c>
      <c r="C72" s="33">
        <v>1.5</v>
      </c>
      <c r="D72" s="21">
        <f>50110</f>
        <v>50110</v>
      </c>
      <c r="E72" s="21">
        <f>C72*D72</f>
        <v>75165</v>
      </c>
    </row>
    <row r="73" spans="1:5" ht="18" customHeight="1" x14ac:dyDescent="0.3">
      <c r="A73" s="23" t="s">
        <v>108</v>
      </c>
      <c r="B73" s="19" t="s">
        <v>4</v>
      </c>
      <c r="C73" s="29">
        <v>1.4999999999999999E-2</v>
      </c>
      <c r="D73" s="21">
        <v>100000</v>
      </c>
      <c r="E73" s="21">
        <f>C73*D73</f>
        <v>1500</v>
      </c>
    </row>
    <row r="74" spans="1:5" ht="18" customHeight="1" x14ac:dyDescent="0.3">
      <c r="A74" s="23"/>
      <c r="B74" s="19"/>
      <c r="C74" s="29"/>
      <c r="D74" s="21"/>
      <c r="E74" s="21"/>
    </row>
    <row r="75" spans="1:5" ht="18" customHeight="1" x14ac:dyDescent="0.3">
      <c r="A75" s="25" t="s">
        <v>37</v>
      </c>
      <c r="B75" s="75"/>
      <c r="C75" s="75"/>
      <c r="D75" s="75"/>
      <c r="E75" s="21">
        <f>E72*0.02</f>
        <v>1503.3</v>
      </c>
    </row>
    <row r="76" spans="1:5" ht="18" customHeight="1" x14ac:dyDescent="0.3">
      <c r="A76" s="25"/>
      <c r="B76" s="26"/>
      <c r="C76" s="16"/>
      <c r="D76" s="16"/>
      <c r="E76" s="21"/>
    </row>
    <row r="77" spans="1:5" ht="18" customHeight="1" x14ac:dyDescent="0.3">
      <c r="A77" s="66" t="s">
        <v>33</v>
      </c>
      <c r="B77" s="66"/>
      <c r="C77" s="66"/>
      <c r="D77" s="66"/>
      <c r="E77" s="22">
        <f>SUM(E72:E75)</f>
        <v>78168.3</v>
      </c>
    </row>
    <row r="78" spans="1:5" ht="18" customHeight="1" x14ac:dyDescent="0.3">
      <c r="A78" s="68" t="s">
        <v>38</v>
      </c>
      <c r="B78" s="68"/>
      <c r="C78" s="68"/>
      <c r="D78" s="68"/>
      <c r="E78" s="68"/>
    </row>
    <row r="79" spans="1:5" ht="18" customHeight="1" x14ac:dyDescent="0.3">
      <c r="A79" s="18" t="s">
        <v>27</v>
      </c>
      <c r="B79" s="18" t="s">
        <v>25</v>
      </c>
      <c r="C79" s="18" t="s">
        <v>28</v>
      </c>
      <c r="D79" s="18" t="s">
        <v>29</v>
      </c>
      <c r="E79" s="18" t="s">
        <v>30</v>
      </c>
    </row>
    <row r="80" spans="1:5" ht="18" customHeight="1" x14ac:dyDescent="0.3">
      <c r="A80" s="23" t="s">
        <v>55</v>
      </c>
      <c r="B80" s="19" t="s">
        <v>40</v>
      </c>
      <c r="C80" s="20">
        <v>0.02</v>
      </c>
      <c r="D80" s="21">
        <v>45000</v>
      </c>
      <c r="E80" s="21">
        <f>D80*C80</f>
        <v>900</v>
      </c>
    </row>
    <row r="81" spans="1:5" ht="18" customHeight="1" x14ac:dyDescent="0.3">
      <c r="A81" s="23"/>
      <c r="B81" s="19"/>
      <c r="C81" s="20"/>
      <c r="D81" s="21"/>
      <c r="E81" s="21"/>
    </row>
    <row r="82" spans="1:5" ht="18" customHeight="1" x14ac:dyDescent="0.3">
      <c r="A82" s="66" t="s">
        <v>33</v>
      </c>
      <c r="B82" s="66"/>
      <c r="C82" s="66"/>
      <c r="D82" s="66"/>
      <c r="E82" s="22">
        <f>SUM(E80)</f>
        <v>900</v>
      </c>
    </row>
    <row r="83" spans="1:5" ht="18" customHeight="1" x14ac:dyDescent="0.3">
      <c r="A83" s="68" t="s">
        <v>41</v>
      </c>
      <c r="B83" s="68"/>
      <c r="C83" s="68"/>
      <c r="D83" s="68"/>
      <c r="E83" s="68"/>
    </row>
    <row r="84" spans="1:5" ht="18" customHeight="1" x14ac:dyDescent="0.3">
      <c r="A84" s="18" t="s">
        <v>27</v>
      </c>
      <c r="B84" s="18" t="s">
        <v>25</v>
      </c>
      <c r="C84" s="18" t="s">
        <v>28</v>
      </c>
      <c r="D84" s="18" t="s">
        <v>42</v>
      </c>
      <c r="E84" s="18" t="s">
        <v>30</v>
      </c>
    </row>
    <row r="85" spans="1:5" ht="18" customHeight="1" x14ac:dyDescent="0.3">
      <c r="A85" s="23" t="s">
        <v>56</v>
      </c>
      <c r="B85" s="19" t="s">
        <v>40</v>
      </c>
      <c r="C85" s="20">
        <v>15</v>
      </c>
      <c r="D85" s="21">
        <v>130000</v>
      </c>
      <c r="E85" s="21">
        <f>D85/C85</f>
        <v>8666.6666666666661</v>
      </c>
    </row>
    <row r="86" spans="1:5" ht="18" customHeight="1" x14ac:dyDescent="0.3">
      <c r="A86" s="23"/>
      <c r="B86" s="19"/>
      <c r="C86" s="20"/>
      <c r="D86" s="21"/>
      <c r="E86" s="21"/>
    </row>
    <row r="87" spans="1:5" ht="18" customHeight="1" x14ac:dyDescent="0.3">
      <c r="A87" s="66" t="s">
        <v>33</v>
      </c>
      <c r="B87" s="66"/>
      <c r="C87" s="66"/>
      <c r="D87" s="66"/>
      <c r="E87" s="22">
        <f>SUM(E85)</f>
        <v>8666.6666666666661</v>
      </c>
    </row>
    <row r="88" spans="1:5" ht="18" customHeight="1" x14ac:dyDescent="0.3">
      <c r="A88" s="19"/>
      <c r="B88" s="16"/>
      <c r="C88" s="16"/>
      <c r="D88" s="16"/>
      <c r="E88" s="16"/>
    </row>
    <row r="89" spans="1:5" ht="18" customHeight="1" x14ac:dyDescent="0.3">
      <c r="A89" s="66" t="s">
        <v>44</v>
      </c>
      <c r="B89" s="66"/>
      <c r="C89" s="66"/>
      <c r="D89" s="66"/>
      <c r="E89" s="22">
        <f>SUM(E69,E77,E82,E87)</f>
        <v>91101.633333333346</v>
      </c>
    </row>
    <row r="92" spans="1:5" ht="18" customHeight="1" x14ac:dyDescent="0.3">
      <c r="A92" s="71" t="s">
        <v>110</v>
      </c>
      <c r="B92" s="72"/>
      <c r="C92" s="72"/>
      <c r="D92" s="15" t="s">
        <v>24</v>
      </c>
      <c r="E92" s="15" t="s">
        <v>93</v>
      </c>
    </row>
    <row r="93" spans="1:5" ht="18" customHeight="1" x14ac:dyDescent="0.3">
      <c r="A93" s="73"/>
      <c r="B93" s="74"/>
      <c r="C93" s="74"/>
      <c r="D93" s="17" t="s">
        <v>25</v>
      </c>
      <c r="E93" s="17" t="s">
        <v>4</v>
      </c>
    </row>
    <row r="94" spans="1:5" ht="18" customHeight="1" x14ac:dyDescent="0.3">
      <c r="A94" s="68" t="s">
        <v>26</v>
      </c>
      <c r="B94" s="69"/>
      <c r="C94" s="69"/>
      <c r="D94" s="69"/>
      <c r="E94" s="69"/>
    </row>
    <row r="95" spans="1:5" ht="18" customHeight="1" x14ac:dyDescent="0.3">
      <c r="A95" s="18" t="s">
        <v>27</v>
      </c>
      <c r="B95" s="18" t="s">
        <v>25</v>
      </c>
      <c r="C95" s="18" t="s">
        <v>28</v>
      </c>
      <c r="D95" s="18" t="s">
        <v>29</v>
      </c>
      <c r="E95" s="18" t="s">
        <v>30</v>
      </c>
    </row>
    <row r="96" spans="1:5" ht="18" customHeight="1" x14ac:dyDescent="0.3">
      <c r="A96" s="19" t="s">
        <v>31</v>
      </c>
      <c r="B96" s="19" t="s">
        <v>32</v>
      </c>
      <c r="C96" s="20">
        <v>0.05</v>
      </c>
      <c r="D96" s="21">
        <f>E116</f>
        <v>21000</v>
      </c>
      <c r="E96" s="21">
        <f>C96*D96</f>
        <v>1050</v>
      </c>
    </row>
    <row r="97" spans="1:7" ht="18" customHeight="1" x14ac:dyDescent="0.3">
      <c r="A97" s="19"/>
      <c r="B97" s="19"/>
      <c r="C97" s="19"/>
      <c r="D97" s="21"/>
      <c r="E97" s="21"/>
    </row>
    <row r="98" spans="1:7" ht="18" customHeight="1" x14ac:dyDescent="0.3">
      <c r="A98" s="66" t="s">
        <v>33</v>
      </c>
      <c r="B98" s="67"/>
      <c r="C98" s="67"/>
      <c r="D98" s="67"/>
      <c r="E98" s="22">
        <f>SUM(E96:E96)</f>
        <v>1050</v>
      </c>
    </row>
    <row r="99" spans="1:7" ht="18" customHeight="1" x14ac:dyDescent="0.3">
      <c r="A99" s="68" t="s">
        <v>34</v>
      </c>
      <c r="B99" s="69"/>
      <c r="C99" s="69"/>
      <c r="D99" s="69"/>
      <c r="E99" s="69"/>
    </row>
    <row r="100" spans="1:7" ht="18" customHeight="1" x14ac:dyDescent="0.3">
      <c r="A100" s="18" t="s">
        <v>27</v>
      </c>
      <c r="B100" s="18" t="s">
        <v>25</v>
      </c>
      <c r="C100" s="18" t="s">
        <v>35</v>
      </c>
      <c r="D100" s="18" t="s">
        <v>36</v>
      </c>
      <c r="E100" s="18" t="s">
        <v>30</v>
      </c>
      <c r="F100" s="31"/>
    </row>
    <row r="101" spans="1:7" ht="18" customHeight="1" x14ac:dyDescent="0.3">
      <c r="A101" s="23" t="s">
        <v>45</v>
      </c>
      <c r="B101" s="19" t="s">
        <v>2</v>
      </c>
      <c r="C101" s="28">
        <v>0.38</v>
      </c>
      <c r="D101" s="21">
        <v>93300</v>
      </c>
      <c r="E101" s="21">
        <f>C101*D101</f>
        <v>35454</v>
      </c>
      <c r="F101" s="31"/>
    </row>
    <row r="102" spans="1:7" ht="18" customHeight="1" x14ac:dyDescent="0.3">
      <c r="A102" s="23" t="s">
        <v>111</v>
      </c>
      <c r="B102" s="19" t="s">
        <v>4</v>
      </c>
      <c r="C102" s="29">
        <v>0.03</v>
      </c>
      <c r="D102" s="21">
        <v>276000</v>
      </c>
      <c r="E102" s="21">
        <f>C102*D102</f>
        <v>8280</v>
      </c>
      <c r="G102" s="31"/>
    </row>
    <row r="103" spans="1:7" ht="18" customHeight="1" x14ac:dyDescent="0.3">
      <c r="A103" s="23"/>
      <c r="B103" s="19"/>
      <c r="C103" s="29"/>
      <c r="D103" s="21"/>
      <c r="E103" s="21"/>
    </row>
    <row r="104" spans="1:7" ht="18" customHeight="1" x14ac:dyDescent="0.3">
      <c r="A104" s="25" t="s">
        <v>37</v>
      </c>
      <c r="B104" s="75"/>
      <c r="C104" s="74"/>
      <c r="D104" s="74"/>
      <c r="E104" s="21">
        <v>0</v>
      </c>
    </row>
    <row r="105" spans="1:7" ht="18" customHeight="1" x14ac:dyDescent="0.3">
      <c r="A105" s="25"/>
      <c r="B105" s="26"/>
      <c r="C105" s="16"/>
      <c r="D105" s="16"/>
      <c r="E105" s="21"/>
    </row>
    <row r="106" spans="1:7" ht="18" customHeight="1" x14ac:dyDescent="0.3">
      <c r="A106" s="66" t="s">
        <v>33</v>
      </c>
      <c r="B106" s="67"/>
      <c r="C106" s="67"/>
      <c r="D106" s="67"/>
      <c r="E106" s="22">
        <f>SUM(E101:E104)</f>
        <v>43734</v>
      </c>
    </row>
    <row r="107" spans="1:7" ht="18" customHeight="1" x14ac:dyDescent="0.3">
      <c r="A107" s="68" t="s">
        <v>38</v>
      </c>
      <c r="B107" s="69"/>
      <c r="C107" s="69"/>
      <c r="D107" s="69"/>
      <c r="E107" s="69"/>
      <c r="G107" s="31"/>
    </row>
    <row r="108" spans="1:7" ht="18" customHeight="1" x14ac:dyDescent="0.3">
      <c r="A108" s="18" t="s">
        <v>27</v>
      </c>
      <c r="B108" s="18" t="s">
        <v>25</v>
      </c>
      <c r="C108" s="18" t="s">
        <v>28</v>
      </c>
      <c r="D108" s="18" t="s">
        <v>29</v>
      </c>
      <c r="E108" s="18" t="s">
        <v>30</v>
      </c>
    </row>
    <row r="109" spans="1:7" ht="18" customHeight="1" x14ac:dyDescent="0.3">
      <c r="A109" s="23" t="s">
        <v>39</v>
      </c>
      <c r="B109" s="19" t="s">
        <v>40</v>
      </c>
      <c r="C109" s="20">
        <v>1.4999999999999999E-2</v>
      </c>
      <c r="D109" s="21">
        <v>60000</v>
      </c>
      <c r="E109" s="21">
        <f>D109*C109</f>
        <v>900</v>
      </c>
    </row>
    <row r="110" spans="1:7" ht="18" customHeight="1" x14ac:dyDescent="0.3">
      <c r="A110" s="23"/>
      <c r="B110" s="19"/>
      <c r="C110" s="20"/>
      <c r="D110" s="21"/>
      <c r="E110" s="21"/>
    </row>
    <row r="111" spans="1:7" ht="18" customHeight="1" x14ac:dyDescent="0.3">
      <c r="A111" s="66" t="s">
        <v>33</v>
      </c>
      <c r="B111" s="67"/>
      <c r="C111" s="67"/>
      <c r="D111" s="67"/>
      <c r="E111" s="22">
        <f>SUM(E109)</f>
        <v>900</v>
      </c>
    </row>
    <row r="112" spans="1:7" ht="18" customHeight="1" x14ac:dyDescent="0.3">
      <c r="A112" s="68" t="s">
        <v>41</v>
      </c>
      <c r="B112" s="69"/>
      <c r="C112" s="69"/>
      <c r="D112" s="69"/>
      <c r="E112" s="69"/>
    </row>
    <row r="113" spans="1:5" ht="18" customHeight="1" x14ac:dyDescent="0.3">
      <c r="A113" s="18" t="s">
        <v>27</v>
      </c>
      <c r="B113" s="18" t="s">
        <v>25</v>
      </c>
      <c r="C113" s="18" t="s">
        <v>28</v>
      </c>
      <c r="D113" s="18" t="s">
        <v>42</v>
      </c>
      <c r="E113" s="18" t="s">
        <v>30</v>
      </c>
    </row>
    <row r="114" spans="1:5" ht="18" customHeight="1" x14ac:dyDescent="0.3">
      <c r="A114" s="23" t="s">
        <v>49</v>
      </c>
      <c r="B114" s="19" t="s">
        <v>40</v>
      </c>
      <c r="C114" s="20">
        <v>10</v>
      </c>
      <c r="D114" s="21">
        <v>210000</v>
      </c>
      <c r="E114" s="21">
        <f>D114/C114</f>
        <v>21000</v>
      </c>
    </row>
    <row r="115" spans="1:5" ht="18" customHeight="1" x14ac:dyDescent="0.3">
      <c r="A115" s="23"/>
      <c r="B115" s="19"/>
      <c r="C115" s="20"/>
      <c r="D115" s="21"/>
      <c r="E115" s="21"/>
    </row>
    <row r="116" spans="1:5" ht="18" customHeight="1" x14ac:dyDescent="0.3">
      <c r="A116" s="66" t="s">
        <v>33</v>
      </c>
      <c r="B116" s="67"/>
      <c r="C116" s="67"/>
      <c r="D116" s="67"/>
      <c r="E116" s="22">
        <f>SUM(E114)</f>
        <v>21000</v>
      </c>
    </row>
    <row r="117" spans="1:5" ht="18" customHeight="1" x14ac:dyDescent="0.3">
      <c r="A117" s="19"/>
      <c r="B117" s="16"/>
      <c r="C117" s="16"/>
      <c r="D117" s="16"/>
      <c r="E117" s="16"/>
    </row>
    <row r="118" spans="1:5" ht="18" customHeight="1" x14ac:dyDescent="0.3">
      <c r="A118" s="66" t="s">
        <v>44</v>
      </c>
      <c r="B118" s="67"/>
      <c r="C118" s="67"/>
      <c r="D118" s="67"/>
      <c r="E118" s="22">
        <f>SUM(E98,E106,E111,E116)</f>
        <v>66684</v>
      </c>
    </row>
    <row r="121" spans="1:5" ht="18" customHeight="1" x14ac:dyDescent="0.3">
      <c r="A121" s="71" t="s">
        <v>105</v>
      </c>
      <c r="B121" s="72"/>
      <c r="C121" s="72"/>
      <c r="D121" s="15" t="s">
        <v>24</v>
      </c>
      <c r="E121" s="15" t="s">
        <v>94</v>
      </c>
    </row>
    <row r="122" spans="1:5" ht="18" customHeight="1" x14ac:dyDescent="0.3">
      <c r="A122" s="73"/>
      <c r="B122" s="74"/>
      <c r="C122" s="74"/>
      <c r="D122" s="17" t="s">
        <v>25</v>
      </c>
      <c r="E122" s="17" t="s">
        <v>4</v>
      </c>
    </row>
    <row r="123" spans="1:5" ht="18" customHeight="1" x14ac:dyDescent="0.3">
      <c r="A123" s="68" t="s">
        <v>26</v>
      </c>
      <c r="B123" s="69"/>
      <c r="C123" s="69"/>
      <c r="D123" s="69"/>
      <c r="E123" s="69"/>
    </row>
    <row r="124" spans="1:5" ht="18" customHeight="1" x14ac:dyDescent="0.3">
      <c r="A124" s="18" t="s">
        <v>27</v>
      </c>
      <c r="B124" s="18" t="s">
        <v>25</v>
      </c>
      <c r="C124" s="18" t="s">
        <v>28</v>
      </c>
      <c r="D124" s="18" t="s">
        <v>29</v>
      </c>
      <c r="E124" s="18" t="s">
        <v>30</v>
      </c>
    </row>
    <row r="125" spans="1:5" ht="18" customHeight="1" x14ac:dyDescent="0.3">
      <c r="A125" s="19" t="s">
        <v>31</v>
      </c>
      <c r="B125" s="19" t="s">
        <v>32</v>
      </c>
      <c r="C125" s="20">
        <v>0.05</v>
      </c>
      <c r="D125" s="21">
        <f>E145</f>
        <v>4200</v>
      </c>
      <c r="E125" s="21">
        <f>C125*D125</f>
        <v>210</v>
      </c>
    </row>
    <row r="126" spans="1:5" ht="18" customHeight="1" x14ac:dyDescent="0.3">
      <c r="A126" s="19"/>
      <c r="B126" s="19"/>
      <c r="C126" s="19"/>
      <c r="D126" s="21"/>
      <c r="E126" s="21"/>
    </row>
    <row r="127" spans="1:5" ht="18" customHeight="1" x14ac:dyDescent="0.3">
      <c r="A127" s="66" t="s">
        <v>33</v>
      </c>
      <c r="B127" s="67"/>
      <c r="C127" s="67"/>
      <c r="D127" s="67"/>
      <c r="E127" s="22">
        <f>SUM(E125:E125)</f>
        <v>210</v>
      </c>
    </row>
    <row r="128" spans="1:5" ht="18" customHeight="1" x14ac:dyDescent="0.3">
      <c r="A128" s="68" t="s">
        <v>34</v>
      </c>
      <c r="B128" s="69"/>
      <c r="C128" s="69"/>
      <c r="D128" s="69"/>
      <c r="E128" s="69"/>
    </row>
    <row r="129" spans="1:5" ht="18" customHeight="1" x14ac:dyDescent="0.3">
      <c r="A129" s="18" t="s">
        <v>27</v>
      </c>
      <c r="B129" s="18" t="s">
        <v>25</v>
      </c>
      <c r="C129" s="18" t="s">
        <v>35</v>
      </c>
      <c r="D129" s="18" t="s">
        <v>36</v>
      </c>
      <c r="E129" s="18" t="s">
        <v>30</v>
      </c>
    </row>
    <row r="130" spans="1:5" ht="18" customHeight="1" x14ac:dyDescent="0.3">
      <c r="A130" s="23" t="s">
        <v>45</v>
      </c>
      <c r="B130" s="19" t="s">
        <v>2</v>
      </c>
      <c r="C130" s="28">
        <v>3.5000000000000003E-2</v>
      </c>
      <c r="D130" s="21">
        <v>93300</v>
      </c>
      <c r="E130" s="21">
        <f>C130*D130</f>
        <v>3265.5000000000005</v>
      </c>
    </row>
    <row r="131" spans="1:5" ht="18" customHeight="1" x14ac:dyDescent="0.3">
      <c r="A131" s="23" t="s">
        <v>111</v>
      </c>
      <c r="B131" s="19" t="s">
        <v>4</v>
      </c>
      <c r="C131" s="29">
        <v>5.0000000000000001E-3</v>
      </c>
      <c r="D131" s="21">
        <v>276000</v>
      </c>
      <c r="E131" s="21">
        <f>C131*D131</f>
        <v>1380</v>
      </c>
    </row>
    <row r="132" spans="1:5" ht="18" customHeight="1" x14ac:dyDescent="0.3">
      <c r="A132" s="23"/>
      <c r="B132" s="19"/>
      <c r="C132" s="29"/>
      <c r="D132" s="21"/>
      <c r="E132" s="21"/>
    </row>
    <row r="133" spans="1:5" ht="18" customHeight="1" x14ac:dyDescent="0.3">
      <c r="A133" s="25" t="s">
        <v>37</v>
      </c>
      <c r="B133" s="75"/>
      <c r="C133" s="74"/>
      <c r="D133" s="74"/>
      <c r="E133" s="21">
        <v>0</v>
      </c>
    </row>
    <row r="134" spans="1:5" ht="18" customHeight="1" x14ac:dyDescent="0.3">
      <c r="A134" s="25"/>
      <c r="B134" s="26"/>
      <c r="C134" s="16"/>
      <c r="D134" s="16"/>
      <c r="E134" s="21"/>
    </row>
    <row r="135" spans="1:5" ht="18" customHeight="1" x14ac:dyDescent="0.3">
      <c r="A135" s="66" t="s">
        <v>33</v>
      </c>
      <c r="B135" s="67"/>
      <c r="C135" s="67"/>
      <c r="D135" s="67"/>
      <c r="E135" s="22">
        <f>SUM(E130:E133)</f>
        <v>4645.5</v>
      </c>
    </row>
    <row r="136" spans="1:5" ht="18" customHeight="1" x14ac:dyDescent="0.3">
      <c r="A136" s="68" t="s">
        <v>38</v>
      </c>
      <c r="B136" s="69"/>
      <c r="C136" s="69"/>
      <c r="D136" s="69"/>
      <c r="E136" s="69"/>
    </row>
    <row r="137" spans="1:5" ht="18" customHeight="1" x14ac:dyDescent="0.3">
      <c r="A137" s="18" t="s">
        <v>27</v>
      </c>
      <c r="B137" s="18" t="s">
        <v>25</v>
      </c>
      <c r="C137" s="18" t="s">
        <v>28</v>
      </c>
      <c r="D137" s="18" t="s">
        <v>29</v>
      </c>
      <c r="E137" s="18" t="s">
        <v>30</v>
      </c>
    </row>
    <row r="138" spans="1:5" ht="18" customHeight="1" x14ac:dyDescent="0.3">
      <c r="A138" s="23" t="s">
        <v>39</v>
      </c>
      <c r="B138" s="19" t="s">
        <v>40</v>
      </c>
      <c r="C138" s="20">
        <v>0</v>
      </c>
      <c r="D138" s="21">
        <v>60000</v>
      </c>
      <c r="E138" s="21">
        <f>D138*C138</f>
        <v>0</v>
      </c>
    </row>
    <row r="139" spans="1:5" ht="18" customHeight="1" x14ac:dyDescent="0.3">
      <c r="A139" s="23"/>
      <c r="B139" s="19"/>
      <c r="C139" s="20"/>
      <c r="D139" s="21"/>
      <c r="E139" s="21"/>
    </row>
    <row r="140" spans="1:5" ht="18" customHeight="1" x14ac:dyDescent="0.3">
      <c r="A140" s="66" t="s">
        <v>33</v>
      </c>
      <c r="B140" s="67"/>
      <c r="C140" s="67"/>
      <c r="D140" s="67"/>
      <c r="E140" s="22">
        <f>SUM(E138)</f>
        <v>0</v>
      </c>
    </row>
    <row r="141" spans="1:5" ht="18" customHeight="1" x14ac:dyDescent="0.3">
      <c r="A141" s="68" t="s">
        <v>41</v>
      </c>
      <c r="B141" s="69"/>
      <c r="C141" s="69"/>
      <c r="D141" s="69"/>
      <c r="E141" s="69"/>
    </row>
    <row r="142" spans="1:5" ht="18" customHeight="1" x14ac:dyDescent="0.3">
      <c r="A142" s="18" t="s">
        <v>27</v>
      </c>
      <c r="B142" s="18" t="s">
        <v>25</v>
      </c>
      <c r="C142" s="18" t="s">
        <v>28</v>
      </c>
      <c r="D142" s="18" t="s">
        <v>42</v>
      </c>
      <c r="E142" s="18" t="s">
        <v>30</v>
      </c>
    </row>
    <row r="143" spans="1:5" ht="18" customHeight="1" x14ac:dyDescent="0.3">
      <c r="A143" s="23" t="s">
        <v>49</v>
      </c>
      <c r="B143" s="19" t="s">
        <v>40</v>
      </c>
      <c r="C143" s="20">
        <v>50</v>
      </c>
      <c r="D143" s="21">
        <v>210000</v>
      </c>
      <c r="E143" s="21">
        <f>D143/C143</f>
        <v>4200</v>
      </c>
    </row>
    <row r="144" spans="1:5" ht="18" customHeight="1" x14ac:dyDescent="0.3">
      <c r="A144" s="23"/>
      <c r="B144" s="19"/>
      <c r="C144" s="20"/>
      <c r="D144" s="21"/>
      <c r="E144" s="21"/>
    </row>
    <row r="145" spans="1:5" ht="18" customHeight="1" x14ac:dyDescent="0.3">
      <c r="A145" s="66" t="s">
        <v>33</v>
      </c>
      <c r="B145" s="67"/>
      <c r="C145" s="67"/>
      <c r="D145" s="67"/>
      <c r="E145" s="22">
        <f>SUM(E143)</f>
        <v>4200</v>
      </c>
    </row>
    <row r="146" spans="1:5" ht="18" customHeight="1" x14ac:dyDescent="0.3">
      <c r="A146" s="19"/>
      <c r="B146" s="16"/>
      <c r="C146" s="16"/>
      <c r="D146" s="16"/>
      <c r="E146" s="16"/>
    </row>
    <row r="147" spans="1:5" ht="18" customHeight="1" x14ac:dyDescent="0.3">
      <c r="A147" s="66" t="s">
        <v>44</v>
      </c>
      <c r="B147" s="67"/>
      <c r="C147" s="67"/>
      <c r="D147" s="67"/>
      <c r="E147" s="22">
        <f>SUM(E127,E135,E140,E145)</f>
        <v>9055.5</v>
      </c>
    </row>
    <row r="150" spans="1:5" ht="32.4" customHeight="1" x14ac:dyDescent="0.3">
      <c r="A150" s="10" t="s">
        <v>113</v>
      </c>
      <c r="B150" s="64"/>
      <c r="C150" s="64"/>
      <c r="D150" s="64"/>
      <c r="E150" s="64"/>
    </row>
    <row r="152" spans="1:5" ht="18" customHeight="1" x14ac:dyDescent="0.3">
      <c r="A152" s="76" t="s">
        <v>50</v>
      </c>
      <c r="B152" s="76"/>
      <c r="C152" s="76"/>
      <c r="D152" s="32" t="s">
        <v>24</v>
      </c>
      <c r="E152" s="15" t="s">
        <v>97</v>
      </c>
    </row>
    <row r="153" spans="1:5" ht="18" customHeight="1" x14ac:dyDescent="0.3">
      <c r="A153" s="73"/>
      <c r="B153" s="73"/>
      <c r="C153" s="73"/>
      <c r="D153" s="40" t="s">
        <v>25</v>
      </c>
      <c r="E153" s="40" t="s">
        <v>4</v>
      </c>
    </row>
    <row r="154" spans="1:5" ht="18" customHeight="1" x14ac:dyDescent="0.3">
      <c r="A154" s="68" t="s">
        <v>26</v>
      </c>
      <c r="B154" s="68"/>
      <c r="C154" s="68"/>
      <c r="D154" s="68"/>
      <c r="E154" s="68"/>
    </row>
    <row r="155" spans="1:5" ht="18" customHeight="1" x14ac:dyDescent="0.3">
      <c r="A155" s="40" t="s">
        <v>27</v>
      </c>
      <c r="B155" s="40" t="s">
        <v>25</v>
      </c>
      <c r="C155" s="40" t="s">
        <v>28</v>
      </c>
      <c r="D155" s="40" t="s">
        <v>29</v>
      </c>
      <c r="E155" s="40" t="s">
        <v>30</v>
      </c>
    </row>
    <row r="156" spans="1:5" ht="18" customHeight="1" x14ac:dyDescent="0.3">
      <c r="A156" s="19" t="s">
        <v>31</v>
      </c>
      <c r="B156" s="19" t="s">
        <v>32</v>
      </c>
      <c r="C156" s="20">
        <v>0.1</v>
      </c>
      <c r="D156" s="21">
        <f>E174</f>
        <v>2111.1111111111113</v>
      </c>
      <c r="E156" s="21">
        <f>C156*D156</f>
        <v>211.11111111111114</v>
      </c>
    </row>
    <row r="157" spans="1:5" ht="18" customHeight="1" x14ac:dyDescent="0.3">
      <c r="A157" s="19"/>
      <c r="B157" s="19"/>
      <c r="C157" s="19"/>
      <c r="D157" s="21"/>
      <c r="E157" s="21"/>
    </row>
    <row r="158" spans="1:5" ht="18" customHeight="1" x14ac:dyDescent="0.3">
      <c r="A158" s="70" t="s">
        <v>33</v>
      </c>
      <c r="B158" s="70"/>
      <c r="C158" s="70"/>
      <c r="D158" s="70"/>
      <c r="E158" s="41">
        <f>SUM(E156:E156)</f>
        <v>211.11111111111114</v>
      </c>
    </row>
    <row r="159" spans="1:5" ht="18" customHeight="1" x14ac:dyDescent="0.3">
      <c r="A159" s="68" t="s">
        <v>34</v>
      </c>
      <c r="B159" s="68"/>
      <c r="C159" s="68"/>
      <c r="D159" s="68"/>
      <c r="E159" s="68"/>
    </row>
    <row r="160" spans="1:5" ht="18" customHeight="1" x14ac:dyDescent="0.3">
      <c r="A160" s="40" t="s">
        <v>27</v>
      </c>
      <c r="B160" s="40" t="s">
        <v>25</v>
      </c>
      <c r="C160" s="40" t="s">
        <v>35</v>
      </c>
      <c r="D160" s="40" t="s">
        <v>36</v>
      </c>
      <c r="E160" s="40" t="s">
        <v>30</v>
      </c>
    </row>
    <row r="161" spans="1:5" ht="18" customHeight="1" x14ac:dyDescent="0.3">
      <c r="A161" s="23"/>
      <c r="B161" s="19"/>
      <c r="C161" s="29"/>
      <c r="D161" s="21"/>
      <c r="E161" s="21"/>
    </row>
    <row r="162" spans="1:5" ht="18" customHeight="1" x14ac:dyDescent="0.3">
      <c r="A162" s="25" t="s">
        <v>54</v>
      </c>
      <c r="B162" s="75"/>
      <c r="C162" s="75"/>
      <c r="D162" s="75"/>
      <c r="E162" s="21">
        <v>0</v>
      </c>
    </row>
    <row r="163" spans="1:5" ht="18" customHeight="1" x14ac:dyDescent="0.3">
      <c r="A163" s="25"/>
      <c r="B163" s="26"/>
      <c r="C163" s="16"/>
      <c r="D163" s="16"/>
      <c r="E163" s="21"/>
    </row>
    <row r="164" spans="1:5" ht="18" customHeight="1" x14ac:dyDescent="0.3">
      <c r="A164" s="70" t="s">
        <v>33</v>
      </c>
      <c r="B164" s="70"/>
      <c r="C164" s="70"/>
      <c r="D164" s="70"/>
      <c r="E164" s="41">
        <f>SUM(E161:E162)</f>
        <v>0</v>
      </c>
    </row>
    <row r="165" spans="1:5" ht="18" customHeight="1" x14ac:dyDescent="0.3">
      <c r="A165" s="68" t="s">
        <v>38</v>
      </c>
      <c r="B165" s="68"/>
      <c r="C165" s="68"/>
      <c r="D165" s="68"/>
      <c r="E165" s="68"/>
    </row>
    <row r="166" spans="1:5" ht="18" customHeight="1" x14ac:dyDescent="0.3">
      <c r="A166" s="40" t="s">
        <v>27</v>
      </c>
      <c r="B166" s="40" t="s">
        <v>25</v>
      </c>
      <c r="C166" s="40" t="s">
        <v>28</v>
      </c>
      <c r="D166" s="40" t="s">
        <v>29</v>
      </c>
      <c r="E166" s="40" t="s">
        <v>30</v>
      </c>
    </row>
    <row r="167" spans="1:5" ht="18" customHeight="1" x14ac:dyDescent="0.3">
      <c r="A167" s="23" t="s">
        <v>55</v>
      </c>
      <c r="B167" s="19" t="s">
        <v>40</v>
      </c>
      <c r="C167" s="20">
        <v>0</v>
      </c>
      <c r="D167" s="21">
        <v>45000</v>
      </c>
      <c r="E167" s="21">
        <f>D167*C167</f>
        <v>0</v>
      </c>
    </row>
    <row r="168" spans="1:5" ht="18" customHeight="1" x14ac:dyDescent="0.3">
      <c r="A168" s="23"/>
      <c r="B168" s="19"/>
      <c r="C168" s="20"/>
      <c r="D168" s="21"/>
      <c r="E168" s="21"/>
    </row>
    <row r="169" spans="1:5" ht="18" customHeight="1" x14ac:dyDescent="0.3">
      <c r="A169" s="70" t="s">
        <v>33</v>
      </c>
      <c r="B169" s="70"/>
      <c r="C169" s="70"/>
      <c r="D169" s="70"/>
      <c r="E169" s="41">
        <f>SUM(E167)</f>
        <v>0</v>
      </c>
    </row>
    <row r="170" spans="1:5" ht="18" customHeight="1" x14ac:dyDescent="0.3">
      <c r="A170" s="68" t="s">
        <v>41</v>
      </c>
      <c r="B170" s="68"/>
      <c r="C170" s="68"/>
      <c r="D170" s="68"/>
      <c r="E170" s="68"/>
    </row>
    <row r="171" spans="1:5" ht="18" customHeight="1" x14ac:dyDescent="0.3">
      <c r="A171" s="40" t="s">
        <v>27</v>
      </c>
      <c r="B171" s="40" t="s">
        <v>25</v>
      </c>
      <c r="C171" s="40" t="s">
        <v>28</v>
      </c>
      <c r="D171" s="40" t="s">
        <v>42</v>
      </c>
      <c r="E171" s="40" t="s">
        <v>30</v>
      </c>
    </row>
    <row r="172" spans="1:5" ht="18" customHeight="1" x14ac:dyDescent="0.3">
      <c r="A172" s="23" t="s">
        <v>112</v>
      </c>
      <c r="B172" s="19" t="s">
        <v>40</v>
      </c>
      <c r="C172" s="20">
        <v>45</v>
      </c>
      <c r="D172" s="21">
        <v>95000</v>
      </c>
      <c r="E172" s="21">
        <f>D172/C172</f>
        <v>2111.1111111111113</v>
      </c>
    </row>
    <row r="173" spans="1:5" ht="18" customHeight="1" x14ac:dyDescent="0.3">
      <c r="A173" s="23"/>
      <c r="B173" s="19"/>
      <c r="C173" s="20"/>
      <c r="D173" s="21"/>
      <c r="E173" s="21"/>
    </row>
    <row r="174" spans="1:5" ht="18" customHeight="1" x14ac:dyDescent="0.3">
      <c r="A174" s="70" t="s">
        <v>33</v>
      </c>
      <c r="B174" s="70"/>
      <c r="C174" s="70"/>
      <c r="D174" s="70"/>
      <c r="E174" s="41">
        <f>SUM(E172)</f>
        <v>2111.1111111111113</v>
      </c>
    </row>
    <row r="175" spans="1:5" ht="18" customHeight="1" x14ac:dyDescent="0.3">
      <c r="A175" s="19"/>
      <c r="B175" s="16"/>
      <c r="C175" s="16"/>
      <c r="D175" s="16"/>
      <c r="E175" s="16"/>
    </row>
    <row r="176" spans="1:5" ht="18" customHeight="1" x14ac:dyDescent="0.3">
      <c r="A176" s="70" t="s">
        <v>44</v>
      </c>
      <c r="B176" s="70"/>
      <c r="C176" s="70"/>
      <c r="D176" s="70"/>
      <c r="E176" s="41">
        <f>SUM(E158,E164,E169,E174)</f>
        <v>2322.2222222222226</v>
      </c>
    </row>
    <row r="179" spans="1:5" ht="18" customHeight="1" x14ac:dyDescent="0.3">
      <c r="A179" s="76" t="s">
        <v>115</v>
      </c>
      <c r="B179" s="76"/>
      <c r="C179" s="76"/>
      <c r="D179" s="32" t="s">
        <v>24</v>
      </c>
      <c r="E179" s="15" t="s">
        <v>97</v>
      </c>
    </row>
    <row r="180" spans="1:5" ht="18" customHeight="1" x14ac:dyDescent="0.3">
      <c r="A180" s="73"/>
      <c r="B180" s="73"/>
      <c r="C180" s="73"/>
      <c r="D180" s="17" t="s">
        <v>25</v>
      </c>
      <c r="E180" s="17" t="s">
        <v>5</v>
      </c>
    </row>
    <row r="181" spans="1:5" ht="18" customHeight="1" x14ac:dyDescent="0.3">
      <c r="A181" s="68" t="s">
        <v>26</v>
      </c>
      <c r="B181" s="68"/>
      <c r="C181" s="68"/>
      <c r="D181" s="68"/>
      <c r="E181" s="68"/>
    </row>
    <row r="182" spans="1:5" ht="18" customHeight="1" x14ac:dyDescent="0.3">
      <c r="A182" s="18" t="s">
        <v>27</v>
      </c>
      <c r="B182" s="18" t="s">
        <v>25</v>
      </c>
      <c r="C182" s="18" t="s">
        <v>28</v>
      </c>
      <c r="D182" s="18" t="s">
        <v>29</v>
      </c>
      <c r="E182" s="18" t="s">
        <v>30</v>
      </c>
    </row>
    <row r="183" spans="1:5" ht="18" customHeight="1" x14ac:dyDescent="0.3">
      <c r="A183" s="19" t="s">
        <v>31</v>
      </c>
      <c r="B183" s="19" t="s">
        <v>32</v>
      </c>
      <c r="C183" s="20">
        <v>0.1</v>
      </c>
      <c r="D183" s="21">
        <f>E205</f>
        <v>3250</v>
      </c>
      <c r="E183" s="21">
        <f>C183*D183</f>
        <v>325</v>
      </c>
    </row>
    <row r="184" spans="1:5" ht="18" customHeight="1" x14ac:dyDescent="0.3">
      <c r="A184" s="19"/>
      <c r="B184" s="19"/>
      <c r="C184" s="19"/>
      <c r="D184" s="21"/>
      <c r="E184" s="21"/>
    </row>
    <row r="185" spans="1:5" ht="18" customHeight="1" x14ac:dyDescent="0.3">
      <c r="A185" s="66" t="s">
        <v>33</v>
      </c>
      <c r="B185" s="66"/>
      <c r="C185" s="66"/>
      <c r="D185" s="66"/>
      <c r="E185" s="22">
        <f>SUM(E183:E183)</f>
        <v>325</v>
      </c>
    </row>
    <row r="186" spans="1:5" ht="18" customHeight="1" x14ac:dyDescent="0.3">
      <c r="A186" s="68" t="s">
        <v>34</v>
      </c>
      <c r="B186" s="68"/>
      <c r="C186" s="68"/>
      <c r="D186" s="68"/>
      <c r="E186" s="68"/>
    </row>
    <row r="187" spans="1:5" ht="18" customHeight="1" x14ac:dyDescent="0.3">
      <c r="A187" s="18" t="s">
        <v>27</v>
      </c>
      <c r="B187" s="18" t="s">
        <v>25</v>
      </c>
      <c r="C187" s="18" t="s">
        <v>35</v>
      </c>
      <c r="D187" s="18" t="s">
        <v>36</v>
      </c>
      <c r="E187" s="18" t="s">
        <v>30</v>
      </c>
    </row>
    <row r="188" spans="1:5" ht="18" customHeight="1" x14ac:dyDescent="0.3">
      <c r="A188" s="23" t="s">
        <v>51</v>
      </c>
      <c r="B188" s="19" t="s">
        <v>4</v>
      </c>
      <c r="C188" s="28">
        <v>0.20330000000000001</v>
      </c>
      <c r="D188" s="21">
        <v>48000</v>
      </c>
      <c r="E188" s="21">
        <f>C188*D188</f>
        <v>9758.4</v>
      </c>
    </row>
    <row r="189" spans="1:5" ht="18" customHeight="1" x14ac:dyDescent="0.3">
      <c r="A189" s="23" t="s">
        <v>116</v>
      </c>
      <c r="B189" s="19" t="s">
        <v>68</v>
      </c>
      <c r="C189" s="28">
        <v>0.01</v>
      </c>
      <c r="D189" s="21">
        <v>110000</v>
      </c>
      <c r="E189" s="21">
        <f>C189*D189</f>
        <v>1100</v>
      </c>
    </row>
    <row r="190" spans="1:5" ht="18" customHeight="1" x14ac:dyDescent="0.3">
      <c r="A190" s="23" t="s">
        <v>118</v>
      </c>
      <c r="B190" s="19" t="s">
        <v>117</v>
      </c>
      <c r="C190" s="28">
        <v>0.05</v>
      </c>
      <c r="D190" s="21">
        <v>30000</v>
      </c>
      <c r="E190" s="21">
        <f>C190*D190</f>
        <v>1500</v>
      </c>
    </row>
    <row r="191" spans="1:5" ht="18" customHeight="1" x14ac:dyDescent="0.3">
      <c r="A191" s="23" t="s">
        <v>52</v>
      </c>
      <c r="B191" s="19" t="s">
        <v>53</v>
      </c>
      <c r="C191" s="29">
        <v>0.01</v>
      </c>
      <c r="D191" s="21">
        <v>56000</v>
      </c>
      <c r="E191" s="21">
        <f>C191*D191</f>
        <v>560</v>
      </c>
    </row>
    <row r="192" spans="1:5" ht="18" customHeight="1" x14ac:dyDescent="0.3">
      <c r="A192" s="23"/>
      <c r="B192" s="19"/>
      <c r="C192" s="29"/>
      <c r="D192" s="21"/>
      <c r="E192" s="21"/>
    </row>
    <row r="193" spans="1:7" ht="18" customHeight="1" x14ac:dyDescent="0.3">
      <c r="A193" s="25" t="s">
        <v>54</v>
      </c>
      <c r="B193" s="75"/>
      <c r="C193" s="75"/>
      <c r="D193" s="75"/>
      <c r="E193" s="21">
        <f>E188*0.03</f>
        <v>292.75199999999995</v>
      </c>
    </row>
    <row r="194" spans="1:7" ht="18" customHeight="1" x14ac:dyDescent="0.3">
      <c r="A194" s="25"/>
      <c r="B194" s="26"/>
      <c r="C194" s="16"/>
      <c r="D194" s="16"/>
      <c r="E194" s="21"/>
    </row>
    <row r="195" spans="1:7" ht="18" customHeight="1" x14ac:dyDescent="0.3">
      <c r="A195" s="66" t="s">
        <v>33</v>
      </c>
      <c r="B195" s="66"/>
      <c r="C195" s="66"/>
      <c r="D195" s="66"/>
      <c r="E195" s="22">
        <f>SUM(E188:E193)</f>
        <v>13211.152</v>
      </c>
    </row>
    <row r="196" spans="1:7" ht="18" customHeight="1" x14ac:dyDescent="0.3">
      <c r="A196" s="68" t="s">
        <v>38</v>
      </c>
      <c r="B196" s="68"/>
      <c r="C196" s="68"/>
      <c r="D196" s="68"/>
      <c r="E196" s="68"/>
    </row>
    <row r="197" spans="1:7" ht="18" customHeight="1" x14ac:dyDescent="0.3">
      <c r="A197" s="18" t="s">
        <v>27</v>
      </c>
      <c r="B197" s="18" t="s">
        <v>25</v>
      </c>
      <c r="C197" s="18" t="s">
        <v>28</v>
      </c>
      <c r="D197" s="18" t="s">
        <v>29</v>
      </c>
      <c r="E197" s="18" t="s">
        <v>30</v>
      </c>
    </row>
    <row r="198" spans="1:7" ht="18" customHeight="1" x14ac:dyDescent="0.3">
      <c r="A198" s="23" t="s">
        <v>55</v>
      </c>
      <c r="B198" s="19" t="s">
        <v>40</v>
      </c>
      <c r="C198" s="20">
        <v>0.02</v>
      </c>
      <c r="D198" s="21">
        <v>45000</v>
      </c>
      <c r="E198" s="21">
        <f>D198*C198</f>
        <v>900</v>
      </c>
      <c r="G198" s="31"/>
    </row>
    <row r="199" spans="1:7" ht="18" customHeight="1" x14ac:dyDescent="0.3">
      <c r="A199" s="23"/>
      <c r="B199" s="19"/>
      <c r="C199" s="20"/>
      <c r="D199" s="21"/>
      <c r="E199" s="21"/>
    </row>
    <row r="200" spans="1:7" ht="18" customHeight="1" x14ac:dyDescent="0.3">
      <c r="A200" s="66" t="s">
        <v>33</v>
      </c>
      <c r="B200" s="66"/>
      <c r="C200" s="66"/>
      <c r="D200" s="66"/>
      <c r="E200" s="22">
        <f>SUM(E198)</f>
        <v>900</v>
      </c>
    </row>
    <row r="201" spans="1:7" ht="18" customHeight="1" x14ac:dyDescent="0.3">
      <c r="A201" s="68" t="s">
        <v>41</v>
      </c>
      <c r="B201" s="68"/>
      <c r="C201" s="68"/>
      <c r="D201" s="68"/>
      <c r="E201" s="68"/>
    </row>
    <row r="202" spans="1:7" ht="18" customHeight="1" x14ac:dyDescent="0.3">
      <c r="A202" s="18" t="s">
        <v>27</v>
      </c>
      <c r="B202" s="18" t="s">
        <v>25</v>
      </c>
      <c r="C202" s="18" t="s">
        <v>28</v>
      </c>
      <c r="D202" s="18" t="s">
        <v>42</v>
      </c>
      <c r="E202" s="18" t="s">
        <v>30</v>
      </c>
    </row>
    <row r="203" spans="1:7" ht="18" customHeight="1" x14ac:dyDescent="0.3">
      <c r="A203" s="23" t="s">
        <v>101</v>
      </c>
      <c r="B203" s="19" t="s">
        <v>40</v>
      </c>
      <c r="C203" s="20">
        <v>40</v>
      </c>
      <c r="D203" s="21">
        <v>130000</v>
      </c>
      <c r="E203" s="21">
        <f>D203/C203</f>
        <v>3250</v>
      </c>
    </row>
    <row r="204" spans="1:7" ht="18" customHeight="1" x14ac:dyDescent="0.3">
      <c r="A204" s="23"/>
      <c r="B204" s="19"/>
      <c r="C204" s="20"/>
      <c r="D204" s="21"/>
      <c r="E204" s="21"/>
    </row>
    <row r="205" spans="1:7" ht="18" customHeight="1" x14ac:dyDescent="0.3">
      <c r="A205" s="66" t="s">
        <v>33</v>
      </c>
      <c r="B205" s="66"/>
      <c r="C205" s="66"/>
      <c r="D205" s="66"/>
      <c r="E205" s="22">
        <f>SUM(E203)</f>
        <v>3250</v>
      </c>
    </row>
    <row r="206" spans="1:7" ht="18" customHeight="1" x14ac:dyDescent="0.3">
      <c r="A206" s="19"/>
      <c r="B206" s="16"/>
      <c r="C206" s="16"/>
      <c r="D206" s="16"/>
      <c r="E206" s="16"/>
    </row>
    <row r="207" spans="1:7" ht="18" customHeight="1" x14ac:dyDescent="0.3">
      <c r="A207" s="66" t="s">
        <v>44</v>
      </c>
      <c r="B207" s="66"/>
      <c r="C207" s="66"/>
      <c r="D207" s="66"/>
      <c r="E207" s="22">
        <f>SUM(E185,E195,E200,E205)</f>
        <v>17686.152000000002</v>
      </c>
    </row>
    <row r="210" spans="1:7" ht="18" customHeight="1" x14ac:dyDescent="0.3">
      <c r="A210" s="71" t="s">
        <v>100</v>
      </c>
      <c r="B210" s="72"/>
      <c r="C210" s="72"/>
      <c r="D210" s="15" t="s">
        <v>24</v>
      </c>
      <c r="E210" s="15" t="s">
        <v>94</v>
      </c>
    </row>
    <row r="211" spans="1:7" ht="18" customHeight="1" x14ac:dyDescent="0.3">
      <c r="A211" s="73"/>
      <c r="B211" s="74"/>
      <c r="C211" s="74"/>
      <c r="D211" s="17" t="s">
        <v>25</v>
      </c>
      <c r="E211" s="17" t="s">
        <v>4</v>
      </c>
    </row>
    <row r="212" spans="1:7" ht="18" customHeight="1" x14ac:dyDescent="0.3">
      <c r="A212" s="68" t="s">
        <v>26</v>
      </c>
      <c r="B212" s="69"/>
      <c r="C212" s="69"/>
      <c r="D212" s="69"/>
      <c r="E212" s="69"/>
    </row>
    <row r="213" spans="1:7" ht="18" customHeight="1" x14ac:dyDescent="0.3">
      <c r="A213" s="18" t="s">
        <v>27</v>
      </c>
      <c r="B213" s="18" t="s">
        <v>25</v>
      </c>
      <c r="C213" s="18" t="s">
        <v>28</v>
      </c>
      <c r="D213" s="18" t="s">
        <v>29</v>
      </c>
      <c r="E213" s="18" t="s">
        <v>30</v>
      </c>
    </row>
    <row r="214" spans="1:7" ht="18" customHeight="1" x14ac:dyDescent="0.3">
      <c r="A214" s="19" t="s">
        <v>31</v>
      </c>
      <c r="B214" s="19" t="s">
        <v>32</v>
      </c>
      <c r="C214" s="20">
        <v>0.05</v>
      </c>
      <c r="D214" s="21">
        <f>E233</f>
        <v>6000</v>
      </c>
      <c r="E214" s="21">
        <f>C214*D214</f>
        <v>300</v>
      </c>
    </row>
    <row r="215" spans="1:7" ht="18" customHeight="1" x14ac:dyDescent="0.3">
      <c r="A215" s="19"/>
      <c r="B215" s="19"/>
      <c r="C215" s="19"/>
      <c r="D215" s="21"/>
      <c r="E215" s="21"/>
    </row>
    <row r="216" spans="1:7" ht="18" customHeight="1" x14ac:dyDescent="0.3">
      <c r="A216" s="66" t="s">
        <v>33</v>
      </c>
      <c r="B216" s="67"/>
      <c r="C216" s="67"/>
      <c r="D216" s="67"/>
      <c r="E216" s="22">
        <f>SUM(E214:E214)</f>
        <v>300</v>
      </c>
    </row>
    <row r="217" spans="1:7" ht="18" customHeight="1" x14ac:dyDescent="0.3">
      <c r="A217" s="68" t="s">
        <v>34</v>
      </c>
      <c r="B217" s="69"/>
      <c r="C217" s="69"/>
      <c r="D217" s="69"/>
      <c r="E217" s="69"/>
    </row>
    <row r="218" spans="1:7" ht="18" customHeight="1" x14ac:dyDescent="0.3">
      <c r="A218" s="18" t="s">
        <v>27</v>
      </c>
      <c r="B218" s="18" t="s">
        <v>25</v>
      </c>
      <c r="C218" s="18" t="s">
        <v>35</v>
      </c>
      <c r="D218" s="18" t="s">
        <v>36</v>
      </c>
      <c r="E218" s="18" t="s">
        <v>30</v>
      </c>
    </row>
    <row r="219" spans="1:7" ht="18" customHeight="1" x14ac:dyDescent="0.3">
      <c r="A219" s="23" t="s">
        <v>114</v>
      </c>
      <c r="B219" s="19" t="s">
        <v>4</v>
      </c>
      <c r="C219" s="29">
        <v>4.5984151368760065E-2</v>
      </c>
      <c r="D219" s="21">
        <v>276000</v>
      </c>
      <c r="E219" s="21">
        <f>C219*D219</f>
        <v>12691.625777777777</v>
      </c>
      <c r="G219" s="31"/>
    </row>
    <row r="220" spans="1:7" ht="18" customHeight="1" x14ac:dyDescent="0.3">
      <c r="A220" s="23"/>
      <c r="B220" s="19"/>
      <c r="C220" s="29"/>
      <c r="D220" s="21"/>
      <c r="E220" s="21"/>
    </row>
    <row r="221" spans="1:7" ht="18" customHeight="1" x14ac:dyDescent="0.3">
      <c r="A221" s="25" t="s">
        <v>37</v>
      </c>
      <c r="B221" s="75"/>
      <c r="C221" s="74"/>
      <c r="D221" s="74"/>
      <c r="E221" s="21">
        <v>0</v>
      </c>
    </row>
    <row r="222" spans="1:7" ht="18" customHeight="1" x14ac:dyDescent="0.3">
      <c r="A222" s="25"/>
      <c r="B222" s="26"/>
      <c r="C222" s="16"/>
      <c r="D222" s="16"/>
      <c r="E222" s="21"/>
    </row>
    <row r="223" spans="1:7" ht="18" customHeight="1" x14ac:dyDescent="0.3">
      <c r="A223" s="66" t="s">
        <v>33</v>
      </c>
      <c r="B223" s="67"/>
      <c r="C223" s="67"/>
      <c r="D223" s="67"/>
      <c r="E223" s="22">
        <f>SUM(E219:E221)</f>
        <v>12691.625777777777</v>
      </c>
    </row>
    <row r="224" spans="1:7" ht="18" customHeight="1" x14ac:dyDescent="0.3">
      <c r="A224" s="68" t="s">
        <v>38</v>
      </c>
      <c r="B224" s="69"/>
      <c r="C224" s="69"/>
      <c r="D224" s="69"/>
      <c r="E224" s="69"/>
    </row>
    <row r="225" spans="1:5" ht="18" customHeight="1" x14ac:dyDescent="0.3">
      <c r="A225" s="18" t="s">
        <v>27</v>
      </c>
      <c r="B225" s="18" t="s">
        <v>25</v>
      </c>
      <c r="C225" s="18" t="s">
        <v>28</v>
      </c>
      <c r="D225" s="18" t="s">
        <v>29</v>
      </c>
      <c r="E225" s="18" t="s">
        <v>30</v>
      </c>
    </row>
    <row r="226" spans="1:5" ht="18" customHeight="1" x14ac:dyDescent="0.3">
      <c r="A226" s="23" t="s">
        <v>39</v>
      </c>
      <c r="B226" s="19" t="s">
        <v>40</v>
      </c>
      <c r="C226" s="20">
        <v>0</v>
      </c>
      <c r="D226" s="21">
        <v>60000</v>
      </c>
      <c r="E226" s="21">
        <f>D226*C226</f>
        <v>0</v>
      </c>
    </row>
    <row r="227" spans="1:5" ht="18" customHeight="1" x14ac:dyDescent="0.3">
      <c r="A227" s="23"/>
      <c r="B227" s="19"/>
      <c r="C227" s="20"/>
      <c r="D227" s="21"/>
      <c r="E227" s="21"/>
    </row>
    <row r="228" spans="1:5" ht="18" customHeight="1" x14ac:dyDescent="0.3">
      <c r="A228" s="66" t="s">
        <v>33</v>
      </c>
      <c r="B228" s="67"/>
      <c r="C228" s="67"/>
      <c r="D228" s="67"/>
      <c r="E228" s="22">
        <f>SUM(E226)</f>
        <v>0</v>
      </c>
    </row>
    <row r="229" spans="1:5" ht="18" customHeight="1" x14ac:dyDescent="0.3">
      <c r="A229" s="68" t="s">
        <v>41</v>
      </c>
      <c r="B229" s="69"/>
      <c r="C229" s="69"/>
      <c r="D229" s="69"/>
      <c r="E229" s="69"/>
    </row>
    <row r="230" spans="1:5" ht="18" customHeight="1" x14ac:dyDescent="0.3">
      <c r="A230" s="18" t="s">
        <v>27</v>
      </c>
      <c r="B230" s="18" t="s">
        <v>25</v>
      </c>
      <c r="C230" s="18" t="s">
        <v>28</v>
      </c>
      <c r="D230" s="18" t="s">
        <v>42</v>
      </c>
      <c r="E230" s="18" t="s">
        <v>30</v>
      </c>
    </row>
    <row r="231" spans="1:5" ht="18" customHeight="1" x14ac:dyDescent="0.3">
      <c r="A231" s="23" t="s">
        <v>49</v>
      </c>
      <c r="B231" s="19" t="s">
        <v>40</v>
      </c>
      <c r="C231" s="20">
        <v>35</v>
      </c>
      <c r="D231" s="21">
        <v>210000</v>
      </c>
      <c r="E231" s="21">
        <f>D231/C231</f>
        <v>6000</v>
      </c>
    </row>
    <row r="232" spans="1:5" ht="18" customHeight="1" x14ac:dyDescent="0.3">
      <c r="A232" s="23"/>
      <c r="B232" s="19"/>
      <c r="C232" s="20"/>
      <c r="D232" s="21"/>
      <c r="E232" s="21"/>
    </row>
    <row r="233" spans="1:5" ht="18" customHeight="1" x14ac:dyDescent="0.3">
      <c r="A233" s="66" t="s">
        <v>33</v>
      </c>
      <c r="B233" s="67"/>
      <c r="C233" s="67"/>
      <c r="D233" s="67"/>
      <c r="E233" s="22">
        <f>SUM(E231)</f>
        <v>6000</v>
      </c>
    </row>
    <row r="234" spans="1:5" ht="18" customHeight="1" x14ac:dyDescent="0.3">
      <c r="A234" s="19"/>
      <c r="B234" s="16"/>
      <c r="C234" s="16"/>
      <c r="D234" s="16"/>
      <c r="E234" s="16"/>
    </row>
    <row r="235" spans="1:5" ht="18" customHeight="1" x14ac:dyDescent="0.3">
      <c r="A235" s="66" t="s">
        <v>44</v>
      </c>
      <c r="B235" s="67"/>
      <c r="C235" s="67"/>
      <c r="D235" s="67"/>
      <c r="E235" s="22">
        <f>SUM(E216,E223,E228,E233)</f>
        <v>18991.625777777779</v>
      </c>
    </row>
    <row r="236" spans="1:5" ht="18" customHeight="1" x14ac:dyDescent="0.3">
      <c r="A236" s="13"/>
      <c r="B236" s="14"/>
      <c r="C236" s="14"/>
      <c r="D236" s="14"/>
      <c r="E236" s="14"/>
    </row>
    <row r="237" spans="1:5" ht="18" customHeight="1" x14ac:dyDescent="0.3">
      <c r="A237" s="13"/>
      <c r="B237" s="14"/>
      <c r="C237" s="14"/>
      <c r="D237" s="14"/>
      <c r="E237" s="14"/>
    </row>
    <row r="238" spans="1:5" ht="32.4" customHeight="1" x14ac:dyDescent="0.3">
      <c r="A238" s="10" t="s">
        <v>121</v>
      </c>
      <c r="B238" s="64"/>
      <c r="C238" s="64"/>
      <c r="D238" s="64"/>
      <c r="E238" s="64"/>
    </row>
    <row r="239" spans="1:5" ht="18" customHeight="1" x14ac:dyDescent="0.3">
      <c r="A239" s="13"/>
      <c r="B239" s="14"/>
      <c r="C239" s="14"/>
      <c r="D239" s="14"/>
      <c r="E239" s="14"/>
    </row>
    <row r="240" spans="1:5" ht="18" customHeight="1" x14ac:dyDescent="0.3">
      <c r="A240" s="76" t="s">
        <v>122</v>
      </c>
      <c r="B240" s="76"/>
      <c r="C240" s="76"/>
      <c r="D240" s="32" t="s">
        <v>24</v>
      </c>
      <c r="E240" s="32" t="s">
        <v>120</v>
      </c>
    </row>
    <row r="241" spans="1:5" ht="18" customHeight="1" x14ac:dyDescent="0.3">
      <c r="A241" s="73"/>
      <c r="B241" s="74"/>
      <c r="C241" s="74"/>
      <c r="D241" s="40" t="s">
        <v>25</v>
      </c>
      <c r="E241" s="40" t="s">
        <v>4</v>
      </c>
    </row>
    <row r="242" spans="1:5" ht="18" customHeight="1" x14ac:dyDescent="0.3">
      <c r="A242" s="68" t="s">
        <v>26</v>
      </c>
      <c r="B242" s="69"/>
      <c r="C242" s="69"/>
      <c r="D242" s="69"/>
      <c r="E242" s="69"/>
    </row>
    <row r="243" spans="1:5" ht="18" customHeight="1" x14ac:dyDescent="0.3">
      <c r="A243" s="40" t="s">
        <v>27</v>
      </c>
      <c r="B243" s="40" t="s">
        <v>25</v>
      </c>
      <c r="C243" s="40" t="s">
        <v>28</v>
      </c>
      <c r="D243" s="40" t="s">
        <v>29</v>
      </c>
      <c r="E243" s="40" t="s">
        <v>30</v>
      </c>
    </row>
    <row r="244" spans="1:5" ht="18" customHeight="1" x14ac:dyDescent="0.3">
      <c r="A244" s="19" t="s">
        <v>31</v>
      </c>
      <c r="B244" s="19" t="s">
        <v>32</v>
      </c>
      <c r="C244" s="20">
        <v>0.1</v>
      </c>
      <c r="D244" s="21">
        <f>E262</f>
        <v>19000</v>
      </c>
      <c r="E244" s="21">
        <f>C244*D244</f>
        <v>1900</v>
      </c>
    </row>
    <row r="245" spans="1:5" ht="18" customHeight="1" x14ac:dyDescent="0.3">
      <c r="A245" s="19"/>
      <c r="B245" s="19"/>
      <c r="C245" s="19"/>
      <c r="D245" s="21"/>
      <c r="E245" s="21"/>
    </row>
    <row r="246" spans="1:5" ht="18" customHeight="1" x14ac:dyDescent="0.3">
      <c r="A246" s="66" t="s">
        <v>33</v>
      </c>
      <c r="B246" s="67"/>
      <c r="C246" s="67"/>
      <c r="D246" s="67"/>
      <c r="E246" s="22">
        <f>SUM(E244:E244)</f>
        <v>1900</v>
      </c>
    </row>
    <row r="247" spans="1:5" ht="18" customHeight="1" x14ac:dyDescent="0.3">
      <c r="A247" s="68" t="s">
        <v>34</v>
      </c>
      <c r="B247" s="69"/>
      <c r="C247" s="69"/>
      <c r="D247" s="69"/>
      <c r="E247" s="69"/>
    </row>
    <row r="248" spans="1:5" ht="18" customHeight="1" x14ac:dyDescent="0.3">
      <c r="A248" s="40" t="s">
        <v>27</v>
      </c>
      <c r="B248" s="40" t="s">
        <v>25</v>
      </c>
      <c r="C248" s="40" t="s">
        <v>35</v>
      </c>
      <c r="D248" s="40" t="s">
        <v>36</v>
      </c>
      <c r="E248" s="40" t="s">
        <v>30</v>
      </c>
    </row>
    <row r="249" spans="1:5" ht="18" customHeight="1" x14ac:dyDescent="0.3">
      <c r="A249" s="23"/>
      <c r="B249" s="19"/>
      <c r="C249" s="29"/>
      <c r="D249" s="21"/>
      <c r="E249" s="21"/>
    </row>
    <row r="250" spans="1:5" ht="18" customHeight="1" x14ac:dyDescent="0.3">
      <c r="A250" s="25" t="s">
        <v>63</v>
      </c>
      <c r="B250" s="75"/>
      <c r="C250" s="74"/>
      <c r="D250" s="74"/>
      <c r="E250" s="21">
        <v>0</v>
      </c>
    </row>
    <row r="251" spans="1:5" ht="18" customHeight="1" x14ac:dyDescent="0.3">
      <c r="A251" s="25"/>
      <c r="B251" s="26"/>
      <c r="C251" s="16"/>
      <c r="D251" s="16"/>
      <c r="E251" s="21"/>
    </row>
    <row r="252" spans="1:5" ht="18" customHeight="1" x14ac:dyDescent="0.3">
      <c r="A252" s="70" t="s">
        <v>33</v>
      </c>
      <c r="B252" s="80"/>
      <c r="C252" s="80"/>
      <c r="D252" s="80"/>
      <c r="E252" s="41">
        <f>SUM(E249:E250)</f>
        <v>0</v>
      </c>
    </row>
    <row r="253" spans="1:5" ht="18" customHeight="1" x14ac:dyDescent="0.3">
      <c r="A253" s="68" t="s">
        <v>38</v>
      </c>
      <c r="B253" s="69"/>
      <c r="C253" s="69"/>
      <c r="D253" s="69"/>
      <c r="E253" s="69"/>
    </row>
    <row r="254" spans="1:5" ht="18" customHeight="1" x14ac:dyDescent="0.3">
      <c r="A254" s="40" t="s">
        <v>27</v>
      </c>
      <c r="B254" s="40" t="s">
        <v>25</v>
      </c>
      <c r="C254" s="40" t="s">
        <v>28</v>
      </c>
      <c r="D254" s="40" t="s">
        <v>29</v>
      </c>
      <c r="E254" s="40" t="s">
        <v>30</v>
      </c>
    </row>
    <row r="255" spans="1:5" ht="18" customHeight="1" x14ac:dyDescent="0.3">
      <c r="A255" s="23" t="s">
        <v>55</v>
      </c>
      <c r="B255" s="19" t="s">
        <v>40</v>
      </c>
      <c r="C255" s="20">
        <v>0</v>
      </c>
      <c r="D255" s="21">
        <v>45000</v>
      </c>
      <c r="E255" s="21">
        <f>D255*C255</f>
        <v>0</v>
      </c>
    </row>
    <row r="256" spans="1:5" ht="18" customHeight="1" x14ac:dyDescent="0.3">
      <c r="A256" s="23"/>
      <c r="B256" s="19"/>
      <c r="C256" s="20"/>
      <c r="D256" s="21"/>
      <c r="E256" s="21"/>
    </row>
    <row r="257" spans="1:5" ht="18" customHeight="1" x14ac:dyDescent="0.3">
      <c r="A257" s="66" t="s">
        <v>33</v>
      </c>
      <c r="B257" s="67"/>
      <c r="C257" s="67"/>
      <c r="D257" s="67"/>
      <c r="E257" s="22">
        <f>SUM(E255)</f>
        <v>0</v>
      </c>
    </row>
    <row r="258" spans="1:5" ht="18" customHeight="1" x14ac:dyDescent="0.3">
      <c r="A258" s="68" t="s">
        <v>41</v>
      </c>
      <c r="B258" s="69"/>
      <c r="C258" s="69"/>
      <c r="D258" s="69"/>
      <c r="E258" s="69"/>
    </row>
    <row r="259" spans="1:5" ht="18" customHeight="1" x14ac:dyDescent="0.3">
      <c r="A259" s="40" t="s">
        <v>27</v>
      </c>
      <c r="B259" s="40" t="s">
        <v>25</v>
      </c>
      <c r="C259" s="40" t="s">
        <v>28</v>
      </c>
      <c r="D259" s="40" t="s">
        <v>42</v>
      </c>
      <c r="E259" s="40" t="s">
        <v>30</v>
      </c>
    </row>
    <row r="260" spans="1:5" ht="18" customHeight="1" x14ac:dyDescent="0.3">
      <c r="A260" s="23" t="s">
        <v>130</v>
      </c>
      <c r="B260" s="19" t="s">
        <v>40</v>
      </c>
      <c r="C260" s="20">
        <v>10</v>
      </c>
      <c r="D260" s="21">
        <v>190000</v>
      </c>
      <c r="E260" s="21">
        <f>D260/C260</f>
        <v>19000</v>
      </c>
    </row>
    <row r="261" spans="1:5" ht="18" customHeight="1" x14ac:dyDescent="0.3">
      <c r="A261" s="23"/>
      <c r="B261" s="19"/>
      <c r="C261" s="20"/>
      <c r="D261" s="21"/>
      <c r="E261" s="21"/>
    </row>
    <row r="262" spans="1:5" ht="18" customHeight="1" x14ac:dyDescent="0.3">
      <c r="A262" s="70" t="s">
        <v>33</v>
      </c>
      <c r="B262" s="80"/>
      <c r="C262" s="80"/>
      <c r="D262" s="80"/>
      <c r="E262" s="41">
        <f>SUM(E260)</f>
        <v>19000</v>
      </c>
    </row>
    <row r="263" spans="1:5" ht="18" customHeight="1" x14ac:dyDescent="0.3">
      <c r="A263" s="19"/>
      <c r="B263" s="16"/>
      <c r="C263" s="16"/>
      <c r="D263" s="16"/>
      <c r="E263" s="16"/>
    </row>
    <row r="264" spans="1:5" ht="18" customHeight="1" x14ac:dyDescent="0.3">
      <c r="A264" s="70" t="s">
        <v>44</v>
      </c>
      <c r="B264" s="80"/>
      <c r="C264" s="80"/>
      <c r="D264" s="80"/>
      <c r="E264" s="41">
        <f>SUM(E246,E252,E257,E262)</f>
        <v>20900</v>
      </c>
    </row>
    <row r="267" spans="1:5" ht="18" customHeight="1" x14ac:dyDescent="0.3">
      <c r="A267" s="71" t="s">
        <v>127</v>
      </c>
      <c r="B267" s="72"/>
      <c r="C267" s="72"/>
      <c r="D267" s="15" t="s">
        <v>24</v>
      </c>
      <c r="E267" s="32" t="s">
        <v>123</v>
      </c>
    </row>
    <row r="268" spans="1:5" ht="18" customHeight="1" x14ac:dyDescent="0.3">
      <c r="A268" s="73"/>
      <c r="B268" s="74"/>
      <c r="C268" s="74"/>
      <c r="D268" s="17" t="s">
        <v>25</v>
      </c>
      <c r="E268" s="17" t="s">
        <v>5</v>
      </c>
    </row>
    <row r="269" spans="1:5" ht="18" customHeight="1" x14ac:dyDescent="0.3">
      <c r="A269" s="68" t="s">
        <v>26</v>
      </c>
      <c r="B269" s="69"/>
      <c r="C269" s="69"/>
      <c r="D269" s="69"/>
      <c r="E269" s="69"/>
    </row>
    <row r="270" spans="1:5" ht="18" customHeight="1" x14ac:dyDescent="0.3">
      <c r="A270" s="18" t="s">
        <v>27</v>
      </c>
      <c r="B270" s="18" t="s">
        <v>25</v>
      </c>
      <c r="C270" s="18" t="s">
        <v>28</v>
      </c>
      <c r="D270" s="18" t="s">
        <v>29</v>
      </c>
      <c r="E270" s="18" t="s">
        <v>30</v>
      </c>
    </row>
    <row r="271" spans="1:5" ht="18" customHeight="1" x14ac:dyDescent="0.3">
      <c r="A271" s="19" t="s">
        <v>31</v>
      </c>
      <c r="B271" s="19" t="s">
        <v>32</v>
      </c>
      <c r="C271" s="20">
        <v>0.1</v>
      </c>
      <c r="D271" s="21">
        <f>E291</f>
        <v>8125</v>
      </c>
      <c r="E271" s="21">
        <f>C271*D271</f>
        <v>812.5</v>
      </c>
    </row>
    <row r="272" spans="1:5" ht="18" customHeight="1" x14ac:dyDescent="0.3">
      <c r="A272" s="19"/>
      <c r="B272" s="19"/>
      <c r="C272" s="19"/>
      <c r="D272" s="21"/>
      <c r="E272" s="21"/>
    </row>
    <row r="273" spans="1:5" ht="18" customHeight="1" x14ac:dyDescent="0.3">
      <c r="A273" s="66" t="s">
        <v>33</v>
      </c>
      <c r="B273" s="67"/>
      <c r="C273" s="67"/>
      <c r="D273" s="67"/>
      <c r="E273" s="22">
        <f>SUM(E271:E271)</f>
        <v>812.5</v>
      </c>
    </row>
    <row r="274" spans="1:5" ht="18" customHeight="1" x14ac:dyDescent="0.3">
      <c r="A274" s="68" t="s">
        <v>34</v>
      </c>
      <c r="B274" s="69"/>
      <c r="C274" s="69"/>
      <c r="D274" s="69"/>
      <c r="E274" s="69"/>
    </row>
    <row r="275" spans="1:5" ht="18" customHeight="1" x14ac:dyDescent="0.3">
      <c r="A275" s="18" t="s">
        <v>27</v>
      </c>
      <c r="B275" s="18" t="s">
        <v>25</v>
      </c>
      <c r="C275" s="18" t="s">
        <v>35</v>
      </c>
      <c r="D275" s="18" t="s">
        <v>36</v>
      </c>
      <c r="E275" s="18" t="s">
        <v>30</v>
      </c>
    </row>
    <row r="276" spans="1:5" ht="18" customHeight="1" x14ac:dyDescent="0.3">
      <c r="A276" s="23" t="s">
        <v>67</v>
      </c>
      <c r="B276" s="19" t="s">
        <v>68</v>
      </c>
      <c r="C276" s="29">
        <v>6.5000000000000002E-2</v>
      </c>
      <c r="D276" s="21">
        <v>620000</v>
      </c>
      <c r="E276" s="21">
        <f>C276*D276</f>
        <v>40300</v>
      </c>
    </row>
    <row r="277" spans="1:5" ht="18" customHeight="1" x14ac:dyDescent="0.3">
      <c r="A277" s="23" t="s">
        <v>65</v>
      </c>
      <c r="B277" s="19" t="s">
        <v>66</v>
      </c>
      <c r="C277" s="33">
        <v>0.5</v>
      </c>
      <c r="D277" s="21">
        <v>4200</v>
      </c>
      <c r="E277" s="21">
        <f>C277*D277</f>
        <v>2100</v>
      </c>
    </row>
    <row r="278" spans="1:5" ht="18" customHeight="1" x14ac:dyDescent="0.3">
      <c r="A278" s="23"/>
      <c r="B278" s="19"/>
      <c r="C278" s="29"/>
      <c r="D278" s="21"/>
      <c r="E278" s="21"/>
    </row>
    <row r="279" spans="1:5" ht="18" customHeight="1" x14ac:dyDescent="0.3">
      <c r="A279" s="25" t="s">
        <v>37</v>
      </c>
      <c r="B279" s="75"/>
      <c r="C279" s="74"/>
      <c r="D279" s="74"/>
      <c r="E279" s="21">
        <v>0</v>
      </c>
    </row>
    <row r="280" spans="1:5" ht="18" customHeight="1" x14ac:dyDescent="0.3">
      <c r="A280" s="25"/>
      <c r="B280" s="26"/>
      <c r="C280" s="16"/>
      <c r="D280" s="16"/>
      <c r="E280" s="21"/>
    </row>
    <row r="281" spans="1:5" ht="18" customHeight="1" x14ac:dyDescent="0.3">
      <c r="A281" s="66" t="s">
        <v>33</v>
      </c>
      <c r="B281" s="67"/>
      <c r="C281" s="67"/>
      <c r="D281" s="67"/>
      <c r="E281" s="22">
        <f>SUM(E276:E279)</f>
        <v>42400</v>
      </c>
    </row>
    <row r="282" spans="1:5" ht="18" customHeight="1" x14ac:dyDescent="0.3">
      <c r="A282" s="68" t="s">
        <v>38</v>
      </c>
      <c r="B282" s="69"/>
      <c r="C282" s="69"/>
      <c r="D282" s="69"/>
      <c r="E282" s="69"/>
    </row>
    <row r="283" spans="1:5" ht="18" customHeight="1" x14ac:dyDescent="0.3">
      <c r="A283" s="18" t="s">
        <v>27</v>
      </c>
      <c r="B283" s="18" t="s">
        <v>25</v>
      </c>
      <c r="C283" s="18" t="s">
        <v>28</v>
      </c>
      <c r="D283" s="18" t="s">
        <v>29</v>
      </c>
      <c r="E283" s="18" t="s">
        <v>30</v>
      </c>
    </row>
    <row r="284" spans="1:5" ht="18" customHeight="1" x14ac:dyDescent="0.3">
      <c r="A284" s="23" t="s">
        <v>39</v>
      </c>
      <c r="B284" s="19" t="s">
        <v>40</v>
      </c>
      <c r="C284" s="20">
        <v>0.02</v>
      </c>
      <c r="D284" s="21">
        <v>45000</v>
      </c>
      <c r="E284" s="21">
        <f>D284*C284</f>
        <v>900</v>
      </c>
    </row>
    <row r="285" spans="1:5" ht="18" customHeight="1" x14ac:dyDescent="0.3">
      <c r="A285" s="23"/>
      <c r="B285" s="19"/>
      <c r="C285" s="20"/>
      <c r="D285" s="21"/>
      <c r="E285" s="21"/>
    </row>
    <row r="286" spans="1:5" ht="18" customHeight="1" x14ac:dyDescent="0.3">
      <c r="A286" s="66" t="s">
        <v>33</v>
      </c>
      <c r="B286" s="67"/>
      <c r="C286" s="67"/>
      <c r="D286" s="67"/>
      <c r="E286" s="22">
        <f>SUM(E284)</f>
        <v>900</v>
      </c>
    </row>
    <row r="287" spans="1:5" ht="18" customHeight="1" x14ac:dyDescent="0.3">
      <c r="A287" s="68" t="s">
        <v>41</v>
      </c>
      <c r="B287" s="69"/>
      <c r="C287" s="69"/>
      <c r="D287" s="69"/>
      <c r="E287" s="69"/>
    </row>
    <row r="288" spans="1:5" ht="18" customHeight="1" x14ac:dyDescent="0.3">
      <c r="A288" s="18" t="s">
        <v>27</v>
      </c>
      <c r="B288" s="18" t="s">
        <v>25</v>
      </c>
      <c r="C288" s="18" t="s">
        <v>28</v>
      </c>
      <c r="D288" s="18" t="s">
        <v>42</v>
      </c>
      <c r="E288" s="18" t="s">
        <v>30</v>
      </c>
    </row>
    <row r="289" spans="1:5" ht="18" customHeight="1" x14ac:dyDescent="0.3">
      <c r="A289" s="23" t="s">
        <v>43</v>
      </c>
      <c r="B289" s="19" t="s">
        <v>40</v>
      </c>
      <c r="C289" s="20">
        <v>16</v>
      </c>
      <c r="D289" s="21">
        <v>130000</v>
      </c>
      <c r="E289" s="21">
        <f>D289/C289</f>
        <v>8125</v>
      </c>
    </row>
    <row r="290" spans="1:5" ht="18" customHeight="1" x14ac:dyDescent="0.3">
      <c r="A290" s="23"/>
      <c r="B290" s="19"/>
      <c r="C290" s="20"/>
      <c r="D290" s="21"/>
      <c r="E290" s="21"/>
    </row>
    <row r="291" spans="1:5" ht="18" customHeight="1" x14ac:dyDescent="0.3">
      <c r="A291" s="66" t="s">
        <v>33</v>
      </c>
      <c r="B291" s="67"/>
      <c r="C291" s="67"/>
      <c r="D291" s="67"/>
      <c r="E291" s="22">
        <f>SUM(E289)</f>
        <v>8125</v>
      </c>
    </row>
    <row r="292" spans="1:5" ht="18" customHeight="1" x14ac:dyDescent="0.3">
      <c r="A292" s="19"/>
      <c r="B292" s="16"/>
      <c r="C292" s="16"/>
      <c r="D292" s="16"/>
      <c r="E292" s="16"/>
    </row>
    <row r="293" spans="1:5" ht="18" customHeight="1" x14ac:dyDescent="0.3">
      <c r="A293" s="66" t="s">
        <v>44</v>
      </c>
      <c r="B293" s="67"/>
      <c r="C293" s="67"/>
      <c r="D293" s="67"/>
      <c r="E293" s="22">
        <f>SUM(E273,E281,E286,E291)</f>
        <v>52237.5</v>
      </c>
    </row>
    <row r="297" spans="1:5" ht="18" customHeight="1" x14ac:dyDescent="0.3">
      <c r="A297" s="37" t="s">
        <v>69</v>
      </c>
      <c r="B297" s="38"/>
      <c r="C297" s="38"/>
      <c r="D297" s="38"/>
      <c r="E297" s="38"/>
    </row>
    <row r="298" spans="1:5" ht="18" customHeight="1" x14ac:dyDescent="0.3">
      <c r="A298" s="13"/>
      <c r="B298" s="14"/>
      <c r="C298" s="14"/>
      <c r="D298" s="14"/>
      <c r="E298" s="14"/>
    </row>
    <row r="299" spans="1:5" ht="18" customHeight="1" x14ac:dyDescent="0.3">
      <c r="A299" s="78" t="s">
        <v>133</v>
      </c>
      <c r="B299" s="79"/>
      <c r="C299" s="79"/>
      <c r="D299" s="39" t="s">
        <v>24</v>
      </c>
      <c r="E299" s="65" t="s">
        <v>131</v>
      </c>
    </row>
    <row r="300" spans="1:5" ht="18" customHeight="1" x14ac:dyDescent="0.3">
      <c r="A300" s="73"/>
      <c r="B300" s="74"/>
      <c r="C300" s="74"/>
      <c r="D300" s="17" t="s">
        <v>25</v>
      </c>
      <c r="E300" s="17" t="s">
        <v>64</v>
      </c>
    </row>
    <row r="301" spans="1:5" ht="18" customHeight="1" x14ac:dyDescent="0.3">
      <c r="A301" s="68" t="s">
        <v>26</v>
      </c>
      <c r="B301" s="69"/>
      <c r="C301" s="69"/>
      <c r="D301" s="69"/>
      <c r="E301" s="69"/>
    </row>
    <row r="302" spans="1:5" ht="18" customHeight="1" x14ac:dyDescent="0.3">
      <c r="A302" s="18" t="s">
        <v>27</v>
      </c>
      <c r="B302" s="18" t="s">
        <v>25</v>
      </c>
      <c r="C302" s="18" t="s">
        <v>28</v>
      </c>
      <c r="D302" s="18" t="s">
        <v>29</v>
      </c>
      <c r="E302" s="18" t="s">
        <v>30</v>
      </c>
    </row>
    <row r="303" spans="1:5" ht="18" customHeight="1" x14ac:dyDescent="0.3">
      <c r="A303" s="23" t="s">
        <v>31</v>
      </c>
      <c r="B303" s="19" t="s">
        <v>32</v>
      </c>
      <c r="C303" s="20">
        <v>0.1</v>
      </c>
      <c r="D303" s="21">
        <f>E322</f>
        <v>8666.6666666666661</v>
      </c>
      <c r="E303" s="21">
        <f>C303*D303</f>
        <v>866.66666666666663</v>
      </c>
    </row>
    <row r="304" spans="1:5" ht="18" customHeight="1" x14ac:dyDescent="0.3">
      <c r="A304" s="19"/>
      <c r="B304" s="19"/>
      <c r="C304" s="19"/>
      <c r="D304" s="21"/>
      <c r="E304" s="21"/>
    </row>
    <row r="305" spans="1:7" ht="18" customHeight="1" x14ac:dyDescent="0.3">
      <c r="A305" s="66" t="s">
        <v>33</v>
      </c>
      <c r="B305" s="67"/>
      <c r="C305" s="67"/>
      <c r="D305" s="67"/>
      <c r="E305" s="22">
        <f>SUM(E303:E303)</f>
        <v>866.66666666666663</v>
      </c>
    </row>
    <row r="306" spans="1:7" ht="18" customHeight="1" x14ac:dyDescent="0.3">
      <c r="A306" s="68" t="s">
        <v>34</v>
      </c>
      <c r="B306" s="69"/>
      <c r="C306" s="69"/>
      <c r="D306" s="69"/>
      <c r="E306" s="69"/>
    </row>
    <row r="307" spans="1:7" ht="18" customHeight="1" x14ac:dyDescent="0.3">
      <c r="A307" s="18" t="s">
        <v>27</v>
      </c>
      <c r="B307" s="18" t="s">
        <v>25</v>
      </c>
      <c r="C307" s="18" t="s">
        <v>35</v>
      </c>
      <c r="D307" s="18" t="s">
        <v>36</v>
      </c>
      <c r="E307" s="18" t="s">
        <v>30</v>
      </c>
    </row>
    <row r="308" spans="1:7" ht="18" customHeight="1" x14ac:dyDescent="0.3">
      <c r="A308" s="23" t="s">
        <v>134</v>
      </c>
      <c r="B308" s="19" t="s">
        <v>4</v>
      </c>
      <c r="C308" s="29">
        <v>2.1934891586264098E-2</v>
      </c>
      <c r="D308" s="21">
        <v>420000</v>
      </c>
      <c r="E308" s="21">
        <f>D308*C308</f>
        <v>9212.6544662309207</v>
      </c>
      <c r="G308" s="31"/>
    </row>
    <row r="309" spans="1:7" ht="18" customHeight="1" x14ac:dyDescent="0.3">
      <c r="A309" s="23"/>
      <c r="B309" s="19"/>
      <c r="C309" s="29"/>
      <c r="D309" s="21"/>
      <c r="E309" s="21"/>
    </row>
    <row r="310" spans="1:7" ht="18" customHeight="1" x14ac:dyDescent="0.3">
      <c r="A310" s="25" t="s">
        <v>37</v>
      </c>
      <c r="B310" s="75"/>
      <c r="C310" s="74"/>
      <c r="D310" s="74"/>
      <c r="E310" s="21">
        <f>SUM(E308:E308)*0.02</f>
        <v>184.25308932461843</v>
      </c>
    </row>
    <row r="311" spans="1:7" ht="18" customHeight="1" x14ac:dyDescent="0.3">
      <c r="A311" s="25"/>
      <c r="B311" s="26"/>
      <c r="C311" s="16"/>
      <c r="D311" s="16"/>
      <c r="E311" s="21"/>
    </row>
    <row r="312" spans="1:7" ht="18" customHeight="1" x14ac:dyDescent="0.3">
      <c r="A312" s="66" t="s">
        <v>33</v>
      </c>
      <c r="B312" s="67"/>
      <c r="C312" s="67"/>
      <c r="D312" s="67"/>
      <c r="E312" s="22">
        <f>SUM(E308:E310)</f>
        <v>9396.9075555555391</v>
      </c>
    </row>
    <row r="313" spans="1:7" ht="18" customHeight="1" x14ac:dyDescent="0.3">
      <c r="A313" s="68" t="s">
        <v>38</v>
      </c>
      <c r="B313" s="69"/>
      <c r="C313" s="69"/>
      <c r="D313" s="69"/>
      <c r="E313" s="69"/>
    </row>
    <row r="314" spans="1:7" ht="18" customHeight="1" x14ac:dyDescent="0.3">
      <c r="A314" s="18" t="s">
        <v>27</v>
      </c>
      <c r="B314" s="18" t="s">
        <v>25</v>
      </c>
      <c r="C314" s="18" t="s">
        <v>28</v>
      </c>
      <c r="D314" s="18" t="s">
        <v>29</v>
      </c>
      <c r="E314" s="18" t="s">
        <v>30</v>
      </c>
    </row>
    <row r="315" spans="1:7" ht="18" customHeight="1" x14ac:dyDescent="0.3">
      <c r="A315" s="23" t="s">
        <v>39</v>
      </c>
      <c r="B315" s="19" t="s">
        <v>40</v>
      </c>
      <c r="C315" s="20">
        <v>1.4999999999999999E-2</v>
      </c>
      <c r="D315" s="21">
        <v>45000</v>
      </c>
      <c r="E315" s="21">
        <f>D315*C315</f>
        <v>675</v>
      </c>
    </row>
    <row r="316" spans="1:7" ht="18" customHeight="1" x14ac:dyDescent="0.3">
      <c r="A316" s="23"/>
      <c r="B316" s="19"/>
      <c r="C316" s="20"/>
      <c r="D316" s="21"/>
      <c r="E316" s="21"/>
    </row>
    <row r="317" spans="1:7" ht="18" customHeight="1" x14ac:dyDescent="0.3">
      <c r="A317" s="66" t="s">
        <v>33</v>
      </c>
      <c r="B317" s="67"/>
      <c r="C317" s="67"/>
      <c r="D317" s="67"/>
      <c r="E317" s="22">
        <f>SUM(E315)</f>
        <v>675</v>
      </c>
    </row>
    <row r="318" spans="1:7" ht="18" customHeight="1" x14ac:dyDescent="0.3">
      <c r="A318" s="68" t="s">
        <v>41</v>
      </c>
      <c r="B318" s="69"/>
      <c r="C318" s="69"/>
      <c r="D318" s="69"/>
      <c r="E318" s="69"/>
    </row>
    <row r="319" spans="1:7" ht="18" customHeight="1" x14ac:dyDescent="0.3">
      <c r="A319" s="18" t="s">
        <v>27</v>
      </c>
      <c r="B319" s="18" t="s">
        <v>25</v>
      </c>
      <c r="C319" s="18" t="s">
        <v>28</v>
      </c>
      <c r="D319" s="18" t="s">
        <v>42</v>
      </c>
      <c r="E319" s="18" t="s">
        <v>30</v>
      </c>
    </row>
    <row r="320" spans="1:7" ht="18" customHeight="1" x14ac:dyDescent="0.3">
      <c r="A320" s="23" t="s">
        <v>43</v>
      </c>
      <c r="B320" s="19" t="s">
        <v>40</v>
      </c>
      <c r="C320" s="20">
        <v>15</v>
      </c>
      <c r="D320" s="21">
        <v>130000</v>
      </c>
      <c r="E320" s="21">
        <f>D320/C320</f>
        <v>8666.6666666666661</v>
      </c>
    </row>
    <row r="321" spans="1:5" ht="18" customHeight="1" x14ac:dyDescent="0.3">
      <c r="A321" s="23"/>
      <c r="B321" s="19"/>
      <c r="C321" s="20"/>
      <c r="D321" s="21"/>
      <c r="E321" s="21"/>
    </row>
    <row r="322" spans="1:5" ht="18" customHeight="1" x14ac:dyDescent="0.3">
      <c r="A322" s="66" t="s">
        <v>33</v>
      </c>
      <c r="B322" s="67"/>
      <c r="C322" s="67"/>
      <c r="D322" s="67"/>
      <c r="E322" s="22">
        <f>SUM(E320)</f>
        <v>8666.6666666666661</v>
      </c>
    </row>
    <row r="323" spans="1:5" ht="18" customHeight="1" x14ac:dyDescent="0.3">
      <c r="A323" s="19"/>
      <c r="B323" s="16"/>
      <c r="C323" s="16"/>
      <c r="D323" s="16"/>
      <c r="E323" s="16"/>
    </row>
    <row r="324" spans="1:5" ht="18" customHeight="1" x14ac:dyDescent="0.3">
      <c r="A324" s="66" t="s">
        <v>44</v>
      </c>
      <c r="B324" s="67"/>
      <c r="C324" s="67"/>
      <c r="D324" s="67"/>
      <c r="E324" s="22">
        <f>SUM(E305,E312,E317,E322)</f>
        <v>19605.240888888871</v>
      </c>
    </row>
    <row r="354" spans="1:5" ht="18" customHeight="1" x14ac:dyDescent="0.3">
      <c r="A354" s="13"/>
      <c r="B354" s="14"/>
      <c r="C354" s="14"/>
      <c r="D354" s="14"/>
      <c r="E354" s="14"/>
    </row>
    <row r="355" spans="1:5" ht="18" customHeight="1" x14ac:dyDescent="0.3">
      <c r="A355" s="76" t="s">
        <v>57</v>
      </c>
      <c r="B355" s="76"/>
      <c r="C355" s="76"/>
      <c r="D355" s="32" t="s">
        <v>24</v>
      </c>
      <c r="E355" s="32">
        <v>5</v>
      </c>
    </row>
    <row r="356" spans="1:5" ht="18" customHeight="1" x14ac:dyDescent="0.3">
      <c r="A356" s="73"/>
      <c r="B356" s="74"/>
      <c r="C356" s="74"/>
      <c r="D356" s="17" t="s">
        <v>25</v>
      </c>
      <c r="E356" s="17" t="s">
        <v>5</v>
      </c>
    </row>
    <row r="357" spans="1:5" ht="18" customHeight="1" x14ac:dyDescent="0.3">
      <c r="A357" s="68" t="s">
        <v>26</v>
      </c>
      <c r="B357" s="69"/>
      <c r="C357" s="69"/>
      <c r="D357" s="69"/>
      <c r="E357" s="69"/>
    </row>
    <row r="358" spans="1:5" ht="18" customHeight="1" x14ac:dyDescent="0.3">
      <c r="A358" s="18" t="s">
        <v>27</v>
      </c>
      <c r="B358" s="18" t="s">
        <v>25</v>
      </c>
      <c r="C358" s="18" t="s">
        <v>28</v>
      </c>
      <c r="D358" s="18" t="s">
        <v>29</v>
      </c>
      <c r="E358" s="18" t="s">
        <v>30</v>
      </c>
    </row>
    <row r="359" spans="1:5" ht="18" customHeight="1" x14ac:dyDescent="0.3">
      <c r="A359" s="19" t="s">
        <v>31</v>
      </c>
      <c r="B359" s="19" t="s">
        <v>32</v>
      </c>
      <c r="C359" s="20">
        <v>0.1</v>
      </c>
      <c r="D359" s="21">
        <f>E381</f>
        <v>2888.8888888888887</v>
      </c>
      <c r="E359" s="21">
        <f>C359*D359</f>
        <v>288.88888888888886</v>
      </c>
    </row>
    <row r="360" spans="1:5" ht="18" customHeight="1" x14ac:dyDescent="0.3">
      <c r="A360" s="19"/>
      <c r="B360" s="19"/>
      <c r="C360" s="19"/>
      <c r="D360" s="21"/>
      <c r="E360" s="21"/>
    </row>
    <row r="361" spans="1:5" ht="18" customHeight="1" x14ac:dyDescent="0.3">
      <c r="A361" s="66" t="s">
        <v>33</v>
      </c>
      <c r="B361" s="67"/>
      <c r="C361" s="67"/>
      <c r="D361" s="67"/>
      <c r="E361" s="22">
        <f>SUM(E359:E359)</f>
        <v>288.88888888888886</v>
      </c>
    </row>
    <row r="362" spans="1:5" ht="18" customHeight="1" x14ac:dyDescent="0.3">
      <c r="A362" s="68" t="s">
        <v>34</v>
      </c>
      <c r="B362" s="69"/>
      <c r="C362" s="69"/>
      <c r="D362" s="69"/>
      <c r="E362" s="69"/>
    </row>
    <row r="363" spans="1:5" ht="18" customHeight="1" x14ac:dyDescent="0.3">
      <c r="A363" s="18" t="s">
        <v>27</v>
      </c>
      <c r="B363" s="18" t="s">
        <v>25</v>
      </c>
      <c r="C363" s="18" t="s">
        <v>35</v>
      </c>
      <c r="D363" s="18" t="s">
        <v>36</v>
      </c>
      <c r="E363" s="18" t="s">
        <v>30</v>
      </c>
    </row>
    <row r="364" spans="1:5" ht="18" customHeight="1" x14ac:dyDescent="0.3">
      <c r="A364" s="23" t="s">
        <v>58</v>
      </c>
      <c r="B364" s="19" t="s">
        <v>4</v>
      </c>
      <c r="C364" s="33">
        <v>1</v>
      </c>
      <c r="D364" s="21">
        <v>60000</v>
      </c>
      <c r="E364" s="21">
        <f>C364*D364</f>
        <v>60000</v>
      </c>
    </row>
    <row r="365" spans="1:5" ht="18" customHeight="1" x14ac:dyDescent="0.3">
      <c r="A365" s="23" t="s">
        <v>59</v>
      </c>
      <c r="B365" s="19" t="s">
        <v>4</v>
      </c>
      <c r="C365" s="29">
        <v>0.15</v>
      </c>
      <c r="D365" s="21">
        <v>38000</v>
      </c>
      <c r="E365" s="21">
        <f>C365*D365</f>
        <v>5700</v>
      </c>
    </row>
    <row r="366" spans="1:5" ht="18" customHeight="1" x14ac:dyDescent="0.3">
      <c r="A366" s="23" t="s">
        <v>60</v>
      </c>
      <c r="B366" s="19" t="s">
        <v>4</v>
      </c>
      <c r="C366" s="29">
        <v>0.1</v>
      </c>
      <c r="D366" s="21">
        <v>28000</v>
      </c>
      <c r="E366" s="21">
        <f>C366*D366</f>
        <v>2800</v>
      </c>
    </row>
    <row r="367" spans="1:5" ht="18" customHeight="1" x14ac:dyDescent="0.3">
      <c r="A367" s="23" t="s">
        <v>61</v>
      </c>
      <c r="B367" s="19" t="s">
        <v>62</v>
      </c>
      <c r="C367" s="29">
        <v>0.1</v>
      </c>
      <c r="D367" s="21">
        <v>15000</v>
      </c>
      <c r="E367" s="21">
        <f>C367*D367</f>
        <v>1500</v>
      </c>
    </row>
    <row r="368" spans="1:5" ht="18" customHeight="1" x14ac:dyDescent="0.3">
      <c r="A368" s="23"/>
      <c r="B368" s="19"/>
      <c r="C368" s="29"/>
      <c r="D368" s="21"/>
      <c r="E368" s="21"/>
    </row>
    <row r="369" spans="1:5" ht="18" customHeight="1" x14ac:dyDescent="0.3">
      <c r="A369" s="34" t="s">
        <v>63</v>
      </c>
      <c r="B369" s="77"/>
      <c r="C369" s="74"/>
      <c r="D369" s="74"/>
      <c r="E369" s="36">
        <f>(E364+E368)*0.05</f>
        <v>3000</v>
      </c>
    </row>
    <row r="370" spans="1:5" ht="18" customHeight="1" x14ac:dyDescent="0.3">
      <c r="A370" s="34"/>
      <c r="B370" s="35"/>
      <c r="C370" s="16"/>
      <c r="D370" s="16"/>
      <c r="E370" s="36"/>
    </row>
    <row r="371" spans="1:5" ht="18" customHeight="1" x14ac:dyDescent="0.3">
      <c r="A371" s="66" t="s">
        <v>33</v>
      </c>
      <c r="B371" s="67"/>
      <c r="C371" s="67"/>
      <c r="D371" s="67"/>
      <c r="E371" s="22">
        <f>SUM(E364:E369)</f>
        <v>73000</v>
      </c>
    </row>
    <row r="372" spans="1:5" ht="18" customHeight="1" x14ac:dyDescent="0.3">
      <c r="A372" s="68" t="s">
        <v>38</v>
      </c>
      <c r="B372" s="69"/>
      <c r="C372" s="69"/>
      <c r="D372" s="69"/>
      <c r="E372" s="69"/>
    </row>
    <row r="373" spans="1:5" ht="18" customHeight="1" x14ac:dyDescent="0.3">
      <c r="A373" s="18" t="s">
        <v>27</v>
      </c>
      <c r="B373" s="18" t="s">
        <v>25</v>
      </c>
      <c r="C373" s="18" t="s">
        <v>28</v>
      </c>
      <c r="D373" s="18" t="s">
        <v>29</v>
      </c>
      <c r="E373" s="18" t="s">
        <v>30</v>
      </c>
    </row>
    <row r="374" spans="1:5" ht="18" customHeight="1" x14ac:dyDescent="0.3">
      <c r="A374" s="23" t="s">
        <v>55</v>
      </c>
      <c r="B374" s="19" t="s">
        <v>40</v>
      </c>
      <c r="C374" s="20">
        <v>2.5000000000000001E-2</v>
      </c>
      <c r="D374" s="21">
        <v>45000</v>
      </c>
      <c r="E374" s="21">
        <f>D374*C374</f>
        <v>1125</v>
      </c>
    </row>
    <row r="375" spans="1:5" ht="18" customHeight="1" x14ac:dyDescent="0.3">
      <c r="A375" s="23"/>
      <c r="B375" s="19"/>
      <c r="C375" s="20"/>
      <c r="D375" s="21"/>
      <c r="E375" s="21"/>
    </row>
    <row r="376" spans="1:5" ht="18" customHeight="1" x14ac:dyDescent="0.3">
      <c r="A376" s="66" t="s">
        <v>33</v>
      </c>
      <c r="B376" s="67"/>
      <c r="C376" s="67"/>
      <c r="D376" s="67"/>
      <c r="E376" s="22">
        <f>SUM(E374)</f>
        <v>1125</v>
      </c>
    </row>
    <row r="377" spans="1:5" ht="18" customHeight="1" x14ac:dyDescent="0.3">
      <c r="A377" s="68" t="s">
        <v>41</v>
      </c>
      <c r="B377" s="69"/>
      <c r="C377" s="69"/>
      <c r="D377" s="69"/>
      <c r="E377" s="69"/>
    </row>
    <row r="378" spans="1:5" ht="18" customHeight="1" x14ac:dyDescent="0.3">
      <c r="A378" s="18" t="s">
        <v>27</v>
      </c>
      <c r="B378" s="18" t="s">
        <v>25</v>
      </c>
      <c r="C378" s="18" t="s">
        <v>28</v>
      </c>
      <c r="D378" s="18" t="s">
        <v>42</v>
      </c>
      <c r="E378" s="18" t="s">
        <v>30</v>
      </c>
    </row>
    <row r="379" spans="1:5" ht="18" customHeight="1" x14ac:dyDescent="0.3">
      <c r="A379" s="23" t="s">
        <v>49</v>
      </c>
      <c r="B379" s="19" t="s">
        <v>40</v>
      </c>
      <c r="C379" s="20">
        <v>45</v>
      </c>
      <c r="D379" s="21">
        <v>130000</v>
      </c>
      <c r="E379" s="21">
        <f>D379/C379</f>
        <v>2888.8888888888887</v>
      </c>
    </row>
    <row r="380" spans="1:5" ht="18" customHeight="1" x14ac:dyDescent="0.3">
      <c r="A380" s="23"/>
      <c r="B380" s="19"/>
      <c r="C380" s="20"/>
      <c r="D380" s="21"/>
      <c r="E380" s="21"/>
    </row>
    <row r="381" spans="1:5" ht="18" customHeight="1" x14ac:dyDescent="0.3">
      <c r="A381" s="66" t="s">
        <v>33</v>
      </c>
      <c r="B381" s="67"/>
      <c r="C381" s="67"/>
      <c r="D381" s="67"/>
      <c r="E381" s="22">
        <f>SUM(E379)</f>
        <v>2888.8888888888887</v>
      </c>
    </row>
    <row r="382" spans="1:5" ht="18" customHeight="1" x14ac:dyDescent="0.3">
      <c r="A382" s="19"/>
      <c r="B382" s="16"/>
      <c r="C382" s="16"/>
      <c r="D382" s="16"/>
      <c r="E382" s="16"/>
    </row>
    <row r="383" spans="1:5" ht="18" customHeight="1" x14ac:dyDescent="0.3">
      <c r="A383" s="66" t="s">
        <v>44</v>
      </c>
      <c r="B383" s="67"/>
      <c r="C383" s="67"/>
      <c r="D383" s="67"/>
      <c r="E383" s="22">
        <f>SUM(E361,E371,E376,E381)</f>
        <v>77302.777777777781</v>
      </c>
    </row>
  </sheetData>
  <mergeCells count="145">
    <mergeCell ref="B15:D15"/>
    <mergeCell ref="A17:D17"/>
    <mergeCell ref="A18:E18"/>
    <mergeCell ref="A22:D22"/>
    <mergeCell ref="A23:E23"/>
    <mergeCell ref="A27:D27"/>
    <mergeCell ref="A1:E1"/>
    <mergeCell ref="A5:C5"/>
    <mergeCell ref="A6:C6"/>
    <mergeCell ref="A7:E7"/>
    <mergeCell ref="A11:D11"/>
    <mergeCell ref="A12:E12"/>
    <mergeCell ref="B45:D45"/>
    <mergeCell ref="A47:D47"/>
    <mergeCell ref="A48:E48"/>
    <mergeCell ref="A52:D52"/>
    <mergeCell ref="A53:E53"/>
    <mergeCell ref="A57:D57"/>
    <mergeCell ref="A29:D29"/>
    <mergeCell ref="A32:C32"/>
    <mergeCell ref="A33:C33"/>
    <mergeCell ref="A34:E34"/>
    <mergeCell ref="A38:D38"/>
    <mergeCell ref="A39:E39"/>
    <mergeCell ref="B104:D104"/>
    <mergeCell ref="A106:D106"/>
    <mergeCell ref="A107:E107"/>
    <mergeCell ref="A111:D111"/>
    <mergeCell ref="A112:E112"/>
    <mergeCell ref="A116:D116"/>
    <mergeCell ref="A59:D59"/>
    <mergeCell ref="A92:C92"/>
    <mergeCell ref="A93:C93"/>
    <mergeCell ref="A94:E94"/>
    <mergeCell ref="A98:D98"/>
    <mergeCell ref="A99:E99"/>
    <mergeCell ref="A118:D118"/>
    <mergeCell ref="A179:C179"/>
    <mergeCell ref="A180:C180"/>
    <mergeCell ref="A181:E181"/>
    <mergeCell ref="A185:D185"/>
    <mergeCell ref="A186:E186"/>
    <mergeCell ref="A121:C121"/>
    <mergeCell ref="A122:C122"/>
    <mergeCell ref="A123:E123"/>
    <mergeCell ref="A127:D127"/>
    <mergeCell ref="A264:D264"/>
    <mergeCell ref="B250:D250"/>
    <mergeCell ref="A252:D252"/>
    <mergeCell ref="A253:E253"/>
    <mergeCell ref="A257:D257"/>
    <mergeCell ref="A258:E258"/>
    <mergeCell ref="A262:D262"/>
    <mergeCell ref="A207:D207"/>
    <mergeCell ref="A240:C240"/>
    <mergeCell ref="A241:C241"/>
    <mergeCell ref="A242:E242"/>
    <mergeCell ref="A246:D246"/>
    <mergeCell ref="A247:E247"/>
    <mergeCell ref="A217:E217"/>
    <mergeCell ref="B221:D221"/>
    <mergeCell ref="A223:D223"/>
    <mergeCell ref="A224:E224"/>
    <mergeCell ref="A282:E282"/>
    <mergeCell ref="A286:D286"/>
    <mergeCell ref="A287:E287"/>
    <mergeCell ref="A291:D291"/>
    <mergeCell ref="A267:C267"/>
    <mergeCell ref="A268:C268"/>
    <mergeCell ref="A269:E269"/>
    <mergeCell ref="A273:D273"/>
    <mergeCell ref="A274:E274"/>
    <mergeCell ref="A77:D77"/>
    <mergeCell ref="A78:E78"/>
    <mergeCell ref="A82:D82"/>
    <mergeCell ref="A83:E83"/>
    <mergeCell ref="A87:D87"/>
    <mergeCell ref="A89:D89"/>
    <mergeCell ref="A62:C62"/>
    <mergeCell ref="A63:C63"/>
    <mergeCell ref="A64:E64"/>
    <mergeCell ref="A69:D69"/>
    <mergeCell ref="A70:E70"/>
    <mergeCell ref="B75:D75"/>
    <mergeCell ref="A377:E377"/>
    <mergeCell ref="A381:D381"/>
    <mergeCell ref="A383:D383"/>
    <mergeCell ref="A355:C355"/>
    <mergeCell ref="A356:C356"/>
    <mergeCell ref="A357:E357"/>
    <mergeCell ref="A361:D361"/>
    <mergeCell ref="A362:E362"/>
    <mergeCell ref="B369:D369"/>
    <mergeCell ref="A128:E128"/>
    <mergeCell ref="B133:D133"/>
    <mergeCell ref="A135:D135"/>
    <mergeCell ref="A136:E136"/>
    <mergeCell ref="A140:D140"/>
    <mergeCell ref="A141:E141"/>
    <mergeCell ref="A371:D371"/>
    <mergeCell ref="A372:E372"/>
    <mergeCell ref="A376:D376"/>
    <mergeCell ref="A324:D324"/>
    <mergeCell ref="B310:D310"/>
    <mergeCell ref="A312:D312"/>
    <mergeCell ref="A313:E313"/>
    <mergeCell ref="A317:D317"/>
    <mergeCell ref="A318:E318"/>
    <mergeCell ref="A322:D322"/>
    <mergeCell ref="A293:D293"/>
    <mergeCell ref="A299:C299"/>
    <mergeCell ref="A300:C300"/>
    <mergeCell ref="A301:E301"/>
    <mergeCell ref="A305:D305"/>
    <mergeCell ref="A306:E306"/>
    <mergeCell ref="B279:D279"/>
    <mergeCell ref="A281:D281"/>
    <mergeCell ref="A159:E159"/>
    <mergeCell ref="B162:D162"/>
    <mergeCell ref="A164:D164"/>
    <mergeCell ref="A165:E165"/>
    <mergeCell ref="A169:D169"/>
    <mergeCell ref="A170:E170"/>
    <mergeCell ref="A145:D145"/>
    <mergeCell ref="A147:D147"/>
    <mergeCell ref="A152:C152"/>
    <mergeCell ref="A153:C153"/>
    <mergeCell ref="A154:E154"/>
    <mergeCell ref="A158:D158"/>
    <mergeCell ref="A228:D228"/>
    <mergeCell ref="A229:E229"/>
    <mergeCell ref="A233:D233"/>
    <mergeCell ref="A235:D235"/>
    <mergeCell ref="A174:D174"/>
    <mergeCell ref="A176:D176"/>
    <mergeCell ref="A210:C210"/>
    <mergeCell ref="A211:C211"/>
    <mergeCell ref="A212:E212"/>
    <mergeCell ref="A216:D216"/>
    <mergeCell ref="B193:D193"/>
    <mergeCell ref="A195:D195"/>
    <mergeCell ref="A196:E196"/>
    <mergeCell ref="A200:D200"/>
    <mergeCell ref="A201:E201"/>
    <mergeCell ref="A205:D205"/>
  </mergeCells>
  <pageMargins left="0.7" right="0.7" top="0.75" bottom="0.75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7741-6563-4949-920B-0D97C973B262}">
  <dimension ref="A3:H51"/>
  <sheetViews>
    <sheetView view="pageBreakPreview" topLeftCell="A22" zoomScale="85" zoomScaleNormal="90" zoomScaleSheetLayoutView="85" workbookViewId="0">
      <selection activeCell="D31" sqref="D31:D36"/>
    </sheetView>
  </sheetViews>
  <sheetFormatPr baseColWidth="10" defaultRowHeight="15.6" x14ac:dyDescent="0.3"/>
  <cols>
    <col min="1" max="1" width="11.77734375" style="58" customWidth="1"/>
    <col min="2" max="2" width="79" style="58" customWidth="1"/>
    <col min="3" max="3" width="11.5546875" style="58"/>
    <col min="4" max="4" width="21" style="59" customWidth="1"/>
    <col min="5" max="7" width="19.88671875" style="58" customWidth="1"/>
    <col min="8" max="16384" width="11.5546875" style="58"/>
  </cols>
  <sheetData>
    <row r="3" spans="1:8" x14ac:dyDescent="0.3">
      <c r="A3" s="57" t="s">
        <v>20</v>
      </c>
    </row>
    <row r="4" spans="1:8" x14ac:dyDescent="0.3">
      <c r="A4" s="58" t="s">
        <v>72</v>
      </c>
    </row>
    <row r="7" spans="1:8" ht="25.05" customHeight="1" x14ac:dyDescent="0.3">
      <c r="A7" s="6" t="s">
        <v>0</v>
      </c>
      <c r="B7" s="7" t="s">
        <v>1</v>
      </c>
      <c r="C7" s="6" t="s">
        <v>83</v>
      </c>
      <c r="D7" s="6" t="s">
        <v>22</v>
      </c>
    </row>
    <row r="8" spans="1:8" ht="19.95" customHeight="1" x14ac:dyDescent="0.3">
      <c r="A8" s="42" t="s">
        <v>85</v>
      </c>
      <c r="B8" s="43" t="s">
        <v>3</v>
      </c>
      <c r="C8" s="44" t="s">
        <v>4</v>
      </c>
      <c r="D8" s="45"/>
    </row>
    <row r="9" spans="1:8" ht="34.799999999999997" customHeight="1" x14ac:dyDescent="0.3">
      <c r="A9" s="1" t="s">
        <v>86</v>
      </c>
      <c r="B9" s="2" t="s">
        <v>6</v>
      </c>
      <c r="C9" s="3" t="s">
        <v>7</v>
      </c>
      <c r="D9" s="8">
        <v>650000</v>
      </c>
    </row>
    <row r="10" spans="1:8" ht="19.8" customHeight="1" x14ac:dyDescent="0.3">
      <c r="A10" s="1" t="s">
        <v>87</v>
      </c>
      <c r="B10" s="2" t="s">
        <v>8</v>
      </c>
      <c r="C10" s="3" t="s">
        <v>7</v>
      </c>
      <c r="D10" s="8">
        <v>170000</v>
      </c>
    </row>
    <row r="11" spans="1:8" ht="19.8" customHeight="1" x14ac:dyDescent="0.3">
      <c r="A11" s="1" t="s">
        <v>88</v>
      </c>
      <c r="B11" s="2" t="s">
        <v>9</v>
      </c>
      <c r="C11" s="3" t="s">
        <v>7</v>
      </c>
      <c r="D11" s="8">
        <v>0</v>
      </c>
    </row>
    <row r="12" spans="1:8" ht="19.95" customHeight="1" x14ac:dyDescent="0.3">
      <c r="A12" s="42" t="s">
        <v>84</v>
      </c>
      <c r="B12" s="43" t="s">
        <v>18</v>
      </c>
      <c r="C12" s="44" t="s">
        <v>4</v>
      </c>
      <c r="D12" s="46"/>
    </row>
    <row r="13" spans="1:8" ht="19.95" customHeight="1" x14ac:dyDescent="0.3">
      <c r="A13" s="48" t="s">
        <v>73</v>
      </c>
      <c r="B13" s="49" t="s">
        <v>10</v>
      </c>
      <c r="C13" s="48" t="s">
        <v>4</v>
      </c>
      <c r="D13" s="50">
        <v>186300</v>
      </c>
      <c r="H13" s="58">
        <f>480/15</f>
        <v>32</v>
      </c>
    </row>
    <row r="14" spans="1:8" ht="36" customHeight="1" x14ac:dyDescent="0.3">
      <c r="A14" s="48" t="s">
        <v>74</v>
      </c>
      <c r="B14" s="49" t="s">
        <v>21</v>
      </c>
      <c r="C14" s="48" t="s">
        <v>4</v>
      </c>
      <c r="D14" s="50">
        <v>186300</v>
      </c>
    </row>
    <row r="15" spans="1:8" ht="40.049999999999997" customHeight="1" x14ac:dyDescent="0.3">
      <c r="A15" s="48" t="s">
        <v>75</v>
      </c>
      <c r="B15" s="49" t="s">
        <v>11</v>
      </c>
      <c r="C15" s="48" t="s">
        <v>4</v>
      </c>
      <c r="D15" s="50">
        <v>159500</v>
      </c>
    </row>
    <row r="16" spans="1:8" ht="27" customHeight="1" x14ac:dyDescent="0.3">
      <c r="A16" s="48" t="s">
        <v>76</v>
      </c>
      <c r="B16" s="49" t="s">
        <v>12</v>
      </c>
      <c r="C16" s="48" t="s">
        <v>4</v>
      </c>
      <c r="D16" s="50">
        <v>176000</v>
      </c>
    </row>
    <row r="17" spans="1:7" ht="41.4" customHeight="1" x14ac:dyDescent="0.3">
      <c r="A17" s="51" t="s">
        <v>77</v>
      </c>
      <c r="B17" s="52" t="s">
        <v>19</v>
      </c>
      <c r="C17" s="51" t="s">
        <v>4</v>
      </c>
      <c r="D17" s="53">
        <f>SUM(D18:D22)</f>
        <v>190199.99999999997</v>
      </c>
      <c r="E17" s="60"/>
      <c r="F17" s="61"/>
      <c r="G17" s="61"/>
    </row>
    <row r="18" spans="1:7" ht="25.05" customHeight="1" x14ac:dyDescent="0.3">
      <c r="A18" s="4" t="s">
        <v>90</v>
      </c>
      <c r="B18" s="47" t="s">
        <v>102</v>
      </c>
      <c r="C18" s="4"/>
      <c r="D18" s="9">
        <f>'APU O.G'!E29</f>
        <v>4085.7142857142858</v>
      </c>
      <c r="E18" s="62"/>
      <c r="F18" s="63"/>
      <c r="G18" s="63"/>
    </row>
    <row r="19" spans="1:7" ht="25.05" customHeight="1" x14ac:dyDescent="0.3">
      <c r="A19" s="4" t="s">
        <v>91</v>
      </c>
      <c r="B19" s="47" t="s">
        <v>103</v>
      </c>
      <c r="C19" s="4"/>
      <c r="D19" s="9">
        <f>'APU O.G'!E59</f>
        <v>19273.152380952339</v>
      </c>
      <c r="E19" s="62"/>
      <c r="F19" s="63"/>
      <c r="G19" s="63"/>
    </row>
    <row r="20" spans="1:7" ht="25.05" customHeight="1" x14ac:dyDescent="0.3">
      <c r="A20" s="4" t="s">
        <v>92</v>
      </c>
      <c r="B20" s="47" t="s">
        <v>89</v>
      </c>
      <c r="C20" s="4"/>
      <c r="D20" s="9">
        <f>'APU O.G'!E89</f>
        <v>91101.633333333346</v>
      </c>
      <c r="E20" s="62"/>
      <c r="F20" s="63"/>
      <c r="G20" s="63"/>
    </row>
    <row r="21" spans="1:7" ht="25.05" customHeight="1" x14ac:dyDescent="0.3">
      <c r="A21" s="4" t="s">
        <v>93</v>
      </c>
      <c r="B21" s="47" t="s">
        <v>104</v>
      </c>
      <c r="C21" s="4"/>
      <c r="D21" s="9">
        <f>'APU O.G'!E118</f>
        <v>66684</v>
      </c>
      <c r="E21" s="62"/>
      <c r="F21" s="63"/>
      <c r="G21" s="63"/>
    </row>
    <row r="22" spans="1:7" ht="25.05" customHeight="1" x14ac:dyDescent="0.3">
      <c r="A22" s="4" t="s">
        <v>94</v>
      </c>
      <c r="B22" s="47" t="s">
        <v>105</v>
      </c>
      <c r="C22" s="4"/>
      <c r="D22" s="9">
        <f>'APU O.G'!E147</f>
        <v>9055.5</v>
      </c>
      <c r="E22" s="62"/>
      <c r="F22" s="63"/>
      <c r="G22" s="63"/>
    </row>
    <row r="23" spans="1:7" ht="36.6" customHeight="1" x14ac:dyDescent="0.3">
      <c r="A23" s="51" t="s">
        <v>78</v>
      </c>
      <c r="B23" s="52" t="s">
        <v>13</v>
      </c>
      <c r="C23" s="54" t="s">
        <v>5</v>
      </c>
      <c r="D23" s="53">
        <f>SUM(D24:D26)</f>
        <v>39000</v>
      </c>
      <c r="E23" s="61"/>
    </row>
    <row r="24" spans="1:7" ht="36.6" customHeight="1" x14ac:dyDescent="0.3">
      <c r="A24" s="4" t="s">
        <v>97</v>
      </c>
      <c r="B24" s="47" t="s">
        <v>95</v>
      </c>
      <c r="C24" s="4" t="s">
        <v>4</v>
      </c>
      <c r="D24" s="9">
        <f>'APU O.G'!E176</f>
        <v>2322.2222222222226</v>
      </c>
    </row>
    <row r="25" spans="1:7" ht="36.6" customHeight="1" x14ac:dyDescent="0.3">
      <c r="A25" s="4" t="s">
        <v>98</v>
      </c>
      <c r="B25" s="47" t="s">
        <v>96</v>
      </c>
      <c r="C25" s="4" t="s">
        <v>4</v>
      </c>
      <c r="D25" s="9">
        <f>'APU O.G'!E207</f>
        <v>17686.152000000002</v>
      </c>
    </row>
    <row r="26" spans="1:7" ht="36.6" customHeight="1" x14ac:dyDescent="0.3">
      <c r="A26" s="4" t="s">
        <v>99</v>
      </c>
      <c r="B26" s="47" t="s">
        <v>100</v>
      </c>
      <c r="C26" s="4" t="s">
        <v>4</v>
      </c>
      <c r="D26" s="9">
        <f>'APU O.G'!E235</f>
        <v>18991.625777777779</v>
      </c>
      <c r="E26" s="61"/>
    </row>
    <row r="27" spans="1:7" ht="25.05" customHeight="1" x14ac:dyDescent="0.3">
      <c r="A27" s="56" t="s">
        <v>79</v>
      </c>
      <c r="B27" s="49" t="s">
        <v>14</v>
      </c>
      <c r="C27" s="55" t="s">
        <v>4</v>
      </c>
      <c r="D27" s="50">
        <v>24300</v>
      </c>
    </row>
    <row r="28" spans="1:7" ht="33.6" customHeight="1" x14ac:dyDescent="0.3">
      <c r="A28" s="56" t="s">
        <v>80</v>
      </c>
      <c r="B28" s="49" t="s">
        <v>15</v>
      </c>
      <c r="C28" s="55" t="s">
        <v>5</v>
      </c>
      <c r="D28" s="50">
        <v>25000</v>
      </c>
    </row>
    <row r="29" spans="1:7" ht="25.05" customHeight="1" x14ac:dyDescent="0.3">
      <c r="A29" s="56" t="s">
        <v>81</v>
      </c>
      <c r="B29" s="49" t="s">
        <v>16</v>
      </c>
      <c r="C29" s="55" t="s">
        <v>4</v>
      </c>
      <c r="D29" s="50">
        <v>20300</v>
      </c>
    </row>
    <row r="30" spans="1:7" ht="25.05" customHeight="1" x14ac:dyDescent="0.3">
      <c r="A30" s="51" t="s">
        <v>82</v>
      </c>
      <c r="B30" s="52" t="s">
        <v>17</v>
      </c>
      <c r="C30" s="54" t="s">
        <v>4</v>
      </c>
      <c r="D30" s="53">
        <v>215000</v>
      </c>
      <c r="E30" s="61">
        <f>SUM(D31:D36)</f>
        <v>214999.99999999997</v>
      </c>
    </row>
    <row r="31" spans="1:7" ht="25.05" customHeight="1" x14ac:dyDescent="0.3">
      <c r="A31" s="4" t="s">
        <v>120</v>
      </c>
      <c r="B31" s="5" t="s">
        <v>119</v>
      </c>
      <c r="C31" s="55" t="s">
        <v>4</v>
      </c>
      <c r="D31" s="9">
        <f>'APU O.G'!E264</f>
        <v>20900</v>
      </c>
    </row>
    <row r="32" spans="1:7" ht="25.05" customHeight="1" x14ac:dyDescent="0.3">
      <c r="A32" s="4" t="s">
        <v>123</v>
      </c>
      <c r="B32" s="5" t="s">
        <v>132</v>
      </c>
      <c r="C32" s="55" t="s">
        <v>4</v>
      </c>
      <c r="D32" s="9">
        <f>D26</f>
        <v>18991.625777777779</v>
      </c>
    </row>
    <row r="33" spans="1:5" ht="25.05" customHeight="1" x14ac:dyDescent="0.3">
      <c r="A33" s="4" t="s">
        <v>125</v>
      </c>
      <c r="B33" s="5" t="s">
        <v>124</v>
      </c>
      <c r="C33" s="55" t="s">
        <v>4</v>
      </c>
      <c r="D33" s="9">
        <v>12164</v>
      </c>
    </row>
    <row r="34" spans="1:5" ht="25.05" customHeight="1" x14ac:dyDescent="0.3">
      <c r="A34" s="4" t="s">
        <v>126</v>
      </c>
      <c r="B34" s="5" t="s">
        <v>127</v>
      </c>
      <c r="C34" s="55" t="s">
        <v>4</v>
      </c>
      <c r="D34" s="9">
        <f>'APU O.G'!E293</f>
        <v>52237.5</v>
      </c>
    </row>
    <row r="35" spans="1:5" ht="25.05" customHeight="1" x14ac:dyDescent="0.3">
      <c r="A35" s="4" t="s">
        <v>129</v>
      </c>
      <c r="B35" s="5" t="s">
        <v>128</v>
      </c>
      <c r="C35" s="55" t="s">
        <v>4</v>
      </c>
      <c r="D35" s="9">
        <f>D20</f>
        <v>91101.633333333346</v>
      </c>
    </row>
    <row r="36" spans="1:5" ht="25.05" customHeight="1" x14ac:dyDescent="0.3">
      <c r="A36" s="4" t="s">
        <v>131</v>
      </c>
      <c r="B36" s="5" t="s">
        <v>135</v>
      </c>
      <c r="C36" s="55" t="s">
        <v>68</v>
      </c>
      <c r="D36" s="9">
        <f>'APU O.G'!E324</f>
        <v>19605.240888888871</v>
      </c>
      <c r="E36" s="61"/>
    </row>
    <row r="37" spans="1:5" ht="19.95" customHeight="1" x14ac:dyDescent="0.3"/>
    <row r="38" spans="1:5" ht="19.95" customHeight="1" x14ac:dyDescent="0.3"/>
    <row r="39" spans="1:5" ht="19.95" customHeight="1" x14ac:dyDescent="0.3"/>
    <row r="40" spans="1:5" ht="19.95" customHeight="1" x14ac:dyDescent="0.3"/>
    <row r="41" spans="1:5" ht="19.95" customHeight="1" x14ac:dyDescent="0.3"/>
    <row r="42" spans="1:5" ht="19.95" customHeight="1" x14ac:dyDescent="0.3"/>
    <row r="43" spans="1:5" ht="19.95" customHeight="1" x14ac:dyDescent="0.3"/>
    <row r="44" spans="1:5" ht="19.95" customHeight="1" x14ac:dyDescent="0.3"/>
    <row r="45" spans="1:5" ht="19.95" customHeight="1" x14ac:dyDescent="0.3"/>
    <row r="46" spans="1:5" ht="19.95" customHeight="1" x14ac:dyDescent="0.3"/>
    <row r="47" spans="1:5" ht="19.95" customHeight="1" x14ac:dyDescent="0.3"/>
    <row r="48" spans="1:5" ht="19.95" customHeight="1" x14ac:dyDescent="0.3"/>
    <row r="49" ht="19.95" customHeight="1" x14ac:dyDescent="0.3"/>
    <row r="50" ht="19.95" customHeight="1" x14ac:dyDescent="0.3"/>
    <row r="51" ht="19.95" customHeight="1" x14ac:dyDescent="0.3"/>
  </sheetData>
  <phoneticPr fontId="17" type="noConversion"/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APU O.G</vt:lpstr>
      <vt:lpstr>RESUMEN APU</vt:lpstr>
      <vt:lpstr>'RESUMEN APU'!Área_de_impresión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Andrés Felipe Montoya Osorio</cp:lastModifiedBy>
  <dcterms:created xsi:type="dcterms:W3CDTF">2025-05-16T17:45:00Z</dcterms:created>
  <dcterms:modified xsi:type="dcterms:W3CDTF">2025-06-06T16:02:45Z</dcterms:modified>
</cp:coreProperties>
</file>