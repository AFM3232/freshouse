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BB39213D-9DAF-4516-9925-A957D80D7875}" xr6:coauthVersionLast="47" xr6:coauthVersionMax="47" xr10:uidLastSave="{00000000-0000-0000-0000-000000000000}"/>
  <bookViews>
    <workbookView xWindow="-108" yWindow="-108" windowWidth="23256" windowHeight="12456" activeTab="2" xr2:uid="{DCDBBDE6-686C-49CF-A060-6E45395EDD38}"/>
  </bookViews>
  <sheets>
    <sheet name="APU O.G" sheetId="1" r:id="rId1"/>
    <sheet name="RESUMEN APU" sheetId="2" r:id="rId2"/>
    <sheet name="Hoja1" sheetId="3" r:id="rId3"/>
    <sheet name="Hoja2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4" l="1"/>
  <c r="C13" i="4"/>
  <c r="E269" i="3"/>
  <c r="E270" i="3"/>
  <c r="E275" i="3"/>
  <c r="E276" i="3"/>
  <c r="E278" i="3" s="1"/>
  <c r="E280" i="3" s="1"/>
  <c r="E285" i="3"/>
  <c r="E288" i="3"/>
  <c r="E290" i="3"/>
  <c r="D268" i="3" s="1"/>
  <c r="E268" i="3" s="1"/>
  <c r="E272" i="3" s="1"/>
  <c r="E292" i="3" s="1"/>
  <c r="E121" i="3"/>
  <c r="E126" i="3"/>
  <c r="E127" i="3"/>
  <c r="E129" i="3" s="1"/>
  <c r="E131" i="3" s="1"/>
  <c r="E134" i="3"/>
  <c r="E136" i="3" s="1"/>
  <c r="E139" i="3"/>
  <c r="E141" i="3"/>
  <c r="D120" i="3" s="1"/>
  <c r="E120" i="3" s="1"/>
  <c r="E123" i="3" s="1"/>
  <c r="E229" i="3"/>
  <c r="E231" i="3" s="1"/>
  <c r="D213" i="3" s="1"/>
  <c r="E213" i="3" s="1"/>
  <c r="E215" i="3" s="1"/>
  <c r="E224" i="3"/>
  <c r="E226" i="3" s="1"/>
  <c r="E221" i="3"/>
  <c r="E200" i="3"/>
  <c r="E202" i="3" s="1"/>
  <c r="D181" i="3" s="1"/>
  <c r="E181" i="3" s="1"/>
  <c r="E195" i="3"/>
  <c r="E197" i="3" s="1"/>
  <c r="E188" i="3"/>
  <c r="E187" i="3"/>
  <c r="E182" i="3"/>
  <c r="E171" i="3"/>
  <c r="E173" i="3" s="1"/>
  <c r="D151" i="3" s="1"/>
  <c r="E151" i="3" s="1"/>
  <c r="E168" i="3"/>
  <c r="E159" i="3"/>
  <c r="E158" i="3"/>
  <c r="E153" i="3"/>
  <c r="E152" i="3"/>
  <c r="E81" i="3"/>
  <c r="E83" i="3" s="1"/>
  <c r="D62" i="3" s="1"/>
  <c r="E62" i="3" s="1"/>
  <c r="E76" i="3"/>
  <c r="E78" i="3" s="1"/>
  <c r="E69" i="3"/>
  <c r="E68" i="3"/>
  <c r="E63" i="3"/>
  <c r="E52" i="3"/>
  <c r="E54" i="3" s="1"/>
  <c r="D34" i="3" s="1"/>
  <c r="E34" i="3" s="1"/>
  <c r="E36" i="3" s="1"/>
  <c r="E47" i="3"/>
  <c r="E49" i="3" s="1"/>
  <c r="E41" i="3"/>
  <c r="E40" i="3"/>
  <c r="E39" i="3"/>
  <c r="E613" i="3"/>
  <c r="E615" i="3" s="1"/>
  <c r="D596" i="3" s="1"/>
  <c r="E596" i="3" s="1"/>
  <c r="E598" i="3" s="1"/>
  <c r="E608" i="3"/>
  <c r="E610" i="3" s="1"/>
  <c r="E601" i="3"/>
  <c r="E603" i="3" s="1"/>
  <c r="E582" i="3"/>
  <c r="E584" i="3" s="1"/>
  <c r="D564" i="3" s="1"/>
  <c r="E564" i="3" s="1"/>
  <c r="E566" i="3" s="1"/>
  <c r="E577" i="3"/>
  <c r="E579" i="3" s="1"/>
  <c r="E570" i="3"/>
  <c r="E569" i="3"/>
  <c r="E553" i="3"/>
  <c r="E555" i="3" s="1"/>
  <c r="D537" i="3" s="1"/>
  <c r="E537" i="3" s="1"/>
  <c r="E539" i="3" s="1"/>
  <c r="E548" i="3"/>
  <c r="E550" i="3" s="1"/>
  <c r="E545" i="3"/>
  <c r="E524" i="3"/>
  <c r="E526" i="3" s="1"/>
  <c r="D507" i="3" s="1"/>
  <c r="E507" i="3" s="1"/>
  <c r="E509" i="3" s="1"/>
  <c r="E519" i="3"/>
  <c r="E521" i="3" s="1"/>
  <c r="E512" i="3"/>
  <c r="E516" i="3" s="1"/>
  <c r="E496" i="3"/>
  <c r="E498" i="3" s="1"/>
  <c r="D476" i="3" s="1"/>
  <c r="E476" i="3" s="1"/>
  <c r="E478" i="3" s="1"/>
  <c r="E491" i="3"/>
  <c r="E493" i="3" s="1"/>
  <c r="E484" i="3"/>
  <c r="E483" i="3"/>
  <c r="E482" i="3"/>
  <c r="E481" i="3"/>
  <c r="E486" i="3" s="1"/>
  <c r="E465" i="3"/>
  <c r="E467" i="3" s="1"/>
  <c r="D449" i="3" s="1"/>
  <c r="E449" i="3" s="1"/>
  <c r="E451" i="3" s="1"/>
  <c r="E460" i="3"/>
  <c r="E462" i="3" s="1"/>
  <c r="E457" i="3"/>
  <c r="E436" i="3"/>
  <c r="E438" i="3" s="1"/>
  <c r="D418" i="3" s="1"/>
  <c r="E418" i="3" s="1"/>
  <c r="E420" i="3" s="1"/>
  <c r="E431" i="3"/>
  <c r="E433" i="3" s="1"/>
  <c r="E424" i="3"/>
  <c r="E423" i="3"/>
  <c r="E407" i="3"/>
  <c r="E409" i="3" s="1"/>
  <c r="D389" i="3" s="1"/>
  <c r="E389" i="3" s="1"/>
  <c r="E391" i="3" s="1"/>
  <c r="E402" i="3"/>
  <c r="E404" i="3" s="1"/>
  <c r="E395" i="3"/>
  <c r="E394" i="3"/>
  <c r="E378" i="3"/>
  <c r="E380" i="3" s="1"/>
  <c r="D359" i="3" s="1"/>
  <c r="E359" i="3" s="1"/>
  <c r="E373" i="3"/>
  <c r="E375" i="3" s="1"/>
  <c r="E366" i="3"/>
  <c r="D365" i="3"/>
  <c r="E365" i="3" s="1"/>
  <c r="E360" i="3"/>
  <c r="E348" i="3"/>
  <c r="E350" i="3" s="1"/>
  <c r="D329" i="3" s="1"/>
  <c r="E329" i="3" s="1"/>
  <c r="E331" i="3" s="1"/>
  <c r="E343" i="3"/>
  <c r="E345" i="3" s="1"/>
  <c r="E336" i="3"/>
  <c r="E335" i="3"/>
  <c r="E334" i="3"/>
  <c r="E318" i="3"/>
  <c r="E320" i="3" s="1"/>
  <c r="D302" i="3" s="1"/>
  <c r="E302" i="3" s="1"/>
  <c r="E304" i="3" s="1"/>
  <c r="E315" i="3"/>
  <c r="E308" i="3"/>
  <c r="E310" i="3" s="1"/>
  <c r="E143" i="3" l="1"/>
  <c r="E44" i="3"/>
  <c r="E233" i="3"/>
  <c r="E155" i="3"/>
  <c r="E574" i="3"/>
  <c r="E184" i="3"/>
  <c r="E190" i="3"/>
  <c r="E192" i="3" s="1"/>
  <c r="E204" i="3" s="1"/>
  <c r="E161" i="3"/>
  <c r="E163" i="3" s="1"/>
  <c r="E71" i="3"/>
  <c r="E73" i="3" s="1"/>
  <c r="E65" i="3"/>
  <c r="E488" i="3"/>
  <c r="E500" i="3" s="1"/>
  <c r="E56" i="3"/>
  <c r="E322" i="3"/>
  <c r="E362" i="3"/>
  <c r="E557" i="3"/>
  <c r="E428" i="3"/>
  <c r="E440" i="3" s="1"/>
  <c r="E399" i="3"/>
  <c r="E411" i="3" s="1"/>
  <c r="E340" i="3"/>
  <c r="E352" i="3" s="1"/>
  <c r="E528" i="3"/>
  <c r="E586" i="3"/>
  <c r="E368" i="3"/>
  <c r="E370" i="3" s="1"/>
  <c r="E469" i="3"/>
  <c r="E605" i="3"/>
  <c r="E617" i="3" s="1"/>
  <c r="E175" i="3" l="1"/>
  <c r="E85" i="3"/>
  <c r="E382" i="3"/>
  <c r="C18" i="4" l="1"/>
  <c r="E257" i="3" l="1"/>
  <c r="E259" i="3" s="1"/>
  <c r="D239" i="3" s="1"/>
  <c r="E239" i="3" s="1"/>
  <c r="E241" i="3" s="1"/>
  <c r="E252" i="3"/>
  <c r="E254" i="3" s="1"/>
  <c r="E246" i="3"/>
  <c r="E245" i="3"/>
  <c r="E244" i="3"/>
  <c r="E26" i="3"/>
  <c r="E28" i="3" s="1"/>
  <c r="C5" i="4" s="1"/>
  <c r="C27" i="4" s="1"/>
  <c r="E23" i="3"/>
  <c r="E16" i="3"/>
  <c r="E18" i="3" s="1"/>
  <c r="E110" i="3"/>
  <c r="E112" i="3" s="1"/>
  <c r="D91" i="3" s="1"/>
  <c r="E91" i="3" s="1"/>
  <c r="E105" i="3"/>
  <c r="E107" i="3" s="1"/>
  <c r="E98" i="3"/>
  <c r="E97" i="3"/>
  <c r="E92" i="3"/>
  <c r="E283" i="1"/>
  <c r="E281" i="1"/>
  <c r="E299" i="1"/>
  <c r="D20" i="2"/>
  <c r="E249" i="3" l="1"/>
  <c r="E261" i="3" s="1"/>
  <c r="C6" i="4" s="1"/>
  <c r="D10" i="3"/>
  <c r="E10" i="3" s="1"/>
  <c r="E12" i="3" s="1"/>
  <c r="E94" i="3"/>
  <c r="E100" i="3"/>
  <c r="E102" i="3" s="1"/>
  <c r="E114" i="3" s="1"/>
  <c r="E287" i="1"/>
  <c r="E286" i="1"/>
  <c r="E289" i="1" s="1"/>
  <c r="E301" i="1"/>
  <c r="D280" i="1" s="1"/>
  <c r="E280" i="1" s="1"/>
  <c r="E294" i="1"/>
  <c r="E296" i="1" s="1"/>
  <c r="E441" i="1"/>
  <c r="E443" i="1" s="1"/>
  <c r="D424" i="1" s="1"/>
  <c r="E424" i="1" s="1"/>
  <c r="E426" i="1" s="1"/>
  <c r="E436" i="1"/>
  <c r="E438" i="1" s="1"/>
  <c r="E429" i="1"/>
  <c r="C7" i="4" l="1"/>
  <c r="C4" i="4" s="1"/>
  <c r="C30" i="4"/>
  <c r="C26" i="4" s="1"/>
  <c r="E291" i="1"/>
  <c r="E431" i="1"/>
  <c r="E433" i="1" s="1"/>
  <c r="E445" i="1" s="1"/>
  <c r="C20" i="2" s="1"/>
  <c r="C14" i="4" l="1"/>
  <c r="C12" i="4" s="1"/>
  <c r="E303" i="1"/>
  <c r="C25" i="2" s="1"/>
  <c r="E373" i="1"/>
  <c r="E374" i="1"/>
  <c r="E340" i="1" l="1"/>
  <c r="E252" i="1"/>
  <c r="E253" i="1"/>
  <c r="E385" i="1"/>
  <c r="E387" i="1" s="1"/>
  <c r="D367" i="1" s="1"/>
  <c r="E367" i="1" s="1"/>
  <c r="E380" i="1"/>
  <c r="E382" i="1" s="1"/>
  <c r="E372" i="1"/>
  <c r="E472" i="1"/>
  <c r="E474" i="1" s="1"/>
  <c r="D452" i="1" s="1"/>
  <c r="E452" i="1" s="1"/>
  <c r="E454" i="1" s="1"/>
  <c r="E467" i="1"/>
  <c r="E469" i="1" s="1"/>
  <c r="E460" i="1"/>
  <c r="E459" i="1"/>
  <c r="E458" i="1"/>
  <c r="E457" i="1"/>
  <c r="E413" i="1"/>
  <c r="E415" i="1" s="1"/>
  <c r="D395" i="1" s="1"/>
  <c r="E395" i="1" s="1"/>
  <c r="E397" i="1" s="1"/>
  <c r="E408" i="1"/>
  <c r="E410" i="1" s="1"/>
  <c r="E401" i="1"/>
  <c r="E400" i="1"/>
  <c r="E403" i="1" s="1"/>
  <c r="E405" i="1" s="1"/>
  <c r="E356" i="1"/>
  <c r="E358" i="1" s="1"/>
  <c r="D339" i="1" s="1"/>
  <c r="E339" i="1" s="1"/>
  <c r="E351" i="1"/>
  <c r="E353" i="1" s="1"/>
  <c r="E328" i="1"/>
  <c r="E330" i="1" s="1"/>
  <c r="D312" i="1" s="1"/>
  <c r="E312" i="1" s="1"/>
  <c r="E314" i="1" s="1"/>
  <c r="E325" i="1"/>
  <c r="E318" i="1"/>
  <c r="E320" i="1" s="1"/>
  <c r="E269" i="1"/>
  <c r="E271" i="1" s="1"/>
  <c r="D251" i="1" s="1"/>
  <c r="E251" i="1" s="1"/>
  <c r="E264" i="1"/>
  <c r="E266" i="1" s="1"/>
  <c r="E259" i="1"/>
  <c r="E134" i="1"/>
  <c r="E133" i="1"/>
  <c r="E237" i="1"/>
  <c r="E239" i="1" s="1"/>
  <c r="D220" i="1" s="1"/>
  <c r="E220" i="1" s="1"/>
  <c r="E222" i="1" s="1"/>
  <c r="E232" i="1"/>
  <c r="E234" i="1" s="1"/>
  <c r="E225" i="1"/>
  <c r="E229" i="1" s="1"/>
  <c r="E209" i="1"/>
  <c r="E211" i="1" s="1"/>
  <c r="D189" i="1" s="1"/>
  <c r="E189" i="1" s="1"/>
  <c r="E191" i="1" s="1"/>
  <c r="E204" i="1"/>
  <c r="E206" i="1" s="1"/>
  <c r="E197" i="1"/>
  <c r="E196" i="1"/>
  <c r="E195" i="1"/>
  <c r="E194" i="1"/>
  <c r="E178" i="1"/>
  <c r="E180" i="1" s="1"/>
  <c r="D160" i="1" s="1"/>
  <c r="E160" i="1" s="1"/>
  <c r="E162" i="1" s="1"/>
  <c r="E173" i="1"/>
  <c r="E175" i="1" s="1"/>
  <c r="E166" i="1"/>
  <c r="E168" i="1" s="1"/>
  <c r="D165" i="1"/>
  <c r="E165" i="1" s="1"/>
  <c r="E146" i="1"/>
  <c r="E148" i="1" s="1"/>
  <c r="D126" i="1" s="1"/>
  <c r="E126" i="1" s="1"/>
  <c r="E128" i="1" s="1"/>
  <c r="E141" i="1"/>
  <c r="E143" i="1" s="1"/>
  <c r="E132" i="1"/>
  <c r="E131" i="1"/>
  <c r="E114" i="1"/>
  <c r="E116" i="1" s="1"/>
  <c r="D96" i="1" s="1"/>
  <c r="E96" i="1" s="1"/>
  <c r="E98" i="1" s="1"/>
  <c r="E109" i="1"/>
  <c r="E111" i="1" s="1"/>
  <c r="E102" i="1"/>
  <c r="E101" i="1"/>
  <c r="E85" i="1"/>
  <c r="E87" i="1" s="1"/>
  <c r="D67" i="1" s="1"/>
  <c r="E67" i="1" s="1"/>
  <c r="E69" i="1" s="1"/>
  <c r="E80" i="1"/>
  <c r="E82" i="1" s="1"/>
  <c r="E73" i="1"/>
  <c r="E72" i="1"/>
  <c r="E75" i="1" s="1"/>
  <c r="E56" i="1"/>
  <c r="E58" i="1" s="1"/>
  <c r="D36" i="1" s="1"/>
  <c r="E36" i="1" s="1"/>
  <c r="E38" i="1" s="1"/>
  <c r="E51" i="1"/>
  <c r="E53" i="1" s="1"/>
  <c r="E44" i="1"/>
  <c r="E43" i="1"/>
  <c r="E42" i="1"/>
  <c r="E41" i="1"/>
  <c r="E25" i="1"/>
  <c r="E27" i="1" s="1"/>
  <c r="D9" i="1" s="1"/>
  <c r="E9" i="1" s="1"/>
  <c r="E11" i="1" s="1"/>
  <c r="E22" i="1"/>
  <c r="E15" i="1"/>
  <c r="E17" i="1" s="1"/>
  <c r="E48" i="1" l="1"/>
  <c r="E60" i="1" s="1"/>
  <c r="C6" i="2" s="1"/>
  <c r="E369" i="1"/>
  <c r="E77" i="1"/>
  <c r="E89" i="1" s="1"/>
  <c r="C7" i="2" s="1"/>
  <c r="E261" i="1"/>
  <c r="E342" i="1"/>
  <c r="E255" i="1"/>
  <c r="E377" i="1"/>
  <c r="E389" i="1" s="1"/>
  <c r="C19" i="2" s="1"/>
  <c r="E348" i="1"/>
  <c r="E417" i="1"/>
  <c r="E332" i="1"/>
  <c r="C17" i="2" s="1"/>
  <c r="D16" i="2" s="1"/>
  <c r="E462" i="1"/>
  <c r="E464" i="1" s="1"/>
  <c r="E476" i="1" s="1"/>
  <c r="C21" i="2" s="1"/>
  <c r="E170" i="1"/>
  <c r="E182" i="1" s="1"/>
  <c r="C12" i="2" s="1"/>
  <c r="E201" i="1"/>
  <c r="E213" i="1" s="1"/>
  <c r="C13" i="2" s="1"/>
  <c r="E29" i="1"/>
  <c r="C5" i="2" s="1"/>
  <c r="E241" i="1"/>
  <c r="C14" i="2" s="1"/>
  <c r="E136" i="1"/>
  <c r="E138" i="1" s="1"/>
  <c r="E150" i="1" s="1"/>
  <c r="C9" i="2" s="1"/>
  <c r="E104" i="1"/>
  <c r="E106" i="1" s="1"/>
  <c r="E118" i="1" s="1"/>
  <c r="C8" i="2" s="1"/>
  <c r="E360" i="1" l="1"/>
  <c r="C18" i="2" s="1"/>
  <c r="C16" i="2" s="1"/>
  <c r="E273" i="1"/>
  <c r="C24" i="2" s="1"/>
  <c r="C23" i="2" s="1"/>
  <c r="C11" i="2"/>
  <c r="C4" i="2"/>
</calcChain>
</file>

<file path=xl/sharedStrings.xml><?xml version="1.0" encoding="utf-8"?>
<sst xmlns="http://schemas.openxmlformats.org/spreadsheetml/2006/main" count="1762" uniqueCount="179">
  <si>
    <t>EDIFICIO ATLANTIS</t>
  </si>
  <si>
    <t>APU IV - Revestimiento de Piso Tipo DECK  sobre cuartos de los equipos de piscina y jacuzzi</t>
  </si>
  <si>
    <t xml:space="preserve">ACTIVIDAD: Desmontaje de piso tipo Deck </t>
  </si>
  <si>
    <t>ITEM</t>
  </si>
  <si>
    <t>1.0</t>
  </si>
  <si>
    <t>UNIDAD</t>
  </si>
  <si>
    <t>M2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</si>
  <si>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</si>
  <si>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</si>
  <si>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</si>
  <si>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</si>
  <si>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</si>
  <si>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</si>
  <si>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</si>
  <si>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</si>
  <si>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</si>
  <si>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</si>
  <si>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</si>
  <si>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</si>
  <si>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</si>
  <si>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</si>
  <si>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</si>
  <si>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</si>
  <si>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</si>
  <si>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</si>
  <si>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</si>
  <si>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ACTIVIDAD: Restructuración e instalación de lámina de fibrocemento</t>
  </si>
  <si>
    <t>Lamina fibrocemento de 10mm</t>
  </si>
  <si>
    <t>Und</t>
  </si>
  <si>
    <t>Paral Estructural</t>
  </si>
  <si>
    <t>Canal Estructural</t>
  </si>
  <si>
    <t>Tornillos</t>
  </si>
  <si>
    <t>CUADRILLA 1: 1 Oficial y 1 ayudante</t>
  </si>
  <si>
    <t>ACTIVIDAD: Impermeabilización de laminas de fibrocemento</t>
  </si>
  <si>
    <t>Emulsión asfáltica x 18kg</t>
  </si>
  <si>
    <t>KG</t>
  </si>
  <si>
    <t>Manto de refuerzo - Sika Felp</t>
  </si>
  <si>
    <t>Desperdicio 3%</t>
  </si>
  <si>
    <t xml:space="preserve">Acarreo </t>
  </si>
  <si>
    <t>Oficial</t>
  </si>
  <si>
    <t>ACTIVIDAD: Mortero de alistamiento</t>
  </si>
  <si>
    <t>MorteroListo Impadoc x 40 kg</t>
  </si>
  <si>
    <t xml:space="preserve">Acronal </t>
  </si>
  <si>
    <t>GL</t>
  </si>
  <si>
    <t>ACTIVIDAD: Instalación de piso cerámico incluye boquilla</t>
  </si>
  <si>
    <t>ML</t>
  </si>
  <si>
    <t>Piso cerámico</t>
  </si>
  <si>
    <t>Mortero de pega</t>
  </si>
  <si>
    <t>Desperdicio 5%</t>
  </si>
  <si>
    <t>APU VI - Bordillos de contencion de agua de escorrentia superficial</t>
  </si>
  <si>
    <t>ACTIVIDAD: Anclaje de barras (pelos) de refuerzo en placa</t>
  </si>
  <si>
    <t>UND</t>
  </si>
  <si>
    <t>Acero de refuerzo</t>
  </si>
  <si>
    <t>Kg</t>
  </si>
  <si>
    <t>Anchorfix x 300ml</t>
  </si>
  <si>
    <t>ACTIVIDAD: Formaleta para bordillo</t>
  </si>
  <si>
    <t>Tabla revoltura</t>
  </si>
  <si>
    <t>Trabilla de revoltura</t>
  </si>
  <si>
    <t>Ganchos para formaleta</t>
  </si>
  <si>
    <t>Puntilla 2</t>
  </si>
  <si>
    <t xml:space="preserve">ACTIVIDAD: Fundición de bordillo </t>
  </si>
  <si>
    <t>Concreto 3500PSI</t>
  </si>
  <si>
    <t>M3</t>
  </si>
  <si>
    <t>VALOR</t>
  </si>
  <si>
    <t xml:space="preserve">Desmontaje de piso tipo Deck </t>
  </si>
  <si>
    <t>Restructuración e instalación de lámina de fibrocemento</t>
  </si>
  <si>
    <t>Impermeabilización de laminas de fibrocemento</t>
  </si>
  <si>
    <t>Mortero de alistamiento</t>
  </si>
  <si>
    <t>Instalación de piso cerámico incluye boquilla</t>
  </si>
  <si>
    <t>Anclaje de barras (pelos) de refuerzo en placa</t>
  </si>
  <si>
    <t>Formaleta para bordillo</t>
  </si>
  <si>
    <t xml:space="preserve">Fundición de bordillo </t>
  </si>
  <si>
    <t xml:space="preserve">Boquilla </t>
  </si>
  <si>
    <t>GLB</t>
  </si>
  <si>
    <t>Separadores</t>
  </si>
  <si>
    <t>APU V - Construccion de rejilla de drenaje en peatonal</t>
  </si>
  <si>
    <t xml:space="preserve">Pulidora </t>
  </si>
  <si>
    <t>Rotomartillo</t>
  </si>
  <si>
    <t>APU III - Retiro de recubrimiento e Impermeabilizacion en area adyacente a la Piscina Pequeña</t>
  </si>
  <si>
    <t xml:space="preserve">ACTIVIDAD: Remoción de superficie sintética </t>
  </si>
  <si>
    <t>ACTIVIDAD: Demolición de enchape y mortero existentes</t>
  </si>
  <si>
    <t>Mortero 1:3</t>
  </si>
  <si>
    <t>ACTIVIDAD: Reparación de fisuras y Mortero de nivelación</t>
  </si>
  <si>
    <t>Acronal</t>
  </si>
  <si>
    <t>6.1</t>
  </si>
  <si>
    <t>6.2</t>
  </si>
  <si>
    <t>6.3</t>
  </si>
  <si>
    <t>4.1</t>
  </si>
  <si>
    <t>4.2</t>
  </si>
  <si>
    <t>4.3</t>
  </si>
  <si>
    <t>4.4</t>
  </si>
  <si>
    <t>4.5</t>
  </si>
  <si>
    <t>3.1</t>
  </si>
  <si>
    <t>3.2</t>
  </si>
  <si>
    <t>3.3</t>
  </si>
  <si>
    <t>3.4</t>
  </si>
  <si>
    <t>3.5</t>
  </si>
  <si>
    <t xml:space="preserve">Remoción de superficie sintética </t>
  </si>
  <si>
    <t>Demolición de enchape y mortero existentes</t>
  </si>
  <si>
    <t>Reparación de fisuras y Mortero de nivelación</t>
  </si>
  <si>
    <t>ACTIVIDAD: Impermeabilización de superficie</t>
  </si>
  <si>
    <t>Impermeabilización de superficie</t>
  </si>
  <si>
    <t>5.1</t>
  </si>
  <si>
    <t xml:space="preserve">ACTIVIDAD: Perforación placa e instalación de rejilla </t>
  </si>
  <si>
    <t>Revestimiento de canal</t>
  </si>
  <si>
    <t xml:space="preserve">Perforación placa e instalación de rejilla </t>
  </si>
  <si>
    <t>Suministro e instalación de rejilla metálica</t>
  </si>
  <si>
    <t>5.2</t>
  </si>
  <si>
    <t>5.3</t>
  </si>
  <si>
    <t>5.4</t>
  </si>
  <si>
    <t>Desague de tuberia de ALL en 3 "</t>
  </si>
  <si>
    <t>sikalastic 612</t>
  </si>
  <si>
    <t>sikalastic 560</t>
  </si>
  <si>
    <t>ACTIVIDAD: Impermeabilización sikalastic 560</t>
  </si>
  <si>
    <t>Equipo Fresh house</t>
  </si>
  <si>
    <t>2.1</t>
  </si>
  <si>
    <t>A</t>
  </si>
  <si>
    <t>B</t>
  </si>
  <si>
    <t>C</t>
  </si>
  <si>
    <t>D</t>
  </si>
  <si>
    <t>ACTIVIDAD: Impermeabilización sikalastic 612</t>
  </si>
  <si>
    <t>Impermeabilización Sikalastic 612</t>
  </si>
  <si>
    <t>Retiro grama</t>
  </si>
  <si>
    <t>ACTIVIDAD: Desmontaje de grama</t>
  </si>
  <si>
    <t>Sustitución de sistemas de evacuación</t>
  </si>
  <si>
    <t>Impermeabilizacion de Zonas de anterior Grama Sintetica</t>
  </si>
  <si>
    <t>2.2</t>
  </si>
  <si>
    <t>Limpieza Profunda</t>
  </si>
  <si>
    <t xml:space="preserve">ACTIVIDAD: Lavado General de Superficies </t>
  </si>
  <si>
    <t>Equipos Freshouse</t>
  </si>
  <si>
    <t>Equipo Hidrolavadora</t>
  </si>
  <si>
    <t xml:space="preserve">Agua </t>
  </si>
  <si>
    <t>Práctico</t>
  </si>
  <si>
    <t>Sikalimpiador rinse</t>
  </si>
  <si>
    <t>Impermeabilizacion de lozas de concreto sobre areas comunes en terrazas 2 y 3 (turco, pto fijo de escalera, etc)</t>
  </si>
  <si>
    <t>2.3</t>
  </si>
  <si>
    <t xml:space="preserve"> Impermeabilizacion y Mantenimiento Integral a Jardineras de terrazas 2 y 3</t>
  </si>
  <si>
    <t>Impermeabilizacion en area adyacente a la piscina pequeña</t>
  </si>
  <si>
    <t>Impermeabilización Sikalastic 560</t>
  </si>
  <si>
    <t>Retiro de tierra y vegetación</t>
  </si>
  <si>
    <t>Lavado a profundidad</t>
  </si>
  <si>
    <t>APUII-5 | Impermeabilizacion y Revestimiento de pisos Deck en cuarto de equipos de Piscina y Jacuzzi</t>
  </si>
  <si>
    <t>Desmonte de deck existente</t>
  </si>
  <si>
    <t>II.5.1</t>
  </si>
  <si>
    <t>1 Oficial + 1 Ayudante</t>
  </si>
  <si>
    <t>Mantenimiento integral de la estructura de soporte</t>
  </si>
  <si>
    <t>II.5.2</t>
  </si>
  <si>
    <t>II.5.3</t>
  </si>
  <si>
    <t>Equipo Freshouse</t>
  </si>
  <si>
    <t>Sikalastic 560</t>
  </si>
  <si>
    <t>Sika Felp</t>
  </si>
  <si>
    <t>ACTIVIDAD: Instalación de lámina de fibrocemento</t>
  </si>
  <si>
    <t>II.5.4</t>
  </si>
  <si>
    <t>Pintuco Fill</t>
  </si>
  <si>
    <t>Adecuación de la compuerta de acceso</t>
  </si>
  <si>
    <t>II.5.5</t>
  </si>
  <si>
    <t>APUII-6 | Impermeabilizacion y Mantenimeinto Integral a Viga Canal de la cubierta de la torre 4</t>
  </si>
  <si>
    <t>II.6.1</t>
  </si>
  <si>
    <t>Ayudante</t>
  </si>
  <si>
    <t>ACTIVIDAD: Mortero de corrección</t>
  </si>
  <si>
    <t xml:space="preserve">Arena Media </t>
  </si>
  <si>
    <t>Cemento x 50kg</t>
  </si>
  <si>
    <t xml:space="preserve">Saco </t>
  </si>
  <si>
    <t>Impermeabilización de Viga Canal con Sika Techo E</t>
  </si>
  <si>
    <t>Sika Techo E</t>
  </si>
  <si>
    <t>APUII-10 | Impermeabilizacion y Tratamiento de Materas</t>
  </si>
  <si>
    <t>Retiro de tierra y la vegetación</t>
  </si>
  <si>
    <t>II.10.1</t>
  </si>
  <si>
    <t>2 Ayudante</t>
  </si>
  <si>
    <t>Fundición de placa en matera</t>
  </si>
  <si>
    <t>II.10.2</t>
  </si>
  <si>
    <t xml:space="preserve">ACTIVIDAD: Pintura exterior de matera con Koraza </t>
  </si>
  <si>
    <t>II.10.6</t>
  </si>
  <si>
    <t>Koraza Pro 550</t>
  </si>
  <si>
    <t xml:space="preserve">APU 2.1 </t>
  </si>
  <si>
    <t>APU 2.2</t>
  </si>
  <si>
    <t>2.4</t>
  </si>
  <si>
    <t>E</t>
  </si>
  <si>
    <t>APU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</si>
</sst>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"/>
    <numFmt numFmtId="165" formatCode="0.000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Swis721 BT"/>
      <family val="2"/>
    </font>
    <font>
      <sz val="11"/>
      <name val="Swis721 BT"/>
      <family val="2"/>
    </font>
    <font>
      <sz val="11"/>
      <color theme="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sz val="8"/>
      <name val="Calibri"/>
      <family val="2"/>
      <scheme val="minor"/>
    </font>
    <font>
      <b/>
      <sz val="10"/>
      <color rgb="FF000000"/>
      <name val="Swis721 BT"/>
      <family val="2"/>
    </font>
    <font>
      <b/>
      <sz val="10"/>
      <color theme="0" tint="-4.9989318521683403E-2"/>
      <name val="Swis721 BT"/>
      <family val="2"/>
    </font>
  </fonts>
  <fills count="20">
    <fill>
      <patternFill patternType="none"/>
    </fill>
    <fill>
      <patternFill patternType="gray125"/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4A0B0"/>
        <bgColor rgb="FF8496B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CC2CC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8496B0"/>
      </patternFill>
    </fill>
    <fill>
      <patternFill patternType="solid">
        <fgColor rgb="FFF2F2F2"/>
        <bgColor rgb="FFD6DCE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66">
    <xf numFmtId="0" fontId="0" fillId="0" borderId="0" xfId="0"/>
    <xf numFmtId="0" fontId="3" fillId="2" borderId="0" xfId="2" applyFont="1" applyFill="1" applyAlignment="1">
      <alignment horizontal="left" vertical="center"/>
    </xf>
    <xf numFmtId="0" fontId="4" fillId="3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6" fillId="3" borderId="0" xfId="2" applyFont="1" applyFill="1" applyAlignment="1">
      <alignment horizontal="center" vertical="center"/>
    </xf>
    <xf numFmtId="0" fontId="7" fillId="0" borderId="0" xfId="2" applyFont="1" applyAlignment="1">
      <alignment vertical="center"/>
    </xf>
    <xf numFmtId="0" fontId="8" fillId="4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64" fontId="9" fillId="0" borderId="0" xfId="2" applyNumberFormat="1" applyFont="1" applyAlignment="1">
      <alignment horizontal="right" vertical="center"/>
    </xf>
    <xf numFmtId="164" fontId="8" fillId="8" borderId="0" xfId="2" applyNumberFormat="1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1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9" fillId="0" borderId="0" xfId="2" applyFont="1" applyAlignment="1">
      <alignment vertical="center"/>
    </xf>
    <xf numFmtId="2" fontId="10" fillId="0" borderId="0" xfId="2" applyNumberFormat="1" applyFont="1" applyAlignment="1">
      <alignment horizontal="center" vertical="center"/>
    </xf>
    <xf numFmtId="166" fontId="9" fillId="0" borderId="0" xfId="2" applyNumberFormat="1" applyFont="1" applyAlignment="1">
      <alignment vertical="center"/>
    </xf>
    <xf numFmtId="0" fontId="6" fillId="2" borderId="0" xfId="2" applyFont="1" applyFill="1" applyAlignment="1">
      <alignment horizontal="center" vertical="center"/>
    </xf>
    <xf numFmtId="164" fontId="9" fillId="0" borderId="0" xfId="2" applyNumberFormat="1" applyFont="1" applyAlignment="1">
      <alignment vertical="center"/>
    </xf>
    <xf numFmtId="166" fontId="10" fillId="0" borderId="0" xfId="2" applyNumberFormat="1" applyFont="1" applyAlignment="1">
      <alignment horizontal="center" vertical="center"/>
    </xf>
    <xf numFmtId="0" fontId="10" fillId="10" borderId="0" xfId="2" applyFont="1" applyFill="1" applyAlignment="1">
      <alignment horizontal="left" vertical="center"/>
    </xf>
    <xf numFmtId="0" fontId="8" fillId="10" borderId="0" xfId="2" applyFont="1" applyFill="1" applyAlignment="1">
      <alignment horizontal="right" vertical="center"/>
    </xf>
    <xf numFmtId="164" fontId="9" fillId="10" borderId="0" xfId="2" applyNumberFormat="1" applyFont="1" applyFill="1" applyAlignment="1">
      <alignment horizontal="right" vertical="center"/>
    </xf>
    <xf numFmtId="0" fontId="6" fillId="0" borderId="0" xfId="2" applyFont="1" applyAlignment="1">
      <alignment horizontal="left" vertical="center"/>
    </xf>
    <xf numFmtId="44" fontId="9" fillId="0" borderId="0" xfId="1" applyFont="1" applyAlignment="1">
      <alignment horizontal="center" vertical="center"/>
    </xf>
    <xf numFmtId="44" fontId="7" fillId="0" borderId="0" xfId="1" applyFont="1" applyAlignment="1">
      <alignment vertical="center"/>
    </xf>
    <xf numFmtId="44" fontId="12" fillId="12" borderId="0" xfId="2" applyNumberFormat="1" applyFont="1" applyFill="1" applyAlignment="1">
      <alignment horizontal="center" vertical="center"/>
    </xf>
    <xf numFmtId="0" fontId="13" fillId="11" borderId="0" xfId="2" applyFont="1" applyFill="1" applyAlignment="1">
      <alignment horizontal="center" vertical="center"/>
    </xf>
    <xf numFmtId="0" fontId="9" fillId="13" borderId="0" xfId="2" applyFont="1" applyFill="1" applyAlignment="1">
      <alignment vertical="center"/>
    </xf>
    <xf numFmtId="44" fontId="9" fillId="0" borderId="0" xfId="2" applyNumberFormat="1" applyFont="1" applyAlignment="1">
      <alignment vertical="center"/>
    </xf>
    <xf numFmtId="0" fontId="8" fillId="12" borderId="0" xfId="2" applyFont="1" applyFill="1" applyAlignment="1">
      <alignment horizontal="center" vertical="center"/>
    </xf>
    <xf numFmtId="0" fontId="8" fillId="12" borderId="0" xfId="2" applyFont="1" applyFill="1" applyAlignment="1">
      <alignment horizontal="left" vertical="center" wrapText="1"/>
    </xf>
    <xf numFmtId="0" fontId="3" fillId="15" borderId="0" xfId="2" applyFont="1" applyFill="1" applyAlignment="1">
      <alignment horizontal="left" vertical="center"/>
    </xf>
    <xf numFmtId="0" fontId="4" fillId="14" borderId="0" xfId="2" applyFont="1" applyFill="1" applyAlignment="1">
      <alignment vertical="center"/>
    </xf>
    <xf numFmtId="0" fontId="6" fillId="14" borderId="0" xfId="2" applyFont="1" applyFill="1" applyAlignment="1">
      <alignment horizontal="center" vertical="center"/>
    </xf>
    <xf numFmtId="0" fontId="9" fillId="16" borderId="0" xfId="2" applyFont="1" applyFill="1" applyAlignment="1">
      <alignment vertical="center"/>
    </xf>
    <xf numFmtId="44" fontId="7" fillId="16" borderId="0" xfId="1" applyFont="1" applyFill="1" applyAlignment="1">
      <alignment vertical="center"/>
    </xf>
    <xf numFmtId="0" fontId="0" fillId="0" borderId="0" xfId="0" applyAlignment="1">
      <alignment horizontal="center"/>
    </xf>
    <xf numFmtId="0" fontId="8" fillId="0" borderId="0" xfId="2" applyFont="1" applyAlignment="1">
      <alignment horizontal="right" vertical="center"/>
    </xf>
    <xf numFmtId="0" fontId="7" fillId="0" borderId="0" xfId="2" applyFont="1" applyAlignment="1">
      <alignment vertical="center"/>
    </xf>
    <xf numFmtId="0" fontId="8" fillId="8" borderId="0" xfId="2" applyFont="1" applyFill="1" applyAlignment="1">
      <alignment horizontal="right" vertical="center"/>
    </xf>
    <xf numFmtId="0" fontId="7" fillId="9" borderId="0" xfId="2" applyFont="1" applyFill="1" applyAlignment="1">
      <alignment vertical="center"/>
    </xf>
    <xf numFmtId="0" fontId="6" fillId="5" borderId="0" xfId="2" applyFont="1" applyFill="1" applyAlignment="1">
      <alignment horizontal="left" vertical="center"/>
    </xf>
    <xf numFmtId="0" fontId="7" fillId="6" borderId="0" xfId="2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4" fillId="3" borderId="0" xfId="2" applyFont="1" applyFill="1" applyAlignment="1">
      <alignment vertical="center"/>
    </xf>
    <xf numFmtId="0" fontId="6" fillId="3" borderId="0" xfId="2" applyFont="1" applyFill="1" applyAlignment="1">
      <alignment horizontal="left" vertical="center"/>
    </xf>
    <xf numFmtId="0" fontId="7" fillId="3" borderId="0" xfId="2" applyFont="1" applyFill="1" applyAlignment="1">
      <alignment vertical="center"/>
    </xf>
    <xf numFmtId="0" fontId="8" fillId="0" borderId="0" xfId="2" applyFont="1" applyAlignment="1">
      <alignment horizontal="center" vertical="center"/>
    </xf>
    <xf numFmtId="0" fontId="6" fillId="2" borderId="0" xfId="2" applyFont="1" applyFill="1" applyAlignment="1">
      <alignment horizontal="left" vertical="center"/>
    </xf>
    <xf numFmtId="0" fontId="8" fillId="10" borderId="0" xfId="2" applyFont="1" applyFill="1" applyAlignment="1">
      <alignment horizontal="right" vertical="center"/>
    </xf>
    <xf numFmtId="0" fontId="6" fillId="14" borderId="0" xfId="2" applyFont="1" applyFill="1" applyAlignment="1">
      <alignment horizontal="left" vertical="center"/>
    </xf>
    <xf numFmtId="0" fontId="7" fillId="14" borderId="0" xfId="2" applyFont="1" applyFill="1" applyAlignment="1">
      <alignment vertical="center"/>
    </xf>
    <xf numFmtId="0" fontId="8" fillId="17" borderId="0" xfId="2" applyFont="1" applyFill="1" applyAlignment="1">
      <alignment horizontal="center" vertical="center"/>
    </xf>
    <xf numFmtId="0" fontId="8" fillId="18" borderId="0" xfId="2" applyFont="1" applyFill="1" applyAlignment="1">
      <alignment horizontal="right" vertical="center"/>
    </xf>
    <xf numFmtId="0" fontId="7" fillId="19" borderId="0" xfId="2" applyFont="1" applyFill="1" applyAlignment="1">
      <alignment vertical="center"/>
    </xf>
    <xf numFmtId="164" fontId="8" fillId="18" borderId="0" xfId="2" applyNumberFormat="1" applyFont="1" applyFill="1" applyAlignment="1">
      <alignment horizontal="right" vertical="center"/>
    </xf>
    <xf numFmtId="0" fontId="9" fillId="3" borderId="0" xfId="2" applyFont="1" applyFill="1" applyAlignment="1">
      <alignment vertical="center"/>
    </xf>
    <xf numFmtId="0" fontId="6" fillId="15" borderId="0" xfId="2" applyFont="1" applyFill="1" applyAlignment="1">
      <alignment horizontal="center" vertical="center"/>
    </xf>
    <xf numFmtId="0" fontId="8" fillId="18" borderId="0" xfId="2" applyFont="1" applyFill="1" applyAlignment="1">
      <alignment horizontal="right" vertical="center"/>
    </xf>
    <xf numFmtId="0" fontId="7" fillId="19" borderId="0" xfId="2" applyFont="1" applyFill="1" applyAlignment="1">
      <alignment vertical="center"/>
    </xf>
  </cellXfs>
  <cellStyles count="3">
    <cellStyle name="Moneda" xfId="1" builtinId="4"/>
    <cellStyle name="Normal" xfId="0" builtinId="0"/>
    <cellStyle name="Normal 2" xfId="2" xr:uid="{A77CDD94-9DDF-4F34-9F90-C2867F37B82D}"/>
  </cellStyles>
  <dxfs count="0"/>
  <tableStyles count="0" defaultTableStyle="TableStyleMedium2" defaultPivotStyle="PivotStyleLight16"/>
  <colors>
    <mruColors>
      <color rgb="FFFF7B89"/>
      <color rgb="FF9CC2CC"/>
      <color rgb="FF64A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4D9F-29C8-49A3-8A1C-2A8DFEA52FAA}">
  <dimension ref="A1:K476"/>
  <sheetViews>
    <sheetView topLeftCell="A360" zoomScale="87" zoomScaleNormal="90" workbookViewId="0">
      <selection activeCell="E389" sqref="A363:E389"/>
    </sheetView>
  </sheetViews>
  <sheetFormatPr baseColWidth="10" defaultColWidth="14.44140625" defaultRowHeight="18" customHeight="1" x14ac:dyDescent="0.3"/>
  <cols>
    <col min="1" max="1" width="37.44140625" style="19" customWidth="1"/>
    <col min="2" max="2" width="12.109375" style="19" customWidth="1"/>
    <col min="3" max="5" width="18.6640625" style="19" customWidth="1"/>
    <col min="6" max="6" width="15.44140625" style="19" customWidth="1"/>
    <col min="7" max="7" width="18.77734375" style="19" customWidth="1"/>
    <col min="8" max="8" width="11.44140625" style="19" customWidth="1"/>
    <col min="9" max="9" width="14.109375" style="19" customWidth="1"/>
    <col min="10" max="26" width="10.6640625" style="19" customWidth="1"/>
    <col min="27" max="16384" width="14.44140625" style="19"/>
  </cols>
  <sheetData>
    <row r="1" spans="1:5" s="3" customFormat="1" ht="20.100000000000001" customHeight="1" x14ac:dyDescent="0.3">
      <c r="A1" s="49" t="s">
        <v>0</v>
      </c>
      <c r="B1" s="50"/>
      <c r="C1" s="50"/>
      <c r="D1" s="50"/>
      <c r="E1" s="50"/>
    </row>
    <row r="2" spans="1:5" s="3" customFormat="1" ht="20.100000000000001" customHeight="1" x14ac:dyDescent="0.3">
      <c r="A2" s="4"/>
      <c r="B2" s="5"/>
      <c r="C2" s="5"/>
      <c r="D2" s="5"/>
      <c r="E2" s="5"/>
    </row>
    <row r="3" spans="1:5" s="3" customFormat="1" ht="20.100000000000001" customHeight="1" x14ac:dyDescent="0.3">
      <c r="A3" s="1" t="s">
        <v>1</v>
      </c>
      <c r="B3" s="2"/>
      <c r="C3" s="2"/>
      <c r="D3" s="2"/>
      <c r="E3" s="2"/>
    </row>
    <row r="4" spans="1:5" s="3" customFormat="1" ht="20.100000000000001" customHeight="1" x14ac:dyDescent="0.3">
      <c r="A4" s="4"/>
      <c r="B4" s="5"/>
      <c r="C4" s="5"/>
      <c r="D4" s="5"/>
      <c r="E4" s="5"/>
    </row>
    <row r="5" spans="1:5" s="3" customFormat="1" ht="20.100000000000001" customHeight="1" x14ac:dyDescent="0.3">
      <c r="A5" s="51" t="s">
        <v>2</v>
      </c>
      <c r="B5" s="52"/>
      <c r="C5" s="52"/>
      <c r="D5" s="6" t="s">
        <v>3</v>
      </c>
      <c r="E5" s="6" t="s">
        <v>4</v>
      </c>
    </row>
    <row r="6" spans="1:5" s="3" customFormat="1" ht="20.100000000000001" customHeight="1" x14ac:dyDescent="0.3">
      <c r="A6" s="53"/>
      <c r="B6" s="44"/>
      <c r="C6" s="44"/>
      <c r="D6" s="8" t="s">
        <v>5</v>
      </c>
      <c r="E6" s="8" t="s">
        <v>6</v>
      </c>
    </row>
    <row r="7" spans="1:5" s="3" customFormat="1" ht="20.100000000000001" customHeight="1" x14ac:dyDescent="0.3">
      <c r="A7" s="47" t="s">
        <v>7</v>
      </c>
      <c r="B7" s="48"/>
      <c r="C7" s="48"/>
      <c r="D7" s="48"/>
      <c r="E7" s="48"/>
    </row>
    <row r="8" spans="1:5" s="3" customFormat="1" ht="20.100000000000001" customHeight="1" x14ac:dyDescent="0.3">
      <c r="A8" s="9" t="s">
        <v>8</v>
      </c>
      <c r="B8" s="9" t="s">
        <v>5</v>
      </c>
      <c r="C8" s="9" t="s">
        <v>9</v>
      </c>
      <c r="D8" s="9" t="s">
        <v>10</v>
      </c>
      <c r="E8" s="9" t="s">
        <v>11</v>
      </c>
    </row>
    <row r="9" spans="1:5" s="3" customFormat="1" ht="20.100000000000001" customHeight="1" x14ac:dyDescent="0.3">
      <c r="A9" s="10" t="s">
        <v>12</v>
      </c>
      <c r="B9" s="10" t="s">
        <v>13</v>
      </c>
      <c r="C9" s="11">
        <v>0.1</v>
      </c>
      <c r="D9" s="12">
        <f>E27</f>
        <v>3611.1111111111113</v>
      </c>
      <c r="E9" s="12">
        <f>C9*D9</f>
        <v>361.11111111111114</v>
      </c>
    </row>
    <row r="10" spans="1:5" s="3" customFormat="1" ht="20.100000000000001" customHeight="1" x14ac:dyDescent="0.3">
      <c r="A10" s="10"/>
      <c r="B10" s="10"/>
      <c r="C10" s="10"/>
      <c r="D10" s="12"/>
      <c r="E10" s="12"/>
    </row>
    <row r="11" spans="1:5" s="3" customFormat="1" ht="20.100000000000001" customHeight="1" x14ac:dyDescent="0.3">
      <c r="A11" s="45" t="s">
        <v>14</v>
      </c>
      <c r="B11" s="46"/>
      <c r="C11" s="46"/>
      <c r="D11" s="46"/>
      <c r="E11" s="13">
        <f>SUM(E9:E9)</f>
        <v>361.11111111111114</v>
      </c>
    </row>
    <row r="12" spans="1:5" s="3" customFormat="1" ht="20.100000000000001" customHeight="1" x14ac:dyDescent="0.3">
      <c r="A12" s="47" t="s">
        <v>15</v>
      </c>
      <c r="B12" s="48"/>
      <c r="C12" s="48"/>
      <c r="D12" s="48"/>
      <c r="E12" s="48"/>
    </row>
    <row r="13" spans="1:5" s="3" customFormat="1" ht="20.100000000000001" customHeight="1" x14ac:dyDescent="0.3">
      <c r="A13" s="9" t="s">
        <v>8</v>
      </c>
      <c r="B13" s="9" t="s">
        <v>5</v>
      </c>
      <c r="C13" s="9" t="s">
        <v>16</v>
      </c>
      <c r="D13" s="9" t="s">
        <v>17</v>
      </c>
      <c r="E13" s="9" t="s">
        <v>11</v>
      </c>
    </row>
    <row r="14" spans="1:5" s="3" customFormat="1" ht="20.100000000000001" customHeight="1" x14ac:dyDescent="0.3">
      <c r="A14" s="14"/>
      <c r="B14" s="10"/>
      <c r="C14" s="15"/>
      <c r="D14" s="12"/>
      <c r="E14" s="12"/>
    </row>
    <row r="15" spans="1:5" s="3" customFormat="1" ht="20.100000000000001" customHeight="1" x14ac:dyDescent="0.3">
      <c r="A15" s="17" t="s">
        <v>18</v>
      </c>
      <c r="B15" s="43"/>
      <c r="C15" s="44"/>
      <c r="D15" s="44"/>
      <c r="E15" s="12">
        <f>SUM(E14:E14)*0.02</f>
        <v>0</v>
      </c>
    </row>
    <row r="16" spans="1:5" s="3" customFormat="1" ht="20.100000000000001" customHeight="1" x14ac:dyDescent="0.3">
      <c r="A16" s="17"/>
      <c r="B16" s="18"/>
      <c r="C16" s="7"/>
      <c r="D16" s="7"/>
      <c r="E16" s="12"/>
    </row>
    <row r="17" spans="1:5" s="3" customFormat="1" ht="20.100000000000001" customHeight="1" x14ac:dyDescent="0.3">
      <c r="A17" s="45" t="s">
        <v>14</v>
      </c>
      <c r="B17" s="46"/>
      <c r="C17" s="46"/>
      <c r="D17" s="46"/>
      <c r="E17" s="13">
        <f>SUM(E14:E15)</f>
        <v>0</v>
      </c>
    </row>
    <row r="18" spans="1:5" s="3" customFormat="1" ht="20.100000000000001" customHeight="1" x14ac:dyDescent="0.3">
      <c r="A18" s="47" t="s">
        <v>19</v>
      </c>
      <c r="B18" s="48"/>
      <c r="C18" s="48"/>
      <c r="D18" s="48"/>
      <c r="E18" s="48"/>
    </row>
    <row r="19" spans="1:5" s="3" customFormat="1" ht="20.100000000000001" customHeight="1" x14ac:dyDescent="0.3">
      <c r="A19" s="9" t="s">
        <v>8</v>
      </c>
      <c r="B19" s="9" t="s">
        <v>5</v>
      </c>
      <c r="C19" s="9" t="s">
        <v>9</v>
      </c>
      <c r="D19" s="9" t="s">
        <v>10</v>
      </c>
      <c r="E19" s="9" t="s">
        <v>11</v>
      </c>
    </row>
    <row r="20" spans="1:5" s="3" customFormat="1" ht="20.100000000000001" customHeight="1" x14ac:dyDescent="0.3">
      <c r="A20" s="14" t="s">
        <v>20</v>
      </c>
      <c r="B20" s="10" t="s">
        <v>21</v>
      </c>
      <c r="C20" s="11">
        <v>0</v>
      </c>
      <c r="D20" s="12">
        <v>0</v>
      </c>
      <c r="E20" s="12">
        <v>0</v>
      </c>
    </row>
    <row r="21" spans="1:5" s="3" customFormat="1" ht="20.100000000000001" customHeight="1" x14ac:dyDescent="0.3">
      <c r="A21" s="14"/>
      <c r="B21" s="10"/>
      <c r="C21" s="11"/>
      <c r="D21" s="12"/>
      <c r="E21" s="12"/>
    </row>
    <row r="22" spans="1:5" s="3" customFormat="1" ht="20.100000000000001" customHeight="1" x14ac:dyDescent="0.3">
      <c r="A22" s="45" t="s">
        <v>14</v>
      </c>
      <c r="B22" s="46"/>
      <c r="C22" s="46"/>
      <c r="D22" s="46"/>
      <c r="E22" s="13">
        <f>SUM(E20)</f>
        <v>0</v>
      </c>
    </row>
    <row r="23" spans="1:5" s="3" customFormat="1" ht="20.100000000000001" customHeight="1" x14ac:dyDescent="0.3">
      <c r="A23" s="47" t="s">
        <v>22</v>
      </c>
      <c r="B23" s="48"/>
      <c r="C23" s="48"/>
      <c r="D23" s="48"/>
      <c r="E23" s="48"/>
    </row>
    <row r="24" spans="1:5" s="3" customFormat="1" ht="20.100000000000001" customHeight="1" x14ac:dyDescent="0.3">
      <c r="A24" s="9" t="s">
        <v>8</v>
      </c>
      <c r="B24" s="9" t="s">
        <v>5</v>
      </c>
      <c r="C24" s="9" t="s">
        <v>9</v>
      </c>
      <c r="D24" s="9" t="s">
        <v>23</v>
      </c>
      <c r="E24" s="9" t="s">
        <v>11</v>
      </c>
    </row>
    <row r="25" spans="1:5" s="3" customFormat="1" ht="20.100000000000001" customHeight="1" x14ac:dyDescent="0.3">
      <c r="A25" s="14" t="s">
        <v>24</v>
      </c>
      <c r="B25" s="10" t="s">
        <v>21</v>
      </c>
      <c r="C25" s="11">
        <v>36</v>
      </c>
      <c r="D25" s="12">
        <v>130000</v>
      </c>
      <c r="E25" s="12">
        <f>D25/C25</f>
        <v>3611.1111111111113</v>
      </c>
    </row>
    <row r="26" spans="1:5" s="3" customFormat="1" ht="20.100000000000001" customHeight="1" x14ac:dyDescent="0.3">
      <c r="A26" s="14"/>
      <c r="B26" s="10"/>
      <c r="C26" s="11"/>
      <c r="D26" s="12"/>
      <c r="E26" s="12"/>
    </row>
    <row r="27" spans="1:5" s="3" customFormat="1" ht="20.100000000000001" customHeight="1" x14ac:dyDescent="0.3">
      <c r="A27" s="45" t="s">
        <v>14</v>
      </c>
      <c r="B27" s="46"/>
      <c r="C27" s="46"/>
      <c r="D27" s="46"/>
      <c r="E27" s="13">
        <f>SUM(E25)</f>
        <v>3611.1111111111113</v>
      </c>
    </row>
    <row r="28" spans="1:5" s="3" customFormat="1" ht="20.100000000000001" customHeight="1" x14ac:dyDescent="0.3">
      <c r="A28" s="10"/>
      <c r="B28" s="7"/>
      <c r="C28" s="7"/>
      <c r="D28" s="7"/>
      <c r="E28" s="7"/>
    </row>
    <row r="29" spans="1:5" s="3" customFormat="1" ht="20.100000000000001" customHeight="1" x14ac:dyDescent="0.3">
      <c r="A29" s="45" t="s">
        <v>25</v>
      </c>
      <c r="B29" s="46"/>
      <c r="C29" s="46"/>
      <c r="D29" s="46"/>
      <c r="E29" s="13">
        <f>SUM(E11,E17,E22,E27)</f>
        <v>3972.2222222222226</v>
      </c>
    </row>
    <row r="30" spans="1:5" s="3" customFormat="1" ht="20.100000000000001" customHeight="1" x14ac:dyDescent="0.3">
      <c r="A30" s="4"/>
      <c r="B30" s="5"/>
      <c r="C30" s="5"/>
      <c r="D30" s="5"/>
      <c r="E30" s="5"/>
    </row>
    <row r="31" spans="1:5" s="3" customFormat="1" ht="20.100000000000001" customHeight="1" x14ac:dyDescent="0.3">
      <c r="A31" s="4"/>
      <c r="B31" s="5"/>
      <c r="C31" s="5"/>
      <c r="D31" s="5"/>
      <c r="E31" s="5"/>
    </row>
    <row r="32" spans="1:5" ht="18" customHeight="1" x14ac:dyDescent="0.3">
      <c r="A32" s="51" t="s">
        <v>26</v>
      </c>
      <c r="B32" s="52"/>
      <c r="C32" s="52"/>
      <c r="D32" s="6" t="s">
        <v>3</v>
      </c>
      <c r="E32" s="6">
        <v>2</v>
      </c>
    </row>
    <row r="33" spans="1:5" ht="18" customHeight="1" x14ac:dyDescent="0.3">
      <c r="A33" s="53"/>
      <c r="B33" s="44"/>
      <c r="C33" s="44"/>
      <c r="D33" s="8" t="s">
        <v>5</v>
      </c>
      <c r="E33" s="8" t="s">
        <v>6</v>
      </c>
    </row>
    <row r="34" spans="1:5" ht="18" customHeight="1" x14ac:dyDescent="0.3">
      <c r="A34" s="47" t="s">
        <v>7</v>
      </c>
      <c r="B34" s="48"/>
      <c r="C34" s="48"/>
      <c r="D34" s="48"/>
      <c r="E34" s="48"/>
    </row>
    <row r="35" spans="1:5" ht="18" customHeight="1" x14ac:dyDescent="0.3">
      <c r="A35" s="9" t="s">
        <v>8</v>
      </c>
      <c r="B35" s="9" t="s">
        <v>5</v>
      </c>
      <c r="C35" s="9" t="s">
        <v>9</v>
      </c>
      <c r="D35" s="9" t="s">
        <v>10</v>
      </c>
      <c r="E35" s="9" t="s">
        <v>11</v>
      </c>
    </row>
    <row r="36" spans="1:5" ht="18" customHeight="1" x14ac:dyDescent="0.3">
      <c r="A36" s="10" t="s">
        <v>12</v>
      </c>
      <c r="B36" s="10" t="s">
        <v>13</v>
      </c>
      <c r="C36" s="11">
        <v>0.05</v>
      </c>
      <c r="D36" s="12">
        <f>E58</f>
        <v>7000</v>
      </c>
      <c r="E36" s="12">
        <f>C36*D36</f>
        <v>350</v>
      </c>
    </row>
    <row r="37" spans="1:5" ht="18" customHeight="1" x14ac:dyDescent="0.3">
      <c r="A37" s="10"/>
      <c r="B37" s="10"/>
      <c r="C37" s="10"/>
      <c r="D37" s="12"/>
      <c r="E37" s="12"/>
    </row>
    <row r="38" spans="1:5" ht="18" customHeight="1" x14ac:dyDescent="0.3">
      <c r="A38" s="45" t="s">
        <v>14</v>
      </c>
      <c r="B38" s="46"/>
      <c r="C38" s="46"/>
      <c r="D38" s="46"/>
      <c r="E38" s="13">
        <f>SUM(E36:E36)</f>
        <v>350</v>
      </c>
    </row>
    <row r="39" spans="1:5" ht="18" customHeight="1" x14ac:dyDescent="0.3">
      <c r="A39" s="47" t="s">
        <v>15</v>
      </c>
      <c r="B39" s="48"/>
      <c r="C39" s="48"/>
      <c r="D39" s="48"/>
      <c r="E39" s="48"/>
    </row>
    <row r="40" spans="1:5" ht="18" customHeight="1" x14ac:dyDescent="0.3">
      <c r="A40" s="9" t="s">
        <v>8</v>
      </c>
      <c r="B40" s="9" t="s">
        <v>5</v>
      </c>
      <c r="C40" s="9" t="s">
        <v>16</v>
      </c>
      <c r="D40" s="9" t="s">
        <v>17</v>
      </c>
      <c r="E40" s="9" t="s">
        <v>11</v>
      </c>
    </row>
    <row r="41" spans="1:5" ht="18" customHeight="1" x14ac:dyDescent="0.3">
      <c r="A41" s="14" t="s">
        <v>27</v>
      </c>
      <c r="B41" s="10" t="s">
        <v>28</v>
      </c>
      <c r="C41" s="20">
        <v>0.35</v>
      </c>
      <c r="D41" s="12">
        <v>96000</v>
      </c>
      <c r="E41" s="12">
        <f>C41*D41</f>
        <v>33600</v>
      </c>
    </row>
    <row r="42" spans="1:5" ht="18" customHeight="1" x14ac:dyDescent="0.3">
      <c r="A42" s="14" t="s">
        <v>29</v>
      </c>
      <c r="B42" s="10" t="s">
        <v>28</v>
      </c>
      <c r="C42" s="20">
        <v>1</v>
      </c>
      <c r="D42" s="12">
        <v>9500</v>
      </c>
      <c r="E42" s="12">
        <f>C42*D42</f>
        <v>9500</v>
      </c>
    </row>
    <row r="43" spans="1:5" ht="18" customHeight="1" x14ac:dyDescent="0.3">
      <c r="A43" s="14" t="s">
        <v>30</v>
      </c>
      <c r="B43" s="10" t="s">
        <v>28</v>
      </c>
      <c r="C43" s="20">
        <v>1</v>
      </c>
      <c r="D43" s="12">
        <v>9000</v>
      </c>
      <c r="E43" s="12">
        <f>C43*D43</f>
        <v>9000</v>
      </c>
    </row>
    <row r="44" spans="1:5" ht="18" customHeight="1" x14ac:dyDescent="0.3">
      <c r="A44" s="14" t="s">
        <v>31</v>
      </c>
      <c r="B44" s="10" t="s">
        <v>28</v>
      </c>
      <c r="C44" s="15">
        <v>50</v>
      </c>
      <c r="D44" s="12">
        <v>40</v>
      </c>
      <c r="E44" s="12">
        <f>C44*D44</f>
        <v>2000</v>
      </c>
    </row>
    <row r="45" spans="1:5" ht="18" customHeight="1" x14ac:dyDescent="0.3">
      <c r="A45" s="14"/>
      <c r="B45" s="10"/>
      <c r="C45" s="16"/>
      <c r="D45" s="12"/>
      <c r="E45" s="12"/>
    </row>
    <row r="46" spans="1:5" ht="18" customHeight="1" x14ac:dyDescent="0.3">
      <c r="A46" s="17" t="s">
        <v>18</v>
      </c>
      <c r="B46" s="43"/>
      <c r="C46" s="44"/>
      <c r="D46" s="44"/>
      <c r="E46" s="12">
        <v>0</v>
      </c>
    </row>
    <row r="47" spans="1:5" ht="18" customHeight="1" x14ac:dyDescent="0.3">
      <c r="A47" s="17"/>
      <c r="B47" s="18"/>
      <c r="C47" s="7"/>
      <c r="D47" s="7"/>
      <c r="E47" s="12"/>
    </row>
    <row r="48" spans="1:5" ht="18" customHeight="1" x14ac:dyDescent="0.3">
      <c r="A48" s="45" t="s">
        <v>14</v>
      </c>
      <c r="B48" s="46"/>
      <c r="C48" s="46"/>
      <c r="D48" s="46"/>
      <c r="E48" s="13">
        <f>SUM(E41:E46)</f>
        <v>54100</v>
      </c>
    </row>
    <row r="49" spans="1:7" ht="18" customHeight="1" x14ac:dyDescent="0.3">
      <c r="A49" s="47" t="s">
        <v>19</v>
      </c>
      <c r="B49" s="48"/>
      <c r="C49" s="48"/>
      <c r="D49" s="48"/>
      <c r="E49" s="48"/>
    </row>
    <row r="50" spans="1:7" ht="18" customHeight="1" x14ac:dyDescent="0.3">
      <c r="A50" s="9" t="s">
        <v>8</v>
      </c>
      <c r="B50" s="9" t="s">
        <v>5</v>
      </c>
      <c r="C50" s="9" t="s">
        <v>9</v>
      </c>
      <c r="D50" s="9" t="s">
        <v>10</v>
      </c>
      <c r="E50" s="9" t="s">
        <v>11</v>
      </c>
    </row>
    <row r="51" spans="1:7" ht="18" customHeight="1" x14ac:dyDescent="0.3">
      <c r="A51" s="14" t="s">
        <v>20</v>
      </c>
      <c r="B51" s="10" t="s">
        <v>21</v>
      </c>
      <c r="C51" s="11">
        <v>2.5000000000000001E-2</v>
      </c>
      <c r="D51" s="12">
        <v>60000</v>
      </c>
      <c r="E51" s="12">
        <f>D51*C51</f>
        <v>1500</v>
      </c>
      <c r="G51" s="21"/>
    </row>
    <row r="52" spans="1:7" ht="18" customHeight="1" x14ac:dyDescent="0.3">
      <c r="A52" s="14"/>
      <c r="B52" s="10"/>
      <c r="C52" s="11"/>
      <c r="D52" s="12"/>
      <c r="E52" s="12"/>
    </row>
    <row r="53" spans="1:7" ht="18" customHeight="1" x14ac:dyDescent="0.3">
      <c r="A53" s="45" t="s">
        <v>14</v>
      </c>
      <c r="B53" s="46"/>
      <c r="C53" s="46"/>
      <c r="D53" s="46"/>
      <c r="E53" s="13">
        <f>SUM(E51)</f>
        <v>1500</v>
      </c>
    </row>
    <row r="54" spans="1:7" ht="18" customHeight="1" x14ac:dyDescent="0.3">
      <c r="A54" s="47" t="s">
        <v>22</v>
      </c>
      <c r="B54" s="48"/>
      <c r="C54" s="48"/>
      <c r="D54" s="48"/>
      <c r="E54" s="48"/>
    </row>
    <row r="55" spans="1:7" ht="18" customHeight="1" x14ac:dyDescent="0.3">
      <c r="A55" s="9" t="s">
        <v>8</v>
      </c>
      <c r="B55" s="9" t="s">
        <v>5</v>
      </c>
      <c r="C55" s="9" t="s">
        <v>9</v>
      </c>
      <c r="D55" s="9" t="s">
        <v>23</v>
      </c>
      <c r="E55" s="9" t="s">
        <v>11</v>
      </c>
    </row>
    <row r="56" spans="1:7" ht="18" customHeight="1" x14ac:dyDescent="0.3">
      <c r="A56" s="14" t="s">
        <v>32</v>
      </c>
      <c r="B56" s="10" t="s">
        <v>21</v>
      </c>
      <c r="C56" s="11">
        <v>30</v>
      </c>
      <c r="D56" s="12">
        <v>210000</v>
      </c>
      <c r="E56" s="12">
        <f>D56/C56</f>
        <v>7000</v>
      </c>
    </row>
    <row r="57" spans="1:7" ht="18" customHeight="1" x14ac:dyDescent="0.3">
      <c r="A57" s="14"/>
      <c r="B57" s="10"/>
      <c r="C57" s="11"/>
      <c r="D57" s="12"/>
      <c r="E57" s="12"/>
    </row>
    <row r="58" spans="1:7" ht="18" customHeight="1" x14ac:dyDescent="0.3">
      <c r="A58" s="45" t="s">
        <v>14</v>
      </c>
      <c r="B58" s="46"/>
      <c r="C58" s="46"/>
      <c r="D58" s="46"/>
      <c r="E58" s="13">
        <f>SUM(E56)</f>
        <v>7000</v>
      </c>
    </row>
    <row r="59" spans="1:7" ht="18" customHeight="1" x14ac:dyDescent="0.3">
      <c r="A59" s="10"/>
      <c r="B59" s="7"/>
      <c r="C59" s="7"/>
      <c r="D59" s="7"/>
      <c r="E59" s="7"/>
    </row>
    <row r="60" spans="1:7" ht="18" customHeight="1" x14ac:dyDescent="0.3">
      <c r="A60" s="45" t="s">
        <v>25</v>
      </c>
      <c r="B60" s="46"/>
      <c r="C60" s="46"/>
      <c r="D60" s="46"/>
      <c r="E60" s="13">
        <f>SUM(E38,E48,E53,E58)</f>
        <v>62950</v>
      </c>
    </row>
    <row r="63" spans="1:7" ht="18" customHeight="1" x14ac:dyDescent="0.3">
      <c r="A63" s="54" t="s">
        <v>33</v>
      </c>
      <c r="B63" s="54"/>
      <c r="C63" s="54"/>
      <c r="D63" s="22" t="s">
        <v>3</v>
      </c>
      <c r="E63" s="22">
        <v>3</v>
      </c>
    </row>
    <row r="64" spans="1:7" ht="18" customHeight="1" x14ac:dyDescent="0.3">
      <c r="A64" s="53"/>
      <c r="B64" s="53"/>
      <c r="C64" s="53"/>
      <c r="D64" s="8" t="s">
        <v>5</v>
      </c>
      <c r="E64" s="8" t="s">
        <v>6</v>
      </c>
    </row>
    <row r="65" spans="1:7" ht="18" customHeight="1" x14ac:dyDescent="0.3">
      <c r="A65" s="47" t="s">
        <v>7</v>
      </c>
      <c r="B65" s="47"/>
      <c r="C65" s="47"/>
      <c r="D65" s="47"/>
      <c r="E65" s="47"/>
    </row>
    <row r="66" spans="1:7" ht="18" customHeight="1" x14ac:dyDescent="0.3">
      <c r="A66" s="9" t="s">
        <v>8</v>
      </c>
      <c r="B66" s="9" t="s">
        <v>5</v>
      </c>
      <c r="C66" s="9" t="s">
        <v>9</v>
      </c>
      <c r="D66" s="9" t="s">
        <v>10</v>
      </c>
      <c r="E66" s="9" t="s">
        <v>11</v>
      </c>
    </row>
    <row r="67" spans="1:7" ht="18" customHeight="1" x14ac:dyDescent="0.3">
      <c r="A67" s="10" t="s">
        <v>12</v>
      </c>
      <c r="B67" s="10" t="s">
        <v>13</v>
      </c>
      <c r="C67" s="11">
        <v>0.8</v>
      </c>
      <c r="D67" s="12">
        <f>E87</f>
        <v>1300</v>
      </c>
      <c r="E67" s="12">
        <f>C67*D67</f>
        <v>1040</v>
      </c>
    </row>
    <row r="68" spans="1:7" ht="18" customHeight="1" x14ac:dyDescent="0.3">
      <c r="A68" s="10"/>
      <c r="B68" s="10"/>
      <c r="C68" s="10"/>
      <c r="D68" s="12"/>
      <c r="E68" s="12"/>
    </row>
    <row r="69" spans="1:7" ht="18" customHeight="1" x14ac:dyDescent="0.3">
      <c r="A69" s="45" t="s">
        <v>14</v>
      </c>
      <c r="B69" s="45"/>
      <c r="C69" s="45"/>
      <c r="D69" s="45"/>
      <c r="E69" s="13">
        <f>SUM(E67:E67)</f>
        <v>1040</v>
      </c>
    </row>
    <row r="70" spans="1:7" ht="18" customHeight="1" x14ac:dyDescent="0.3">
      <c r="A70" s="47" t="s">
        <v>15</v>
      </c>
      <c r="B70" s="47"/>
      <c r="C70" s="47"/>
      <c r="D70" s="47"/>
      <c r="E70" s="47"/>
    </row>
    <row r="71" spans="1:7" ht="18" customHeight="1" x14ac:dyDescent="0.3">
      <c r="A71" s="9" t="s">
        <v>8</v>
      </c>
      <c r="B71" s="9" t="s">
        <v>5</v>
      </c>
      <c r="C71" s="9" t="s">
        <v>16</v>
      </c>
      <c r="D71" s="9" t="s">
        <v>17</v>
      </c>
      <c r="E71" s="9" t="s">
        <v>11</v>
      </c>
      <c r="F71" s="23"/>
    </row>
    <row r="72" spans="1:7" ht="18" customHeight="1" x14ac:dyDescent="0.3">
      <c r="A72" s="14" t="s">
        <v>34</v>
      </c>
      <c r="B72" s="10" t="s">
        <v>35</v>
      </c>
      <c r="C72" s="16">
        <v>2.1999999999999999E-2</v>
      </c>
      <c r="D72" s="12">
        <v>300000</v>
      </c>
      <c r="E72" s="12">
        <f>C72*D72</f>
        <v>6600</v>
      </c>
      <c r="F72" s="23"/>
    </row>
    <row r="73" spans="1:7" ht="18" customHeight="1" x14ac:dyDescent="0.3">
      <c r="A73" s="14" t="s">
        <v>36</v>
      </c>
      <c r="B73" s="10" t="s">
        <v>6</v>
      </c>
      <c r="C73" s="16">
        <v>1.4999999999999999E-2</v>
      </c>
      <c r="D73" s="12">
        <v>100000</v>
      </c>
      <c r="E73" s="12">
        <f>C73*D73</f>
        <v>1500</v>
      </c>
      <c r="G73" s="23"/>
    </row>
    <row r="74" spans="1:7" ht="18" customHeight="1" x14ac:dyDescent="0.3">
      <c r="A74" s="14"/>
      <c r="B74" s="10"/>
      <c r="C74" s="16"/>
      <c r="D74" s="12"/>
      <c r="E74" s="12"/>
    </row>
    <row r="75" spans="1:7" ht="18" customHeight="1" x14ac:dyDescent="0.3">
      <c r="A75" s="17" t="s">
        <v>37</v>
      </c>
      <c r="B75" s="43"/>
      <c r="C75" s="43"/>
      <c r="D75" s="43"/>
      <c r="E75" s="12">
        <f>E72*0.03</f>
        <v>198</v>
      </c>
    </row>
    <row r="76" spans="1:7" ht="18" customHeight="1" x14ac:dyDescent="0.3">
      <c r="A76" s="17"/>
      <c r="B76" s="18"/>
      <c r="C76" s="7"/>
      <c r="D76" s="7"/>
      <c r="E76" s="12"/>
    </row>
    <row r="77" spans="1:7" ht="18" customHeight="1" x14ac:dyDescent="0.3">
      <c r="A77" s="45" t="s">
        <v>14</v>
      </c>
      <c r="B77" s="45"/>
      <c r="C77" s="45"/>
      <c r="D77" s="45"/>
      <c r="E77" s="13">
        <f>SUM(E72:E75)</f>
        <v>8298</v>
      </c>
    </row>
    <row r="78" spans="1:7" ht="18" customHeight="1" x14ac:dyDescent="0.3">
      <c r="A78" s="47" t="s">
        <v>19</v>
      </c>
      <c r="B78" s="47"/>
      <c r="C78" s="47"/>
      <c r="D78" s="47"/>
      <c r="E78" s="47"/>
    </row>
    <row r="79" spans="1:7" ht="18" customHeight="1" x14ac:dyDescent="0.3">
      <c r="A79" s="9" t="s">
        <v>8</v>
      </c>
      <c r="B79" s="9" t="s">
        <v>5</v>
      </c>
      <c r="C79" s="9" t="s">
        <v>9</v>
      </c>
      <c r="D79" s="9" t="s">
        <v>10</v>
      </c>
      <c r="E79" s="9" t="s">
        <v>11</v>
      </c>
    </row>
    <row r="80" spans="1:7" ht="18" customHeight="1" x14ac:dyDescent="0.3">
      <c r="A80" s="14" t="s">
        <v>38</v>
      </c>
      <c r="B80" s="10" t="s">
        <v>21</v>
      </c>
      <c r="C80" s="11">
        <v>2.5000000000000001E-2</v>
      </c>
      <c r="D80" s="12">
        <v>25000</v>
      </c>
      <c r="E80" s="12">
        <f>D80*C80</f>
        <v>625</v>
      </c>
      <c r="G80" s="23"/>
    </row>
    <row r="81" spans="1:5" ht="18" customHeight="1" x14ac:dyDescent="0.3">
      <c r="A81" s="14"/>
      <c r="B81" s="10"/>
      <c r="C81" s="11"/>
      <c r="D81" s="12"/>
      <c r="E81" s="12"/>
    </row>
    <row r="82" spans="1:5" ht="18" customHeight="1" x14ac:dyDescent="0.3">
      <c r="A82" s="45" t="s">
        <v>14</v>
      </c>
      <c r="B82" s="45"/>
      <c r="C82" s="45"/>
      <c r="D82" s="45"/>
      <c r="E82" s="13">
        <f>SUM(E80)</f>
        <v>625</v>
      </c>
    </row>
    <row r="83" spans="1:5" ht="18" customHeight="1" x14ac:dyDescent="0.3">
      <c r="A83" s="47" t="s">
        <v>22</v>
      </c>
      <c r="B83" s="47"/>
      <c r="C83" s="47"/>
      <c r="D83" s="47"/>
      <c r="E83" s="47"/>
    </row>
    <row r="84" spans="1:5" ht="18" customHeight="1" x14ac:dyDescent="0.3">
      <c r="A84" s="9" t="s">
        <v>8</v>
      </c>
      <c r="B84" s="9" t="s">
        <v>5</v>
      </c>
      <c r="C84" s="9" t="s">
        <v>9</v>
      </c>
      <c r="D84" s="9" t="s">
        <v>23</v>
      </c>
      <c r="E84" s="9" t="s">
        <v>11</v>
      </c>
    </row>
    <row r="85" spans="1:5" ht="18" customHeight="1" x14ac:dyDescent="0.3">
      <c r="A85" s="14" t="s">
        <v>39</v>
      </c>
      <c r="B85" s="10" t="s">
        <v>21</v>
      </c>
      <c r="C85" s="11">
        <v>100</v>
      </c>
      <c r="D85" s="12">
        <v>130000</v>
      </c>
      <c r="E85" s="12">
        <f>D85/C85</f>
        <v>1300</v>
      </c>
    </row>
    <row r="86" spans="1:5" ht="18" customHeight="1" x14ac:dyDescent="0.3">
      <c r="A86" s="14"/>
      <c r="B86" s="10"/>
      <c r="C86" s="11"/>
      <c r="D86" s="12"/>
      <c r="E86" s="12"/>
    </row>
    <row r="87" spans="1:5" ht="18" customHeight="1" x14ac:dyDescent="0.3">
      <c r="A87" s="45" t="s">
        <v>14</v>
      </c>
      <c r="B87" s="45"/>
      <c r="C87" s="45"/>
      <c r="D87" s="45"/>
      <c r="E87" s="13">
        <f>SUM(E85)</f>
        <v>1300</v>
      </c>
    </row>
    <row r="88" spans="1:5" ht="18" customHeight="1" x14ac:dyDescent="0.3">
      <c r="A88" s="10"/>
      <c r="B88" s="7"/>
      <c r="C88" s="7"/>
      <c r="D88" s="7"/>
      <c r="E88" s="7"/>
    </row>
    <row r="89" spans="1:5" ht="18" customHeight="1" x14ac:dyDescent="0.3">
      <c r="A89" s="45" t="s">
        <v>25</v>
      </c>
      <c r="B89" s="45"/>
      <c r="C89" s="45"/>
      <c r="D89" s="45"/>
      <c r="E89" s="13">
        <f>SUM(E69,E77,E82,E87)</f>
        <v>11263</v>
      </c>
    </row>
    <row r="91" spans="1:5" ht="18" customHeight="1" x14ac:dyDescent="0.3">
      <c r="B91" s="7"/>
      <c r="C91" s="7"/>
      <c r="D91" s="7"/>
      <c r="E91" s="7"/>
    </row>
    <row r="92" spans="1:5" ht="18" customHeight="1" x14ac:dyDescent="0.3">
      <c r="A92" s="54" t="s">
        <v>40</v>
      </c>
      <c r="B92" s="54"/>
      <c r="C92" s="54"/>
      <c r="D92" s="22" t="s">
        <v>3</v>
      </c>
      <c r="E92" s="22">
        <v>4</v>
      </c>
    </row>
    <row r="93" spans="1:5" ht="18" customHeight="1" x14ac:dyDescent="0.3">
      <c r="A93" s="53"/>
      <c r="B93" s="53"/>
      <c r="C93" s="53"/>
      <c r="D93" s="8" t="s">
        <v>5</v>
      </c>
      <c r="E93" s="8" t="s">
        <v>6</v>
      </c>
    </row>
    <row r="94" spans="1:5" ht="18" customHeight="1" x14ac:dyDescent="0.3">
      <c r="A94" s="47" t="s">
        <v>7</v>
      </c>
      <c r="B94" s="47"/>
      <c r="C94" s="47"/>
      <c r="D94" s="47"/>
      <c r="E94" s="47"/>
    </row>
    <row r="95" spans="1:5" ht="18" customHeight="1" x14ac:dyDescent="0.3">
      <c r="A95" s="9" t="s">
        <v>8</v>
      </c>
      <c r="B95" s="9" t="s">
        <v>5</v>
      </c>
      <c r="C95" s="9" t="s">
        <v>9</v>
      </c>
      <c r="D95" s="9" t="s">
        <v>10</v>
      </c>
      <c r="E95" s="9" t="s">
        <v>11</v>
      </c>
    </row>
    <row r="96" spans="1:5" ht="18" customHeight="1" x14ac:dyDescent="0.3">
      <c r="A96" s="10" t="s">
        <v>12</v>
      </c>
      <c r="B96" s="10" t="s">
        <v>13</v>
      </c>
      <c r="C96" s="11">
        <v>0.1</v>
      </c>
      <c r="D96" s="12">
        <f>E116</f>
        <v>2888.8888888888887</v>
      </c>
      <c r="E96" s="12">
        <f>C96*D96</f>
        <v>288.88888888888886</v>
      </c>
    </row>
    <row r="97" spans="1:7" ht="18" customHeight="1" x14ac:dyDescent="0.3">
      <c r="A97" s="10"/>
      <c r="B97" s="10"/>
      <c r="C97" s="10"/>
      <c r="D97" s="12"/>
      <c r="E97" s="12"/>
    </row>
    <row r="98" spans="1:7" ht="18" customHeight="1" x14ac:dyDescent="0.3">
      <c r="A98" s="45" t="s">
        <v>14</v>
      </c>
      <c r="B98" s="45"/>
      <c r="C98" s="45"/>
      <c r="D98" s="45"/>
      <c r="E98" s="13">
        <f>SUM(E96:E96)</f>
        <v>288.88888888888886</v>
      </c>
    </row>
    <row r="99" spans="1:7" ht="18" customHeight="1" x14ac:dyDescent="0.3">
      <c r="A99" s="47" t="s">
        <v>15</v>
      </c>
      <c r="B99" s="47"/>
      <c r="C99" s="47"/>
      <c r="D99" s="47"/>
      <c r="E99" s="47"/>
    </row>
    <row r="100" spans="1:7" ht="18" customHeight="1" x14ac:dyDescent="0.3">
      <c r="A100" s="9" t="s">
        <v>8</v>
      </c>
      <c r="B100" s="9" t="s">
        <v>5</v>
      </c>
      <c r="C100" s="9" t="s">
        <v>16</v>
      </c>
      <c r="D100" s="9" t="s">
        <v>17</v>
      </c>
      <c r="E100" s="9" t="s">
        <v>11</v>
      </c>
    </row>
    <row r="101" spans="1:7" ht="18" customHeight="1" x14ac:dyDescent="0.3">
      <c r="A101" s="14" t="s">
        <v>41</v>
      </c>
      <c r="B101" s="10" t="s">
        <v>6</v>
      </c>
      <c r="C101" s="20">
        <v>0.15</v>
      </c>
      <c r="D101" s="12">
        <v>48000</v>
      </c>
      <c r="E101" s="12">
        <f>C101*D101</f>
        <v>7200</v>
      </c>
    </row>
    <row r="102" spans="1:7" ht="18" customHeight="1" x14ac:dyDescent="0.3">
      <c r="A102" s="14" t="s">
        <v>42</v>
      </c>
      <c r="B102" s="10" t="s">
        <v>43</v>
      </c>
      <c r="C102" s="16">
        <v>8.0000000000000002E-3</v>
      </c>
      <c r="D102" s="12">
        <v>56000</v>
      </c>
      <c r="E102" s="12">
        <f>C102*D102</f>
        <v>448</v>
      </c>
    </row>
    <row r="103" spans="1:7" ht="18" customHeight="1" x14ac:dyDescent="0.3">
      <c r="A103" s="14"/>
      <c r="B103" s="10"/>
      <c r="C103" s="16"/>
      <c r="D103" s="12"/>
      <c r="E103" s="12"/>
    </row>
    <row r="104" spans="1:7" ht="18" customHeight="1" x14ac:dyDescent="0.3">
      <c r="A104" s="17" t="s">
        <v>37</v>
      </c>
      <c r="B104" s="43"/>
      <c r="C104" s="43"/>
      <c r="D104" s="43"/>
      <c r="E104" s="12">
        <f>E101*0.03</f>
        <v>216</v>
      </c>
    </row>
    <row r="105" spans="1:7" ht="18" customHeight="1" x14ac:dyDescent="0.3">
      <c r="A105" s="17"/>
      <c r="B105" s="18"/>
      <c r="C105" s="7"/>
      <c r="D105" s="7"/>
      <c r="E105" s="12"/>
    </row>
    <row r="106" spans="1:7" ht="18" customHeight="1" x14ac:dyDescent="0.3">
      <c r="A106" s="45" t="s">
        <v>14</v>
      </c>
      <c r="B106" s="45"/>
      <c r="C106" s="45"/>
      <c r="D106" s="45"/>
      <c r="E106" s="13">
        <f>SUM(E101:E104)</f>
        <v>7864</v>
      </c>
    </row>
    <row r="107" spans="1:7" ht="18" customHeight="1" x14ac:dyDescent="0.3">
      <c r="A107" s="47" t="s">
        <v>19</v>
      </c>
      <c r="B107" s="47"/>
      <c r="C107" s="47"/>
      <c r="D107" s="47"/>
      <c r="E107" s="47"/>
    </row>
    <row r="108" spans="1:7" ht="18" customHeight="1" x14ac:dyDescent="0.3">
      <c r="A108" s="9" t="s">
        <v>8</v>
      </c>
      <c r="B108" s="9" t="s">
        <v>5</v>
      </c>
      <c r="C108" s="9" t="s">
        <v>9</v>
      </c>
      <c r="D108" s="9" t="s">
        <v>10</v>
      </c>
      <c r="E108" s="9" t="s">
        <v>11</v>
      </c>
    </row>
    <row r="109" spans="1:7" ht="18" customHeight="1" x14ac:dyDescent="0.3">
      <c r="A109" s="14" t="s">
        <v>38</v>
      </c>
      <c r="B109" s="10" t="s">
        <v>21</v>
      </c>
      <c r="C109" s="11">
        <v>2.5000000000000001E-2</v>
      </c>
      <c r="D109" s="12">
        <v>45000</v>
      </c>
      <c r="E109" s="12">
        <f>D109*C109</f>
        <v>1125</v>
      </c>
      <c r="G109" s="23"/>
    </row>
    <row r="110" spans="1:7" ht="18" customHeight="1" x14ac:dyDescent="0.3">
      <c r="A110" s="14"/>
      <c r="B110" s="10"/>
      <c r="C110" s="11"/>
      <c r="D110" s="12"/>
      <c r="E110" s="12"/>
    </row>
    <row r="111" spans="1:7" ht="18" customHeight="1" x14ac:dyDescent="0.3">
      <c r="A111" s="45" t="s">
        <v>14</v>
      </c>
      <c r="B111" s="45"/>
      <c r="C111" s="45"/>
      <c r="D111" s="45"/>
      <c r="E111" s="13">
        <f>SUM(E109)</f>
        <v>1125</v>
      </c>
    </row>
    <row r="112" spans="1:7" ht="18" customHeight="1" x14ac:dyDescent="0.3">
      <c r="A112" s="47" t="s">
        <v>22</v>
      </c>
      <c r="B112" s="47"/>
      <c r="C112" s="47"/>
      <c r="D112" s="47"/>
      <c r="E112" s="47"/>
    </row>
    <row r="113" spans="1:5" ht="18" customHeight="1" x14ac:dyDescent="0.3">
      <c r="A113" s="9" t="s">
        <v>8</v>
      </c>
      <c r="B113" s="9" t="s">
        <v>5</v>
      </c>
      <c r="C113" s="9" t="s">
        <v>9</v>
      </c>
      <c r="D113" s="9" t="s">
        <v>23</v>
      </c>
      <c r="E113" s="9" t="s">
        <v>11</v>
      </c>
    </row>
    <row r="114" spans="1:5" ht="18" customHeight="1" x14ac:dyDescent="0.3">
      <c r="A114" s="14" t="s">
        <v>39</v>
      </c>
      <c r="B114" s="10" t="s">
        <v>21</v>
      </c>
      <c r="C114" s="11">
        <v>45</v>
      </c>
      <c r="D114" s="12">
        <v>130000</v>
      </c>
      <c r="E114" s="12">
        <f>D114/C114</f>
        <v>2888.8888888888887</v>
      </c>
    </row>
    <row r="115" spans="1:5" ht="18" customHeight="1" x14ac:dyDescent="0.3">
      <c r="A115" s="14"/>
      <c r="B115" s="10"/>
      <c r="C115" s="11"/>
      <c r="D115" s="12"/>
      <c r="E115" s="12"/>
    </row>
    <row r="116" spans="1:5" ht="18" customHeight="1" x14ac:dyDescent="0.3">
      <c r="A116" s="45" t="s">
        <v>14</v>
      </c>
      <c r="B116" s="45"/>
      <c r="C116" s="45"/>
      <c r="D116" s="45"/>
      <c r="E116" s="13">
        <f>SUM(E114)</f>
        <v>2888.8888888888887</v>
      </c>
    </row>
    <row r="117" spans="1:5" ht="18" customHeight="1" x14ac:dyDescent="0.3">
      <c r="A117" s="10"/>
      <c r="B117" s="7"/>
      <c r="C117" s="7"/>
      <c r="D117" s="7"/>
      <c r="E117" s="7"/>
    </row>
    <row r="118" spans="1:5" ht="18" customHeight="1" x14ac:dyDescent="0.3">
      <c r="A118" s="45" t="s">
        <v>25</v>
      </c>
      <c r="B118" s="45"/>
      <c r="C118" s="45"/>
      <c r="D118" s="45"/>
      <c r="E118" s="13">
        <f>SUM(E98,E106,E111,E116)</f>
        <v>12166.777777777777</v>
      </c>
    </row>
    <row r="121" spans="1:5" ht="18" customHeight="1" x14ac:dyDescent="0.3">
      <c r="A121" s="4"/>
      <c r="B121" s="5"/>
      <c r="C121" s="5"/>
      <c r="D121" s="5"/>
      <c r="E121" s="5"/>
    </row>
    <row r="122" spans="1:5" ht="18" customHeight="1" x14ac:dyDescent="0.3">
      <c r="A122" s="54" t="s">
        <v>44</v>
      </c>
      <c r="B122" s="54"/>
      <c r="C122" s="54"/>
      <c r="D122" s="22" t="s">
        <v>3</v>
      </c>
      <c r="E122" s="22">
        <v>5</v>
      </c>
    </row>
    <row r="123" spans="1:5" ht="18" customHeight="1" x14ac:dyDescent="0.3">
      <c r="A123" s="53"/>
      <c r="B123" s="44"/>
      <c r="C123" s="44"/>
      <c r="D123" s="8" t="s">
        <v>5</v>
      </c>
      <c r="E123" s="8" t="s">
        <v>45</v>
      </c>
    </row>
    <row r="124" spans="1:5" ht="18" customHeight="1" x14ac:dyDescent="0.3">
      <c r="A124" s="47" t="s">
        <v>7</v>
      </c>
      <c r="B124" s="48"/>
      <c r="C124" s="48"/>
      <c r="D124" s="48"/>
      <c r="E124" s="48"/>
    </row>
    <row r="125" spans="1:5" ht="18" customHeight="1" x14ac:dyDescent="0.3">
      <c r="A125" s="9" t="s">
        <v>8</v>
      </c>
      <c r="B125" s="9" t="s">
        <v>5</v>
      </c>
      <c r="C125" s="9" t="s">
        <v>9</v>
      </c>
      <c r="D125" s="9" t="s">
        <v>10</v>
      </c>
      <c r="E125" s="9" t="s">
        <v>11</v>
      </c>
    </row>
    <row r="126" spans="1:5" ht="18" customHeight="1" x14ac:dyDescent="0.3">
      <c r="A126" s="10" t="s">
        <v>12</v>
      </c>
      <c r="B126" s="10" t="s">
        <v>13</v>
      </c>
      <c r="C126" s="11">
        <v>0.1</v>
      </c>
      <c r="D126" s="12">
        <f>E148</f>
        <v>2888.8888888888887</v>
      </c>
      <c r="E126" s="12">
        <f>C126*D126</f>
        <v>288.88888888888886</v>
      </c>
    </row>
    <row r="127" spans="1:5" ht="18" customHeight="1" x14ac:dyDescent="0.3">
      <c r="A127" s="10"/>
      <c r="B127" s="10"/>
      <c r="C127" s="10"/>
      <c r="D127" s="12"/>
      <c r="E127" s="12"/>
    </row>
    <row r="128" spans="1:5" ht="18" customHeight="1" x14ac:dyDescent="0.3">
      <c r="A128" s="45" t="s">
        <v>14</v>
      </c>
      <c r="B128" s="46"/>
      <c r="C128" s="46"/>
      <c r="D128" s="46"/>
      <c r="E128" s="13">
        <f>SUM(E126:E126)</f>
        <v>288.88888888888886</v>
      </c>
    </row>
    <row r="129" spans="1:5" ht="18" customHeight="1" x14ac:dyDescent="0.3">
      <c r="A129" s="47" t="s">
        <v>15</v>
      </c>
      <c r="B129" s="48"/>
      <c r="C129" s="48"/>
      <c r="D129" s="48"/>
      <c r="E129" s="48"/>
    </row>
    <row r="130" spans="1:5" ht="18" customHeight="1" x14ac:dyDescent="0.3">
      <c r="A130" s="9" t="s">
        <v>8</v>
      </c>
      <c r="B130" s="9" t="s">
        <v>5</v>
      </c>
      <c r="C130" s="9" t="s">
        <v>16</v>
      </c>
      <c r="D130" s="9" t="s">
        <v>17</v>
      </c>
      <c r="E130" s="9" t="s">
        <v>11</v>
      </c>
    </row>
    <row r="131" spans="1:5" ht="18" customHeight="1" x14ac:dyDescent="0.3">
      <c r="A131" s="14" t="s">
        <v>46</v>
      </c>
      <c r="B131" s="10" t="s">
        <v>6</v>
      </c>
      <c r="C131" s="24">
        <v>1</v>
      </c>
      <c r="D131" s="12">
        <v>60000</v>
      </c>
      <c r="E131" s="12">
        <f>C131*D131</f>
        <v>60000</v>
      </c>
    </row>
    <row r="132" spans="1:5" ht="18" customHeight="1" x14ac:dyDescent="0.3">
      <c r="A132" s="14" t="s">
        <v>47</v>
      </c>
      <c r="B132" s="10" t="s">
        <v>6</v>
      </c>
      <c r="C132" s="16">
        <v>0.15</v>
      </c>
      <c r="D132" s="12">
        <v>38000</v>
      </c>
      <c r="E132" s="12">
        <f>C132*D132</f>
        <v>5700</v>
      </c>
    </row>
    <row r="133" spans="1:5" ht="18" customHeight="1" x14ac:dyDescent="0.3">
      <c r="A133" s="14" t="s">
        <v>72</v>
      </c>
      <c r="B133" s="10" t="s">
        <v>6</v>
      </c>
      <c r="C133" s="16">
        <v>0.1</v>
      </c>
      <c r="D133" s="12">
        <v>28000</v>
      </c>
      <c r="E133" s="12">
        <f>C133*D133</f>
        <v>2800</v>
      </c>
    </row>
    <row r="134" spans="1:5" ht="18" customHeight="1" x14ac:dyDescent="0.3">
      <c r="A134" s="14" t="s">
        <v>74</v>
      </c>
      <c r="B134" s="10" t="s">
        <v>73</v>
      </c>
      <c r="C134" s="16">
        <v>0.1</v>
      </c>
      <c r="D134" s="12">
        <v>15000</v>
      </c>
      <c r="E134" s="12">
        <f>C134*D134</f>
        <v>1500</v>
      </c>
    </row>
    <row r="135" spans="1:5" ht="18" customHeight="1" x14ac:dyDescent="0.3">
      <c r="A135" s="14"/>
      <c r="B135" s="10"/>
      <c r="C135" s="16"/>
      <c r="D135" s="12"/>
      <c r="E135" s="12"/>
    </row>
    <row r="136" spans="1:5" ht="18" customHeight="1" x14ac:dyDescent="0.3">
      <c r="A136" s="25" t="s">
        <v>48</v>
      </c>
      <c r="B136" s="55"/>
      <c r="C136" s="44"/>
      <c r="D136" s="44"/>
      <c r="E136" s="27">
        <f>(E131+E135)*0.05</f>
        <v>3000</v>
      </c>
    </row>
    <row r="137" spans="1:5" ht="18" customHeight="1" x14ac:dyDescent="0.3">
      <c r="A137" s="25"/>
      <c r="B137" s="26"/>
      <c r="C137" s="7"/>
      <c r="D137" s="7"/>
      <c r="E137" s="27"/>
    </row>
    <row r="138" spans="1:5" ht="18" customHeight="1" x14ac:dyDescent="0.3">
      <c r="A138" s="45" t="s">
        <v>14</v>
      </c>
      <c r="B138" s="46"/>
      <c r="C138" s="46"/>
      <c r="D138" s="46"/>
      <c r="E138" s="13">
        <f>SUM(E131:E136)</f>
        <v>73000</v>
      </c>
    </row>
    <row r="139" spans="1:5" ht="18" customHeight="1" x14ac:dyDescent="0.3">
      <c r="A139" s="47" t="s">
        <v>19</v>
      </c>
      <c r="B139" s="48"/>
      <c r="C139" s="48"/>
      <c r="D139" s="48"/>
      <c r="E139" s="48"/>
    </row>
    <row r="140" spans="1:5" ht="18" customHeight="1" x14ac:dyDescent="0.3">
      <c r="A140" s="9" t="s">
        <v>8</v>
      </c>
      <c r="B140" s="9" t="s">
        <v>5</v>
      </c>
      <c r="C140" s="9" t="s">
        <v>9</v>
      </c>
      <c r="D140" s="9" t="s">
        <v>10</v>
      </c>
      <c r="E140" s="9" t="s">
        <v>11</v>
      </c>
    </row>
    <row r="141" spans="1:5" ht="18" customHeight="1" x14ac:dyDescent="0.3">
      <c r="A141" s="14" t="s">
        <v>38</v>
      </c>
      <c r="B141" s="10" t="s">
        <v>21</v>
      </c>
      <c r="C141" s="11">
        <v>2.5000000000000001E-2</v>
      </c>
      <c r="D141" s="12">
        <v>45000</v>
      </c>
      <c r="E141" s="12">
        <f>D141*C141</f>
        <v>1125</v>
      </c>
    </row>
    <row r="142" spans="1:5" ht="18" customHeight="1" x14ac:dyDescent="0.3">
      <c r="A142" s="14"/>
      <c r="B142" s="10"/>
      <c r="C142" s="11"/>
      <c r="D142" s="12"/>
      <c r="E142" s="12"/>
    </row>
    <row r="143" spans="1:5" ht="18" customHeight="1" x14ac:dyDescent="0.3">
      <c r="A143" s="45" t="s">
        <v>14</v>
      </c>
      <c r="B143" s="46"/>
      <c r="C143" s="46"/>
      <c r="D143" s="46"/>
      <c r="E143" s="13">
        <f>SUM(E141)</f>
        <v>1125</v>
      </c>
    </row>
    <row r="144" spans="1:5" ht="18" customHeight="1" x14ac:dyDescent="0.3">
      <c r="A144" s="47" t="s">
        <v>22</v>
      </c>
      <c r="B144" s="48"/>
      <c r="C144" s="48"/>
      <c r="D144" s="48"/>
      <c r="E144" s="48"/>
    </row>
    <row r="145" spans="1:5" ht="18" customHeight="1" x14ac:dyDescent="0.3">
      <c r="A145" s="9" t="s">
        <v>8</v>
      </c>
      <c r="B145" s="9" t="s">
        <v>5</v>
      </c>
      <c r="C145" s="9" t="s">
        <v>9</v>
      </c>
      <c r="D145" s="9" t="s">
        <v>23</v>
      </c>
      <c r="E145" s="9" t="s">
        <v>11</v>
      </c>
    </row>
    <row r="146" spans="1:5" ht="18" customHeight="1" x14ac:dyDescent="0.3">
      <c r="A146" s="14" t="s">
        <v>32</v>
      </c>
      <c r="B146" s="10" t="s">
        <v>21</v>
      </c>
      <c r="C146" s="11">
        <v>45</v>
      </c>
      <c r="D146" s="12">
        <v>130000</v>
      </c>
      <c r="E146" s="12">
        <f>D146/C146</f>
        <v>2888.8888888888887</v>
      </c>
    </row>
    <row r="147" spans="1:5" ht="18" customHeight="1" x14ac:dyDescent="0.3">
      <c r="A147" s="14"/>
      <c r="B147" s="10"/>
      <c r="C147" s="11"/>
      <c r="D147" s="12"/>
      <c r="E147" s="12"/>
    </row>
    <row r="148" spans="1:5" ht="18" customHeight="1" x14ac:dyDescent="0.3">
      <c r="A148" s="45" t="s">
        <v>14</v>
      </c>
      <c r="B148" s="46"/>
      <c r="C148" s="46"/>
      <c r="D148" s="46"/>
      <c r="E148" s="13">
        <f>SUM(E146)</f>
        <v>2888.8888888888887</v>
      </c>
    </row>
    <row r="149" spans="1:5" ht="18" customHeight="1" x14ac:dyDescent="0.3">
      <c r="A149" s="10"/>
      <c r="B149" s="7"/>
      <c r="C149" s="7"/>
      <c r="D149" s="7"/>
      <c r="E149" s="7"/>
    </row>
    <row r="150" spans="1:5" ht="18" customHeight="1" x14ac:dyDescent="0.3">
      <c r="A150" s="45" t="s">
        <v>25</v>
      </c>
      <c r="B150" s="46"/>
      <c r="C150" s="46"/>
      <c r="D150" s="46"/>
      <c r="E150" s="13">
        <f>SUM(E128,E138,E143,E148)</f>
        <v>77302.777777777781</v>
      </c>
    </row>
    <row r="154" spans="1:5" ht="18" customHeight="1" x14ac:dyDescent="0.3">
      <c r="A154" s="1" t="s">
        <v>49</v>
      </c>
      <c r="B154" s="2"/>
      <c r="C154" s="2"/>
      <c r="D154" s="2"/>
      <c r="E154" s="2"/>
    </row>
    <row r="155" spans="1:5" ht="18" customHeight="1" x14ac:dyDescent="0.3">
      <c r="A155" s="4"/>
      <c r="B155" s="5"/>
      <c r="C155" s="5"/>
      <c r="D155" s="5"/>
      <c r="E155" s="5"/>
    </row>
    <row r="156" spans="1:5" ht="18" customHeight="1" x14ac:dyDescent="0.3">
      <c r="A156" s="51" t="s">
        <v>50</v>
      </c>
      <c r="B156" s="52"/>
      <c r="C156" s="52"/>
      <c r="D156" s="6" t="s">
        <v>3</v>
      </c>
      <c r="E156" s="6" t="s">
        <v>4</v>
      </c>
    </row>
    <row r="157" spans="1:5" ht="18" customHeight="1" x14ac:dyDescent="0.3">
      <c r="A157" s="53"/>
      <c r="B157" s="44"/>
      <c r="C157" s="44"/>
      <c r="D157" s="8" t="s">
        <v>5</v>
      </c>
      <c r="E157" s="8" t="s">
        <v>51</v>
      </c>
    </row>
    <row r="158" spans="1:5" ht="18" customHeight="1" x14ac:dyDescent="0.3">
      <c r="A158" s="47" t="s">
        <v>7</v>
      </c>
      <c r="B158" s="48"/>
      <c r="C158" s="48"/>
      <c r="D158" s="48"/>
      <c r="E158" s="48"/>
    </row>
    <row r="159" spans="1:5" ht="18" customHeight="1" x14ac:dyDescent="0.3">
      <c r="A159" s="9" t="s">
        <v>8</v>
      </c>
      <c r="B159" s="9" t="s">
        <v>5</v>
      </c>
      <c r="C159" s="9" t="s">
        <v>9</v>
      </c>
      <c r="D159" s="9" t="s">
        <v>10</v>
      </c>
      <c r="E159" s="9" t="s">
        <v>11</v>
      </c>
    </row>
    <row r="160" spans="1:5" ht="18" customHeight="1" x14ac:dyDescent="0.3">
      <c r="A160" s="10" t="s">
        <v>12</v>
      </c>
      <c r="B160" s="10" t="s">
        <v>13</v>
      </c>
      <c r="C160" s="11">
        <v>0.1</v>
      </c>
      <c r="D160" s="12">
        <f>E180</f>
        <v>5200</v>
      </c>
      <c r="E160" s="12">
        <f>C160*D160</f>
        <v>520</v>
      </c>
    </row>
    <row r="161" spans="1:5" ht="18" customHeight="1" x14ac:dyDescent="0.3">
      <c r="A161" s="10"/>
      <c r="B161" s="10"/>
      <c r="C161" s="10"/>
      <c r="D161" s="12"/>
      <c r="E161" s="12"/>
    </row>
    <row r="162" spans="1:5" ht="18" customHeight="1" x14ac:dyDescent="0.3">
      <c r="A162" s="45" t="s">
        <v>14</v>
      </c>
      <c r="B162" s="46"/>
      <c r="C162" s="46"/>
      <c r="D162" s="46"/>
      <c r="E162" s="13">
        <f>SUM(E160:E160)</f>
        <v>520</v>
      </c>
    </row>
    <row r="163" spans="1:5" ht="18" customHeight="1" x14ac:dyDescent="0.3">
      <c r="A163" s="47" t="s">
        <v>15</v>
      </c>
      <c r="B163" s="48"/>
      <c r="C163" s="48"/>
      <c r="D163" s="48"/>
      <c r="E163" s="48"/>
    </row>
    <row r="164" spans="1:5" ht="18" customHeight="1" x14ac:dyDescent="0.3">
      <c r="A164" s="9" t="s">
        <v>8</v>
      </c>
      <c r="B164" s="9" t="s">
        <v>5</v>
      </c>
      <c r="C164" s="9" t="s">
        <v>16</v>
      </c>
      <c r="D164" s="9" t="s">
        <v>17</v>
      </c>
      <c r="E164" s="9" t="s">
        <v>11</v>
      </c>
    </row>
    <row r="165" spans="1:5" ht="18" customHeight="1" x14ac:dyDescent="0.3">
      <c r="A165" s="14" t="s">
        <v>52</v>
      </c>
      <c r="B165" s="10" t="s">
        <v>53</v>
      </c>
      <c r="C165" s="24">
        <v>0.05</v>
      </c>
      <c r="D165" s="12">
        <f>22500/6</f>
        <v>3750</v>
      </c>
      <c r="E165" s="12">
        <f>C165*D165</f>
        <v>187.5</v>
      </c>
    </row>
    <row r="166" spans="1:5" ht="18" customHeight="1" x14ac:dyDescent="0.3">
      <c r="A166" s="14" t="s">
        <v>54</v>
      </c>
      <c r="B166" s="10" t="s">
        <v>28</v>
      </c>
      <c r="C166" s="24">
        <v>0.08</v>
      </c>
      <c r="D166" s="12">
        <v>90000</v>
      </c>
      <c r="E166" s="12">
        <f>C166*D166</f>
        <v>7200</v>
      </c>
    </row>
    <row r="167" spans="1:5" ht="18" customHeight="1" x14ac:dyDescent="0.3">
      <c r="A167" s="14"/>
      <c r="B167" s="10"/>
      <c r="C167" s="16"/>
      <c r="D167" s="12"/>
      <c r="E167" s="12"/>
    </row>
    <row r="168" spans="1:5" ht="18" customHeight="1" x14ac:dyDescent="0.3">
      <c r="A168" s="17" t="s">
        <v>18</v>
      </c>
      <c r="B168" s="43"/>
      <c r="C168" s="44"/>
      <c r="D168" s="44"/>
      <c r="E168" s="12">
        <f>SUM(E166:E167)*0.02</f>
        <v>144</v>
      </c>
    </row>
    <row r="169" spans="1:5" ht="18" customHeight="1" x14ac:dyDescent="0.3">
      <c r="A169" s="17"/>
      <c r="B169" s="18"/>
      <c r="C169" s="7"/>
      <c r="D169" s="7"/>
      <c r="E169" s="12"/>
    </row>
    <row r="170" spans="1:5" ht="18" customHeight="1" x14ac:dyDescent="0.3">
      <c r="A170" s="45" t="s">
        <v>14</v>
      </c>
      <c r="B170" s="46"/>
      <c r="C170" s="46"/>
      <c r="D170" s="46"/>
      <c r="E170" s="13">
        <f>SUM(E165:E168)</f>
        <v>7531.5</v>
      </c>
    </row>
    <row r="171" spans="1:5" ht="18" customHeight="1" x14ac:dyDescent="0.3">
      <c r="A171" s="47" t="s">
        <v>19</v>
      </c>
      <c r="B171" s="48"/>
      <c r="C171" s="48"/>
      <c r="D171" s="48"/>
      <c r="E171" s="48"/>
    </row>
    <row r="172" spans="1:5" ht="18" customHeight="1" x14ac:dyDescent="0.3">
      <c r="A172" s="9" t="s">
        <v>8</v>
      </c>
      <c r="B172" s="9" t="s">
        <v>5</v>
      </c>
      <c r="C172" s="9" t="s">
        <v>9</v>
      </c>
      <c r="D172" s="9" t="s">
        <v>10</v>
      </c>
      <c r="E172" s="9" t="s">
        <v>11</v>
      </c>
    </row>
    <row r="173" spans="1:5" ht="18" customHeight="1" x14ac:dyDescent="0.3">
      <c r="A173" s="14" t="s">
        <v>20</v>
      </c>
      <c r="B173" s="10" t="s">
        <v>21</v>
      </c>
      <c r="C173" s="11">
        <v>0.02</v>
      </c>
      <c r="D173" s="12">
        <v>45000</v>
      </c>
      <c r="E173" s="12">
        <f>D173*C173</f>
        <v>900</v>
      </c>
    </row>
    <row r="174" spans="1:5" ht="18" customHeight="1" x14ac:dyDescent="0.3">
      <c r="A174" s="14"/>
      <c r="B174" s="10"/>
      <c r="C174" s="11"/>
      <c r="D174" s="12"/>
      <c r="E174" s="12"/>
    </row>
    <row r="175" spans="1:5" ht="18" customHeight="1" x14ac:dyDescent="0.3">
      <c r="A175" s="45" t="s">
        <v>14</v>
      </c>
      <c r="B175" s="46"/>
      <c r="C175" s="46"/>
      <c r="D175" s="46"/>
      <c r="E175" s="13">
        <f>SUM(E173)</f>
        <v>900</v>
      </c>
    </row>
    <row r="176" spans="1:5" ht="18" customHeight="1" x14ac:dyDescent="0.3">
      <c r="A176" s="47" t="s">
        <v>22</v>
      </c>
      <c r="B176" s="48"/>
      <c r="C176" s="48"/>
      <c r="D176" s="48"/>
      <c r="E176" s="48"/>
    </row>
    <row r="177" spans="1:5" ht="18" customHeight="1" x14ac:dyDescent="0.3">
      <c r="A177" s="9" t="s">
        <v>8</v>
      </c>
      <c r="B177" s="9" t="s">
        <v>5</v>
      </c>
      <c r="C177" s="9" t="s">
        <v>9</v>
      </c>
      <c r="D177" s="9" t="s">
        <v>23</v>
      </c>
      <c r="E177" s="9" t="s">
        <v>11</v>
      </c>
    </row>
    <row r="178" spans="1:5" ht="18" customHeight="1" x14ac:dyDescent="0.3">
      <c r="A178" s="14" t="s">
        <v>24</v>
      </c>
      <c r="B178" s="10" t="s">
        <v>21</v>
      </c>
      <c r="C178" s="11">
        <v>25</v>
      </c>
      <c r="D178" s="12">
        <v>130000</v>
      </c>
      <c r="E178" s="12">
        <f>D178/C178</f>
        <v>5200</v>
      </c>
    </row>
    <row r="179" spans="1:5" ht="18" customHeight="1" x14ac:dyDescent="0.3">
      <c r="A179" s="14"/>
      <c r="B179" s="10"/>
      <c r="C179" s="11"/>
      <c r="D179" s="12"/>
      <c r="E179" s="12"/>
    </row>
    <row r="180" spans="1:5" ht="18" customHeight="1" x14ac:dyDescent="0.3">
      <c r="A180" s="45" t="s">
        <v>14</v>
      </c>
      <c r="B180" s="46"/>
      <c r="C180" s="46"/>
      <c r="D180" s="46"/>
      <c r="E180" s="13">
        <f>SUM(E178)</f>
        <v>5200</v>
      </c>
    </row>
    <row r="181" spans="1:5" ht="18" customHeight="1" x14ac:dyDescent="0.3">
      <c r="A181" s="10"/>
      <c r="B181" s="7"/>
      <c r="C181" s="7"/>
      <c r="D181" s="7"/>
      <c r="E181" s="7"/>
    </row>
    <row r="182" spans="1:5" ht="18" customHeight="1" x14ac:dyDescent="0.3">
      <c r="A182" s="45" t="s">
        <v>25</v>
      </c>
      <c r="B182" s="46"/>
      <c r="C182" s="46"/>
      <c r="D182" s="46"/>
      <c r="E182" s="13">
        <f>SUM(E162,E170,E175,E180)</f>
        <v>14151.5</v>
      </c>
    </row>
    <row r="185" spans="1:5" ht="18" customHeight="1" x14ac:dyDescent="0.3">
      <c r="A185" s="51" t="s">
        <v>55</v>
      </c>
      <c r="B185" s="52"/>
      <c r="C185" s="52"/>
      <c r="D185" s="6" t="s">
        <v>3</v>
      </c>
      <c r="E185" s="6">
        <v>2</v>
      </c>
    </row>
    <row r="186" spans="1:5" ht="18" customHeight="1" x14ac:dyDescent="0.3">
      <c r="A186" s="53"/>
      <c r="B186" s="44"/>
      <c r="C186" s="44"/>
      <c r="D186" s="8" t="s">
        <v>5</v>
      </c>
      <c r="E186" s="8" t="s">
        <v>45</v>
      </c>
    </row>
    <row r="187" spans="1:5" ht="18" customHeight="1" x14ac:dyDescent="0.3">
      <c r="A187" s="47" t="s">
        <v>7</v>
      </c>
      <c r="B187" s="48"/>
      <c r="C187" s="48"/>
      <c r="D187" s="48"/>
      <c r="E187" s="48"/>
    </row>
    <row r="188" spans="1:5" ht="18" customHeight="1" x14ac:dyDescent="0.3">
      <c r="A188" s="9" t="s">
        <v>8</v>
      </c>
      <c r="B188" s="9" t="s">
        <v>5</v>
      </c>
      <c r="C188" s="9" t="s">
        <v>9</v>
      </c>
      <c r="D188" s="9" t="s">
        <v>10</v>
      </c>
      <c r="E188" s="9" t="s">
        <v>11</v>
      </c>
    </row>
    <row r="189" spans="1:5" ht="18" customHeight="1" x14ac:dyDescent="0.3">
      <c r="A189" s="10" t="s">
        <v>12</v>
      </c>
      <c r="B189" s="10" t="s">
        <v>13</v>
      </c>
      <c r="C189" s="11">
        <v>0.1</v>
      </c>
      <c r="D189" s="12">
        <f>E211</f>
        <v>4333.333333333333</v>
      </c>
      <c r="E189" s="12">
        <f>C189*D189</f>
        <v>433.33333333333331</v>
      </c>
    </row>
    <row r="190" spans="1:5" ht="18" customHeight="1" x14ac:dyDescent="0.3">
      <c r="A190" s="10"/>
      <c r="B190" s="10"/>
      <c r="C190" s="10"/>
      <c r="D190" s="12"/>
      <c r="E190" s="12"/>
    </row>
    <row r="191" spans="1:5" ht="18" customHeight="1" x14ac:dyDescent="0.3">
      <c r="A191" s="45" t="s">
        <v>14</v>
      </c>
      <c r="B191" s="46"/>
      <c r="C191" s="46"/>
      <c r="D191" s="46"/>
      <c r="E191" s="13">
        <f>SUM(E189:E189)</f>
        <v>433.33333333333331</v>
      </c>
    </row>
    <row r="192" spans="1:5" ht="18" customHeight="1" x14ac:dyDescent="0.3">
      <c r="A192" s="47" t="s">
        <v>15</v>
      </c>
      <c r="B192" s="48"/>
      <c r="C192" s="48"/>
      <c r="D192" s="48"/>
      <c r="E192" s="48"/>
    </row>
    <row r="193" spans="1:5" ht="18" customHeight="1" x14ac:dyDescent="0.3">
      <c r="A193" s="9" t="s">
        <v>8</v>
      </c>
      <c r="B193" s="9" t="s">
        <v>5</v>
      </c>
      <c r="C193" s="9" t="s">
        <v>16</v>
      </c>
      <c r="D193" s="9" t="s">
        <v>17</v>
      </c>
      <c r="E193" s="9" t="s">
        <v>11</v>
      </c>
    </row>
    <row r="194" spans="1:5" ht="18" customHeight="1" x14ac:dyDescent="0.3">
      <c r="A194" s="14" t="s">
        <v>56</v>
      </c>
      <c r="B194" s="10" t="s">
        <v>28</v>
      </c>
      <c r="C194" s="24">
        <v>0.25</v>
      </c>
      <c r="D194" s="12">
        <v>17000</v>
      </c>
      <c r="E194" s="12">
        <f>C194*D194</f>
        <v>4250</v>
      </c>
    </row>
    <row r="195" spans="1:5" ht="18" customHeight="1" x14ac:dyDescent="0.3">
      <c r="A195" s="14" t="s">
        <v>57</v>
      </c>
      <c r="B195" s="10" t="s">
        <v>28</v>
      </c>
      <c r="C195" s="24">
        <v>0.5</v>
      </c>
      <c r="D195" s="12">
        <v>5000</v>
      </c>
      <c r="E195" s="12">
        <f>C195*D195</f>
        <v>2500</v>
      </c>
    </row>
    <row r="196" spans="1:5" ht="18" customHeight="1" x14ac:dyDescent="0.3">
      <c r="A196" s="14" t="s">
        <v>58</v>
      </c>
      <c r="B196" s="10" t="s">
        <v>28</v>
      </c>
      <c r="C196" s="24">
        <v>1</v>
      </c>
      <c r="D196" s="12">
        <v>3000</v>
      </c>
      <c r="E196" s="12">
        <f>C196*D196</f>
        <v>3000</v>
      </c>
    </row>
    <row r="197" spans="1:5" ht="18" customHeight="1" x14ac:dyDescent="0.3">
      <c r="A197" s="14" t="s">
        <v>59</v>
      </c>
      <c r="B197" s="10" t="s">
        <v>28</v>
      </c>
      <c r="C197" s="24">
        <v>0.08</v>
      </c>
      <c r="D197" s="12">
        <v>8000</v>
      </c>
      <c r="E197" s="12">
        <f>C197*D197</f>
        <v>640</v>
      </c>
    </row>
    <row r="198" spans="1:5" ht="18" customHeight="1" x14ac:dyDescent="0.3">
      <c r="A198" s="14"/>
      <c r="B198" s="10"/>
      <c r="C198" s="16"/>
      <c r="D198" s="12"/>
      <c r="E198" s="12"/>
    </row>
    <row r="199" spans="1:5" ht="18" customHeight="1" x14ac:dyDescent="0.3">
      <c r="A199" s="17" t="s">
        <v>18</v>
      </c>
      <c r="B199" s="43"/>
      <c r="C199" s="44"/>
      <c r="D199" s="44"/>
      <c r="E199" s="12">
        <v>0</v>
      </c>
    </row>
    <row r="200" spans="1:5" ht="18" customHeight="1" x14ac:dyDescent="0.3">
      <c r="A200" s="17"/>
      <c r="B200" s="18"/>
      <c r="C200" s="7"/>
      <c r="D200" s="7"/>
      <c r="E200" s="12"/>
    </row>
    <row r="201" spans="1:5" ht="18" customHeight="1" x14ac:dyDescent="0.3">
      <c r="A201" s="45" t="s">
        <v>14</v>
      </c>
      <c r="B201" s="46"/>
      <c r="C201" s="46"/>
      <c r="D201" s="46"/>
      <c r="E201" s="13">
        <f>SUM(E194:E199)</f>
        <v>10390</v>
      </c>
    </row>
    <row r="202" spans="1:5" ht="18" customHeight="1" x14ac:dyDescent="0.3">
      <c r="A202" s="47" t="s">
        <v>19</v>
      </c>
      <c r="B202" s="48"/>
      <c r="C202" s="48"/>
      <c r="D202" s="48"/>
      <c r="E202" s="48"/>
    </row>
    <row r="203" spans="1:5" ht="18" customHeight="1" x14ac:dyDescent="0.3">
      <c r="A203" s="9" t="s">
        <v>8</v>
      </c>
      <c r="B203" s="9" t="s">
        <v>5</v>
      </c>
      <c r="C203" s="9" t="s">
        <v>9</v>
      </c>
      <c r="D203" s="9" t="s">
        <v>10</v>
      </c>
      <c r="E203" s="9" t="s">
        <v>11</v>
      </c>
    </row>
    <row r="204" spans="1:5" ht="18" customHeight="1" x14ac:dyDescent="0.3">
      <c r="A204" s="14" t="s">
        <v>20</v>
      </c>
      <c r="B204" s="10" t="s">
        <v>21</v>
      </c>
      <c r="C204" s="11">
        <v>0.02</v>
      </c>
      <c r="D204" s="12">
        <v>45000</v>
      </c>
      <c r="E204" s="12">
        <f>D204*C204</f>
        <v>900</v>
      </c>
    </row>
    <row r="205" spans="1:5" ht="18" customHeight="1" x14ac:dyDescent="0.3">
      <c r="A205" s="14"/>
      <c r="B205" s="10"/>
      <c r="C205" s="11"/>
      <c r="D205" s="12"/>
      <c r="E205" s="12"/>
    </row>
    <row r="206" spans="1:5" ht="18" customHeight="1" x14ac:dyDescent="0.3">
      <c r="A206" s="45" t="s">
        <v>14</v>
      </c>
      <c r="B206" s="46"/>
      <c r="C206" s="46"/>
      <c r="D206" s="46"/>
      <c r="E206" s="13">
        <f>SUM(E204)</f>
        <v>900</v>
      </c>
    </row>
    <row r="207" spans="1:5" ht="18" customHeight="1" x14ac:dyDescent="0.3">
      <c r="A207" s="47" t="s">
        <v>22</v>
      </c>
      <c r="B207" s="48"/>
      <c r="C207" s="48"/>
      <c r="D207" s="48"/>
      <c r="E207" s="48"/>
    </row>
    <row r="208" spans="1:5" ht="18" customHeight="1" x14ac:dyDescent="0.3">
      <c r="A208" s="9" t="s">
        <v>8</v>
      </c>
      <c r="B208" s="9" t="s">
        <v>5</v>
      </c>
      <c r="C208" s="9" t="s">
        <v>9</v>
      </c>
      <c r="D208" s="9" t="s">
        <v>23</v>
      </c>
      <c r="E208" s="9" t="s">
        <v>11</v>
      </c>
    </row>
    <row r="209" spans="1:5" ht="18" customHeight="1" x14ac:dyDescent="0.3">
      <c r="A209" s="14" t="s">
        <v>24</v>
      </c>
      <c r="B209" s="10" t="s">
        <v>21</v>
      </c>
      <c r="C209" s="11">
        <v>30</v>
      </c>
      <c r="D209" s="12">
        <v>130000</v>
      </c>
      <c r="E209" s="12">
        <f>D209/C209</f>
        <v>4333.333333333333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45" t="s">
        <v>14</v>
      </c>
      <c r="B211" s="46"/>
      <c r="C211" s="46"/>
      <c r="D211" s="46"/>
      <c r="E211" s="13">
        <f>SUM(E209)</f>
        <v>4333.333333333333</v>
      </c>
    </row>
    <row r="212" spans="1:5" ht="18" customHeight="1" x14ac:dyDescent="0.3">
      <c r="A212" s="10"/>
      <c r="B212" s="7"/>
      <c r="C212" s="7"/>
      <c r="D212" s="7"/>
      <c r="E212" s="7"/>
    </row>
    <row r="213" spans="1:5" ht="18" customHeight="1" x14ac:dyDescent="0.3">
      <c r="A213" s="45" t="s">
        <v>25</v>
      </c>
      <c r="B213" s="46"/>
      <c r="C213" s="46"/>
      <c r="D213" s="46"/>
      <c r="E213" s="13">
        <f>SUM(E191,E201,E206,E211)</f>
        <v>16056.666666666668</v>
      </c>
    </row>
    <row r="216" spans="1:5" ht="18" customHeight="1" x14ac:dyDescent="0.3">
      <c r="A216" s="51" t="s">
        <v>60</v>
      </c>
      <c r="B216" s="52"/>
      <c r="C216" s="52"/>
      <c r="D216" s="6" t="s">
        <v>3</v>
      </c>
      <c r="E216" s="6">
        <v>2</v>
      </c>
    </row>
    <row r="217" spans="1:5" ht="18" customHeight="1" x14ac:dyDescent="0.3">
      <c r="A217" s="53"/>
      <c r="B217" s="44"/>
      <c r="C217" s="44"/>
      <c r="D217" s="8" t="s">
        <v>5</v>
      </c>
      <c r="E217" s="8" t="s">
        <v>45</v>
      </c>
    </row>
    <row r="218" spans="1:5" ht="18" customHeight="1" x14ac:dyDescent="0.3">
      <c r="A218" s="47" t="s">
        <v>7</v>
      </c>
      <c r="B218" s="48"/>
      <c r="C218" s="48"/>
      <c r="D218" s="48"/>
      <c r="E218" s="48"/>
    </row>
    <row r="219" spans="1:5" ht="18" customHeight="1" x14ac:dyDescent="0.3">
      <c r="A219" s="9" t="s">
        <v>8</v>
      </c>
      <c r="B219" s="9" t="s">
        <v>5</v>
      </c>
      <c r="C219" s="9" t="s">
        <v>9</v>
      </c>
      <c r="D219" s="9" t="s">
        <v>10</v>
      </c>
      <c r="E219" s="9" t="s">
        <v>11</v>
      </c>
    </row>
    <row r="220" spans="1:5" ht="18" customHeight="1" x14ac:dyDescent="0.3">
      <c r="A220" s="10" t="s">
        <v>12</v>
      </c>
      <c r="B220" s="10" t="s">
        <v>13</v>
      </c>
      <c r="C220" s="11">
        <v>0.1</v>
      </c>
      <c r="D220" s="12">
        <f>E239</f>
        <v>6500</v>
      </c>
      <c r="E220" s="12">
        <f>C220*D220</f>
        <v>650</v>
      </c>
    </row>
    <row r="221" spans="1:5" ht="18" customHeight="1" x14ac:dyDescent="0.3">
      <c r="A221" s="10"/>
      <c r="B221" s="10"/>
      <c r="C221" s="10"/>
      <c r="D221" s="12"/>
      <c r="E221" s="12"/>
    </row>
    <row r="222" spans="1:5" ht="18" customHeight="1" x14ac:dyDescent="0.3">
      <c r="A222" s="45" t="s">
        <v>14</v>
      </c>
      <c r="B222" s="46"/>
      <c r="C222" s="46"/>
      <c r="D222" s="46"/>
      <c r="E222" s="13">
        <f>SUM(E220:E220)</f>
        <v>650</v>
      </c>
    </row>
    <row r="223" spans="1:5" ht="18" customHeight="1" x14ac:dyDescent="0.3">
      <c r="A223" s="47" t="s">
        <v>15</v>
      </c>
      <c r="B223" s="48"/>
      <c r="C223" s="48"/>
      <c r="D223" s="48"/>
      <c r="E223" s="48"/>
    </row>
    <row r="224" spans="1:5" ht="18" customHeight="1" x14ac:dyDescent="0.3">
      <c r="A224" s="9" t="s">
        <v>8</v>
      </c>
      <c r="B224" s="9" t="s">
        <v>5</v>
      </c>
      <c r="C224" s="9" t="s">
        <v>16</v>
      </c>
      <c r="D224" s="9" t="s">
        <v>17</v>
      </c>
      <c r="E224" s="9" t="s">
        <v>11</v>
      </c>
    </row>
    <row r="225" spans="1:5" ht="18" customHeight="1" x14ac:dyDescent="0.3">
      <c r="A225" s="14" t="s">
        <v>61</v>
      </c>
      <c r="B225" s="10" t="s">
        <v>62</v>
      </c>
      <c r="C225" s="20">
        <v>1.4999999999999999E-2</v>
      </c>
      <c r="D225" s="12">
        <v>600000</v>
      </c>
      <c r="E225" s="12">
        <f>C225*D225</f>
        <v>9000</v>
      </c>
    </row>
    <row r="226" spans="1:5" ht="18" customHeight="1" x14ac:dyDescent="0.3">
      <c r="A226" s="14"/>
      <c r="B226" s="10"/>
      <c r="C226" s="16"/>
      <c r="D226" s="12"/>
      <c r="E226" s="12"/>
    </row>
    <row r="227" spans="1:5" ht="18" customHeight="1" x14ac:dyDescent="0.3">
      <c r="A227" s="17" t="s">
        <v>18</v>
      </c>
      <c r="B227" s="43"/>
      <c r="C227" s="44"/>
      <c r="D227" s="44"/>
      <c r="E227" s="12">
        <v>0</v>
      </c>
    </row>
    <row r="228" spans="1:5" ht="18" customHeight="1" x14ac:dyDescent="0.3">
      <c r="A228" s="17"/>
      <c r="B228" s="18"/>
      <c r="C228" s="7"/>
      <c r="D228" s="7"/>
      <c r="E228" s="12"/>
    </row>
    <row r="229" spans="1:5" ht="18" customHeight="1" x14ac:dyDescent="0.3">
      <c r="A229" s="45" t="s">
        <v>14</v>
      </c>
      <c r="B229" s="46"/>
      <c r="C229" s="46"/>
      <c r="D229" s="46"/>
      <c r="E229" s="13">
        <f>SUM(E225:E227)</f>
        <v>9000</v>
      </c>
    </row>
    <row r="230" spans="1:5" ht="18" customHeight="1" x14ac:dyDescent="0.3">
      <c r="A230" s="47" t="s">
        <v>19</v>
      </c>
      <c r="B230" s="48"/>
      <c r="C230" s="48"/>
      <c r="D230" s="48"/>
      <c r="E230" s="48"/>
    </row>
    <row r="231" spans="1:5" ht="18" customHeight="1" x14ac:dyDescent="0.3">
      <c r="A231" s="9" t="s">
        <v>8</v>
      </c>
      <c r="B231" s="9" t="s">
        <v>5</v>
      </c>
      <c r="C231" s="9" t="s">
        <v>9</v>
      </c>
      <c r="D231" s="9" t="s">
        <v>10</v>
      </c>
      <c r="E231" s="9" t="s">
        <v>11</v>
      </c>
    </row>
    <row r="232" spans="1:5" ht="18" customHeight="1" x14ac:dyDescent="0.3">
      <c r="A232" s="14" t="s">
        <v>20</v>
      </c>
      <c r="B232" s="10" t="s">
        <v>21</v>
      </c>
      <c r="C232" s="11">
        <v>0.02</v>
      </c>
      <c r="D232" s="12">
        <v>45000</v>
      </c>
      <c r="E232" s="12">
        <f>D232*C232</f>
        <v>900</v>
      </c>
    </row>
    <row r="233" spans="1:5" ht="18" customHeight="1" x14ac:dyDescent="0.3">
      <c r="A233" s="14"/>
      <c r="B233" s="10"/>
      <c r="C233" s="11"/>
      <c r="D233" s="12"/>
      <c r="E233" s="12"/>
    </row>
    <row r="234" spans="1:5" ht="18" customHeight="1" x14ac:dyDescent="0.3">
      <c r="A234" s="45" t="s">
        <v>14</v>
      </c>
      <c r="B234" s="46"/>
      <c r="C234" s="46"/>
      <c r="D234" s="46"/>
      <c r="E234" s="13">
        <f>SUM(E232)</f>
        <v>900</v>
      </c>
    </row>
    <row r="235" spans="1:5" ht="18" customHeight="1" x14ac:dyDescent="0.3">
      <c r="A235" s="47" t="s">
        <v>22</v>
      </c>
      <c r="B235" s="48"/>
      <c r="C235" s="48"/>
      <c r="D235" s="48"/>
      <c r="E235" s="48"/>
    </row>
    <row r="236" spans="1:5" ht="18" customHeight="1" x14ac:dyDescent="0.3">
      <c r="A236" s="9" t="s">
        <v>8</v>
      </c>
      <c r="B236" s="9" t="s">
        <v>5</v>
      </c>
      <c r="C236" s="9" t="s">
        <v>9</v>
      </c>
      <c r="D236" s="9" t="s">
        <v>23</v>
      </c>
      <c r="E236" s="9" t="s">
        <v>11</v>
      </c>
    </row>
    <row r="237" spans="1:5" ht="18" customHeight="1" x14ac:dyDescent="0.3">
      <c r="A237" s="14" t="s">
        <v>24</v>
      </c>
      <c r="B237" s="10" t="s">
        <v>21</v>
      </c>
      <c r="C237" s="11">
        <v>20</v>
      </c>
      <c r="D237" s="12">
        <v>130000</v>
      </c>
      <c r="E237" s="12">
        <f>D237/C237</f>
        <v>6500</v>
      </c>
    </row>
    <row r="238" spans="1:5" ht="18" customHeight="1" x14ac:dyDescent="0.3">
      <c r="A238" s="14"/>
      <c r="B238" s="10"/>
      <c r="C238" s="11"/>
      <c r="D238" s="12"/>
      <c r="E238" s="12"/>
    </row>
    <row r="239" spans="1:5" ht="18" customHeight="1" x14ac:dyDescent="0.3">
      <c r="A239" s="45" t="s">
        <v>14</v>
      </c>
      <c r="B239" s="46"/>
      <c r="C239" s="46"/>
      <c r="D239" s="46"/>
      <c r="E239" s="13">
        <f>SUM(E237)</f>
        <v>6500</v>
      </c>
    </row>
    <row r="240" spans="1:5" ht="18" customHeight="1" x14ac:dyDescent="0.3">
      <c r="A240" s="10"/>
      <c r="B240" s="7"/>
      <c r="C240" s="7"/>
      <c r="D240" s="7"/>
      <c r="E240" s="7"/>
    </row>
    <row r="241" spans="1:5" ht="18" customHeight="1" x14ac:dyDescent="0.3">
      <c r="A241" s="45" t="s">
        <v>25</v>
      </c>
      <c r="B241" s="46"/>
      <c r="C241" s="46"/>
      <c r="D241" s="46"/>
      <c r="E241" s="13">
        <f>SUM(E222,E229,E234,E239)</f>
        <v>17050</v>
      </c>
    </row>
    <row r="245" spans="1:5" ht="18" customHeight="1" x14ac:dyDescent="0.3">
      <c r="A245" s="37" t="s">
        <v>75</v>
      </c>
      <c r="B245" s="38"/>
      <c r="C245" s="38"/>
      <c r="D245" s="38"/>
      <c r="E245" s="38"/>
    </row>
    <row r="246" spans="1:5" ht="18" customHeight="1" x14ac:dyDescent="0.3">
      <c r="A246" s="4"/>
      <c r="B246" s="5"/>
      <c r="C246" s="5"/>
      <c r="D246" s="5"/>
      <c r="E246" s="5"/>
    </row>
    <row r="247" spans="1:5" ht="18" customHeight="1" x14ac:dyDescent="0.3">
      <c r="A247" s="56" t="s">
        <v>103</v>
      </c>
      <c r="B247" s="57"/>
      <c r="C247" s="57"/>
      <c r="D247" s="39" t="s">
        <v>3</v>
      </c>
      <c r="E247" s="39" t="s">
        <v>4</v>
      </c>
    </row>
    <row r="248" spans="1:5" ht="18" customHeight="1" x14ac:dyDescent="0.3">
      <c r="A248" s="53"/>
      <c r="B248" s="44"/>
      <c r="C248" s="44"/>
      <c r="D248" s="8" t="s">
        <v>5</v>
      </c>
      <c r="E248" s="8" t="s">
        <v>51</v>
      </c>
    </row>
    <row r="249" spans="1:5" ht="18" customHeight="1" x14ac:dyDescent="0.3">
      <c r="A249" s="47" t="s">
        <v>7</v>
      </c>
      <c r="B249" s="48"/>
      <c r="C249" s="48"/>
      <c r="D249" s="48"/>
      <c r="E249" s="48"/>
    </row>
    <row r="250" spans="1:5" ht="18" customHeight="1" x14ac:dyDescent="0.3">
      <c r="A250" s="9" t="s">
        <v>8</v>
      </c>
      <c r="B250" s="9" t="s">
        <v>5</v>
      </c>
      <c r="C250" s="9" t="s">
        <v>9</v>
      </c>
      <c r="D250" s="9" t="s">
        <v>10</v>
      </c>
      <c r="E250" s="9" t="s">
        <v>11</v>
      </c>
    </row>
    <row r="251" spans="1:5" ht="18" customHeight="1" x14ac:dyDescent="0.3">
      <c r="A251" s="14" t="s">
        <v>12</v>
      </c>
      <c r="B251" s="10" t="s">
        <v>13</v>
      </c>
      <c r="C251" s="11">
        <v>0.1</v>
      </c>
      <c r="D251" s="12">
        <f>E271</f>
        <v>13000</v>
      </c>
      <c r="E251" s="12">
        <f>C251*D251</f>
        <v>1300</v>
      </c>
    </row>
    <row r="252" spans="1:5" ht="18" customHeight="1" x14ac:dyDescent="0.3">
      <c r="A252" s="14" t="s">
        <v>76</v>
      </c>
      <c r="B252" s="10" t="s">
        <v>21</v>
      </c>
      <c r="C252" s="11">
        <v>1</v>
      </c>
      <c r="D252" s="12">
        <v>25000</v>
      </c>
      <c r="E252" s="12">
        <f t="shared" ref="E252:E253" si="0">C252*D252</f>
        <v>25000</v>
      </c>
    </row>
    <row r="253" spans="1:5" ht="18" customHeight="1" x14ac:dyDescent="0.3">
      <c r="A253" s="14" t="s">
        <v>77</v>
      </c>
      <c r="B253" s="10" t="s">
        <v>21</v>
      </c>
      <c r="C253" s="11">
        <v>1</v>
      </c>
      <c r="D253" s="12">
        <v>35000</v>
      </c>
      <c r="E253" s="12">
        <f t="shared" si="0"/>
        <v>35000</v>
      </c>
    </row>
    <row r="254" spans="1:5" ht="18" customHeight="1" x14ac:dyDescent="0.3">
      <c r="A254" s="10"/>
      <c r="B254" s="10"/>
      <c r="C254" s="10"/>
      <c r="D254" s="12"/>
      <c r="E254" s="12"/>
    </row>
    <row r="255" spans="1:5" ht="18" customHeight="1" x14ac:dyDescent="0.3">
      <c r="A255" s="45" t="s">
        <v>14</v>
      </c>
      <c r="B255" s="46"/>
      <c r="C255" s="46"/>
      <c r="D255" s="46"/>
      <c r="E255" s="13">
        <f>SUM(E251:E253)</f>
        <v>61300</v>
      </c>
    </row>
    <row r="256" spans="1:5" ht="18" customHeight="1" x14ac:dyDescent="0.3">
      <c r="A256" s="47" t="s">
        <v>15</v>
      </c>
      <c r="B256" s="48"/>
      <c r="C256" s="48"/>
      <c r="D256" s="48"/>
      <c r="E256" s="48"/>
    </row>
    <row r="257" spans="1:5" ht="18" customHeight="1" x14ac:dyDescent="0.3">
      <c r="A257" s="9" t="s">
        <v>8</v>
      </c>
      <c r="B257" s="9" t="s">
        <v>5</v>
      </c>
      <c r="C257" s="9" t="s">
        <v>16</v>
      </c>
      <c r="D257" s="9" t="s">
        <v>17</v>
      </c>
      <c r="E257" s="9" t="s">
        <v>11</v>
      </c>
    </row>
    <row r="258" spans="1:5" ht="18" customHeight="1" x14ac:dyDescent="0.3">
      <c r="A258" s="14"/>
      <c r="B258" s="10"/>
      <c r="C258" s="16"/>
      <c r="D258" s="12"/>
      <c r="E258" s="12"/>
    </row>
    <row r="259" spans="1:5" ht="18" customHeight="1" x14ac:dyDescent="0.3">
      <c r="A259" s="17" t="s">
        <v>18</v>
      </c>
      <c r="B259" s="43"/>
      <c r="C259" s="44"/>
      <c r="D259" s="44"/>
      <c r="E259" s="12">
        <f>SUM(E258:E258)*0.02</f>
        <v>0</v>
      </c>
    </row>
    <row r="260" spans="1:5" ht="18" customHeight="1" x14ac:dyDescent="0.3">
      <c r="A260" s="17"/>
      <c r="B260" s="18"/>
      <c r="C260" s="7"/>
      <c r="D260" s="7"/>
      <c r="E260" s="12"/>
    </row>
    <row r="261" spans="1:5" ht="18" customHeight="1" x14ac:dyDescent="0.3">
      <c r="A261" s="45" t="s">
        <v>14</v>
      </c>
      <c r="B261" s="46"/>
      <c r="C261" s="46"/>
      <c r="D261" s="46"/>
      <c r="E261" s="13">
        <f>SUM(E258:E259)</f>
        <v>0</v>
      </c>
    </row>
    <row r="262" spans="1:5" ht="18" customHeight="1" x14ac:dyDescent="0.3">
      <c r="A262" s="47" t="s">
        <v>19</v>
      </c>
      <c r="B262" s="48"/>
      <c r="C262" s="48"/>
      <c r="D262" s="48"/>
      <c r="E262" s="48"/>
    </row>
    <row r="263" spans="1:5" ht="18" customHeight="1" x14ac:dyDescent="0.3">
      <c r="A263" s="9" t="s">
        <v>8</v>
      </c>
      <c r="B263" s="9" t="s">
        <v>5</v>
      </c>
      <c r="C263" s="9" t="s">
        <v>9</v>
      </c>
      <c r="D263" s="9" t="s">
        <v>10</v>
      </c>
      <c r="E263" s="9" t="s">
        <v>11</v>
      </c>
    </row>
    <row r="264" spans="1:5" ht="18" customHeight="1" x14ac:dyDescent="0.3">
      <c r="A264" s="14" t="s">
        <v>20</v>
      </c>
      <c r="B264" s="10" t="s">
        <v>21</v>
      </c>
      <c r="C264" s="11">
        <v>0.02</v>
      </c>
      <c r="D264" s="12">
        <v>45000</v>
      </c>
      <c r="E264" s="12">
        <f>D264*C264</f>
        <v>900</v>
      </c>
    </row>
    <row r="265" spans="1:5" ht="18" customHeight="1" x14ac:dyDescent="0.3">
      <c r="A265" s="14"/>
      <c r="B265" s="10"/>
      <c r="C265" s="11"/>
      <c r="D265" s="12"/>
      <c r="E265" s="12"/>
    </row>
    <row r="266" spans="1:5" ht="18" customHeight="1" x14ac:dyDescent="0.3">
      <c r="A266" s="45" t="s">
        <v>14</v>
      </c>
      <c r="B266" s="46"/>
      <c r="C266" s="46"/>
      <c r="D266" s="46"/>
      <c r="E266" s="13">
        <f>SUM(E264)</f>
        <v>900</v>
      </c>
    </row>
    <row r="267" spans="1:5" ht="18" customHeight="1" x14ac:dyDescent="0.3">
      <c r="A267" s="47" t="s">
        <v>22</v>
      </c>
      <c r="B267" s="48"/>
      <c r="C267" s="48"/>
      <c r="D267" s="48"/>
      <c r="E267" s="48"/>
    </row>
    <row r="268" spans="1:5" ht="18" customHeight="1" x14ac:dyDescent="0.3">
      <c r="A268" s="9" t="s">
        <v>8</v>
      </c>
      <c r="B268" s="9" t="s">
        <v>5</v>
      </c>
      <c r="C268" s="9" t="s">
        <v>9</v>
      </c>
      <c r="D268" s="9" t="s">
        <v>23</v>
      </c>
      <c r="E268" s="9" t="s">
        <v>11</v>
      </c>
    </row>
    <row r="269" spans="1:5" ht="18" customHeight="1" x14ac:dyDescent="0.3">
      <c r="A269" s="14" t="s">
        <v>24</v>
      </c>
      <c r="B269" s="10" t="s">
        <v>21</v>
      </c>
      <c r="C269" s="11">
        <v>10</v>
      </c>
      <c r="D269" s="12">
        <v>130000</v>
      </c>
      <c r="E269" s="12">
        <f>D269/C269</f>
        <v>13000</v>
      </c>
    </row>
    <row r="270" spans="1:5" ht="18" customHeight="1" x14ac:dyDescent="0.3">
      <c r="A270" s="14"/>
      <c r="B270" s="10"/>
      <c r="C270" s="11"/>
      <c r="D270" s="12"/>
      <c r="E270" s="12"/>
    </row>
    <row r="271" spans="1:5" ht="18" customHeight="1" x14ac:dyDescent="0.3">
      <c r="A271" s="45" t="s">
        <v>14</v>
      </c>
      <c r="B271" s="46"/>
      <c r="C271" s="46"/>
      <c r="D271" s="46"/>
      <c r="E271" s="13">
        <f>SUM(E269)</f>
        <v>13000</v>
      </c>
    </row>
    <row r="272" spans="1:5" ht="18" customHeight="1" x14ac:dyDescent="0.3">
      <c r="A272" s="10"/>
      <c r="B272" s="7"/>
      <c r="C272" s="7"/>
      <c r="D272" s="7"/>
      <c r="E272" s="7"/>
    </row>
    <row r="273" spans="1:11" ht="18" customHeight="1" x14ac:dyDescent="0.3">
      <c r="A273" s="45" t="s">
        <v>25</v>
      </c>
      <c r="B273" s="46"/>
      <c r="C273" s="46"/>
      <c r="D273" s="46"/>
      <c r="E273" s="13">
        <f>SUM(E255,E261,E266,E271)</f>
        <v>75200</v>
      </c>
    </row>
    <row r="276" spans="1:11" ht="18" customHeight="1" x14ac:dyDescent="0.3">
      <c r="A276" s="56" t="s">
        <v>113</v>
      </c>
      <c r="B276" s="57"/>
      <c r="C276" s="57"/>
      <c r="D276" s="39" t="s">
        <v>3</v>
      </c>
      <c r="E276" s="39" t="s">
        <v>4</v>
      </c>
      <c r="G276" s="40"/>
      <c r="H276" s="40"/>
      <c r="I276" s="40"/>
      <c r="J276" s="40"/>
      <c r="K276" s="40"/>
    </row>
    <row r="277" spans="1:11" ht="18" customHeight="1" x14ac:dyDescent="0.3">
      <c r="A277" s="53"/>
      <c r="B277" s="44"/>
      <c r="C277" s="44"/>
      <c r="D277" s="8" t="s">
        <v>5</v>
      </c>
      <c r="E277" s="8" t="s">
        <v>51</v>
      </c>
      <c r="G277" s="40"/>
      <c r="H277" s="40"/>
      <c r="I277" s="40"/>
      <c r="J277" s="40"/>
      <c r="K277" s="40"/>
    </row>
    <row r="278" spans="1:11" ht="18" customHeight="1" x14ac:dyDescent="0.3">
      <c r="A278" s="47" t="s">
        <v>7</v>
      </c>
      <c r="B278" s="48"/>
      <c r="C278" s="48"/>
      <c r="D278" s="48"/>
      <c r="E278" s="48"/>
      <c r="G278" s="40"/>
      <c r="H278" s="40"/>
      <c r="I278" s="40"/>
      <c r="J278" s="40"/>
      <c r="K278" s="40"/>
    </row>
    <row r="279" spans="1:11" ht="18" customHeight="1" x14ac:dyDescent="0.3">
      <c r="A279" s="9" t="s">
        <v>8</v>
      </c>
      <c r="B279" s="9" t="s">
        <v>5</v>
      </c>
      <c r="C279" s="9" t="s">
        <v>9</v>
      </c>
      <c r="D279" s="9" t="s">
        <v>10</v>
      </c>
      <c r="E279" s="9" t="s">
        <v>11</v>
      </c>
      <c r="G279" s="40"/>
      <c r="H279" s="40"/>
      <c r="I279" s="40"/>
      <c r="J279" s="40"/>
      <c r="K279" s="40"/>
    </row>
    <row r="280" spans="1:11" ht="18" customHeight="1" x14ac:dyDescent="0.3">
      <c r="A280" s="14" t="s">
        <v>12</v>
      </c>
      <c r="B280" s="10" t="s">
        <v>13</v>
      </c>
      <c r="C280" s="11">
        <v>0.1</v>
      </c>
      <c r="D280" s="12">
        <f>E301</f>
        <v>8666.6666666666661</v>
      </c>
      <c r="E280" s="12">
        <f>C280*D280</f>
        <v>866.66666666666663</v>
      </c>
      <c r="G280" s="40"/>
      <c r="H280" s="40"/>
      <c r="I280" s="40"/>
      <c r="J280" s="40"/>
      <c r="K280" s="40"/>
    </row>
    <row r="281" spans="1:11" ht="18" customHeight="1" x14ac:dyDescent="0.3">
      <c r="A281" s="14" t="s">
        <v>114</v>
      </c>
      <c r="B281" s="10" t="s">
        <v>13</v>
      </c>
      <c r="C281" s="11">
        <v>0.1</v>
      </c>
      <c r="D281" s="12">
        <v>25000</v>
      </c>
      <c r="E281" s="12">
        <f>C281*D281</f>
        <v>2500</v>
      </c>
      <c r="G281" s="40"/>
      <c r="H281" s="40"/>
      <c r="I281" s="40"/>
      <c r="J281" s="40"/>
      <c r="K281" s="40"/>
    </row>
    <row r="282" spans="1:11" ht="18" customHeight="1" x14ac:dyDescent="0.3">
      <c r="A282" s="10"/>
      <c r="B282" s="10"/>
      <c r="C282" s="10"/>
      <c r="D282" s="12"/>
      <c r="E282" s="12"/>
      <c r="G282" s="40"/>
      <c r="H282" s="40"/>
      <c r="I282" s="40"/>
      <c r="J282" s="40"/>
      <c r="K282" s="40"/>
    </row>
    <row r="283" spans="1:11" ht="18" customHeight="1" x14ac:dyDescent="0.3">
      <c r="A283" s="45" t="s">
        <v>14</v>
      </c>
      <c r="B283" s="46"/>
      <c r="C283" s="46"/>
      <c r="D283" s="46"/>
      <c r="E283" s="13">
        <f>SUM(E280:E281)</f>
        <v>3366.6666666666665</v>
      </c>
      <c r="G283" s="40"/>
      <c r="H283" s="40"/>
      <c r="I283" s="40"/>
      <c r="J283" s="40"/>
      <c r="K283" s="40"/>
    </row>
    <row r="284" spans="1:11" ht="18" customHeight="1" x14ac:dyDescent="0.3">
      <c r="A284" s="47" t="s">
        <v>15</v>
      </c>
      <c r="B284" s="48"/>
      <c r="C284" s="48"/>
      <c r="D284" s="48"/>
      <c r="E284" s="48"/>
      <c r="G284" s="40"/>
      <c r="H284" s="40"/>
      <c r="I284" s="40"/>
      <c r="J284" s="40"/>
      <c r="K284" s="40"/>
    </row>
    <row r="285" spans="1:11" ht="18" customHeight="1" x14ac:dyDescent="0.3">
      <c r="A285" s="9" t="s">
        <v>8</v>
      </c>
      <c r="B285" s="9" t="s">
        <v>5</v>
      </c>
      <c r="C285" s="9" t="s">
        <v>16</v>
      </c>
      <c r="D285" s="9" t="s">
        <v>17</v>
      </c>
      <c r="E285" s="9" t="s">
        <v>11</v>
      </c>
      <c r="G285" s="40"/>
      <c r="H285" s="40"/>
      <c r="I285" s="40"/>
      <c r="J285" s="40"/>
      <c r="K285" s="40"/>
    </row>
    <row r="286" spans="1:11" ht="18" customHeight="1" x14ac:dyDescent="0.3">
      <c r="A286" s="14" t="s">
        <v>112</v>
      </c>
      <c r="B286" s="10" t="s">
        <v>35</v>
      </c>
      <c r="C286" s="16">
        <v>1.5</v>
      </c>
      <c r="D286" s="12">
        <v>50090.631808278857</v>
      </c>
      <c r="E286" s="12">
        <f>C286*D286</f>
        <v>75135.947712418289</v>
      </c>
      <c r="G286" s="40"/>
      <c r="H286" s="40"/>
      <c r="I286" s="40"/>
      <c r="J286" s="40"/>
      <c r="K286" s="40"/>
    </row>
    <row r="287" spans="1:11" ht="18" customHeight="1" x14ac:dyDescent="0.3">
      <c r="A287" s="14" t="s">
        <v>36</v>
      </c>
      <c r="B287" s="10" t="s">
        <v>6</v>
      </c>
      <c r="C287" s="16">
        <v>1.4999999999999999E-2</v>
      </c>
      <c r="D287" s="12">
        <v>100000</v>
      </c>
      <c r="E287" s="12">
        <f>C287*D287</f>
        <v>1500</v>
      </c>
      <c r="G287" s="40"/>
      <c r="H287" s="40"/>
      <c r="I287" s="40"/>
      <c r="J287" s="40"/>
      <c r="K287" s="40"/>
    </row>
    <row r="288" spans="1:11" ht="18" customHeight="1" x14ac:dyDescent="0.3">
      <c r="A288" s="14"/>
      <c r="B288" s="10"/>
      <c r="C288" s="16"/>
      <c r="D288" s="12"/>
      <c r="E288" s="12"/>
      <c r="G288" s="40"/>
      <c r="H288" s="40"/>
      <c r="I288" s="40"/>
      <c r="J288" s="40"/>
      <c r="K288" s="40"/>
    </row>
    <row r="289" spans="1:11" ht="18" customHeight="1" x14ac:dyDescent="0.3">
      <c r="A289" s="17" t="s">
        <v>18</v>
      </c>
      <c r="B289" s="43"/>
      <c r="C289" s="44"/>
      <c r="D289" s="44"/>
      <c r="E289" s="12">
        <f>SUM(E286:E287)*0.02</f>
        <v>1532.7189542483659</v>
      </c>
      <c r="G289" s="40"/>
      <c r="H289" s="40"/>
      <c r="I289" s="40"/>
      <c r="J289" s="40"/>
      <c r="K289" s="40"/>
    </row>
    <row r="290" spans="1:11" ht="18" customHeight="1" x14ac:dyDescent="0.3">
      <c r="A290" s="17"/>
      <c r="B290" s="18"/>
      <c r="C290" s="7"/>
      <c r="D290" s="7"/>
      <c r="E290" s="12"/>
      <c r="G290" s="40"/>
      <c r="H290" s="40"/>
      <c r="I290" s="40"/>
      <c r="J290" s="40"/>
      <c r="K290" s="40"/>
    </row>
    <row r="291" spans="1:11" ht="18" customHeight="1" x14ac:dyDescent="0.3">
      <c r="A291" s="45" t="s">
        <v>14</v>
      </c>
      <c r="B291" s="46"/>
      <c r="C291" s="46"/>
      <c r="D291" s="46"/>
      <c r="E291" s="13">
        <f>SUM(E286:E289)</f>
        <v>78168.666666666657</v>
      </c>
      <c r="G291" s="40"/>
      <c r="H291" s="40"/>
      <c r="I291" s="40"/>
      <c r="J291" s="40"/>
      <c r="K291" s="40"/>
    </row>
    <row r="292" spans="1:11" ht="18" customHeight="1" x14ac:dyDescent="0.3">
      <c r="A292" s="47" t="s">
        <v>19</v>
      </c>
      <c r="B292" s="48"/>
      <c r="C292" s="48"/>
      <c r="D292" s="48"/>
      <c r="E292" s="48"/>
      <c r="G292" s="40"/>
      <c r="H292" s="40"/>
      <c r="I292" s="40"/>
      <c r="J292" s="40"/>
      <c r="K292" s="40"/>
    </row>
    <row r="293" spans="1:11" ht="18" customHeight="1" x14ac:dyDescent="0.3">
      <c r="A293" s="9" t="s">
        <v>8</v>
      </c>
      <c r="B293" s="9" t="s">
        <v>5</v>
      </c>
      <c r="C293" s="9" t="s">
        <v>9</v>
      </c>
      <c r="D293" s="9" t="s">
        <v>10</v>
      </c>
      <c r="E293" s="9" t="s">
        <v>11</v>
      </c>
      <c r="G293" s="40"/>
      <c r="H293" s="40"/>
      <c r="I293" s="40"/>
      <c r="J293" s="40"/>
      <c r="K293" s="40"/>
    </row>
    <row r="294" spans="1:11" ht="18" customHeight="1" x14ac:dyDescent="0.3">
      <c r="A294" s="14" t="s">
        <v>20</v>
      </c>
      <c r="B294" s="10" t="s">
        <v>21</v>
      </c>
      <c r="C294" s="11">
        <v>0.02</v>
      </c>
      <c r="D294" s="12">
        <v>45000</v>
      </c>
      <c r="E294" s="12">
        <f>D294*C294</f>
        <v>900</v>
      </c>
      <c r="G294" s="40"/>
      <c r="H294" s="40"/>
      <c r="I294" s="40"/>
      <c r="J294" s="40"/>
      <c r="K294" s="40"/>
    </row>
    <row r="295" spans="1:11" ht="18" customHeight="1" x14ac:dyDescent="0.3">
      <c r="A295" s="14"/>
      <c r="B295" s="10"/>
      <c r="C295" s="11"/>
      <c r="D295" s="12"/>
      <c r="E295" s="12"/>
      <c r="G295" s="40"/>
      <c r="H295" s="40"/>
      <c r="I295" s="40"/>
      <c r="J295" s="40"/>
      <c r="K295" s="40"/>
    </row>
    <row r="296" spans="1:11" ht="18" customHeight="1" x14ac:dyDescent="0.3">
      <c r="A296" s="45" t="s">
        <v>14</v>
      </c>
      <c r="B296" s="46"/>
      <c r="C296" s="46"/>
      <c r="D296" s="46"/>
      <c r="E296" s="13">
        <f>SUM(E294)</f>
        <v>900</v>
      </c>
      <c r="G296" s="40"/>
      <c r="H296" s="40"/>
      <c r="I296" s="40"/>
      <c r="J296" s="40"/>
      <c r="K296" s="40"/>
    </row>
    <row r="297" spans="1:11" ht="18" customHeight="1" x14ac:dyDescent="0.3">
      <c r="A297" s="47" t="s">
        <v>22</v>
      </c>
      <c r="B297" s="48"/>
      <c r="C297" s="48"/>
      <c r="D297" s="48"/>
      <c r="E297" s="48"/>
      <c r="G297" s="40"/>
      <c r="H297" s="40"/>
      <c r="I297" s="40"/>
      <c r="J297" s="40"/>
      <c r="K297" s="40"/>
    </row>
    <row r="298" spans="1:11" ht="18" customHeight="1" x14ac:dyDescent="0.3">
      <c r="A298" s="9" t="s">
        <v>8</v>
      </c>
      <c r="B298" s="9" t="s">
        <v>5</v>
      </c>
      <c r="C298" s="9" t="s">
        <v>9</v>
      </c>
      <c r="D298" s="9" t="s">
        <v>23</v>
      </c>
      <c r="E298" s="9" t="s">
        <v>11</v>
      </c>
      <c r="G298" s="40"/>
      <c r="H298" s="40"/>
      <c r="I298" s="40"/>
      <c r="J298" s="40"/>
      <c r="K298" s="40"/>
    </row>
    <row r="299" spans="1:11" ht="18" customHeight="1" x14ac:dyDescent="0.3">
      <c r="A299" s="14" t="s">
        <v>24</v>
      </c>
      <c r="B299" s="10" t="s">
        <v>21</v>
      </c>
      <c r="C299" s="11">
        <v>15</v>
      </c>
      <c r="D299" s="12">
        <v>130000</v>
      </c>
      <c r="E299" s="12">
        <f>D299/C299</f>
        <v>8666.6666666666661</v>
      </c>
      <c r="G299" s="40"/>
      <c r="H299" s="40"/>
      <c r="I299" s="40"/>
      <c r="J299" s="40"/>
      <c r="K299" s="40"/>
    </row>
    <row r="300" spans="1:11" ht="18" customHeight="1" x14ac:dyDescent="0.3">
      <c r="A300" s="14"/>
      <c r="B300" s="10"/>
      <c r="C300" s="11"/>
      <c r="D300" s="12"/>
      <c r="E300" s="12"/>
      <c r="G300" s="40"/>
      <c r="H300" s="40"/>
      <c r="I300" s="40"/>
      <c r="J300" s="40"/>
      <c r="K300" s="40"/>
    </row>
    <row r="301" spans="1:11" ht="18" customHeight="1" x14ac:dyDescent="0.3">
      <c r="A301" s="45" t="s">
        <v>14</v>
      </c>
      <c r="B301" s="46"/>
      <c r="C301" s="46"/>
      <c r="D301" s="46"/>
      <c r="E301" s="13">
        <f>SUM(E299)</f>
        <v>8666.6666666666661</v>
      </c>
      <c r="G301" s="40"/>
      <c r="H301" s="40"/>
      <c r="I301" s="40"/>
      <c r="J301" s="40"/>
      <c r="K301" s="40"/>
    </row>
    <row r="302" spans="1:11" ht="18" customHeight="1" x14ac:dyDescent="0.3">
      <c r="A302" s="10"/>
      <c r="B302" s="7"/>
      <c r="C302" s="7"/>
      <c r="D302" s="7"/>
      <c r="E302" s="7"/>
    </row>
    <row r="303" spans="1:11" ht="18" customHeight="1" x14ac:dyDescent="0.3">
      <c r="A303" s="45" t="s">
        <v>25</v>
      </c>
      <c r="B303" s="46"/>
      <c r="C303" s="46"/>
      <c r="D303" s="46"/>
      <c r="E303" s="13">
        <f>SUM(E283,E291,E296,E301)</f>
        <v>91102</v>
      </c>
    </row>
    <row r="306" spans="1:5" ht="18" customHeight="1" x14ac:dyDescent="0.3">
      <c r="A306" s="1" t="s">
        <v>78</v>
      </c>
      <c r="B306" s="2"/>
      <c r="C306" s="2"/>
      <c r="D306" s="2"/>
      <c r="E306" s="2"/>
    </row>
    <row r="307" spans="1:5" ht="18" customHeight="1" x14ac:dyDescent="0.3">
      <c r="A307" s="4"/>
      <c r="B307" s="5"/>
      <c r="C307" s="5"/>
      <c r="D307" s="5"/>
      <c r="E307" s="5"/>
    </row>
    <row r="308" spans="1:5" ht="18" customHeight="1" x14ac:dyDescent="0.3">
      <c r="A308" s="51" t="s">
        <v>79</v>
      </c>
      <c r="B308" s="52"/>
      <c r="C308" s="52"/>
      <c r="D308" s="6" t="s">
        <v>3</v>
      </c>
      <c r="E308" s="6" t="s">
        <v>4</v>
      </c>
    </row>
    <row r="309" spans="1:5" ht="18" customHeight="1" x14ac:dyDescent="0.3">
      <c r="A309" s="53"/>
      <c r="B309" s="44"/>
      <c r="C309" s="44"/>
      <c r="D309" s="8" t="s">
        <v>5</v>
      </c>
      <c r="E309" s="8" t="s">
        <v>6</v>
      </c>
    </row>
    <row r="310" spans="1:5" ht="18" customHeight="1" x14ac:dyDescent="0.3">
      <c r="A310" s="47" t="s">
        <v>7</v>
      </c>
      <c r="B310" s="48"/>
      <c r="C310" s="48"/>
      <c r="D310" s="48"/>
      <c r="E310" s="48"/>
    </row>
    <row r="311" spans="1:5" ht="18" customHeight="1" x14ac:dyDescent="0.3">
      <c r="A311" s="9" t="s">
        <v>8</v>
      </c>
      <c r="B311" s="9" t="s">
        <v>5</v>
      </c>
      <c r="C311" s="9" t="s">
        <v>9</v>
      </c>
      <c r="D311" s="9" t="s">
        <v>10</v>
      </c>
      <c r="E311" s="9" t="s">
        <v>11</v>
      </c>
    </row>
    <row r="312" spans="1:5" ht="18" customHeight="1" x14ac:dyDescent="0.3">
      <c r="A312" s="10" t="s">
        <v>12</v>
      </c>
      <c r="B312" s="10" t="s">
        <v>13</v>
      </c>
      <c r="C312" s="11">
        <v>0.2</v>
      </c>
      <c r="D312" s="12">
        <f>E330</f>
        <v>3250</v>
      </c>
      <c r="E312" s="12">
        <f>C312*D312</f>
        <v>650</v>
      </c>
    </row>
    <row r="313" spans="1:5" ht="18" customHeight="1" x14ac:dyDescent="0.3">
      <c r="A313" s="10"/>
      <c r="B313" s="10"/>
      <c r="C313" s="10"/>
      <c r="D313" s="12"/>
      <c r="E313" s="12"/>
    </row>
    <row r="314" spans="1:5" ht="18" customHeight="1" x14ac:dyDescent="0.3">
      <c r="A314" s="45" t="s">
        <v>14</v>
      </c>
      <c r="B314" s="46"/>
      <c r="C314" s="46"/>
      <c r="D314" s="46"/>
      <c r="E314" s="13">
        <f>SUM(E312:E312)</f>
        <v>650</v>
      </c>
    </row>
    <row r="315" spans="1:5" ht="18" customHeight="1" x14ac:dyDescent="0.3">
      <c r="A315" s="47" t="s">
        <v>15</v>
      </c>
      <c r="B315" s="48"/>
      <c r="C315" s="48"/>
      <c r="D315" s="48"/>
      <c r="E315" s="48"/>
    </row>
    <row r="316" spans="1:5" ht="18" customHeight="1" x14ac:dyDescent="0.3">
      <c r="A316" s="9" t="s">
        <v>8</v>
      </c>
      <c r="B316" s="9" t="s">
        <v>5</v>
      </c>
      <c r="C316" s="9" t="s">
        <v>16</v>
      </c>
      <c r="D316" s="9" t="s">
        <v>17</v>
      </c>
      <c r="E316" s="9" t="s">
        <v>11</v>
      </c>
    </row>
    <row r="317" spans="1:5" ht="18" customHeight="1" x14ac:dyDescent="0.3">
      <c r="A317" s="14"/>
      <c r="B317" s="10"/>
      <c r="C317" s="15"/>
      <c r="D317" s="12"/>
      <c r="E317" s="12"/>
    </row>
    <row r="318" spans="1:5" ht="18" customHeight="1" x14ac:dyDescent="0.3">
      <c r="A318" s="17" t="s">
        <v>18</v>
      </c>
      <c r="B318" s="43"/>
      <c r="C318" s="44"/>
      <c r="D318" s="44"/>
      <c r="E318" s="12">
        <f>SUM(E317:E317)*0.02</f>
        <v>0</v>
      </c>
    </row>
    <row r="319" spans="1:5" ht="18" customHeight="1" x14ac:dyDescent="0.3">
      <c r="A319" s="17"/>
      <c r="B319" s="18"/>
      <c r="C319" s="7"/>
      <c r="D319" s="7"/>
      <c r="E319" s="12"/>
    </row>
    <row r="320" spans="1:5" ht="18" customHeight="1" x14ac:dyDescent="0.3">
      <c r="A320" s="45" t="s">
        <v>14</v>
      </c>
      <c r="B320" s="46"/>
      <c r="C320" s="46"/>
      <c r="D320" s="46"/>
      <c r="E320" s="13">
        <f>SUM(E317:E318)</f>
        <v>0</v>
      </c>
    </row>
    <row r="321" spans="1:5" ht="18" customHeight="1" x14ac:dyDescent="0.3">
      <c r="A321" s="47" t="s">
        <v>19</v>
      </c>
      <c r="B321" s="48"/>
      <c r="C321" s="48"/>
      <c r="D321" s="48"/>
      <c r="E321" s="48"/>
    </row>
    <row r="322" spans="1:5" ht="18" customHeight="1" x14ac:dyDescent="0.3">
      <c r="A322" s="9" t="s">
        <v>8</v>
      </c>
      <c r="B322" s="9" t="s">
        <v>5</v>
      </c>
      <c r="C322" s="9" t="s">
        <v>9</v>
      </c>
      <c r="D322" s="9" t="s">
        <v>10</v>
      </c>
      <c r="E322" s="9" t="s">
        <v>11</v>
      </c>
    </row>
    <row r="323" spans="1:5" ht="18" customHeight="1" x14ac:dyDescent="0.3">
      <c r="A323" s="14" t="s">
        <v>20</v>
      </c>
      <c r="B323" s="10" t="s">
        <v>21</v>
      </c>
      <c r="C323" s="11">
        <v>0</v>
      </c>
      <c r="D323" s="12">
        <v>0</v>
      </c>
      <c r="E323" s="12">
        <v>0</v>
      </c>
    </row>
    <row r="324" spans="1:5" ht="18" customHeight="1" x14ac:dyDescent="0.3">
      <c r="A324" s="14"/>
      <c r="B324" s="10"/>
      <c r="C324" s="11"/>
      <c r="D324" s="12"/>
      <c r="E324" s="12"/>
    </row>
    <row r="325" spans="1:5" ht="18" customHeight="1" x14ac:dyDescent="0.3">
      <c r="A325" s="45" t="s">
        <v>14</v>
      </c>
      <c r="B325" s="46"/>
      <c r="C325" s="46"/>
      <c r="D325" s="46"/>
      <c r="E325" s="13">
        <f>SUM(E323)</f>
        <v>0</v>
      </c>
    </row>
    <row r="326" spans="1:5" ht="18" customHeight="1" x14ac:dyDescent="0.3">
      <c r="A326" s="47" t="s">
        <v>22</v>
      </c>
      <c r="B326" s="48"/>
      <c r="C326" s="48"/>
      <c r="D326" s="48"/>
      <c r="E326" s="48"/>
    </row>
    <row r="327" spans="1:5" ht="18" customHeight="1" x14ac:dyDescent="0.3">
      <c r="A327" s="9" t="s">
        <v>8</v>
      </c>
      <c r="B327" s="9" t="s">
        <v>5</v>
      </c>
      <c r="C327" s="9" t="s">
        <v>9</v>
      </c>
      <c r="D327" s="9" t="s">
        <v>23</v>
      </c>
      <c r="E327" s="9" t="s">
        <v>11</v>
      </c>
    </row>
    <row r="328" spans="1:5" ht="18" customHeight="1" x14ac:dyDescent="0.3">
      <c r="A328" s="14" t="s">
        <v>24</v>
      </c>
      <c r="B328" s="10" t="s">
        <v>21</v>
      </c>
      <c r="C328" s="11">
        <v>40</v>
      </c>
      <c r="D328" s="12">
        <v>130000</v>
      </c>
      <c r="E328" s="12">
        <f>D328/C328</f>
        <v>3250</v>
      </c>
    </row>
    <row r="329" spans="1:5" ht="18" customHeight="1" x14ac:dyDescent="0.3">
      <c r="A329" s="14"/>
      <c r="B329" s="10"/>
      <c r="C329" s="11"/>
      <c r="D329" s="12"/>
      <c r="E329" s="12"/>
    </row>
    <row r="330" spans="1:5" ht="18" customHeight="1" x14ac:dyDescent="0.3">
      <c r="A330" s="45" t="s">
        <v>14</v>
      </c>
      <c r="B330" s="46"/>
      <c r="C330" s="46"/>
      <c r="D330" s="46"/>
      <c r="E330" s="13">
        <f>SUM(E328)</f>
        <v>3250</v>
      </c>
    </row>
    <row r="331" spans="1:5" ht="18" customHeight="1" x14ac:dyDescent="0.3">
      <c r="A331" s="10"/>
      <c r="B331" s="7"/>
      <c r="C331" s="7"/>
      <c r="D331" s="7"/>
      <c r="E331" s="7"/>
    </row>
    <row r="332" spans="1:5" ht="18" customHeight="1" x14ac:dyDescent="0.3">
      <c r="A332" s="45" t="s">
        <v>25</v>
      </c>
      <c r="B332" s="46"/>
      <c r="C332" s="46"/>
      <c r="D332" s="46"/>
      <c r="E332" s="13">
        <f>SUM(E314,E320,E325,E330)</f>
        <v>3900</v>
      </c>
    </row>
    <row r="333" spans="1:5" ht="18" customHeight="1" x14ac:dyDescent="0.3">
      <c r="A333" s="4"/>
      <c r="B333" s="5"/>
      <c r="C333" s="5"/>
      <c r="D333" s="5"/>
      <c r="E333" s="5"/>
    </row>
    <row r="334" spans="1:5" ht="18" customHeight="1" x14ac:dyDescent="0.3">
      <c r="A334" s="4"/>
      <c r="B334" s="5"/>
      <c r="C334" s="5"/>
      <c r="D334" s="5"/>
      <c r="E334" s="5"/>
    </row>
    <row r="335" spans="1:5" ht="18" customHeight="1" x14ac:dyDescent="0.3">
      <c r="A335" s="51" t="s">
        <v>80</v>
      </c>
      <c r="B335" s="52"/>
      <c r="C335" s="52"/>
      <c r="D335" s="6" t="s">
        <v>3</v>
      </c>
      <c r="E335" s="6">
        <v>2</v>
      </c>
    </row>
    <row r="336" spans="1:5" ht="18" customHeight="1" x14ac:dyDescent="0.3">
      <c r="A336" s="53"/>
      <c r="B336" s="44"/>
      <c r="C336" s="44"/>
      <c r="D336" s="8" t="s">
        <v>5</v>
      </c>
      <c r="E336" s="8" t="s">
        <v>6</v>
      </c>
    </row>
    <row r="337" spans="1:7" ht="18" customHeight="1" x14ac:dyDescent="0.3">
      <c r="A337" s="47" t="s">
        <v>7</v>
      </c>
      <c r="B337" s="48"/>
      <c r="C337" s="48"/>
      <c r="D337" s="48"/>
      <c r="E337" s="48"/>
    </row>
    <row r="338" spans="1:7" ht="18" customHeight="1" x14ac:dyDescent="0.3">
      <c r="A338" s="9" t="s">
        <v>8</v>
      </c>
      <c r="B338" s="9" t="s">
        <v>5</v>
      </c>
      <c r="C338" s="9" t="s">
        <v>9</v>
      </c>
      <c r="D338" s="9" t="s">
        <v>10</v>
      </c>
      <c r="E338" s="9" t="s">
        <v>11</v>
      </c>
      <c r="G338" s="23"/>
    </row>
    <row r="339" spans="1:7" ht="18" customHeight="1" x14ac:dyDescent="0.3">
      <c r="A339" s="14" t="s">
        <v>12</v>
      </c>
      <c r="B339" s="10" t="s">
        <v>13</v>
      </c>
      <c r="C339" s="11">
        <v>0.2</v>
      </c>
      <c r="D339" s="12">
        <f>E358</f>
        <v>10500</v>
      </c>
      <c r="E339" s="12">
        <f>C339*D339</f>
        <v>2100</v>
      </c>
    </row>
    <row r="340" spans="1:7" ht="18" customHeight="1" x14ac:dyDescent="0.3">
      <c r="A340" s="14" t="s">
        <v>77</v>
      </c>
      <c r="B340" s="10" t="s">
        <v>21</v>
      </c>
      <c r="C340" s="11">
        <v>0.2</v>
      </c>
      <c r="D340" s="12">
        <v>35000</v>
      </c>
      <c r="E340" s="12">
        <f t="shared" ref="E340" si="1">C340*D340</f>
        <v>7000</v>
      </c>
    </row>
    <row r="341" spans="1:7" ht="18" customHeight="1" x14ac:dyDescent="0.3">
      <c r="A341" s="10"/>
      <c r="B341" s="10"/>
      <c r="C341" s="10"/>
      <c r="D341" s="12"/>
      <c r="E341" s="12"/>
    </row>
    <row r="342" spans="1:7" ht="18" customHeight="1" x14ac:dyDescent="0.3">
      <c r="A342" s="45" t="s">
        <v>14</v>
      </c>
      <c r="B342" s="46"/>
      <c r="C342" s="46"/>
      <c r="D342" s="46"/>
      <c r="E342" s="13">
        <f>SUM(E339:E340)</f>
        <v>9100</v>
      </c>
    </row>
    <row r="343" spans="1:7" ht="18" customHeight="1" x14ac:dyDescent="0.3">
      <c r="A343" s="47" t="s">
        <v>15</v>
      </c>
      <c r="B343" s="48"/>
      <c r="C343" s="48"/>
      <c r="D343" s="48"/>
      <c r="E343" s="48"/>
    </row>
    <row r="344" spans="1:7" ht="18" customHeight="1" x14ac:dyDescent="0.3">
      <c r="A344" s="9" t="s">
        <v>8</v>
      </c>
      <c r="B344" s="9" t="s">
        <v>5</v>
      </c>
      <c r="C344" s="9" t="s">
        <v>16</v>
      </c>
      <c r="D344" s="9" t="s">
        <v>17</v>
      </c>
      <c r="E344" s="9" t="s">
        <v>11</v>
      </c>
    </row>
    <row r="345" spans="1:7" ht="18" customHeight="1" x14ac:dyDescent="0.3">
      <c r="A345" s="14"/>
      <c r="B345" s="10"/>
      <c r="C345" s="16"/>
      <c r="D345" s="12"/>
      <c r="E345" s="12"/>
    </row>
    <row r="346" spans="1:7" ht="18" customHeight="1" x14ac:dyDescent="0.3">
      <c r="A346" s="17" t="s">
        <v>18</v>
      </c>
      <c r="B346" s="43"/>
      <c r="C346" s="44"/>
      <c r="D346" s="44"/>
      <c r="E346" s="12">
        <v>0</v>
      </c>
    </row>
    <row r="347" spans="1:7" ht="18" customHeight="1" x14ac:dyDescent="0.3">
      <c r="A347" s="17"/>
      <c r="B347" s="18"/>
      <c r="C347" s="7"/>
      <c r="D347" s="7"/>
      <c r="E347" s="12"/>
    </row>
    <row r="348" spans="1:7" ht="18" customHeight="1" x14ac:dyDescent="0.3">
      <c r="A348" s="45" t="s">
        <v>14</v>
      </c>
      <c r="B348" s="46"/>
      <c r="C348" s="46"/>
      <c r="D348" s="46"/>
      <c r="E348" s="13">
        <f>SUM(E345:E346)</f>
        <v>0</v>
      </c>
    </row>
    <row r="349" spans="1:7" ht="18" customHeight="1" x14ac:dyDescent="0.3">
      <c r="A349" s="47" t="s">
        <v>19</v>
      </c>
      <c r="B349" s="48"/>
      <c r="C349" s="48"/>
      <c r="D349" s="48"/>
      <c r="E349" s="48"/>
    </row>
    <row r="350" spans="1:7" ht="18" customHeight="1" x14ac:dyDescent="0.3">
      <c r="A350" s="9" t="s">
        <v>8</v>
      </c>
      <c r="B350" s="9" t="s">
        <v>5</v>
      </c>
      <c r="C350" s="9" t="s">
        <v>9</v>
      </c>
      <c r="D350" s="9" t="s">
        <v>10</v>
      </c>
      <c r="E350" s="9" t="s">
        <v>11</v>
      </c>
    </row>
    <row r="351" spans="1:7" ht="18" customHeight="1" x14ac:dyDescent="0.3">
      <c r="A351" s="14" t="s">
        <v>20</v>
      </c>
      <c r="B351" s="10" t="s">
        <v>21</v>
      </c>
      <c r="C351" s="11">
        <v>2.5000000000000001E-2</v>
      </c>
      <c r="D351" s="12">
        <v>60000</v>
      </c>
      <c r="E351" s="12">
        <f>D351*C351</f>
        <v>1500</v>
      </c>
    </row>
    <row r="352" spans="1:7" ht="18" customHeight="1" x14ac:dyDescent="0.3">
      <c r="A352" s="14"/>
      <c r="B352" s="10"/>
      <c r="C352" s="11"/>
      <c r="D352" s="12"/>
      <c r="E352" s="12"/>
    </row>
    <row r="353" spans="1:7" ht="18" customHeight="1" x14ac:dyDescent="0.3">
      <c r="A353" s="45" t="s">
        <v>14</v>
      </c>
      <c r="B353" s="46"/>
      <c r="C353" s="46"/>
      <c r="D353" s="46"/>
      <c r="E353" s="13">
        <f>SUM(E351)</f>
        <v>1500</v>
      </c>
    </row>
    <row r="354" spans="1:7" ht="18" customHeight="1" x14ac:dyDescent="0.3">
      <c r="A354" s="47" t="s">
        <v>22</v>
      </c>
      <c r="B354" s="48"/>
      <c r="C354" s="48"/>
      <c r="D354" s="48"/>
      <c r="E354" s="48"/>
    </row>
    <row r="355" spans="1:7" ht="18" customHeight="1" x14ac:dyDescent="0.3">
      <c r="A355" s="9" t="s">
        <v>8</v>
      </c>
      <c r="B355" s="9" t="s">
        <v>5</v>
      </c>
      <c r="C355" s="9" t="s">
        <v>9</v>
      </c>
      <c r="D355" s="9" t="s">
        <v>23</v>
      </c>
      <c r="E355" s="9" t="s">
        <v>11</v>
      </c>
    </row>
    <row r="356" spans="1:7" ht="18" customHeight="1" x14ac:dyDescent="0.3">
      <c r="A356" s="14" t="s">
        <v>32</v>
      </c>
      <c r="B356" s="10" t="s">
        <v>21</v>
      </c>
      <c r="C356" s="11">
        <v>20</v>
      </c>
      <c r="D356" s="12">
        <v>210000</v>
      </c>
      <c r="E356" s="12">
        <f>D356/C356</f>
        <v>10500</v>
      </c>
    </row>
    <row r="357" spans="1:7" ht="18" customHeight="1" x14ac:dyDescent="0.3">
      <c r="A357" s="14"/>
      <c r="B357" s="10"/>
      <c r="C357" s="11"/>
      <c r="D357" s="12"/>
      <c r="E357" s="12"/>
    </row>
    <row r="358" spans="1:7" ht="18" customHeight="1" x14ac:dyDescent="0.3">
      <c r="A358" s="45" t="s">
        <v>14</v>
      </c>
      <c r="B358" s="46"/>
      <c r="C358" s="46"/>
      <c r="D358" s="46"/>
      <c r="E358" s="13">
        <f>SUM(E356)</f>
        <v>10500</v>
      </c>
      <c r="G358" s="23"/>
    </row>
    <row r="359" spans="1:7" ht="18" customHeight="1" x14ac:dyDescent="0.3">
      <c r="A359" s="10"/>
      <c r="B359" s="7"/>
      <c r="C359" s="7"/>
      <c r="D359" s="7"/>
      <c r="E359" s="7"/>
    </row>
    <row r="360" spans="1:7" ht="18" customHeight="1" x14ac:dyDescent="0.3">
      <c r="A360" s="45" t="s">
        <v>25</v>
      </c>
      <c r="B360" s="46"/>
      <c r="C360" s="46"/>
      <c r="D360" s="46"/>
      <c r="E360" s="13">
        <f>SUM(E342,E348,E353,E358)</f>
        <v>21100</v>
      </c>
    </row>
    <row r="363" spans="1:7" ht="18" customHeight="1" x14ac:dyDescent="0.3">
      <c r="A363" s="51" t="s">
        <v>82</v>
      </c>
      <c r="B363" s="52"/>
      <c r="C363" s="52"/>
      <c r="D363" s="6" t="s">
        <v>3</v>
      </c>
      <c r="E363" s="6">
        <v>2</v>
      </c>
    </row>
    <row r="364" spans="1:7" ht="18" customHeight="1" x14ac:dyDescent="0.3">
      <c r="A364" s="53"/>
      <c r="B364" s="44"/>
      <c r="C364" s="44"/>
      <c r="D364" s="8" t="s">
        <v>5</v>
      </c>
      <c r="E364" s="8" t="s">
        <v>6</v>
      </c>
    </row>
    <row r="365" spans="1:7" ht="18" customHeight="1" x14ac:dyDescent="0.3">
      <c r="A365" s="47" t="s">
        <v>7</v>
      </c>
      <c r="B365" s="48"/>
      <c r="C365" s="48"/>
      <c r="D365" s="48"/>
      <c r="E365" s="48"/>
    </row>
    <row r="366" spans="1:7" ht="18" customHeight="1" x14ac:dyDescent="0.3">
      <c r="A366" s="9" t="s">
        <v>8</v>
      </c>
      <c r="B366" s="9" t="s">
        <v>5</v>
      </c>
      <c r="C366" s="9" t="s">
        <v>9</v>
      </c>
      <c r="D366" s="9" t="s">
        <v>10</v>
      </c>
      <c r="E366" s="9" t="s">
        <v>11</v>
      </c>
    </row>
    <row r="367" spans="1:7" ht="18" customHeight="1" x14ac:dyDescent="0.3">
      <c r="A367" s="10" t="s">
        <v>12</v>
      </c>
      <c r="B367" s="10" t="s">
        <v>13</v>
      </c>
      <c r="C367" s="11">
        <v>0.25</v>
      </c>
      <c r="D367" s="12">
        <f>E387</f>
        <v>7000</v>
      </c>
      <c r="E367" s="12">
        <f>C367*D367</f>
        <v>1750</v>
      </c>
    </row>
    <row r="368" spans="1:7" ht="18" customHeight="1" x14ac:dyDescent="0.3">
      <c r="A368" s="10"/>
      <c r="B368" s="10"/>
      <c r="C368" s="10"/>
      <c r="D368" s="12"/>
      <c r="E368" s="12"/>
    </row>
    <row r="369" spans="1:5" ht="18" customHeight="1" x14ac:dyDescent="0.3">
      <c r="A369" s="45" t="s">
        <v>14</v>
      </c>
      <c r="B369" s="46"/>
      <c r="C369" s="46"/>
      <c r="D369" s="46"/>
      <c r="E369" s="13">
        <f>SUM(E367:E367)</f>
        <v>1750</v>
      </c>
    </row>
    <row r="370" spans="1:5" ht="18" customHeight="1" x14ac:dyDescent="0.3">
      <c r="A370" s="47" t="s">
        <v>15</v>
      </c>
      <c r="B370" s="48"/>
      <c r="C370" s="48"/>
      <c r="D370" s="48"/>
      <c r="E370" s="48"/>
    </row>
    <row r="371" spans="1:5" ht="18" customHeight="1" x14ac:dyDescent="0.3">
      <c r="A371" s="9" t="s">
        <v>8</v>
      </c>
      <c r="B371" s="9" t="s">
        <v>5</v>
      </c>
      <c r="C371" s="9" t="s">
        <v>16</v>
      </c>
      <c r="D371" s="9" t="s">
        <v>17</v>
      </c>
      <c r="E371" s="9" t="s">
        <v>11</v>
      </c>
    </row>
    <row r="372" spans="1:5" ht="18" customHeight="1" x14ac:dyDescent="0.3">
      <c r="A372" s="14" t="s">
        <v>81</v>
      </c>
      <c r="B372" s="10" t="s">
        <v>28</v>
      </c>
      <c r="C372" s="20">
        <v>0.06</v>
      </c>
      <c r="D372" s="12">
        <v>511000</v>
      </c>
      <c r="E372" s="12">
        <f>C372*D372</f>
        <v>30660</v>
      </c>
    </row>
    <row r="373" spans="1:5" ht="18" customHeight="1" x14ac:dyDescent="0.3">
      <c r="A373" s="14" t="s">
        <v>83</v>
      </c>
      <c r="B373" s="10" t="s">
        <v>43</v>
      </c>
      <c r="C373" s="20">
        <v>0.02</v>
      </c>
      <c r="D373" s="12">
        <v>56000</v>
      </c>
      <c r="E373" s="12">
        <f t="shared" ref="E373:E374" si="2">C373*D373</f>
        <v>1120</v>
      </c>
    </row>
    <row r="374" spans="1:5" ht="18" customHeight="1" x14ac:dyDescent="0.3">
      <c r="A374" s="14"/>
      <c r="B374" s="10"/>
      <c r="C374" s="16"/>
      <c r="D374" s="12"/>
      <c r="E374" s="12">
        <f t="shared" si="2"/>
        <v>0</v>
      </c>
    </row>
    <row r="375" spans="1:5" ht="18" customHeight="1" x14ac:dyDescent="0.3">
      <c r="A375" s="17" t="s">
        <v>18</v>
      </c>
      <c r="B375" s="43"/>
      <c r="C375" s="44"/>
      <c r="D375" s="44"/>
      <c r="E375" s="12">
        <v>0</v>
      </c>
    </row>
    <row r="376" spans="1:5" ht="18" customHeight="1" x14ac:dyDescent="0.3">
      <c r="A376" s="17"/>
      <c r="B376" s="18"/>
      <c r="C376" s="7"/>
      <c r="D376" s="7"/>
      <c r="E376" s="12"/>
    </row>
    <row r="377" spans="1:5" ht="18" customHeight="1" x14ac:dyDescent="0.3">
      <c r="A377" s="45" t="s">
        <v>14</v>
      </c>
      <c r="B377" s="46"/>
      <c r="C377" s="46"/>
      <c r="D377" s="46"/>
      <c r="E377" s="13">
        <f>SUM(E372:E375)</f>
        <v>31780</v>
      </c>
    </row>
    <row r="378" spans="1:5" ht="18" customHeight="1" x14ac:dyDescent="0.3">
      <c r="A378" s="47" t="s">
        <v>19</v>
      </c>
      <c r="B378" s="48"/>
      <c r="C378" s="48"/>
      <c r="D378" s="48"/>
      <c r="E378" s="48"/>
    </row>
    <row r="379" spans="1:5" ht="18" customHeight="1" x14ac:dyDescent="0.3">
      <c r="A379" s="9" t="s">
        <v>8</v>
      </c>
      <c r="B379" s="9" t="s">
        <v>5</v>
      </c>
      <c r="C379" s="9" t="s">
        <v>9</v>
      </c>
      <c r="D379" s="9" t="s">
        <v>10</v>
      </c>
      <c r="E379" s="9" t="s">
        <v>11</v>
      </c>
    </row>
    <row r="380" spans="1:5" ht="18" customHeight="1" x14ac:dyDescent="0.3">
      <c r="A380" s="14" t="s">
        <v>20</v>
      </c>
      <c r="B380" s="10" t="s">
        <v>21</v>
      </c>
      <c r="C380" s="11">
        <v>0.02</v>
      </c>
      <c r="D380" s="12">
        <v>60000</v>
      </c>
      <c r="E380" s="12">
        <f>D380*C380</f>
        <v>1200</v>
      </c>
    </row>
    <row r="381" spans="1:5" ht="18" customHeight="1" x14ac:dyDescent="0.3">
      <c r="A381" s="14"/>
      <c r="B381" s="10"/>
      <c r="C381" s="11"/>
      <c r="D381" s="12"/>
      <c r="E381" s="12"/>
    </row>
    <row r="382" spans="1:5" ht="18" customHeight="1" x14ac:dyDescent="0.3">
      <c r="A382" s="45" t="s">
        <v>14</v>
      </c>
      <c r="B382" s="46"/>
      <c r="C382" s="46"/>
      <c r="D382" s="46"/>
      <c r="E382" s="13">
        <f>SUM(E380)</f>
        <v>1200</v>
      </c>
    </row>
    <row r="383" spans="1:5" ht="18" customHeight="1" x14ac:dyDescent="0.3">
      <c r="A383" s="47" t="s">
        <v>22</v>
      </c>
      <c r="B383" s="48"/>
      <c r="C383" s="48"/>
      <c r="D383" s="48"/>
      <c r="E383" s="48"/>
    </row>
    <row r="384" spans="1:5" ht="18" customHeight="1" x14ac:dyDescent="0.3">
      <c r="A384" s="9" t="s">
        <v>8</v>
      </c>
      <c r="B384" s="9" t="s">
        <v>5</v>
      </c>
      <c r="C384" s="9" t="s">
        <v>9</v>
      </c>
      <c r="D384" s="9" t="s">
        <v>23</v>
      </c>
      <c r="E384" s="9" t="s">
        <v>11</v>
      </c>
    </row>
    <row r="385" spans="1:5" ht="18" customHeight="1" x14ac:dyDescent="0.3">
      <c r="A385" s="14" t="s">
        <v>32</v>
      </c>
      <c r="B385" s="10" t="s">
        <v>21</v>
      </c>
      <c r="C385" s="11">
        <v>30</v>
      </c>
      <c r="D385" s="12">
        <v>210000</v>
      </c>
      <c r="E385" s="12">
        <f>D385/C385</f>
        <v>7000</v>
      </c>
    </row>
    <row r="386" spans="1:5" ht="18" customHeight="1" x14ac:dyDescent="0.3">
      <c r="A386" s="14"/>
      <c r="B386" s="10"/>
      <c r="C386" s="11"/>
      <c r="D386" s="12"/>
      <c r="E386" s="12"/>
    </row>
    <row r="387" spans="1:5" ht="18" customHeight="1" x14ac:dyDescent="0.3">
      <c r="A387" s="45" t="s">
        <v>14</v>
      </c>
      <c r="B387" s="46"/>
      <c r="C387" s="46"/>
      <c r="D387" s="46"/>
      <c r="E387" s="13">
        <f>SUM(E385)</f>
        <v>7000</v>
      </c>
    </row>
    <row r="388" spans="1:5" ht="18" customHeight="1" x14ac:dyDescent="0.3">
      <c r="A388" s="10"/>
      <c r="B388" s="7"/>
      <c r="C388" s="7"/>
      <c r="D388" s="7"/>
      <c r="E388" s="7"/>
    </row>
    <row r="389" spans="1:5" ht="18" customHeight="1" x14ac:dyDescent="0.3">
      <c r="A389" s="45" t="s">
        <v>25</v>
      </c>
      <c r="B389" s="46"/>
      <c r="C389" s="46"/>
      <c r="D389" s="46"/>
      <c r="E389" s="13">
        <f>SUM(E369,E377,E382,E387)</f>
        <v>41730</v>
      </c>
    </row>
    <row r="392" spans="1:5" ht="18" customHeight="1" x14ac:dyDescent="0.3">
      <c r="A392" s="53"/>
      <c r="B392" s="53"/>
      <c r="C392" s="53"/>
      <c r="D392" s="8" t="s">
        <v>5</v>
      </c>
      <c r="E392" s="8" t="s">
        <v>6</v>
      </c>
    </row>
    <row r="393" spans="1:5" ht="18" customHeight="1" x14ac:dyDescent="0.3">
      <c r="A393" s="47" t="s">
        <v>7</v>
      </c>
      <c r="B393" s="47"/>
      <c r="C393" s="47"/>
      <c r="D393" s="47"/>
      <c r="E393" s="47"/>
    </row>
    <row r="394" spans="1:5" ht="18" customHeight="1" x14ac:dyDescent="0.3">
      <c r="A394" s="9" t="s">
        <v>8</v>
      </c>
      <c r="B394" s="9" t="s">
        <v>5</v>
      </c>
      <c r="C394" s="9" t="s">
        <v>9</v>
      </c>
      <c r="D394" s="9" t="s">
        <v>10</v>
      </c>
      <c r="E394" s="9" t="s">
        <v>11</v>
      </c>
    </row>
    <row r="395" spans="1:5" ht="18" customHeight="1" x14ac:dyDescent="0.3">
      <c r="A395" s="10" t="s">
        <v>12</v>
      </c>
      <c r="B395" s="10" t="s">
        <v>13</v>
      </c>
      <c r="C395" s="11">
        <v>0.8</v>
      </c>
      <c r="D395" s="12">
        <f>E415</f>
        <v>1300</v>
      </c>
      <c r="E395" s="12">
        <f>C395*D395</f>
        <v>1040</v>
      </c>
    </row>
    <row r="396" spans="1:5" ht="18" customHeight="1" x14ac:dyDescent="0.3">
      <c r="A396" s="10"/>
      <c r="B396" s="10"/>
      <c r="C396" s="10"/>
      <c r="D396" s="12"/>
      <c r="E396" s="12"/>
    </row>
    <row r="397" spans="1:5" ht="18" customHeight="1" x14ac:dyDescent="0.3">
      <c r="A397" s="45" t="s">
        <v>14</v>
      </c>
      <c r="B397" s="45"/>
      <c r="C397" s="45"/>
      <c r="D397" s="45"/>
      <c r="E397" s="13">
        <f>SUM(E395:E395)</f>
        <v>1040</v>
      </c>
    </row>
    <row r="398" spans="1:5" ht="18" customHeight="1" x14ac:dyDescent="0.3">
      <c r="A398" s="47" t="s">
        <v>15</v>
      </c>
      <c r="B398" s="47"/>
      <c r="C398" s="47"/>
      <c r="D398" s="47"/>
      <c r="E398" s="47"/>
    </row>
    <row r="399" spans="1:5" ht="18" customHeight="1" x14ac:dyDescent="0.3">
      <c r="A399" s="9" t="s">
        <v>8</v>
      </c>
      <c r="B399" s="9" t="s">
        <v>5</v>
      </c>
      <c r="C399" s="9" t="s">
        <v>16</v>
      </c>
      <c r="D399" s="9" t="s">
        <v>17</v>
      </c>
      <c r="E399" s="9" t="s">
        <v>11</v>
      </c>
    </row>
    <row r="400" spans="1:5" ht="18" customHeight="1" x14ac:dyDescent="0.3">
      <c r="A400" s="14" t="s">
        <v>34</v>
      </c>
      <c r="B400" s="10" t="s">
        <v>35</v>
      </c>
      <c r="C400" s="16">
        <v>2.1999999999999999E-2</v>
      </c>
      <c r="D400" s="12">
        <v>300000</v>
      </c>
      <c r="E400" s="12">
        <f>C400*D400</f>
        <v>6600</v>
      </c>
    </row>
    <row r="401" spans="1:5" ht="18" customHeight="1" x14ac:dyDescent="0.3">
      <c r="A401" s="14" t="s">
        <v>36</v>
      </c>
      <c r="B401" s="10" t="s">
        <v>6</v>
      </c>
      <c r="C401" s="16">
        <v>1.4999999999999999E-2</v>
      </c>
      <c r="D401" s="12">
        <v>100000</v>
      </c>
      <c r="E401" s="12">
        <f>C401*D401</f>
        <v>1500</v>
      </c>
    </row>
    <row r="402" spans="1:5" ht="18" customHeight="1" x14ac:dyDescent="0.3">
      <c r="A402" s="14"/>
      <c r="B402" s="10"/>
      <c r="C402" s="16"/>
      <c r="D402" s="12"/>
      <c r="E402" s="12"/>
    </row>
    <row r="403" spans="1:5" ht="18" customHeight="1" x14ac:dyDescent="0.3">
      <c r="A403" s="17" t="s">
        <v>37</v>
      </c>
      <c r="B403" s="43"/>
      <c r="C403" s="43"/>
      <c r="D403" s="43"/>
      <c r="E403" s="12">
        <f>E400*0.03</f>
        <v>198</v>
      </c>
    </row>
    <row r="404" spans="1:5" ht="18" customHeight="1" x14ac:dyDescent="0.3">
      <c r="A404" s="17"/>
      <c r="B404" s="18"/>
      <c r="C404" s="7"/>
      <c r="D404" s="7"/>
      <c r="E404" s="12"/>
    </row>
    <row r="405" spans="1:5" ht="18" customHeight="1" x14ac:dyDescent="0.3">
      <c r="A405" s="45" t="s">
        <v>14</v>
      </c>
      <c r="B405" s="45"/>
      <c r="C405" s="45"/>
      <c r="D405" s="45"/>
      <c r="E405" s="13">
        <f>SUM(E400:E403)</f>
        <v>8298</v>
      </c>
    </row>
    <row r="406" spans="1:5" ht="18" customHeight="1" x14ac:dyDescent="0.3">
      <c r="A406" s="47" t="s">
        <v>19</v>
      </c>
      <c r="B406" s="47"/>
      <c r="C406" s="47"/>
      <c r="D406" s="47"/>
      <c r="E406" s="47"/>
    </row>
    <row r="407" spans="1:5" ht="18" customHeight="1" x14ac:dyDescent="0.3">
      <c r="A407" s="9" t="s">
        <v>8</v>
      </c>
      <c r="B407" s="9" t="s">
        <v>5</v>
      </c>
      <c r="C407" s="9" t="s">
        <v>9</v>
      </c>
      <c r="D407" s="9" t="s">
        <v>10</v>
      </c>
      <c r="E407" s="9" t="s">
        <v>11</v>
      </c>
    </row>
    <row r="408" spans="1:5" ht="18" customHeight="1" x14ac:dyDescent="0.3">
      <c r="A408" s="14" t="s">
        <v>38</v>
      </c>
      <c r="B408" s="10" t="s">
        <v>21</v>
      </c>
      <c r="C408" s="11">
        <v>2.5000000000000001E-2</v>
      </c>
      <c r="D408" s="12">
        <v>25000</v>
      </c>
      <c r="E408" s="12">
        <f>D408*C408</f>
        <v>625</v>
      </c>
    </row>
    <row r="409" spans="1:5" ht="18" customHeight="1" x14ac:dyDescent="0.3">
      <c r="A409" s="14"/>
      <c r="B409" s="10"/>
      <c r="C409" s="11"/>
      <c r="D409" s="12"/>
      <c r="E409" s="12"/>
    </row>
    <row r="410" spans="1:5" ht="18" customHeight="1" x14ac:dyDescent="0.3">
      <c r="A410" s="45" t="s">
        <v>14</v>
      </c>
      <c r="B410" s="45"/>
      <c r="C410" s="45"/>
      <c r="D410" s="45"/>
      <c r="E410" s="13">
        <f>SUM(E408)</f>
        <v>625</v>
      </c>
    </row>
    <row r="411" spans="1:5" ht="18" customHeight="1" x14ac:dyDescent="0.3">
      <c r="A411" s="47" t="s">
        <v>22</v>
      </c>
      <c r="B411" s="47"/>
      <c r="C411" s="47"/>
      <c r="D411" s="47"/>
      <c r="E411" s="47"/>
    </row>
    <row r="412" spans="1:5" ht="18" customHeight="1" x14ac:dyDescent="0.3">
      <c r="A412" s="9" t="s">
        <v>8</v>
      </c>
      <c r="B412" s="9" t="s">
        <v>5</v>
      </c>
      <c r="C412" s="9" t="s">
        <v>9</v>
      </c>
      <c r="D412" s="9" t="s">
        <v>23</v>
      </c>
      <c r="E412" s="9" t="s">
        <v>11</v>
      </c>
    </row>
    <row r="413" spans="1:5" ht="18" customHeight="1" x14ac:dyDescent="0.3">
      <c r="A413" s="14" t="s">
        <v>39</v>
      </c>
      <c r="B413" s="10" t="s">
        <v>21</v>
      </c>
      <c r="C413" s="11">
        <v>100</v>
      </c>
      <c r="D413" s="12">
        <v>130000</v>
      </c>
      <c r="E413" s="12">
        <f>D413/C413</f>
        <v>1300</v>
      </c>
    </row>
    <row r="414" spans="1:5" ht="18" customHeight="1" x14ac:dyDescent="0.3">
      <c r="A414" s="14"/>
      <c r="B414" s="10"/>
      <c r="C414" s="11"/>
      <c r="D414" s="12"/>
      <c r="E414" s="12"/>
    </row>
    <row r="415" spans="1:5" ht="18" customHeight="1" x14ac:dyDescent="0.3">
      <c r="A415" s="45" t="s">
        <v>14</v>
      </c>
      <c r="B415" s="45"/>
      <c r="C415" s="45"/>
      <c r="D415" s="45"/>
      <c r="E415" s="13">
        <f>SUM(E413)</f>
        <v>1300</v>
      </c>
    </row>
    <row r="416" spans="1:5" ht="18" customHeight="1" x14ac:dyDescent="0.3">
      <c r="A416" s="10"/>
      <c r="B416" s="7"/>
      <c r="C416" s="7"/>
      <c r="D416" s="7"/>
      <c r="E416" s="7"/>
    </row>
    <row r="417" spans="1:5" ht="18" customHeight="1" x14ac:dyDescent="0.3">
      <c r="A417" s="45" t="s">
        <v>25</v>
      </c>
      <c r="B417" s="45"/>
      <c r="C417" s="45"/>
      <c r="D417" s="45"/>
      <c r="E417" s="13">
        <f>SUM(E397,E405,E410,E415)</f>
        <v>11263</v>
      </c>
    </row>
    <row r="419" spans="1:5" ht="18" customHeight="1" x14ac:dyDescent="0.3">
      <c r="B419" s="7"/>
      <c r="C419" s="7"/>
      <c r="D419" s="7"/>
      <c r="E419" s="7"/>
    </row>
    <row r="420" spans="1:5" ht="18" customHeight="1" x14ac:dyDescent="0.3">
      <c r="A420" s="54" t="s">
        <v>100</v>
      </c>
      <c r="B420" s="54"/>
      <c r="C420" s="54"/>
      <c r="D420" s="22" t="s">
        <v>3</v>
      </c>
      <c r="E420" s="22">
        <v>3</v>
      </c>
    </row>
    <row r="421" spans="1:5" ht="18" customHeight="1" x14ac:dyDescent="0.3">
      <c r="A421" s="53"/>
      <c r="B421" s="53"/>
      <c r="C421" s="53"/>
      <c r="D421" s="8" t="s">
        <v>5</v>
      </c>
      <c r="E421" s="8" t="s">
        <v>6</v>
      </c>
    </row>
    <row r="422" spans="1:5" ht="18" customHeight="1" x14ac:dyDescent="0.3">
      <c r="A422" s="47" t="s">
        <v>7</v>
      </c>
      <c r="B422" s="47"/>
      <c r="C422" s="47"/>
      <c r="D422" s="47"/>
      <c r="E422" s="47"/>
    </row>
    <row r="423" spans="1:5" ht="18" customHeight="1" x14ac:dyDescent="0.3">
      <c r="A423" s="9" t="s">
        <v>8</v>
      </c>
      <c r="B423" s="9" t="s">
        <v>5</v>
      </c>
      <c r="C423" s="9" t="s">
        <v>9</v>
      </c>
      <c r="D423" s="9" t="s">
        <v>10</v>
      </c>
      <c r="E423" s="9" t="s">
        <v>11</v>
      </c>
    </row>
    <row r="424" spans="1:5" ht="18" customHeight="1" x14ac:dyDescent="0.3">
      <c r="A424" s="10" t="s">
        <v>12</v>
      </c>
      <c r="B424" s="10" t="s">
        <v>13</v>
      </c>
      <c r="C424" s="11">
        <v>0.8</v>
      </c>
      <c r="D424" s="12">
        <f>E443</f>
        <v>1300</v>
      </c>
      <c r="E424" s="12">
        <f>C424*D424</f>
        <v>1040</v>
      </c>
    </row>
    <row r="425" spans="1:5" ht="18" customHeight="1" x14ac:dyDescent="0.3">
      <c r="A425" s="10"/>
      <c r="B425" s="10"/>
      <c r="C425" s="10"/>
      <c r="D425" s="12"/>
      <c r="E425" s="12"/>
    </row>
    <row r="426" spans="1:5" ht="18" customHeight="1" x14ac:dyDescent="0.3">
      <c r="A426" s="45" t="s">
        <v>14</v>
      </c>
      <c r="B426" s="45"/>
      <c r="C426" s="45"/>
      <c r="D426" s="45"/>
      <c r="E426" s="13">
        <f>SUM(E424:E424)</f>
        <v>1040</v>
      </c>
    </row>
    <row r="427" spans="1:5" ht="18" customHeight="1" x14ac:dyDescent="0.3">
      <c r="A427" s="47" t="s">
        <v>15</v>
      </c>
      <c r="B427" s="47"/>
      <c r="C427" s="47"/>
      <c r="D427" s="47"/>
      <c r="E427" s="47"/>
    </row>
    <row r="428" spans="1:5" ht="18" customHeight="1" x14ac:dyDescent="0.3">
      <c r="A428" s="9" t="s">
        <v>8</v>
      </c>
      <c r="B428" s="9" t="s">
        <v>5</v>
      </c>
      <c r="C428" s="9" t="s">
        <v>16</v>
      </c>
      <c r="D428" s="9" t="s">
        <v>17</v>
      </c>
      <c r="E428" s="9" t="s">
        <v>11</v>
      </c>
    </row>
    <row r="429" spans="1:5" ht="18" customHeight="1" x14ac:dyDescent="0.3">
      <c r="A429" s="14" t="s">
        <v>34</v>
      </c>
      <c r="B429" s="10" t="s">
        <v>35</v>
      </c>
      <c r="C429" s="16">
        <v>2.1999999999999999E-2</v>
      </c>
      <c r="D429" s="12">
        <v>300000</v>
      </c>
      <c r="E429" s="12">
        <f>C429*D429</f>
        <v>6600</v>
      </c>
    </row>
    <row r="430" spans="1:5" ht="18" customHeight="1" x14ac:dyDescent="0.3">
      <c r="A430" s="14"/>
      <c r="B430" s="10"/>
      <c r="C430" s="16"/>
      <c r="D430" s="12"/>
      <c r="E430" s="12"/>
    </row>
    <row r="431" spans="1:5" ht="18" customHeight="1" x14ac:dyDescent="0.3">
      <c r="A431" s="17" t="s">
        <v>37</v>
      </c>
      <c r="B431" s="43"/>
      <c r="C431" s="43"/>
      <c r="D431" s="43"/>
      <c r="E431" s="12">
        <f>E429*0.03</f>
        <v>198</v>
      </c>
    </row>
    <row r="432" spans="1:5" ht="18" customHeight="1" x14ac:dyDescent="0.3">
      <c r="A432" s="17"/>
      <c r="B432" s="18"/>
      <c r="C432" s="7"/>
      <c r="D432" s="7"/>
      <c r="E432" s="12"/>
    </row>
    <row r="433" spans="1:5" ht="18" customHeight="1" x14ac:dyDescent="0.3">
      <c r="A433" s="45" t="s">
        <v>14</v>
      </c>
      <c r="B433" s="45"/>
      <c r="C433" s="45"/>
      <c r="D433" s="45"/>
      <c r="E433" s="13">
        <f>SUM(E429:E431)</f>
        <v>6798</v>
      </c>
    </row>
    <row r="434" spans="1:5" ht="18" customHeight="1" x14ac:dyDescent="0.3">
      <c r="A434" s="47" t="s">
        <v>19</v>
      </c>
      <c r="B434" s="47"/>
      <c r="C434" s="47"/>
      <c r="D434" s="47"/>
      <c r="E434" s="47"/>
    </row>
    <row r="435" spans="1:5" ht="18" customHeight="1" x14ac:dyDescent="0.3">
      <c r="A435" s="9" t="s">
        <v>8</v>
      </c>
      <c r="B435" s="9" t="s">
        <v>5</v>
      </c>
      <c r="C435" s="9" t="s">
        <v>9</v>
      </c>
      <c r="D435" s="9" t="s">
        <v>10</v>
      </c>
      <c r="E435" s="9" t="s">
        <v>11</v>
      </c>
    </row>
    <row r="436" spans="1:5" ht="18" customHeight="1" x14ac:dyDescent="0.3">
      <c r="A436" s="14" t="s">
        <v>38</v>
      </c>
      <c r="B436" s="10" t="s">
        <v>21</v>
      </c>
      <c r="C436" s="11">
        <v>2.5000000000000001E-2</v>
      </c>
      <c r="D436" s="12">
        <v>25000</v>
      </c>
      <c r="E436" s="12">
        <f>D436*C436</f>
        <v>625</v>
      </c>
    </row>
    <row r="437" spans="1:5" ht="18" customHeight="1" x14ac:dyDescent="0.3">
      <c r="A437" s="14"/>
      <c r="B437" s="10"/>
      <c r="C437" s="11"/>
      <c r="D437" s="12"/>
      <c r="E437" s="12"/>
    </row>
    <row r="438" spans="1:5" ht="18" customHeight="1" x14ac:dyDescent="0.3">
      <c r="A438" s="45" t="s">
        <v>14</v>
      </c>
      <c r="B438" s="45"/>
      <c r="C438" s="45"/>
      <c r="D438" s="45"/>
      <c r="E438" s="13">
        <f>SUM(E436)</f>
        <v>625</v>
      </c>
    </row>
    <row r="439" spans="1:5" ht="18" customHeight="1" x14ac:dyDescent="0.3">
      <c r="A439" s="47" t="s">
        <v>22</v>
      </c>
      <c r="B439" s="47"/>
      <c r="C439" s="47"/>
      <c r="D439" s="47"/>
      <c r="E439" s="47"/>
    </row>
    <row r="440" spans="1:5" ht="18" customHeight="1" x14ac:dyDescent="0.3">
      <c r="A440" s="9" t="s">
        <v>8</v>
      </c>
      <c r="B440" s="9" t="s">
        <v>5</v>
      </c>
      <c r="C440" s="9" t="s">
        <v>9</v>
      </c>
      <c r="D440" s="9" t="s">
        <v>23</v>
      </c>
      <c r="E440" s="9" t="s">
        <v>11</v>
      </c>
    </row>
    <row r="441" spans="1:5" ht="18" customHeight="1" x14ac:dyDescent="0.3">
      <c r="A441" s="14" t="s">
        <v>39</v>
      </c>
      <c r="B441" s="10" t="s">
        <v>21</v>
      </c>
      <c r="C441" s="11">
        <v>100</v>
      </c>
      <c r="D441" s="12">
        <v>130000</v>
      </c>
      <c r="E441" s="12">
        <f>D441/C441</f>
        <v>1300</v>
      </c>
    </row>
    <row r="442" spans="1:5" ht="18" customHeight="1" x14ac:dyDescent="0.3">
      <c r="A442" s="14"/>
      <c r="B442" s="10"/>
      <c r="C442" s="11"/>
      <c r="D442" s="12"/>
      <c r="E442" s="12"/>
    </row>
    <row r="443" spans="1:5" ht="18" customHeight="1" x14ac:dyDescent="0.3">
      <c r="A443" s="45" t="s">
        <v>14</v>
      </c>
      <c r="B443" s="45"/>
      <c r="C443" s="45"/>
      <c r="D443" s="45"/>
      <c r="E443" s="13">
        <f>SUM(E441)</f>
        <v>1300</v>
      </c>
    </row>
    <row r="444" spans="1:5" ht="18" customHeight="1" x14ac:dyDescent="0.3">
      <c r="A444" s="10"/>
      <c r="B444" s="7"/>
      <c r="C444" s="7"/>
      <c r="D444" s="7"/>
      <c r="E444" s="7"/>
    </row>
    <row r="445" spans="1:5" ht="18" customHeight="1" x14ac:dyDescent="0.3">
      <c r="A445" s="45" t="s">
        <v>25</v>
      </c>
      <c r="B445" s="45"/>
      <c r="C445" s="45"/>
      <c r="D445" s="45"/>
      <c r="E445" s="13">
        <f>SUM(E426,E433,E438,E443)</f>
        <v>9763</v>
      </c>
    </row>
    <row r="447" spans="1:5" ht="18" customHeight="1" x14ac:dyDescent="0.3">
      <c r="A447" s="4"/>
      <c r="B447" s="5"/>
      <c r="C447" s="5"/>
      <c r="D447" s="5"/>
      <c r="E447" s="5"/>
    </row>
    <row r="448" spans="1:5" ht="18" customHeight="1" x14ac:dyDescent="0.3">
      <c r="A448" s="54" t="s">
        <v>44</v>
      </c>
      <c r="B448" s="54"/>
      <c r="C448" s="54"/>
      <c r="D448" s="22" t="s">
        <v>3</v>
      </c>
      <c r="E448" s="22">
        <v>5</v>
      </c>
    </row>
    <row r="449" spans="1:5" ht="18" customHeight="1" x14ac:dyDescent="0.3">
      <c r="A449" s="53"/>
      <c r="B449" s="44"/>
      <c r="C449" s="44"/>
      <c r="D449" s="8" t="s">
        <v>5</v>
      </c>
      <c r="E449" s="8" t="s">
        <v>45</v>
      </c>
    </row>
    <row r="450" spans="1:5" ht="18" customHeight="1" x14ac:dyDescent="0.3">
      <c r="A450" s="47" t="s">
        <v>7</v>
      </c>
      <c r="B450" s="48"/>
      <c r="C450" s="48"/>
      <c r="D450" s="48"/>
      <c r="E450" s="48"/>
    </row>
    <row r="451" spans="1:5" ht="18" customHeight="1" x14ac:dyDescent="0.3">
      <c r="A451" s="9" t="s">
        <v>8</v>
      </c>
      <c r="B451" s="9" t="s">
        <v>5</v>
      </c>
      <c r="C451" s="9" t="s">
        <v>9</v>
      </c>
      <c r="D451" s="9" t="s">
        <v>10</v>
      </c>
      <c r="E451" s="9" t="s">
        <v>11</v>
      </c>
    </row>
    <row r="452" spans="1:5" ht="18" customHeight="1" x14ac:dyDescent="0.3">
      <c r="A452" s="10" t="s">
        <v>12</v>
      </c>
      <c r="B452" s="10" t="s">
        <v>13</v>
      </c>
      <c r="C452" s="11">
        <v>0.1</v>
      </c>
      <c r="D452" s="12">
        <f>E474</f>
        <v>2888.8888888888887</v>
      </c>
      <c r="E452" s="12">
        <f>C452*D452</f>
        <v>288.88888888888886</v>
      </c>
    </row>
    <row r="453" spans="1:5" ht="18" customHeight="1" x14ac:dyDescent="0.3">
      <c r="A453" s="10"/>
      <c r="B453" s="10"/>
      <c r="C453" s="10"/>
      <c r="D453" s="12"/>
      <c r="E453" s="12"/>
    </row>
    <row r="454" spans="1:5" ht="18" customHeight="1" x14ac:dyDescent="0.3">
      <c r="A454" s="45" t="s">
        <v>14</v>
      </c>
      <c r="B454" s="46"/>
      <c r="C454" s="46"/>
      <c r="D454" s="46"/>
      <c r="E454" s="13">
        <f>SUM(E452:E452)</f>
        <v>288.88888888888886</v>
      </c>
    </row>
    <row r="455" spans="1:5" ht="18" customHeight="1" x14ac:dyDescent="0.3">
      <c r="A455" s="47" t="s">
        <v>15</v>
      </c>
      <c r="B455" s="48"/>
      <c r="C455" s="48"/>
      <c r="D455" s="48"/>
      <c r="E455" s="48"/>
    </row>
    <row r="456" spans="1:5" ht="18" customHeight="1" x14ac:dyDescent="0.3">
      <c r="A456" s="9" t="s">
        <v>8</v>
      </c>
      <c r="B456" s="9" t="s">
        <v>5</v>
      </c>
      <c r="C456" s="9" t="s">
        <v>16</v>
      </c>
      <c r="D456" s="9" t="s">
        <v>17</v>
      </c>
      <c r="E456" s="9" t="s">
        <v>11</v>
      </c>
    </row>
    <row r="457" spans="1:5" ht="18" customHeight="1" x14ac:dyDescent="0.3">
      <c r="A457" s="14" t="s">
        <v>46</v>
      </c>
      <c r="B457" s="10" t="s">
        <v>6</v>
      </c>
      <c r="C457" s="24">
        <v>1</v>
      </c>
      <c r="D457" s="12">
        <v>60000</v>
      </c>
      <c r="E457" s="12">
        <f>C457*D457</f>
        <v>60000</v>
      </c>
    </row>
    <row r="458" spans="1:5" ht="18" customHeight="1" x14ac:dyDescent="0.3">
      <c r="A458" s="14" t="s">
        <v>47</v>
      </c>
      <c r="B458" s="10" t="s">
        <v>6</v>
      </c>
      <c r="C458" s="16">
        <v>0.15</v>
      </c>
      <c r="D458" s="12">
        <v>38000</v>
      </c>
      <c r="E458" s="12">
        <f>C458*D458</f>
        <v>5700</v>
      </c>
    </row>
    <row r="459" spans="1:5" ht="18" customHeight="1" x14ac:dyDescent="0.3">
      <c r="A459" s="14" t="s">
        <v>72</v>
      </c>
      <c r="B459" s="10" t="s">
        <v>6</v>
      </c>
      <c r="C459" s="16">
        <v>0.1</v>
      </c>
      <c r="D459" s="12">
        <v>28000</v>
      </c>
      <c r="E459" s="12">
        <f>C459*D459</f>
        <v>2800</v>
      </c>
    </row>
    <row r="460" spans="1:5" ht="18" customHeight="1" x14ac:dyDescent="0.3">
      <c r="A460" s="14" t="s">
        <v>74</v>
      </c>
      <c r="B460" s="10" t="s">
        <v>73</v>
      </c>
      <c r="C460" s="16">
        <v>0.1</v>
      </c>
      <c r="D460" s="12">
        <v>15000</v>
      </c>
      <c r="E460" s="12">
        <f>C460*D460</f>
        <v>1500</v>
      </c>
    </row>
    <row r="461" spans="1:5" ht="18" customHeight="1" x14ac:dyDescent="0.3">
      <c r="A461" s="14"/>
      <c r="B461" s="10"/>
      <c r="C461" s="16"/>
      <c r="D461" s="12"/>
      <c r="E461" s="12"/>
    </row>
    <row r="462" spans="1:5" ht="18" customHeight="1" x14ac:dyDescent="0.3">
      <c r="A462" s="25" t="s">
        <v>48</v>
      </c>
      <c r="B462" s="55"/>
      <c r="C462" s="44"/>
      <c r="D462" s="44"/>
      <c r="E462" s="27">
        <f>(E457+E461)*0.05</f>
        <v>3000</v>
      </c>
    </row>
    <row r="463" spans="1:5" ht="18" customHeight="1" x14ac:dyDescent="0.3">
      <c r="A463" s="25"/>
      <c r="B463" s="26"/>
      <c r="C463" s="7"/>
      <c r="D463" s="7"/>
      <c r="E463" s="27"/>
    </row>
    <row r="464" spans="1:5" ht="18" customHeight="1" x14ac:dyDescent="0.3">
      <c r="A464" s="45" t="s">
        <v>14</v>
      </c>
      <c r="B464" s="46"/>
      <c r="C464" s="46"/>
      <c r="D464" s="46"/>
      <c r="E464" s="13">
        <f>SUM(E457:E462)</f>
        <v>73000</v>
      </c>
    </row>
    <row r="465" spans="1:5" ht="18" customHeight="1" x14ac:dyDescent="0.3">
      <c r="A465" s="47" t="s">
        <v>19</v>
      </c>
      <c r="B465" s="48"/>
      <c r="C465" s="48"/>
      <c r="D465" s="48"/>
      <c r="E465" s="48"/>
    </row>
    <row r="466" spans="1:5" ht="18" customHeight="1" x14ac:dyDescent="0.3">
      <c r="A466" s="9" t="s">
        <v>8</v>
      </c>
      <c r="B466" s="9" t="s">
        <v>5</v>
      </c>
      <c r="C466" s="9" t="s">
        <v>9</v>
      </c>
      <c r="D466" s="9" t="s">
        <v>10</v>
      </c>
      <c r="E466" s="9" t="s">
        <v>11</v>
      </c>
    </row>
    <row r="467" spans="1:5" ht="18" customHeight="1" x14ac:dyDescent="0.3">
      <c r="A467" s="14" t="s">
        <v>38</v>
      </c>
      <c r="B467" s="10" t="s">
        <v>21</v>
      </c>
      <c r="C467" s="11">
        <v>2.5000000000000001E-2</v>
      </c>
      <c r="D467" s="12">
        <v>45000</v>
      </c>
      <c r="E467" s="12">
        <f>D467*C467</f>
        <v>1125</v>
      </c>
    </row>
    <row r="468" spans="1:5" ht="18" customHeight="1" x14ac:dyDescent="0.3">
      <c r="A468" s="14"/>
      <c r="B468" s="10"/>
      <c r="C468" s="11"/>
      <c r="D468" s="12"/>
      <c r="E468" s="12"/>
    </row>
    <row r="469" spans="1:5" ht="18" customHeight="1" x14ac:dyDescent="0.3">
      <c r="A469" s="45" t="s">
        <v>14</v>
      </c>
      <c r="B469" s="46"/>
      <c r="C469" s="46"/>
      <c r="D469" s="46"/>
      <c r="E469" s="13">
        <f>SUM(E467)</f>
        <v>1125</v>
      </c>
    </row>
    <row r="470" spans="1:5" ht="18" customHeight="1" x14ac:dyDescent="0.3">
      <c r="A470" s="47" t="s">
        <v>22</v>
      </c>
      <c r="B470" s="48"/>
      <c r="C470" s="48"/>
      <c r="D470" s="48"/>
      <c r="E470" s="48"/>
    </row>
    <row r="471" spans="1:5" ht="18" customHeight="1" x14ac:dyDescent="0.3">
      <c r="A471" s="9" t="s">
        <v>8</v>
      </c>
      <c r="B471" s="9" t="s">
        <v>5</v>
      </c>
      <c r="C471" s="9" t="s">
        <v>9</v>
      </c>
      <c r="D471" s="9" t="s">
        <v>23</v>
      </c>
      <c r="E471" s="9" t="s">
        <v>11</v>
      </c>
    </row>
    <row r="472" spans="1:5" ht="18" customHeight="1" x14ac:dyDescent="0.3">
      <c r="A472" s="14" t="s">
        <v>32</v>
      </c>
      <c r="B472" s="10" t="s">
        <v>21</v>
      </c>
      <c r="C472" s="11">
        <v>45</v>
      </c>
      <c r="D472" s="12">
        <v>130000</v>
      </c>
      <c r="E472" s="12">
        <f>D472/C472</f>
        <v>2888.8888888888887</v>
      </c>
    </row>
    <row r="473" spans="1:5" ht="18" customHeight="1" x14ac:dyDescent="0.3">
      <c r="A473" s="14"/>
      <c r="B473" s="10"/>
      <c r="C473" s="11"/>
      <c r="D473" s="12"/>
      <c r="E473" s="12"/>
    </row>
    <row r="474" spans="1:5" ht="18" customHeight="1" x14ac:dyDescent="0.3">
      <c r="A474" s="45" t="s">
        <v>14</v>
      </c>
      <c r="B474" s="46"/>
      <c r="C474" s="46"/>
      <c r="D474" s="46"/>
      <c r="E474" s="13">
        <f>SUM(E472)</f>
        <v>2888.8888888888887</v>
      </c>
    </row>
    <row r="475" spans="1:5" ht="18" customHeight="1" x14ac:dyDescent="0.3">
      <c r="A475" s="10"/>
      <c r="B475" s="7"/>
      <c r="C475" s="7"/>
      <c r="D475" s="7"/>
      <c r="E475" s="7"/>
    </row>
    <row r="476" spans="1:5" ht="18" customHeight="1" x14ac:dyDescent="0.3">
      <c r="A476" s="45" t="s">
        <v>25</v>
      </c>
      <c r="B476" s="46"/>
      <c r="C476" s="46"/>
      <c r="D476" s="46"/>
      <c r="E476" s="13">
        <f>SUM(E454,E464,E469,E474)</f>
        <v>77302.777777777781</v>
      </c>
    </row>
  </sheetData>
  <mergeCells count="192">
    <mergeCell ref="A476:D476"/>
    <mergeCell ref="A363:C363"/>
    <mergeCell ref="A364:C364"/>
    <mergeCell ref="A365:E365"/>
    <mergeCell ref="A369:D369"/>
    <mergeCell ref="A370:E370"/>
    <mergeCell ref="B375:D375"/>
    <mergeCell ref="A377:D377"/>
    <mergeCell ref="A378:E378"/>
    <mergeCell ref="A382:D382"/>
    <mergeCell ref="B462:D462"/>
    <mergeCell ref="A464:D464"/>
    <mergeCell ref="A465:E465"/>
    <mergeCell ref="A469:D469"/>
    <mergeCell ref="A470:E470"/>
    <mergeCell ref="A474:D474"/>
    <mergeCell ref="A445:D445"/>
    <mergeCell ref="A448:C448"/>
    <mergeCell ref="A449:C449"/>
    <mergeCell ref="A450:E450"/>
    <mergeCell ref="A454:D454"/>
    <mergeCell ref="A455:E455"/>
    <mergeCell ref="B431:D431"/>
    <mergeCell ref="A433:D433"/>
    <mergeCell ref="A434:E434"/>
    <mergeCell ref="A438:D438"/>
    <mergeCell ref="A439:E439"/>
    <mergeCell ref="A443:D443"/>
    <mergeCell ref="A417:D417"/>
    <mergeCell ref="A420:C420"/>
    <mergeCell ref="A421:C421"/>
    <mergeCell ref="A422:E422"/>
    <mergeCell ref="A426:D426"/>
    <mergeCell ref="A427:E427"/>
    <mergeCell ref="B403:D403"/>
    <mergeCell ref="A405:D405"/>
    <mergeCell ref="A406:E406"/>
    <mergeCell ref="A410:D410"/>
    <mergeCell ref="A411:E411"/>
    <mergeCell ref="A415:D415"/>
    <mergeCell ref="A360:D360"/>
    <mergeCell ref="A392:C392"/>
    <mergeCell ref="A393:E393"/>
    <mergeCell ref="A397:D397"/>
    <mergeCell ref="A398:E398"/>
    <mergeCell ref="A383:E383"/>
    <mergeCell ref="A387:D387"/>
    <mergeCell ref="A389:D389"/>
    <mergeCell ref="B346:D346"/>
    <mergeCell ref="A348:D348"/>
    <mergeCell ref="A349:E349"/>
    <mergeCell ref="A353:D353"/>
    <mergeCell ref="A354:E354"/>
    <mergeCell ref="A358:D358"/>
    <mergeCell ref="A332:D332"/>
    <mergeCell ref="A335:C335"/>
    <mergeCell ref="A336:C336"/>
    <mergeCell ref="A337:E337"/>
    <mergeCell ref="A342:D342"/>
    <mergeCell ref="A343:E343"/>
    <mergeCell ref="B318:D318"/>
    <mergeCell ref="A320:D320"/>
    <mergeCell ref="A321:E321"/>
    <mergeCell ref="A325:D325"/>
    <mergeCell ref="A326:E326"/>
    <mergeCell ref="A330:D330"/>
    <mergeCell ref="A273:D273"/>
    <mergeCell ref="A308:C308"/>
    <mergeCell ref="A309:C309"/>
    <mergeCell ref="A310:E310"/>
    <mergeCell ref="A314:D314"/>
    <mergeCell ref="A315:E315"/>
    <mergeCell ref="A276:C276"/>
    <mergeCell ref="A277:C277"/>
    <mergeCell ref="A278:E278"/>
    <mergeCell ref="A283:D283"/>
    <mergeCell ref="A301:D301"/>
    <mergeCell ref="A303:D303"/>
    <mergeCell ref="A284:E284"/>
    <mergeCell ref="B289:D289"/>
    <mergeCell ref="A291:D291"/>
    <mergeCell ref="A292:E292"/>
    <mergeCell ref="A296:D296"/>
    <mergeCell ref="A297:E297"/>
    <mergeCell ref="B259:D259"/>
    <mergeCell ref="A261:D261"/>
    <mergeCell ref="A262:E262"/>
    <mergeCell ref="A266:D266"/>
    <mergeCell ref="A267:E267"/>
    <mergeCell ref="A271:D271"/>
    <mergeCell ref="A241:D241"/>
    <mergeCell ref="A247:C247"/>
    <mergeCell ref="A248:C248"/>
    <mergeCell ref="A249:E249"/>
    <mergeCell ref="A255:D255"/>
    <mergeCell ref="A256:E256"/>
    <mergeCell ref="B227:D227"/>
    <mergeCell ref="A229:D229"/>
    <mergeCell ref="A230:E230"/>
    <mergeCell ref="A234:D234"/>
    <mergeCell ref="A235:E235"/>
    <mergeCell ref="A239:D239"/>
    <mergeCell ref="A213:D213"/>
    <mergeCell ref="A216:C216"/>
    <mergeCell ref="A217:C217"/>
    <mergeCell ref="A218:E218"/>
    <mergeCell ref="A222:D222"/>
    <mergeCell ref="A223:E223"/>
    <mergeCell ref="B199:D199"/>
    <mergeCell ref="A201:D201"/>
    <mergeCell ref="A202:E202"/>
    <mergeCell ref="A206:D206"/>
    <mergeCell ref="A207:E207"/>
    <mergeCell ref="A211:D211"/>
    <mergeCell ref="A182:D182"/>
    <mergeCell ref="A185:C185"/>
    <mergeCell ref="A186:C186"/>
    <mergeCell ref="A187:E187"/>
    <mergeCell ref="A191:D191"/>
    <mergeCell ref="A192:E192"/>
    <mergeCell ref="B168:D168"/>
    <mergeCell ref="A170:D170"/>
    <mergeCell ref="A171:E171"/>
    <mergeCell ref="A175:D175"/>
    <mergeCell ref="A176:E176"/>
    <mergeCell ref="A180:D180"/>
    <mergeCell ref="A150:D150"/>
    <mergeCell ref="A156:C156"/>
    <mergeCell ref="A157:C157"/>
    <mergeCell ref="A158:E158"/>
    <mergeCell ref="A162:D162"/>
    <mergeCell ref="A163:E163"/>
    <mergeCell ref="B136:D136"/>
    <mergeCell ref="A138:D138"/>
    <mergeCell ref="A139:E139"/>
    <mergeCell ref="A143:D143"/>
    <mergeCell ref="A144:E144"/>
    <mergeCell ref="A148:D148"/>
    <mergeCell ref="A118:D118"/>
    <mergeCell ref="A122:C122"/>
    <mergeCell ref="A123:C123"/>
    <mergeCell ref="A124:E124"/>
    <mergeCell ref="A128:D128"/>
    <mergeCell ref="A129:E129"/>
    <mergeCell ref="B104:D104"/>
    <mergeCell ref="A106:D106"/>
    <mergeCell ref="A107:E107"/>
    <mergeCell ref="A111:D111"/>
    <mergeCell ref="A112:E112"/>
    <mergeCell ref="A116:D116"/>
    <mergeCell ref="A89:D89"/>
    <mergeCell ref="A92:C92"/>
    <mergeCell ref="A93:C93"/>
    <mergeCell ref="A94:E94"/>
    <mergeCell ref="A98:D98"/>
    <mergeCell ref="A99:E99"/>
    <mergeCell ref="B75:D75"/>
    <mergeCell ref="A77:D77"/>
    <mergeCell ref="A78:E78"/>
    <mergeCell ref="A82:D82"/>
    <mergeCell ref="A83:E83"/>
    <mergeCell ref="A87:D87"/>
    <mergeCell ref="A60:D60"/>
    <mergeCell ref="A63:C63"/>
    <mergeCell ref="A64:C64"/>
    <mergeCell ref="A65:E65"/>
    <mergeCell ref="A69:D69"/>
    <mergeCell ref="A70:E70"/>
    <mergeCell ref="B46:D46"/>
    <mergeCell ref="A48:D48"/>
    <mergeCell ref="A49:E49"/>
    <mergeCell ref="A53:D53"/>
    <mergeCell ref="A54:E54"/>
    <mergeCell ref="A58:D58"/>
    <mergeCell ref="A29:D29"/>
    <mergeCell ref="A32:C32"/>
    <mergeCell ref="A33:C33"/>
    <mergeCell ref="A34:E34"/>
    <mergeCell ref="A38:D38"/>
    <mergeCell ref="A39:E39"/>
    <mergeCell ref="B15:D15"/>
    <mergeCell ref="A17:D17"/>
    <mergeCell ref="A18:E18"/>
    <mergeCell ref="A22:D22"/>
    <mergeCell ref="A23:E23"/>
    <mergeCell ref="A27:D27"/>
    <mergeCell ref="A1:E1"/>
    <mergeCell ref="A5:C5"/>
    <mergeCell ref="A6:C6"/>
    <mergeCell ref="A7:E7"/>
    <mergeCell ref="A11:D11"/>
    <mergeCell ref="A12:E12"/>
  </mergeCells>
  <pageMargins left="0.7" right="0.7" top="0.75" bottom="0.75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3774-1EF7-4EA0-9810-E1168BFAAC44}">
  <dimension ref="A1:D27"/>
  <sheetViews>
    <sheetView topLeftCell="A10" zoomScale="90" zoomScaleNormal="90" workbookViewId="0">
      <selection activeCell="C16" sqref="A16:C21"/>
    </sheetView>
  </sheetViews>
  <sheetFormatPr baseColWidth="10" defaultColWidth="14.44140625" defaultRowHeight="18" customHeight="1" x14ac:dyDescent="0.3"/>
  <cols>
    <col min="1" max="1" width="13.88671875" style="19" customWidth="1"/>
    <col min="2" max="2" width="56.109375" style="19" customWidth="1"/>
    <col min="3" max="3" width="18.6640625" style="19" customWidth="1"/>
    <col min="4" max="4" width="15.44140625" style="19" customWidth="1"/>
    <col min="5" max="5" width="18.77734375" style="19" customWidth="1"/>
    <col min="6" max="6" width="11.44140625" style="19" customWidth="1"/>
    <col min="7" max="7" width="14.109375" style="19" customWidth="1"/>
    <col min="8" max="24" width="10.6640625" style="19" customWidth="1"/>
    <col min="25" max="16384" width="14.44140625" style="19"/>
  </cols>
  <sheetData>
    <row r="1" spans="1:4" ht="20.100000000000001" customHeight="1" x14ac:dyDescent="0.3">
      <c r="A1" s="54" t="s">
        <v>0</v>
      </c>
      <c r="B1" s="52"/>
      <c r="C1" s="52"/>
    </row>
    <row r="2" spans="1:4" ht="20.100000000000001" customHeight="1" x14ac:dyDescent="0.3">
      <c r="A2" s="28"/>
      <c r="B2" s="7"/>
      <c r="C2" s="7"/>
    </row>
    <row r="3" spans="1:4" ht="20.100000000000001" customHeight="1" x14ac:dyDescent="0.3">
      <c r="A3" s="32" t="s">
        <v>3</v>
      </c>
      <c r="B3" s="32" t="s">
        <v>8</v>
      </c>
      <c r="C3" s="32" t="s">
        <v>63</v>
      </c>
    </row>
    <row r="4" spans="1:4" ht="26.4" x14ac:dyDescent="0.3">
      <c r="A4" s="35">
        <v>4</v>
      </c>
      <c r="B4" s="36" t="s">
        <v>1</v>
      </c>
      <c r="C4" s="31">
        <f>SUM(C5:C9)</f>
        <v>167654.77777777778</v>
      </c>
      <c r="D4" s="34"/>
    </row>
    <row r="5" spans="1:4" ht="20.100000000000001" customHeight="1" x14ac:dyDescent="0.3">
      <c r="A5" s="10" t="s">
        <v>87</v>
      </c>
      <c r="B5" s="14" t="s">
        <v>64</v>
      </c>
      <c r="C5" s="29">
        <f>'APU O.G'!E29</f>
        <v>3972.2222222222226</v>
      </c>
    </row>
    <row r="6" spans="1:4" ht="20.100000000000001" customHeight="1" x14ac:dyDescent="0.3">
      <c r="A6" s="10" t="s">
        <v>88</v>
      </c>
      <c r="B6" s="14" t="s">
        <v>65</v>
      </c>
      <c r="C6" s="30">
        <f>'APU O.G'!E60</f>
        <v>62950</v>
      </c>
    </row>
    <row r="7" spans="1:4" ht="20.100000000000001" customHeight="1" x14ac:dyDescent="0.3">
      <c r="A7" s="10" t="s">
        <v>89</v>
      </c>
      <c r="B7" s="14" t="s">
        <v>66</v>
      </c>
      <c r="C7" s="30">
        <f>'APU O.G'!E89</f>
        <v>11263</v>
      </c>
    </row>
    <row r="8" spans="1:4" ht="20.100000000000001" customHeight="1" x14ac:dyDescent="0.3">
      <c r="A8" s="10" t="s">
        <v>90</v>
      </c>
      <c r="B8" s="14" t="s">
        <v>67</v>
      </c>
      <c r="C8" s="30">
        <f>'APU O.G'!E118</f>
        <v>12166.777777777777</v>
      </c>
    </row>
    <row r="9" spans="1:4" ht="20.100000000000001" customHeight="1" x14ac:dyDescent="0.3">
      <c r="A9" s="10" t="s">
        <v>91</v>
      </c>
      <c r="B9" s="14" t="s">
        <v>68</v>
      </c>
      <c r="C9" s="30">
        <f>'APU O.G'!E150</f>
        <v>77302.777777777781</v>
      </c>
    </row>
    <row r="10" spans="1:4" ht="18" customHeight="1" x14ac:dyDescent="0.3">
      <c r="A10" s="33"/>
      <c r="B10" s="33"/>
      <c r="C10" s="33"/>
    </row>
    <row r="11" spans="1:4" ht="30.6" customHeight="1" x14ac:dyDescent="0.3">
      <c r="A11" s="35">
        <v>6</v>
      </c>
      <c r="B11" s="36" t="s">
        <v>49</v>
      </c>
      <c r="C11" s="31">
        <f>SUM(C12:C14)</f>
        <v>47258.166666666672</v>
      </c>
      <c r="D11" s="34"/>
    </row>
    <row r="12" spans="1:4" ht="18" customHeight="1" x14ac:dyDescent="0.3">
      <c r="A12" s="10" t="s">
        <v>84</v>
      </c>
      <c r="B12" s="14" t="s">
        <v>69</v>
      </c>
      <c r="C12" s="29">
        <f>'APU O.G'!E182</f>
        <v>14151.5</v>
      </c>
    </row>
    <row r="13" spans="1:4" ht="18" customHeight="1" x14ac:dyDescent="0.3">
      <c r="A13" s="10" t="s">
        <v>85</v>
      </c>
      <c r="B13" s="14" t="s">
        <v>70</v>
      </c>
      <c r="C13" s="30">
        <f>'APU O.G'!E213</f>
        <v>16056.666666666668</v>
      </c>
    </row>
    <row r="14" spans="1:4" ht="18" customHeight="1" x14ac:dyDescent="0.3">
      <c r="A14" s="10" t="s">
        <v>86</v>
      </c>
      <c r="B14" s="14" t="s">
        <v>71</v>
      </c>
      <c r="C14" s="30">
        <f>'APU O.G'!E241</f>
        <v>17050</v>
      </c>
    </row>
    <row r="15" spans="1:4" ht="18" customHeight="1" x14ac:dyDescent="0.3">
      <c r="A15" s="33"/>
      <c r="B15" s="33"/>
      <c r="C15" s="33"/>
    </row>
    <row r="16" spans="1:4" ht="26.4" x14ac:dyDescent="0.3">
      <c r="A16" s="35">
        <v>3</v>
      </c>
      <c r="B16" s="36" t="s">
        <v>78</v>
      </c>
      <c r="C16" s="31">
        <f>SUM(C17:C21)</f>
        <v>153795.77777777778</v>
      </c>
      <c r="D16" s="34">
        <f>C17+C19+C20</f>
        <v>55393</v>
      </c>
    </row>
    <row r="17" spans="1:4" ht="18" customHeight="1" x14ac:dyDescent="0.3">
      <c r="A17" s="10" t="s">
        <v>92</v>
      </c>
      <c r="B17" s="14" t="s">
        <v>97</v>
      </c>
      <c r="C17" s="29">
        <f>'APU O.G'!E332</f>
        <v>3900</v>
      </c>
    </row>
    <row r="18" spans="1:4" ht="18" customHeight="1" x14ac:dyDescent="0.3">
      <c r="A18" s="10" t="s">
        <v>93</v>
      </c>
      <c r="B18" s="14" t="s">
        <v>98</v>
      </c>
      <c r="C18" s="30">
        <f>'APU O.G'!E360</f>
        <v>21100</v>
      </c>
    </row>
    <row r="19" spans="1:4" ht="18" customHeight="1" x14ac:dyDescent="0.3">
      <c r="A19" s="10" t="s">
        <v>94</v>
      </c>
      <c r="B19" s="14" t="s">
        <v>99</v>
      </c>
      <c r="C19" s="30">
        <f>'APU O.G'!E389</f>
        <v>41730</v>
      </c>
      <c r="D19" s="19">
        <v>41730</v>
      </c>
    </row>
    <row r="20" spans="1:4" ht="18" customHeight="1" x14ac:dyDescent="0.3">
      <c r="A20" s="10" t="s">
        <v>95</v>
      </c>
      <c r="B20" s="14" t="s">
        <v>101</v>
      </c>
      <c r="C20" s="30">
        <f>'APU O.G'!E445</f>
        <v>9763</v>
      </c>
      <c r="D20" s="19">
        <f>D19+29330</f>
        <v>71060</v>
      </c>
    </row>
    <row r="21" spans="1:4" ht="18" customHeight="1" x14ac:dyDescent="0.3">
      <c r="A21" s="10" t="s">
        <v>96</v>
      </c>
      <c r="B21" s="14" t="s">
        <v>68</v>
      </c>
      <c r="C21" s="30">
        <f>'APU O.G'!E476</f>
        <v>77302.777777777781</v>
      </c>
    </row>
    <row r="22" spans="1:4" ht="18" customHeight="1" x14ac:dyDescent="0.3">
      <c r="A22" s="33"/>
      <c r="B22" s="33"/>
      <c r="C22" s="33"/>
    </row>
    <row r="23" spans="1:4" ht="19.2" customHeight="1" x14ac:dyDescent="0.3">
      <c r="A23" s="35">
        <v>5</v>
      </c>
      <c r="B23" s="36" t="s">
        <v>75</v>
      </c>
      <c r="C23" s="31">
        <f>SUM(C24:C27)</f>
        <v>461302</v>
      </c>
      <c r="D23" s="34"/>
    </row>
    <row r="24" spans="1:4" ht="18" customHeight="1" x14ac:dyDescent="0.3">
      <c r="A24" s="10" t="s">
        <v>102</v>
      </c>
      <c r="B24" s="14" t="s">
        <v>105</v>
      </c>
      <c r="C24" s="29">
        <f>'APU O.G'!E273</f>
        <v>75200</v>
      </c>
    </row>
    <row r="25" spans="1:4" ht="18" customHeight="1" x14ac:dyDescent="0.3">
      <c r="A25" s="10" t="s">
        <v>107</v>
      </c>
      <c r="B25" s="14" t="s">
        <v>104</v>
      </c>
      <c r="C25" s="30">
        <f>'APU O.G'!E303</f>
        <v>91102</v>
      </c>
    </row>
    <row r="26" spans="1:4" ht="18" customHeight="1" x14ac:dyDescent="0.3">
      <c r="A26" s="10" t="s">
        <v>108</v>
      </c>
      <c r="B26" s="14" t="s">
        <v>106</v>
      </c>
      <c r="C26" s="30">
        <v>250000</v>
      </c>
    </row>
    <row r="27" spans="1:4" ht="18" customHeight="1" x14ac:dyDescent="0.3">
      <c r="A27" s="10" t="s">
        <v>109</v>
      </c>
      <c r="B27" s="14" t="s">
        <v>110</v>
      </c>
      <c r="C27" s="30">
        <v>45000</v>
      </c>
    </row>
  </sheetData>
  <mergeCells count="1">
    <mergeCell ref="A1:C1"/>
  </mergeCells>
  <phoneticPr fontId="11" type="noConversion"/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435-B245-46C2-B0FC-23FBC4F9AD4C}">
  <dimension ref="A2:E617"/>
  <sheetViews>
    <sheetView tabSelected="1" workbookViewId="0">
      <selection activeCell="E114" sqref="A87:E114"/>
    </sheetView>
  </sheetViews>
  <sheetFormatPr baseColWidth="10" defaultRowHeight="14.4" x14ac:dyDescent="0.3"/>
  <cols>
    <col min="1" max="1" width="37.44140625" customWidth="1"/>
    <col min="2" max="2" width="12.109375" customWidth="1"/>
    <col min="3" max="5" width="18.6640625" customWidth="1"/>
  </cols>
  <sheetData>
    <row r="2" spans="1:5" x14ac:dyDescent="0.3">
      <c r="A2" s="49" t="s">
        <v>0</v>
      </c>
      <c r="B2" s="50"/>
      <c r="C2" s="50"/>
      <c r="D2" s="50"/>
      <c r="E2" s="50"/>
    </row>
    <row r="3" spans="1:5" x14ac:dyDescent="0.3">
      <c r="A3" s="4"/>
      <c r="B3" s="5"/>
      <c r="C3" s="5"/>
      <c r="D3" s="5"/>
      <c r="E3" s="5"/>
    </row>
    <row r="4" spans="1:5" x14ac:dyDescent="0.3">
      <c r="A4" s="1" t="s">
        <v>174</v>
      </c>
      <c r="B4" s="2"/>
      <c r="C4" s="2"/>
      <c r="D4" s="2"/>
      <c r="E4" s="2"/>
    </row>
    <row r="5" spans="1:5" x14ac:dyDescent="0.3">
      <c r="A5" s="4"/>
      <c r="B5" s="5"/>
      <c r="C5" s="5"/>
      <c r="D5" s="5"/>
      <c r="E5" s="5"/>
    </row>
    <row r="6" spans="1:5" x14ac:dyDescent="0.3">
      <c r="A6" s="51" t="s">
        <v>123</v>
      </c>
      <c r="B6" s="52"/>
      <c r="C6" s="52"/>
      <c r="D6" s="6" t="s">
        <v>3</v>
      </c>
      <c r="E6" s="6" t="s">
        <v>116</v>
      </c>
    </row>
    <row r="7" spans="1:5" x14ac:dyDescent="0.3">
      <c r="A7" s="53"/>
      <c r="B7" s="44"/>
      <c r="C7" s="44"/>
      <c r="D7" s="8" t="s">
        <v>5</v>
      </c>
      <c r="E7" s="8" t="s">
        <v>6</v>
      </c>
    </row>
    <row r="8" spans="1:5" x14ac:dyDescent="0.3">
      <c r="A8" s="47" t="s">
        <v>7</v>
      </c>
      <c r="B8" s="48"/>
      <c r="C8" s="48"/>
      <c r="D8" s="48"/>
      <c r="E8" s="48"/>
    </row>
    <row r="9" spans="1:5" x14ac:dyDescent="0.3">
      <c r="A9" s="9" t="s">
        <v>8</v>
      </c>
      <c r="B9" s="9" t="s">
        <v>5</v>
      </c>
      <c r="C9" s="9" t="s">
        <v>9</v>
      </c>
      <c r="D9" s="9" t="s">
        <v>10</v>
      </c>
      <c r="E9" s="9" t="s">
        <v>11</v>
      </c>
    </row>
    <row r="10" spans="1:5" x14ac:dyDescent="0.3">
      <c r="A10" s="10" t="s">
        <v>12</v>
      </c>
      <c r="B10" s="10" t="s">
        <v>13</v>
      </c>
      <c r="C10" s="11">
        <v>0.1</v>
      </c>
      <c r="D10" s="12">
        <f>E28</f>
        <v>3611.1111111111113</v>
      </c>
      <c r="E10" s="12">
        <f>C10*D10</f>
        <v>361.11111111111114</v>
      </c>
    </row>
    <row r="11" spans="1:5" x14ac:dyDescent="0.3">
      <c r="A11" s="10"/>
      <c r="B11" s="10"/>
      <c r="C11" s="10"/>
      <c r="D11" s="12"/>
      <c r="E11" s="12"/>
    </row>
    <row r="12" spans="1:5" x14ac:dyDescent="0.3">
      <c r="A12" s="45" t="s">
        <v>14</v>
      </c>
      <c r="B12" s="46"/>
      <c r="C12" s="46"/>
      <c r="D12" s="46"/>
      <c r="E12" s="13">
        <f>SUM(E10:E10)</f>
        <v>361.11111111111114</v>
      </c>
    </row>
    <row r="13" spans="1:5" x14ac:dyDescent="0.3">
      <c r="A13" s="47" t="s">
        <v>15</v>
      </c>
      <c r="B13" s="48"/>
      <c r="C13" s="48"/>
      <c r="D13" s="48"/>
      <c r="E13" s="48"/>
    </row>
    <row r="14" spans="1:5" x14ac:dyDescent="0.3">
      <c r="A14" s="9" t="s">
        <v>8</v>
      </c>
      <c r="B14" s="9" t="s">
        <v>5</v>
      </c>
      <c r="C14" s="9" t="s">
        <v>16</v>
      </c>
      <c r="D14" s="9" t="s">
        <v>17</v>
      </c>
      <c r="E14" s="9" t="s">
        <v>11</v>
      </c>
    </row>
    <row r="15" spans="1:5" x14ac:dyDescent="0.3">
      <c r="A15" s="14"/>
      <c r="B15" s="10"/>
      <c r="C15" s="15"/>
      <c r="D15" s="12"/>
      <c r="E15" s="12"/>
    </row>
    <row r="16" spans="1:5" x14ac:dyDescent="0.3">
      <c r="A16" s="17" t="s">
        <v>18</v>
      </c>
      <c r="B16" s="43"/>
      <c r="C16" s="44"/>
      <c r="D16" s="44"/>
      <c r="E16" s="12">
        <f>SUM(E15:E15)*0.02</f>
        <v>0</v>
      </c>
    </row>
    <row r="17" spans="1:5" x14ac:dyDescent="0.3">
      <c r="A17" s="17"/>
      <c r="B17" s="18"/>
      <c r="C17" s="7"/>
      <c r="D17" s="7"/>
      <c r="E17" s="12"/>
    </row>
    <row r="18" spans="1:5" x14ac:dyDescent="0.3">
      <c r="A18" s="45" t="s">
        <v>14</v>
      </c>
      <c r="B18" s="46"/>
      <c r="C18" s="46"/>
      <c r="D18" s="46"/>
      <c r="E18" s="13">
        <f>SUM(E15:E16)</f>
        <v>0</v>
      </c>
    </row>
    <row r="19" spans="1:5" x14ac:dyDescent="0.3">
      <c r="A19" s="47" t="s">
        <v>19</v>
      </c>
      <c r="B19" s="48"/>
      <c r="C19" s="48"/>
      <c r="D19" s="48"/>
      <c r="E19" s="48"/>
    </row>
    <row r="20" spans="1:5" x14ac:dyDescent="0.3">
      <c r="A20" s="9" t="s">
        <v>8</v>
      </c>
      <c r="B20" s="9" t="s">
        <v>5</v>
      </c>
      <c r="C20" s="9" t="s">
        <v>9</v>
      </c>
      <c r="D20" s="9" t="s">
        <v>10</v>
      </c>
      <c r="E20" s="9" t="s">
        <v>11</v>
      </c>
    </row>
    <row r="21" spans="1:5" x14ac:dyDescent="0.3">
      <c r="A21" s="14" t="s">
        <v>20</v>
      </c>
      <c r="B21" s="10" t="s">
        <v>21</v>
      </c>
      <c r="C21" s="11">
        <v>0</v>
      </c>
      <c r="D21" s="12">
        <v>0</v>
      </c>
      <c r="E21" s="12">
        <v>0</v>
      </c>
    </row>
    <row r="22" spans="1:5" x14ac:dyDescent="0.3">
      <c r="A22" s="14"/>
      <c r="B22" s="10"/>
      <c r="C22" s="11"/>
      <c r="D22" s="12"/>
      <c r="E22" s="12"/>
    </row>
    <row r="23" spans="1:5" x14ac:dyDescent="0.3">
      <c r="A23" s="45" t="s">
        <v>14</v>
      </c>
      <c r="B23" s="46"/>
      <c r="C23" s="46"/>
      <c r="D23" s="46"/>
      <c r="E23" s="13">
        <f>SUM(E21)</f>
        <v>0</v>
      </c>
    </row>
    <row r="24" spans="1:5" x14ac:dyDescent="0.3">
      <c r="A24" s="47" t="s">
        <v>22</v>
      </c>
      <c r="B24" s="48"/>
      <c r="C24" s="48"/>
      <c r="D24" s="48"/>
      <c r="E24" s="48"/>
    </row>
    <row r="25" spans="1:5" x14ac:dyDescent="0.3">
      <c r="A25" s="9" t="s">
        <v>8</v>
      </c>
      <c r="B25" s="9" t="s">
        <v>5</v>
      </c>
      <c r="C25" s="9" t="s">
        <v>9</v>
      </c>
      <c r="D25" s="9" t="s">
        <v>23</v>
      </c>
      <c r="E25" s="9" t="s">
        <v>11</v>
      </c>
    </row>
    <row r="26" spans="1:5" x14ac:dyDescent="0.3">
      <c r="A26" s="14" t="s">
        <v>24</v>
      </c>
      <c r="B26" s="10" t="s">
        <v>21</v>
      </c>
      <c r="C26" s="11">
        <v>36</v>
      </c>
      <c r="D26" s="12">
        <v>130000</v>
      </c>
      <c r="E26" s="12">
        <f>D26/C26</f>
        <v>3611.1111111111113</v>
      </c>
    </row>
    <row r="27" spans="1:5" x14ac:dyDescent="0.3">
      <c r="A27" s="14"/>
      <c r="B27" s="10"/>
      <c r="C27" s="11"/>
      <c r="D27" s="12"/>
      <c r="E27" s="12"/>
    </row>
    <row r="28" spans="1:5" x14ac:dyDescent="0.3">
      <c r="A28" s="45" t="s">
        <v>14</v>
      </c>
      <c r="B28" s="46"/>
      <c r="C28" s="46"/>
      <c r="D28" s="46"/>
      <c r="E28" s="13">
        <f>SUM(E26)</f>
        <v>3611.1111111111113</v>
      </c>
    </row>
    <row r="29" spans="1:5" x14ac:dyDescent="0.3">
      <c r="A29" s="14"/>
      <c r="B29" s="10"/>
      <c r="C29" s="11"/>
      <c r="D29" s="12"/>
      <c r="E29" s="12"/>
    </row>
    <row r="30" spans="1:5" x14ac:dyDescent="0.3">
      <c r="A30" s="51" t="s">
        <v>82</v>
      </c>
      <c r="B30" s="52"/>
      <c r="C30" s="52"/>
      <c r="D30" s="6" t="s">
        <v>3</v>
      </c>
      <c r="E30" s="6" t="s">
        <v>117</v>
      </c>
    </row>
    <row r="31" spans="1:5" x14ac:dyDescent="0.3">
      <c r="A31" s="53"/>
      <c r="B31" s="44"/>
      <c r="C31" s="44"/>
      <c r="D31" s="8" t="s">
        <v>5</v>
      </c>
      <c r="E31" s="8" t="s">
        <v>6</v>
      </c>
    </row>
    <row r="32" spans="1:5" x14ac:dyDescent="0.3">
      <c r="A32" s="47" t="s">
        <v>7</v>
      </c>
      <c r="B32" s="48"/>
      <c r="C32" s="48"/>
      <c r="D32" s="48"/>
      <c r="E32" s="48"/>
    </row>
    <row r="33" spans="1:5" x14ac:dyDescent="0.3">
      <c r="A33" s="9" t="s">
        <v>8</v>
      </c>
      <c r="B33" s="9" t="s">
        <v>5</v>
      </c>
      <c r="C33" s="9" t="s">
        <v>9</v>
      </c>
      <c r="D33" s="9" t="s">
        <v>10</v>
      </c>
      <c r="E33" s="9" t="s">
        <v>11</v>
      </c>
    </row>
    <row r="34" spans="1:5" x14ac:dyDescent="0.3">
      <c r="A34" s="10" t="s">
        <v>12</v>
      </c>
      <c r="B34" s="10" t="s">
        <v>13</v>
      </c>
      <c r="C34" s="11">
        <v>0.25</v>
      </c>
      <c r="D34" s="12">
        <f>E54</f>
        <v>7000</v>
      </c>
      <c r="E34" s="12">
        <f>C34*D34</f>
        <v>1750</v>
      </c>
    </row>
    <row r="35" spans="1:5" x14ac:dyDescent="0.3">
      <c r="A35" s="10"/>
      <c r="B35" s="10"/>
      <c r="C35" s="10"/>
      <c r="D35" s="12"/>
      <c r="E35" s="12"/>
    </row>
    <row r="36" spans="1:5" x14ac:dyDescent="0.3">
      <c r="A36" s="45" t="s">
        <v>14</v>
      </c>
      <c r="B36" s="46"/>
      <c r="C36" s="46"/>
      <c r="D36" s="46"/>
      <c r="E36" s="13">
        <f>SUM(E34:E34)</f>
        <v>1750</v>
      </c>
    </row>
    <row r="37" spans="1:5" x14ac:dyDescent="0.3">
      <c r="A37" s="47" t="s">
        <v>15</v>
      </c>
      <c r="B37" s="48"/>
      <c r="C37" s="48"/>
      <c r="D37" s="48"/>
      <c r="E37" s="48"/>
    </row>
    <row r="38" spans="1:5" x14ac:dyDescent="0.3">
      <c r="A38" s="9" t="s">
        <v>8</v>
      </c>
      <c r="B38" s="9" t="s">
        <v>5</v>
      </c>
      <c r="C38" s="9" t="s">
        <v>16</v>
      </c>
      <c r="D38" s="9" t="s">
        <v>17</v>
      </c>
      <c r="E38" s="9" t="s">
        <v>11</v>
      </c>
    </row>
    <row r="39" spans="1:5" x14ac:dyDescent="0.3">
      <c r="A39" s="14" t="s">
        <v>81</v>
      </c>
      <c r="B39" s="10" t="s">
        <v>28</v>
      </c>
      <c r="C39" s="20">
        <v>0.06</v>
      </c>
      <c r="D39" s="12">
        <v>511000</v>
      </c>
      <c r="E39" s="12">
        <f>C39*D39</f>
        <v>30660</v>
      </c>
    </row>
    <row r="40" spans="1:5" x14ac:dyDescent="0.3">
      <c r="A40" s="14" t="s">
        <v>83</v>
      </c>
      <c r="B40" s="10" t="s">
        <v>43</v>
      </c>
      <c r="C40" s="20">
        <v>0.02</v>
      </c>
      <c r="D40" s="12">
        <v>56000</v>
      </c>
      <c r="E40" s="12">
        <f t="shared" ref="E40:E41" si="0">C40*D40</f>
        <v>1120</v>
      </c>
    </row>
    <row r="41" spans="1:5" x14ac:dyDescent="0.3">
      <c r="A41" s="14"/>
      <c r="B41" s="10"/>
      <c r="C41" s="16"/>
      <c r="D41" s="12"/>
      <c r="E41" s="12">
        <f t="shared" si="0"/>
        <v>0</v>
      </c>
    </row>
    <row r="42" spans="1:5" x14ac:dyDescent="0.3">
      <c r="A42" s="17" t="s">
        <v>18</v>
      </c>
      <c r="B42" s="43"/>
      <c r="C42" s="44"/>
      <c r="D42" s="44"/>
      <c r="E42" s="12">
        <v>0</v>
      </c>
    </row>
    <row r="43" spans="1:5" x14ac:dyDescent="0.3">
      <c r="A43" s="17"/>
      <c r="B43" s="18"/>
      <c r="C43" s="7"/>
      <c r="D43" s="7"/>
      <c r="E43" s="12"/>
    </row>
    <row r="44" spans="1:5" x14ac:dyDescent="0.3">
      <c r="A44" s="45" t="s">
        <v>14</v>
      </c>
      <c r="B44" s="46"/>
      <c r="C44" s="46"/>
      <c r="D44" s="46"/>
      <c r="E44" s="13">
        <f>SUM(E39:E42)</f>
        <v>31780</v>
      </c>
    </row>
    <row r="45" spans="1:5" x14ac:dyDescent="0.3">
      <c r="A45" s="47" t="s">
        <v>19</v>
      </c>
      <c r="B45" s="48"/>
      <c r="C45" s="48"/>
      <c r="D45" s="48"/>
      <c r="E45" s="48"/>
    </row>
    <row r="46" spans="1:5" x14ac:dyDescent="0.3">
      <c r="A46" s="9" t="s">
        <v>8</v>
      </c>
      <c r="B46" s="9" t="s">
        <v>5</v>
      </c>
      <c r="C46" s="9" t="s">
        <v>9</v>
      </c>
      <c r="D46" s="9" t="s">
        <v>10</v>
      </c>
      <c r="E46" s="9" t="s">
        <v>11</v>
      </c>
    </row>
    <row r="47" spans="1:5" x14ac:dyDescent="0.3">
      <c r="A47" s="14" t="s">
        <v>20</v>
      </c>
      <c r="B47" s="10" t="s">
        <v>21</v>
      </c>
      <c r="C47" s="11">
        <v>0.02</v>
      </c>
      <c r="D47" s="12">
        <v>60000</v>
      </c>
      <c r="E47" s="12">
        <f>D47*C47</f>
        <v>1200</v>
      </c>
    </row>
    <row r="48" spans="1:5" x14ac:dyDescent="0.3">
      <c r="A48" s="14"/>
      <c r="B48" s="10"/>
      <c r="C48" s="11"/>
      <c r="D48" s="12"/>
      <c r="E48" s="12"/>
    </row>
    <row r="49" spans="1:5" x14ac:dyDescent="0.3">
      <c r="A49" s="45" t="s">
        <v>14</v>
      </c>
      <c r="B49" s="46"/>
      <c r="C49" s="46"/>
      <c r="D49" s="46"/>
      <c r="E49" s="13">
        <f>SUM(E47)</f>
        <v>1200</v>
      </c>
    </row>
    <row r="50" spans="1:5" x14ac:dyDescent="0.3">
      <c r="A50" s="47" t="s">
        <v>22</v>
      </c>
      <c r="B50" s="48"/>
      <c r="C50" s="48"/>
      <c r="D50" s="48"/>
      <c r="E50" s="48"/>
    </row>
    <row r="51" spans="1:5" x14ac:dyDescent="0.3">
      <c r="A51" s="9" t="s">
        <v>8</v>
      </c>
      <c r="B51" s="9" t="s">
        <v>5</v>
      </c>
      <c r="C51" s="9" t="s">
        <v>9</v>
      </c>
      <c r="D51" s="9" t="s">
        <v>23</v>
      </c>
      <c r="E51" s="9" t="s">
        <v>11</v>
      </c>
    </row>
    <row r="52" spans="1:5" x14ac:dyDescent="0.3">
      <c r="A52" s="14" t="s">
        <v>32</v>
      </c>
      <c r="B52" s="10" t="s">
        <v>21</v>
      </c>
      <c r="C52" s="11">
        <v>30</v>
      </c>
      <c r="D52" s="12">
        <v>210000</v>
      </c>
      <c r="E52" s="12">
        <f>D52/C52</f>
        <v>7000</v>
      </c>
    </row>
    <row r="53" spans="1:5" x14ac:dyDescent="0.3">
      <c r="A53" s="14"/>
      <c r="B53" s="10"/>
      <c r="C53" s="11"/>
      <c r="D53" s="12"/>
      <c r="E53" s="12"/>
    </row>
    <row r="54" spans="1:5" x14ac:dyDescent="0.3">
      <c r="A54" s="45" t="s">
        <v>14</v>
      </c>
      <c r="B54" s="46"/>
      <c r="C54" s="46"/>
      <c r="D54" s="46"/>
      <c r="E54" s="13">
        <f>SUM(E52)</f>
        <v>7000</v>
      </c>
    </row>
    <row r="55" spans="1:5" x14ac:dyDescent="0.3">
      <c r="A55" s="10"/>
      <c r="B55" s="7"/>
      <c r="C55" s="7"/>
      <c r="D55" s="7"/>
      <c r="E55" s="7"/>
    </row>
    <row r="56" spans="1:5" x14ac:dyDescent="0.3">
      <c r="A56" s="45" t="s">
        <v>25</v>
      </c>
      <c r="B56" s="46"/>
      <c r="C56" s="46"/>
      <c r="D56" s="46"/>
      <c r="E56" s="13">
        <f>SUM(E36,E44,E49,E54)</f>
        <v>41730</v>
      </c>
    </row>
    <row r="57" spans="1:5" x14ac:dyDescent="0.3">
      <c r="A57" s="10"/>
      <c r="B57" s="7"/>
      <c r="C57" s="7"/>
      <c r="D57" s="7"/>
      <c r="E57" s="7"/>
    </row>
    <row r="58" spans="1:5" x14ac:dyDescent="0.3">
      <c r="A58" s="56" t="s">
        <v>120</v>
      </c>
      <c r="B58" s="57"/>
      <c r="C58" s="57"/>
      <c r="D58" s="39" t="s">
        <v>3</v>
      </c>
      <c r="E58" s="39" t="s">
        <v>118</v>
      </c>
    </row>
    <row r="59" spans="1:5" x14ac:dyDescent="0.3">
      <c r="A59" s="53"/>
      <c r="B59" s="44"/>
      <c r="C59" s="44"/>
      <c r="D59" s="8" t="s">
        <v>5</v>
      </c>
      <c r="E59" s="8" t="s">
        <v>51</v>
      </c>
    </row>
    <row r="60" spans="1:5" x14ac:dyDescent="0.3">
      <c r="A60" s="47" t="s">
        <v>7</v>
      </c>
      <c r="B60" s="48"/>
      <c r="C60" s="48"/>
      <c r="D60" s="48"/>
      <c r="E60" s="48"/>
    </row>
    <row r="61" spans="1:5" x14ac:dyDescent="0.3">
      <c r="A61" s="9" t="s">
        <v>8</v>
      </c>
      <c r="B61" s="9" t="s">
        <v>5</v>
      </c>
      <c r="C61" s="9" t="s">
        <v>9</v>
      </c>
      <c r="D61" s="9" t="s">
        <v>10</v>
      </c>
      <c r="E61" s="9" t="s">
        <v>11</v>
      </c>
    </row>
    <row r="62" spans="1:5" x14ac:dyDescent="0.3">
      <c r="A62" s="14" t="s">
        <v>12</v>
      </c>
      <c r="B62" s="10" t="s">
        <v>13</v>
      </c>
      <c r="C62" s="11">
        <v>0.1</v>
      </c>
      <c r="D62" s="12">
        <f>E83</f>
        <v>8666.6666666666661</v>
      </c>
      <c r="E62" s="12">
        <f>C62*D62</f>
        <v>866.66666666666663</v>
      </c>
    </row>
    <row r="63" spans="1:5" x14ac:dyDescent="0.3">
      <c r="A63" s="14" t="s">
        <v>114</v>
      </c>
      <c r="B63" s="10" t="s">
        <v>13</v>
      </c>
      <c r="C63" s="11">
        <v>0.1</v>
      </c>
      <c r="D63" s="12">
        <v>25000</v>
      </c>
      <c r="E63" s="12">
        <f>C63*D63</f>
        <v>2500</v>
      </c>
    </row>
    <row r="64" spans="1:5" x14ac:dyDescent="0.3">
      <c r="A64" s="10"/>
      <c r="B64" s="10"/>
      <c r="C64" s="10"/>
      <c r="D64" s="12"/>
      <c r="E64" s="12"/>
    </row>
    <row r="65" spans="1:5" x14ac:dyDescent="0.3">
      <c r="A65" s="45" t="s">
        <v>14</v>
      </c>
      <c r="B65" s="46"/>
      <c r="C65" s="46"/>
      <c r="D65" s="46"/>
      <c r="E65" s="13">
        <f>SUM(E62:E63)</f>
        <v>3366.6666666666665</v>
      </c>
    </row>
    <row r="66" spans="1:5" x14ac:dyDescent="0.3">
      <c r="A66" s="47" t="s">
        <v>15</v>
      </c>
      <c r="B66" s="48"/>
      <c r="C66" s="48"/>
      <c r="D66" s="48"/>
      <c r="E66" s="48"/>
    </row>
    <row r="67" spans="1:5" x14ac:dyDescent="0.3">
      <c r="A67" s="9" t="s">
        <v>8</v>
      </c>
      <c r="B67" s="9" t="s">
        <v>5</v>
      </c>
      <c r="C67" s="9" t="s">
        <v>16</v>
      </c>
      <c r="D67" s="9" t="s">
        <v>17</v>
      </c>
      <c r="E67" s="9" t="s">
        <v>11</v>
      </c>
    </row>
    <row r="68" spans="1:5" x14ac:dyDescent="0.3">
      <c r="A68" s="14" t="s">
        <v>111</v>
      </c>
      <c r="B68" s="10" t="s">
        <v>35</v>
      </c>
      <c r="C68" s="16">
        <v>2</v>
      </c>
      <c r="D68" s="12">
        <v>59540</v>
      </c>
      <c r="E68" s="12">
        <f>C68*D68</f>
        <v>119080</v>
      </c>
    </row>
    <row r="69" spans="1:5" x14ac:dyDescent="0.3">
      <c r="A69" s="14" t="s">
        <v>36</v>
      </c>
      <c r="B69" s="10" t="s">
        <v>6</v>
      </c>
      <c r="C69" s="16">
        <v>1.4999999999999999E-2</v>
      </c>
      <c r="D69" s="12">
        <v>100000</v>
      </c>
      <c r="E69" s="12">
        <f>C69*D69</f>
        <v>1500</v>
      </c>
    </row>
    <row r="70" spans="1:5" x14ac:dyDescent="0.3">
      <c r="A70" s="14"/>
      <c r="B70" s="10"/>
      <c r="C70" s="16"/>
      <c r="D70" s="12"/>
      <c r="E70" s="12"/>
    </row>
    <row r="71" spans="1:5" x14ac:dyDescent="0.3">
      <c r="A71" s="17" t="s">
        <v>18</v>
      </c>
      <c r="B71" s="43"/>
      <c r="C71" s="44"/>
      <c r="D71" s="44"/>
      <c r="E71" s="12">
        <f>SUM(E68:E69)*0.02</f>
        <v>2411.6</v>
      </c>
    </row>
    <row r="72" spans="1:5" x14ac:dyDescent="0.3">
      <c r="A72" s="17"/>
      <c r="B72" s="18"/>
      <c r="C72" s="7"/>
      <c r="D72" s="7"/>
      <c r="E72" s="12"/>
    </row>
    <row r="73" spans="1:5" x14ac:dyDescent="0.3">
      <c r="A73" s="45" t="s">
        <v>14</v>
      </c>
      <c r="B73" s="46"/>
      <c r="C73" s="46"/>
      <c r="D73" s="46"/>
      <c r="E73" s="13">
        <f>SUM(E68:E71)</f>
        <v>122991.6</v>
      </c>
    </row>
    <row r="74" spans="1:5" x14ac:dyDescent="0.3">
      <c r="A74" s="47" t="s">
        <v>19</v>
      </c>
      <c r="B74" s="48"/>
      <c r="C74" s="48"/>
      <c r="D74" s="48"/>
      <c r="E74" s="48"/>
    </row>
    <row r="75" spans="1:5" x14ac:dyDescent="0.3">
      <c r="A75" s="9" t="s">
        <v>8</v>
      </c>
      <c r="B75" s="9" t="s">
        <v>5</v>
      </c>
      <c r="C75" s="9" t="s">
        <v>9</v>
      </c>
      <c r="D75" s="9" t="s">
        <v>10</v>
      </c>
      <c r="E75" s="9" t="s">
        <v>11</v>
      </c>
    </row>
    <row r="76" spans="1:5" x14ac:dyDescent="0.3">
      <c r="A76" s="14" t="s">
        <v>20</v>
      </c>
      <c r="B76" s="10" t="s">
        <v>21</v>
      </c>
      <c r="C76" s="11">
        <v>0.02</v>
      </c>
      <c r="D76" s="12">
        <v>45000</v>
      </c>
      <c r="E76" s="12">
        <f>D76*C76</f>
        <v>900</v>
      </c>
    </row>
    <row r="77" spans="1:5" x14ac:dyDescent="0.3">
      <c r="A77" s="14"/>
      <c r="B77" s="10"/>
      <c r="C77" s="11"/>
      <c r="D77" s="12"/>
      <c r="E77" s="12"/>
    </row>
    <row r="78" spans="1:5" x14ac:dyDescent="0.3">
      <c r="A78" s="45" t="s">
        <v>14</v>
      </c>
      <c r="B78" s="46"/>
      <c r="C78" s="46"/>
      <c r="D78" s="46"/>
      <c r="E78" s="13">
        <f>SUM(E76)</f>
        <v>900</v>
      </c>
    </row>
    <row r="79" spans="1:5" x14ac:dyDescent="0.3">
      <c r="A79" s="47" t="s">
        <v>22</v>
      </c>
      <c r="B79" s="48"/>
      <c r="C79" s="48"/>
      <c r="D79" s="48"/>
      <c r="E79" s="48"/>
    </row>
    <row r="80" spans="1:5" x14ac:dyDescent="0.3">
      <c r="A80" s="9" t="s">
        <v>8</v>
      </c>
      <c r="B80" s="9" t="s">
        <v>5</v>
      </c>
      <c r="C80" s="9" t="s">
        <v>9</v>
      </c>
      <c r="D80" s="9" t="s">
        <v>23</v>
      </c>
      <c r="E80" s="9" t="s">
        <v>11</v>
      </c>
    </row>
    <row r="81" spans="1:5" x14ac:dyDescent="0.3">
      <c r="A81" s="14" t="s">
        <v>24</v>
      </c>
      <c r="B81" s="10" t="s">
        <v>21</v>
      </c>
      <c r="C81" s="11">
        <v>15</v>
      </c>
      <c r="D81" s="12">
        <v>130000</v>
      </c>
      <c r="E81" s="12">
        <f>D81/C81</f>
        <v>8666.6666666666661</v>
      </c>
    </row>
    <row r="82" spans="1:5" x14ac:dyDescent="0.3">
      <c r="A82" s="14"/>
      <c r="B82" s="10"/>
      <c r="C82" s="11"/>
      <c r="D82" s="12"/>
      <c r="E82" s="12"/>
    </row>
    <row r="83" spans="1:5" x14ac:dyDescent="0.3">
      <c r="A83" s="45" t="s">
        <v>14</v>
      </c>
      <c r="B83" s="46"/>
      <c r="C83" s="46"/>
      <c r="D83" s="46"/>
      <c r="E83" s="13">
        <f>SUM(E81)</f>
        <v>8666.6666666666661</v>
      </c>
    </row>
    <row r="84" spans="1:5" x14ac:dyDescent="0.3">
      <c r="A84" s="10"/>
      <c r="B84" s="7"/>
      <c r="C84" s="7"/>
      <c r="D84" s="7"/>
      <c r="E84" s="7"/>
    </row>
    <row r="85" spans="1:5" x14ac:dyDescent="0.3">
      <c r="A85" s="45" t="s">
        <v>25</v>
      </c>
      <c r="B85" s="46"/>
      <c r="C85" s="46"/>
      <c r="D85" s="46"/>
      <c r="E85" s="13">
        <f>SUM(E65,E73,E78,E83)</f>
        <v>135924.93333333335</v>
      </c>
    </row>
    <row r="86" spans="1:5" x14ac:dyDescent="0.3">
      <c r="A86" s="10"/>
      <c r="B86" s="7"/>
      <c r="C86" s="7"/>
      <c r="D86" s="7"/>
      <c r="E86" s="7"/>
    </row>
    <row r="87" spans="1:5" x14ac:dyDescent="0.3">
      <c r="A87" s="56" t="s">
        <v>113</v>
      </c>
      <c r="B87" s="57"/>
      <c r="C87" s="57"/>
      <c r="D87" s="39" t="s">
        <v>3</v>
      </c>
      <c r="E87" s="39" t="s">
        <v>115</v>
      </c>
    </row>
    <row r="88" spans="1:5" x14ac:dyDescent="0.3">
      <c r="A88" s="53"/>
      <c r="B88" s="44"/>
      <c r="C88" s="44"/>
      <c r="D88" s="8" t="s">
        <v>5</v>
      </c>
      <c r="E88" s="8" t="s">
        <v>51</v>
      </c>
    </row>
    <row r="89" spans="1:5" x14ac:dyDescent="0.3">
      <c r="A89" s="47" t="s">
        <v>7</v>
      </c>
      <c r="B89" s="48"/>
      <c r="C89" s="48"/>
      <c r="D89" s="48"/>
      <c r="E89" s="48"/>
    </row>
    <row r="90" spans="1:5" x14ac:dyDescent="0.3">
      <c r="A90" s="9" t="s">
        <v>8</v>
      </c>
      <c r="B90" s="9" t="s">
        <v>5</v>
      </c>
      <c r="C90" s="9" t="s">
        <v>9</v>
      </c>
      <c r="D90" s="9" t="s">
        <v>10</v>
      </c>
      <c r="E90" s="9" t="s">
        <v>11</v>
      </c>
    </row>
    <row r="91" spans="1:5" x14ac:dyDescent="0.3">
      <c r="A91" s="14" t="s">
        <v>12</v>
      </c>
      <c r="B91" s="10" t="s">
        <v>13</v>
      </c>
      <c r="C91" s="11">
        <v>0.1</v>
      </c>
      <c r="D91" s="12">
        <f>E112</f>
        <v>8666.6666666666661</v>
      </c>
      <c r="E91" s="12">
        <f>C91*D91</f>
        <v>866.66666666666663</v>
      </c>
    </row>
    <row r="92" spans="1:5" x14ac:dyDescent="0.3">
      <c r="A92" s="14" t="s">
        <v>114</v>
      </c>
      <c r="B92" s="10" t="s">
        <v>13</v>
      </c>
      <c r="C92" s="11">
        <v>0.1</v>
      </c>
      <c r="D92" s="12">
        <v>25000</v>
      </c>
      <c r="E92" s="12">
        <f>C92*D92</f>
        <v>2500</v>
      </c>
    </row>
    <row r="93" spans="1:5" x14ac:dyDescent="0.3">
      <c r="A93" s="10"/>
      <c r="B93" s="10"/>
      <c r="C93" s="10"/>
      <c r="D93" s="12"/>
      <c r="E93" s="12"/>
    </row>
    <row r="94" spans="1:5" x14ac:dyDescent="0.3">
      <c r="A94" s="45" t="s">
        <v>14</v>
      </c>
      <c r="B94" s="46"/>
      <c r="C94" s="46"/>
      <c r="D94" s="46"/>
      <c r="E94" s="13">
        <f>SUM(E91:E92)</f>
        <v>3366.6666666666665</v>
      </c>
    </row>
    <row r="95" spans="1:5" x14ac:dyDescent="0.3">
      <c r="A95" s="47" t="s">
        <v>15</v>
      </c>
      <c r="B95" s="48"/>
      <c r="C95" s="48"/>
      <c r="D95" s="48"/>
      <c r="E95" s="48"/>
    </row>
    <row r="96" spans="1:5" x14ac:dyDescent="0.3">
      <c r="A96" s="9" t="s">
        <v>8</v>
      </c>
      <c r="B96" s="9" t="s">
        <v>5</v>
      </c>
      <c r="C96" s="9" t="s">
        <v>16</v>
      </c>
      <c r="D96" s="9" t="s">
        <v>17</v>
      </c>
      <c r="E96" s="9" t="s">
        <v>11</v>
      </c>
    </row>
    <row r="97" spans="1:5" x14ac:dyDescent="0.3">
      <c r="A97" s="14" t="s">
        <v>112</v>
      </c>
      <c r="B97" s="10" t="s">
        <v>35</v>
      </c>
      <c r="C97" s="16">
        <v>1.5</v>
      </c>
      <c r="D97" s="12">
        <v>50090.631808278857</v>
      </c>
      <c r="E97" s="12">
        <f>C97*D97</f>
        <v>75135.947712418289</v>
      </c>
    </row>
    <row r="98" spans="1:5" x14ac:dyDescent="0.3">
      <c r="A98" s="14" t="s">
        <v>36</v>
      </c>
      <c r="B98" s="10" t="s">
        <v>6</v>
      </c>
      <c r="C98" s="16">
        <v>1.4999999999999999E-2</v>
      </c>
      <c r="D98" s="12">
        <v>100000</v>
      </c>
      <c r="E98" s="12">
        <f>C98*D98</f>
        <v>1500</v>
      </c>
    </row>
    <row r="99" spans="1:5" x14ac:dyDescent="0.3">
      <c r="A99" s="14"/>
      <c r="B99" s="10"/>
      <c r="C99" s="16"/>
      <c r="D99" s="12"/>
      <c r="E99" s="12"/>
    </row>
    <row r="100" spans="1:5" x14ac:dyDescent="0.3">
      <c r="A100" s="17" t="s">
        <v>18</v>
      </c>
      <c r="B100" s="43"/>
      <c r="C100" s="44"/>
      <c r="D100" s="44"/>
      <c r="E100" s="12">
        <f>SUM(E97:E98)*0.02</f>
        <v>1532.7189542483659</v>
      </c>
    </row>
    <row r="101" spans="1:5" x14ac:dyDescent="0.3">
      <c r="A101" s="17"/>
      <c r="B101" s="18"/>
      <c r="C101" s="7"/>
      <c r="D101" s="7"/>
      <c r="E101" s="12"/>
    </row>
    <row r="102" spans="1:5" x14ac:dyDescent="0.3">
      <c r="A102" s="45" t="s">
        <v>14</v>
      </c>
      <c r="B102" s="46"/>
      <c r="C102" s="46"/>
      <c r="D102" s="46"/>
      <c r="E102" s="13">
        <f>SUM(E97:E100)</f>
        <v>78168.666666666657</v>
      </c>
    </row>
    <row r="103" spans="1:5" x14ac:dyDescent="0.3">
      <c r="A103" s="47" t="s">
        <v>19</v>
      </c>
      <c r="B103" s="48"/>
      <c r="C103" s="48"/>
      <c r="D103" s="48"/>
      <c r="E103" s="48"/>
    </row>
    <row r="104" spans="1:5" x14ac:dyDescent="0.3">
      <c r="A104" s="9" t="s">
        <v>8</v>
      </c>
      <c r="B104" s="9" t="s">
        <v>5</v>
      </c>
      <c r="C104" s="9" t="s">
        <v>9</v>
      </c>
      <c r="D104" s="9" t="s">
        <v>10</v>
      </c>
      <c r="E104" s="9" t="s">
        <v>11</v>
      </c>
    </row>
    <row r="105" spans="1:5" x14ac:dyDescent="0.3">
      <c r="A105" s="14" t="s">
        <v>20</v>
      </c>
      <c r="B105" s="10" t="s">
        <v>21</v>
      </c>
      <c r="C105" s="11">
        <v>0.02</v>
      </c>
      <c r="D105" s="12">
        <v>45000</v>
      </c>
      <c r="E105" s="12">
        <f>D105*C105</f>
        <v>900</v>
      </c>
    </row>
    <row r="106" spans="1:5" x14ac:dyDescent="0.3">
      <c r="A106" s="14"/>
      <c r="B106" s="10"/>
      <c r="C106" s="11"/>
      <c r="D106" s="12"/>
      <c r="E106" s="12"/>
    </row>
    <row r="107" spans="1:5" x14ac:dyDescent="0.3">
      <c r="A107" s="45" t="s">
        <v>14</v>
      </c>
      <c r="B107" s="46"/>
      <c r="C107" s="46"/>
      <c r="D107" s="46"/>
      <c r="E107" s="13">
        <f>SUM(E105)</f>
        <v>900</v>
      </c>
    </row>
    <row r="108" spans="1:5" x14ac:dyDescent="0.3">
      <c r="A108" s="47" t="s">
        <v>22</v>
      </c>
      <c r="B108" s="48"/>
      <c r="C108" s="48"/>
      <c r="D108" s="48"/>
      <c r="E108" s="48"/>
    </row>
    <row r="109" spans="1:5" x14ac:dyDescent="0.3">
      <c r="A109" s="9" t="s">
        <v>8</v>
      </c>
      <c r="B109" s="9" t="s">
        <v>5</v>
      </c>
      <c r="C109" s="9" t="s">
        <v>9</v>
      </c>
      <c r="D109" s="9" t="s">
        <v>23</v>
      </c>
      <c r="E109" s="9" t="s">
        <v>11</v>
      </c>
    </row>
    <row r="110" spans="1:5" x14ac:dyDescent="0.3">
      <c r="A110" s="14" t="s">
        <v>24</v>
      </c>
      <c r="B110" s="10" t="s">
        <v>21</v>
      </c>
      <c r="C110" s="11">
        <v>15</v>
      </c>
      <c r="D110" s="12">
        <v>130000</v>
      </c>
      <c r="E110" s="12">
        <f>D110/C110</f>
        <v>8666.6666666666661</v>
      </c>
    </row>
    <row r="111" spans="1:5" x14ac:dyDescent="0.3">
      <c r="A111" s="14"/>
      <c r="B111" s="10"/>
      <c r="C111" s="11"/>
      <c r="D111" s="12"/>
      <c r="E111" s="12"/>
    </row>
    <row r="112" spans="1:5" x14ac:dyDescent="0.3">
      <c r="A112" s="45" t="s">
        <v>14</v>
      </c>
      <c r="B112" s="46"/>
      <c r="C112" s="46"/>
      <c r="D112" s="46"/>
      <c r="E112" s="13">
        <f>SUM(E110)</f>
        <v>8666.6666666666661</v>
      </c>
    </row>
    <row r="113" spans="1:5" x14ac:dyDescent="0.3">
      <c r="A113" s="10"/>
      <c r="B113" s="7"/>
      <c r="C113" s="7"/>
      <c r="D113" s="7"/>
      <c r="E113" s="7"/>
    </row>
    <row r="114" spans="1:5" x14ac:dyDescent="0.3">
      <c r="A114" s="45" t="s">
        <v>25</v>
      </c>
      <c r="B114" s="46"/>
      <c r="C114" s="46"/>
      <c r="D114" s="46"/>
      <c r="E114" s="13">
        <f>SUM(E94,E102,E107,E112)</f>
        <v>91102</v>
      </c>
    </row>
    <row r="116" spans="1:5" x14ac:dyDescent="0.3">
      <c r="A116" s="56" t="s">
        <v>120</v>
      </c>
      <c r="B116" s="56"/>
      <c r="C116" s="56"/>
      <c r="D116" s="39" t="s">
        <v>3</v>
      </c>
      <c r="E116" s="39" t="s">
        <v>4</v>
      </c>
    </row>
    <row r="117" spans="1:5" x14ac:dyDescent="0.3">
      <c r="A117" s="53"/>
      <c r="B117" s="53"/>
      <c r="C117" s="53"/>
      <c r="D117" s="8" t="s">
        <v>5</v>
      </c>
      <c r="E117" s="8" t="s">
        <v>51</v>
      </c>
    </row>
    <row r="118" spans="1:5" x14ac:dyDescent="0.3">
      <c r="A118" s="47" t="s">
        <v>7</v>
      </c>
      <c r="B118" s="47"/>
      <c r="C118" s="47"/>
      <c r="D118" s="47"/>
      <c r="E118" s="47"/>
    </row>
    <row r="119" spans="1:5" x14ac:dyDescent="0.3">
      <c r="A119" s="9" t="s">
        <v>8</v>
      </c>
      <c r="B119" s="9" t="s">
        <v>5</v>
      </c>
      <c r="C119" s="9" t="s">
        <v>9</v>
      </c>
      <c r="D119" s="9" t="s">
        <v>10</v>
      </c>
      <c r="E119" s="9" t="s">
        <v>11</v>
      </c>
    </row>
    <row r="120" spans="1:5" x14ac:dyDescent="0.3">
      <c r="A120" s="14" t="s">
        <v>12</v>
      </c>
      <c r="B120" s="10" t="s">
        <v>13</v>
      </c>
      <c r="C120" s="11">
        <v>0.1</v>
      </c>
      <c r="D120" s="12">
        <f>E141</f>
        <v>8666.6666666666661</v>
      </c>
      <c r="E120" s="12">
        <f>C120*D120</f>
        <v>866.66666666666663</v>
      </c>
    </row>
    <row r="121" spans="1:5" x14ac:dyDescent="0.3">
      <c r="A121" s="14" t="s">
        <v>114</v>
      </c>
      <c r="B121" s="10" t="s">
        <v>13</v>
      </c>
      <c r="C121" s="11">
        <v>0.1</v>
      </c>
      <c r="D121" s="12">
        <v>25000</v>
      </c>
      <c r="E121" s="12">
        <f>C121*D121</f>
        <v>2500</v>
      </c>
    </row>
    <row r="122" spans="1:5" x14ac:dyDescent="0.3">
      <c r="A122" s="10"/>
      <c r="B122" s="10"/>
      <c r="C122" s="10"/>
      <c r="D122" s="12"/>
      <c r="E122" s="12"/>
    </row>
    <row r="123" spans="1:5" x14ac:dyDescent="0.3">
      <c r="A123" s="45" t="s">
        <v>14</v>
      </c>
      <c r="B123" s="45"/>
      <c r="C123" s="45"/>
      <c r="D123" s="45"/>
      <c r="E123" s="13">
        <f>SUM(E120:E121)</f>
        <v>3366.6666666666665</v>
      </c>
    </row>
    <row r="124" spans="1:5" x14ac:dyDescent="0.3">
      <c r="A124" s="47" t="s">
        <v>15</v>
      </c>
      <c r="B124" s="47"/>
      <c r="C124" s="47"/>
      <c r="D124" s="47"/>
      <c r="E124" s="47"/>
    </row>
    <row r="125" spans="1:5" x14ac:dyDescent="0.3">
      <c r="A125" s="9" t="s">
        <v>8</v>
      </c>
      <c r="B125" s="9" t="s">
        <v>5</v>
      </c>
      <c r="C125" s="9" t="s">
        <v>16</v>
      </c>
      <c r="D125" s="9" t="s">
        <v>17</v>
      </c>
      <c r="E125" s="9" t="s">
        <v>11</v>
      </c>
    </row>
    <row r="126" spans="1:5" x14ac:dyDescent="0.3">
      <c r="A126" s="14" t="s">
        <v>111</v>
      </c>
      <c r="B126" s="10" t="s">
        <v>35</v>
      </c>
      <c r="C126" s="16">
        <v>2</v>
      </c>
      <c r="D126" s="12">
        <v>59540</v>
      </c>
      <c r="E126" s="12">
        <f>C126*D126</f>
        <v>119080</v>
      </c>
    </row>
    <row r="127" spans="1:5" x14ac:dyDescent="0.3">
      <c r="A127" s="14" t="s">
        <v>36</v>
      </c>
      <c r="B127" s="10" t="s">
        <v>6</v>
      </c>
      <c r="C127" s="16">
        <v>1.4999999999999999E-2</v>
      </c>
      <c r="D127" s="12">
        <v>100000</v>
      </c>
      <c r="E127" s="12">
        <f>C127*D127</f>
        <v>1500</v>
      </c>
    </row>
    <row r="128" spans="1:5" x14ac:dyDescent="0.3">
      <c r="A128" s="14"/>
      <c r="B128" s="10"/>
      <c r="C128" s="16"/>
      <c r="D128" s="12"/>
      <c r="E128" s="12"/>
    </row>
    <row r="129" spans="1:5" x14ac:dyDescent="0.3">
      <c r="A129" s="17" t="s">
        <v>18</v>
      </c>
      <c r="B129" s="43"/>
      <c r="C129" s="43"/>
      <c r="D129" s="43"/>
      <c r="E129" s="12">
        <f>SUM(E126:E127)*0.02</f>
        <v>2411.6</v>
      </c>
    </row>
    <row r="130" spans="1:5" x14ac:dyDescent="0.3">
      <c r="A130" s="17"/>
      <c r="B130" s="18"/>
      <c r="C130" s="7"/>
      <c r="D130" s="7"/>
      <c r="E130" s="12"/>
    </row>
    <row r="131" spans="1:5" x14ac:dyDescent="0.3">
      <c r="A131" s="45" t="s">
        <v>14</v>
      </c>
      <c r="B131" s="45"/>
      <c r="C131" s="45"/>
      <c r="D131" s="45"/>
      <c r="E131" s="13">
        <f>SUM(E126:E129)</f>
        <v>122991.6</v>
      </c>
    </row>
    <row r="132" spans="1:5" x14ac:dyDescent="0.3">
      <c r="A132" s="47" t="s">
        <v>19</v>
      </c>
      <c r="B132" s="47"/>
      <c r="C132" s="47"/>
      <c r="D132" s="47"/>
      <c r="E132" s="47"/>
    </row>
    <row r="133" spans="1:5" x14ac:dyDescent="0.3">
      <c r="A133" s="9" t="s">
        <v>8</v>
      </c>
      <c r="B133" s="9" t="s">
        <v>5</v>
      </c>
      <c r="C133" s="9" t="s">
        <v>9</v>
      </c>
      <c r="D133" s="9" t="s">
        <v>10</v>
      </c>
      <c r="E133" s="9" t="s">
        <v>11</v>
      </c>
    </row>
    <row r="134" spans="1:5" x14ac:dyDescent="0.3">
      <c r="A134" s="14" t="s">
        <v>20</v>
      </c>
      <c r="B134" s="10" t="s">
        <v>21</v>
      </c>
      <c r="C134" s="11">
        <v>0.02</v>
      </c>
      <c r="D134" s="12">
        <v>45000</v>
      </c>
      <c r="E134" s="12">
        <f>D134*C134</f>
        <v>900</v>
      </c>
    </row>
    <row r="135" spans="1:5" x14ac:dyDescent="0.3">
      <c r="A135" s="14"/>
      <c r="B135" s="10"/>
      <c r="C135" s="11"/>
      <c r="D135" s="12"/>
      <c r="E135" s="12"/>
    </row>
    <row r="136" spans="1:5" x14ac:dyDescent="0.3">
      <c r="A136" s="45" t="s">
        <v>14</v>
      </c>
      <c r="B136" s="45"/>
      <c r="C136" s="45"/>
      <c r="D136" s="45"/>
      <c r="E136" s="13">
        <f>SUM(E134)</f>
        <v>900</v>
      </c>
    </row>
    <row r="137" spans="1:5" x14ac:dyDescent="0.3">
      <c r="A137" s="47" t="s">
        <v>22</v>
      </c>
      <c r="B137" s="47"/>
      <c r="C137" s="47"/>
      <c r="D137" s="47"/>
      <c r="E137" s="47"/>
    </row>
    <row r="138" spans="1:5" x14ac:dyDescent="0.3">
      <c r="A138" s="9" t="s">
        <v>8</v>
      </c>
      <c r="B138" s="9" t="s">
        <v>5</v>
      </c>
      <c r="C138" s="9" t="s">
        <v>9</v>
      </c>
      <c r="D138" s="9" t="s">
        <v>23</v>
      </c>
      <c r="E138" s="9" t="s">
        <v>11</v>
      </c>
    </row>
    <row r="139" spans="1:5" x14ac:dyDescent="0.3">
      <c r="A139" s="14" t="s">
        <v>24</v>
      </c>
      <c r="B139" s="10" t="s">
        <v>21</v>
      </c>
      <c r="C139" s="11">
        <v>15</v>
      </c>
      <c r="D139" s="12">
        <v>130000</v>
      </c>
      <c r="E139" s="12">
        <f>D139/C139</f>
        <v>8666.6666666666661</v>
      </c>
    </row>
    <row r="140" spans="1:5" x14ac:dyDescent="0.3">
      <c r="A140" s="14"/>
      <c r="B140" s="10"/>
      <c r="C140" s="11"/>
      <c r="D140" s="12"/>
      <c r="E140" s="12"/>
    </row>
    <row r="141" spans="1:5" x14ac:dyDescent="0.3">
      <c r="A141" s="45" t="s">
        <v>14</v>
      </c>
      <c r="B141" s="45"/>
      <c r="C141" s="45"/>
      <c r="D141" s="45"/>
      <c r="E141" s="13">
        <f>SUM(E139)</f>
        <v>8666.6666666666661</v>
      </c>
    </row>
    <row r="142" spans="1:5" x14ac:dyDescent="0.3">
      <c r="A142" s="10"/>
      <c r="B142" s="7"/>
      <c r="C142" s="7"/>
      <c r="D142" s="7"/>
      <c r="E142" s="7"/>
    </row>
    <row r="143" spans="1:5" x14ac:dyDescent="0.3">
      <c r="A143" s="45" t="s">
        <v>25</v>
      </c>
      <c r="B143" s="45"/>
      <c r="C143" s="45"/>
      <c r="D143" s="45"/>
      <c r="E143" s="13">
        <f>SUM(E123,E131,E136,E141)</f>
        <v>135924.93333333335</v>
      </c>
    </row>
    <row r="145" spans="1:5" x14ac:dyDescent="0.3">
      <c r="A145" s="37" t="s">
        <v>175</v>
      </c>
      <c r="B145" s="38"/>
      <c r="C145" s="38"/>
      <c r="D145" s="38"/>
      <c r="E145" s="38"/>
    </row>
    <row r="147" spans="1:5" x14ac:dyDescent="0.3">
      <c r="A147" s="51" t="s">
        <v>128</v>
      </c>
      <c r="B147" s="52"/>
      <c r="C147" s="52"/>
      <c r="D147" s="6" t="s">
        <v>3</v>
      </c>
      <c r="E147" s="6" t="s">
        <v>116</v>
      </c>
    </row>
    <row r="148" spans="1:5" x14ac:dyDescent="0.3">
      <c r="A148" s="53"/>
      <c r="B148" s="44"/>
      <c r="C148" s="44"/>
      <c r="D148" s="8" t="s">
        <v>5</v>
      </c>
      <c r="E148" s="8" t="s">
        <v>6</v>
      </c>
    </row>
    <row r="149" spans="1:5" x14ac:dyDescent="0.3">
      <c r="A149" s="47" t="s">
        <v>7</v>
      </c>
      <c r="B149" s="48"/>
      <c r="C149" s="48"/>
      <c r="D149" s="48"/>
      <c r="E149" s="48"/>
    </row>
    <row r="150" spans="1:5" x14ac:dyDescent="0.3">
      <c r="A150" s="9" t="s">
        <v>8</v>
      </c>
      <c r="B150" s="9" t="s">
        <v>5</v>
      </c>
      <c r="C150" s="9" t="s">
        <v>9</v>
      </c>
      <c r="D150" s="9" t="s">
        <v>10</v>
      </c>
      <c r="E150" s="9" t="s">
        <v>11</v>
      </c>
    </row>
    <row r="151" spans="1:5" x14ac:dyDescent="0.3">
      <c r="A151" s="14" t="s">
        <v>12</v>
      </c>
      <c r="B151" s="10" t="s">
        <v>13</v>
      </c>
      <c r="C151" s="11">
        <v>0.1</v>
      </c>
      <c r="D151" s="12">
        <f>E173</f>
        <v>950</v>
      </c>
      <c r="E151" s="12">
        <f>C151*D151</f>
        <v>95</v>
      </c>
    </row>
    <row r="152" spans="1:5" x14ac:dyDescent="0.3">
      <c r="A152" s="14" t="s">
        <v>129</v>
      </c>
      <c r="B152" s="10" t="s">
        <v>21</v>
      </c>
      <c r="C152" s="11">
        <v>1.4999999999999999E-2</v>
      </c>
      <c r="D152" s="12">
        <v>25000</v>
      </c>
      <c r="E152" s="12">
        <f>C152*D152</f>
        <v>375</v>
      </c>
    </row>
    <row r="153" spans="1:5" x14ac:dyDescent="0.3">
      <c r="A153" s="14" t="s">
        <v>130</v>
      </c>
      <c r="B153" s="10" t="s">
        <v>21</v>
      </c>
      <c r="C153" s="11">
        <v>0.01</v>
      </c>
      <c r="D153" s="12">
        <v>15000</v>
      </c>
      <c r="E153" s="12">
        <f>C153*D153</f>
        <v>150</v>
      </c>
    </row>
    <row r="154" spans="1:5" x14ac:dyDescent="0.3">
      <c r="A154" s="10"/>
      <c r="B154" s="10"/>
      <c r="C154" s="10"/>
      <c r="D154" s="12"/>
      <c r="E154" s="12"/>
    </row>
    <row r="155" spans="1:5" x14ac:dyDescent="0.3">
      <c r="A155" s="45" t="s">
        <v>14</v>
      </c>
      <c r="B155" s="46"/>
      <c r="C155" s="46"/>
      <c r="D155" s="46"/>
      <c r="E155" s="13">
        <f>SUM(E151:E153)</f>
        <v>620</v>
      </c>
    </row>
    <row r="156" spans="1:5" x14ac:dyDescent="0.3">
      <c r="A156" s="47" t="s">
        <v>15</v>
      </c>
      <c r="B156" s="48"/>
      <c r="C156" s="48"/>
      <c r="D156" s="48"/>
      <c r="E156" s="48"/>
    </row>
    <row r="157" spans="1:5" x14ac:dyDescent="0.3">
      <c r="A157" s="9" t="s">
        <v>8</v>
      </c>
      <c r="B157" s="9" t="s">
        <v>5</v>
      </c>
      <c r="C157" s="9" t="s">
        <v>16</v>
      </c>
      <c r="D157" s="9" t="s">
        <v>17</v>
      </c>
      <c r="E157" s="9" t="s">
        <v>11</v>
      </c>
    </row>
    <row r="158" spans="1:5" x14ac:dyDescent="0.3">
      <c r="A158" s="14" t="s">
        <v>133</v>
      </c>
      <c r="B158" s="10" t="s">
        <v>35</v>
      </c>
      <c r="C158" s="20">
        <v>0.17</v>
      </c>
      <c r="D158" s="12">
        <v>26380</v>
      </c>
      <c r="E158" s="12">
        <f>C158*D158</f>
        <v>4484.6000000000004</v>
      </c>
    </row>
    <row r="159" spans="1:5" x14ac:dyDescent="0.3">
      <c r="A159" s="14" t="s">
        <v>131</v>
      </c>
      <c r="B159" s="10" t="s">
        <v>28</v>
      </c>
      <c r="C159" s="20">
        <v>0.17</v>
      </c>
      <c r="D159" s="12">
        <v>500</v>
      </c>
      <c r="E159" s="12">
        <f>C159*D159</f>
        <v>85</v>
      </c>
    </row>
    <row r="160" spans="1:5" x14ac:dyDescent="0.3">
      <c r="A160" s="14"/>
      <c r="B160" s="10"/>
      <c r="C160" s="15"/>
      <c r="D160" s="12"/>
      <c r="E160" s="12"/>
    </row>
    <row r="161" spans="1:5" x14ac:dyDescent="0.3">
      <c r="A161" s="17" t="s">
        <v>18</v>
      </c>
      <c r="B161" s="43"/>
      <c r="C161" s="44"/>
      <c r="D161" s="44"/>
      <c r="E161" s="12">
        <f>(E158+E159)*0.02</f>
        <v>91.39200000000001</v>
      </c>
    </row>
    <row r="162" spans="1:5" x14ac:dyDescent="0.3">
      <c r="A162" s="17"/>
      <c r="B162" s="18"/>
      <c r="C162" s="7"/>
      <c r="D162" s="7"/>
      <c r="E162" s="12"/>
    </row>
    <row r="163" spans="1:5" x14ac:dyDescent="0.3">
      <c r="A163" s="45" t="s">
        <v>14</v>
      </c>
      <c r="B163" s="46"/>
      <c r="C163" s="46"/>
      <c r="D163" s="46"/>
      <c r="E163" s="13">
        <f>SUM(E158:E161)</f>
        <v>4660.9920000000002</v>
      </c>
    </row>
    <row r="164" spans="1:5" x14ac:dyDescent="0.3">
      <c r="A164" s="47" t="s">
        <v>19</v>
      </c>
      <c r="B164" s="48"/>
      <c r="C164" s="48"/>
      <c r="D164" s="48"/>
      <c r="E164" s="48"/>
    </row>
    <row r="165" spans="1:5" x14ac:dyDescent="0.3">
      <c r="A165" s="9" t="s">
        <v>8</v>
      </c>
      <c r="B165" s="9" t="s">
        <v>5</v>
      </c>
      <c r="C165" s="9" t="s">
        <v>9</v>
      </c>
      <c r="D165" s="9" t="s">
        <v>10</v>
      </c>
      <c r="E165" s="9" t="s">
        <v>11</v>
      </c>
    </row>
    <row r="166" spans="1:5" x14ac:dyDescent="0.3">
      <c r="A166" s="14" t="s">
        <v>20</v>
      </c>
      <c r="B166" s="10" t="s">
        <v>21</v>
      </c>
      <c r="C166" s="11">
        <v>0</v>
      </c>
      <c r="D166" s="12">
        <v>0</v>
      </c>
      <c r="E166" s="12">
        <v>0</v>
      </c>
    </row>
    <row r="167" spans="1:5" x14ac:dyDescent="0.3">
      <c r="A167" s="14"/>
      <c r="B167" s="10"/>
      <c r="C167" s="11"/>
      <c r="D167" s="12"/>
      <c r="E167" s="12"/>
    </row>
    <row r="168" spans="1:5" x14ac:dyDescent="0.3">
      <c r="A168" s="45" t="s">
        <v>14</v>
      </c>
      <c r="B168" s="46"/>
      <c r="C168" s="46"/>
      <c r="D168" s="46"/>
      <c r="E168" s="13">
        <f>SUM(E166)</f>
        <v>0</v>
      </c>
    </row>
    <row r="169" spans="1:5" x14ac:dyDescent="0.3">
      <c r="A169" s="47" t="s">
        <v>22</v>
      </c>
      <c r="B169" s="48"/>
      <c r="C169" s="48"/>
      <c r="D169" s="48"/>
      <c r="E169" s="48"/>
    </row>
    <row r="170" spans="1:5" x14ac:dyDescent="0.3">
      <c r="A170" s="9" t="s">
        <v>8</v>
      </c>
      <c r="B170" s="9" t="s">
        <v>5</v>
      </c>
      <c r="C170" s="9" t="s">
        <v>9</v>
      </c>
      <c r="D170" s="9" t="s">
        <v>23</v>
      </c>
      <c r="E170" s="9" t="s">
        <v>11</v>
      </c>
    </row>
    <row r="171" spans="1:5" x14ac:dyDescent="0.3">
      <c r="A171" s="14" t="s">
        <v>132</v>
      </c>
      <c r="B171" s="10" t="s">
        <v>21</v>
      </c>
      <c r="C171" s="11">
        <v>100</v>
      </c>
      <c r="D171" s="12">
        <v>95000</v>
      </c>
      <c r="E171" s="12">
        <f>D171/C171</f>
        <v>950</v>
      </c>
    </row>
    <row r="172" spans="1:5" x14ac:dyDescent="0.3">
      <c r="A172" s="14"/>
      <c r="B172" s="10"/>
      <c r="C172" s="11"/>
      <c r="D172" s="12"/>
      <c r="E172" s="12"/>
    </row>
    <row r="173" spans="1:5" x14ac:dyDescent="0.3">
      <c r="A173" s="45" t="s">
        <v>14</v>
      </c>
      <c r="B173" s="46"/>
      <c r="C173" s="46"/>
      <c r="D173" s="46"/>
      <c r="E173" s="13">
        <f>SUM(E171)</f>
        <v>950</v>
      </c>
    </row>
    <row r="174" spans="1:5" x14ac:dyDescent="0.3">
      <c r="A174" s="10"/>
      <c r="B174" s="7"/>
      <c r="C174" s="7"/>
      <c r="D174" s="7"/>
      <c r="E174" s="7"/>
    </row>
    <row r="175" spans="1:5" x14ac:dyDescent="0.3">
      <c r="A175" s="45" t="s">
        <v>25</v>
      </c>
      <c r="B175" s="46"/>
      <c r="C175" s="46"/>
      <c r="D175" s="46"/>
      <c r="E175" s="13">
        <f>SUM(E155,E163,E168,E173)</f>
        <v>6230.9920000000002</v>
      </c>
    </row>
    <row r="177" spans="1:5" x14ac:dyDescent="0.3">
      <c r="A177" s="56" t="s">
        <v>120</v>
      </c>
      <c r="B177" s="57"/>
      <c r="C177" s="57"/>
      <c r="D177" s="39" t="s">
        <v>3</v>
      </c>
      <c r="E177" s="39" t="s">
        <v>117</v>
      </c>
    </row>
    <row r="178" spans="1:5" x14ac:dyDescent="0.3">
      <c r="A178" s="53"/>
      <c r="B178" s="44"/>
      <c r="C178" s="44"/>
      <c r="D178" s="8" t="s">
        <v>5</v>
      </c>
      <c r="E178" s="8" t="s">
        <v>51</v>
      </c>
    </row>
    <row r="179" spans="1:5" x14ac:dyDescent="0.3">
      <c r="A179" s="47" t="s">
        <v>7</v>
      </c>
      <c r="B179" s="48"/>
      <c r="C179" s="48"/>
      <c r="D179" s="48"/>
      <c r="E179" s="48"/>
    </row>
    <row r="180" spans="1:5" x14ac:dyDescent="0.3">
      <c r="A180" s="9" t="s">
        <v>8</v>
      </c>
      <c r="B180" s="9" t="s">
        <v>5</v>
      </c>
      <c r="C180" s="9" t="s">
        <v>9</v>
      </c>
      <c r="D180" s="9" t="s">
        <v>10</v>
      </c>
      <c r="E180" s="9" t="s">
        <v>11</v>
      </c>
    </row>
    <row r="181" spans="1:5" x14ac:dyDescent="0.3">
      <c r="A181" s="14" t="s">
        <v>12</v>
      </c>
      <c r="B181" s="10" t="s">
        <v>13</v>
      </c>
      <c r="C181" s="11">
        <v>0.1</v>
      </c>
      <c r="D181" s="12">
        <f>E202</f>
        <v>8666.6666666666661</v>
      </c>
      <c r="E181" s="12">
        <f>C181*D181</f>
        <v>866.66666666666663</v>
      </c>
    </row>
    <row r="182" spans="1:5" x14ac:dyDescent="0.3">
      <c r="A182" s="14" t="s">
        <v>114</v>
      </c>
      <c r="B182" s="10" t="s">
        <v>13</v>
      </c>
      <c r="C182" s="11">
        <v>0.1</v>
      </c>
      <c r="D182" s="12">
        <v>25000</v>
      </c>
      <c r="E182" s="12">
        <f>C182*D182</f>
        <v>2500</v>
      </c>
    </row>
    <row r="183" spans="1:5" x14ac:dyDescent="0.3">
      <c r="A183" s="10"/>
      <c r="B183" s="10"/>
      <c r="C183" s="10"/>
      <c r="D183" s="12"/>
      <c r="E183" s="12"/>
    </row>
    <row r="184" spans="1:5" x14ac:dyDescent="0.3">
      <c r="A184" s="45" t="s">
        <v>14</v>
      </c>
      <c r="B184" s="46"/>
      <c r="C184" s="46"/>
      <c r="D184" s="46"/>
      <c r="E184" s="13">
        <f>SUM(E181:E182)</f>
        <v>3366.6666666666665</v>
      </c>
    </row>
    <row r="185" spans="1:5" x14ac:dyDescent="0.3">
      <c r="A185" s="47" t="s">
        <v>15</v>
      </c>
      <c r="B185" s="48"/>
      <c r="C185" s="48"/>
      <c r="D185" s="48"/>
      <c r="E185" s="48"/>
    </row>
    <row r="186" spans="1:5" x14ac:dyDescent="0.3">
      <c r="A186" s="9" t="s">
        <v>8</v>
      </c>
      <c r="B186" s="9" t="s">
        <v>5</v>
      </c>
      <c r="C186" s="9" t="s">
        <v>16</v>
      </c>
      <c r="D186" s="9" t="s">
        <v>17</v>
      </c>
      <c r="E186" s="9" t="s">
        <v>11</v>
      </c>
    </row>
    <row r="187" spans="1:5" x14ac:dyDescent="0.3">
      <c r="A187" s="14" t="s">
        <v>111</v>
      </c>
      <c r="B187" s="10" t="s">
        <v>35</v>
      </c>
      <c r="C187" s="16">
        <v>2</v>
      </c>
      <c r="D187" s="12">
        <v>59540</v>
      </c>
      <c r="E187" s="12">
        <f>C187*D187</f>
        <v>119080</v>
      </c>
    </row>
    <row r="188" spans="1:5" x14ac:dyDescent="0.3">
      <c r="A188" s="14" t="s">
        <v>36</v>
      </c>
      <c r="B188" s="10" t="s">
        <v>6</v>
      </c>
      <c r="C188" s="16">
        <v>1.4999999999999999E-2</v>
      </c>
      <c r="D188" s="12">
        <v>100000</v>
      </c>
      <c r="E188" s="12">
        <f>C188*D188</f>
        <v>1500</v>
      </c>
    </row>
    <row r="189" spans="1:5" x14ac:dyDescent="0.3">
      <c r="A189" s="14"/>
      <c r="B189" s="10"/>
      <c r="C189" s="16"/>
      <c r="D189" s="12"/>
      <c r="E189" s="12"/>
    </row>
    <row r="190" spans="1:5" x14ac:dyDescent="0.3">
      <c r="A190" s="17" t="s">
        <v>18</v>
      </c>
      <c r="B190" s="43"/>
      <c r="C190" s="44"/>
      <c r="D190" s="44"/>
      <c r="E190" s="12">
        <f>SUM(E187:E188)*0.02</f>
        <v>2411.6</v>
      </c>
    </row>
    <row r="191" spans="1:5" x14ac:dyDescent="0.3">
      <c r="A191" s="17"/>
      <c r="B191" s="18"/>
      <c r="C191" s="7"/>
      <c r="D191" s="7"/>
      <c r="E191" s="12"/>
    </row>
    <row r="192" spans="1:5" x14ac:dyDescent="0.3">
      <c r="A192" s="45" t="s">
        <v>14</v>
      </c>
      <c r="B192" s="46"/>
      <c r="C192" s="46"/>
      <c r="D192" s="46"/>
      <c r="E192" s="13">
        <f>SUM(E187:E190)</f>
        <v>122991.6</v>
      </c>
    </row>
    <row r="193" spans="1:5" x14ac:dyDescent="0.3">
      <c r="A193" s="47" t="s">
        <v>19</v>
      </c>
      <c r="B193" s="48"/>
      <c r="C193" s="48"/>
      <c r="D193" s="48"/>
      <c r="E193" s="48"/>
    </row>
    <row r="194" spans="1:5" x14ac:dyDescent="0.3">
      <c r="A194" s="9" t="s">
        <v>8</v>
      </c>
      <c r="B194" s="9" t="s">
        <v>5</v>
      </c>
      <c r="C194" s="9" t="s">
        <v>9</v>
      </c>
      <c r="D194" s="9" t="s">
        <v>10</v>
      </c>
      <c r="E194" s="9" t="s">
        <v>11</v>
      </c>
    </row>
    <row r="195" spans="1:5" x14ac:dyDescent="0.3">
      <c r="A195" s="14" t="s">
        <v>20</v>
      </c>
      <c r="B195" s="10" t="s">
        <v>21</v>
      </c>
      <c r="C195" s="11">
        <v>0.02</v>
      </c>
      <c r="D195" s="12">
        <v>45000</v>
      </c>
      <c r="E195" s="12">
        <f>D195*C195</f>
        <v>900</v>
      </c>
    </row>
    <row r="196" spans="1:5" x14ac:dyDescent="0.3">
      <c r="A196" s="14"/>
      <c r="B196" s="10"/>
      <c r="C196" s="11"/>
      <c r="D196" s="12"/>
      <c r="E196" s="12"/>
    </row>
    <row r="197" spans="1:5" x14ac:dyDescent="0.3">
      <c r="A197" s="45" t="s">
        <v>14</v>
      </c>
      <c r="B197" s="46"/>
      <c r="C197" s="46"/>
      <c r="D197" s="46"/>
      <c r="E197" s="13">
        <f>SUM(E195)</f>
        <v>900</v>
      </c>
    </row>
    <row r="198" spans="1:5" x14ac:dyDescent="0.3">
      <c r="A198" s="47" t="s">
        <v>22</v>
      </c>
      <c r="B198" s="48"/>
      <c r="C198" s="48"/>
      <c r="D198" s="48"/>
      <c r="E198" s="48"/>
    </row>
    <row r="199" spans="1:5" x14ac:dyDescent="0.3">
      <c r="A199" s="9" t="s">
        <v>8</v>
      </c>
      <c r="B199" s="9" t="s">
        <v>5</v>
      </c>
      <c r="C199" s="9" t="s">
        <v>9</v>
      </c>
      <c r="D199" s="9" t="s">
        <v>23</v>
      </c>
      <c r="E199" s="9" t="s">
        <v>11</v>
      </c>
    </row>
    <row r="200" spans="1:5" x14ac:dyDescent="0.3">
      <c r="A200" s="14" t="s">
        <v>24</v>
      </c>
      <c r="B200" s="10" t="s">
        <v>21</v>
      </c>
      <c r="C200" s="11">
        <v>15</v>
      </c>
      <c r="D200" s="12">
        <v>130000</v>
      </c>
      <c r="E200" s="12">
        <f>D200/C200</f>
        <v>8666.6666666666661</v>
      </c>
    </row>
    <row r="201" spans="1:5" x14ac:dyDescent="0.3">
      <c r="A201" s="14"/>
      <c r="B201" s="10"/>
      <c r="C201" s="11"/>
      <c r="D201" s="12"/>
      <c r="E201" s="12"/>
    </row>
    <row r="202" spans="1:5" x14ac:dyDescent="0.3">
      <c r="A202" s="45" t="s">
        <v>14</v>
      </c>
      <c r="B202" s="46"/>
      <c r="C202" s="46"/>
      <c r="D202" s="46"/>
      <c r="E202" s="13">
        <f>SUM(E200)</f>
        <v>8666.6666666666661</v>
      </c>
    </row>
    <row r="203" spans="1:5" x14ac:dyDescent="0.3">
      <c r="A203" s="10"/>
      <c r="B203" s="7"/>
      <c r="C203" s="7"/>
      <c r="D203" s="7"/>
      <c r="E203" s="7"/>
    </row>
    <row r="204" spans="1:5" x14ac:dyDescent="0.3">
      <c r="A204" s="45" t="s">
        <v>25</v>
      </c>
      <c r="B204" s="46"/>
      <c r="C204" s="46"/>
      <c r="D204" s="46"/>
      <c r="E204" s="13">
        <f>SUM(E184,E192,E197,E202)</f>
        <v>135924.93333333335</v>
      </c>
    </row>
    <row r="205" spans="1:5" x14ac:dyDescent="0.3">
      <c r="A205" s="10"/>
      <c r="B205" s="7"/>
      <c r="C205" s="7"/>
      <c r="D205" s="7"/>
      <c r="E205" s="7"/>
    </row>
    <row r="206" spans="1:5" x14ac:dyDescent="0.3">
      <c r="A206" s="37" t="s">
        <v>178</v>
      </c>
      <c r="B206" s="38"/>
      <c r="C206" s="38"/>
      <c r="D206" s="38"/>
      <c r="E206" s="38"/>
    </row>
    <row r="209" spans="1:5" x14ac:dyDescent="0.3">
      <c r="A209" s="54" t="s">
        <v>166</v>
      </c>
      <c r="B209" s="54"/>
      <c r="C209" s="54"/>
      <c r="D209" s="22" t="s">
        <v>3</v>
      </c>
      <c r="E209" s="22" t="s">
        <v>116</v>
      </c>
    </row>
    <row r="210" spans="1:5" x14ac:dyDescent="0.3">
      <c r="A210" s="53"/>
      <c r="B210" s="44"/>
      <c r="C210" s="44"/>
      <c r="D210" s="58" t="s">
        <v>5</v>
      </c>
      <c r="E210" s="58" t="s">
        <v>6</v>
      </c>
    </row>
    <row r="211" spans="1:5" x14ac:dyDescent="0.3">
      <c r="A211" s="47" t="s">
        <v>7</v>
      </c>
      <c r="B211" s="48"/>
      <c r="C211" s="48"/>
      <c r="D211" s="48"/>
      <c r="E211" s="48"/>
    </row>
    <row r="212" spans="1:5" x14ac:dyDescent="0.3">
      <c r="A212" s="58" t="s">
        <v>8</v>
      </c>
      <c r="B212" s="58" t="s">
        <v>5</v>
      </c>
      <c r="C212" s="58" t="s">
        <v>9</v>
      </c>
      <c r="D212" s="58" t="s">
        <v>10</v>
      </c>
      <c r="E212" s="58" t="s">
        <v>11</v>
      </c>
    </row>
    <row r="213" spans="1:5" x14ac:dyDescent="0.3">
      <c r="A213" s="10" t="s">
        <v>12</v>
      </c>
      <c r="B213" s="10" t="s">
        <v>13</v>
      </c>
      <c r="C213" s="11">
        <v>0.1</v>
      </c>
      <c r="D213" s="12">
        <f>E231</f>
        <v>19000</v>
      </c>
      <c r="E213" s="12">
        <f>C213*D213</f>
        <v>1900</v>
      </c>
    </row>
    <row r="214" spans="1:5" x14ac:dyDescent="0.3">
      <c r="A214" s="10"/>
      <c r="B214" s="10"/>
      <c r="C214" s="10"/>
      <c r="D214" s="12"/>
      <c r="E214" s="12"/>
    </row>
    <row r="215" spans="1:5" x14ac:dyDescent="0.3">
      <c r="A215" s="45" t="s">
        <v>14</v>
      </c>
      <c r="B215" s="46"/>
      <c r="C215" s="46"/>
      <c r="D215" s="46"/>
      <c r="E215" s="13">
        <f>SUM(E213:E213)</f>
        <v>1900</v>
      </c>
    </row>
    <row r="216" spans="1:5" x14ac:dyDescent="0.3">
      <c r="A216" s="47" t="s">
        <v>15</v>
      </c>
      <c r="B216" s="48"/>
      <c r="C216" s="48"/>
      <c r="D216" s="48"/>
      <c r="E216" s="48"/>
    </row>
    <row r="217" spans="1:5" x14ac:dyDescent="0.3">
      <c r="A217" s="58" t="s">
        <v>8</v>
      </c>
      <c r="B217" s="58" t="s">
        <v>5</v>
      </c>
      <c r="C217" s="58" t="s">
        <v>16</v>
      </c>
      <c r="D217" s="58" t="s">
        <v>17</v>
      </c>
      <c r="E217" s="58" t="s">
        <v>11</v>
      </c>
    </row>
    <row r="218" spans="1:5" x14ac:dyDescent="0.3">
      <c r="A218" s="14"/>
      <c r="B218" s="10"/>
      <c r="C218" s="16"/>
      <c r="D218" s="12"/>
      <c r="E218" s="12"/>
    </row>
    <row r="219" spans="1:5" x14ac:dyDescent="0.3">
      <c r="A219" s="17" t="s">
        <v>48</v>
      </c>
      <c r="B219" s="43"/>
      <c r="C219" s="44"/>
      <c r="D219" s="44"/>
      <c r="E219" s="12">
        <v>0</v>
      </c>
    </row>
    <row r="220" spans="1:5" x14ac:dyDescent="0.3">
      <c r="A220" s="17"/>
      <c r="B220" s="18"/>
      <c r="C220" s="7"/>
      <c r="D220" s="7"/>
      <c r="E220" s="12"/>
    </row>
    <row r="221" spans="1:5" x14ac:dyDescent="0.3">
      <c r="A221" s="59" t="s">
        <v>14</v>
      </c>
      <c r="B221" s="60"/>
      <c r="C221" s="60"/>
      <c r="D221" s="60"/>
      <c r="E221" s="61">
        <f>SUM(E218:E219)</f>
        <v>0</v>
      </c>
    </row>
    <row r="222" spans="1:5" x14ac:dyDescent="0.3">
      <c r="A222" s="47" t="s">
        <v>19</v>
      </c>
      <c r="B222" s="48"/>
      <c r="C222" s="48"/>
      <c r="D222" s="48"/>
      <c r="E222" s="48"/>
    </row>
    <row r="223" spans="1:5" x14ac:dyDescent="0.3">
      <c r="A223" s="58" t="s">
        <v>8</v>
      </c>
      <c r="B223" s="58" t="s">
        <v>5</v>
      </c>
      <c r="C223" s="58" t="s">
        <v>9</v>
      </c>
      <c r="D223" s="58" t="s">
        <v>10</v>
      </c>
      <c r="E223" s="58" t="s">
        <v>11</v>
      </c>
    </row>
    <row r="224" spans="1:5" x14ac:dyDescent="0.3">
      <c r="A224" s="14" t="s">
        <v>38</v>
      </c>
      <c r="B224" s="10" t="s">
        <v>21</v>
      </c>
      <c r="C224" s="11">
        <v>0</v>
      </c>
      <c r="D224" s="12">
        <v>45000</v>
      </c>
      <c r="E224" s="12">
        <f>D224*C224</f>
        <v>0</v>
      </c>
    </row>
    <row r="225" spans="1:5" x14ac:dyDescent="0.3">
      <c r="A225" s="14"/>
      <c r="B225" s="10"/>
      <c r="C225" s="11"/>
      <c r="D225" s="12"/>
      <c r="E225" s="12"/>
    </row>
    <row r="226" spans="1:5" x14ac:dyDescent="0.3">
      <c r="A226" s="45" t="s">
        <v>14</v>
      </c>
      <c r="B226" s="46"/>
      <c r="C226" s="46"/>
      <c r="D226" s="46"/>
      <c r="E226" s="13">
        <f>SUM(E224)</f>
        <v>0</v>
      </c>
    </row>
    <row r="227" spans="1:5" x14ac:dyDescent="0.3">
      <c r="A227" s="47" t="s">
        <v>22</v>
      </c>
      <c r="B227" s="48"/>
      <c r="C227" s="48"/>
      <c r="D227" s="48"/>
      <c r="E227" s="48"/>
    </row>
    <row r="228" spans="1:5" x14ac:dyDescent="0.3">
      <c r="A228" s="58" t="s">
        <v>8</v>
      </c>
      <c r="B228" s="58" t="s">
        <v>5</v>
      </c>
      <c r="C228" s="58" t="s">
        <v>9</v>
      </c>
      <c r="D228" s="58" t="s">
        <v>23</v>
      </c>
      <c r="E228" s="58" t="s">
        <v>11</v>
      </c>
    </row>
    <row r="229" spans="1:5" x14ac:dyDescent="0.3">
      <c r="A229" s="14" t="s">
        <v>168</v>
      </c>
      <c r="B229" s="10" t="s">
        <v>21</v>
      </c>
      <c r="C229" s="11">
        <v>10</v>
      </c>
      <c r="D229" s="12">
        <v>190000</v>
      </c>
      <c r="E229" s="12">
        <f>D229/C229</f>
        <v>19000</v>
      </c>
    </row>
    <row r="230" spans="1:5" x14ac:dyDescent="0.3">
      <c r="A230" s="14"/>
      <c r="B230" s="10"/>
      <c r="C230" s="11"/>
      <c r="D230" s="12"/>
      <c r="E230" s="12"/>
    </row>
    <row r="231" spans="1:5" x14ac:dyDescent="0.3">
      <c r="A231" s="59" t="s">
        <v>14</v>
      </c>
      <c r="B231" s="60"/>
      <c r="C231" s="60"/>
      <c r="D231" s="60"/>
      <c r="E231" s="61">
        <f>SUM(E229)</f>
        <v>19000</v>
      </c>
    </row>
    <row r="232" spans="1:5" x14ac:dyDescent="0.3">
      <c r="A232" s="10"/>
      <c r="B232" s="7"/>
      <c r="C232" s="7"/>
      <c r="D232" s="7"/>
      <c r="E232" s="7"/>
    </row>
    <row r="233" spans="1:5" x14ac:dyDescent="0.3">
      <c r="A233" s="59" t="s">
        <v>25</v>
      </c>
      <c r="B233" s="60"/>
      <c r="C233" s="60"/>
      <c r="D233" s="60"/>
      <c r="E233" s="61">
        <f>SUM(E215,E221,E226,E231)</f>
        <v>20900</v>
      </c>
    </row>
    <row r="234" spans="1:5" x14ac:dyDescent="0.3">
      <c r="A234" s="64"/>
      <c r="B234" s="65"/>
      <c r="C234" s="65"/>
      <c r="D234" s="65"/>
      <c r="E234" s="61"/>
    </row>
    <row r="235" spans="1:5" x14ac:dyDescent="0.3">
      <c r="A235" s="51" t="s">
        <v>82</v>
      </c>
      <c r="B235" s="52"/>
      <c r="C235" s="52"/>
      <c r="D235" s="6" t="s">
        <v>3</v>
      </c>
      <c r="E235" s="6" t="s">
        <v>118</v>
      </c>
    </row>
    <row r="236" spans="1:5" x14ac:dyDescent="0.3">
      <c r="A236" s="53"/>
      <c r="B236" s="44"/>
      <c r="C236" s="44"/>
      <c r="D236" s="8" t="s">
        <v>5</v>
      </c>
      <c r="E236" s="8" t="s">
        <v>6</v>
      </c>
    </row>
    <row r="237" spans="1:5" x14ac:dyDescent="0.3">
      <c r="A237" s="47" t="s">
        <v>7</v>
      </c>
      <c r="B237" s="48"/>
      <c r="C237" s="48"/>
      <c r="D237" s="48"/>
      <c r="E237" s="48"/>
    </row>
    <row r="238" spans="1:5" x14ac:dyDescent="0.3">
      <c r="A238" s="9" t="s">
        <v>8</v>
      </c>
      <c r="B238" s="9" t="s">
        <v>5</v>
      </c>
      <c r="C238" s="9" t="s">
        <v>9</v>
      </c>
      <c r="D238" s="9" t="s">
        <v>10</v>
      </c>
      <c r="E238" s="9" t="s">
        <v>11</v>
      </c>
    </row>
    <row r="239" spans="1:5" x14ac:dyDescent="0.3">
      <c r="A239" s="10" t="s">
        <v>12</v>
      </c>
      <c r="B239" s="10" t="s">
        <v>13</v>
      </c>
      <c r="C239" s="11">
        <v>0.25</v>
      </c>
      <c r="D239" s="12">
        <f>E259</f>
        <v>7000</v>
      </c>
      <c r="E239" s="12">
        <f>C239*D239</f>
        <v>1750</v>
      </c>
    </row>
    <row r="240" spans="1:5" x14ac:dyDescent="0.3">
      <c r="A240" s="10"/>
      <c r="B240" s="10"/>
      <c r="C240" s="10"/>
      <c r="D240" s="12"/>
      <c r="E240" s="12"/>
    </row>
    <row r="241" spans="1:5" x14ac:dyDescent="0.3">
      <c r="A241" s="45" t="s">
        <v>14</v>
      </c>
      <c r="B241" s="46"/>
      <c r="C241" s="46"/>
      <c r="D241" s="46"/>
      <c r="E241" s="13">
        <f>SUM(E239:E239)</f>
        <v>1750</v>
      </c>
    </row>
    <row r="242" spans="1:5" x14ac:dyDescent="0.3">
      <c r="A242" s="47" t="s">
        <v>15</v>
      </c>
      <c r="B242" s="48"/>
      <c r="C242" s="48"/>
      <c r="D242" s="48"/>
      <c r="E242" s="48"/>
    </row>
    <row r="243" spans="1:5" x14ac:dyDescent="0.3">
      <c r="A243" s="9" t="s">
        <v>8</v>
      </c>
      <c r="B243" s="9" t="s">
        <v>5</v>
      </c>
      <c r="C243" s="9" t="s">
        <v>16</v>
      </c>
      <c r="D243" s="9" t="s">
        <v>17</v>
      </c>
      <c r="E243" s="9" t="s">
        <v>11</v>
      </c>
    </row>
    <row r="244" spans="1:5" x14ac:dyDescent="0.3">
      <c r="A244" s="14" t="s">
        <v>81</v>
      </c>
      <c r="B244" s="10" t="s">
        <v>28</v>
      </c>
      <c r="C244" s="20">
        <v>0.06</v>
      </c>
      <c r="D244" s="12">
        <v>511000</v>
      </c>
      <c r="E244" s="12">
        <f>C244*D244</f>
        <v>30660</v>
      </c>
    </row>
    <row r="245" spans="1:5" x14ac:dyDescent="0.3">
      <c r="A245" s="14" t="s">
        <v>83</v>
      </c>
      <c r="B245" s="10" t="s">
        <v>43</v>
      </c>
      <c r="C245" s="20">
        <v>0.02</v>
      </c>
      <c r="D245" s="12">
        <v>56000</v>
      </c>
      <c r="E245" s="12">
        <f t="shared" ref="E245:E246" si="1">C245*D245</f>
        <v>1120</v>
      </c>
    </row>
    <row r="246" spans="1:5" x14ac:dyDescent="0.3">
      <c r="A246" s="14"/>
      <c r="B246" s="10"/>
      <c r="C246" s="16"/>
      <c r="D246" s="12"/>
      <c r="E246" s="12">
        <f t="shared" si="1"/>
        <v>0</v>
      </c>
    </row>
    <row r="247" spans="1:5" x14ac:dyDescent="0.3">
      <c r="A247" s="17" t="s">
        <v>18</v>
      </c>
      <c r="B247" s="43"/>
      <c r="C247" s="44"/>
      <c r="D247" s="44"/>
      <c r="E247" s="12">
        <v>0</v>
      </c>
    </row>
    <row r="248" spans="1:5" x14ac:dyDescent="0.3">
      <c r="A248" s="17"/>
      <c r="B248" s="18"/>
      <c r="C248" s="7"/>
      <c r="D248" s="7"/>
      <c r="E248" s="12"/>
    </row>
    <row r="249" spans="1:5" x14ac:dyDescent="0.3">
      <c r="A249" s="45" t="s">
        <v>14</v>
      </c>
      <c r="B249" s="46"/>
      <c r="C249" s="46"/>
      <c r="D249" s="46"/>
      <c r="E249" s="13">
        <f>SUM(E244:E247)</f>
        <v>31780</v>
      </c>
    </row>
    <row r="250" spans="1:5" x14ac:dyDescent="0.3">
      <c r="A250" s="47" t="s">
        <v>19</v>
      </c>
      <c r="B250" s="48"/>
      <c r="C250" s="48"/>
      <c r="D250" s="48"/>
      <c r="E250" s="48"/>
    </row>
    <row r="251" spans="1:5" x14ac:dyDescent="0.3">
      <c r="A251" s="9" t="s">
        <v>8</v>
      </c>
      <c r="B251" s="9" t="s">
        <v>5</v>
      </c>
      <c r="C251" s="9" t="s">
        <v>9</v>
      </c>
      <c r="D251" s="9" t="s">
        <v>10</v>
      </c>
      <c r="E251" s="9" t="s">
        <v>11</v>
      </c>
    </row>
    <row r="252" spans="1:5" x14ac:dyDescent="0.3">
      <c r="A252" s="14" t="s">
        <v>20</v>
      </c>
      <c r="B252" s="10" t="s">
        <v>21</v>
      </c>
      <c r="C252" s="11">
        <v>0.02</v>
      </c>
      <c r="D252" s="12">
        <v>60000</v>
      </c>
      <c r="E252" s="12">
        <f>D252*C252</f>
        <v>1200</v>
      </c>
    </row>
    <row r="253" spans="1:5" x14ac:dyDescent="0.3">
      <c r="A253" s="14"/>
      <c r="B253" s="10"/>
      <c r="C253" s="11"/>
      <c r="D253" s="12"/>
      <c r="E253" s="12"/>
    </row>
    <row r="254" spans="1:5" x14ac:dyDescent="0.3">
      <c r="A254" s="45" t="s">
        <v>14</v>
      </c>
      <c r="B254" s="46"/>
      <c r="C254" s="46"/>
      <c r="D254" s="46"/>
      <c r="E254" s="13">
        <f>SUM(E252)</f>
        <v>1200</v>
      </c>
    </row>
    <row r="255" spans="1:5" x14ac:dyDescent="0.3">
      <c r="A255" s="47" t="s">
        <v>22</v>
      </c>
      <c r="B255" s="48"/>
      <c r="C255" s="48"/>
      <c r="D255" s="48"/>
      <c r="E255" s="48"/>
    </row>
    <row r="256" spans="1:5" x14ac:dyDescent="0.3">
      <c r="A256" s="9" t="s">
        <v>8</v>
      </c>
      <c r="B256" s="9" t="s">
        <v>5</v>
      </c>
      <c r="C256" s="9" t="s">
        <v>9</v>
      </c>
      <c r="D256" s="9" t="s">
        <v>23</v>
      </c>
      <c r="E256" s="9" t="s">
        <v>11</v>
      </c>
    </row>
    <row r="257" spans="1:5" x14ac:dyDescent="0.3">
      <c r="A257" s="14" t="s">
        <v>32</v>
      </c>
      <c r="B257" s="10" t="s">
        <v>21</v>
      </c>
      <c r="C257" s="11">
        <v>30</v>
      </c>
      <c r="D257" s="12">
        <v>210000</v>
      </c>
      <c r="E257" s="12">
        <f>D257/C257</f>
        <v>7000</v>
      </c>
    </row>
    <row r="258" spans="1:5" x14ac:dyDescent="0.3">
      <c r="A258" s="14"/>
      <c r="B258" s="10"/>
      <c r="C258" s="11"/>
      <c r="D258" s="12"/>
      <c r="E258" s="12"/>
    </row>
    <row r="259" spans="1:5" x14ac:dyDescent="0.3">
      <c r="A259" s="45" t="s">
        <v>14</v>
      </c>
      <c r="B259" s="46"/>
      <c r="C259" s="46"/>
      <c r="D259" s="46"/>
      <c r="E259" s="13">
        <f>SUM(E257)</f>
        <v>7000</v>
      </c>
    </row>
    <row r="260" spans="1:5" x14ac:dyDescent="0.3">
      <c r="A260" s="10"/>
      <c r="B260" s="7"/>
      <c r="C260" s="7"/>
      <c r="D260" s="7"/>
      <c r="E260" s="7"/>
    </row>
    <row r="261" spans="1:5" x14ac:dyDescent="0.3">
      <c r="A261" s="45" t="s">
        <v>25</v>
      </c>
      <c r="B261" s="46"/>
      <c r="C261" s="46"/>
      <c r="D261" s="46"/>
      <c r="E261" s="13">
        <f>SUM(E241,E249,E254,E259)</f>
        <v>41730</v>
      </c>
    </row>
    <row r="264" spans="1:5" x14ac:dyDescent="0.3">
      <c r="A264" s="51" t="s">
        <v>128</v>
      </c>
      <c r="B264" s="51"/>
      <c r="C264" s="51"/>
      <c r="D264" s="6" t="s">
        <v>3</v>
      </c>
      <c r="E264" s="6" t="s">
        <v>117</v>
      </c>
    </row>
    <row r="265" spans="1:5" x14ac:dyDescent="0.3">
      <c r="A265" s="53"/>
      <c r="B265" s="53"/>
      <c r="C265" s="53"/>
      <c r="D265" s="8" t="s">
        <v>5</v>
      </c>
      <c r="E265" s="8" t="s">
        <v>6</v>
      </c>
    </row>
    <row r="266" spans="1:5" x14ac:dyDescent="0.3">
      <c r="A266" s="47" t="s">
        <v>7</v>
      </c>
      <c r="B266" s="47"/>
      <c r="C266" s="47"/>
      <c r="D266" s="47"/>
      <c r="E266" s="47"/>
    </row>
    <row r="267" spans="1:5" x14ac:dyDescent="0.3">
      <c r="A267" s="9" t="s">
        <v>8</v>
      </c>
      <c r="B267" s="9" t="s">
        <v>5</v>
      </c>
      <c r="C267" s="9" t="s">
        <v>9</v>
      </c>
      <c r="D267" s="9" t="s">
        <v>10</v>
      </c>
      <c r="E267" s="9" t="s">
        <v>11</v>
      </c>
    </row>
    <row r="268" spans="1:5" x14ac:dyDescent="0.3">
      <c r="A268" s="14" t="s">
        <v>12</v>
      </c>
      <c r="B268" s="10" t="s">
        <v>13</v>
      </c>
      <c r="C268" s="11">
        <v>0.1</v>
      </c>
      <c r="D268" s="12">
        <f>E290</f>
        <v>950</v>
      </c>
      <c r="E268" s="12">
        <f>C268*D268</f>
        <v>95</v>
      </c>
    </row>
    <row r="269" spans="1:5" x14ac:dyDescent="0.3">
      <c r="A269" s="14" t="s">
        <v>129</v>
      </c>
      <c r="B269" s="10" t="s">
        <v>21</v>
      </c>
      <c r="C269" s="11">
        <v>1.4999999999999999E-2</v>
      </c>
      <c r="D269" s="12">
        <v>25000</v>
      </c>
      <c r="E269" s="12">
        <f>C269*D269</f>
        <v>375</v>
      </c>
    </row>
    <row r="270" spans="1:5" x14ac:dyDescent="0.3">
      <c r="A270" s="14" t="s">
        <v>130</v>
      </c>
      <c r="B270" s="10" t="s">
        <v>21</v>
      </c>
      <c r="C270" s="11">
        <v>0.01</v>
      </c>
      <c r="D270" s="12">
        <v>15000</v>
      </c>
      <c r="E270" s="12">
        <f>C270*D270</f>
        <v>150</v>
      </c>
    </row>
    <row r="271" spans="1:5" x14ac:dyDescent="0.3">
      <c r="A271" s="10"/>
      <c r="B271" s="10"/>
      <c r="C271" s="10"/>
      <c r="D271" s="12"/>
      <c r="E271" s="12"/>
    </row>
    <row r="272" spans="1:5" x14ac:dyDescent="0.3">
      <c r="A272" s="45" t="s">
        <v>14</v>
      </c>
      <c r="B272" s="45"/>
      <c r="C272" s="45"/>
      <c r="D272" s="45"/>
      <c r="E272" s="13">
        <f>SUM(E268:E270)</f>
        <v>620</v>
      </c>
    </row>
    <row r="273" spans="1:5" x14ac:dyDescent="0.3">
      <c r="A273" s="47" t="s">
        <v>15</v>
      </c>
      <c r="B273" s="47"/>
      <c r="C273" s="47"/>
      <c r="D273" s="47"/>
      <c r="E273" s="47"/>
    </row>
    <row r="274" spans="1:5" x14ac:dyDescent="0.3">
      <c r="A274" s="9" t="s">
        <v>8</v>
      </c>
      <c r="B274" s="9" t="s">
        <v>5</v>
      </c>
      <c r="C274" s="9" t="s">
        <v>16</v>
      </c>
      <c r="D274" s="9" t="s">
        <v>17</v>
      </c>
      <c r="E274" s="9" t="s">
        <v>11</v>
      </c>
    </row>
    <row r="275" spans="1:5" x14ac:dyDescent="0.3">
      <c r="A275" s="14" t="s">
        <v>133</v>
      </c>
      <c r="B275" s="10" t="s">
        <v>35</v>
      </c>
      <c r="C275" s="20">
        <v>0.17</v>
      </c>
      <c r="D275" s="12">
        <v>26380</v>
      </c>
      <c r="E275" s="12">
        <f>C275*D275</f>
        <v>4484.6000000000004</v>
      </c>
    </row>
    <row r="276" spans="1:5" x14ac:dyDescent="0.3">
      <c r="A276" s="14" t="s">
        <v>131</v>
      </c>
      <c r="B276" s="10" t="s">
        <v>28</v>
      </c>
      <c r="C276" s="20">
        <v>0.17</v>
      </c>
      <c r="D276" s="12">
        <v>500</v>
      </c>
      <c r="E276" s="12">
        <f>C276*D276</f>
        <v>85</v>
      </c>
    </row>
    <row r="277" spans="1:5" x14ac:dyDescent="0.3">
      <c r="A277" s="14"/>
      <c r="B277" s="10"/>
      <c r="C277" s="15"/>
      <c r="D277" s="12"/>
      <c r="E277" s="12"/>
    </row>
    <row r="278" spans="1:5" x14ac:dyDescent="0.3">
      <c r="A278" s="17" t="s">
        <v>18</v>
      </c>
      <c r="B278" s="43"/>
      <c r="C278" s="43"/>
      <c r="D278" s="43"/>
      <c r="E278" s="12">
        <f>(E275+E276)*0.02</f>
        <v>91.39200000000001</v>
      </c>
    </row>
    <row r="279" spans="1:5" x14ac:dyDescent="0.3">
      <c r="A279" s="17"/>
      <c r="B279" s="18"/>
      <c r="C279" s="7"/>
      <c r="D279" s="7"/>
      <c r="E279" s="12"/>
    </row>
    <row r="280" spans="1:5" x14ac:dyDescent="0.3">
      <c r="A280" s="45" t="s">
        <v>14</v>
      </c>
      <c r="B280" s="45"/>
      <c r="C280" s="45"/>
      <c r="D280" s="45"/>
      <c r="E280" s="13">
        <f>SUM(E275:E278)</f>
        <v>4660.9920000000002</v>
      </c>
    </row>
    <row r="281" spans="1:5" x14ac:dyDescent="0.3">
      <c r="A281" s="47" t="s">
        <v>19</v>
      </c>
      <c r="B281" s="47"/>
      <c r="C281" s="47"/>
      <c r="D281" s="47"/>
      <c r="E281" s="47"/>
    </row>
    <row r="282" spans="1:5" x14ac:dyDescent="0.3">
      <c r="A282" s="9" t="s">
        <v>8</v>
      </c>
      <c r="B282" s="9" t="s">
        <v>5</v>
      </c>
      <c r="C282" s="9" t="s">
        <v>9</v>
      </c>
      <c r="D282" s="9" t="s">
        <v>10</v>
      </c>
      <c r="E282" s="9" t="s">
        <v>11</v>
      </c>
    </row>
    <row r="283" spans="1:5" x14ac:dyDescent="0.3">
      <c r="A283" s="14" t="s">
        <v>20</v>
      </c>
      <c r="B283" s="10" t="s">
        <v>21</v>
      </c>
      <c r="C283" s="11">
        <v>0</v>
      </c>
      <c r="D283" s="12">
        <v>0</v>
      </c>
      <c r="E283" s="12">
        <v>0</v>
      </c>
    </row>
    <row r="284" spans="1:5" x14ac:dyDescent="0.3">
      <c r="A284" s="14"/>
      <c r="B284" s="10"/>
      <c r="C284" s="11"/>
      <c r="D284" s="12"/>
      <c r="E284" s="12"/>
    </row>
    <row r="285" spans="1:5" x14ac:dyDescent="0.3">
      <c r="A285" s="45" t="s">
        <v>14</v>
      </c>
      <c r="B285" s="45"/>
      <c r="C285" s="45"/>
      <c r="D285" s="45"/>
      <c r="E285" s="13">
        <f>SUM(E283)</f>
        <v>0</v>
      </c>
    </row>
    <row r="286" spans="1:5" x14ac:dyDescent="0.3">
      <c r="A286" s="47" t="s">
        <v>22</v>
      </c>
      <c r="B286" s="47"/>
      <c r="C286" s="47"/>
      <c r="D286" s="47"/>
      <c r="E286" s="47"/>
    </row>
    <row r="287" spans="1:5" x14ac:dyDescent="0.3">
      <c r="A287" s="9" t="s">
        <v>8</v>
      </c>
      <c r="B287" s="9" t="s">
        <v>5</v>
      </c>
      <c r="C287" s="9" t="s">
        <v>9</v>
      </c>
      <c r="D287" s="9" t="s">
        <v>23</v>
      </c>
      <c r="E287" s="9" t="s">
        <v>11</v>
      </c>
    </row>
    <row r="288" spans="1:5" x14ac:dyDescent="0.3">
      <c r="A288" s="14" t="s">
        <v>132</v>
      </c>
      <c r="B288" s="10" t="s">
        <v>21</v>
      </c>
      <c r="C288" s="11">
        <v>100</v>
      </c>
      <c r="D288" s="12">
        <v>95000</v>
      </c>
      <c r="E288" s="12">
        <f>D288/C288</f>
        <v>950</v>
      </c>
    </row>
    <row r="289" spans="1:5" x14ac:dyDescent="0.3">
      <c r="A289" s="14"/>
      <c r="B289" s="10"/>
      <c r="C289" s="11"/>
      <c r="D289" s="12"/>
      <c r="E289" s="12"/>
    </row>
    <row r="290" spans="1:5" x14ac:dyDescent="0.3">
      <c r="A290" s="45" t="s">
        <v>14</v>
      </c>
      <c r="B290" s="45"/>
      <c r="C290" s="45"/>
      <c r="D290" s="45"/>
      <c r="E290" s="13">
        <f>SUM(E288)</f>
        <v>950</v>
      </c>
    </row>
    <row r="291" spans="1:5" x14ac:dyDescent="0.3">
      <c r="A291" s="10"/>
      <c r="B291" s="7"/>
      <c r="C291" s="7"/>
      <c r="D291" s="7"/>
      <c r="E291" s="7"/>
    </row>
    <row r="292" spans="1:5" x14ac:dyDescent="0.3">
      <c r="A292" s="45" t="s">
        <v>25</v>
      </c>
      <c r="B292" s="45"/>
      <c r="C292" s="45"/>
      <c r="D292" s="45"/>
      <c r="E292" s="13">
        <f>SUM(E272,E280,E285,E290)</f>
        <v>6230.9920000000002</v>
      </c>
    </row>
    <row r="294" spans="1:5" x14ac:dyDescent="0.3">
      <c r="A294" s="49" t="s">
        <v>0</v>
      </c>
      <c r="B294" s="50"/>
      <c r="C294" s="50"/>
      <c r="D294" s="50"/>
      <c r="E294" s="50"/>
    </row>
    <row r="295" spans="1:5" x14ac:dyDescent="0.3">
      <c r="A295" s="4"/>
      <c r="B295" s="5"/>
      <c r="C295" s="5"/>
      <c r="D295" s="5"/>
      <c r="E295" s="5"/>
    </row>
    <row r="296" spans="1:5" x14ac:dyDescent="0.3">
      <c r="A296" s="1" t="s">
        <v>141</v>
      </c>
      <c r="B296" s="2"/>
      <c r="C296" s="2"/>
      <c r="D296" s="2"/>
      <c r="E296" s="2"/>
    </row>
    <row r="297" spans="1:5" x14ac:dyDescent="0.3">
      <c r="A297" s="4"/>
      <c r="B297" s="5"/>
      <c r="C297" s="5"/>
      <c r="D297" s="5"/>
      <c r="E297" s="5"/>
    </row>
    <row r="298" spans="1:5" x14ac:dyDescent="0.3">
      <c r="A298" s="51" t="s">
        <v>142</v>
      </c>
      <c r="B298" s="52"/>
      <c r="C298" s="52"/>
      <c r="D298" s="6" t="s">
        <v>3</v>
      </c>
      <c r="E298" s="6" t="s">
        <v>143</v>
      </c>
    </row>
    <row r="299" spans="1:5" x14ac:dyDescent="0.3">
      <c r="A299" s="53"/>
      <c r="B299" s="44"/>
      <c r="C299" s="44"/>
      <c r="D299" s="58" t="s">
        <v>5</v>
      </c>
      <c r="E299" s="58" t="s">
        <v>6</v>
      </c>
    </row>
    <row r="300" spans="1:5" x14ac:dyDescent="0.3">
      <c r="A300" s="47" t="s">
        <v>7</v>
      </c>
      <c r="B300" s="48"/>
      <c r="C300" s="48"/>
      <c r="D300" s="48"/>
      <c r="E300" s="48"/>
    </row>
    <row r="301" spans="1:5" x14ac:dyDescent="0.3">
      <c r="A301" s="58" t="s">
        <v>8</v>
      </c>
      <c r="B301" s="58" t="s">
        <v>5</v>
      </c>
      <c r="C301" s="58" t="s">
        <v>9</v>
      </c>
      <c r="D301" s="58" t="s">
        <v>10</v>
      </c>
      <c r="E301" s="58" t="s">
        <v>11</v>
      </c>
    </row>
    <row r="302" spans="1:5" x14ac:dyDescent="0.3">
      <c r="A302" s="10" t="s">
        <v>12</v>
      </c>
      <c r="B302" s="10" t="s">
        <v>13</v>
      </c>
      <c r="C302" s="11">
        <v>0.1</v>
      </c>
      <c r="D302" s="12">
        <f>E320</f>
        <v>3714.2857142857142</v>
      </c>
      <c r="E302" s="12">
        <f>C302*D302</f>
        <v>371.42857142857144</v>
      </c>
    </row>
    <row r="303" spans="1:5" x14ac:dyDescent="0.3">
      <c r="A303" s="10"/>
      <c r="B303" s="10"/>
      <c r="C303" s="10"/>
      <c r="D303" s="12"/>
      <c r="E303" s="12"/>
    </row>
    <row r="304" spans="1:5" x14ac:dyDescent="0.3">
      <c r="A304" s="59" t="s">
        <v>14</v>
      </c>
      <c r="B304" s="60"/>
      <c r="C304" s="60"/>
      <c r="D304" s="60"/>
      <c r="E304" s="61">
        <f>SUM(E302:E302)</f>
        <v>371.42857142857144</v>
      </c>
    </row>
    <row r="305" spans="1:5" x14ac:dyDescent="0.3">
      <c r="A305" s="47" t="s">
        <v>15</v>
      </c>
      <c r="B305" s="48"/>
      <c r="C305" s="48"/>
      <c r="D305" s="48"/>
      <c r="E305" s="48"/>
    </row>
    <row r="306" spans="1:5" x14ac:dyDescent="0.3">
      <c r="A306" s="58" t="s">
        <v>8</v>
      </c>
      <c r="B306" s="58" t="s">
        <v>5</v>
      </c>
      <c r="C306" s="58" t="s">
        <v>16</v>
      </c>
      <c r="D306" s="58" t="s">
        <v>17</v>
      </c>
      <c r="E306" s="58" t="s">
        <v>11</v>
      </c>
    </row>
    <row r="307" spans="1:5" x14ac:dyDescent="0.3">
      <c r="A307" s="14"/>
      <c r="B307" s="10"/>
      <c r="C307" s="15"/>
      <c r="D307" s="12"/>
      <c r="E307" s="12"/>
    </row>
    <row r="308" spans="1:5" x14ac:dyDescent="0.3">
      <c r="A308" s="17" t="s">
        <v>18</v>
      </c>
      <c r="B308" s="43"/>
      <c r="C308" s="44"/>
      <c r="D308" s="44"/>
      <c r="E308" s="12">
        <f>SUM(E307:E307)*0.02</f>
        <v>0</v>
      </c>
    </row>
    <row r="309" spans="1:5" x14ac:dyDescent="0.3">
      <c r="A309" s="17"/>
      <c r="B309" s="18"/>
      <c r="C309" s="7"/>
      <c r="D309" s="7"/>
      <c r="E309" s="12"/>
    </row>
    <row r="310" spans="1:5" x14ac:dyDescent="0.3">
      <c r="A310" s="59" t="s">
        <v>14</v>
      </c>
      <c r="B310" s="60"/>
      <c r="C310" s="60"/>
      <c r="D310" s="60"/>
      <c r="E310" s="61">
        <f>SUM(E307:E308)</f>
        <v>0</v>
      </c>
    </row>
    <row r="311" spans="1:5" x14ac:dyDescent="0.3">
      <c r="A311" s="47" t="s">
        <v>19</v>
      </c>
      <c r="B311" s="48"/>
      <c r="C311" s="48"/>
      <c r="D311" s="48"/>
      <c r="E311" s="48"/>
    </row>
    <row r="312" spans="1:5" x14ac:dyDescent="0.3">
      <c r="A312" s="58" t="s">
        <v>8</v>
      </c>
      <c r="B312" s="58" t="s">
        <v>5</v>
      </c>
      <c r="C312" s="58" t="s">
        <v>9</v>
      </c>
      <c r="D312" s="58" t="s">
        <v>10</v>
      </c>
      <c r="E312" s="58" t="s">
        <v>11</v>
      </c>
    </row>
    <row r="313" spans="1:5" x14ac:dyDescent="0.3">
      <c r="A313" s="14" t="s">
        <v>20</v>
      </c>
      <c r="B313" s="10" t="s">
        <v>21</v>
      </c>
      <c r="C313" s="11">
        <v>0</v>
      </c>
      <c r="D313" s="12">
        <v>0</v>
      </c>
      <c r="E313" s="12">
        <v>0</v>
      </c>
    </row>
    <row r="314" spans="1:5" x14ac:dyDescent="0.3">
      <c r="A314" s="14"/>
      <c r="B314" s="10"/>
      <c r="C314" s="11"/>
      <c r="D314" s="12"/>
      <c r="E314" s="12"/>
    </row>
    <row r="315" spans="1:5" x14ac:dyDescent="0.3">
      <c r="A315" s="59" t="s">
        <v>14</v>
      </c>
      <c r="B315" s="60"/>
      <c r="C315" s="60"/>
      <c r="D315" s="60"/>
      <c r="E315" s="61">
        <f>SUM(E313)</f>
        <v>0</v>
      </c>
    </row>
    <row r="316" spans="1:5" x14ac:dyDescent="0.3">
      <c r="A316" s="47" t="s">
        <v>22</v>
      </c>
      <c r="B316" s="48"/>
      <c r="C316" s="48"/>
      <c r="D316" s="48"/>
      <c r="E316" s="48"/>
    </row>
    <row r="317" spans="1:5" x14ac:dyDescent="0.3">
      <c r="A317" s="58" t="s">
        <v>8</v>
      </c>
      <c r="B317" s="58" t="s">
        <v>5</v>
      </c>
      <c r="C317" s="58" t="s">
        <v>9</v>
      </c>
      <c r="D317" s="58" t="s">
        <v>23</v>
      </c>
      <c r="E317" s="58" t="s">
        <v>11</v>
      </c>
    </row>
    <row r="318" spans="1:5" x14ac:dyDescent="0.3">
      <c r="A318" s="14" t="s">
        <v>144</v>
      </c>
      <c r="B318" s="10" t="s">
        <v>21</v>
      </c>
      <c r="C318" s="11">
        <v>35</v>
      </c>
      <c r="D318" s="12">
        <v>130000</v>
      </c>
      <c r="E318" s="12">
        <f>D318/C318</f>
        <v>3714.2857142857142</v>
      </c>
    </row>
    <row r="319" spans="1:5" x14ac:dyDescent="0.3">
      <c r="A319" s="14"/>
      <c r="B319" s="10"/>
      <c r="C319" s="11"/>
      <c r="D319" s="12"/>
      <c r="E319" s="12"/>
    </row>
    <row r="320" spans="1:5" x14ac:dyDescent="0.3">
      <c r="A320" s="59" t="s">
        <v>14</v>
      </c>
      <c r="B320" s="60"/>
      <c r="C320" s="60"/>
      <c r="D320" s="60"/>
      <c r="E320" s="61">
        <f>SUM(E318)</f>
        <v>3714.2857142857142</v>
      </c>
    </row>
    <row r="321" spans="1:5" x14ac:dyDescent="0.3">
      <c r="A321" s="10"/>
      <c r="B321" s="7"/>
      <c r="C321" s="7"/>
      <c r="D321" s="7"/>
      <c r="E321" s="7"/>
    </row>
    <row r="322" spans="1:5" x14ac:dyDescent="0.3">
      <c r="A322" s="59" t="s">
        <v>25</v>
      </c>
      <c r="B322" s="60"/>
      <c r="C322" s="60"/>
      <c r="D322" s="60"/>
      <c r="E322" s="61">
        <f>SUM(E304,E310,E315,E320)</f>
        <v>4085.7142857142858</v>
      </c>
    </row>
    <row r="323" spans="1:5" x14ac:dyDescent="0.3">
      <c r="A323" s="4"/>
      <c r="B323" s="5"/>
      <c r="C323" s="5"/>
      <c r="D323" s="5"/>
      <c r="E323" s="5"/>
    </row>
    <row r="324" spans="1:5" x14ac:dyDescent="0.3">
      <c r="A324" s="4"/>
      <c r="B324" s="5"/>
      <c r="C324" s="5"/>
      <c r="D324" s="5"/>
      <c r="E324" s="5"/>
    </row>
    <row r="325" spans="1:5" x14ac:dyDescent="0.3">
      <c r="A325" s="51" t="s">
        <v>145</v>
      </c>
      <c r="B325" s="52"/>
      <c r="C325" s="52"/>
      <c r="D325" s="6" t="s">
        <v>3</v>
      </c>
      <c r="E325" s="6" t="s">
        <v>146</v>
      </c>
    </row>
    <row r="326" spans="1:5" x14ac:dyDescent="0.3">
      <c r="A326" s="53"/>
      <c r="B326" s="44"/>
      <c r="C326" s="44"/>
      <c r="D326" s="8" t="s">
        <v>5</v>
      </c>
      <c r="E326" s="8" t="s">
        <v>6</v>
      </c>
    </row>
    <row r="327" spans="1:5" x14ac:dyDescent="0.3">
      <c r="A327" s="47" t="s">
        <v>7</v>
      </c>
      <c r="B327" s="48"/>
      <c r="C327" s="48"/>
      <c r="D327" s="48"/>
      <c r="E327" s="48"/>
    </row>
    <row r="328" spans="1:5" x14ac:dyDescent="0.3">
      <c r="A328" s="9" t="s">
        <v>8</v>
      </c>
      <c r="B328" s="9" t="s">
        <v>5</v>
      </c>
      <c r="C328" s="9" t="s">
        <v>9</v>
      </c>
      <c r="D328" s="9" t="s">
        <v>10</v>
      </c>
      <c r="E328" s="9" t="s">
        <v>11</v>
      </c>
    </row>
    <row r="329" spans="1:5" x14ac:dyDescent="0.3">
      <c r="A329" s="10" t="s">
        <v>12</v>
      </c>
      <c r="B329" s="10" t="s">
        <v>13</v>
      </c>
      <c r="C329" s="11">
        <v>0.05</v>
      </c>
      <c r="D329" s="12">
        <f>E350</f>
        <v>4666.666666666667</v>
      </c>
      <c r="E329" s="12">
        <f>C329*D329</f>
        <v>233.33333333333337</v>
      </c>
    </row>
    <row r="330" spans="1:5" x14ac:dyDescent="0.3">
      <c r="A330" s="10"/>
      <c r="B330" s="10"/>
      <c r="C330" s="10"/>
      <c r="D330" s="12"/>
      <c r="E330" s="12"/>
    </row>
    <row r="331" spans="1:5" x14ac:dyDescent="0.3">
      <c r="A331" s="45" t="s">
        <v>14</v>
      </c>
      <c r="B331" s="46"/>
      <c r="C331" s="46"/>
      <c r="D331" s="46"/>
      <c r="E331" s="13">
        <f>SUM(E329:E329)</f>
        <v>233.33333333333337</v>
      </c>
    </row>
    <row r="332" spans="1:5" x14ac:dyDescent="0.3">
      <c r="A332" s="47" t="s">
        <v>15</v>
      </c>
      <c r="B332" s="48"/>
      <c r="C332" s="48"/>
      <c r="D332" s="48"/>
      <c r="E332" s="48"/>
    </row>
    <row r="333" spans="1:5" x14ac:dyDescent="0.3">
      <c r="A333" s="9" t="s">
        <v>8</v>
      </c>
      <c r="B333" s="9" t="s">
        <v>5</v>
      </c>
      <c r="C333" s="9" t="s">
        <v>16</v>
      </c>
      <c r="D333" s="9" t="s">
        <v>17</v>
      </c>
      <c r="E333" s="9" t="s">
        <v>11</v>
      </c>
    </row>
    <row r="334" spans="1:5" x14ac:dyDescent="0.3">
      <c r="A334" s="14" t="s">
        <v>29</v>
      </c>
      <c r="B334" s="10" t="s">
        <v>28</v>
      </c>
      <c r="C334" s="24">
        <v>0.60602656641603547</v>
      </c>
      <c r="D334" s="12">
        <v>9500</v>
      </c>
      <c r="E334" s="12">
        <f>C334*D334</f>
        <v>5757.2523809523373</v>
      </c>
    </row>
    <row r="335" spans="1:5" x14ac:dyDescent="0.3">
      <c r="A335" s="14" t="s">
        <v>30</v>
      </c>
      <c r="B335" s="10" t="s">
        <v>28</v>
      </c>
      <c r="C335" s="24">
        <v>0.60609999999999997</v>
      </c>
      <c r="D335" s="12">
        <v>9000</v>
      </c>
      <c r="E335" s="12">
        <f>C335*D335</f>
        <v>5454.9</v>
      </c>
    </row>
    <row r="336" spans="1:5" x14ac:dyDescent="0.3">
      <c r="A336" s="14" t="s">
        <v>31</v>
      </c>
      <c r="B336" s="10" t="s">
        <v>28</v>
      </c>
      <c r="C336" s="15">
        <v>50</v>
      </c>
      <c r="D336" s="12">
        <v>40</v>
      </c>
      <c r="E336" s="12">
        <f>C336*D336</f>
        <v>2000</v>
      </c>
    </row>
    <row r="337" spans="1:5" x14ac:dyDescent="0.3">
      <c r="A337" s="14"/>
      <c r="B337" s="10"/>
      <c r="C337" s="16"/>
      <c r="D337" s="12"/>
      <c r="E337" s="12"/>
    </row>
    <row r="338" spans="1:5" x14ac:dyDescent="0.3">
      <c r="A338" s="17" t="s">
        <v>18</v>
      </c>
      <c r="B338" s="43"/>
      <c r="C338" s="44"/>
      <c r="D338" s="44"/>
      <c r="E338" s="12">
        <v>0</v>
      </c>
    </row>
    <row r="339" spans="1:5" x14ac:dyDescent="0.3">
      <c r="A339" s="17"/>
      <c r="B339" s="18"/>
      <c r="C339" s="7"/>
      <c r="D339" s="7"/>
      <c r="E339" s="12"/>
    </row>
    <row r="340" spans="1:5" x14ac:dyDescent="0.3">
      <c r="A340" s="45" t="s">
        <v>14</v>
      </c>
      <c r="B340" s="46"/>
      <c r="C340" s="46"/>
      <c r="D340" s="46"/>
      <c r="E340" s="13">
        <f>SUM(E334:E338)</f>
        <v>13212.152380952337</v>
      </c>
    </row>
    <row r="341" spans="1:5" x14ac:dyDescent="0.3">
      <c r="A341" s="47" t="s">
        <v>19</v>
      </c>
      <c r="B341" s="48"/>
      <c r="C341" s="48"/>
      <c r="D341" s="48"/>
      <c r="E341" s="48"/>
    </row>
    <row r="342" spans="1:5" x14ac:dyDescent="0.3">
      <c r="A342" s="9" t="s">
        <v>8</v>
      </c>
      <c r="B342" s="9" t="s">
        <v>5</v>
      </c>
      <c r="C342" s="9" t="s">
        <v>9</v>
      </c>
      <c r="D342" s="9" t="s">
        <v>10</v>
      </c>
      <c r="E342" s="9" t="s">
        <v>11</v>
      </c>
    </row>
    <row r="343" spans="1:5" x14ac:dyDescent="0.3">
      <c r="A343" s="14" t="s">
        <v>20</v>
      </c>
      <c r="B343" s="10" t="s">
        <v>21</v>
      </c>
      <c r="C343" s="20">
        <v>1.9349999999999999E-2</v>
      </c>
      <c r="D343" s="12">
        <v>60000</v>
      </c>
      <c r="E343" s="12">
        <f>D343*C343</f>
        <v>1161</v>
      </c>
    </row>
    <row r="344" spans="1:5" x14ac:dyDescent="0.3">
      <c r="A344" s="14"/>
      <c r="B344" s="10"/>
      <c r="C344" s="11"/>
      <c r="D344" s="12"/>
      <c r="E344" s="12"/>
    </row>
    <row r="345" spans="1:5" x14ac:dyDescent="0.3">
      <c r="A345" s="45" t="s">
        <v>14</v>
      </c>
      <c r="B345" s="46"/>
      <c r="C345" s="46"/>
      <c r="D345" s="46"/>
      <c r="E345" s="13">
        <f>SUM(E343)</f>
        <v>1161</v>
      </c>
    </row>
    <row r="346" spans="1:5" x14ac:dyDescent="0.3">
      <c r="A346" s="47" t="s">
        <v>22</v>
      </c>
      <c r="B346" s="48"/>
      <c r="C346" s="48"/>
      <c r="D346" s="48"/>
      <c r="E346" s="48"/>
    </row>
    <row r="347" spans="1:5" x14ac:dyDescent="0.3">
      <c r="A347" s="9" t="s">
        <v>8</v>
      </c>
      <c r="B347" s="9" t="s">
        <v>5</v>
      </c>
      <c r="C347" s="9" t="s">
        <v>9</v>
      </c>
      <c r="D347" s="9" t="s">
        <v>23</v>
      </c>
      <c r="E347" s="9" t="s">
        <v>11</v>
      </c>
    </row>
    <row r="348" spans="1:5" x14ac:dyDescent="0.3">
      <c r="A348" s="14" t="s">
        <v>32</v>
      </c>
      <c r="B348" s="10" t="s">
        <v>21</v>
      </c>
      <c r="C348" s="11">
        <v>45</v>
      </c>
      <c r="D348" s="12">
        <v>210000</v>
      </c>
      <c r="E348" s="12">
        <f>D348/C348</f>
        <v>4666.666666666667</v>
      </c>
    </row>
    <row r="349" spans="1:5" x14ac:dyDescent="0.3">
      <c r="A349" s="14"/>
      <c r="B349" s="10"/>
      <c r="C349" s="11"/>
      <c r="D349" s="12"/>
      <c r="E349" s="12"/>
    </row>
    <row r="350" spans="1:5" x14ac:dyDescent="0.3">
      <c r="A350" s="45" t="s">
        <v>14</v>
      </c>
      <c r="B350" s="46"/>
      <c r="C350" s="46"/>
      <c r="D350" s="46"/>
      <c r="E350" s="13">
        <f>SUM(E348)</f>
        <v>4666.666666666667</v>
      </c>
    </row>
    <row r="351" spans="1:5" x14ac:dyDescent="0.3">
      <c r="A351" s="10"/>
      <c r="B351" s="7"/>
      <c r="C351" s="7"/>
      <c r="D351" s="7"/>
      <c r="E351" s="7"/>
    </row>
    <row r="352" spans="1:5" x14ac:dyDescent="0.3">
      <c r="A352" s="45" t="s">
        <v>25</v>
      </c>
      <c r="B352" s="46"/>
      <c r="C352" s="46"/>
      <c r="D352" s="46"/>
      <c r="E352" s="13">
        <f>SUM(E331,E340,E345,E350)</f>
        <v>19273.152380952339</v>
      </c>
    </row>
    <row r="353" spans="1:5" x14ac:dyDescent="0.3">
      <c r="A353" s="19"/>
      <c r="B353" s="19"/>
      <c r="C353" s="19"/>
      <c r="D353" s="19"/>
      <c r="E353" s="19"/>
    </row>
    <row r="354" spans="1:5" x14ac:dyDescent="0.3">
      <c r="A354" s="19"/>
      <c r="B354" s="19"/>
      <c r="C354" s="19"/>
      <c r="D354" s="19"/>
      <c r="E354" s="19"/>
    </row>
    <row r="355" spans="1:5" x14ac:dyDescent="0.3">
      <c r="A355" s="54" t="s">
        <v>100</v>
      </c>
      <c r="B355" s="54"/>
      <c r="C355" s="54"/>
      <c r="D355" s="22" t="s">
        <v>3</v>
      </c>
      <c r="E355" s="6" t="s">
        <v>147</v>
      </c>
    </row>
    <row r="356" spans="1:5" x14ac:dyDescent="0.3">
      <c r="A356" s="53"/>
      <c r="B356" s="53"/>
      <c r="C356" s="53"/>
      <c r="D356" s="8" t="s">
        <v>5</v>
      </c>
      <c r="E356" s="8" t="s">
        <v>6</v>
      </c>
    </row>
    <row r="357" spans="1:5" x14ac:dyDescent="0.3">
      <c r="A357" s="47" t="s">
        <v>7</v>
      </c>
      <c r="B357" s="47"/>
      <c r="C357" s="47"/>
      <c r="D357" s="47"/>
      <c r="E357" s="47"/>
    </row>
    <row r="358" spans="1:5" x14ac:dyDescent="0.3">
      <c r="A358" s="9" t="s">
        <v>8</v>
      </c>
      <c r="B358" s="9" t="s">
        <v>5</v>
      </c>
      <c r="C358" s="9" t="s">
        <v>9</v>
      </c>
      <c r="D358" s="9" t="s">
        <v>10</v>
      </c>
      <c r="E358" s="9" t="s">
        <v>11</v>
      </c>
    </row>
    <row r="359" spans="1:5" x14ac:dyDescent="0.3">
      <c r="A359" s="10" t="s">
        <v>12</v>
      </c>
      <c r="B359" s="10" t="s">
        <v>13</v>
      </c>
      <c r="C359" s="11">
        <v>0.1</v>
      </c>
      <c r="D359" s="12">
        <f>E380</f>
        <v>8666.6666666666661</v>
      </c>
      <c r="E359" s="12">
        <f>C359*D359</f>
        <v>866.66666666666663</v>
      </c>
    </row>
    <row r="360" spans="1:5" x14ac:dyDescent="0.3">
      <c r="A360" s="10" t="s">
        <v>148</v>
      </c>
      <c r="B360" s="10" t="s">
        <v>21</v>
      </c>
      <c r="C360" s="11">
        <v>0.1</v>
      </c>
      <c r="D360" s="12">
        <v>25000</v>
      </c>
      <c r="E360" s="12">
        <f>C360*D360</f>
        <v>2500</v>
      </c>
    </row>
    <row r="361" spans="1:5" x14ac:dyDescent="0.3">
      <c r="A361" s="10"/>
      <c r="B361" s="10"/>
      <c r="C361" s="10"/>
      <c r="D361" s="12"/>
      <c r="E361" s="12"/>
    </row>
    <row r="362" spans="1:5" x14ac:dyDescent="0.3">
      <c r="A362" s="45" t="s">
        <v>14</v>
      </c>
      <c r="B362" s="45"/>
      <c r="C362" s="45"/>
      <c r="D362" s="45"/>
      <c r="E362" s="13">
        <f>SUM(E359:E360)</f>
        <v>3366.6666666666665</v>
      </c>
    </row>
    <row r="363" spans="1:5" x14ac:dyDescent="0.3">
      <c r="A363" s="47" t="s">
        <v>15</v>
      </c>
      <c r="B363" s="47"/>
      <c r="C363" s="47"/>
      <c r="D363" s="47"/>
      <c r="E363" s="47"/>
    </row>
    <row r="364" spans="1:5" x14ac:dyDescent="0.3">
      <c r="A364" s="9" t="s">
        <v>8</v>
      </c>
      <c r="B364" s="9" t="s">
        <v>5</v>
      </c>
      <c r="C364" s="9" t="s">
        <v>16</v>
      </c>
      <c r="D364" s="9" t="s">
        <v>17</v>
      </c>
      <c r="E364" s="9" t="s">
        <v>11</v>
      </c>
    </row>
    <row r="365" spans="1:5" x14ac:dyDescent="0.3">
      <c r="A365" s="14" t="s">
        <v>149</v>
      </c>
      <c r="B365" s="10" t="s">
        <v>35</v>
      </c>
      <c r="C365" s="24">
        <v>1.5</v>
      </c>
      <c r="D365" s="12">
        <f>50110</f>
        <v>50110</v>
      </c>
      <c r="E365" s="12">
        <f>C365*D365</f>
        <v>75165</v>
      </c>
    </row>
    <row r="366" spans="1:5" x14ac:dyDescent="0.3">
      <c r="A366" s="14" t="s">
        <v>150</v>
      </c>
      <c r="B366" s="10" t="s">
        <v>6</v>
      </c>
      <c r="C366" s="16">
        <v>1.4999999999999999E-2</v>
      </c>
      <c r="D366" s="12">
        <v>100000</v>
      </c>
      <c r="E366" s="12">
        <f>C366*D366</f>
        <v>1500</v>
      </c>
    </row>
    <row r="367" spans="1:5" x14ac:dyDescent="0.3">
      <c r="A367" s="14"/>
      <c r="B367" s="10"/>
      <c r="C367" s="16"/>
      <c r="D367" s="12"/>
      <c r="E367" s="12"/>
    </row>
    <row r="368" spans="1:5" x14ac:dyDescent="0.3">
      <c r="A368" s="17" t="s">
        <v>18</v>
      </c>
      <c r="B368" s="43"/>
      <c r="C368" s="43"/>
      <c r="D368" s="43"/>
      <c r="E368" s="12">
        <f>E365*0.02</f>
        <v>1503.3</v>
      </c>
    </row>
    <row r="369" spans="1:5" x14ac:dyDescent="0.3">
      <c r="A369" s="17"/>
      <c r="B369" s="18"/>
      <c r="C369" s="7"/>
      <c r="D369" s="7"/>
      <c r="E369" s="12"/>
    </row>
    <row r="370" spans="1:5" x14ac:dyDescent="0.3">
      <c r="A370" s="45" t="s">
        <v>14</v>
      </c>
      <c r="B370" s="45"/>
      <c r="C370" s="45"/>
      <c r="D370" s="45"/>
      <c r="E370" s="13">
        <f>SUM(E365:E368)</f>
        <v>78168.3</v>
      </c>
    </row>
    <row r="371" spans="1:5" x14ac:dyDescent="0.3">
      <c r="A371" s="47" t="s">
        <v>19</v>
      </c>
      <c r="B371" s="47"/>
      <c r="C371" s="47"/>
      <c r="D371" s="47"/>
      <c r="E371" s="47"/>
    </row>
    <row r="372" spans="1:5" x14ac:dyDescent="0.3">
      <c r="A372" s="9" t="s">
        <v>8</v>
      </c>
      <c r="B372" s="9" t="s">
        <v>5</v>
      </c>
      <c r="C372" s="9" t="s">
        <v>9</v>
      </c>
      <c r="D372" s="9" t="s">
        <v>10</v>
      </c>
      <c r="E372" s="9" t="s">
        <v>11</v>
      </c>
    </row>
    <row r="373" spans="1:5" x14ac:dyDescent="0.3">
      <c r="A373" s="14" t="s">
        <v>38</v>
      </c>
      <c r="B373" s="10" t="s">
        <v>21</v>
      </c>
      <c r="C373" s="11">
        <v>0.02</v>
      </c>
      <c r="D373" s="12">
        <v>45000</v>
      </c>
      <c r="E373" s="12">
        <f>D373*C373</f>
        <v>900</v>
      </c>
    </row>
    <row r="374" spans="1:5" x14ac:dyDescent="0.3">
      <c r="A374" s="14"/>
      <c r="B374" s="10"/>
      <c r="C374" s="11"/>
      <c r="D374" s="12"/>
      <c r="E374" s="12"/>
    </row>
    <row r="375" spans="1:5" x14ac:dyDescent="0.3">
      <c r="A375" s="45" t="s">
        <v>14</v>
      </c>
      <c r="B375" s="45"/>
      <c r="C375" s="45"/>
      <c r="D375" s="45"/>
      <c r="E375" s="13">
        <f>SUM(E373)</f>
        <v>900</v>
      </c>
    </row>
    <row r="376" spans="1:5" x14ac:dyDescent="0.3">
      <c r="A376" s="47" t="s">
        <v>22</v>
      </c>
      <c r="B376" s="47"/>
      <c r="C376" s="47"/>
      <c r="D376" s="47"/>
      <c r="E376" s="47"/>
    </row>
    <row r="377" spans="1:5" x14ac:dyDescent="0.3">
      <c r="A377" s="9" t="s">
        <v>8</v>
      </c>
      <c r="B377" s="9" t="s">
        <v>5</v>
      </c>
      <c r="C377" s="9" t="s">
        <v>9</v>
      </c>
      <c r="D377" s="9" t="s">
        <v>23</v>
      </c>
      <c r="E377" s="9" t="s">
        <v>11</v>
      </c>
    </row>
    <row r="378" spans="1:5" x14ac:dyDescent="0.3">
      <c r="A378" s="14" t="s">
        <v>39</v>
      </c>
      <c r="B378" s="10" t="s">
        <v>21</v>
      </c>
      <c r="C378" s="11">
        <v>15</v>
      </c>
      <c r="D378" s="12">
        <v>130000</v>
      </c>
      <c r="E378" s="12">
        <f>D378/C378</f>
        <v>8666.6666666666661</v>
      </c>
    </row>
    <row r="379" spans="1:5" x14ac:dyDescent="0.3">
      <c r="A379" s="14"/>
      <c r="B379" s="10"/>
      <c r="C379" s="11"/>
      <c r="D379" s="12"/>
      <c r="E379" s="12"/>
    </row>
    <row r="380" spans="1:5" x14ac:dyDescent="0.3">
      <c r="A380" s="45" t="s">
        <v>14</v>
      </c>
      <c r="B380" s="45"/>
      <c r="C380" s="45"/>
      <c r="D380" s="45"/>
      <c r="E380" s="13">
        <f>SUM(E378)</f>
        <v>8666.6666666666661</v>
      </c>
    </row>
    <row r="381" spans="1:5" x14ac:dyDescent="0.3">
      <c r="A381" s="10"/>
      <c r="B381" s="7"/>
      <c r="C381" s="7"/>
      <c r="D381" s="7"/>
      <c r="E381" s="7"/>
    </row>
    <row r="382" spans="1:5" x14ac:dyDescent="0.3">
      <c r="A382" s="45" t="s">
        <v>25</v>
      </c>
      <c r="B382" s="45"/>
      <c r="C382" s="45"/>
      <c r="D382" s="45"/>
      <c r="E382" s="13">
        <f>SUM(E362,E370,E375,E380)</f>
        <v>91101.633333333346</v>
      </c>
    </row>
    <row r="383" spans="1:5" x14ac:dyDescent="0.3">
      <c r="A383" s="19"/>
      <c r="B383" s="19"/>
      <c r="C383" s="19"/>
      <c r="D383" s="19"/>
      <c r="E383" s="19"/>
    </row>
    <row r="384" spans="1:5" x14ac:dyDescent="0.3">
      <c r="A384" s="19"/>
      <c r="B384" s="19"/>
      <c r="C384" s="19"/>
      <c r="D384" s="19"/>
      <c r="E384" s="19"/>
    </row>
    <row r="385" spans="1:5" x14ac:dyDescent="0.3">
      <c r="A385" s="51" t="s">
        <v>151</v>
      </c>
      <c r="B385" s="52"/>
      <c r="C385" s="52"/>
      <c r="D385" s="6" t="s">
        <v>3</v>
      </c>
      <c r="E385" s="6" t="s">
        <v>152</v>
      </c>
    </row>
    <row r="386" spans="1:5" x14ac:dyDescent="0.3">
      <c r="A386" s="53"/>
      <c r="B386" s="44"/>
      <c r="C386" s="44"/>
      <c r="D386" s="8" t="s">
        <v>5</v>
      </c>
      <c r="E386" s="8" t="s">
        <v>6</v>
      </c>
    </row>
    <row r="387" spans="1:5" x14ac:dyDescent="0.3">
      <c r="A387" s="47" t="s">
        <v>7</v>
      </c>
      <c r="B387" s="48"/>
      <c r="C387" s="48"/>
      <c r="D387" s="48"/>
      <c r="E387" s="48"/>
    </row>
    <row r="388" spans="1:5" x14ac:dyDescent="0.3">
      <c r="A388" s="9" t="s">
        <v>8</v>
      </c>
      <c r="B388" s="9" t="s">
        <v>5</v>
      </c>
      <c r="C388" s="9" t="s">
        <v>9</v>
      </c>
      <c r="D388" s="9" t="s">
        <v>10</v>
      </c>
      <c r="E388" s="9" t="s">
        <v>11</v>
      </c>
    </row>
    <row r="389" spans="1:5" x14ac:dyDescent="0.3">
      <c r="A389" s="10" t="s">
        <v>12</v>
      </c>
      <c r="B389" s="10" t="s">
        <v>13</v>
      </c>
      <c r="C389" s="11">
        <v>0.05</v>
      </c>
      <c r="D389" s="12">
        <f>E409</f>
        <v>21000</v>
      </c>
      <c r="E389" s="12">
        <f>C389*D389</f>
        <v>1050</v>
      </c>
    </row>
    <row r="390" spans="1:5" x14ac:dyDescent="0.3">
      <c r="A390" s="10"/>
      <c r="B390" s="10"/>
      <c r="C390" s="10"/>
      <c r="D390" s="12"/>
      <c r="E390" s="12"/>
    </row>
    <row r="391" spans="1:5" x14ac:dyDescent="0.3">
      <c r="A391" s="45" t="s">
        <v>14</v>
      </c>
      <c r="B391" s="46"/>
      <c r="C391" s="46"/>
      <c r="D391" s="46"/>
      <c r="E391" s="13">
        <f>SUM(E389:E389)</f>
        <v>1050</v>
      </c>
    </row>
    <row r="392" spans="1:5" x14ac:dyDescent="0.3">
      <c r="A392" s="47" t="s">
        <v>15</v>
      </c>
      <c r="B392" s="48"/>
      <c r="C392" s="48"/>
      <c r="D392" s="48"/>
      <c r="E392" s="48"/>
    </row>
    <row r="393" spans="1:5" x14ac:dyDescent="0.3">
      <c r="A393" s="9" t="s">
        <v>8</v>
      </c>
      <c r="B393" s="9" t="s">
        <v>5</v>
      </c>
      <c r="C393" s="9" t="s">
        <v>16</v>
      </c>
      <c r="D393" s="9" t="s">
        <v>17</v>
      </c>
      <c r="E393" s="9" t="s">
        <v>11</v>
      </c>
    </row>
    <row r="394" spans="1:5" x14ac:dyDescent="0.3">
      <c r="A394" s="14" t="s">
        <v>27</v>
      </c>
      <c r="B394" s="10" t="s">
        <v>28</v>
      </c>
      <c r="C394" s="20">
        <v>0.38</v>
      </c>
      <c r="D394" s="12">
        <v>93300</v>
      </c>
      <c r="E394" s="12">
        <f>C394*D394</f>
        <v>35454</v>
      </c>
    </row>
    <row r="395" spans="1:5" x14ac:dyDescent="0.3">
      <c r="A395" s="14" t="s">
        <v>153</v>
      </c>
      <c r="B395" s="10" t="s">
        <v>6</v>
      </c>
      <c r="C395" s="16">
        <v>0.03</v>
      </c>
      <c r="D395" s="12">
        <v>276000</v>
      </c>
      <c r="E395" s="12">
        <f>C395*D395</f>
        <v>8280</v>
      </c>
    </row>
    <row r="396" spans="1:5" x14ac:dyDescent="0.3">
      <c r="A396" s="14"/>
      <c r="B396" s="10"/>
      <c r="C396" s="16"/>
      <c r="D396" s="12"/>
      <c r="E396" s="12"/>
    </row>
    <row r="397" spans="1:5" x14ac:dyDescent="0.3">
      <c r="A397" s="17" t="s">
        <v>18</v>
      </c>
      <c r="B397" s="43"/>
      <c r="C397" s="44"/>
      <c r="D397" s="44"/>
      <c r="E397" s="12">
        <v>0</v>
      </c>
    </row>
    <row r="398" spans="1:5" x14ac:dyDescent="0.3">
      <c r="A398" s="17"/>
      <c r="B398" s="18"/>
      <c r="C398" s="7"/>
      <c r="D398" s="7"/>
      <c r="E398" s="12"/>
    </row>
    <row r="399" spans="1:5" x14ac:dyDescent="0.3">
      <c r="A399" s="45" t="s">
        <v>14</v>
      </c>
      <c r="B399" s="46"/>
      <c r="C399" s="46"/>
      <c r="D399" s="46"/>
      <c r="E399" s="13">
        <f>SUM(E394:E397)</f>
        <v>43734</v>
      </c>
    </row>
    <row r="400" spans="1:5" x14ac:dyDescent="0.3">
      <c r="A400" s="47" t="s">
        <v>19</v>
      </c>
      <c r="B400" s="48"/>
      <c r="C400" s="48"/>
      <c r="D400" s="48"/>
      <c r="E400" s="48"/>
    </row>
    <row r="401" spans="1:5" x14ac:dyDescent="0.3">
      <c r="A401" s="9" t="s">
        <v>8</v>
      </c>
      <c r="B401" s="9" t="s">
        <v>5</v>
      </c>
      <c r="C401" s="9" t="s">
        <v>9</v>
      </c>
      <c r="D401" s="9" t="s">
        <v>10</v>
      </c>
      <c r="E401" s="9" t="s">
        <v>11</v>
      </c>
    </row>
    <row r="402" spans="1:5" x14ac:dyDescent="0.3">
      <c r="A402" s="14" t="s">
        <v>20</v>
      </c>
      <c r="B402" s="10" t="s">
        <v>21</v>
      </c>
      <c r="C402" s="11">
        <v>1.4999999999999999E-2</v>
      </c>
      <c r="D402" s="12">
        <v>60000</v>
      </c>
      <c r="E402" s="12">
        <f>D402*C402</f>
        <v>900</v>
      </c>
    </row>
    <row r="403" spans="1:5" x14ac:dyDescent="0.3">
      <c r="A403" s="14"/>
      <c r="B403" s="10"/>
      <c r="C403" s="11"/>
      <c r="D403" s="12"/>
      <c r="E403" s="12"/>
    </row>
    <row r="404" spans="1:5" x14ac:dyDescent="0.3">
      <c r="A404" s="45" t="s">
        <v>14</v>
      </c>
      <c r="B404" s="46"/>
      <c r="C404" s="46"/>
      <c r="D404" s="46"/>
      <c r="E404" s="13">
        <f>SUM(E402)</f>
        <v>900</v>
      </c>
    </row>
    <row r="405" spans="1:5" x14ac:dyDescent="0.3">
      <c r="A405" s="47" t="s">
        <v>22</v>
      </c>
      <c r="B405" s="48"/>
      <c r="C405" s="48"/>
      <c r="D405" s="48"/>
      <c r="E405" s="48"/>
    </row>
    <row r="406" spans="1:5" x14ac:dyDescent="0.3">
      <c r="A406" s="9" t="s">
        <v>8</v>
      </c>
      <c r="B406" s="9" t="s">
        <v>5</v>
      </c>
      <c r="C406" s="9" t="s">
        <v>9</v>
      </c>
      <c r="D406" s="9" t="s">
        <v>23</v>
      </c>
      <c r="E406" s="9" t="s">
        <v>11</v>
      </c>
    </row>
    <row r="407" spans="1:5" x14ac:dyDescent="0.3">
      <c r="A407" s="14" t="s">
        <v>32</v>
      </c>
      <c r="B407" s="10" t="s">
        <v>21</v>
      </c>
      <c r="C407" s="11">
        <v>10</v>
      </c>
      <c r="D407" s="12">
        <v>210000</v>
      </c>
      <c r="E407" s="12">
        <f>D407/C407</f>
        <v>21000</v>
      </c>
    </row>
    <row r="408" spans="1:5" x14ac:dyDescent="0.3">
      <c r="A408" s="14"/>
      <c r="B408" s="10"/>
      <c r="C408" s="11"/>
      <c r="D408" s="12"/>
      <c r="E408" s="12"/>
    </row>
    <row r="409" spans="1:5" x14ac:dyDescent="0.3">
      <c r="A409" s="45" t="s">
        <v>14</v>
      </c>
      <c r="B409" s="46"/>
      <c r="C409" s="46"/>
      <c r="D409" s="46"/>
      <c r="E409" s="13">
        <f>SUM(E407)</f>
        <v>21000</v>
      </c>
    </row>
    <row r="410" spans="1:5" x14ac:dyDescent="0.3">
      <c r="A410" s="10"/>
      <c r="B410" s="7"/>
      <c r="C410" s="7"/>
      <c r="D410" s="7"/>
      <c r="E410" s="7"/>
    </row>
    <row r="411" spans="1:5" x14ac:dyDescent="0.3">
      <c r="A411" s="45" t="s">
        <v>25</v>
      </c>
      <c r="B411" s="46"/>
      <c r="C411" s="46"/>
      <c r="D411" s="46"/>
      <c r="E411" s="13">
        <f>SUM(E391,E399,E404,E409)</f>
        <v>66684</v>
      </c>
    </row>
    <row r="412" spans="1:5" x14ac:dyDescent="0.3">
      <c r="A412" s="19"/>
      <c r="B412" s="19"/>
      <c r="C412" s="19"/>
      <c r="D412" s="19"/>
      <c r="E412" s="19"/>
    </row>
    <row r="413" spans="1:5" x14ac:dyDescent="0.3">
      <c r="A413" s="19"/>
      <c r="B413" s="19"/>
      <c r="C413" s="19"/>
      <c r="D413" s="19"/>
      <c r="E413" s="19"/>
    </row>
    <row r="414" spans="1:5" x14ac:dyDescent="0.3">
      <c r="A414" s="51" t="s">
        <v>154</v>
      </c>
      <c r="B414" s="52"/>
      <c r="C414" s="52"/>
      <c r="D414" s="6" t="s">
        <v>3</v>
      </c>
      <c r="E414" s="6" t="s">
        <v>155</v>
      </c>
    </row>
    <row r="415" spans="1:5" x14ac:dyDescent="0.3">
      <c r="A415" s="53"/>
      <c r="B415" s="44"/>
      <c r="C415" s="44"/>
      <c r="D415" s="8" t="s">
        <v>5</v>
      </c>
      <c r="E415" s="8" t="s">
        <v>6</v>
      </c>
    </row>
    <row r="416" spans="1:5" x14ac:dyDescent="0.3">
      <c r="A416" s="47" t="s">
        <v>7</v>
      </c>
      <c r="B416" s="48"/>
      <c r="C416" s="48"/>
      <c r="D416" s="48"/>
      <c r="E416" s="48"/>
    </row>
    <row r="417" spans="1:5" x14ac:dyDescent="0.3">
      <c r="A417" s="9" t="s">
        <v>8</v>
      </c>
      <c r="B417" s="9" t="s">
        <v>5</v>
      </c>
      <c r="C417" s="9" t="s">
        <v>9</v>
      </c>
      <c r="D417" s="9" t="s">
        <v>10</v>
      </c>
      <c r="E417" s="9" t="s">
        <v>11</v>
      </c>
    </row>
    <row r="418" spans="1:5" x14ac:dyDescent="0.3">
      <c r="A418" s="10" t="s">
        <v>12</v>
      </c>
      <c r="B418" s="10" t="s">
        <v>13</v>
      </c>
      <c r="C418" s="11">
        <v>0.05</v>
      </c>
      <c r="D418" s="12">
        <f>E438</f>
        <v>4200</v>
      </c>
      <c r="E418" s="12">
        <f>C418*D418</f>
        <v>210</v>
      </c>
    </row>
    <row r="419" spans="1:5" x14ac:dyDescent="0.3">
      <c r="A419" s="10"/>
      <c r="B419" s="10"/>
      <c r="C419" s="10"/>
      <c r="D419" s="12"/>
      <c r="E419" s="12"/>
    </row>
    <row r="420" spans="1:5" x14ac:dyDescent="0.3">
      <c r="A420" s="45" t="s">
        <v>14</v>
      </c>
      <c r="B420" s="46"/>
      <c r="C420" s="46"/>
      <c r="D420" s="46"/>
      <c r="E420" s="13">
        <f>SUM(E418:E418)</f>
        <v>210</v>
      </c>
    </row>
    <row r="421" spans="1:5" x14ac:dyDescent="0.3">
      <c r="A421" s="47" t="s">
        <v>15</v>
      </c>
      <c r="B421" s="48"/>
      <c r="C421" s="48"/>
      <c r="D421" s="48"/>
      <c r="E421" s="48"/>
    </row>
    <row r="422" spans="1:5" x14ac:dyDescent="0.3">
      <c r="A422" s="9" t="s">
        <v>8</v>
      </c>
      <c r="B422" s="9" t="s">
        <v>5</v>
      </c>
      <c r="C422" s="9" t="s">
        <v>16</v>
      </c>
      <c r="D422" s="9" t="s">
        <v>17</v>
      </c>
      <c r="E422" s="9" t="s">
        <v>11</v>
      </c>
    </row>
    <row r="423" spans="1:5" x14ac:dyDescent="0.3">
      <c r="A423" s="14" t="s">
        <v>27</v>
      </c>
      <c r="B423" s="10" t="s">
        <v>28</v>
      </c>
      <c r="C423" s="20">
        <v>3.5000000000000003E-2</v>
      </c>
      <c r="D423" s="12">
        <v>93300</v>
      </c>
      <c r="E423" s="12">
        <f>C423*D423</f>
        <v>3265.5000000000005</v>
      </c>
    </row>
    <row r="424" spans="1:5" x14ac:dyDescent="0.3">
      <c r="A424" s="14" t="s">
        <v>153</v>
      </c>
      <c r="B424" s="10" t="s">
        <v>6</v>
      </c>
      <c r="C424" s="16">
        <v>5.0000000000000001E-3</v>
      </c>
      <c r="D424" s="12">
        <v>276000</v>
      </c>
      <c r="E424" s="12">
        <f>C424*D424</f>
        <v>1380</v>
      </c>
    </row>
    <row r="425" spans="1:5" x14ac:dyDescent="0.3">
      <c r="A425" s="14"/>
      <c r="B425" s="10"/>
      <c r="C425" s="16"/>
      <c r="D425" s="12"/>
      <c r="E425" s="12"/>
    </row>
    <row r="426" spans="1:5" x14ac:dyDescent="0.3">
      <c r="A426" s="17" t="s">
        <v>18</v>
      </c>
      <c r="B426" s="43"/>
      <c r="C426" s="44"/>
      <c r="D426" s="44"/>
      <c r="E426" s="12">
        <v>0</v>
      </c>
    </row>
    <row r="427" spans="1:5" x14ac:dyDescent="0.3">
      <c r="A427" s="17"/>
      <c r="B427" s="18"/>
      <c r="C427" s="7"/>
      <c r="D427" s="7"/>
      <c r="E427" s="12"/>
    </row>
    <row r="428" spans="1:5" x14ac:dyDescent="0.3">
      <c r="A428" s="45" t="s">
        <v>14</v>
      </c>
      <c r="B428" s="46"/>
      <c r="C428" s="46"/>
      <c r="D428" s="46"/>
      <c r="E428" s="13">
        <f>SUM(E423:E426)</f>
        <v>4645.5</v>
      </c>
    </row>
    <row r="429" spans="1:5" x14ac:dyDescent="0.3">
      <c r="A429" s="47" t="s">
        <v>19</v>
      </c>
      <c r="B429" s="48"/>
      <c r="C429" s="48"/>
      <c r="D429" s="48"/>
      <c r="E429" s="48"/>
    </row>
    <row r="430" spans="1:5" x14ac:dyDescent="0.3">
      <c r="A430" s="9" t="s">
        <v>8</v>
      </c>
      <c r="B430" s="9" t="s">
        <v>5</v>
      </c>
      <c r="C430" s="9" t="s">
        <v>9</v>
      </c>
      <c r="D430" s="9" t="s">
        <v>10</v>
      </c>
      <c r="E430" s="9" t="s">
        <v>11</v>
      </c>
    </row>
    <row r="431" spans="1:5" x14ac:dyDescent="0.3">
      <c r="A431" s="14" t="s">
        <v>20</v>
      </c>
      <c r="B431" s="10" t="s">
        <v>21</v>
      </c>
      <c r="C431" s="11">
        <v>0</v>
      </c>
      <c r="D431" s="12">
        <v>60000</v>
      </c>
      <c r="E431" s="12">
        <f>D431*C431</f>
        <v>0</v>
      </c>
    </row>
    <row r="432" spans="1:5" x14ac:dyDescent="0.3">
      <c r="A432" s="14"/>
      <c r="B432" s="10"/>
      <c r="C432" s="11"/>
      <c r="D432" s="12"/>
      <c r="E432" s="12"/>
    </row>
    <row r="433" spans="1:5" x14ac:dyDescent="0.3">
      <c r="A433" s="45" t="s">
        <v>14</v>
      </c>
      <c r="B433" s="46"/>
      <c r="C433" s="46"/>
      <c r="D433" s="46"/>
      <c r="E433" s="13">
        <f>SUM(E431)</f>
        <v>0</v>
      </c>
    </row>
    <row r="434" spans="1:5" x14ac:dyDescent="0.3">
      <c r="A434" s="47" t="s">
        <v>22</v>
      </c>
      <c r="B434" s="48"/>
      <c r="C434" s="48"/>
      <c r="D434" s="48"/>
      <c r="E434" s="48"/>
    </row>
    <row r="435" spans="1:5" x14ac:dyDescent="0.3">
      <c r="A435" s="9" t="s">
        <v>8</v>
      </c>
      <c r="B435" s="9" t="s">
        <v>5</v>
      </c>
      <c r="C435" s="9" t="s">
        <v>9</v>
      </c>
      <c r="D435" s="9" t="s">
        <v>23</v>
      </c>
      <c r="E435" s="9" t="s">
        <v>11</v>
      </c>
    </row>
    <row r="436" spans="1:5" x14ac:dyDescent="0.3">
      <c r="A436" s="14" t="s">
        <v>32</v>
      </c>
      <c r="B436" s="10" t="s">
        <v>21</v>
      </c>
      <c r="C436" s="11">
        <v>50</v>
      </c>
      <c r="D436" s="12">
        <v>210000</v>
      </c>
      <c r="E436" s="12">
        <f>D436/C436</f>
        <v>4200</v>
      </c>
    </row>
    <row r="437" spans="1:5" x14ac:dyDescent="0.3">
      <c r="A437" s="14"/>
      <c r="B437" s="10"/>
      <c r="C437" s="11"/>
      <c r="D437" s="12"/>
      <c r="E437" s="12"/>
    </row>
    <row r="438" spans="1:5" x14ac:dyDescent="0.3">
      <c r="A438" s="45" t="s">
        <v>14</v>
      </c>
      <c r="B438" s="46"/>
      <c r="C438" s="46"/>
      <c r="D438" s="46"/>
      <c r="E438" s="13">
        <f>SUM(E436)</f>
        <v>4200</v>
      </c>
    </row>
    <row r="439" spans="1:5" x14ac:dyDescent="0.3">
      <c r="A439" s="10"/>
      <c r="B439" s="7"/>
      <c r="C439" s="7"/>
      <c r="D439" s="7"/>
      <c r="E439" s="7"/>
    </row>
    <row r="440" spans="1:5" x14ac:dyDescent="0.3">
      <c r="A440" s="45" t="s">
        <v>25</v>
      </c>
      <c r="B440" s="46"/>
      <c r="C440" s="46"/>
      <c r="D440" s="46"/>
      <c r="E440" s="13">
        <f>SUM(E420,E428,E433,E438)</f>
        <v>9055.5</v>
      </c>
    </row>
    <row r="441" spans="1:5" x14ac:dyDescent="0.3">
      <c r="A441" s="19"/>
      <c r="B441" s="19"/>
      <c r="C441" s="19"/>
      <c r="D441" s="19"/>
      <c r="E441" s="19"/>
    </row>
    <row r="442" spans="1:5" x14ac:dyDescent="0.3">
      <c r="A442" s="19"/>
      <c r="B442" s="19"/>
      <c r="C442" s="19"/>
      <c r="D442" s="19"/>
      <c r="E442" s="19"/>
    </row>
    <row r="443" spans="1:5" x14ac:dyDescent="0.3">
      <c r="A443" s="1" t="s">
        <v>156</v>
      </c>
      <c r="B443" s="62"/>
      <c r="C443" s="62"/>
      <c r="D443" s="62"/>
      <c r="E443" s="62"/>
    </row>
    <row r="444" spans="1:5" x14ac:dyDescent="0.3">
      <c r="A444" s="19"/>
      <c r="B444" s="19"/>
      <c r="C444" s="19"/>
      <c r="D444" s="19"/>
      <c r="E444" s="19"/>
    </row>
    <row r="445" spans="1:5" x14ac:dyDescent="0.3">
      <c r="A445" s="54" t="s">
        <v>40</v>
      </c>
      <c r="B445" s="54"/>
      <c r="C445" s="54"/>
      <c r="D445" s="22" t="s">
        <v>3</v>
      </c>
      <c r="E445" s="6" t="s">
        <v>157</v>
      </c>
    </row>
    <row r="446" spans="1:5" x14ac:dyDescent="0.3">
      <c r="A446" s="53"/>
      <c r="B446" s="53"/>
      <c r="C446" s="53"/>
      <c r="D446" s="58" t="s">
        <v>5</v>
      </c>
      <c r="E446" s="58" t="s">
        <v>6</v>
      </c>
    </row>
    <row r="447" spans="1:5" x14ac:dyDescent="0.3">
      <c r="A447" s="47" t="s">
        <v>7</v>
      </c>
      <c r="B447" s="47"/>
      <c r="C447" s="47"/>
      <c r="D447" s="47"/>
      <c r="E447" s="47"/>
    </row>
    <row r="448" spans="1:5" x14ac:dyDescent="0.3">
      <c r="A448" s="58" t="s">
        <v>8</v>
      </c>
      <c r="B448" s="58" t="s">
        <v>5</v>
      </c>
      <c r="C448" s="58" t="s">
        <v>9</v>
      </c>
      <c r="D448" s="58" t="s">
        <v>10</v>
      </c>
      <c r="E448" s="58" t="s">
        <v>11</v>
      </c>
    </row>
    <row r="449" spans="1:5" x14ac:dyDescent="0.3">
      <c r="A449" s="10" t="s">
        <v>12</v>
      </c>
      <c r="B449" s="10" t="s">
        <v>13</v>
      </c>
      <c r="C449" s="11">
        <v>0.1</v>
      </c>
      <c r="D449" s="12">
        <f>E467</f>
        <v>2111.1111111111113</v>
      </c>
      <c r="E449" s="12">
        <f>C449*D449</f>
        <v>211.11111111111114</v>
      </c>
    </row>
    <row r="450" spans="1:5" x14ac:dyDescent="0.3">
      <c r="A450" s="10"/>
      <c r="B450" s="10"/>
      <c r="C450" s="10"/>
      <c r="D450" s="12"/>
      <c r="E450" s="12"/>
    </row>
    <row r="451" spans="1:5" x14ac:dyDescent="0.3">
      <c r="A451" s="59" t="s">
        <v>14</v>
      </c>
      <c r="B451" s="59"/>
      <c r="C451" s="59"/>
      <c r="D451" s="59"/>
      <c r="E451" s="61">
        <f>SUM(E449:E449)</f>
        <v>211.11111111111114</v>
      </c>
    </row>
    <row r="452" spans="1:5" x14ac:dyDescent="0.3">
      <c r="A452" s="47" t="s">
        <v>15</v>
      </c>
      <c r="B452" s="47"/>
      <c r="C452" s="47"/>
      <c r="D452" s="47"/>
      <c r="E452" s="47"/>
    </row>
    <row r="453" spans="1:5" x14ac:dyDescent="0.3">
      <c r="A453" s="58" t="s">
        <v>8</v>
      </c>
      <c r="B453" s="58" t="s">
        <v>5</v>
      </c>
      <c r="C453" s="58" t="s">
        <v>16</v>
      </c>
      <c r="D453" s="58" t="s">
        <v>17</v>
      </c>
      <c r="E453" s="58" t="s">
        <v>11</v>
      </c>
    </row>
    <row r="454" spans="1:5" x14ac:dyDescent="0.3">
      <c r="A454" s="14"/>
      <c r="B454" s="10"/>
      <c r="C454" s="16"/>
      <c r="D454" s="12"/>
      <c r="E454" s="12"/>
    </row>
    <row r="455" spans="1:5" x14ac:dyDescent="0.3">
      <c r="A455" s="17" t="s">
        <v>37</v>
      </c>
      <c r="B455" s="43"/>
      <c r="C455" s="43"/>
      <c r="D455" s="43"/>
      <c r="E455" s="12">
        <v>0</v>
      </c>
    </row>
    <row r="456" spans="1:5" x14ac:dyDescent="0.3">
      <c r="A456" s="17"/>
      <c r="B456" s="18"/>
      <c r="C456" s="7"/>
      <c r="D456" s="7"/>
      <c r="E456" s="12"/>
    </row>
    <row r="457" spans="1:5" x14ac:dyDescent="0.3">
      <c r="A457" s="59" t="s">
        <v>14</v>
      </c>
      <c r="B457" s="59"/>
      <c r="C457" s="59"/>
      <c r="D457" s="59"/>
      <c r="E457" s="61">
        <f>SUM(E454:E455)</f>
        <v>0</v>
      </c>
    </row>
    <row r="458" spans="1:5" x14ac:dyDescent="0.3">
      <c r="A458" s="47" t="s">
        <v>19</v>
      </c>
      <c r="B458" s="47"/>
      <c r="C458" s="47"/>
      <c r="D458" s="47"/>
      <c r="E458" s="47"/>
    </row>
    <row r="459" spans="1:5" x14ac:dyDescent="0.3">
      <c r="A459" s="58" t="s">
        <v>8</v>
      </c>
      <c r="B459" s="58" t="s">
        <v>5</v>
      </c>
      <c r="C459" s="58" t="s">
        <v>9</v>
      </c>
      <c r="D459" s="58" t="s">
        <v>10</v>
      </c>
      <c r="E459" s="58" t="s">
        <v>11</v>
      </c>
    </row>
    <row r="460" spans="1:5" x14ac:dyDescent="0.3">
      <c r="A460" s="14" t="s">
        <v>38</v>
      </c>
      <c r="B460" s="10" t="s">
        <v>21</v>
      </c>
      <c r="C460" s="11">
        <v>0</v>
      </c>
      <c r="D460" s="12">
        <v>45000</v>
      </c>
      <c r="E460" s="12">
        <f>D460*C460</f>
        <v>0</v>
      </c>
    </row>
    <row r="461" spans="1:5" x14ac:dyDescent="0.3">
      <c r="A461" s="14"/>
      <c r="B461" s="10"/>
      <c r="C461" s="11"/>
      <c r="D461" s="12"/>
      <c r="E461" s="12"/>
    </row>
    <row r="462" spans="1:5" x14ac:dyDescent="0.3">
      <c r="A462" s="59" t="s">
        <v>14</v>
      </c>
      <c r="B462" s="59"/>
      <c r="C462" s="59"/>
      <c r="D462" s="59"/>
      <c r="E462" s="61">
        <f>SUM(E460)</f>
        <v>0</v>
      </c>
    </row>
    <row r="463" spans="1:5" x14ac:dyDescent="0.3">
      <c r="A463" s="47" t="s">
        <v>22</v>
      </c>
      <c r="B463" s="47"/>
      <c r="C463" s="47"/>
      <c r="D463" s="47"/>
      <c r="E463" s="47"/>
    </row>
    <row r="464" spans="1:5" x14ac:dyDescent="0.3">
      <c r="A464" s="58" t="s">
        <v>8</v>
      </c>
      <c r="B464" s="58" t="s">
        <v>5</v>
      </c>
      <c r="C464" s="58" t="s">
        <v>9</v>
      </c>
      <c r="D464" s="58" t="s">
        <v>23</v>
      </c>
      <c r="E464" s="58" t="s">
        <v>11</v>
      </c>
    </row>
    <row r="465" spans="1:5" x14ac:dyDescent="0.3">
      <c r="A465" s="14" t="s">
        <v>158</v>
      </c>
      <c r="B465" s="10" t="s">
        <v>21</v>
      </c>
      <c r="C465" s="11">
        <v>45</v>
      </c>
      <c r="D465" s="12">
        <v>95000</v>
      </c>
      <c r="E465" s="12">
        <f>D465/C465</f>
        <v>2111.1111111111113</v>
      </c>
    </row>
    <row r="466" spans="1:5" x14ac:dyDescent="0.3">
      <c r="A466" s="14"/>
      <c r="B466" s="10"/>
      <c r="C466" s="11"/>
      <c r="D466" s="12"/>
      <c r="E466" s="12"/>
    </row>
    <row r="467" spans="1:5" x14ac:dyDescent="0.3">
      <c r="A467" s="59" t="s">
        <v>14</v>
      </c>
      <c r="B467" s="59"/>
      <c r="C467" s="59"/>
      <c r="D467" s="59"/>
      <c r="E467" s="61">
        <f>SUM(E465)</f>
        <v>2111.1111111111113</v>
      </c>
    </row>
    <row r="468" spans="1:5" x14ac:dyDescent="0.3">
      <c r="A468" s="10"/>
      <c r="B468" s="7"/>
      <c r="C468" s="7"/>
      <c r="D468" s="7"/>
      <c r="E468" s="7"/>
    </row>
    <row r="469" spans="1:5" x14ac:dyDescent="0.3">
      <c r="A469" s="59" t="s">
        <v>25</v>
      </c>
      <c r="B469" s="59"/>
      <c r="C469" s="59"/>
      <c r="D469" s="59"/>
      <c r="E469" s="61">
        <f>SUM(E451,E457,E462,E467)</f>
        <v>2322.2222222222226</v>
      </c>
    </row>
    <row r="470" spans="1:5" x14ac:dyDescent="0.3">
      <c r="A470" s="19"/>
      <c r="B470" s="19"/>
      <c r="C470" s="19"/>
      <c r="D470" s="19"/>
      <c r="E470" s="19"/>
    </row>
    <row r="471" spans="1:5" x14ac:dyDescent="0.3">
      <c r="A471" s="19"/>
      <c r="B471" s="19"/>
      <c r="C471" s="19"/>
      <c r="D471" s="19"/>
      <c r="E471" s="19"/>
    </row>
    <row r="472" spans="1:5" x14ac:dyDescent="0.3">
      <c r="A472" s="54" t="s">
        <v>159</v>
      </c>
      <c r="B472" s="54"/>
      <c r="C472" s="54"/>
      <c r="D472" s="22" t="s">
        <v>3</v>
      </c>
      <c r="E472" s="6" t="s">
        <v>157</v>
      </c>
    </row>
    <row r="473" spans="1:5" x14ac:dyDescent="0.3">
      <c r="A473" s="53"/>
      <c r="B473" s="53"/>
      <c r="C473" s="53"/>
      <c r="D473" s="8" t="s">
        <v>5</v>
      </c>
      <c r="E473" s="8" t="s">
        <v>45</v>
      </c>
    </row>
    <row r="474" spans="1:5" x14ac:dyDescent="0.3">
      <c r="A474" s="47" t="s">
        <v>7</v>
      </c>
      <c r="B474" s="47"/>
      <c r="C474" s="47"/>
      <c r="D474" s="47"/>
      <c r="E474" s="47"/>
    </row>
    <row r="475" spans="1:5" x14ac:dyDescent="0.3">
      <c r="A475" s="9" t="s">
        <v>8</v>
      </c>
      <c r="B475" s="9" t="s">
        <v>5</v>
      </c>
      <c r="C475" s="9" t="s">
        <v>9</v>
      </c>
      <c r="D475" s="9" t="s">
        <v>10</v>
      </c>
      <c r="E475" s="9" t="s">
        <v>11</v>
      </c>
    </row>
    <row r="476" spans="1:5" x14ac:dyDescent="0.3">
      <c r="A476" s="10" t="s">
        <v>12</v>
      </c>
      <c r="B476" s="10" t="s">
        <v>13</v>
      </c>
      <c r="C476" s="11">
        <v>0.1</v>
      </c>
      <c r="D476" s="12">
        <f>E498</f>
        <v>3250</v>
      </c>
      <c r="E476" s="12">
        <f>C476*D476</f>
        <v>325</v>
      </c>
    </row>
    <row r="477" spans="1:5" x14ac:dyDescent="0.3">
      <c r="A477" s="10"/>
      <c r="B477" s="10"/>
      <c r="C477" s="10"/>
      <c r="D477" s="12"/>
      <c r="E477" s="12"/>
    </row>
    <row r="478" spans="1:5" x14ac:dyDescent="0.3">
      <c r="A478" s="45" t="s">
        <v>14</v>
      </c>
      <c r="B478" s="45"/>
      <c r="C478" s="45"/>
      <c r="D478" s="45"/>
      <c r="E478" s="13">
        <f>SUM(E476:E476)</f>
        <v>325</v>
      </c>
    </row>
    <row r="479" spans="1:5" x14ac:dyDescent="0.3">
      <c r="A479" s="47" t="s">
        <v>15</v>
      </c>
      <c r="B479" s="47"/>
      <c r="C479" s="47"/>
      <c r="D479" s="47"/>
      <c r="E479" s="47"/>
    </row>
    <row r="480" spans="1:5" x14ac:dyDescent="0.3">
      <c r="A480" s="9" t="s">
        <v>8</v>
      </c>
      <c r="B480" s="9" t="s">
        <v>5</v>
      </c>
      <c r="C480" s="9" t="s">
        <v>16</v>
      </c>
      <c r="D480" s="9" t="s">
        <v>17</v>
      </c>
      <c r="E480" s="9" t="s">
        <v>11</v>
      </c>
    </row>
    <row r="481" spans="1:5" x14ac:dyDescent="0.3">
      <c r="A481" s="14" t="s">
        <v>41</v>
      </c>
      <c r="B481" s="10" t="s">
        <v>6</v>
      </c>
      <c r="C481" s="20">
        <v>0.20330000000000001</v>
      </c>
      <c r="D481" s="12">
        <v>48000</v>
      </c>
      <c r="E481" s="12">
        <f>C481*D481</f>
        <v>9758.4</v>
      </c>
    </row>
    <row r="482" spans="1:5" x14ac:dyDescent="0.3">
      <c r="A482" s="14" t="s">
        <v>160</v>
      </c>
      <c r="B482" s="10" t="s">
        <v>62</v>
      </c>
      <c r="C482" s="20">
        <v>0.01</v>
      </c>
      <c r="D482" s="12">
        <v>110000</v>
      </c>
      <c r="E482" s="12">
        <f>C482*D482</f>
        <v>1100</v>
      </c>
    </row>
    <row r="483" spans="1:5" x14ac:dyDescent="0.3">
      <c r="A483" s="14" t="s">
        <v>161</v>
      </c>
      <c r="B483" s="10" t="s">
        <v>162</v>
      </c>
      <c r="C483" s="20">
        <v>0.05</v>
      </c>
      <c r="D483" s="12">
        <v>30000</v>
      </c>
      <c r="E483" s="12">
        <f>C483*D483</f>
        <v>1500</v>
      </c>
    </row>
    <row r="484" spans="1:5" x14ac:dyDescent="0.3">
      <c r="A484" s="14" t="s">
        <v>42</v>
      </c>
      <c r="B484" s="10" t="s">
        <v>43</v>
      </c>
      <c r="C484" s="16">
        <v>0.01</v>
      </c>
      <c r="D484" s="12">
        <v>56000</v>
      </c>
      <c r="E484" s="12">
        <f>C484*D484</f>
        <v>560</v>
      </c>
    </row>
    <row r="485" spans="1:5" x14ac:dyDescent="0.3">
      <c r="A485" s="14"/>
      <c r="B485" s="10"/>
      <c r="C485" s="16"/>
      <c r="D485" s="12"/>
      <c r="E485" s="12"/>
    </row>
    <row r="486" spans="1:5" x14ac:dyDescent="0.3">
      <c r="A486" s="17" t="s">
        <v>37</v>
      </c>
      <c r="B486" s="43"/>
      <c r="C486" s="43"/>
      <c r="D486" s="43"/>
      <c r="E486" s="12">
        <f>E481*0.03</f>
        <v>292.75199999999995</v>
      </c>
    </row>
    <row r="487" spans="1:5" x14ac:dyDescent="0.3">
      <c r="A487" s="17"/>
      <c r="B487" s="18"/>
      <c r="C487" s="7"/>
      <c r="D487" s="7"/>
      <c r="E487" s="12"/>
    </row>
    <row r="488" spans="1:5" x14ac:dyDescent="0.3">
      <c r="A488" s="45" t="s">
        <v>14</v>
      </c>
      <c r="B488" s="45"/>
      <c r="C488" s="45"/>
      <c r="D488" s="45"/>
      <c r="E488" s="13">
        <f>SUM(E481:E486)</f>
        <v>13211.152</v>
      </c>
    </row>
    <row r="489" spans="1:5" x14ac:dyDescent="0.3">
      <c r="A489" s="47" t="s">
        <v>19</v>
      </c>
      <c r="B489" s="47"/>
      <c r="C489" s="47"/>
      <c r="D489" s="47"/>
      <c r="E489" s="47"/>
    </row>
    <row r="490" spans="1:5" x14ac:dyDescent="0.3">
      <c r="A490" s="9" t="s">
        <v>8</v>
      </c>
      <c r="B490" s="9" t="s">
        <v>5</v>
      </c>
      <c r="C490" s="9" t="s">
        <v>9</v>
      </c>
      <c r="D490" s="9" t="s">
        <v>10</v>
      </c>
      <c r="E490" s="9" t="s">
        <v>11</v>
      </c>
    </row>
    <row r="491" spans="1:5" x14ac:dyDescent="0.3">
      <c r="A491" s="14" t="s">
        <v>38</v>
      </c>
      <c r="B491" s="10" t="s">
        <v>21</v>
      </c>
      <c r="C491" s="11">
        <v>0.02</v>
      </c>
      <c r="D491" s="12">
        <v>45000</v>
      </c>
      <c r="E491" s="12">
        <f>D491*C491</f>
        <v>900</v>
      </c>
    </row>
    <row r="492" spans="1:5" x14ac:dyDescent="0.3">
      <c r="A492" s="14"/>
      <c r="B492" s="10"/>
      <c r="C492" s="11"/>
      <c r="D492" s="12"/>
      <c r="E492" s="12"/>
    </row>
    <row r="493" spans="1:5" x14ac:dyDescent="0.3">
      <c r="A493" s="45" t="s">
        <v>14</v>
      </c>
      <c r="B493" s="45"/>
      <c r="C493" s="45"/>
      <c r="D493" s="45"/>
      <c r="E493" s="13">
        <f>SUM(E491)</f>
        <v>900</v>
      </c>
    </row>
    <row r="494" spans="1:5" x14ac:dyDescent="0.3">
      <c r="A494" s="47" t="s">
        <v>22</v>
      </c>
      <c r="B494" s="47"/>
      <c r="C494" s="47"/>
      <c r="D494" s="47"/>
      <c r="E494" s="47"/>
    </row>
    <row r="495" spans="1:5" x14ac:dyDescent="0.3">
      <c r="A495" s="9" t="s">
        <v>8</v>
      </c>
      <c r="B495" s="9" t="s">
        <v>5</v>
      </c>
      <c r="C495" s="9" t="s">
        <v>9</v>
      </c>
      <c r="D495" s="9" t="s">
        <v>23</v>
      </c>
      <c r="E495" s="9" t="s">
        <v>11</v>
      </c>
    </row>
    <row r="496" spans="1:5" x14ac:dyDescent="0.3">
      <c r="A496" s="14" t="s">
        <v>144</v>
      </c>
      <c r="B496" s="10" t="s">
        <v>21</v>
      </c>
      <c r="C496" s="11">
        <v>40</v>
      </c>
      <c r="D496" s="12">
        <v>130000</v>
      </c>
      <c r="E496" s="12">
        <f>D496/C496</f>
        <v>3250</v>
      </c>
    </row>
    <row r="497" spans="1:5" x14ac:dyDescent="0.3">
      <c r="A497" s="14"/>
      <c r="B497" s="10"/>
      <c r="C497" s="11"/>
      <c r="D497" s="12"/>
      <c r="E497" s="12"/>
    </row>
    <row r="498" spans="1:5" x14ac:dyDescent="0.3">
      <c r="A498" s="45" t="s">
        <v>14</v>
      </c>
      <c r="B498" s="45"/>
      <c r="C498" s="45"/>
      <c r="D498" s="45"/>
      <c r="E498" s="13">
        <f>SUM(E496)</f>
        <v>3250</v>
      </c>
    </row>
    <row r="499" spans="1:5" x14ac:dyDescent="0.3">
      <c r="A499" s="10"/>
      <c r="B499" s="7"/>
      <c r="C499" s="7"/>
      <c r="D499" s="7"/>
      <c r="E499" s="7"/>
    </row>
    <row r="500" spans="1:5" x14ac:dyDescent="0.3">
      <c r="A500" s="45" t="s">
        <v>25</v>
      </c>
      <c r="B500" s="45"/>
      <c r="C500" s="45"/>
      <c r="D500" s="45"/>
      <c r="E500" s="13">
        <f>SUM(E478,E488,E493,E498)</f>
        <v>17686.152000000002</v>
      </c>
    </row>
    <row r="501" spans="1:5" x14ac:dyDescent="0.3">
      <c r="A501" s="19"/>
      <c r="B501" s="19"/>
      <c r="C501" s="19"/>
      <c r="D501" s="19"/>
      <c r="E501" s="19"/>
    </row>
    <row r="502" spans="1:5" x14ac:dyDescent="0.3">
      <c r="A502" s="19"/>
      <c r="B502" s="19"/>
      <c r="C502" s="19"/>
      <c r="D502" s="19"/>
      <c r="E502" s="19"/>
    </row>
    <row r="503" spans="1:5" x14ac:dyDescent="0.3">
      <c r="A503" s="51" t="s">
        <v>163</v>
      </c>
      <c r="B503" s="52"/>
      <c r="C503" s="52"/>
      <c r="D503" s="6" t="s">
        <v>3</v>
      </c>
      <c r="E503" s="6" t="s">
        <v>155</v>
      </c>
    </row>
    <row r="504" spans="1:5" x14ac:dyDescent="0.3">
      <c r="A504" s="53"/>
      <c r="B504" s="44"/>
      <c r="C504" s="44"/>
      <c r="D504" s="8" t="s">
        <v>5</v>
      </c>
      <c r="E504" s="8" t="s">
        <v>6</v>
      </c>
    </row>
    <row r="505" spans="1:5" x14ac:dyDescent="0.3">
      <c r="A505" s="47" t="s">
        <v>7</v>
      </c>
      <c r="B505" s="48"/>
      <c r="C505" s="48"/>
      <c r="D505" s="48"/>
      <c r="E505" s="48"/>
    </row>
    <row r="506" spans="1:5" x14ac:dyDescent="0.3">
      <c r="A506" s="9" t="s">
        <v>8</v>
      </c>
      <c r="B506" s="9" t="s">
        <v>5</v>
      </c>
      <c r="C506" s="9" t="s">
        <v>9</v>
      </c>
      <c r="D506" s="9" t="s">
        <v>10</v>
      </c>
      <c r="E506" s="9" t="s">
        <v>11</v>
      </c>
    </row>
    <row r="507" spans="1:5" x14ac:dyDescent="0.3">
      <c r="A507" s="10" t="s">
        <v>12</v>
      </c>
      <c r="B507" s="10" t="s">
        <v>13</v>
      </c>
      <c r="C507" s="11">
        <v>0.05</v>
      </c>
      <c r="D507" s="12">
        <f>E526</f>
        <v>6000</v>
      </c>
      <c r="E507" s="12">
        <f>C507*D507</f>
        <v>300</v>
      </c>
    </row>
    <row r="508" spans="1:5" x14ac:dyDescent="0.3">
      <c r="A508" s="10"/>
      <c r="B508" s="10"/>
      <c r="C508" s="10"/>
      <c r="D508" s="12"/>
      <c r="E508" s="12"/>
    </row>
    <row r="509" spans="1:5" x14ac:dyDescent="0.3">
      <c r="A509" s="45" t="s">
        <v>14</v>
      </c>
      <c r="B509" s="46"/>
      <c r="C509" s="46"/>
      <c r="D509" s="46"/>
      <c r="E509" s="13">
        <f>SUM(E507:E507)</f>
        <v>300</v>
      </c>
    </row>
    <row r="510" spans="1:5" x14ac:dyDescent="0.3">
      <c r="A510" s="47" t="s">
        <v>15</v>
      </c>
      <c r="B510" s="48"/>
      <c r="C510" s="48"/>
      <c r="D510" s="48"/>
      <c r="E510" s="48"/>
    </row>
    <row r="511" spans="1:5" x14ac:dyDescent="0.3">
      <c r="A511" s="9" t="s">
        <v>8</v>
      </c>
      <c r="B511" s="9" t="s">
        <v>5</v>
      </c>
      <c r="C511" s="9" t="s">
        <v>16</v>
      </c>
      <c r="D511" s="9" t="s">
        <v>17</v>
      </c>
      <c r="E511" s="9" t="s">
        <v>11</v>
      </c>
    </row>
    <row r="512" spans="1:5" x14ac:dyDescent="0.3">
      <c r="A512" s="14" t="s">
        <v>164</v>
      </c>
      <c r="B512" s="10" t="s">
        <v>6</v>
      </c>
      <c r="C512" s="16">
        <v>4.5984151368760065E-2</v>
      </c>
      <c r="D512" s="12">
        <v>276000</v>
      </c>
      <c r="E512" s="12">
        <f>C512*D512</f>
        <v>12691.625777777777</v>
      </c>
    </row>
    <row r="513" spans="1:5" x14ac:dyDescent="0.3">
      <c r="A513" s="14"/>
      <c r="B513" s="10"/>
      <c r="C513" s="16"/>
      <c r="D513" s="12"/>
      <c r="E513" s="12"/>
    </row>
    <row r="514" spans="1:5" x14ac:dyDescent="0.3">
      <c r="A514" s="17" t="s">
        <v>18</v>
      </c>
      <c r="B514" s="43"/>
      <c r="C514" s="44"/>
      <c r="D514" s="44"/>
      <c r="E514" s="12">
        <v>0</v>
      </c>
    </row>
    <row r="515" spans="1:5" x14ac:dyDescent="0.3">
      <c r="A515" s="17"/>
      <c r="B515" s="18"/>
      <c r="C515" s="7"/>
      <c r="D515" s="7"/>
      <c r="E515" s="12"/>
    </row>
    <row r="516" spans="1:5" x14ac:dyDescent="0.3">
      <c r="A516" s="45" t="s">
        <v>14</v>
      </c>
      <c r="B516" s="46"/>
      <c r="C516" s="46"/>
      <c r="D516" s="46"/>
      <c r="E516" s="13">
        <f>SUM(E512:E514)</f>
        <v>12691.625777777777</v>
      </c>
    </row>
    <row r="517" spans="1:5" x14ac:dyDescent="0.3">
      <c r="A517" s="47" t="s">
        <v>19</v>
      </c>
      <c r="B517" s="48"/>
      <c r="C517" s="48"/>
      <c r="D517" s="48"/>
      <c r="E517" s="48"/>
    </row>
    <row r="518" spans="1:5" x14ac:dyDescent="0.3">
      <c r="A518" s="9" t="s">
        <v>8</v>
      </c>
      <c r="B518" s="9" t="s">
        <v>5</v>
      </c>
      <c r="C518" s="9" t="s">
        <v>9</v>
      </c>
      <c r="D518" s="9" t="s">
        <v>10</v>
      </c>
      <c r="E518" s="9" t="s">
        <v>11</v>
      </c>
    </row>
    <row r="519" spans="1:5" x14ac:dyDescent="0.3">
      <c r="A519" s="14" t="s">
        <v>20</v>
      </c>
      <c r="B519" s="10" t="s">
        <v>21</v>
      </c>
      <c r="C519" s="11">
        <v>0</v>
      </c>
      <c r="D519" s="12">
        <v>60000</v>
      </c>
      <c r="E519" s="12">
        <f>D519*C519</f>
        <v>0</v>
      </c>
    </row>
    <row r="520" spans="1:5" x14ac:dyDescent="0.3">
      <c r="A520" s="14"/>
      <c r="B520" s="10"/>
      <c r="C520" s="11"/>
      <c r="D520" s="12"/>
      <c r="E520" s="12"/>
    </row>
    <row r="521" spans="1:5" x14ac:dyDescent="0.3">
      <c r="A521" s="45" t="s">
        <v>14</v>
      </c>
      <c r="B521" s="46"/>
      <c r="C521" s="46"/>
      <c r="D521" s="46"/>
      <c r="E521" s="13">
        <f>SUM(E519)</f>
        <v>0</v>
      </c>
    </row>
    <row r="522" spans="1:5" x14ac:dyDescent="0.3">
      <c r="A522" s="47" t="s">
        <v>22</v>
      </c>
      <c r="B522" s="48"/>
      <c r="C522" s="48"/>
      <c r="D522" s="48"/>
      <c r="E522" s="48"/>
    </row>
    <row r="523" spans="1:5" x14ac:dyDescent="0.3">
      <c r="A523" s="9" t="s">
        <v>8</v>
      </c>
      <c r="B523" s="9" t="s">
        <v>5</v>
      </c>
      <c r="C523" s="9" t="s">
        <v>9</v>
      </c>
      <c r="D523" s="9" t="s">
        <v>23</v>
      </c>
      <c r="E523" s="9" t="s">
        <v>11</v>
      </c>
    </row>
    <row r="524" spans="1:5" x14ac:dyDescent="0.3">
      <c r="A524" s="14" t="s">
        <v>32</v>
      </c>
      <c r="B524" s="10" t="s">
        <v>21</v>
      </c>
      <c r="C524" s="11">
        <v>35</v>
      </c>
      <c r="D524" s="12">
        <v>210000</v>
      </c>
      <c r="E524" s="12">
        <f>D524/C524</f>
        <v>6000</v>
      </c>
    </row>
    <row r="525" spans="1:5" x14ac:dyDescent="0.3">
      <c r="A525" s="14"/>
      <c r="B525" s="10"/>
      <c r="C525" s="11"/>
      <c r="D525" s="12"/>
      <c r="E525" s="12"/>
    </row>
    <row r="526" spans="1:5" x14ac:dyDescent="0.3">
      <c r="A526" s="45" t="s">
        <v>14</v>
      </c>
      <c r="B526" s="46"/>
      <c r="C526" s="46"/>
      <c r="D526" s="46"/>
      <c r="E526" s="13">
        <f>SUM(E524)</f>
        <v>6000</v>
      </c>
    </row>
    <row r="527" spans="1:5" x14ac:dyDescent="0.3">
      <c r="A527" s="10"/>
      <c r="B527" s="7"/>
      <c r="C527" s="7"/>
      <c r="D527" s="7"/>
      <c r="E527" s="7"/>
    </row>
    <row r="528" spans="1:5" x14ac:dyDescent="0.3">
      <c r="A528" s="45" t="s">
        <v>25</v>
      </c>
      <c r="B528" s="46"/>
      <c r="C528" s="46"/>
      <c r="D528" s="46"/>
      <c r="E528" s="13">
        <f>SUM(E509,E516,E521,E526)</f>
        <v>18991.625777777779</v>
      </c>
    </row>
    <row r="529" spans="1:5" x14ac:dyDescent="0.3">
      <c r="A529" s="4"/>
      <c r="B529" s="5"/>
      <c r="C529" s="5"/>
      <c r="D529" s="5"/>
      <c r="E529" s="5"/>
    </row>
    <row r="530" spans="1:5" x14ac:dyDescent="0.3">
      <c r="A530" s="4"/>
      <c r="B530" s="5"/>
      <c r="C530" s="5"/>
      <c r="D530" s="5"/>
      <c r="E530" s="5"/>
    </row>
    <row r="531" spans="1:5" x14ac:dyDescent="0.3">
      <c r="A531" s="1" t="s">
        <v>165</v>
      </c>
      <c r="B531" s="62"/>
      <c r="C531" s="62"/>
      <c r="D531" s="62"/>
      <c r="E531" s="62"/>
    </row>
    <row r="532" spans="1:5" x14ac:dyDescent="0.3">
      <c r="A532" s="4"/>
      <c r="B532" s="5"/>
      <c r="C532" s="5"/>
      <c r="D532" s="5"/>
      <c r="E532" s="5"/>
    </row>
    <row r="533" spans="1:5" x14ac:dyDescent="0.3">
      <c r="A533" s="54" t="s">
        <v>166</v>
      </c>
      <c r="B533" s="54"/>
      <c r="C533" s="54"/>
      <c r="D533" s="22" t="s">
        <v>3</v>
      </c>
      <c r="E533" s="22" t="s">
        <v>167</v>
      </c>
    </row>
    <row r="534" spans="1:5" x14ac:dyDescent="0.3">
      <c r="A534" s="53"/>
      <c r="B534" s="44"/>
      <c r="C534" s="44"/>
      <c r="D534" s="58" t="s">
        <v>5</v>
      </c>
      <c r="E534" s="58" t="s">
        <v>6</v>
      </c>
    </row>
    <row r="535" spans="1:5" x14ac:dyDescent="0.3">
      <c r="A535" s="47" t="s">
        <v>7</v>
      </c>
      <c r="B535" s="48"/>
      <c r="C535" s="48"/>
      <c r="D535" s="48"/>
      <c r="E535" s="48"/>
    </row>
    <row r="536" spans="1:5" x14ac:dyDescent="0.3">
      <c r="A536" s="58" t="s">
        <v>8</v>
      </c>
      <c r="B536" s="58" t="s">
        <v>5</v>
      </c>
      <c r="C536" s="58" t="s">
        <v>9</v>
      </c>
      <c r="D536" s="58" t="s">
        <v>10</v>
      </c>
      <c r="E536" s="58" t="s">
        <v>11</v>
      </c>
    </row>
    <row r="537" spans="1:5" x14ac:dyDescent="0.3">
      <c r="A537" s="10" t="s">
        <v>12</v>
      </c>
      <c r="B537" s="10" t="s">
        <v>13</v>
      </c>
      <c r="C537" s="11">
        <v>0.1</v>
      </c>
      <c r="D537" s="12">
        <f>E555</f>
        <v>19000</v>
      </c>
      <c r="E537" s="12">
        <f>C537*D537</f>
        <v>1900</v>
      </c>
    </row>
    <row r="538" spans="1:5" x14ac:dyDescent="0.3">
      <c r="A538" s="10"/>
      <c r="B538" s="10"/>
      <c r="C538" s="10"/>
      <c r="D538" s="12"/>
      <c r="E538" s="12"/>
    </row>
    <row r="539" spans="1:5" x14ac:dyDescent="0.3">
      <c r="A539" s="45" t="s">
        <v>14</v>
      </c>
      <c r="B539" s="46"/>
      <c r="C539" s="46"/>
      <c r="D539" s="46"/>
      <c r="E539" s="13">
        <f>SUM(E537:E537)</f>
        <v>1900</v>
      </c>
    </row>
    <row r="540" spans="1:5" x14ac:dyDescent="0.3">
      <c r="A540" s="47" t="s">
        <v>15</v>
      </c>
      <c r="B540" s="48"/>
      <c r="C540" s="48"/>
      <c r="D540" s="48"/>
      <c r="E540" s="48"/>
    </row>
    <row r="541" spans="1:5" x14ac:dyDescent="0.3">
      <c r="A541" s="58" t="s">
        <v>8</v>
      </c>
      <c r="B541" s="58" t="s">
        <v>5</v>
      </c>
      <c r="C541" s="58" t="s">
        <v>16</v>
      </c>
      <c r="D541" s="58" t="s">
        <v>17</v>
      </c>
      <c r="E541" s="58" t="s">
        <v>11</v>
      </c>
    </row>
    <row r="542" spans="1:5" x14ac:dyDescent="0.3">
      <c r="A542" s="14"/>
      <c r="B542" s="10"/>
      <c r="C542" s="16"/>
      <c r="D542" s="12"/>
      <c r="E542" s="12"/>
    </row>
    <row r="543" spans="1:5" x14ac:dyDescent="0.3">
      <c r="A543" s="17" t="s">
        <v>48</v>
      </c>
      <c r="B543" s="43"/>
      <c r="C543" s="44"/>
      <c r="D543" s="44"/>
      <c r="E543" s="12">
        <v>0</v>
      </c>
    </row>
    <row r="544" spans="1:5" x14ac:dyDescent="0.3">
      <c r="A544" s="17"/>
      <c r="B544" s="18"/>
      <c r="C544" s="7"/>
      <c r="D544" s="7"/>
      <c r="E544" s="12"/>
    </row>
    <row r="545" spans="1:5" x14ac:dyDescent="0.3">
      <c r="A545" s="59" t="s">
        <v>14</v>
      </c>
      <c r="B545" s="60"/>
      <c r="C545" s="60"/>
      <c r="D545" s="60"/>
      <c r="E545" s="61">
        <f>SUM(E542:E543)</f>
        <v>0</v>
      </c>
    </row>
    <row r="546" spans="1:5" x14ac:dyDescent="0.3">
      <c r="A546" s="47" t="s">
        <v>19</v>
      </c>
      <c r="B546" s="48"/>
      <c r="C546" s="48"/>
      <c r="D546" s="48"/>
      <c r="E546" s="48"/>
    </row>
    <row r="547" spans="1:5" x14ac:dyDescent="0.3">
      <c r="A547" s="58" t="s">
        <v>8</v>
      </c>
      <c r="B547" s="58" t="s">
        <v>5</v>
      </c>
      <c r="C547" s="58" t="s">
        <v>9</v>
      </c>
      <c r="D547" s="58" t="s">
        <v>10</v>
      </c>
      <c r="E547" s="58" t="s">
        <v>11</v>
      </c>
    </row>
    <row r="548" spans="1:5" x14ac:dyDescent="0.3">
      <c r="A548" s="14" t="s">
        <v>38</v>
      </c>
      <c r="B548" s="10" t="s">
        <v>21</v>
      </c>
      <c r="C548" s="11">
        <v>0</v>
      </c>
      <c r="D548" s="12">
        <v>45000</v>
      </c>
      <c r="E548" s="12">
        <f>D548*C548</f>
        <v>0</v>
      </c>
    </row>
    <row r="549" spans="1:5" x14ac:dyDescent="0.3">
      <c r="A549" s="14"/>
      <c r="B549" s="10"/>
      <c r="C549" s="11"/>
      <c r="D549" s="12"/>
      <c r="E549" s="12"/>
    </row>
    <row r="550" spans="1:5" x14ac:dyDescent="0.3">
      <c r="A550" s="45" t="s">
        <v>14</v>
      </c>
      <c r="B550" s="46"/>
      <c r="C550" s="46"/>
      <c r="D550" s="46"/>
      <c r="E550" s="13">
        <f>SUM(E548)</f>
        <v>0</v>
      </c>
    </row>
    <row r="551" spans="1:5" x14ac:dyDescent="0.3">
      <c r="A551" s="47" t="s">
        <v>22</v>
      </c>
      <c r="B551" s="48"/>
      <c r="C551" s="48"/>
      <c r="D551" s="48"/>
      <c r="E551" s="48"/>
    </row>
    <row r="552" spans="1:5" x14ac:dyDescent="0.3">
      <c r="A552" s="58" t="s">
        <v>8</v>
      </c>
      <c r="B552" s="58" t="s">
        <v>5</v>
      </c>
      <c r="C552" s="58" t="s">
        <v>9</v>
      </c>
      <c r="D552" s="58" t="s">
        <v>23</v>
      </c>
      <c r="E552" s="58" t="s">
        <v>11</v>
      </c>
    </row>
    <row r="553" spans="1:5" x14ac:dyDescent="0.3">
      <c r="A553" s="14" t="s">
        <v>168</v>
      </c>
      <c r="B553" s="10" t="s">
        <v>21</v>
      </c>
      <c r="C553" s="11">
        <v>10</v>
      </c>
      <c r="D553" s="12">
        <v>190000</v>
      </c>
      <c r="E553" s="12">
        <f>D553/C553</f>
        <v>19000</v>
      </c>
    </row>
    <row r="554" spans="1:5" x14ac:dyDescent="0.3">
      <c r="A554" s="14"/>
      <c r="B554" s="10"/>
      <c r="C554" s="11"/>
      <c r="D554" s="12"/>
      <c r="E554" s="12"/>
    </row>
    <row r="555" spans="1:5" x14ac:dyDescent="0.3">
      <c r="A555" s="59" t="s">
        <v>14</v>
      </c>
      <c r="B555" s="60"/>
      <c r="C555" s="60"/>
      <c r="D555" s="60"/>
      <c r="E555" s="61">
        <f>SUM(E553)</f>
        <v>19000</v>
      </c>
    </row>
    <row r="556" spans="1:5" x14ac:dyDescent="0.3">
      <c r="A556" s="10"/>
      <c r="B556" s="7"/>
      <c r="C556" s="7"/>
      <c r="D556" s="7"/>
      <c r="E556" s="7"/>
    </row>
    <row r="557" spans="1:5" x14ac:dyDescent="0.3">
      <c r="A557" s="59" t="s">
        <v>25</v>
      </c>
      <c r="B557" s="60"/>
      <c r="C557" s="60"/>
      <c r="D557" s="60"/>
      <c r="E557" s="61">
        <f>SUM(E539,E545,E550,E555)</f>
        <v>20900</v>
      </c>
    </row>
    <row r="558" spans="1:5" x14ac:dyDescent="0.3">
      <c r="A558" s="19"/>
      <c r="B558" s="19"/>
      <c r="C558" s="19"/>
      <c r="D558" s="19"/>
      <c r="E558" s="19"/>
    </row>
    <row r="559" spans="1:5" x14ac:dyDescent="0.3">
      <c r="A559" s="19"/>
      <c r="B559" s="19"/>
      <c r="C559" s="19"/>
      <c r="D559" s="19"/>
      <c r="E559" s="19"/>
    </row>
    <row r="560" spans="1:5" x14ac:dyDescent="0.3">
      <c r="A560" s="51" t="s">
        <v>169</v>
      </c>
      <c r="B560" s="52"/>
      <c r="C560" s="52"/>
      <c r="D560" s="6" t="s">
        <v>3</v>
      </c>
      <c r="E560" s="22" t="s">
        <v>170</v>
      </c>
    </row>
    <row r="561" spans="1:5" x14ac:dyDescent="0.3">
      <c r="A561" s="53"/>
      <c r="B561" s="44"/>
      <c r="C561" s="44"/>
      <c r="D561" s="8" t="s">
        <v>5</v>
      </c>
      <c r="E561" s="8" t="s">
        <v>45</v>
      </c>
    </row>
    <row r="562" spans="1:5" x14ac:dyDescent="0.3">
      <c r="A562" s="47" t="s">
        <v>7</v>
      </c>
      <c r="B562" s="48"/>
      <c r="C562" s="48"/>
      <c r="D562" s="48"/>
      <c r="E562" s="48"/>
    </row>
    <row r="563" spans="1:5" x14ac:dyDescent="0.3">
      <c r="A563" s="9" t="s">
        <v>8</v>
      </c>
      <c r="B563" s="9" t="s">
        <v>5</v>
      </c>
      <c r="C563" s="9" t="s">
        <v>9</v>
      </c>
      <c r="D563" s="9" t="s">
        <v>10</v>
      </c>
      <c r="E563" s="9" t="s">
        <v>11</v>
      </c>
    </row>
    <row r="564" spans="1:5" x14ac:dyDescent="0.3">
      <c r="A564" s="10" t="s">
        <v>12</v>
      </c>
      <c r="B564" s="10" t="s">
        <v>13</v>
      </c>
      <c r="C564" s="11">
        <v>0.1</v>
      </c>
      <c r="D564" s="12">
        <f>E584</f>
        <v>8125</v>
      </c>
      <c r="E564" s="12">
        <f>C564*D564</f>
        <v>812.5</v>
      </c>
    </row>
    <row r="565" spans="1:5" x14ac:dyDescent="0.3">
      <c r="A565" s="10"/>
      <c r="B565" s="10"/>
      <c r="C565" s="10"/>
      <c r="D565" s="12"/>
      <c r="E565" s="12"/>
    </row>
    <row r="566" spans="1:5" x14ac:dyDescent="0.3">
      <c r="A566" s="45" t="s">
        <v>14</v>
      </c>
      <c r="B566" s="46"/>
      <c r="C566" s="46"/>
      <c r="D566" s="46"/>
      <c r="E566" s="13">
        <f>SUM(E564:E564)</f>
        <v>812.5</v>
      </c>
    </row>
    <row r="567" spans="1:5" x14ac:dyDescent="0.3">
      <c r="A567" s="47" t="s">
        <v>15</v>
      </c>
      <c r="B567" s="48"/>
      <c r="C567" s="48"/>
      <c r="D567" s="48"/>
      <c r="E567" s="48"/>
    </row>
    <row r="568" spans="1:5" x14ac:dyDescent="0.3">
      <c r="A568" s="9" t="s">
        <v>8</v>
      </c>
      <c r="B568" s="9" t="s">
        <v>5</v>
      </c>
      <c r="C568" s="9" t="s">
        <v>16</v>
      </c>
      <c r="D568" s="9" t="s">
        <v>17</v>
      </c>
      <c r="E568" s="9" t="s">
        <v>11</v>
      </c>
    </row>
    <row r="569" spans="1:5" x14ac:dyDescent="0.3">
      <c r="A569" s="14" t="s">
        <v>61</v>
      </c>
      <c r="B569" s="10" t="s">
        <v>62</v>
      </c>
      <c r="C569" s="16">
        <v>6.5000000000000002E-2</v>
      </c>
      <c r="D569" s="12">
        <v>620000</v>
      </c>
      <c r="E569" s="12">
        <f>C569*D569</f>
        <v>40300</v>
      </c>
    </row>
    <row r="570" spans="1:5" x14ac:dyDescent="0.3">
      <c r="A570" s="14" t="s">
        <v>52</v>
      </c>
      <c r="B570" s="10" t="s">
        <v>53</v>
      </c>
      <c r="C570" s="24">
        <v>0.5</v>
      </c>
      <c r="D570" s="12">
        <v>4200</v>
      </c>
      <c r="E570" s="12">
        <f>C570*D570</f>
        <v>2100</v>
      </c>
    </row>
    <row r="571" spans="1:5" x14ac:dyDescent="0.3">
      <c r="A571" s="14"/>
      <c r="B571" s="10"/>
      <c r="C571" s="16"/>
      <c r="D571" s="12"/>
      <c r="E571" s="12"/>
    </row>
    <row r="572" spans="1:5" x14ac:dyDescent="0.3">
      <c r="A572" s="17" t="s">
        <v>18</v>
      </c>
      <c r="B572" s="43"/>
      <c r="C572" s="44"/>
      <c r="D572" s="44"/>
      <c r="E572" s="12">
        <v>0</v>
      </c>
    </row>
    <row r="573" spans="1:5" x14ac:dyDescent="0.3">
      <c r="A573" s="17"/>
      <c r="B573" s="18"/>
      <c r="C573" s="7"/>
      <c r="D573" s="7"/>
      <c r="E573" s="12"/>
    </row>
    <row r="574" spans="1:5" x14ac:dyDescent="0.3">
      <c r="A574" s="45" t="s">
        <v>14</v>
      </c>
      <c r="B574" s="46"/>
      <c r="C574" s="46"/>
      <c r="D574" s="46"/>
      <c r="E574" s="13">
        <f>SUM(E569:E572)</f>
        <v>42400</v>
      </c>
    </row>
    <row r="575" spans="1:5" x14ac:dyDescent="0.3">
      <c r="A575" s="47" t="s">
        <v>19</v>
      </c>
      <c r="B575" s="48"/>
      <c r="C575" s="48"/>
      <c r="D575" s="48"/>
      <c r="E575" s="48"/>
    </row>
    <row r="576" spans="1:5" x14ac:dyDescent="0.3">
      <c r="A576" s="9" t="s">
        <v>8</v>
      </c>
      <c r="B576" s="9" t="s">
        <v>5</v>
      </c>
      <c r="C576" s="9" t="s">
        <v>9</v>
      </c>
      <c r="D576" s="9" t="s">
        <v>10</v>
      </c>
      <c r="E576" s="9" t="s">
        <v>11</v>
      </c>
    </row>
    <row r="577" spans="1:5" x14ac:dyDescent="0.3">
      <c r="A577" s="14" t="s">
        <v>20</v>
      </c>
      <c r="B577" s="10" t="s">
        <v>21</v>
      </c>
      <c r="C577" s="11">
        <v>0.02</v>
      </c>
      <c r="D577" s="12">
        <v>45000</v>
      </c>
      <c r="E577" s="12">
        <f>D577*C577</f>
        <v>900</v>
      </c>
    </row>
    <row r="578" spans="1:5" x14ac:dyDescent="0.3">
      <c r="A578" s="14"/>
      <c r="B578" s="10"/>
      <c r="C578" s="11"/>
      <c r="D578" s="12"/>
      <c r="E578" s="12"/>
    </row>
    <row r="579" spans="1:5" x14ac:dyDescent="0.3">
      <c r="A579" s="45" t="s">
        <v>14</v>
      </c>
      <c r="B579" s="46"/>
      <c r="C579" s="46"/>
      <c r="D579" s="46"/>
      <c r="E579" s="13">
        <f>SUM(E577)</f>
        <v>900</v>
      </c>
    </row>
    <row r="580" spans="1:5" x14ac:dyDescent="0.3">
      <c r="A580" s="47" t="s">
        <v>22</v>
      </c>
      <c r="B580" s="48"/>
      <c r="C580" s="48"/>
      <c r="D580" s="48"/>
      <c r="E580" s="48"/>
    </row>
    <row r="581" spans="1:5" x14ac:dyDescent="0.3">
      <c r="A581" s="9" t="s">
        <v>8</v>
      </c>
      <c r="B581" s="9" t="s">
        <v>5</v>
      </c>
      <c r="C581" s="9" t="s">
        <v>9</v>
      </c>
      <c r="D581" s="9" t="s">
        <v>23</v>
      </c>
      <c r="E581" s="9" t="s">
        <v>11</v>
      </c>
    </row>
    <row r="582" spans="1:5" x14ac:dyDescent="0.3">
      <c r="A582" s="14" t="s">
        <v>24</v>
      </c>
      <c r="B582" s="10" t="s">
        <v>21</v>
      </c>
      <c r="C582" s="11">
        <v>16</v>
      </c>
      <c r="D582" s="12">
        <v>130000</v>
      </c>
      <c r="E582" s="12">
        <f>D582/C582</f>
        <v>8125</v>
      </c>
    </row>
    <row r="583" spans="1:5" x14ac:dyDescent="0.3">
      <c r="A583" s="14"/>
      <c r="B583" s="10"/>
      <c r="C583" s="11"/>
      <c r="D583" s="12"/>
      <c r="E583" s="12"/>
    </row>
    <row r="584" spans="1:5" x14ac:dyDescent="0.3">
      <c r="A584" s="45" t="s">
        <v>14</v>
      </c>
      <c r="B584" s="46"/>
      <c r="C584" s="46"/>
      <c r="D584" s="46"/>
      <c r="E584" s="13">
        <f>SUM(E582)</f>
        <v>8125</v>
      </c>
    </row>
    <row r="585" spans="1:5" x14ac:dyDescent="0.3">
      <c r="A585" s="10"/>
      <c r="B585" s="7"/>
      <c r="C585" s="7"/>
      <c r="D585" s="7"/>
      <c r="E585" s="7"/>
    </row>
    <row r="586" spans="1:5" x14ac:dyDescent="0.3">
      <c r="A586" s="45" t="s">
        <v>25</v>
      </c>
      <c r="B586" s="46"/>
      <c r="C586" s="46"/>
      <c r="D586" s="46"/>
      <c r="E586" s="13">
        <f>SUM(E566,E574,E579,E584)</f>
        <v>52237.5</v>
      </c>
    </row>
    <row r="587" spans="1:5" x14ac:dyDescent="0.3">
      <c r="A587" s="19"/>
      <c r="B587" s="19"/>
      <c r="C587" s="19"/>
      <c r="D587" s="19"/>
      <c r="E587" s="19"/>
    </row>
    <row r="588" spans="1:5" x14ac:dyDescent="0.3">
      <c r="A588" s="19"/>
      <c r="B588" s="19"/>
      <c r="C588" s="19"/>
      <c r="D588" s="19"/>
      <c r="E588" s="19"/>
    </row>
    <row r="589" spans="1:5" x14ac:dyDescent="0.3">
      <c r="A589" s="19"/>
      <c r="B589" s="19"/>
      <c r="C589" s="19"/>
      <c r="D589" s="19"/>
      <c r="E589" s="19"/>
    </row>
    <row r="590" spans="1:5" x14ac:dyDescent="0.3">
      <c r="A590" s="37" t="s">
        <v>75</v>
      </c>
      <c r="B590" s="38"/>
      <c r="C590" s="38"/>
      <c r="D590" s="38"/>
      <c r="E590" s="38"/>
    </row>
    <row r="591" spans="1:5" x14ac:dyDescent="0.3">
      <c r="A591" s="4"/>
      <c r="B591" s="5"/>
      <c r="C591" s="5"/>
      <c r="D591" s="5"/>
      <c r="E591" s="5"/>
    </row>
    <row r="592" spans="1:5" x14ac:dyDescent="0.3">
      <c r="A592" s="56" t="s">
        <v>171</v>
      </c>
      <c r="B592" s="57"/>
      <c r="C592" s="57"/>
      <c r="D592" s="39" t="s">
        <v>3</v>
      </c>
      <c r="E592" s="63" t="s">
        <v>172</v>
      </c>
    </row>
    <row r="593" spans="1:5" x14ac:dyDescent="0.3">
      <c r="A593" s="53"/>
      <c r="B593" s="44"/>
      <c r="C593" s="44"/>
      <c r="D593" s="8" t="s">
        <v>5</v>
      </c>
      <c r="E593" s="8" t="s">
        <v>51</v>
      </c>
    </row>
    <row r="594" spans="1:5" x14ac:dyDescent="0.3">
      <c r="A594" s="47" t="s">
        <v>7</v>
      </c>
      <c r="B594" s="48"/>
      <c r="C594" s="48"/>
      <c r="D594" s="48"/>
      <c r="E594" s="48"/>
    </row>
    <row r="595" spans="1:5" x14ac:dyDescent="0.3">
      <c r="A595" s="9" t="s">
        <v>8</v>
      </c>
      <c r="B595" s="9" t="s">
        <v>5</v>
      </c>
      <c r="C595" s="9" t="s">
        <v>9</v>
      </c>
      <c r="D595" s="9" t="s">
        <v>10</v>
      </c>
      <c r="E595" s="9" t="s">
        <v>11</v>
      </c>
    </row>
    <row r="596" spans="1:5" x14ac:dyDescent="0.3">
      <c r="A596" s="14" t="s">
        <v>12</v>
      </c>
      <c r="B596" s="10" t="s">
        <v>13</v>
      </c>
      <c r="C596" s="11">
        <v>0.1</v>
      </c>
      <c r="D596" s="12">
        <f>E615</f>
        <v>8666.6666666666661</v>
      </c>
      <c r="E596" s="12">
        <f>C596*D596</f>
        <v>866.66666666666663</v>
      </c>
    </row>
    <row r="597" spans="1:5" x14ac:dyDescent="0.3">
      <c r="A597" s="10"/>
      <c r="B597" s="10"/>
      <c r="C597" s="10"/>
      <c r="D597" s="12"/>
      <c r="E597" s="12"/>
    </row>
    <row r="598" spans="1:5" x14ac:dyDescent="0.3">
      <c r="A598" s="45" t="s">
        <v>14</v>
      </c>
      <c r="B598" s="46"/>
      <c r="C598" s="46"/>
      <c r="D598" s="46"/>
      <c r="E598" s="13">
        <f>SUM(E596:E596)</f>
        <v>866.66666666666663</v>
      </c>
    </row>
    <row r="599" spans="1:5" x14ac:dyDescent="0.3">
      <c r="A599" s="47" t="s">
        <v>15</v>
      </c>
      <c r="B599" s="48"/>
      <c r="C599" s="48"/>
      <c r="D599" s="48"/>
      <c r="E599" s="48"/>
    </row>
    <row r="600" spans="1:5" x14ac:dyDescent="0.3">
      <c r="A600" s="9" t="s">
        <v>8</v>
      </c>
      <c r="B600" s="9" t="s">
        <v>5</v>
      </c>
      <c r="C600" s="9" t="s">
        <v>16</v>
      </c>
      <c r="D600" s="9" t="s">
        <v>17</v>
      </c>
      <c r="E600" s="9" t="s">
        <v>11</v>
      </c>
    </row>
    <row r="601" spans="1:5" x14ac:dyDescent="0.3">
      <c r="A601" s="14" t="s">
        <v>173</v>
      </c>
      <c r="B601" s="10" t="s">
        <v>6</v>
      </c>
      <c r="C601" s="16">
        <v>2.1934891586264098E-2</v>
      </c>
      <c r="D601" s="12">
        <v>420000</v>
      </c>
      <c r="E601" s="12">
        <f>D601*C601</f>
        <v>9212.6544662309207</v>
      </c>
    </row>
    <row r="602" spans="1:5" x14ac:dyDescent="0.3">
      <c r="A602" s="14"/>
      <c r="B602" s="10"/>
      <c r="C602" s="16"/>
      <c r="D602" s="12"/>
      <c r="E602" s="12"/>
    </row>
    <row r="603" spans="1:5" x14ac:dyDescent="0.3">
      <c r="A603" s="17" t="s">
        <v>18</v>
      </c>
      <c r="B603" s="43"/>
      <c r="C603" s="44"/>
      <c r="D603" s="44"/>
      <c r="E603" s="12">
        <f>SUM(E601:E601)*0.02</f>
        <v>184.25308932461843</v>
      </c>
    </row>
    <row r="604" spans="1:5" x14ac:dyDescent="0.3">
      <c r="A604" s="17"/>
      <c r="B604" s="18"/>
      <c r="C604" s="7"/>
      <c r="D604" s="7"/>
      <c r="E604" s="12"/>
    </row>
    <row r="605" spans="1:5" x14ac:dyDescent="0.3">
      <c r="A605" s="45" t="s">
        <v>14</v>
      </c>
      <c r="B605" s="46"/>
      <c r="C605" s="46"/>
      <c r="D605" s="46"/>
      <c r="E605" s="13">
        <f>SUM(E601:E603)</f>
        <v>9396.9075555555391</v>
      </c>
    </row>
    <row r="606" spans="1:5" x14ac:dyDescent="0.3">
      <c r="A606" s="47" t="s">
        <v>19</v>
      </c>
      <c r="B606" s="48"/>
      <c r="C606" s="48"/>
      <c r="D606" s="48"/>
      <c r="E606" s="48"/>
    </row>
    <row r="607" spans="1:5" x14ac:dyDescent="0.3">
      <c r="A607" s="9" t="s">
        <v>8</v>
      </c>
      <c r="B607" s="9" t="s">
        <v>5</v>
      </c>
      <c r="C607" s="9" t="s">
        <v>9</v>
      </c>
      <c r="D607" s="9" t="s">
        <v>10</v>
      </c>
      <c r="E607" s="9" t="s">
        <v>11</v>
      </c>
    </row>
    <row r="608" spans="1:5" x14ac:dyDescent="0.3">
      <c r="A608" s="14" t="s">
        <v>20</v>
      </c>
      <c r="B608" s="10" t="s">
        <v>21</v>
      </c>
      <c r="C608" s="11">
        <v>1.4999999999999999E-2</v>
      </c>
      <c r="D608" s="12">
        <v>45000</v>
      </c>
      <c r="E608" s="12">
        <f>D608*C608</f>
        <v>675</v>
      </c>
    </row>
    <row r="609" spans="1:5" x14ac:dyDescent="0.3">
      <c r="A609" s="14"/>
      <c r="B609" s="10"/>
      <c r="C609" s="11"/>
      <c r="D609" s="12"/>
      <c r="E609" s="12"/>
    </row>
    <row r="610" spans="1:5" x14ac:dyDescent="0.3">
      <c r="A610" s="45" t="s">
        <v>14</v>
      </c>
      <c r="B610" s="46"/>
      <c r="C610" s="46"/>
      <c r="D610" s="46"/>
      <c r="E610" s="13">
        <f>SUM(E608)</f>
        <v>675</v>
      </c>
    </row>
    <row r="611" spans="1:5" x14ac:dyDescent="0.3">
      <c r="A611" s="47" t="s">
        <v>22</v>
      </c>
      <c r="B611" s="48"/>
      <c r="C611" s="48"/>
      <c r="D611" s="48"/>
      <c r="E611" s="48"/>
    </row>
    <row r="612" spans="1:5" x14ac:dyDescent="0.3">
      <c r="A612" s="9" t="s">
        <v>8</v>
      </c>
      <c r="B612" s="9" t="s">
        <v>5</v>
      </c>
      <c r="C612" s="9" t="s">
        <v>9</v>
      </c>
      <c r="D612" s="9" t="s">
        <v>23</v>
      </c>
      <c r="E612" s="9" t="s">
        <v>11</v>
      </c>
    </row>
    <row r="613" spans="1:5" x14ac:dyDescent="0.3">
      <c r="A613" s="14" t="s">
        <v>24</v>
      </c>
      <c r="B613" s="10" t="s">
        <v>21</v>
      </c>
      <c r="C613" s="11">
        <v>15</v>
      </c>
      <c r="D613" s="12">
        <v>130000</v>
      </c>
      <c r="E613" s="12">
        <f>D613/C613</f>
        <v>8666.6666666666661</v>
      </c>
    </row>
    <row r="614" spans="1:5" x14ac:dyDescent="0.3">
      <c r="A614" s="14"/>
      <c r="B614" s="10"/>
      <c r="C614" s="11"/>
      <c r="D614" s="12"/>
      <c r="E614" s="12"/>
    </row>
    <row r="615" spans="1:5" x14ac:dyDescent="0.3">
      <c r="A615" s="45" t="s">
        <v>14</v>
      </c>
      <c r="B615" s="46"/>
      <c r="C615" s="46"/>
      <c r="D615" s="46"/>
      <c r="E615" s="13">
        <f>SUM(E613)</f>
        <v>8666.6666666666661</v>
      </c>
    </row>
    <row r="616" spans="1:5" x14ac:dyDescent="0.3">
      <c r="A616" s="10"/>
      <c r="B616" s="7"/>
      <c r="C616" s="7"/>
      <c r="D616" s="7"/>
      <c r="E616" s="7"/>
    </row>
    <row r="617" spans="1:5" x14ac:dyDescent="0.3">
      <c r="A617" s="45" t="s">
        <v>25</v>
      </c>
      <c r="B617" s="46"/>
      <c r="C617" s="46"/>
      <c r="D617" s="46"/>
      <c r="E617" s="13">
        <f>SUM(E598,E605,E610,E615)</f>
        <v>19605.240888888871</v>
      </c>
    </row>
  </sheetData>
  <mergeCells count="253">
    <mergeCell ref="A137:E137"/>
    <mergeCell ref="A136:D136"/>
    <mergeCell ref="A132:E132"/>
    <mergeCell ref="A131:D131"/>
    <mergeCell ref="A227:E227"/>
    <mergeCell ref="A231:D231"/>
    <mergeCell ref="A233:D233"/>
    <mergeCell ref="A143:D143"/>
    <mergeCell ref="A141:D141"/>
    <mergeCell ref="A193:E193"/>
    <mergeCell ref="A197:D197"/>
    <mergeCell ref="A198:E198"/>
    <mergeCell ref="A202:D202"/>
    <mergeCell ref="A610:D610"/>
    <mergeCell ref="A611:E611"/>
    <mergeCell ref="A615:D615"/>
    <mergeCell ref="A617:D617"/>
    <mergeCell ref="A2:E2"/>
    <mergeCell ref="A30:C30"/>
    <mergeCell ref="A31:C31"/>
    <mergeCell ref="A32:E32"/>
    <mergeCell ref="A36:D36"/>
    <mergeCell ref="A37:E37"/>
    <mergeCell ref="B42:D42"/>
    <mergeCell ref="A44:D44"/>
    <mergeCell ref="A45:E45"/>
    <mergeCell ref="A49:D49"/>
    <mergeCell ref="A50:E50"/>
    <mergeCell ref="A54:D54"/>
    <mergeCell ref="A598:D598"/>
    <mergeCell ref="A599:E599"/>
    <mergeCell ref="B603:D603"/>
    <mergeCell ref="A605:D605"/>
    <mergeCell ref="A606:E606"/>
    <mergeCell ref="A584:D584"/>
    <mergeCell ref="A586:D586"/>
    <mergeCell ref="A592:C592"/>
    <mergeCell ref="A593:C593"/>
    <mergeCell ref="A594:E594"/>
    <mergeCell ref="B572:D572"/>
    <mergeCell ref="A574:D574"/>
    <mergeCell ref="A575:E575"/>
    <mergeCell ref="A579:D579"/>
    <mergeCell ref="A580:E580"/>
    <mergeCell ref="A560:C560"/>
    <mergeCell ref="A561:C561"/>
    <mergeCell ref="A562:E562"/>
    <mergeCell ref="A566:D566"/>
    <mergeCell ref="A567:E567"/>
    <mergeCell ref="A546:E546"/>
    <mergeCell ref="A550:D550"/>
    <mergeCell ref="A551:E551"/>
    <mergeCell ref="A555:D555"/>
    <mergeCell ref="A557:D557"/>
    <mergeCell ref="A535:E535"/>
    <mergeCell ref="A539:D539"/>
    <mergeCell ref="A540:E540"/>
    <mergeCell ref="B543:D543"/>
    <mergeCell ref="A545:D545"/>
    <mergeCell ref="A522:E522"/>
    <mergeCell ref="A526:D526"/>
    <mergeCell ref="A528:D528"/>
    <mergeCell ref="A533:C533"/>
    <mergeCell ref="A534:C534"/>
    <mergeCell ref="A510:E510"/>
    <mergeCell ref="B514:D514"/>
    <mergeCell ref="A516:D516"/>
    <mergeCell ref="A517:E517"/>
    <mergeCell ref="A521:D521"/>
    <mergeCell ref="A500:D500"/>
    <mergeCell ref="A503:C503"/>
    <mergeCell ref="A504:C504"/>
    <mergeCell ref="A505:E505"/>
    <mergeCell ref="A509:D509"/>
    <mergeCell ref="A488:D488"/>
    <mergeCell ref="A489:E489"/>
    <mergeCell ref="A493:D493"/>
    <mergeCell ref="A494:E494"/>
    <mergeCell ref="A498:D498"/>
    <mergeCell ref="A473:C473"/>
    <mergeCell ref="A474:E474"/>
    <mergeCell ref="A478:D478"/>
    <mergeCell ref="A479:E479"/>
    <mergeCell ref="B486:D486"/>
    <mergeCell ref="A462:D462"/>
    <mergeCell ref="A463:E463"/>
    <mergeCell ref="A467:D467"/>
    <mergeCell ref="A469:D469"/>
    <mergeCell ref="A472:C472"/>
    <mergeCell ref="A451:D451"/>
    <mergeCell ref="A452:E452"/>
    <mergeCell ref="B455:D455"/>
    <mergeCell ref="A457:D457"/>
    <mergeCell ref="A458:E458"/>
    <mergeCell ref="A438:D438"/>
    <mergeCell ref="A440:D440"/>
    <mergeCell ref="A445:C445"/>
    <mergeCell ref="A446:C446"/>
    <mergeCell ref="A447:E447"/>
    <mergeCell ref="B426:D426"/>
    <mergeCell ref="A428:D428"/>
    <mergeCell ref="A429:E429"/>
    <mergeCell ref="A433:D433"/>
    <mergeCell ref="A434:E434"/>
    <mergeCell ref="A414:C414"/>
    <mergeCell ref="A415:C415"/>
    <mergeCell ref="A416:E416"/>
    <mergeCell ref="A420:D420"/>
    <mergeCell ref="A421:E421"/>
    <mergeCell ref="A400:E400"/>
    <mergeCell ref="A404:D404"/>
    <mergeCell ref="A405:E405"/>
    <mergeCell ref="A409:D409"/>
    <mergeCell ref="A411:D411"/>
    <mergeCell ref="A387:E387"/>
    <mergeCell ref="A391:D391"/>
    <mergeCell ref="A392:E392"/>
    <mergeCell ref="B397:D397"/>
    <mergeCell ref="A399:D399"/>
    <mergeCell ref="A376:E376"/>
    <mergeCell ref="A380:D380"/>
    <mergeCell ref="A382:D382"/>
    <mergeCell ref="A385:C385"/>
    <mergeCell ref="A386:C386"/>
    <mergeCell ref="A363:E363"/>
    <mergeCell ref="B368:D368"/>
    <mergeCell ref="A370:D370"/>
    <mergeCell ref="A371:E371"/>
    <mergeCell ref="A375:D375"/>
    <mergeCell ref="A352:D352"/>
    <mergeCell ref="A355:C355"/>
    <mergeCell ref="A356:C356"/>
    <mergeCell ref="A357:E357"/>
    <mergeCell ref="A362:D362"/>
    <mergeCell ref="A340:D340"/>
    <mergeCell ref="A341:E341"/>
    <mergeCell ref="A345:D345"/>
    <mergeCell ref="A346:E346"/>
    <mergeCell ref="A350:D350"/>
    <mergeCell ref="A326:C326"/>
    <mergeCell ref="A327:E327"/>
    <mergeCell ref="A331:D331"/>
    <mergeCell ref="A332:E332"/>
    <mergeCell ref="B338:D338"/>
    <mergeCell ref="A315:D315"/>
    <mergeCell ref="A316:E316"/>
    <mergeCell ref="A320:D320"/>
    <mergeCell ref="A322:D322"/>
    <mergeCell ref="A325:C325"/>
    <mergeCell ref="A304:D304"/>
    <mergeCell ref="A305:E305"/>
    <mergeCell ref="B308:D308"/>
    <mergeCell ref="A310:D310"/>
    <mergeCell ref="A311:E311"/>
    <mergeCell ref="B100:D100"/>
    <mergeCell ref="A294:E294"/>
    <mergeCell ref="A298:C298"/>
    <mergeCell ref="A299:C299"/>
    <mergeCell ref="A300:E300"/>
    <mergeCell ref="A147:C147"/>
    <mergeCell ref="A148:C148"/>
    <mergeCell ref="A149:E149"/>
    <mergeCell ref="A155:D155"/>
    <mergeCell ref="A156:E156"/>
    <mergeCell ref="B161:D161"/>
    <mergeCell ref="A163:D163"/>
    <mergeCell ref="A164:E164"/>
    <mergeCell ref="A168:D168"/>
    <mergeCell ref="A169:E169"/>
    <mergeCell ref="A173:D173"/>
    <mergeCell ref="A87:C87"/>
    <mergeCell ref="A88:C88"/>
    <mergeCell ref="A89:E89"/>
    <mergeCell ref="A94:D94"/>
    <mergeCell ref="A95:E95"/>
    <mergeCell ref="B129:D129"/>
    <mergeCell ref="A102:D102"/>
    <mergeCell ref="A103:E103"/>
    <mergeCell ref="A107:D107"/>
    <mergeCell ref="A108:E108"/>
    <mergeCell ref="A112:D112"/>
    <mergeCell ref="A114:D114"/>
    <mergeCell ref="A116:C116"/>
    <mergeCell ref="A117:C117"/>
    <mergeCell ref="A118:E118"/>
    <mergeCell ref="A123:D123"/>
    <mergeCell ref="A124:E124"/>
    <mergeCell ref="B16:D16"/>
    <mergeCell ref="A56:D56"/>
    <mergeCell ref="A58:C58"/>
    <mergeCell ref="A59:C59"/>
    <mergeCell ref="A60:E60"/>
    <mergeCell ref="A65:D65"/>
    <mergeCell ref="A66:E66"/>
    <mergeCell ref="B71:D71"/>
    <mergeCell ref="A73:D73"/>
    <mergeCell ref="A74:E74"/>
    <mergeCell ref="A6:C6"/>
    <mergeCell ref="A7:C7"/>
    <mergeCell ref="A8:E8"/>
    <mergeCell ref="A12:D12"/>
    <mergeCell ref="A13:E13"/>
    <mergeCell ref="A18:D18"/>
    <mergeCell ref="A19:E19"/>
    <mergeCell ref="A23:D23"/>
    <mergeCell ref="A24:E24"/>
    <mergeCell ref="A28:D28"/>
    <mergeCell ref="A78:D78"/>
    <mergeCell ref="A79:E79"/>
    <mergeCell ref="A83:D83"/>
    <mergeCell ref="A85:D85"/>
    <mergeCell ref="A175:D175"/>
    <mergeCell ref="A177:C177"/>
    <mergeCell ref="A178:C178"/>
    <mergeCell ref="A179:E179"/>
    <mergeCell ref="A184:D184"/>
    <mergeCell ref="A185:E185"/>
    <mergeCell ref="B190:D190"/>
    <mergeCell ref="A192:D192"/>
    <mergeCell ref="A249:D249"/>
    <mergeCell ref="A204:D204"/>
    <mergeCell ref="A235:C235"/>
    <mergeCell ref="A210:C210"/>
    <mergeCell ref="A211:E211"/>
    <mergeCell ref="A215:D215"/>
    <mergeCell ref="A216:E216"/>
    <mergeCell ref="B219:D219"/>
    <mergeCell ref="A221:D221"/>
    <mergeCell ref="A222:E222"/>
    <mergeCell ref="A209:C209"/>
    <mergeCell ref="A226:D226"/>
    <mergeCell ref="A236:C236"/>
    <mergeCell ref="A237:E237"/>
    <mergeCell ref="A241:D241"/>
    <mergeCell ref="A242:E242"/>
    <mergeCell ref="B247:D247"/>
    <mergeCell ref="A280:D280"/>
    <mergeCell ref="A250:E250"/>
    <mergeCell ref="A254:D254"/>
    <mergeCell ref="A255:E255"/>
    <mergeCell ref="A259:D259"/>
    <mergeCell ref="A261:D261"/>
    <mergeCell ref="A264:C264"/>
    <mergeCell ref="A265:C265"/>
    <mergeCell ref="A266:E266"/>
    <mergeCell ref="A272:D272"/>
    <mergeCell ref="A273:E273"/>
    <mergeCell ref="B278:D278"/>
    <mergeCell ref="A281:E281"/>
    <mergeCell ref="A285:D285"/>
    <mergeCell ref="A286:E286"/>
    <mergeCell ref="A290:D290"/>
    <mergeCell ref="A292:D2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4298-DAB8-4A14-BAD7-888370DD93AC}">
  <dimension ref="A1:E32"/>
  <sheetViews>
    <sheetView topLeftCell="A13" workbookViewId="0">
      <selection activeCell="C20" sqref="C20"/>
    </sheetView>
  </sheetViews>
  <sheetFormatPr baseColWidth="10" defaultRowHeight="14.4" x14ac:dyDescent="0.3"/>
  <cols>
    <col min="1" max="1" width="13.88671875" customWidth="1"/>
    <col min="2" max="2" width="56.109375" customWidth="1"/>
    <col min="3" max="3" width="18.6640625" customWidth="1"/>
  </cols>
  <sheetData>
    <row r="1" spans="1:5" x14ac:dyDescent="0.3">
      <c r="A1" s="54" t="s">
        <v>0</v>
      </c>
      <c r="B1" s="52"/>
      <c r="C1" s="52"/>
    </row>
    <row r="2" spans="1:5" x14ac:dyDescent="0.3">
      <c r="A2" s="28"/>
      <c r="B2" s="7"/>
      <c r="C2" s="7"/>
    </row>
    <row r="3" spans="1:5" x14ac:dyDescent="0.3">
      <c r="A3" s="32" t="s">
        <v>3</v>
      </c>
      <c r="B3" s="32" t="s">
        <v>8</v>
      </c>
      <c r="C3" s="32" t="s">
        <v>63</v>
      </c>
    </row>
    <row r="4" spans="1:5" x14ac:dyDescent="0.3">
      <c r="A4" s="35" t="s">
        <v>115</v>
      </c>
      <c r="B4" s="36" t="s">
        <v>125</v>
      </c>
      <c r="C4" s="31">
        <f>SUM(C5:C8)</f>
        <v>186300.00000000003</v>
      </c>
      <c r="D4">
        <v>186300</v>
      </c>
    </row>
    <row r="5" spans="1:5" x14ac:dyDescent="0.3">
      <c r="A5" s="10" t="s">
        <v>116</v>
      </c>
      <c r="B5" s="14" t="s">
        <v>122</v>
      </c>
      <c r="C5" s="29">
        <f>Hoja1!E28</f>
        <v>3611.1111111111113</v>
      </c>
    </row>
    <row r="6" spans="1:5" x14ac:dyDescent="0.3">
      <c r="A6" s="10" t="s">
        <v>117</v>
      </c>
      <c r="B6" s="14" t="s">
        <v>99</v>
      </c>
      <c r="C6" s="30">
        <f>Hoja1!E261</f>
        <v>41730</v>
      </c>
    </row>
    <row r="7" spans="1:5" x14ac:dyDescent="0.3">
      <c r="A7" s="10" t="s">
        <v>118</v>
      </c>
      <c r="B7" s="14" t="s">
        <v>121</v>
      </c>
      <c r="C7" s="30">
        <f>Hoja1!E143</f>
        <v>135924.93333333335</v>
      </c>
      <c r="E7">
        <v>41730</v>
      </c>
    </row>
    <row r="8" spans="1:5" x14ac:dyDescent="0.3">
      <c r="A8" s="10" t="s">
        <v>119</v>
      </c>
      <c r="B8" s="14" t="s">
        <v>124</v>
      </c>
      <c r="C8" s="41">
        <v>5033.9555555555489</v>
      </c>
    </row>
    <row r="9" spans="1:5" ht="13.8" customHeight="1" x14ac:dyDescent="0.3">
      <c r="A9" s="33"/>
      <c r="B9" s="33"/>
      <c r="C9" s="33"/>
    </row>
    <row r="11" spans="1:5" x14ac:dyDescent="0.3">
      <c r="A11" s="32" t="s">
        <v>3</v>
      </c>
      <c r="B11" s="32" t="s">
        <v>8</v>
      </c>
      <c r="C11" s="32" t="s">
        <v>63</v>
      </c>
    </row>
    <row r="12" spans="1:5" ht="26.4" x14ac:dyDescent="0.3">
      <c r="A12" s="35" t="s">
        <v>126</v>
      </c>
      <c r="B12" s="36" t="s">
        <v>134</v>
      </c>
      <c r="C12" s="31">
        <f>SUM(C13:C14)</f>
        <v>142155.92533333335</v>
      </c>
    </row>
    <row r="13" spans="1:5" x14ac:dyDescent="0.3">
      <c r="A13" s="10" t="s">
        <v>116</v>
      </c>
      <c r="B13" s="14" t="s">
        <v>127</v>
      </c>
      <c r="C13" s="29">
        <f>Hoja1!E292</f>
        <v>6230.9920000000002</v>
      </c>
    </row>
    <row r="14" spans="1:5" x14ac:dyDescent="0.3">
      <c r="A14" s="10" t="s">
        <v>117</v>
      </c>
      <c r="B14" s="14" t="s">
        <v>121</v>
      </c>
      <c r="C14" s="30">
        <f>Hoja1!E143</f>
        <v>135924.93333333335</v>
      </c>
    </row>
    <row r="15" spans="1:5" x14ac:dyDescent="0.3">
      <c r="A15" s="33"/>
      <c r="B15" s="33"/>
      <c r="C15" s="33"/>
    </row>
    <row r="17" spans="1:5" x14ac:dyDescent="0.3">
      <c r="A17" s="32" t="s">
        <v>3</v>
      </c>
      <c r="B17" s="32" t="s">
        <v>8</v>
      </c>
      <c r="C17" s="32" t="s">
        <v>63</v>
      </c>
    </row>
    <row r="18" spans="1:5" ht="26.4" x14ac:dyDescent="0.3">
      <c r="A18" s="35" t="s">
        <v>135</v>
      </c>
      <c r="B18" s="36" t="s">
        <v>136</v>
      </c>
      <c r="C18" s="31">
        <f>SUM(C19:C22)</f>
        <v>159500</v>
      </c>
      <c r="E18" s="42">
        <v>159500</v>
      </c>
    </row>
    <row r="19" spans="1:5" x14ac:dyDescent="0.3">
      <c r="A19" s="10" t="s">
        <v>116</v>
      </c>
      <c r="B19" s="14" t="s">
        <v>139</v>
      </c>
      <c r="C19" s="29">
        <v>20900</v>
      </c>
    </row>
    <row r="20" spans="1:5" x14ac:dyDescent="0.3">
      <c r="A20" s="10" t="s">
        <v>117</v>
      </c>
      <c r="B20" s="14" t="s">
        <v>140</v>
      </c>
      <c r="C20" s="29">
        <v>5768.0000000000164</v>
      </c>
    </row>
    <row r="21" spans="1:5" x14ac:dyDescent="0.3">
      <c r="A21" s="10" t="s">
        <v>118</v>
      </c>
      <c r="B21" s="14" t="s">
        <v>99</v>
      </c>
      <c r="C21" s="30">
        <v>41730</v>
      </c>
    </row>
    <row r="22" spans="1:5" x14ac:dyDescent="0.3">
      <c r="A22" s="10" t="s">
        <v>119</v>
      </c>
      <c r="B22" s="14" t="s">
        <v>138</v>
      </c>
      <c r="C22" s="30">
        <f>Hoja1!E114</f>
        <v>91102</v>
      </c>
    </row>
    <row r="23" spans="1:5" x14ac:dyDescent="0.3">
      <c r="A23" s="33"/>
      <c r="B23" s="33"/>
      <c r="C23" s="33"/>
    </row>
    <row r="24" spans="1:5" x14ac:dyDescent="0.3">
      <c r="E24" s="42">
        <v>176000</v>
      </c>
    </row>
    <row r="25" spans="1:5" x14ac:dyDescent="0.3">
      <c r="A25" s="32" t="s">
        <v>3</v>
      </c>
      <c r="B25" s="32" t="s">
        <v>8</v>
      </c>
      <c r="C25" s="32" t="s">
        <v>63</v>
      </c>
    </row>
    <row r="26" spans="1:5" x14ac:dyDescent="0.3">
      <c r="A26" s="35" t="s">
        <v>176</v>
      </c>
      <c r="B26" s="36" t="s">
        <v>137</v>
      </c>
      <c r="C26" s="31">
        <f>SUM(C27:C31)</f>
        <v>238999.11111111112</v>
      </c>
    </row>
    <row r="27" spans="1:5" x14ac:dyDescent="0.3">
      <c r="A27" s="10" t="s">
        <v>116</v>
      </c>
      <c r="B27" s="14" t="s">
        <v>97</v>
      </c>
      <c r="C27" s="29">
        <f>C5</f>
        <v>3611.1111111111113</v>
      </c>
    </row>
    <row r="28" spans="1:5" x14ac:dyDescent="0.3">
      <c r="A28" s="10" t="s">
        <v>117</v>
      </c>
      <c r="B28" s="14" t="s">
        <v>98</v>
      </c>
      <c r="C28" s="30">
        <v>21100</v>
      </c>
    </row>
    <row r="29" spans="1:5" x14ac:dyDescent="0.3">
      <c r="A29" s="10" t="s">
        <v>118</v>
      </c>
      <c r="B29" s="14" t="s">
        <v>99</v>
      </c>
      <c r="C29" s="30">
        <v>41730</v>
      </c>
      <c r="D29">
        <v>18456</v>
      </c>
    </row>
    <row r="30" spans="1:5" x14ac:dyDescent="0.3">
      <c r="A30" s="10" t="s">
        <v>119</v>
      </c>
      <c r="B30" s="14" t="s">
        <v>101</v>
      </c>
      <c r="C30" s="30">
        <f>Hoja1!E114</f>
        <v>91102</v>
      </c>
    </row>
    <row r="31" spans="1:5" x14ac:dyDescent="0.3">
      <c r="A31" s="10" t="s">
        <v>177</v>
      </c>
      <c r="B31" s="14" t="s">
        <v>68</v>
      </c>
      <c r="C31" s="30">
        <v>81456</v>
      </c>
    </row>
    <row r="32" spans="1:5" x14ac:dyDescent="0.3">
      <c r="A32" s="33"/>
      <c r="B32" s="33"/>
      <c r="C32" s="3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APU O.G</vt:lpstr>
      <vt:lpstr>RESUMEN APU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Andrés Felipe Montoya Osorio</cp:lastModifiedBy>
  <dcterms:created xsi:type="dcterms:W3CDTF">2025-04-04T20:06:46Z</dcterms:created>
  <dcterms:modified xsi:type="dcterms:W3CDTF">2025-06-06T14:33:49Z</dcterms:modified>
</cp:coreProperties>
</file>