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SI\Downloads\"/>
    </mc:Choice>
  </mc:AlternateContent>
  <xr:revisionPtr revIDLastSave="0" documentId="13_ncr:1_{89A0CA79-7A98-40EB-84C8-01D134B28E97}" xr6:coauthVersionLast="47" xr6:coauthVersionMax="47" xr10:uidLastSave="{00000000-0000-0000-0000-000000000000}"/>
  <bookViews>
    <workbookView xWindow="-108" yWindow="-108" windowWidth="23256" windowHeight="12456" activeTab="1" xr2:uid="{1042EAFE-A61F-4BE3-A753-F2250B14253F}"/>
  </bookViews>
  <sheets>
    <sheet name="medidas definitivas" sheetId="1" r:id="rId1"/>
    <sheet name="CUADRO GENERAL DE ACTIVIDADES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7" i="2" l="1"/>
  <c r="D88" i="1" l="1"/>
  <c r="G41" i="2"/>
  <c r="G39" i="2"/>
  <c r="G38" i="2"/>
  <c r="G37" i="2"/>
  <c r="G36" i="2"/>
  <c r="G35" i="2"/>
  <c r="G34" i="2"/>
  <c r="G33" i="2"/>
  <c r="G31" i="2"/>
  <c r="G30" i="2"/>
  <c r="G28" i="2"/>
  <c r="G27" i="2"/>
  <c r="G26" i="2"/>
  <c r="G25" i="2"/>
  <c r="G23" i="2"/>
  <c r="G22" i="2"/>
  <c r="G21" i="2"/>
  <c r="G20" i="2"/>
  <c r="G19" i="2"/>
  <c r="G18" i="2"/>
  <c r="G17" i="2"/>
  <c r="G16" i="2"/>
  <c r="G15" i="2"/>
  <c r="G14" i="2"/>
  <c r="G40" i="2"/>
  <c r="G11" i="2"/>
  <c r="G12" i="2"/>
  <c r="G10" i="2"/>
  <c r="G29" i="2" l="1"/>
  <c r="G24" i="2"/>
  <c r="G9" i="2"/>
  <c r="G13" i="2"/>
  <c r="G32" i="2"/>
  <c r="C88" i="1"/>
  <c r="C85" i="1"/>
  <c r="C84" i="1"/>
  <c r="C80" i="1"/>
  <c r="C79" i="1"/>
  <c r="C75" i="1"/>
  <c r="C71" i="1"/>
  <c r="C67" i="1"/>
  <c r="C66" i="1"/>
  <c r="J65" i="1"/>
  <c r="C65" i="1"/>
  <c r="J63" i="1"/>
  <c r="C59" i="1"/>
  <c r="C57" i="1"/>
  <c r="C56" i="1"/>
  <c r="C55" i="1"/>
  <c r="C50" i="1"/>
  <c r="C49" i="1"/>
  <c r="C48" i="1"/>
  <c r="C47" i="1"/>
  <c r="M45" i="1"/>
  <c r="J45" i="1"/>
  <c r="M44" i="1"/>
  <c r="J44" i="1"/>
  <c r="M43" i="1"/>
  <c r="J43" i="1"/>
  <c r="N39" i="1"/>
  <c r="K39" i="1"/>
  <c r="K38" i="1"/>
  <c r="N38" i="1" s="1"/>
  <c r="K35" i="1"/>
  <c r="N35" i="1" s="1"/>
  <c r="C35" i="1"/>
  <c r="F35" i="1" s="1"/>
  <c r="K34" i="1"/>
  <c r="N34" i="1" s="1"/>
  <c r="K33" i="1"/>
  <c r="N33" i="1" s="1"/>
  <c r="C33" i="1"/>
  <c r="F33" i="1" s="1"/>
  <c r="C31" i="1"/>
  <c r="F29" i="1" s="1"/>
  <c r="N27" i="1"/>
  <c r="K27" i="1"/>
  <c r="C27" i="1"/>
  <c r="N26" i="1"/>
  <c r="C26" i="1"/>
  <c r="F25" i="1" s="1"/>
  <c r="N25" i="1"/>
  <c r="N24" i="1"/>
  <c r="N23" i="1"/>
  <c r="C23" i="1"/>
  <c r="N22" i="1"/>
  <c r="N28" i="1" s="1"/>
  <c r="C22" i="1"/>
  <c r="N21" i="1"/>
  <c r="F21" i="1"/>
  <c r="O16" i="1"/>
  <c r="G16" i="1"/>
  <c r="F15" i="1"/>
  <c r="G15" i="1" s="1"/>
  <c r="M14" i="1"/>
  <c r="N14" i="1" s="1"/>
  <c r="G14" i="1"/>
  <c r="M13" i="1"/>
  <c r="N13" i="1" s="1"/>
  <c r="D13" i="1"/>
  <c r="F13" i="1" s="1"/>
  <c r="G13" i="1" s="1"/>
  <c r="M12" i="1"/>
  <c r="N12" i="1" s="1"/>
  <c r="G12" i="1"/>
  <c r="M11" i="1"/>
  <c r="N11" i="1" s="1"/>
  <c r="D11" i="1"/>
  <c r="F11" i="1" s="1"/>
  <c r="G11" i="1" s="1"/>
  <c r="M10" i="1"/>
  <c r="N10" i="1" s="1"/>
  <c r="G10" i="1"/>
  <c r="M9" i="1"/>
  <c r="N9" i="1" s="1"/>
  <c r="D9" i="1"/>
  <c r="F9" i="1" s="1"/>
  <c r="G9" i="1" s="1"/>
  <c r="M8" i="1"/>
  <c r="N8" i="1" s="1"/>
  <c r="G8" i="1"/>
  <c r="M7" i="1"/>
  <c r="N7" i="1" s="1"/>
  <c r="D7" i="1"/>
  <c r="F7" i="1" s="1"/>
  <c r="G7" i="1" s="1"/>
  <c r="M6" i="1"/>
  <c r="N6" i="1" s="1"/>
  <c r="G6" i="1"/>
  <c r="F5" i="1"/>
  <c r="G5" i="1" s="1"/>
  <c r="G42" i="2" l="1"/>
  <c r="G17" i="1"/>
  <c r="N16" i="1"/>
  <c r="C36" i="1"/>
  <c r="F36" i="1" s="1"/>
  <c r="G44" i="2" l="1"/>
  <c r="G43" i="2"/>
  <c r="G45" i="2"/>
  <c r="G46" i="2" s="1"/>
  <c r="G47" i="2" l="1"/>
</calcChain>
</file>

<file path=xl/sharedStrings.xml><?xml version="1.0" encoding="utf-8"?>
<sst xmlns="http://schemas.openxmlformats.org/spreadsheetml/2006/main" count="297" uniqueCount="202">
  <si>
    <t>PASILLOS TORRES</t>
  </si>
  <si>
    <t>VACIOS</t>
  </si>
  <si>
    <t>BARANDAS</t>
  </si>
  <si>
    <t xml:space="preserve">CARAS </t>
  </si>
  <si>
    <t># PISOS</t>
  </si>
  <si>
    <t>ML</t>
  </si>
  <si>
    <t>H</t>
  </si>
  <si>
    <t>M2</t>
  </si>
  <si>
    <t xml:space="preserve">M2 TOTAL </t>
  </si>
  <si>
    <t>LOBBY ACCESO T1 Y T2 PAREDES</t>
  </si>
  <si>
    <t>ESCALERAS T1</t>
  </si>
  <si>
    <t>LOBBY ACCESO T1 Y T2 TECHO</t>
  </si>
  <si>
    <t>ENTRE TORRE 1 TORRE 2</t>
  </si>
  <si>
    <t>PASILLOS T1 PAREDES</t>
  </si>
  <si>
    <t>TORRE 2 FRENTE A ESCALERAS</t>
  </si>
  <si>
    <t>PASILLOS T1 TECHO</t>
  </si>
  <si>
    <t>TORRE 2 DIAGONAL ASCENSOR</t>
  </si>
  <si>
    <t>PASILLOS T2 PAREDES</t>
  </si>
  <si>
    <t>TORRE 2 ENTRE VESTIERES T2 Y T3</t>
  </si>
  <si>
    <t>PASILLOS T2 TECHO</t>
  </si>
  <si>
    <t>ENTRE TORRE 2 Y TORRE 3 (609)</t>
  </si>
  <si>
    <t>LOBBY ACCESO T3 Y T4 PAREDES</t>
  </si>
  <si>
    <t>FRENTE ESCALERAS TORRE 3</t>
  </si>
  <si>
    <t>LOBBY ACCESO T3 Y T4 TECHO</t>
  </si>
  <si>
    <t>ENTRE TORRE 3 Y TORRE 4</t>
  </si>
  <si>
    <t>PASILLOS T3 PAREDES</t>
  </si>
  <si>
    <t>FRENTE ESCALERAS TORRE 4</t>
  </si>
  <si>
    <t>PASILLOS T3 TECHO</t>
  </si>
  <si>
    <t>DIAGONAL ASCENSOR TORRE 4</t>
  </si>
  <si>
    <t>PASILLOS T4 PAREDES</t>
  </si>
  <si>
    <t>PASILLOS T4 TECHO</t>
  </si>
  <si>
    <t>TOTAL</t>
  </si>
  <si>
    <t xml:space="preserve">ELEMENTOS VOLUMÉTRICOS </t>
  </si>
  <si>
    <t>ZONA COMERCIAL</t>
  </si>
  <si>
    <t>FACHADA LATERAL</t>
  </si>
  <si>
    <t>LAVADO</t>
  </si>
  <si>
    <t>FACHADA CRA 19 LOCALES</t>
  </si>
  <si>
    <t>GRANIPLAST</t>
  </si>
  <si>
    <t>FACHADA LATERAL LOCALES</t>
  </si>
  <si>
    <t>CARAS LATERALES</t>
  </si>
  <si>
    <t>CIELO RASO TORRE 1 PISO 2</t>
  </si>
  <si>
    <t>FACHADA CRA 19</t>
  </si>
  <si>
    <t>CIELO RASO TORRE 2-3 PISO 3</t>
  </si>
  <si>
    <t>CIELO RASO TORRE 4 PISO 4</t>
  </si>
  <si>
    <t>CIELO RASO MALL DE COMIDAS</t>
  </si>
  <si>
    <t>PAREDES MALL DE COMIDAS</t>
  </si>
  <si>
    <t>FACHADA FRONTAL</t>
  </si>
  <si>
    <t>BALCONES</t>
  </si>
  <si>
    <t>APARTAMENTOS</t>
  </si>
  <si>
    <t>FACHADA POSTERIOR</t>
  </si>
  <si>
    <t>TECHOS BALCONES</t>
  </si>
  <si>
    <t>TODOS</t>
  </si>
  <si>
    <t>ELEMENTOS VOLUMÉTRICOS METÁLICOS EN TERRAZAS</t>
  </si>
  <si>
    <t>MURO BALCÓN EXTERIOR ABUSARDADO</t>
  </si>
  <si>
    <t>ARCO ML</t>
  </si>
  <si>
    <t xml:space="preserve">MURO BALCÓN INTERIOR PINTURA </t>
  </si>
  <si>
    <t>COMERCIO</t>
  </si>
  <si>
    <t>DOMOS EN POLICARBONATO</t>
  </si>
  <si>
    <t>DESCRIPCIÓN</t>
  </si>
  <si>
    <t>ML CANAL</t>
  </si>
  <si>
    <t>M2 CANAL</t>
  </si>
  <si>
    <t>CUBIERTA TEJA TORRE 4 PISO 14</t>
  </si>
  <si>
    <t>AREA DE VENTANAS</t>
  </si>
  <si>
    <t>PARQUE INFANTIL-SALÓN SOCIAL</t>
  </si>
  <si>
    <t xml:space="preserve">DOMO EN PISCINAS </t>
  </si>
  <si>
    <t>CUBIERTA TORRE 4</t>
  </si>
  <si>
    <t xml:space="preserve"> TEJA ETERNIT</t>
  </si>
  <si>
    <t xml:space="preserve">ML ALFAGIAS EN CUBIERTA Y TERRAZAS </t>
  </si>
  <si>
    <t>PUERTAS METÁLICAS PARQUEADEROS</t>
  </si>
  <si>
    <t>VIGA CANAL</t>
  </si>
  <si>
    <t>PLACAS EN CONCRETO</t>
  </si>
  <si>
    <t>ML ALFAGIAS EN VOLUMENES DE FACHADAS</t>
  </si>
  <si>
    <t>TERRAZA 1</t>
  </si>
  <si>
    <t>TEXTURA AMARILLA</t>
  </si>
  <si>
    <t>PINTURA</t>
  </si>
  <si>
    <t>SINTÉTICO</t>
  </si>
  <si>
    <t>IMPERMEABILIZACIÓN</t>
  </si>
  <si>
    <t>JARDINERAS</t>
  </si>
  <si>
    <t xml:space="preserve">BANCAS </t>
  </si>
  <si>
    <t>CUBIERTA</t>
  </si>
  <si>
    <t>PLACAS EN CONCRETO TANQUES</t>
  </si>
  <si>
    <t>BARANDAS METÁLICAS ML</t>
  </si>
  <si>
    <t>TERRAZA 2 PISCINAS</t>
  </si>
  <si>
    <t>PISCINA ADULTOS</t>
  </si>
  <si>
    <t>PISCINA NIÑOS</t>
  </si>
  <si>
    <t>CONCRETO/CESPED</t>
  </si>
  <si>
    <t>JACUZZIS</t>
  </si>
  <si>
    <t>CERÁMICA PISCINA NIÑOS</t>
  </si>
  <si>
    <t xml:space="preserve">CERÁMICA PISCINA ADULTOS </t>
  </si>
  <si>
    <t>REJILLA</t>
  </si>
  <si>
    <t xml:space="preserve">DECK PISCINA ADULTOS </t>
  </si>
  <si>
    <t>BORDILLO VACIOS</t>
  </si>
  <si>
    <t>RETIRO MATERA</t>
  </si>
  <si>
    <t>DECK JACUZZIS</t>
  </si>
  <si>
    <t>LOSA TANQUES</t>
  </si>
  <si>
    <t>CERAMICA CIRCULACIONES</t>
  </si>
  <si>
    <t>PISO GYM -SALÓN SOCIAL Y WC</t>
  </si>
  <si>
    <t xml:space="preserve">PAREDES GYM -SALÓN SOCIAL Y WC INTERNAS </t>
  </si>
  <si>
    <t>PAREDES GYM -SALÓN SOCIAL Y WC EXTERNAS</t>
  </si>
  <si>
    <t>CIELO RASO SUPERBOARD PASILLO</t>
  </si>
  <si>
    <t>CARTERAS CIELO RASO</t>
  </si>
  <si>
    <t>BARANDAS PISCINAS GRANDES ML</t>
  </si>
  <si>
    <t>BARANDAS PISCINAS JACUZZI ML</t>
  </si>
  <si>
    <t>BARANDAS PERIMETRALES ML</t>
  </si>
  <si>
    <t>VOLUMEN AZUL JUEGOS</t>
  </si>
  <si>
    <t>MUROS EN FACHADA DE APTOS HACIA TERRAZA 2</t>
  </si>
  <si>
    <t>VACIO CIRCULAR</t>
  </si>
  <si>
    <t>ALTURA</t>
  </si>
  <si>
    <t>EDIFICIO ATLANTIS-ARMENIA</t>
  </si>
  <si>
    <t>ANEXO-01 CUADRO GENERAL DE OFERTA</t>
  </si>
  <si>
    <t>Oferente:</t>
  </si>
  <si>
    <t>Fecha:</t>
  </si>
  <si>
    <t>Descripcion</t>
  </si>
  <si>
    <t>Unidad</t>
  </si>
  <si>
    <t>Cantidad</t>
  </si>
  <si>
    <t>Vr Unitario</t>
  </si>
  <si>
    <t>Vr Total</t>
  </si>
  <si>
    <t>Costo Directo</t>
  </si>
  <si>
    <t>A</t>
  </si>
  <si>
    <t>ADMINISTRACION</t>
  </si>
  <si>
    <t>I</t>
  </si>
  <si>
    <t>IMPREVISTOS</t>
  </si>
  <si>
    <t>U</t>
  </si>
  <si>
    <t>UTILIDAD</t>
  </si>
  <si>
    <t>IVA</t>
  </si>
  <si>
    <t>IVA/U</t>
  </si>
  <si>
    <t>Total Propuesta</t>
  </si>
  <si>
    <t>Firma del Proponente:___________________________________</t>
  </si>
  <si>
    <t>MEDIDAS EDIFICIO ATLANTIS ARMENIA QUINDIO</t>
  </si>
  <si>
    <t>Capitulo</t>
  </si>
  <si>
    <t>Item</t>
  </si>
  <si>
    <t xml:space="preserve">Convocante: Edificio Atlantis </t>
  </si>
  <si>
    <t>Rep Legal Oferente:</t>
  </si>
  <si>
    <t>Rep. Legal Convocante:</t>
  </si>
  <si>
    <t>INTERVENTORIA: Ing. Luis Fernando Márquez Jaramillo</t>
  </si>
  <si>
    <t>Impermeabilizaciones y Mantenimiento Integral en el area de Terrazas, Cubiertas y  Zonas Humedas</t>
  </si>
  <si>
    <t>PRELIMINARES</t>
  </si>
  <si>
    <t>I.1</t>
  </si>
  <si>
    <t>Campamento</t>
  </si>
  <si>
    <t>I.2</t>
  </si>
  <si>
    <t>Señalizacion y Seguridad en Obra</t>
  </si>
  <si>
    <t>I.3</t>
  </si>
  <si>
    <t>Asesoria y/o Consulta Tecnica</t>
  </si>
  <si>
    <t>Gl</t>
  </si>
  <si>
    <t>II</t>
  </si>
  <si>
    <t>IMPERMEABILIZACIONES</t>
  </si>
  <si>
    <t>II.1</t>
  </si>
  <si>
    <t>II.2</t>
  </si>
  <si>
    <t>II.3</t>
  </si>
  <si>
    <t>II.4</t>
  </si>
  <si>
    <t>II.5</t>
  </si>
  <si>
    <t>II.6</t>
  </si>
  <si>
    <t>Impermeabilizacion de Zonas de anterior Grama Sintetica</t>
  </si>
  <si>
    <t>Impermeabilizacion de lozas de concreto sobre areas comunes en terrazas 2 y 3 (turco, pto fijo de escalera, etc)</t>
  </si>
  <si>
    <t xml:space="preserve"> Impermeabilizacion y Mantenimiento Integral a Jardineras de terrazas 2 y 3</t>
  </si>
  <si>
    <t>Impermeabilizacion en area adyacente a la piscina pequeña</t>
  </si>
  <si>
    <t>Impermeabilizacion y Revestimiento de pisos Deck en cuarto de equipos de Piscina y Jacussi</t>
  </si>
  <si>
    <t>Impermeabilizacion y Mantenimeinto Integral a Viga Canal de la cubierta de la torre 4</t>
  </si>
  <si>
    <t>II.7</t>
  </si>
  <si>
    <t>Recorrido General a la cubierta de Fibrocemento de la torre 4</t>
  </si>
  <si>
    <t>III</t>
  </si>
  <si>
    <t>III.1</t>
  </si>
  <si>
    <t>III.2</t>
  </si>
  <si>
    <t>III.3</t>
  </si>
  <si>
    <t>III.4</t>
  </si>
  <si>
    <t xml:space="preserve">Construccion de Rejilla de Drenaje en Peatonal DE Torre 1 </t>
  </si>
  <si>
    <t>II.8</t>
  </si>
  <si>
    <t>Recorrido a Canales Perimetrales de Domos de Iluminacion Cenital</t>
  </si>
  <si>
    <t>INFRAESTRUCTURA PARA EL TRATAMIENTO GENERAL DE AGUAS DE ESCORRENTIA y PLUVIALES</t>
  </si>
  <si>
    <t>Construccion de Bordillos de Contencion de Aguas de escorrentia en terrazas 1, 2 y 3</t>
  </si>
  <si>
    <t>Construccion de Cubierta sobre sistema de aireacion eolica</t>
  </si>
  <si>
    <t>II.9</t>
  </si>
  <si>
    <t>Recorrido General a Domos de iluminacion Cenital</t>
  </si>
  <si>
    <t>Suministro e Instalacion de Cinta EPDM sobre junta de dilatacion entre las torres 2 y 3</t>
  </si>
  <si>
    <t>II.10</t>
  </si>
  <si>
    <t>Impermeabilizacion y Tratamiento de Materas</t>
  </si>
  <si>
    <t>IV</t>
  </si>
  <si>
    <t>REPARACIONES EN CIELORASOS, CARTERAS Y ESTRUCTURAS LIVIANAS EN LAS TERRAZAS</t>
  </si>
  <si>
    <t>IV.1</t>
  </si>
  <si>
    <t>IV.2</t>
  </si>
  <si>
    <t>Reparacion de Cielorasos en Zonas de Areas Comunes de la terraz 2</t>
  </si>
  <si>
    <t>Reparacion de Carteras de los cielos Rasos de la terraza 2</t>
  </si>
  <si>
    <t>V</t>
  </si>
  <si>
    <t>V.1</t>
  </si>
  <si>
    <t>V.2</t>
  </si>
  <si>
    <t>V.3</t>
  </si>
  <si>
    <t>V.4</t>
  </si>
  <si>
    <t>V.5</t>
  </si>
  <si>
    <t>Suministro y Aplicación de Pintura Tipo Vinilo I sobre paredes de espacios interiores en la terraza 2 (Gimnasio, Salon Social y WCs)</t>
  </si>
  <si>
    <t>Suministro y Aplicación de Pintura Tipo Koraza para exteriores (muros y fachadas de apartamentos hacia la torre 2, juegos muro azul, muros de soporte de estructuras metalicas elevadas y barandas)</t>
  </si>
  <si>
    <t>Suministro y Aplicación de Pintura tipo Koraza gris basalto para exteriores en Alfajias de las terrazas</t>
  </si>
  <si>
    <t>Suministro y Aplicación de Pintura de Trafico sobre sendero peatonal de la terraza de la torre 1</t>
  </si>
  <si>
    <t>Suministro y Aplicación de Pintura tipo Pintulux 3 en 1 sobre elementos metalicos elevados en terrazas 1, 2 y 3</t>
  </si>
  <si>
    <t>V.6</t>
  </si>
  <si>
    <t>Suministro y Aplicación de Pintura Tipo Pintulux 3 en 1 sobre barandas y Pasamanos de las terrazas</t>
  </si>
  <si>
    <t>V.7</t>
  </si>
  <si>
    <t>Suministro y Aplicación de Sellador Hidropelente Tipo SikaTransparente 10 en paredes de Jardineras de las torres 2 y 3</t>
  </si>
  <si>
    <t>VI</t>
  </si>
  <si>
    <t>ASEO GENERAL Y RETIRO DE ESCOMBROS</t>
  </si>
  <si>
    <t>VI.1</t>
  </si>
  <si>
    <t>Aseo de Obra y Retiro de Material Sobrante</t>
  </si>
  <si>
    <t>SUMINISTRO Y APLICACIÓN DE PINTURA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</si>
</sst>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43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/>
  </cellStyleXfs>
  <cellXfs count="18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9" fontId="2" fillId="3" borderId="6" xfId="2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2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9" xfId="2" applyNumberFormat="1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6" xfId="2" applyNumberFormat="1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5" xfId="2" applyNumberFormat="1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2" fillId="3" borderId="31" xfId="0" applyFont="1" applyFill="1" applyBorder="1" applyAlignment="1">
      <alignment horizontal="center" vertical="center"/>
    </xf>
    <xf numFmtId="0" fontId="2" fillId="3" borderId="35" xfId="0" applyFont="1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9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2" fillId="3" borderId="44" xfId="0" applyFont="1" applyFill="1" applyBorder="1" applyAlignment="1">
      <alignment horizontal="center" vertical="center"/>
    </xf>
    <xf numFmtId="0" fontId="0" fillId="4" borderId="13" xfId="0" applyFill="1" applyBorder="1" applyAlignment="1">
      <alignment horizontal="left" vertical="center" wrapText="1"/>
    </xf>
    <xf numFmtId="0" fontId="0" fillId="4" borderId="11" xfId="0" applyFill="1" applyBorder="1" applyAlignment="1">
      <alignment horizontal="center" vertical="center"/>
    </xf>
    <xf numFmtId="0" fontId="0" fillId="4" borderId="23" xfId="0" applyFill="1" applyBorder="1" applyAlignment="1">
      <alignment horizontal="left" vertical="center" wrapText="1"/>
    </xf>
    <xf numFmtId="0" fontId="0" fillId="4" borderId="16" xfId="0" applyFill="1" applyBorder="1" applyAlignment="1">
      <alignment horizontal="center" vertical="center"/>
    </xf>
    <xf numFmtId="0" fontId="2" fillId="3" borderId="46" xfId="0" applyFont="1" applyFill="1" applyBorder="1" applyAlignment="1">
      <alignment horizontal="center" vertical="center"/>
    </xf>
    <xf numFmtId="0" fontId="0" fillId="4" borderId="24" xfId="0" applyFill="1" applyBorder="1" applyAlignment="1">
      <alignment horizontal="left" vertical="center"/>
    </xf>
    <xf numFmtId="0" fontId="0" fillId="4" borderId="25" xfId="0" applyFill="1" applyBorder="1" applyAlignment="1">
      <alignment horizontal="center" vertical="center"/>
    </xf>
    <xf numFmtId="0" fontId="0" fillId="0" borderId="13" xfId="0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0" fontId="0" fillId="0" borderId="24" xfId="0" applyBorder="1" applyAlignment="1">
      <alignment horizontal="left" vertical="center" wrapText="1"/>
    </xf>
    <xf numFmtId="0" fontId="0" fillId="0" borderId="37" xfId="0" applyBorder="1" applyAlignment="1">
      <alignment horizontal="center"/>
    </xf>
    <xf numFmtId="0" fontId="0" fillId="0" borderId="13" xfId="0" applyBorder="1"/>
    <xf numFmtId="0" fontId="0" fillId="4" borderId="23" xfId="0" applyFill="1" applyBorder="1"/>
    <xf numFmtId="0" fontId="0" fillId="4" borderId="38" xfId="0" applyFill="1" applyBorder="1"/>
    <xf numFmtId="0" fontId="0" fillId="4" borderId="24" xfId="0" applyFill="1" applyBorder="1"/>
    <xf numFmtId="0" fontId="0" fillId="4" borderId="39" xfId="0" applyFill="1" applyBorder="1"/>
    <xf numFmtId="0" fontId="0" fillId="5" borderId="8" xfId="0" applyFill="1" applyBorder="1"/>
    <xf numFmtId="0" fontId="0" fillId="5" borderId="45" xfId="0" applyFill="1" applyBorder="1" applyAlignment="1">
      <alignment horizontal="center"/>
    </xf>
    <xf numFmtId="0" fontId="0" fillId="0" borderId="37" xfId="0" applyBorder="1"/>
    <xf numFmtId="0" fontId="0" fillId="0" borderId="23" xfId="0" applyBorder="1"/>
    <xf numFmtId="0" fontId="0" fillId="0" borderId="38" xfId="0" applyBorder="1"/>
    <xf numFmtId="0" fontId="0" fillId="4" borderId="13" xfId="0" applyFill="1" applyBorder="1"/>
    <xf numFmtId="0" fontId="0" fillId="4" borderId="37" xfId="0" applyFill="1" applyBorder="1"/>
    <xf numFmtId="0" fontId="0" fillId="4" borderId="23" xfId="0" applyFill="1" applyBorder="1" applyAlignment="1">
      <alignment wrapText="1"/>
    </xf>
    <xf numFmtId="0" fontId="0" fillId="4" borderId="24" xfId="0" applyFill="1" applyBorder="1" applyAlignment="1">
      <alignment wrapText="1"/>
    </xf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4" borderId="51" xfId="0" applyFill="1" applyBorder="1" applyAlignment="1">
      <alignment horizontal="center" vertical="center"/>
    </xf>
    <xf numFmtId="0" fontId="0" fillId="4" borderId="52" xfId="0" applyFill="1" applyBorder="1" applyAlignment="1">
      <alignment horizontal="center" vertical="center"/>
    </xf>
    <xf numFmtId="0" fontId="0" fillId="4" borderId="53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54" xfId="0" applyFont="1" applyBorder="1" applyAlignment="1">
      <alignment horizontal="left" vertical="center"/>
    </xf>
    <xf numFmtId="0" fontId="2" fillId="0" borderId="54" xfId="0" applyFont="1" applyBorder="1" applyAlignment="1">
      <alignment horizontal="center" vertical="center"/>
    </xf>
    <xf numFmtId="43" fontId="2" fillId="0" borderId="54" xfId="0" applyNumberFormat="1" applyFont="1" applyBorder="1" applyAlignment="1">
      <alignment vertical="center"/>
    </xf>
    <xf numFmtId="0" fontId="2" fillId="0" borderId="54" xfId="0" applyFont="1" applyBorder="1" applyAlignment="1">
      <alignment horizontal="left" vertical="center" wrapText="1"/>
    </xf>
    <xf numFmtId="0" fontId="0" fillId="0" borderId="54" xfId="0" applyBorder="1" applyAlignment="1">
      <alignment vertical="center"/>
    </xf>
    <xf numFmtId="44" fontId="2" fillId="0" borderId="54" xfId="0" applyNumberFormat="1" applyFont="1" applyBorder="1" applyAlignment="1">
      <alignment vertical="center"/>
    </xf>
    <xf numFmtId="9" fontId="2" fillId="0" borderId="54" xfId="0" applyNumberFormat="1" applyFont="1" applyBorder="1" applyAlignment="1">
      <alignment horizontal="center" vertical="center"/>
    </xf>
    <xf numFmtId="44" fontId="0" fillId="0" borderId="54" xfId="1" applyFont="1" applyFill="1" applyBorder="1" applyAlignment="1">
      <alignment vertical="center"/>
    </xf>
    <xf numFmtId="0" fontId="2" fillId="8" borderId="54" xfId="0" applyFont="1" applyFill="1" applyBorder="1" applyAlignment="1">
      <alignment horizontal="left" vertical="center"/>
    </xf>
    <xf numFmtId="0" fontId="2" fillId="8" borderId="54" xfId="0" applyFont="1" applyFill="1" applyBorder="1" applyAlignment="1">
      <alignment horizontal="center" vertical="center"/>
    </xf>
    <xf numFmtId="0" fontId="2" fillId="8" borderId="54" xfId="0" applyFont="1" applyFill="1" applyBorder="1" applyAlignment="1">
      <alignment horizontal="left" vertical="center" wrapText="1"/>
    </xf>
    <xf numFmtId="43" fontId="2" fillId="8" borderId="54" xfId="0" applyNumberFormat="1" applyFont="1" applyFill="1" applyBorder="1" applyAlignment="1">
      <alignment vertical="center"/>
    </xf>
    <xf numFmtId="0" fontId="2" fillId="7" borderId="54" xfId="0" applyFont="1" applyFill="1" applyBorder="1" applyAlignment="1">
      <alignment vertical="center"/>
    </xf>
    <xf numFmtId="0" fontId="2" fillId="7" borderId="54" xfId="0" applyFont="1" applyFill="1" applyBorder="1" applyAlignment="1">
      <alignment horizontal="center" vertical="center"/>
    </xf>
    <xf numFmtId="44" fontId="0" fillId="8" borderId="54" xfId="0" applyNumberFormat="1" applyFill="1" applyBorder="1" applyAlignment="1">
      <alignment horizontal="center" vertical="center"/>
    </xf>
    <xf numFmtId="44" fontId="2" fillId="0" borderId="54" xfId="1" applyFont="1" applyFill="1" applyBorder="1" applyAlignment="1">
      <alignment horizontal="center" vertical="center"/>
    </xf>
    <xf numFmtId="44" fontId="2" fillId="8" borderId="54" xfId="0" applyNumberFormat="1" applyFont="1" applyFill="1" applyBorder="1" applyAlignment="1">
      <alignment horizontal="center" vertical="center"/>
    </xf>
    <xf numFmtId="44" fontId="0" fillId="0" borderId="0" xfId="1" applyFont="1" applyAlignment="1">
      <alignment vertical="center"/>
    </xf>
    <xf numFmtId="44" fontId="2" fillId="0" borderId="54" xfId="1" applyFont="1" applyBorder="1" applyAlignment="1">
      <alignment horizontal="center" vertical="center"/>
    </xf>
    <xf numFmtId="44" fontId="2" fillId="8" borderId="54" xfId="1" applyFont="1" applyFill="1" applyBorder="1" applyAlignment="1">
      <alignment horizontal="center" vertical="center"/>
    </xf>
    <xf numFmtId="0" fontId="2" fillId="5" borderId="46" xfId="0" applyFont="1" applyFill="1" applyBorder="1" applyAlignment="1">
      <alignment horizontal="center"/>
    </xf>
    <xf numFmtId="0" fontId="2" fillId="5" borderId="45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2" fillId="5" borderId="31" xfId="0" applyFont="1" applyFill="1" applyBorder="1" applyAlignment="1">
      <alignment horizontal="center"/>
    </xf>
    <xf numFmtId="0" fontId="2" fillId="5" borderId="35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0" fillId="4" borderId="16" xfId="0" applyFill="1" applyBorder="1" applyAlignment="1">
      <alignment horizontal="center" vertical="center"/>
    </xf>
    <xf numFmtId="0" fontId="0" fillId="4" borderId="38" xfId="0" applyFill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2" fillId="3" borderId="45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25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4" borderId="11" xfId="0" applyFill="1" applyBorder="1" applyAlignment="1">
      <alignment horizontal="center"/>
    </xf>
    <xf numFmtId="0" fontId="0" fillId="4" borderId="37" xfId="0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0" fillId="4" borderId="39" xfId="0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37" xfId="0" applyFill="1" applyBorder="1" applyAlignment="1">
      <alignment horizontal="center" vertical="center"/>
    </xf>
    <xf numFmtId="0" fontId="2" fillId="3" borderId="36" xfId="0" applyFont="1" applyFill="1" applyBorder="1" applyAlignment="1">
      <alignment horizontal="center" vertical="center"/>
    </xf>
    <xf numFmtId="0" fontId="2" fillId="3" borderId="41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4" borderId="36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2" fillId="3" borderId="3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54" xfId="0" applyFont="1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19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54" xfId="0" applyBorder="1" applyAlignment="1">
      <alignment horizontal="left" vertical="center"/>
    </xf>
    <xf numFmtId="0" fontId="6" fillId="7" borderId="54" xfId="0" applyFont="1" applyFill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0" fontId="4" fillId="6" borderId="54" xfId="0" applyFont="1" applyFill="1" applyBorder="1" applyAlignment="1">
      <alignment horizontal="center" vertical="center"/>
    </xf>
    <xf numFmtId="44" fontId="2" fillId="4" borderId="54" xfId="1" applyFont="1" applyFill="1" applyBorder="1" applyAlignment="1">
      <alignment horizontal="center" vertical="center"/>
    </xf>
    <xf numFmtId="0" fontId="2" fillId="4" borderId="54" xfId="0" applyFont="1" applyFill="1" applyBorder="1" applyAlignment="1">
      <alignment horizontal="left" vertical="center"/>
    </xf>
    <xf numFmtId="0" fontId="2" fillId="4" borderId="54" xfId="0" applyFont="1" applyFill="1" applyBorder="1" applyAlignment="1">
      <alignment horizontal="left" vertical="center" wrapText="1"/>
    </xf>
    <xf numFmtId="44" fontId="0" fillId="0" borderId="0" xfId="0" applyNumberFormat="1" applyAlignment="1">
      <alignment vertical="center"/>
    </xf>
  </cellXfs>
  <cellStyles count="4">
    <cellStyle name="Moneda" xfId="1" builtinId="4"/>
    <cellStyle name="Normal" xfId="0" builtinId="0"/>
    <cellStyle name="Normal 2" xfId="3" xr:uid="{ECE3B99D-456B-4A70-8A5B-AE3D3832E68E}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BFE4D-3D90-41DC-AE69-523F680DB2B0}">
  <dimension ref="B1:O88"/>
  <sheetViews>
    <sheetView zoomScale="62" workbookViewId="0">
      <selection activeCell="I17" sqref="I17"/>
    </sheetView>
  </sheetViews>
  <sheetFormatPr baseColWidth="10" defaultRowHeight="14.4" x14ac:dyDescent="0.3"/>
  <cols>
    <col min="1" max="1" width="13.33203125" customWidth="1"/>
    <col min="2" max="2" width="32.33203125" customWidth="1"/>
    <col min="3" max="3" width="9.5546875" customWidth="1"/>
    <col min="4" max="4" width="8.5546875" customWidth="1"/>
    <col min="5" max="5" width="10.33203125" customWidth="1"/>
    <col min="6" max="6" width="14.109375" style="1" customWidth="1"/>
    <col min="7" max="7" width="14.33203125" style="2" bestFit="1" customWidth="1"/>
    <col min="8" max="8" width="13.33203125" customWidth="1"/>
    <col min="9" max="9" width="30.6640625" customWidth="1"/>
    <col min="10" max="11" width="10.88671875" customWidth="1"/>
    <col min="12" max="12" width="8.5546875" customWidth="1"/>
    <col min="13" max="13" width="10.33203125" customWidth="1"/>
    <col min="14" max="14" width="15.5546875" customWidth="1"/>
    <col min="15" max="15" width="17.88671875" style="2" customWidth="1"/>
    <col min="16" max="16" width="15.109375" customWidth="1"/>
  </cols>
  <sheetData>
    <row r="1" spans="2:15" ht="36.6" customHeight="1" x14ac:dyDescent="0.3">
      <c r="B1" s="105" t="s">
        <v>128</v>
      </c>
      <c r="C1" s="105"/>
      <c r="D1" s="105"/>
      <c r="E1" s="105"/>
      <c r="F1" s="105"/>
      <c r="G1" s="105"/>
      <c r="H1" s="105"/>
      <c r="I1" s="105"/>
      <c r="J1" s="105"/>
      <c r="K1" s="105"/>
      <c r="L1" s="105"/>
    </row>
    <row r="2" spans="2:15" ht="15" thickBot="1" x14ac:dyDescent="0.35"/>
    <row r="3" spans="2:15" ht="24.75" customHeight="1" thickBot="1" x14ac:dyDescent="0.35">
      <c r="B3" s="164" t="s">
        <v>0</v>
      </c>
      <c r="C3" s="165"/>
      <c r="D3" s="165"/>
      <c r="E3" s="165"/>
      <c r="F3" s="165"/>
      <c r="G3" s="166"/>
      <c r="I3" s="164" t="s">
        <v>1</v>
      </c>
      <c r="J3" s="165"/>
      <c r="K3" s="165"/>
      <c r="L3" s="165"/>
      <c r="M3" s="165"/>
      <c r="N3" s="166"/>
      <c r="O3" s="3" t="s">
        <v>2</v>
      </c>
    </row>
    <row r="4" spans="2:15" ht="15" thickBot="1" x14ac:dyDescent="0.35">
      <c r="B4" s="4" t="s">
        <v>3</v>
      </c>
      <c r="C4" s="4" t="s">
        <v>4</v>
      </c>
      <c r="D4" s="5" t="s">
        <v>5</v>
      </c>
      <c r="E4" s="6" t="s">
        <v>6</v>
      </c>
      <c r="F4" s="5" t="s">
        <v>7</v>
      </c>
      <c r="G4" s="7" t="s">
        <v>8</v>
      </c>
      <c r="I4" s="4" t="s">
        <v>3</v>
      </c>
      <c r="J4" s="4" t="s">
        <v>4</v>
      </c>
      <c r="K4" s="5" t="s">
        <v>5</v>
      </c>
      <c r="L4" s="6" t="s">
        <v>6</v>
      </c>
      <c r="M4" s="5" t="s">
        <v>7</v>
      </c>
      <c r="N4" s="7" t="s">
        <v>8</v>
      </c>
      <c r="O4" s="8" t="s">
        <v>5</v>
      </c>
    </row>
    <row r="5" spans="2:15" x14ac:dyDescent="0.3">
      <c r="B5" s="9" t="s">
        <v>9</v>
      </c>
      <c r="C5" s="10">
        <v>1</v>
      </c>
      <c r="D5" s="11">
        <v>91.8</v>
      </c>
      <c r="E5" s="12">
        <v>2.9</v>
      </c>
      <c r="F5" s="13">
        <f>+C5*D5*E5</f>
        <v>266.21999999999997</v>
      </c>
      <c r="G5" s="9">
        <f>+F5</f>
        <v>266.21999999999997</v>
      </c>
      <c r="I5" s="14" t="s">
        <v>10</v>
      </c>
      <c r="J5" s="14">
        <v>10</v>
      </c>
      <c r="K5" s="11">
        <v>13</v>
      </c>
      <c r="L5" s="12"/>
      <c r="M5" s="11"/>
      <c r="N5" s="13"/>
      <c r="O5" s="9"/>
    </row>
    <row r="6" spans="2:15" x14ac:dyDescent="0.3">
      <c r="B6" s="15" t="s">
        <v>11</v>
      </c>
      <c r="C6" s="16">
        <v>1</v>
      </c>
      <c r="D6" s="154">
        <v>128</v>
      </c>
      <c r="E6" s="154"/>
      <c r="F6" s="135"/>
      <c r="G6" s="15">
        <f>+D6*C6</f>
        <v>128</v>
      </c>
      <c r="I6" s="19" t="s">
        <v>12</v>
      </c>
      <c r="J6" s="19">
        <v>10</v>
      </c>
      <c r="K6" s="20">
        <v>10.9</v>
      </c>
      <c r="L6" s="21">
        <v>2.9</v>
      </c>
      <c r="M6" s="20">
        <f>+L6*K6</f>
        <v>31.61</v>
      </c>
      <c r="N6" s="22">
        <f>+M6*J6</f>
        <v>316.10000000000002</v>
      </c>
      <c r="O6" s="15"/>
    </row>
    <row r="7" spans="2:15" x14ac:dyDescent="0.3">
      <c r="B7" s="15" t="s">
        <v>13</v>
      </c>
      <c r="C7" s="16">
        <v>10</v>
      </c>
      <c r="D7" s="17">
        <f>33-10</f>
        <v>23</v>
      </c>
      <c r="E7" s="23">
        <v>2.4</v>
      </c>
      <c r="F7" s="18">
        <f>+C7*D7*E7</f>
        <v>552</v>
      </c>
      <c r="G7" s="15">
        <f>+F7</f>
        <v>552</v>
      </c>
      <c r="I7" s="19" t="s">
        <v>14</v>
      </c>
      <c r="J7" s="19">
        <v>12</v>
      </c>
      <c r="K7" s="20">
        <v>11.3</v>
      </c>
      <c r="L7" s="21">
        <v>2.9</v>
      </c>
      <c r="M7" s="20">
        <f>+L7*K7</f>
        <v>32.770000000000003</v>
      </c>
      <c r="N7" s="22">
        <f>+M7*J7</f>
        <v>393.24</v>
      </c>
      <c r="O7" s="15">
        <v>10.199999999999999</v>
      </c>
    </row>
    <row r="8" spans="2:15" x14ac:dyDescent="0.3">
      <c r="B8" s="15" t="s">
        <v>15</v>
      </c>
      <c r="C8" s="16">
        <v>10</v>
      </c>
      <c r="D8" s="154">
        <v>32.85</v>
      </c>
      <c r="E8" s="154"/>
      <c r="F8" s="135"/>
      <c r="G8" s="15">
        <f>+D8*C8</f>
        <v>328.5</v>
      </c>
      <c r="I8" s="19" t="s">
        <v>16</v>
      </c>
      <c r="J8" s="19">
        <v>12</v>
      </c>
      <c r="K8" s="20">
        <v>17.8</v>
      </c>
      <c r="L8" s="21">
        <v>2.9</v>
      </c>
      <c r="M8" s="20">
        <f>+L8*K8</f>
        <v>51.62</v>
      </c>
      <c r="N8" s="22">
        <f>+M8*J8</f>
        <v>619.43999999999994</v>
      </c>
      <c r="O8" s="15">
        <v>4.9000000000000004</v>
      </c>
    </row>
    <row r="9" spans="2:15" x14ac:dyDescent="0.3">
      <c r="B9" s="15" t="s">
        <v>17</v>
      </c>
      <c r="C9" s="16">
        <v>12</v>
      </c>
      <c r="D9" s="17">
        <f>31.64-20</f>
        <v>11.64</v>
      </c>
      <c r="E9" s="23">
        <v>2.4</v>
      </c>
      <c r="F9" s="18">
        <f>+C9*D9*E9</f>
        <v>335.23200000000003</v>
      </c>
      <c r="G9" s="15">
        <f>+F9</f>
        <v>335.23200000000003</v>
      </c>
      <c r="I9" s="19" t="s">
        <v>18</v>
      </c>
      <c r="J9" s="19">
        <v>12</v>
      </c>
      <c r="K9" s="20">
        <v>16.8</v>
      </c>
      <c r="L9" s="21">
        <v>2.9</v>
      </c>
      <c r="M9" s="20">
        <f t="shared" ref="M9:M14" si="0">+L9*K9</f>
        <v>48.72</v>
      </c>
      <c r="N9" s="22">
        <f t="shared" ref="N9:N14" si="1">+M9*J9</f>
        <v>584.64</v>
      </c>
      <c r="O9" s="15"/>
    </row>
    <row r="10" spans="2:15" x14ac:dyDescent="0.3">
      <c r="B10" s="15" t="s">
        <v>19</v>
      </c>
      <c r="C10" s="16">
        <v>12</v>
      </c>
      <c r="D10" s="154">
        <v>23.3</v>
      </c>
      <c r="E10" s="154"/>
      <c r="F10" s="135"/>
      <c r="G10" s="15">
        <f>+D10*C10</f>
        <v>279.60000000000002</v>
      </c>
      <c r="I10" s="19" t="s">
        <v>20</v>
      </c>
      <c r="J10" s="19">
        <v>12</v>
      </c>
      <c r="K10" s="20">
        <v>18</v>
      </c>
      <c r="L10" s="21">
        <v>2.9</v>
      </c>
      <c r="M10" s="20">
        <f t="shared" si="0"/>
        <v>52.199999999999996</v>
      </c>
      <c r="N10" s="22">
        <f t="shared" si="1"/>
        <v>626.4</v>
      </c>
      <c r="O10" s="15">
        <v>5.5</v>
      </c>
    </row>
    <row r="11" spans="2:15" x14ac:dyDescent="0.3">
      <c r="B11" s="24" t="s">
        <v>21</v>
      </c>
      <c r="C11" s="25">
        <v>1</v>
      </c>
      <c r="D11" s="20">
        <f>107-10</f>
        <v>97</v>
      </c>
      <c r="E11" s="21">
        <v>2.9</v>
      </c>
      <c r="F11" s="22">
        <f>+C11*D11*E11</f>
        <v>281.3</v>
      </c>
      <c r="G11" s="24">
        <f>+F11</f>
        <v>281.3</v>
      </c>
      <c r="I11" s="19" t="s">
        <v>22</v>
      </c>
      <c r="J11" s="19">
        <v>12</v>
      </c>
      <c r="K11" s="20">
        <v>7.5</v>
      </c>
      <c r="L11" s="21">
        <v>2.9</v>
      </c>
      <c r="M11" s="20">
        <f t="shared" si="0"/>
        <v>21.75</v>
      </c>
      <c r="N11" s="22">
        <f t="shared" si="1"/>
        <v>261</v>
      </c>
      <c r="O11" s="15">
        <v>11.6</v>
      </c>
    </row>
    <row r="12" spans="2:15" x14ac:dyDescent="0.3">
      <c r="B12" s="15" t="s">
        <v>23</v>
      </c>
      <c r="C12" s="16">
        <v>1</v>
      </c>
      <c r="D12" s="154">
        <v>154.19999999999999</v>
      </c>
      <c r="E12" s="154"/>
      <c r="F12" s="135"/>
      <c r="G12" s="15">
        <f>+D12*C12</f>
        <v>154.19999999999999</v>
      </c>
      <c r="I12" s="19" t="s">
        <v>24</v>
      </c>
      <c r="J12" s="19">
        <v>12</v>
      </c>
      <c r="K12" s="20">
        <v>19.2</v>
      </c>
      <c r="L12" s="21">
        <v>2.9</v>
      </c>
      <c r="M12" s="20">
        <f t="shared" si="0"/>
        <v>55.68</v>
      </c>
      <c r="N12" s="22">
        <f t="shared" si="1"/>
        <v>668.16</v>
      </c>
      <c r="O12" s="15"/>
    </row>
    <row r="13" spans="2:15" x14ac:dyDescent="0.3">
      <c r="B13" s="15" t="s">
        <v>25</v>
      </c>
      <c r="C13" s="16">
        <v>12</v>
      </c>
      <c r="D13" s="17">
        <f>36.4-20</f>
        <v>16.399999999999999</v>
      </c>
      <c r="E13" s="23">
        <v>2.4</v>
      </c>
      <c r="F13" s="18">
        <f>+C13*D13*E13</f>
        <v>472.31999999999994</v>
      </c>
      <c r="G13" s="15">
        <f>+F13</f>
        <v>472.31999999999994</v>
      </c>
      <c r="I13" s="19" t="s">
        <v>26</v>
      </c>
      <c r="J13" s="26">
        <v>12</v>
      </c>
      <c r="K13" s="17">
        <v>7.5</v>
      </c>
      <c r="L13" s="23">
        <v>2.9</v>
      </c>
      <c r="M13" s="17">
        <f t="shared" si="0"/>
        <v>21.75</v>
      </c>
      <c r="N13" s="18">
        <f t="shared" si="1"/>
        <v>261</v>
      </c>
      <c r="O13" s="15">
        <v>11.7</v>
      </c>
    </row>
    <row r="14" spans="2:15" x14ac:dyDescent="0.3">
      <c r="B14" s="15" t="s">
        <v>27</v>
      </c>
      <c r="C14" s="16">
        <v>12</v>
      </c>
      <c r="D14" s="154">
        <v>30.4</v>
      </c>
      <c r="E14" s="154"/>
      <c r="F14" s="135"/>
      <c r="G14" s="15">
        <f>+D14*C14</f>
        <v>364.79999999999995</v>
      </c>
      <c r="I14" s="26" t="s">
        <v>28</v>
      </c>
      <c r="J14" s="26">
        <v>12</v>
      </c>
      <c r="K14" s="17">
        <v>15.7</v>
      </c>
      <c r="L14" s="23">
        <v>2.9</v>
      </c>
      <c r="M14" s="17">
        <f t="shared" si="0"/>
        <v>45.529999999999994</v>
      </c>
      <c r="N14" s="18">
        <f t="shared" si="1"/>
        <v>546.3599999999999</v>
      </c>
      <c r="O14" s="15">
        <v>5.2</v>
      </c>
    </row>
    <row r="15" spans="2:15" ht="15" thickBot="1" x14ac:dyDescent="0.35">
      <c r="B15" s="15" t="s">
        <v>29</v>
      </c>
      <c r="C15" s="16">
        <v>12</v>
      </c>
      <c r="D15" s="17">
        <v>25.6</v>
      </c>
      <c r="E15" s="23">
        <v>2.4</v>
      </c>
      <c r="F15" s="18">
        <f>+C15*D15*E15</f>
        <v>737.28000000000009</v>
      </c>
      <c r="G15" s="15">
        <f>+F15</f>
        <v>737.28000000000009</v>
      </c>
      <c r="I15" s="27"/>
      <c r="J15" s="27"/>
      <c r="K15" s="28"/>
      <c r="L15" s="29"/>
      <c r="M15" s="28"/>
      <c r="N15" s="30"/>
      <c r="O15" s="31"/>
    </row>
    <row r="16" spans="2:15" ht="15" thickBot="1" x14ac:dyDescent="0.35">
      <c r="B16" s="31" t="s">
        <v>30</v>
      </c>
      <c r="C16" s="32">
        <v>12</v>
      </c>
      <c r="D16" s="118">
        <v>34.6</v>
      </c>
      <c r="E16" s="118"/>
      <c r="F16" s="120"/>
      <c r="G16" s="31">
        <f>+D16*C16</f>
        <v>415.20000000000005</v>
      </c>
      <c r="L16" s="171" t="s">
        <v>31</v>
      </c>
      <c r="M16" s="172"/>
      <c r="N16" s="33">
        <f>SUM(N6:N15)</f>
        <v>4276.34</v>
      </c>
      <c r="O16" s="34">
        <f>SUM(O13:O15)</f>
        <v>16.899999999999999</v>
      </c>
    </row>
    <row r="17" spans="2:14" ht="24" customHeight="1" thickBot="1" x14ac:dyDescent="0.35">
      <c r="F17" s="35" t="s">
        <v>31</v>
      </c>
      <c r="G17" s="36">
        <f>SUM(G5:G16)</f>
        <v>4314.652000000001</v>
      </c>
    </row>
    <row r="18" spans="2:14" ht="23.25" customHeight="1" thickBot="1" x14ac:dyDescent="0.35"/>
    <row r="19" spans="2:14" ht="30" customHeight="1" thickBot="1" x14ac:dyDescent="0.35">
      <c r="B19" s="164" t="s">
        <v>32</v>
      </c>
      <c r="C19" s="165"/>
      <c r="D19" s="165"/>
      <c r="E19" s="165"/>
      <c r="F19" s="165"/>
      <c r="G19" s="166"/>
      <c r="I19" s="164" t="s">
        <v>33</v>
      </c>
      <c r="J19" s="165"/>
      <c r="K19" s="165"/>
      <c r="L19" s="165"/>
      <c r="M19" s="165"/>
      <c r="N19" s="166"/>
    </row>
    <row r="20" spans="2:14" ht="15" thickBot="1" x14ac:dyDescent="0.35">
      <c r="B20" s="126" t="s">
        <v>34</v>
      </c>
      <c r="C20" s="127"/>
      <c r="D20" s="127"/>
      <c r="E20" s="127"/>
      <c r="F20" s="127"/>
      <c r="G20" s="128"/>
      <c r="I20" s="37" t="s">
        <v>3</v>
      </c>
      <c r="J20" s="37" t="s">
        <v>4</v>
      </c>
      <c r="K20" s="113" t="s">
        <v>7</v>
      </c>
      <c r="L20" s="114"/>
      <c r="M20" s="170"/>
      <c r="N20" s="38" t="s">
        <v>8</v>
      </c>
    </row>
    <row r="21" spans="2:14" ht="15" thickBot="1" x14ac:dyDescent="0.35">
      <c r="B21" s="14" t="s">
        <v>35</v>
      </c>
      <c r="C21" s="146">
        <v>3350</v>
      </c>
      <c r="D21" s="147"/>
      <c r="E21" s="148"/>
      <c r="F21" s="160">
        <f>+C22+C23</f>
        <v>2734.44</v>
      </c>
      <c r="G21" s="161"/>
      <c r="I21" s="9" t="s">
        <v>36</v>
      </c>
      <c r="J21" s="10">
        <v>1</v>
      </c>
      <c r="K21" s="169">
        <v>553.4</v>
      </c>
      <c r="L21" s="169"/>
      <c r="M21" s="169"/>
      <c r="N21" s="39">
        <f>+K21</f>
        <v>553.4</v>
      </c>
    </row>
    <row r="22" spans="2:14" ht="15" thickBot="1" x14ac:dyDescent="0.35">
      <c r="B22" s="14" t="s">
        <v>37</v>
      </c>
      <c r="C22" s="146">
        <f>1258.72*2</f>
        <v>2517.44</v>
      </c>
      <c r="D22" s="147"/>
      <c r="E22" s="148"/>
      <c r="F22" s="162"/>
      <c r="G22" s="163"/>
      <c r="I22" s="15" t="s">
        <v>38</v>
      </c>
      <c r="J22" s="16">
        <v>1</v>
      </c>
      <c r="K22" s="154">
        <v>438.5</v>
      </c>
      <c r="L22" s="154"/>
      <c r="M22" s="154"/>
      <c r="N22" s="40">
        <f>+K22</f>
        <v>438.5</v>
      </c>
    </row>
    <row r="23" spans="2:14" ht="15" thickBot="1" x14ac:dyDescent="0.35">
      <c r="B23" s="14" t="s">
        <v>39</v>
      </c>
      <c r="C23" s="146">
        <f>(300+130+40+25+33+35+38+46+27+31+32+42+28+51+34+42+45+31+45+30)*0.2</f>
        <v>217</v>
      </c>
      <c r="D23" s="147"/>
      <c r="E23" s="148"/>
      <c r="F23" s="162"/>
      <c r="G23" s="163"/>
      <c r="I23" s="15" t="s">
        <v>40</v>
      </c>
      <c r="J23" s="16">
        <v>1</v>
      </c>
      <c r="K23" s="154">
        <v>115.6</v>
      </c>
      <c r="L23" s="154"/>
      <c r="M23" s="154"/>
      <c r="N23" s="40">
        <f>+K23*J23</f>
        <v>115.6</v>
      </c>
    </row>
    <row r="24" spans="2:14" ht="15" thickBot="1" x14ac:dyDescent="0.35">
      <c r="B24" s="126" t="s">
        <v>41</v>
      </c>
      <c r="C24" s="127"/>
      <c r="D24" s="127"/>
      <c r="E24" s="127"/>
      <c r="F24" s="127"/>
      <c r="G24" s="128"/>
      <c r="I24" s="15" t="s">
        <v>42</v>
      </c>
      <c r="J24" s="16">
        <v>1</v>
      </c>
      <c r="K24" s="154">
        <v>118.2</v>
      </c>
      <c r="L24" s="154"/>
      <c r="M24" s="154"/>
      <c r="N24" s="40">
        <f>+K24*J24</f>
        <v>118.2</v>
      </c>
    </row>
    <row r="25" spans="2:14" ht="15" thickBot="1" x14ac:dyDescent="0.35">
      <c r="B25" s="14" t="s">
        <v>35</v>
      </c>
      <c r="C25" s="146">
        <v>3350</v>
      </c>
      <c r="D25" s="147"/>
      <c r="E25" s="148"/>
      <c r="F25" s="160">
        <f>+C26+C27</f>
        <v>2734.44</v>
      </c>
      <c r="G25" s="161"/>
      <c r="I25" s="15" t="s">
        <v>43</v>
      </c>
      <c r="J25" s="16">
        <v>1</v>
      </c>
      <c r="K25" s="154">
        <v>256</v>
      </c>
      <c r="L25" s="154"/>
      <c r="M25" s="154"/>
      <c r="N25" s="40">
        <f>+K25*J25</f>
        <v>256</v>
      </c>
    </row>
    <row r="26" spans="2:14" ht="15" thickBot="1" x14ac:dyDescent="0.35">
      <c r="B26" s="14" t="s">
        <v>37</v>
      </c>
      <c r="C26" s="146">
        <f>1258.72*2</f>
        <v>2517.44</v>
      </c>
      <c r="D26" s="147"/>
      <c r="E26" s="148"/>
      <c r="F26" s="162"/>
      <c r="G26" s="163"/>
      <c r="I26" s="15" t="s">
        <v>44</v>
      </c>
      <c r="J26" s="16">
        <v>1</v>
      </c>
      <c r="K26" s="154">
        <v>219.64</v>
      </c>
      <c r="L26" s="154"/>
      <c r="M26" s="154"/>
      <c r="N26" s="40">
        <f>+K26*J26</f>
        <v>219.64</v>
      </c>
    </row>
    <row r="27" spans="2:14" ht="15" thickBot="1" x14ac:dyDescent="0.35">
      <c r="B27" s="14" t="s">
        <v>39</v>
      </c>
      <c r="C27" s="146">
        <f>(300+130+40+25+33+35+38+46+27+31+32+42+28+51+34+42+45+31+45+30)*0.2</f>
        <v>217</v>
      </c>
      <c r="D27" s="147"/>
      <c r="E27" s="148"/>
      <c r="F27" s="162"/>
      <c r="G27" s="163"/>
      <c r="I27" s="31" t="s">
        <v>45</v>
      </c>
      <c r="J27" s="32">
        <v>1</v>
      </c>
      <c r="K27" s="118">
        <f>109.8-50</f>
        <v>59.8</v>
      </c>
      <c r="L27" s="118"/>
      <c r="M27" s="118"/>
      <c r="N27" s="41">
        <f>+K27*J27</f>
        <v>59.8</v>
      </c>
    </row>
    <row r="28" spans="2:14" ht="15" thickBot="1" x14ac:dyDescent="0.35">
      <c r="B28" s="126" t="s">
        <v>46</v>
      </c>
      <c r="C28" s="127"/>
      <c r="D28" s="127"/>
      <c r="E28" s="127"/>
      <c r="F28" s="127"/>
      <c r="G28" s="128"/>
      <c r="L28" s="158" t="s">
        <v>31</v>
      </c>
      <c r="M28" s="159"/>
      <c r="N28" s="36">
        <f>SUM(N22:N27)</f>
        <v>1207.74</v>
      </c>
    </row>
    <row r="29" spans="2:14" ht="15" thickBot="1" x14ac:dyDescent="0.35">
      <c r="B29" s="14" t="s">
        <v>35</v>
      </c>
      <c r="C29" s="146">
        <v>265.8</v>
      </c>
      <c r="D29" s="147"/>
      <c r="E29" s="148"/>
      <c r="F29" s="160">
        <f>+C30+C31</f>
        <v>204.5</v>
      </c>
      <c r="G29" s="161"/>
    </row>
    <row r="30" spans="2:14" ht="29.25" customHeight="1" thickBot="1" x14ac:dyDescent="0.35">
      <c r="B30" s="14" t="s">
        <v>37</v>
      </c>
      <c r="C30" s="146">
        <v>185.6</v>
      </c>
      <c r="D30" s="147"/>
      <c r="E30" s="148"/>
      <c r="F30" s="162"/>
      <c r="G30" s="163"/>
      <c r="I30" s="164" t="s">
        <v>47</v>
      </c>
      <c r="J30" s="165"/>
      <c r="K30" s="165"/>
      <c r="L30" s="165"/>
      <c r="M30" s="165"/>
      <c r="N30" s="166"/>
    </row>
    <row r="31" spans="2:14" ht="15" thickBot="1" x14ac:dyDescent="0.35">
      <c r="B31" s="14" t="s">
        <v>39</v>
      </c>
      <c r="C31" s="146">
        <f>63*0.3</f>
        <v>18.899999999999999</v>
      </c>
      <c r="D31" s="147"/>
      <c r="E31" s="148"/>
      <c r="F31" s="162"/>
      <c r="G31" s="163"/>
      <c r="I31" s="126" t="s">
        <v>48</v>
      </c>
      <c r="J31" s="127"/>
      <c r="K31" s="127"/>
      <c r="L31" s="127"/>
      <c r="M31" s="127"/>
      <c r="N31" s="128"/>
    </row>
    <row r="32" spans="2:14" ht="15" thickBot="1" x14ac:dyDescent="0.35">
      <c r="B32" s="126" t="s">
        <v>49</v>
      </c>
      <c r="C32" s="127"/>
      <c r="D32" s="127"/>
      <c r="E32" s="127"/>
      <c r="F32" s="127"/>
      <c r="G32" s="128"/>
      <c r="I32" s="4" t="s">
        <v>3</v>
      </c>
      <c r="J32" s="4" t="s">
        <v>4</v>
      </c>
      <c r="K32" s="141" t="s">
        <v>7</v>
      </c>
      <c r="L32" s="127"/>
      <c r="M32" s="142"/>
      <c r="N32" s="7" t="s">
        <v>8</v>
      </c>
    </row>
    <row r="33" spans="2:14" ht="15" thickBot="1" x14ac:dyDescent="0.35">
      <c r="B33" s="42" t="s">
        <v>35</v>
      </c>
      <c r="C33" s="146">
        <f>16*30</f>
        <v>480</v>
      </c>
      <c r="D33" s="147"/>
      <c r="E33" s="148"/>
      <c r="F33" s="167">
        <f>+C33</f>
        <v>480</v>
      </c>
      <c r="G33" s="168"/>
      <c r="I33" s="9" t="s">
        <v>50</v>
      </c>
      <c r="J33" s="10" t="s">
        <v>51</v>
      </c>
      <c r="K33" s="143">
        <f>2.6+8.3+5.3+6+3.3+2+1.6+1.1+3.5+4.7+1.2+2+2.5+1.8+3.4+5.7+4.7+1.8+1.2+2.7+1.8+1.4+1.2+1.4+2.2+2.7+1.6+1.2+1.4+2.2+3.4+2.5+2+2.3+2.2+1.9+1.9+1.8+1.2+2.4+1.2+1.8+1.4+1.5+1.4+1.4+1.3+1.2+2.1+1.2+1.4+5.4+1.7+5.5+8+5.2+1.4+7.3+1.8+1.8</f>
        <v>158.10000000000011</v>
      </c>
      <c r="L33" s="144"/>
      <c r="M33" s="145"/>
      <c r="N33" s="9">
        <f>+K33</f>
        <v>158.10000000000011</v>
      </c>
    </row>
    <row r="34" spans="2:14" ht="25.5" customHeight="1" thickBot="1" x14ac:dyDescent="0.35">
      <c r="B34" s="155" t="s">
        <v>52</v>
      </c>
      <c r="C34" s="156"/>
      <c r="D34" s="156"/>
      <c r="E34" s="156"/>
      <c r="F34" s="156"/>
      <c r="G34" s="157"/>
      <c r="I34" s="43" t="s">
        <v>53</v>
      </c>
      <c r="J34" s="16" t="s">
        <v>51</v>
      </c>
      <c r="K34" s="154">
        <f>158.1*2.5*0.6</f>
        <v>237.14999999999998</v>
      </c>
      <c r="L34" s="154"/>
      <c r="M34" s="135"/>
      <c r="N34" s="15">
        <f>+K34</f>
        <v>237.14999999999998</v>
      </c>
    </row>
    <row r="35" spans="2:14" ht="15" thickBot="1" x14ac:dyDescent="0.35">
      <c r="B35" s="44" t="s">
        <v>54</v>
      </c>
      <c r="C35" s="149">
        <f>15+10.7+15.14+16.2</f>
        <v>57.040000000000006</v>
      </c>
      <c r="D35" s="150"/>
      <c r="E35" s="151"/>
      <c r="F35" s="152">
        <f>+C35</f>
        <v>57.040000000000006</v>
      </c>
      <c r="G35" s="153"/>
      <c r="H35" s="45"/>
      <c r="I35" s="43" t="s">
        <v>55</v>
      </c>
      <c r="J35" s="16">
        <v>1</v>
      </c>
      <c r="K35" s="154">
        <f>158.1*2.5*0.3</f>
        <v>118.57499999999999</v>
      </c>
      <c r="L35" s="154"/>
      <c r="M35" s="135"/>
      <c r="N35" s="15">
        <f>+K35*J35</f>
        <v>118.57499999999999</v>
      </c>
    </row>
    <row r="36" spans="2:14" ht="15" thickBot="1" x14ac:dyDescent="0.35">
      <c r="B36" s="44" t="s">
        <v>7</v>
      </c>
      <c r="C36" s="149">
        <f>+C35*1.3</f>
        <v>74.152000000000015</v>
      </c>
      <c r="D36" s="150"/>
      <c r="E36" s="151"/>
      <c r="F36" s="152">
        <f>+C36</f>
        <v>74.152000000000015</v>
      </c>
      <c r="G36" s="153"/>
      <c r="H36" s="45"/>
      <c r="I36" s="126" t="s">
        <v>56</v>
      </c>
      <c r="J36" s="127"/>
      <c r="K36" s="127"/>
      <c r="L36" s="127"/>
      <c r="M36" s="127"/>
      <c r="N36" s="128"/>
    </row>
    <row r="37" spans="2:14" ht="15" thickBot="1" x14ac:dyDescent="0.35">
      <c r="I37" s="4" t="s">
        <v>3</v>
      </c>
      <c r="J37" s="4" t="s">
        <v>4</v>
      </c>
      <c r="K37" s="141" t="s">
        <v>7</v>
      </c>
      <c r="L37" s="127"/>
      <c r="M37" s="142"/>
      <c r="N37" s="7" t="s">
        <v>8</v>
      </c>
    </row>
    <row r="38" spans="2:14" ht="29.4" thickBot="1" x14ac:dyDescent="0.35">
      <c r="I38" s="46" t="s">
        <v>53</v>
      </c>
      <c r="J38" s="10" t="s">
        <v>51</v>
      </c>
      <c r="K38" s="143">
        <f>+(17.5+18+25.92+20.8)*0.6</f>
        <v>49.332000000000001</v>
      </c>
      <c r="L38" s="144"/>
      <c r="M38" s="145"/>
      <c r="N38" s="9">
        <f>+K38</f>
        <v>49.332000000000001</v>
      </c>
    </row>
    <row r="39" spans="2:14" ht="15" thickBot="1" x14ac:dyDescent="0.35">
      <c r="B39" s="126" t="s">
        <v>57</v>
      </c>
      <c r="C39" s="127"/>
      <c r="D39" s="127"/>
      <c r="E39" s="127"/>
      <c r="F39" s="127"/>
      <c r="G39" s="128"/>
      <c r="I39" s="47" t="s">
        <v>55</v>
      </c>
      <c r="J39" s="32" t="s">
        <v>51</v>
      </c>
      <c r="K39" s="146">
        <f>+(17.5+18+25.92+20.8)*0.3</f>
        <v>24.666</v>
      </c>
      <c r="L39" s="147"/>
      <c r="M39" s="148"/>
      <c r="N39" s="31">
        <f>+K39</f>
        <v>24.666</v>
      </c>
    </row>
    <row r="40" spans="2:14" ht="15" thickBot="1" x14ac:dyDescent="0.35">
      <c r="B40" s="37" t="s">
        <v>58</v>
      </c>
      <c r="C40" s="48" t="s">
        <v>7</v>
      </c>
      <c r="D40" s="113" t="s">
        <v>59</v>
      </c>
      <c r="E40" s="115"/>
      <c r="F40" s="113" t="s">
        <v>60</v>
      </c>
      <c r="G40" s="115"/>
    </row>
    <row r="41" spans="2:14" ht="27" customHeight="1" thickBot="1" x14ac:dyDescent="0.35">
      <c r="B41" s="49" t="s">
        <v>61</v>
      </c>
      <c r="C41" s="50">
        <v>63.9</v>
      </c>
      <c r="D41" s="139">
        <v>34.5</v>
      </c>
      <c r="E41" s="139"/>
      <c r="F41" s="139">
        <v>3.5</v>
      </c>
      <c r="G41" s="140"/>
      <c r="I41" s="126" t="s">
        <v>62</v>
      </c>
      <c r="J41" s="127"/>
      <c r="K41" s="127"/>
      <c r="L41" s="127"/>
      <c r="M41" s="127"/>
      <c r="N41" s="128"/>
    </row>
    <row r="42" spans="2:14" ht="15" thickBot="1" x14ac:dyDescent="0.35">
      <c r="B42" s="51" t="s">
        <v>63</v>
      </c>
      <c r="C42" s="52">
        <v>53.2</v>
      </c>
      <c r="D42" s="111">
        <v>33.6</v>
      </c>
      <c r="E42" s="111"/>
      <c r="F42" s="111">
        <v>5.0999999999999996</v>
      </c>
      <c r="G42" s="112"/>
      <c r="I42" s="53" t="s">
        <v>58</v>
      </c>
      <c r="J42" s="126" t="s">
        <v>7</v>
      </c>
      <c r="K42" s="127"/>
      <c r="L42" s="128"/>
      <c r="M42" s="127" t="s">
        <v>5</v>
      </c>
      <c r="N42" s="128"/>
    </row>
    <row r="43" spans="2:14" ht="15" thickBot="1" x14ac:dyDescent="0.35">
      <c r="B43" s="54" t="s">
        <v>64</v>
      </c>
      <c r="C43" s="55">
        <v>55.4</v>
      </c>
      <c r="D43" s="129">
        <v>33.799999999999997</v>
      </c>
      <c r="E43" s="129"/>
      <c r="F43" s="129">
        <v>6.7</v>
      </c>
      <c r="G43" s="130"/>
      <c r="I43" s="56" t="s">
        <v>34</v>
      </c>
      <c r="J43" s="131">
        <f>623.23+761.12+618.93+878.16</f>
        <v>2881.4399999999996</v>
      </c>
      <c r="K43" s="132"/>
      <c r="L43" s="133"/>
      <c r="M43" s="131">
        <f>+(19.98*24)+(30.68*20)+(22.83*28)+(31.56*23)+(29.98*20)+(20.2*25)+(28.49*28)+(31.45*28)</f>
        <v>5241.16</v>
      </c>
      <c r="N43" s="134"/>
    </row>
    <row r="44" spans="2:14" ht="15" thickBot="1" x14ac:dyDescent="0.35">
      <c r="B44" s="126" t="s">
        <v>65</v>
      </c>
      <c r="C44" s="127"/>
      <c r="D44" s="127"/>
      <c r="E44" s="127"/>
      <c r="F44" s="127"/>
      <c r="G44" s="128"/>
      <c r="I44" s="57" t="s">
        <v>41</v>
      </c>
      <c r="J44" s="135">
        <f>784.34+981.2+380.2+412.41+525.87</f>
        <v>3084.0199999999995</v>
      </c>
      <c r="K44" s="136"/>
      <c r="L44" s="137"/>
      <c r="M44" s="135">
        <f>+(26*38.62)+(37*26.7)+(23*3.4)+(33.37+22)+(28*23.24)+(31.79+33)+(33.49*36)</f>
        <v>4046.74</v>
      </c>
      <c r="N44" s="138"/>
    </row>
    <row r="45" spans="2:14" ht="15" thickBot="1" x14ac:dyDescent="0.35">
      <c r="B45" s="37" t="s">
        <v>58</v>
      </c>
      <c r="C45" s="113" t="s">
        <v>7</v>
      </c>
      <c r="D45" s="114"/>
      <c r="E45" s="114"/>
      <c r="F45" s="114"/>
      <c r="G45" s="115"/>
      <c r="I45" s="58" t="s">
        <v>46</v>
      </c>
      <c r="J45" s="120">
        <f>68.87+30.27</f>
        <v>99.14</v>
      </c>
      <c r="K45" s="121"/>
      <c r="L45" s="122"/>
      <c r="M45" s="120">
        <f>44.5+24.01</f>
        <v>68.510000000000005</v>
      </c>
      <c r="N45" s="123"/>
    </row>
    <row r="46" spans="2:14" ht="15" thickBot="1" x14ac:dyDescent="0.35">
      <c r="B46" s="49" t="s">
        <v>66</v>
      </c>
      <c r="C46" s="124">
        <v>305</v>
      </c>
      <c r="D46" s="124"/>
      <c r="E46" s="124"/>
      <c r="F46" s="124"/>
      <c r="G46" s="125"/>
      <c r="M46" s="1"/>
    </row>
    <row r="47" spans="2:14" ht="29.4" thickBot="1" x14ac:dyDescent="0.35">
      <c r="B47" s="51" t="s">
        <v>67</v>
      </c>
      <c r="C47" s="111">
        <f>96.2+203.5</f>
        <v>299.7</v>
      </c>
      <c r="D47" s="111"/>
      <c r="E47" s="111"/>
      <c r="F47" s="111"/>
      <c r="G47" s="112"/>
      <c r="I47" s="126" t="s">
        <v>68</v>
      </c>
      <c r="J47" s="127"/>
      <c r="K47" s="127"/>
      <c r="L47" s="127"/>
      <c r="M47" s="127"/>
      <c r="N47" s="128"/>
    </row>
    <row r="48" spans="2:14" ht="15" thickBot="1" x14ac:dyDescent="0.35">
      <c r="B48" s="51" t="s">
        <v>69</v>
      </c>
      <c r="C48" s="111">
        <f>34.7+15.3+4.95</f>
        <v>54.95</v>
      </c>
      <c r="D48" s="111"/>
      <c r="E48" s="111"/>
      <c r="F48" s="111"/>
      <c r="G48" s="112"/>
      <c r="I48" s="37" t="s">
        <v>58</v>
      </c>
      <c r="J48" s="113" t="s">
        <v>7</v>
      </c>
      <c r="K48" s="114"/>
      <c r="L48" s="114"/>
      <c r="M48" s="114"/>
      <c r="N48" s="115"/>
    </row>
    <row r="49" spans="2:14" ht="28.8" x14ac:dyDescent="0.3">
      <c r="B49" s="51" t="s">
        <v>70</v>
      </c>
      <c r="C49" s="111">
        <f>6.98+22.95</f>
        <v>29.93</v>
      </c>
      <c r="D49" s="111"/>
      <c r="E49" s="111"/>
      <c r="F49" s="111"/>
      <c r="G49" s="112"/>
      <c r="I49" s="56" t="s">
        <v>68</v>
      </c>
      <c r="J49" s="116">
        <v>17.54</v>
      </c>
      <c r="K49" s="116"/>
      <c r="L49" s="116"/>
      <c r="M49" s="116"/>
      <c r="N49" s="117"/>
    </row>
    <row r="50" spans="2:14" ht="29.4" thickBot="1" x14ac:dyDescent="0.35">
      <c r="B50" s="58" t="s">
        <v>71</v>
      </c>
      <c r="C50" s="118">
        <f>15.9+4.69+5.09+7.72+1.98+5.6+6.79+17+4.11+6.71+24.52+18.05+5.81+8.04+12.39+12.87+6.72+6.84</f>
        <v>170.82999999999998</v>
      </c>
      <c r="D50" s="118"/>
      <c r="E50" s="118"/>
      <c r="F50" s="118"/>
      <c r="G50" s="119"/>
    </row>
    <row r="51" spans="2:14" ht="15" thickBot="1" x14ac:dyDescent="0.35"/>
    <row r="52" spans="2:14" ht="15" thickBot="1" x14ac:dyDescent="0.35">
      <c r="B52" s="107" t="s">
        <v>72</v>
      </c>
      <c r="C52" s="108"/>
    </row>
    <row r="53" spans="2:14" ht="15" thickBot="1" x14ac:dyDescent="0.35">
      <c r="B53" s="60" t="s">
        <v>58</v>
      </c>
      <c r="C53" s="59" t="s">
        <v>7</v>
      </c>
    </row>
    <row r="54" spans="2:14" ht="15" thickBot="1" x14ac:dyDescent="0.35">
      <c r="B54" s="61" t="s">
        <v>73</v>
      </c>
      <c r="C54" s="62">
        <v>110</v>
      </c>
      <c r="D54" s="106" t="s">
        <v>74</v>
      </c>
      <c r="E54" s="103"/>
      <c r="F54" s="104"/>
    </row>
    <row r="55" spans="2:14" ht="15" thickBot="1" x14ac:dyDescent="0.35">
      <c r="B55" s="61" t="s">
        <v>75</v>
      </c>
      <c r="C55" s="62">
        <f>380-110</f>
        <v>270</v>
      </c>
      <c r="D55" s="106" t="s">
        <v>76</v>
      </c>
      <c r="E55" s="103"/>
      <c r="F55" s="104"/>
    </row>
    <row r="56" spans="2:14" x14ac:dyDescent="0.3">
      <c r="B56" s="61" t="s">
        <v>77</v>
      </c>
      <c r="C56" s="62">
        <f>25*4.8*0.4</f>
        <v>48</v>
      </c>
    </row>
    <row r="57" spans="2:14" x14ac:dyDescent="0.3">
      <c r="B57" s="61" t="s">
        <v>78</v>
      </c>
      <c r="C57" s="62">
        <f>7*2</f>
        <v>14</v>
      </c>
      <c r="M57" s="1"/>
    </row>
    <row r="58" spans="2:14" x14ac:dyDescent="0.3">
      <c r="B58" s="61" t="s">
        <v>79</v>
      </c>
      <c r="C58" s="62">
        <v>27</v>
      </c>
    </row>
    <row r="59" spans="2:14" ht="15" thickBot="1" x14ac:dyDescent="0.35">
      <c r="B59" s="61" t="s">
        <v>80</v>
      </c>
      <c r="C59" s="62">
        <f>20+13+6</f>
        <v>39</v>
      </c>
    </row>
    <row r="60" spans="2:14" ht="15" thickBot="1" x14ac:dyDescent="0.35">
      <c r="B60" s="63" t="s">
        <v>81</v>
      </c>
      <c r="C60" s="64">
        <v>80</v>
      </c>
      <c r="I60" s="107" t="s">
        <v>72</v>
      </c>
      <c r="J60" s="108"/>
      <c r="M60" s="1"/>
    </row>
    <row r="61" spans="2:14" ht="15" thickBot="1" x14ac:dyDescent="0.35">
      <c r="I61" s="60" t="s">
        <v>58</v>
      </c>
      <c r="J61" s="59" t="s">
        <v>7</v>
      </c>
      <c r="M61" s="1"/>
    </row>
    <row r="62" spans="2:14" ht="15" thickBot="1" x14ac:dyDescent="0.35">
      <c r="B62" s="109" t="s">
        <v>82</v>
      </c>
      <c r="C62" s="110"/>
      <c r="F62"/>
      <c r="G62"/>
      <c r="I62" s="61" t="s">
        <v>73</v>
      </c>
      <c r="J62" s="62">
        <v>110</v>
      </c>
      <c r="K62" s="106" t="s">
        <v>74</v>
      </c>
      <c r="L62" s="103"/>
      <c r="M62" s="104"/>
    </row>
    <row r="63" spans="2:14" ht="15" thickBot="1" x14ac:dyDescent="0.35">
      <c r="B63" s="65" t="s">
        <v>58</v>
      </c>
      <c r="C63" s="66" t="s">
        <v>7</v>
      </c>
      <c r="I63" s="61" t="s">
        <v>75</v>
      </c>
      <c r="J63" s="62">
        <f>380-110</f>
        <v>270</v>
      </c>
      <c r="K63" s="106" t="s">
        <v>76</v>
      </c>
      <c r="L63" s="103"/>
      <c r="M63" s="104"/>
    </row>
    <row r="64" spans="2:14" ht="15" thickBot="1" x14ac:dyDescent="0.35">
      <c r="B64" s="60" t="s">
        <v>83</v>
      </c>
      <c r="C64" s="67">
        <v>110</v>
      </c>
      <c r="I64" s="101" t="s">
        <v>82</v>
      </c>
      <c r="J64" s="102"/>
    </row>
    <row r="65" spans="2:13" ht="15" thickBot="1" x14ac:dyDescent="0.35">
      <c r="B65" s="68" t="s">
        <v>84</v>
      </c>
      <c r="C65" s="69">
        <f>380-110</f>
        <v>270</v>
      </c>
      <c r="I65" s="70" t="s">
        <v>85</v>
      </c>
      <c r="J65" s="71">
        <f>507-120-75-80</f>
        <v>232</v>
      </c>
      <c r="K65" s="103" t="s">
        <v>76</v>
      </c>
      <c r="L65" s="103"/>
      <c r="M65" s="104"/>
    </row>
    <row r="66" spans="2:13" x14ac:dyDescent="0.3">
      <c r="B66" s="68" t="s">
        <v>86</v>
      </c>
      <c r="C66" s="69">
        <f>23*4.8*0.4</f>
        <v>44.16</v>
      </c>
      <c r="I66" s="61" t="s">
        <v>87</v>
      </c>
      <c r="J66" s="62">
        <v>35.799999999999997</v>
      </c>
    </row>
    <row r="67" spans="2:13" x14ac:dyDescent="0.3">
      <c r="B67" s="68" t="s">
        <v>88</v>
      </c>
      <c r="C67" s="69">
        <f>58-16</f>
        <v>42</v>
      </c>
      <c r="I67" s="61" t="s">
        <v>89</v>
      </c>
      <c r="J67" s="62">
        <v>1.4</v>
      </c>
      <c r="K67" t="s">
        <v>5</v>
      </c>
    </row>
    <row r="68" spans="2:13" x14ac:dyDescent="0.3">
      <c r="B68" s="61" t="s">
        <v>90</v>
      </c>
      <c r="C68" s="62">
        <v>16</v>
      </c>
      <c r="F68"/>
      <c r="G68"/>
      <c r="I68" s="61" t="s">
        <v>91</v>
      </c>
      <c r="J68" s="62">
        <v>9.5</v>
      </c>
      <c r="K68" t="s">
        <v>5</v>
      </c>
    </row>
    <row r="69" spans="2:13" x14ac:dyDescent="0.3">
      <c r="B69" s="61" t="s">
        <v>87</v>
      </c>
      <c r="C69" s="62">
        <v>35.799999999999997</v>
      </c>
      <c r="F69"/>
      <c r="G69"/>
      <c r="I69" s="61" t="s">
        <v>92</v>
      </c>
      <c r="J69" s="62">
        <v>2</v>
      </c>
    </row>
    <row r="70" spans="2:13" ht="15" thickBot="1" x14ac:dyDescent="0.35">
      <c r="B70" s="61" t="s">
        <v>93</v>
      </c>
      <c r="C70" s="62">
        <v>25</v>
      </c>
      <c r="F70"/>
      <c r="G70"/>
      <c r="I70" s="63" t="s">
        <v>94</v>
      </c>
      <c r="J70" s="64">
        <v>20</v>
      </c>
    </row>
    <row r="71" spans="2:13" x14ac:dyDescent="0.3">
      <c r="B71" s="68" t="s">
        <v>95</v>
      </c>
      <c r="C71" s="69">
        <f>56.8+122</f>
        <v>178.8</v>
      </c>
      <c r="F71"/>
      <c r="G71"/>
    </row>
    <row r="72" spans="2:13" x14ac:dyDescent="0.3">
      <c r="B72" s="68" t="s">
        <v>96</v>
      </c>
      <c r="C72" s="69">
        <v>74.8</v>
      </c>
      <c r="F72"/>
      <c r="G72"/>
    </row>
    <row r="73" spans="2:13" ht="28.8" x14ac:dyDescent="0.3">
      <c r="B73" s="72" t="s">
        <v>97</v>
      </c>
      <c r="C73" s="62">
        <v>54.7</v>
      </c>
      <c r="F73"/>
      <c r="G73"/>
    </row>
    <row r="74" spans="2:13" ht="29.4" thickBot="1" x14ac:dyDescent="0.35">
      <c r="B74" s="72" t="s">
        <v>98</v>
      </c>
      <c r="C74" s="62">
        <v>52.6</v>
      </c>
      <c r="F74"/>
      <c r="G74"/>
    </row>
    <row r="75" spans="2:13" ht="15" thickBot="1" x14ac:dyDescent="0.35">
      <c r="B75" s="61" t="s">
        <v>85</v>
      </c>
      <c r="C75" s="62">
        <f>507-120-75-80</f>
        <v>232</v>
      </c>
      <c r="D75" s="103" t="s">
        <v>76</v>
      </c>
      <c r="E75" s="103"/>
      <c r="F75" s="104"/>
      <c r="G75"/>
    </row>
    <row r="76" spans="2:13" x14ac:dyDescent="0.3">
      <c r="B76" s="68" t="s">
        <v>79</v>
      </c>
      <c r="C76" s="69">
        <v>110</v>
      </c>
      <c r="F76"/>
      <c r="G76"/>
    </row>
    <row r="77" spans="2:13" x14ac:dyDescent="0.3">
      <c r="B77" s="68" t="s">
        <v>80</v>
      </c>
      <c r="C77" s="69">
        <v>27</v>
      </c>
      <c r="F77"/>
      <c r="G77"/>
    </row>
    <row r="78" spans="2:13" x14ac:dyDescent="0.3">
      <c r="B78" s="61" t="s">
        <v>99</v>
      </c>
      <c r="C78" s="62">
        <v>45</v>
      </c>
      <c r="F78"/>
      <c r="G78"/>
    </row>
    <row r="79" spans="2:13" x14ac:dyDescent="0.3">
      <c r="B79" s="61" t="s">
        <v>100</v>
      </c>
      <c r="C79" s="62">
        <f>30*0.55</f>
        <v>16.5</v>
      </c>
      <c r="F79"/>
      <c r="G79"/>
    </row>
    <row r="80" spans="2:13" x14ac:dyDescent="0.3">
      <c r="B80" s="61" t="s">
        <v>77</v>
      </c>
      <c r="C80" s="62">
        <f>10*4.8*0.4</f>
        <v>19.200000000000003</v>
      </c>
      <c r="M80" s="1"/>
    </row>
    <row r="81" spans="2:4" x14ac:dyDescent="0.3">
      <c r="B81" s="61" t="s">
        <v>101</v>
      </c>
      <c r="C81" s="62">
        <v>84</v>
      </c>
    </row>
    <row r="82" spans="2:4" x14ac:dyDescent="0.3">
      <c r="B82" s="61" t="s">
        <v>102</v>
      </c>
      <c r="C82" s="62">
        <v>35</v>
      </c>
    </row>
    <row r="83" spans="2:4" x14ac:dyDescent="0.3">
      <c r="B83" s="61" t="s">
        <v>103</v>
      </c>
      <c r="C83" s="62">
        <v>104</v>
      </c>
    </row>
    <row r="84" spans="2:4" ht="15" thickBot="1" x14ac:dyDescent="0.35">
      <c r="B84" s="63" t="s">
        <v>104</v>
      </c>
      <c r="C84" s="64">
        <f>5*2.5</f>
        <v>12.5</v>
      </c>
    </row>
    <row r="85" spans="2:4" ht="29.4" thickBot="1" x14ac:dyDescent="0.35">
      <c r="B85" s="73" t="s">
        <v>105</v>
      </c>
      <c r="C85" s="64">
        <f>29.24*2.5</f>
        <v>73.099999999999994</v>
      </c>
    </row>
    <row r="86" spans="2:4" ht="15" thickBot="1" x14ac:dyDescent="0.35"/>
    <row r="87" spans="2:4" ht="15" thickBot="1" x14ac:dyDescent="0.35">
      <c r="B87" s="74" t="s">
        <v>106</v>
      </c>
      <c r="C87" s="75" t="s">
        <v>107</v>
      </c>
      <c r="D87" s="76" t="s">
        <v>31</v>
      </c>
    </row>
    <row r="88" spans="2:4" ht="15" thickBot="1" x14ac:dyDescent="0.35">
      <c r="B88" s="77">
        <v>21</v>
      </c>
      <c r="C88" s="78">
        <f>12*3.4</f>
        <v>40.799999999999997</v>
      </c>
      <c r="D88" s="79">
        <f>+B88*C88</f>
        <v>856.8</v>
      </c>
    </row>
  </sheetData>
  <mergeCells count="92">
    <mergeCell ref="B20:G20"/>
    <mergeCell ref="K20:M20"/>
    <mergeCell ref="B3:G3"/>
    <mergeCell ref="I3:N3"/>
    <mergeCell ref="D6:F6"/>
    <mergeCell ref="D8:F8"/>
    <mergeCell ref="D10:F10"/>
    <mergeCell ref="D12:F12"/>
    <mergeCell ref="D14:F14"/>
    <mergeCell ref="D16:F16"/>
    <mergeCell ref="L16:M16"/>
    <mergeCell ref="B19:G19"/>
    <mergeCell ref="I19:N19"/>
    <mergeCell ref="C21:E21"/>
    <mergeCell ref="F21:G23"/>
    <mergeCell ref="K21:M21"/>
    <mergeCell ref="C22:E22"/>
    <mergeCell ref="K22:M22"/>
    <mergeCell ref="C23:E23"/>
    <mergeCell ref="K23:M23"/>
    <mergeCell ref="B24:G24"/>
    <mergeCell ref="K24:M24"/>
    <mergeCell ref="C25:E25"/>
    <mergeCell ref="F25:G27"/>
    <mergeCell ref="K25:M25"/>
    <mergeCell ref="C26:E26"/>
    <mergeCell ref="K26:M26"/>
    <mergeCell ref="C27:E27"/>
    <mergeCell ref="K27:M27"/>
    <mergeCell ref="B34:G34"/>
    <mergeCell ref="K34:M34"/>
    <mergeCell ref="B28:G28"/>
    <mergeCell ref="L28:M28"/>
    <mergeCell ref="C29:E29"/>
    <mergeCell ref="F29:G31"/>
    <mergeCell ref="C30:E30"/>
    <mergeCell ref="I30:N30"/>
    <mergeCell ref="C31:E31"/>
    <mergeCell ref="I31:N31"/>
    <mergeCell ref="B32:G32"/>
    <mergeCell ref="K32:M32"/>
    <mergeCell ref="C33:E33"/>
    <mergeCell ref="F33:G33"/>
    <mergeCell ref="K33:M33"/>
    <mergeCell ref="C35:E35"/>
    <mergeCell ref="F35:G35"/>
    <mergeCell ref="K35:M35"/>
    <mergeCell ref="C36:E36"/>
    <mergeCell ref="F36:G36"/>
    <mergeCell ref="I36:N36"/>
    <mergeCell ref="K37:M37"/>
    <mergeCell ref="K38:M38"/>
    <mergeCell ref="B39:G39"/>
    <mergeCell ref="K39:M39"/>
    <mergeCell ref="D40:E40"/>
    <mergeCell ref="F40:G40"/>
    <mergeCell ref="D41:E41"/>
    <mergeCell ref="F41:G41"/>
    <mergeCell ref="I41:N41"/>
    <mergeCell ref="D42:E42"/>
    <mergeCell ref="F42:G42"/>
    <mergeCell ref="J42:L42"/>
    <mergeCell ref="M42:N42"/>
    <mergeCell ref="D43:E43"/>
    <mergeCell ref="F43:G43"/>
    <mergeCell ref="J43:L43"/>
    <mergeCell ref="M43:N43"/>
    <mergeCell ref="B44:G44"/>
    <mergeCell ref="J44:L44"/>
    <mergeCell ref="M44:N44"/>
    <mergeCell ref="C45:G45"/>
    <mergeCell ref="J45:L45"/>
    <mergeCell ref="M45:N45"/>
    <mergeCell ref="C46:G46"/>
    <mergeCell ref="C47:G47"/>
    <mergeCell ref="I47:N47"/>
    <mergeCell ref="I64:J64"/>
    <mergeCell ref="K65:M65"/>
    <mergeCell ref="D75:F75"/>
    <mergeCell ref="B1:L1"/>
    <mergeCell ref="D54:F54"/>
    <mergeCell ref="D55:F55"/>
    <mergeCell ref="I60:J60"/>
    <mergeCell ref="B62:C62"/>
    <mergeCell ref="K62:M62"/>
    <mergeCell ref="K63:M63"/>
    <mergeCell ref="C48:G48"/>
    <mergeCell ref="J48:N48"/>
    <mergeCell ref="C49:G49"/>
    <mergeCell ref="J49:N49"/>
    <mergeCell ref="C50:G50"/>
    <mergeCell ref="B52:C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9A87E-A122-486E-BD63-AE2A71AE25A7}">
  <dimension ref="A1:J52"/>
  <sheetViews>
    <sheetView tabSelected="1" topLeftCell="A13" zoomScale="85" zoomScaleNormal="85" workbookViewId="0">
      <selection activeCell="F16" sqref="F16"/>
    </sheetView>
  </sheetViews>
  <sheetFormatPr baseColWidth="10" defaultColWidth="9.109375" defaultRowHeight="14.4" x14ac:dyDescent="0.3"/>
  <cols>
    <col min="1" max="1" width="9.109375" style="80"/>
    <col min="2" max="2" width="15.33203125" style="80" customWidth="1"/>
    <col min="3" max="3" width="76.88671875" style="80" customWidth="1"/>
    <col min="4" max="4" width="15.33203125" style="80" customWidth="1"/>
    <col min="5" max="5" width="17" style="80" bestFit="1" customWidth="1"/>
    <col min="6" max="6" width="19.21875" style="80" customWidth="1"/>
    <col min="7" max="7" width="18.88671875" style="80" customWidth="1"/>
    <col min="8" max="8" width="9.109375" style="80"/>
    <col min="9" max="9" width="14.77734375" style="80" bestFit="1" customWidth="1"/>
    <col min="10" max="10" width="14.5546875" style="80" bestFit="1" customWidth="1"/>
    <col min="11" max="16384" width="9.109375" style="80"/>
  </cols>
  <sheetData>
    <row r="1" spans="1:7" ht="25.8" x14ac:dyDescent="0.3">
      <c r="A1" s="178" t="s">
        <v>108</v>
      </c>
      <c r="B1" s="178"/>
      <c r="C1" s="178"/>
      <c r="D1" s="178"/>
      <c r="E1" s="178"/>
      <c r="F1" s="178"/>
      <c r="G1" s="178"/>
    </row>
    <row r="2" spans="1:7" ht="18" x14ac:dyDescent="0.3">
      <c r="A2" s="179" t="s">
        <v>135</v>
      </c>
      <c r="B2" s="179"/>
      <c r="C2" s="179"/>
      <c r="D2" s="179"/>
      <c r="E2" s="179"/>
      <c r="F2" s="179"/>
      <c r="G2" s="179"/>
    </row>
    <row r="3" spans="1:7" ht="15.6" x14ac:dyDescent="0.3">
      <c r="A3" s="180" t="s">
        <v>109</v>
      </c>
      <c r="B3" s="180"/>
      <c r="C3" s="180"/>
      <c r="D3" s="180"/>
      <c r="E3" s="180"/>
      <c r="F3" s="180"/>
      <c r="G3" s="180"/>
    </row>
    <row r="4" spans="1:7" x14ac:dyDescent="0.3">
      <c r="A4" s="177" t="s">
        <v>110</v>
      </c>
      <c r="B4" s="177"/>
      <c r="C4" s="177"/>
      <c r="D4" s="177" t="s">
        <v>131</v>
      </c>
      <c r="E4" s="177"/>
      <c r="F4" s="177"/>
      <c r="G4" s="177"/>
    </row>
    <row r="5" spans="1:7" x14ac:dyDescent="0.3">
      <c r="A5" s="177" t="s">
        <v>132</v>
      </c>
      <c r="B5" s="177"/>
      <c r="C5" s="177"/>
      <c r="D5" s="177" t="s">
        <v>133</v>
      </c>
      <c r="E5" s="177"/>
      <c r="F5" s="177"/>
      <c r="G5" s="177"/>
    </row>
    <row r="6" spans="1:7" x14ac:dyDescent="0.3">
      <c r="A6" s="177" t="s">
        <v>134</v>
      </c>
      <c r="B6" s="177"/>
      <c r="C6" s="177"/>
      <c r="D6" s="174"/>
      <c r="E6" s="174"/>
      <c r="F6" s="174"/>
      <c r="G6" s="174"/>
    </row>
    <row r="7" spans="1:7" x14ac:dyDescent="0.3">
      <c r="A7" s="177" t="s">
        <v>111</v>
      </c>
      <c r="B7" s="177"/>
      <c r="C7" s="177"/>
      <c r="D7" s="174"/>
      <c r="E7" s="174"/>
      <c r="F7" s="174"/>
      <c r="G7" s="174"/>
    </row>
    <row r="8" spans="1:7" x14ac:dyDescent="0.3">
      <c r="A8" s="93" t="s">
        <v>129</v>
      </c>
      <c r="B8" s="94" t="s">
        <v>130</v>
      </c>
      <c r="C8" s="94" t="s">
        <v>112</v>
      </c>
      <c r="D8" s="94" t="s">
        <v>113</v>
      </c>
      <c r="E8" s="94" t="s">
        <v>114</v>
      </c>
      <c r="F8" s="94" t="s">
        <v>115</v>
      </c>
      <c r="G8" s="94" t="s">
        <v>116</v>
      </c>
    </row>
    <row r="9" spans="1:7" x14ac:dyDescent="0.3">
      <c r="A9" s="90" t="s">
        <v>120</v>
      </c>
      <c r="B9" s="90"/>
      <c r="C9" s="89" t="s">
        <v>136</v>
      </c>
      <c r="D9" s="90"/>
      <c r="E9" s="90"/>
      <c r="F9" s="90"/>
      <c r="G9" s="95">
        <f>+G10+G11+G12</f>
        <v>10820000</v>
      </c>
    </row>
    <row r="10" spans="1:7" x14ac:dyDescent="0.3">
      <c r="A10" s="85"/>
      <c r="B10" s="82" t="s">
        <v>137</v>
      </c>
      <c r="C10" s="81" t="s">
        <v>138</v>
      </c>
      <c r="D10" s="82" t="s">
        <v>143</v>
      </c>
      <c r="E10" s="83">
        <v>1</v>
      </c>
      <c r="F10" s="99">
        <v>650000</v>
      </c>
      <c r="G10" s="96">
        <f>+E10*F10</f>
        <v>650000</v>
      </c>
    </row>
    <row r="11" spans="1:7" x14ac:dyDescent="0.3">
      <c r="A11" s="85"/>
      <c r="B11" s="82" t="s">
        <v>139</v>
      </c>
      <c r="C11" s="81" t="s">
        <v>140</v>
      </c>
      <c r="D11" s="82" t="s">
        <v>143</v>
      </c>
      <c r="E11" s="83">
        <v>1</v>
      </c>
      <c r="F11" s="99">
        <v>170000</v>
      </c>
      <c r="G11" s="96">
        <f t="shared" ref="G11:G12" si="0">+E11*F11</f>
        <v>170000</v>
      </c>
    </row>
    <row r="12" spans="1:7" x14ac:dyDescent="0.3">
      <c r="A12" s="85"/>
      <c r="B12" s="82" t="s">
        <v>141</v>
      </c>
      <c r="C12" s="81" t="s">
        <v>142</v>
      </c>
      <c r="D12" s="82" t="s">
        <v>143</v>
      </c>
      <c r="E12" s="83">
        <v>1</v>
      </c>
      <c r="F12" s="181">
        <v>10000000</v>
      </c>
      <c r="G12" s="96">
        <f t="shared" si="0"/>
        <v>10000000</v>
      </c>
    </row>
    <row r="13" spans="1:7" x14ac:dyDescent="0.3">
      <c r="A13" s="90" t="s">
        <v>144</v>
      </c>
      <c r="B13" s="90"/>
      <c r="C13" s="89" t="s">
        <v>145</v>
      </c>
      <c r="D13" s="90"/>
      <c r="E13" s="90"/>
      <c r="F13" s="100"/>
      <c r="G13" s="95">
        <f>+SUM(G14:G23)</f>
        <v>156081618</v>
      </c>
    </row>
    <row r="14" spans="1:7" x14ac:dyDescent="0.3">
      <c r="A14" s="85"/>
      <c r="B14" s="82" t="s">
        <v>146</v>
      </c>
      <c r="C14" s="182" t="s">
        <v>152</v>
      </c>
      <c r="D14" s="82" t="s">
        <v>7</v>
      </c>
      <c r="E14" s="83">
        <v>510</v>
      </c>
      <c r="F14" s="181">
        <v>186300</v>
      </c>
      <c r="G14" s="96">
        <f t="shared" ref="G14:G23" si="1">+E14*F14</f>
        <v>95013000</v>
      </c>
    </row>
    <row r="15" spans="1:7" ht="28.8" x14ac:dyDescent="0.3">
      <c r="A15" s="85"/>
      <c r="B15" s="82" t="s">
        <v>147</v>
      </c>
      <c r="C15" s="183" t="s">
        <v>153</v>
      </c>
      <c r="D15" s="82" t="s">
        <v>7</v>
      </c>
      <c r="E15" s="83">
        <v>60</v>
      </c>
      <c r="F15" s="99">
        <v>186300</v>
      </c>
      <c r="G15" s="96">
        <f t="shared" si="1"/>
        <v>11178000</v>
      </c>
    </row>
    <row r="16" spans="1:7" x14ac:dyDescent="0.3">
      <c r="A16" s="85"/>
      <c r="B16" s="82" t="s">
        <v>148</v>
      </c>
      <c r="C16" s="183" t="s">
        <v>154</v>
      </c>
      <c r="D16" s="82" t="s">
        <v>7</v>
      </c>
      <c r="E16" s="83">
        <v>70</v>
      </c>
      <c r="F16" s="99">
        <v>159500</v>
      </c>
      <c r="G16" s="96">
        <f t="shared" si="1"/>
        <v>11165000</v>
      </c>
    </row>
    <row r="17" spans="1:9" x14ac:dyDescent="0.3">
      <c r="A17" s="85"/>
      <c r="B17" s="82" t="s">
        <v>149</v>
      </c>
      <c r="C17" s="182" t="s">
        <v>155</v>
      </c>
      <c r="D17" s="82" t="s">
        <v>7</v>
      </c>
      <c r="E17" s="83">
        <v>36</v>
      </c>
      <c r="F17" s="99">
        <v>238999.11111111112</v>
      </c>
      <c r="G17" s="96">
        <f t="shared" si="1"/>
        <v>8603968</v>
      </c>
      <c r="I17" s="184">
        <f>G17-(176000*36)</f>
        <v>2267968</v>
      </c>
    </row>
    <row r="18" spans="1:9" ht="28.8" x14ac:dyDescent="0.3">
      <c r="A18" s="85"/>
      <c r="B18" s="82" t="s">
        <v>150</v>
      </c>
      <c r="C18" s="183" t="s">
        <v>156</v>
      </c>
      <c r="D18" s="82" t="s">
        <v>7</v>
      </c>
      <c r="E18" s="83">
        <v>42</v>
      </c>
      <c r="F18" s="99">
        <v>190200</v>
      </c>
      <c r="G18" s="96">
        <f t="shared" si="1"/>
        <v>7988400</v>
      </c>
    </row>
    <row r="19" spans="1:9" x14ac:dyDescent="0.3">
      <c r="A19" s="85"/>
      <c r="B19" s="82" t="s">
        <v>151</v>
      </c>
      <c r="C19" s="182" t="s">
        <v>157</v>
      </c>
      <c r="D19" s="82" t="s">
        <v>5</v>
      </c>
      <c r="E19" s="83">
        <v>55</v>
      </c>
      <c r="F19" s="99">
        <v>39000</v>
      </c>
      <c r="G19" s="96">
        <f t="shared" si="1"/>
        <v>2145000</v>
      </c>
    </row>
    <row r="20" spans="1:9" x14ac:dyDescent="0.3">
      <c r="A20" s="85"/>
      <c r="B20" s="82" t="s">
        <v>158</v>
      </c>
      <c r="C20" s="81" t="s">
        <v>159</v>
      </c>
      <c r="D20" s="82" t="s">
        <v>7</v>
      </c>
      <c r="E20" s="83">
        <v>305</v>
      </c>
      <c r="F20" s="99">
        <v>24300</v>
      </c>
      <c r="G20" s="96">
        <f t="shared" si="1"/>
        <v>7411500</v>
      </c>
    </row>
    <row r="21" spans="1:9" ht="15" customHeight="1" x14ac:dyDescent="0.3">
      <c r="A21" s="85"/>
      <c r="B21" s="82" t="s">
        <v>166</v>
      </c>
      <c r="C21" s="81" t="s">
        <v>167</v>
      </c>
      <c r="D21" s="82" t="s">
        <v>5</v>
      </c>
      <c r="E21" s="83">
        <v>105</v>
      </c>
      <c r="F21" s="99">
        <v>25000</v>
      </c>
      <c r="G21" s="96">
        <f t="shared" si="1"/>
        <v>2625000</v>
      </c>
    </row>
    <row r="22" spans="1:9" ht="15" customHeight="1" x14ac:dyDescent="0.3">
      <c r="A22" s="85"/>
      <c r="B22" s="82" t="s">
        <v>171</v>
      </c>
      <c r="C22" s="81" t="s">
        <v>172</v>
      </c>
      <c r="D22" s="82" t="s">
        <v>7</v>
      </c>
      <c r="E22" s="83">
        <v>172.5</v>
      </c>
      <c r="F22" s="99">
        <v>20300</v>
      </c>
      <c r="G22" s="96">
        <f t="shared" si="1"/>
        <v>3501750</v>
      </c>
    </row>
    <row r="23" spans="1:9" ht="15" customHeight="1" x14ac:dyDescent="0.3">
      <c r="A23" s="85"/>
      <c r="B23" s="82" t="s">
        <v>174</v>
      </c>
      <c r="C23" s="182" t="s">
        <v>175</v>
      </c>
      <c r="D23" s="82" t="s">
        <v>7</v>
      </c>
      <c r="E23" s="83">
        <v>30</v>
      </c>
      <c r="F23" s="99">
        <v>215000</v>
      </c>
      <c r="G23" s="96">
        <f t="shared" si="1"/>
        <v>6450000</v>
      </c>
    </row>
    <row r="24" spans="1:9" ht="28.8" x14ac:dyDescent="0.3">
      <c r="A24" s="90" t="s">
        <v>160</v>
      </c>
      <c r="B24" s="90"/>
      <c r="C24" s="91" t="s">
        <v>168</v>
      </c>
      <c r="D24" s="90"/>
      <c r="E24" s="92"/>
      <c r="F24" s="100"/>
      <c r="G24" s="95">
        <f>+G25+G26+G27+G28</f>
        <v>15688400</v>
      </c>
    </row>
    <row r="25" spans="1:9" x14ac:dyDescent="0.3">
      <c r="A25" s="85"/>
      <c r="B25" s="82" t="s">
        <v>161</v>
      </c>
      <c r="C25" s="81" t="s">
        <v>165</v>
      </c>
      <c r="D25" s="82" t="s">
        <v>5</v>
      </c>
      <c r="E25" s="83">
        <v>3</v>
      </c>
      <c r="F25" s="181">
        <v>450800</v>
      </c>
      <c r="G25" s="96">
        <f t="shared" ref="G25:G28" si="2">+E25*F25</f>
        <v>1352400</v>
      </c>
    </row>
    <row r="26" spans="1:9" x14ac:dyDescent="0.3">
      <c r="A26" s="85"/>
      <c r="B26" s="82" t="s">
        <v>162</v>
      </c>
      <c r="C26" s="81" t="s">
        <v>169</v>
      </c>
      <c r="D26" s="82" t="s">
        <v>5</v>
      </c>
      <c r="E26" s="83">
        <v>20</v>
      </c>
      <c r="F26" s="99">
        <v>54050</v>
      </c>
      <c r="G26" s="96">
        <f t="shared" si="2"/>
        <v>1081000</v>
      </c>
    </row>
    <row r="27" spans="1:9" ht="15" customHeight="1" x14ac:dyDescent="0.3">
      <c r="A27" s="85"/>
      <c r="B27" s="82" t="s">
        <v>163</v>
      </c>
      <c r="C27" s="81" t="s">
        <v>170</v>
      </c>
      <c r="D27" s="82" t="s">
        <v>7</v>
      </c>
      <c r="E27" s="83">
        <v>25</v>
      </c>
      <c r="F27" s="99">
        <v>463000</v>
      </c>
      <c r="G27" s="96">
        <f t="shared" si="2"/>
        <v>11575000</v>
      </c>
    </row>
    <row r="28" spans="1:9" ht="15" customHeight="1" x14ac:dyDescent="0.3">
      <c r="A28" s="85"/>
      <c r="B28" s="82" t="s">
        <v>164</v>
      </c>
      <c r="C28" s="81" t="s">
        <v>173</v>
      </c>
      <c r="D28" s="82" t="s">
        <v>5</v>
      </c>
      <c r="E28" s="83">
        <v>12</v>
      </c>
      <c r="F28" s="99">
        <v>140000</v>
      </c>
      <c r="G28" s="96">
        <f t="shared" si="2"/>
        <v>1680000</v>
      </c>
    </row>
    <row r="29" spans="1:9" ht="28.8" x14ac:dyDescent="0.3">
      <c r="A29" s="90" t="s">
        <v>176</v>
      </c>
      <c r="B29" s="90"/>
      <c r="C29" s="91" t="s">
        <v>177</v>
      </c>
      <c r="D29" s="90"/>
      <c r="E29" s="92"/>
      <c r="F29" s="100"/>
      <c r="G29" s="95">
        <f>+G30+G31</f>
        <v>5627250</v>
      </c>
    </row>
    <row r="30" spans="1:9" x14ac:dyDescent="0.3">
      <c r="A30" s="85"/>
      <c r="B30" s="82" t="s">
        <v>178</v>
      </c>
      <c r="C30" s="81" t="s">
        <v>180</v>
      </c>
      <c r="D30" s="82" t="s">
        <v>7</v>
      </c>
      <c r="E30" s="83">
        <v>45</v>
      </c>
      <c r="F30" s="99">
        <v>91500</v>
      </c>
      <c r="G30" s="96">
        <f t="shared" ref="G30:G31" si="3">+E30*F30</f>
        <v>4117500</v>
      </c>
    </row>
    <row r="31" spans="1:9" x14ac:dyDescent="0.3">
      <c r="A31" s="85"/>
      <c r="B31" s="82" t="s">
        <v>179</v>
      </c>
      <c r="C31" s="81" t="s">
        <v>181</v>
      </c>
      <c r="D31" s="82" t="s">
        <v>7</v>
      </c>
      <c r="E31" s="83">
        <v>16.5</v>
      </c>
      <c r="F31" s="99">
        <v>91500</v>
      </c>
      <c r="G31" s="96">
        <f t="shared" si="3"/>
        <v>1509750</v>
      </c>
    </row>
    <row r="32" spans="1:9" x14ac:dyDescent="0.3">
      <c r="A32" s="90" t="s">
        <v>182</v>
      </c>
      <c r="B32" s="90"/>
      <c r="C32" s="91" t="s">
        <v>201</v>
      </c>
      <c r="D32" s="90"/>
      <c r="E32" s="92"/>
      <c r="F32" s="100"/>
      <c r="G32" s="95">
        <f>+G33+G34+G35+G36+G37+G38+G39</f>
        <v>16401000</v>
      </c>
    </row>
    <row r="33" spans="1:10" ht="28.8" x14ac:dyDescent="0.3">
      <c r="A33" s="85"/>
      <c r="B33" s="82" t="s">
        <v>183</v>
      </c>
      <c r="C33" s="84" t="s">
        <v>188</v>
      </c>
      <c r="D33" s="82" t="s">
        <v>7</v>
      </c>
      <c r="E33" s="83">
        <v>110</v>
      </c>
      <c r="F33" s="99">
        <v>14000</v>
      </c>
      <c r="G33" s="96">
        <f t="shared" ref="G33:G39" si="4">+E33*F33</f>
        <v>1540000</v>
      </c>
    </row>
    <row r="34" spans="1:10" ht="43.2" x14ac:dyDescent="0.3">
      <c r="A34" s="85"/>
      <c r="B34" s="82" t="s">
        <v>184</v>
      </c>
      <c r="C34" s="84" t="s">
        <v>189</v>
      </c>
      <c r="D34" s="82" t="s">
        <v>7</v>
      </c>
      <c r="E34" s="83">
        <v>250</v>
      </c>
      <c r="F34" s="99">
        <v>17500</v>
      </c>
      <c r="G34" s="96">
        <f t="shared" si="4"/>
        <v>4375000</v>
      </c>
    </row>
    <row r="35" spans="1:10" ht="28.8" x14ac:dyDescent="0.3">
      <c r="A35" s="85"/>
      <c r="B35" s="82" t="s">
        <v>185</v>
      </c>
      <c r="C35" s="84" t="s">
        <v>190</v>
      </c>
      <c r="D35" s="82" t="s">
        <v>5</v>
      </c>
      <c r="E35" s="83">
        <v>300</v>
      </c>
      <c r="F35" s="99">
        <v>8100</v>
      </c>
      <c r="G35" s="96">
        <f t="shared" si="4"/>
        <v>2430000</v>
      </c>
    </row>
    <row r="36" spans="1:10" ht="30" customHeight="1" x14ac:dyDescent="0.3">
      <c r="A36" s="85"/>
      <c r="B36" s="82" t="s">
        <v>186</v>
      </c>
      <c r="C36" s="84" t="s">
        <v>191</v>
      </c>
      <c r="D36" s="82" t="s">
        <v>7</v>
      </c>
      <c r="E36" s="83">
        <v>110</v>
      </c>
      <c r="F36" s="99">
        <v>19000</v>
      </c>
      <c r="G36" s="96">
        <f t="shared" si="4"/>
        <v>2090000</v>
      </c>
    </row>
    <row r="37" spans="1:10" ht="28.8" x14ac:dyDescent="0.3">
      <c r="A37" s="85"/>
      <c r="B37" s="82" t="s">
        <v>187</v>
      </c>
      <c r="C37" s="84" t="s">
        <v>192</v>
      </c>
      <c r="D37" s="82" t="s">
        <v>5</v>
      </c>
      <c r="E37" s="83">
        <v>60</v>
      </c>
      <c r="F37" s="99">
        <v>13400</v>
      </c>
      <c r="G37" s="96">
        <f t="shared" si="4"/>
        <v>804000</v>
      </c>
    </row>
    <row r="38" spans="1:10" ht="28.8" x14ac:dyDescent="0.3">
      <c r="A38" s="85"/>
      <c r="B38" s="82" t="s">
        <v>193</v>
      </c>
      <c r="C38" s="84" t="s">
        <v>194</v>
      </c>
      <c r="D38" s="82" t="s">
        <v>5</v>
      </c>
      <c r="E38" s="83">
        <v>310</v>
      </c>
      <c r="F38" s="99">
        <v>13400</v>
      </c>
      <c r="G38" s="96">
        <f t="shared" si="4"/>
        <v>4154000</v>
      </c>
    </row>
    <row r="39" spans="1:10" ht="28.8" x14ac:dyDescent="0.3">
      <c r="A39" s="85"/>
      <c r="B39" s="82" t="s">
        <v>195</v>
      </c>
      <c r="C39" s="84" t="s">
        <v>196</v>
      </c>
      <c r="D39" s="82" t="s">
        <v>7</v>
      </c>
      <c r="E39" s="83">
        <v>70</v>
      </c>
      <c r="F39" s="99">
        <v>14400</v>
      </c>
      <c r="G39" s="96">
        <f t="shared" si="4"/>
        <v>1008000</v>
      </c>
    </row>
    <row r="40" spans="1:10" x14ac:dyDescent="0.3">
      <c r="A40" s="90" t="s">
        <v>197</v>
      </c>
      <c r="B40" s="90"/>
      <c r="C40" s="91" t="s">
        <v>198</v>
      </c>
      <c r="D40" s="90"/>
      <c r="E40" s="92"/>
      <c r="F40" s="100"/>
      <c r="G40" s="97">
        <f>+G41</f>
        <v>450000</v>
      </c>
    </row>
    <row r="41" spans="1:10" x14ac:dyDescent="0.3">
      <c r="A41" s="85"/>
      <c r="B41" s="82" t="s">
        <v>199</v>
      </c>
      <c r="C41" s="81" t="s">
        <v>200</v>
      </c>
      <c r="D41" s="82" t="s">
        <v>143</v>
      </c>
      <c r="E41" s="83">
        <v>1</v>
      </c>
      <c r="F41" s="99">
        <v>450000</v>
      </c>
      <c r="G41" s="96">
        <f>+E41*F41</f>
        <v>450000</v>
      </c>
      <c r="J41" s="98"/>
    </row>
    <row r="42" spans="1:10" x14ac:dyDescent="0.3">
      <c r="A42" s="85"/>
      <c r="B42" s="85"/>
      <c r="C42" s="85"/>
      <c r="D42" s="173" t="s">
        <v>117</v>
      </c>
      <c r="E42" s="173"/>
      <c r="F42" s="173"/>
      <c r="G42" s="86">
        <f>+G9+G13+G24+G29+G32+G40</f>
        <v>205068268</v>
      </c>
    </row>
    <row r="43" spans="1:10" x14ac:dyDescent="0.3">
      <c r="A43" s="85"/>
      <c r="B43" s="174"/>
      <c r="C43" s="174"/>
      <c r="D43" s="82" t="s">
        <v>118</v>
      </c>
      <c r="E43" s="82" t="s">
        <v>119</v>
      </c>
      <c r="F43" s="87">
        <v>0.08</v>
      </c>
      <c r="G43" s="88">
        <f>+$G$42*F43</f>
        <v>16405461.439999999</v>
      </c>
    </row>
    <row r="44" spans="1:10" x14ac:dyDescent="0.3">
      <c r="A44" s="85"/>
      <c r="B44" s="174"/>
      <c r="C44" s="174"/>
      <c r="D44" s="82" t="s">
        <v>120</v>
      </c>
      <c r="E44" s="82" t="s">
        <v>121</v>
      </c>
      <c r="F44" s="87">
        <v>0.05</v>
      </c>
      <c r="G44" s="88">
        <f t="shared" ref="G44:G45" si="5">+$G$42*F44</f>
        <v>10253413.4</v>
      </c>
    </row>
    <row r="45" spans="1:10" x14ac:dyDescent="0.3">
      <c r="A45" s="85"/>
      <c r="B45" s="174"/>
      <c r="C45" s="174"/>
      <c r="D45" s="82" t="s">
        <v>122</v>
      </c>
      <c r="E45" s="82" t="s">
        <v>123</v>
      </c>
      <c r="F45" s="87">
        <v>0.05</v>
      </c>
      <c r="G45" s="88">
        <f t="shared" si="5"/>
        <v>10253413.4</v>
      </c>
    </row>
    <row r="46" spans="1:10" x14ac:dyDescent="0.3">
      <c r="A46" s="85"/>
      <c r="B46" s="174"/>
      <c r="C46" s="174"/>
      <c r="D46" s="82" t="s">
        <v>124</v>
      </c>
      <c r="E46" s="82" t="s">
        <v>125</v>
      </c>
      <c r="F46" s="87">
        <v>0.19</v>
      </c>
      <c r="G46" s="88">
        <f>+G45*F46</f>
        <v>1948148.5460000001</v>
      </c>
    </row>
    <row r="47" spans="1:10" x14ac:dyDescent="0.3">
      <c r="A47" s="85"/>
      <c r="B47" s="174"/>
      <c r="C47" s="174"/>
      <c r="D47" s="173" t="s">
        <v>126</v>
      </c>
      <c r="E47" s="173"/>
      <c r="F47" s="173"/>
      <c r="G47" s="86">
        <f>SUM(G42:G46)</f>
        <v>243928704.78600001</v>
      </c>
    </row>
    <row r="48" spans="1:10" x14ac:dyDescent="0.3">
      <c r="C48" s="175" t="s">
        <v>127</v>
      </c>
    </row>
    <row r="49" spans="3:3" x14ac:dyDescent="0.3">
      <c r="C49" s="176"/>
    </row>
    <row r="50" spans="3:3" x14ac:dyDescent="0.3">
      <c r="C50" s="176"/>
    </row>
    <row r="51" spans="3:3" x14ac:dyDescent="0.3">
      <c r="C51" s="176"/>
    </row>
    <row r="52" spans="3:3" x14ac:dyDescent="0.3">
      <c r="C52" s="176"/>
    </row>
  </sheetData>
  <mergeCells count="15">
    <mergeCell ref="A6:C6"/>
    <mergeCell ref="D6:G6"/>
    <mergeCell ref="A7:C7"/>
    <mergeCell ref="D4:G4"/>
    <mergeCell ref="A1:G1"/>
    <mergeCell ref="A2:G2"/>
    <mergeCell ref="A3:G3"/>
    <mergeCell ref="A4:C4"/>
    <mergeCell ref="A5:C5"/>
    <mergeCell ref="D5:G5"/>
    <mergeCell ref="D42:F42"/>
    <mergeCell ref="B43:C47"/>
    <mergeCell ref="D47:F47"/>
    <mergeCell ref="C48:C52"/>
    <mergeCell ref="D7:G7"/>
  </mergeCells>
  <phoneticPr fontId="5" type="noConversion"/>
  <pageMargins left="0.7" right="0.7" top="0.75" bottom="0.75" header="0.3" footer="0.3"/>
  <ignoredErrors>
    <ignoredError sqref="G13 G24 G29 G32 G40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medidas definitivas</vt:lpstr>
      <vt:lpstr>CUADRO GENERAL DE ACTIVIDADES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AGUDELO</dc:creator>
  <cp:lastModifiedBy>Andrés Felipe Montoya Osorio</cp:lastModifiedBy>
  <dcterms:created xsi:type="dcterms:W3CDTF">2025-04-29T23:38:11Z</dcterms:created>
  <dcterms:modified xsi:type="dcterms:W3CDTF">2025-06-04T21:42:26Z</dcterms:modified>
</cp:coreProperties>
</file>