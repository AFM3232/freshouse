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aCie/"/>
    </mc:Choice>
  </mc:AlternateContent>
  <xr:revisionPtr revIDLastSave="0" documentId="13_ncr:1_{19D5D5CC-446B-7346-9B37-AFAAEF762556}" xr6:coauthVersionLast="47" xr6:coauthVersionMax="47" xr10:uidLastSave="{00000000-0000-0000-0000-000000000000}"/>
  <bookViews>
    <workbookView xWindow="4440" yWindow="760" windowWidth="23260" windowHeight="12460" xr2:uid="{00000000-000D-0000-FFFF-FFFF00000000}"/>
  </bookViews>
  <sheets>
    <sheet name="COT. SANTA CLARA PINT. IMP" sheetId="27" r:id="rId1"/>
  </sheets>
  <definedNames>
    <definedName name="_xlnm.Print_Area" localSheetId="0">'COT. SANTA CLARA PINT. IMP'!$A$1:$G$28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7" l="1"/>
  <c r="G30" i="27"/>
  <c r="G9" i="27"/>
  <c r="G13" i="27"/>
  <c r="I10" i="27" l="1"/>
  <c r="H10" i="27"/>
  <c r="G18" i="27"/>
  <c r="G17" i="27"/>
  <c r="G16" i="27" s="1"/>
  <c r="G19" i="27"/>
  <c r="G15" i="27"/>
  <c r="G14" i="27" s="1"/>
  <c r="G25" i="27" s="1"/>
  <c r="G26" i="27" s="1"/>
  <c r="G12" i="27"/>
  <c r="G11" i="27"/>
  <c r="G10" i="27"/>
  <c r="G21" i="27"/>
  <c r="G20" i="27" s="1"/>
  <c r="G6" i="27"/>
  <c r="G22" i="27" l="1"/>
  <c r="G23" i="27"/>
  <c r="G24" i="27"/>
  <c r="G27" i="27"/>
  <c r="G28" i="27" s="1"/>
</calcChain>
</file>

<file path=xl/sharedStrings.xml><?xml version="1.0" encoding="utf-8"?>
<sst xmlns="http://schemas.openxmlformats.org/spreadsheetml/2006/main" count="56" uniqueCount="49">
  <si>
    <t>CAPT</t>
  </si>
  <si>
    <t>ITEMS</t>
  </si>
  <si>
    <t>ML</t>
  </si>
  <si>
    <t>IVA/U</t>
  </si>
  <si>
    <t>DESCRIPCION</t>
  </si>
  <si>
    <t>1.0</t>
  </si>
  <si>
    <t>PRELIMINARES</t>
  </si>
  <si>
    <t>DIRECCION: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</si>
  <si>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</si>
  <si>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</si>
  <si>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</si>
  <si>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</si>
  <si>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</si>
  <si>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</si>
  <si>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</si>
  <si>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</si>
  <si>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</si>
  <si>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</si>
  <si>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</si>
  <si>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</si>
  <si>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</si>
  <si>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</si>
  <si>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INCLUIDO</t>
  </si>
  <si>
    <t>M2</t>
  </si>
  <si>
    <t>Calle 19 Norte 18-64 Ed. Atlantis piso 3 local 7</t>
  </si>
  <si>
    <t>Gerencia@freshouse.com.co</t>
  </si>
  <si>
    <t>Inspección, apertura y sellado de grietas en fachadas de mortero y/o de Superboard. PINTUCO FIX PROFESIONAL</t>
  </si>
  <si>
    <t>Reparación del recubrimiento mediante estuco impermeable (Silcoplast de Pintuco). Imprimación con IMPRIMAX de PINTUCO y posterior aplicación del Silcoplast de PINTUCO</t>
  </si>
  <si>
    <t>Aplicación de pintura elastomérica para exteriores (Koraza de Pintuco). Pintura KORAZA PRO 550 de PINTUCO</t>
  </si>
  <si>
    <t>Limpieza general del elemento vidriado a intervenir</t>
  </si>
  <si>
    <t>Limpieza detallada con alcohol Isopropílico sobre la zona de sellado</t>
  </si>
  <si>
    <t>Suministro y Aplicación del material sellante, dándole acabado pulido y estético. Con Sikasil C</t>
  </si>
  <si>
    <t xml:space="preserve">             LIMPIEZA Y ALISTAMIENTO DE SUPERFICIES</t>
  </si>
  <si>
    <t xml:space="preserve">            OBRAS DE PINTURA EN MUROS DE FACHADA E IMPERMEABILIZACIÓN</t>
  </si>
  <si>
    <t xml:space="preserve">            RESTAURACIÓN DE SELLOS</t>
  </si>
  <si>
    <t xml:space="preserve">            TERMINADO Y LIMPIEZA</t>
  </si>
  <si>
    <t>Lavado y eliminación previa de focos de moho u hongos donde se evidencie humedad.</t>
  </si>
  <si>
    <t>????????????????????????</t>
  </si>
  <si>
    <t>COSTO DIRECTO</t>
  </si>
  <si>
    <t>ADMON</t>
  </si>
  <si>
    <t>IMPREV</t>
  </si>
  <si>
    <t>UTILIDADES</t>
  </si>
  <si>
    <t>COSTO INDIRECTO</t>
  </si>
  <si>
    <t>VALOR PROPUESTA</t>
  </si>
  <si>
    <t>COTIZACIÓN OBRA - EDIFICIO ATLANTIS</t>
  </si>
  <si>
    <t xml:space="preserve">  FECHA: 22/08/2025</t>
  </si>
  <si>
    <t xml:space="preserve">  VALIDO HASTA: 22/11/2025</t>
  </si>
  <si>
    <t>retiro de vidrio e instalacion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</si>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</sst>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sz val="16"/>
      <color theme="1"/>
      <name val="Calibri"/>
      <family val="2"/>
      <scheme val="minor"/>
    </font>
    <font>
      <sz val="12"/>
      <color rgb="FFFF000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165" fontId="2" fillId="2" borderId="12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165" fontId="2" fillId="8" borderId="12" xfId="0" applyNumberFormat="1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 wrapText="1"/>
    </xf>
    <xf numFmtId="43" fontId="9" fillId="0" borderId="1" xfId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left" vertical="center" wrapText="1"/>
    </xf>
    <xf numFmtId="164" fontId="4" fillId="10" borderId="2" xfId="0" applyNumberFormat="1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43" fontId="2" fillId="10" borderId="20" xfId="1" applyFont="1" applyFill="1" applyBorder="1" applyAlignment="1">
      <alignment horizontal="center" vertical="center"/>
    </xf>
    <xf numFmtId="43" fontId="2" fillId="10" borderId="22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left" vertical="center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43" fontId="0" fillId="0" borderId="0" xfId="0" applyNumberFormat="1" applyAlignment="1">
      <alignment vertical="center"/>
    </xf>
    <xf numFmtId="164" fontId="3" fillId="0" borderId="0" xfId="0" applyNumberFormat="1" applyFont="1" applyAlignment="1">
      <alignment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362528</xdr:colOff>
      <xdr:row>1</xdr:row>
      <xdr:rowOff>110841</xdr:rowOff>
    </xdr:from>
    <xdr:to>
      <xdr:col>6</xdr:col>
      <xdr:colOff>1173727</xdr:colOff>
      <xdr:row>3</xdr:row>
      <xdr:rowOff>415641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606EF-34FC-4333-9991-FE2C598A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8268" y="392781"/>
          <a:ext cx="2341202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BE5-0650-4C32-9372-B11BD1231774}">
  <dimension ref="A1:J31"/>
  <sheetViews>
    <sheetView tabSelected="1" topLeftCell="A130" zoomScale="66" zoomScaleNormal="66" workbookViewId="0">
      <selection activeCell="G32" sqref="G32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10" s="22" customFormat="1" ht="22.5" customHeight="1" x14ac:dyDescent="0.2">
      <c r="A1" s="60" t="s">
        <v>44</v>
      </c>
      <c r="B1" s="61"/>
      <c r="C1" s="61"/>
      <c r="D1" s="61"/>
      <c r="E1" s="61"/>
      <c r="F1" s="61"/>
      <c r="G1" s="62"/>
    </row>
    <row r="2" spans="1:10" ht="17" x14ac:dyDescent="0.2">
      <c r="A2" s="63" t="s">
        <v>7</v>
      </c>
      <c r="B2" s="64"/>
      <c r="C2" s="3" t="s">
        <v>24</v>
      </c>
      <c r="D2" s="3" t="s">
        <v>8</v>
      </c>
      <c r="E2" s="3" t="s">
        <v>9</v>
      </c>
      <c r="F2" s="65"/>
      <c r="G2" s="66"/>
    </row>
    <row r="3" spans="1:10" ht="18" customHeight="1" x14ac:dyDescent="0.2">
      <c r="A3" s="63" t="s">
        <v>10</v>
      </c>
      <c r="B3" s="64"/>
      <c r="C3" s="48" t="s">
        <v>25</v>
      </c>
      <c r="D3" s="63" t="s">
        <v>45</v>
      </c>
      <c r="E3" s="64"/>
      <c r="F3" s="67"/>
      <c r="G3" s="68"/>
      <c r="H3"/>
    </row>
    <row r="4" spans="1:10" ht="40.5" customHeight="1" x14ac:dyDescent="0.2">
      <c r="A4" s="63" t="s">
        <v>11</v>
      </c>
      <c r="B4" s="64"/>
      <c r="C4" s="3" t="s">
        <v>12</v>
      </c>
      <c r="D4" s="63" t="s">
        <v>46</v>
      </c>
      <c r="E4" s="64"/>
      <c r="F4" s="69"/>
      <c r="G4" s="70"/>
      <c r="H4"/>
    </row>
    <row r="5" spans="1:10" ht="45" customHeight="1" x14ac:dyDescent="0.2">
      <c r="A5" s="10" t="s">
        <v>0</v>
      </c>
      <c r="B5" s="10" t="s">
        <v>1</v>
      </c>
      <c r="C5" s="10" t="s">
        <v>4</v>
      </c>
      <c r="D5" s="10" t="s">
        <v>13</v>
      </c>
      <c r="E5" s="10" t="s">
        <v>14</v>
      </c>
      <c r="F5" s="10" t="s">
        <v>15</v>
      </c>
      <c r="G5" s="10" t="s">
        <v>16</v>
      </c>
      <c r="H5"/>
    </row>
    <row r="6" spans="1:10" ht="23.25" customHeight="1" x14ac:dyDescent="0.2">
      <c r="A6" s="14" t="s">
        <v>5</v>
      </c>
      <c r="B6" s="13"/>
      <c r="C6" s="13" t="s">
        <v>6</v>
      </c>
      <c r="D6" s="13"/>
      <c r="E6" s="13"/>
      <c r="F6" s="13"/>
      <c r="G6" s="4">
        <f>SUM(G7:G8)</f>
        <v>0</v>
      </c>
    </row>
    <row r="7" spans="1:10" ht="39" customHeight="1" x14ac:dyDescent="0.2">
      <c r="A7" s="11"/>
      <c r="B7" s="16">
        <v>1.1000000000000001</v>
      </c>
      <c r="C7" s="20" t="s">
        <v>19</v>
      </c>
      <c r="D7" s="18" t="s">
        <v>18</v>
      </c>
      <c r="E7" s="12">
        <v>1</v>
      </c>
      <c r="F7" s="21" t="s">
        <v>22</v>
      </c>
      <c r="G7" s="6"/>
    </row>
    <row r="8" spans="1:10" ht="99" customHeight="1" x14ac:dyDescent="0.2">
      <c r="A8" s="11"/>
      <c r="B8" s="16">
        <v>1.2</v>
      </c>
      <c r="C8" s="20" t="s">
        <v>20</v>
      </c>
      <c r="D8" s="18" t="s">
        <v>17</v>
      </c>
      <c r="E8" s="12">
        <v>1</v>
      </c>
      <c r="F8" s="21" t="s">
        <v>22</v>
      </c>
      <c r="G8" s="6"/>
    </row>
    <row r="9" spans="1:10" s="23" customFormat="1" ht="16" x14ac:dyDescent="0.2">
      <c r="A9" s="25">
        <v>2</v>
      </c>
      <c r="B9" s="71" t="s">
        <v>32</v>
      </c>
      <c r="C9" s="72"/>
      <c r="D9" s="72"/>
      <c r="E9" s="72"/>
      <c r="F9" s="73"/>
      <c r="G9" s="26">
        <f>SUM(G10:G13)</f>
        <v>37189890</v>
      </c>
    </row>
    <row r="10" spans="1:10" s="23" customFormat="1" ht="64.25" customHeight="1" x14ac:dyDescent="0.2">
      <c r="A10" s="27"/>
      <c r="B10" s="28">
        <v>2.1</v>
      </c>
      <c r="C10" s="29" t="s">
        <v>36</v>
      </c>
      <c r="D10" s="30" t="s">
        <v>23</v>
      </c>
      <c r="E10" s="31">
        <v>2672.44</v>
      </c>
      <c r="F10" s="7">
        <v>3750</v>
      </c>
      <c r="G10" s="4">
        <f>+E10*F10</f>
        <v>10021650</v>
      </c>
      <c r="H10" s="74">
        <f>E10*2.5</f>
        <v>6681.1</v>
      </c>
      <c r="I10" s="74">
        <f>E10/4</f>
        <v>668.11</v>
      </c>
      <c r="J10" s="24"/>
    </row>
    <row r="11" spans="1:10" s="23" customFormat="1" ht="64.25" customHeight="1" x14ac:dyDescent="0.2">
      <c r="A11" s="27"/>
      <c r="B11" s="28">
        <v>2.2000000000000002</v>
      </c>
      <c r="C11" s="29" t="s">
        <v>26</v>
      </c>
      <c r="D11" s="30" t="s">
        <v>2</v>
      </c>
      <c r="E11" s="31">
        <v>133.6</v>
      </c>
      <c r="F11" s="7">
        <v>7400</v>
      </c>
      <c r="G11" s="4">
        <f>+E11*F11</f>
        <v>988640</v>
      </c>
      <c r="J11" s="24"/>
    </row>
    <row r="12" spans="1:10" s="23" customFormat="1" ht="87" customHeight="1" x14ac:dyDescent="0.2">
      <c r="A12" s="36"/>
      <c r="B12" s="37">
        <v>2.2999999999999998</v>
      </c>
      <c r="C12" s="38" t="s">
        <v>27</v>
      </c>
      <c r="D12" s="37" t="s">
        <v>23</v>
      </c>
      <c r="E12" s="39">
        <v>10</v>
      </c>
      <c r="F12" s="40">
        <v>38600</v>
      </c>
      <c r="G12" s="41">
        <f>+E12*F12</f>
        <v>386000</v>
      </c>
      <c r="H12" s="23" t="s">
        <v>37</v>
      </c>
    </row>
    <row r="13" spans="1:10" s="23" customFormat="1" ht="64.25" customHeight="1" x14ac:dyDescent="0.2">
      <c r="A13" s="27"/>
      <c r="B13" s="28">
        <v>2.2000000000000002</v>
      </c>
      <c r="C13" s="29" t="s">
        <v>47</v>
      </c>
      <c r="D13" s="30" t="s">
        <v>48</v>
      </c>
      <c r="E13" s="31">
        <v>224</v>
      </c>
      <c r="F13" s="7">
        <v>115150</v>
      </c>
      <c r="G13" s="4">
        <f>+E13*F13</f>
        <v>25793600</v>
      </c>
      <c r="J13" s="24"/>
    </row>
    <row r="14" spans="1:10" s="23" customFormat="1" ht="43.75" customHeight="1" x14ac:dyDescent="0.2">
      <c r="A14" s="25">
        <v>3</v>
      </c>
      <c r="B14" s="53" t="s">
        <v>33</v>
      </c>
      <c r="C14" s="54"/>
      <c r="D14" s="54"/>
      <c r="E14" s="54"/>
      <c r="F14" s="55"/>
      <c r="G14" s="26">
        <f>SUM(G15:G15)</f>
        <v>64138560</v>
      </c>
    </row>
    <row r="15" spans="1:10" s="23" customFormat="1" ht="76.25" customHeight="1" x14ac:dyDescent="0.2">
      <c r="A15" s="27"/>
      <c r="B15" s="28">
        <v>3.1</v>
      </c>
      <c r="C15" s="29" t="s">
        <v>28</v>
      </c>
      <c r="D15" s="30" t="s">
        <v>23</v>
      </c>
      <c r="E15" s="31">
        <v>2672.44</v>
      </c>
      <c r="F15" s="7">
        <v>24000</v>
      </c>
      <c r="G15" s="4">
        <f>+E15*F15</f>
        <v>64138560</v>
      </c>
    </row>
    <row r="16" spans="1:10" s="23" customFormat="1" ht="16" x14ac:dyDescent="0.2">
      <c r="A16" s="25">
        <v>4</v>
      </c>
      <c r="B16" s="53" t="s">
        <v>34</v>
      </c>
      <c r="C16" s="54"/>
      <c r="D16" s="54"/>
      <c r="E16" s="54"/>
      <c r="F16" s="55"/>
      <c r="G16" s="26">
        <f>SUM(G17:G19)</f>
        <v>118928800</v>
      </c>
    </row>
    <row r="17" spans="1:10" s="23" customFormat="1" ht="64.25" customHeight="1" x14ac:dyDescent="0.2">
      <c r="A17" s="27"/>
      <c r="B17" s="28">
        <v>4.0999999999999996</v>
      </c>
      <c r="C17" s="29" t="s">
        <v>29</v>
      </c>
      <c r="D17" s="30" t="s">
        <v>23</v>
      </c>
      <c r="E17" s="31">
        <v>2570.15</v>
      </c>
      <c r="F17" s="7">
        <v>2000</v>
      </c>
      <c r="G17" s="4">
        <f>+E17*F17</f>
        <v>5140300</v>
      </c>
      <c r="J17" s="24"/>
    </row>
    <row r="18" spans="1:10" s="23" customFormat="1" ht="64.25" customHeight="1" x14ac:dyDescent="0.2">
      <c r="A18" s="27"/>
      <c r="B18" s="28">
        <v>4.2</v>
      </c>
      <c r="C18" s="29" t="s">
        <v>30</v>
      </c>
      <c r="D18" s="30" t="s">
        <v>2</v>
      </c>
      <c r="E18" s="31">
        <v>10837</v>
      </c>
      <c r="F18" s="7">
        <v>3800</v>
      </c>
      <c r="G18" s="4">
        <f>+E18*F18</f>
        <v>41180600</v>
      </c>
      <c r="J18" s="24"/>
    </row>
    <row r="19" spans="1:10" s="23" customFormat="1" ht="87" customHeight="1" x14ac:dyDescent="0.2">
      <c r="A19" s="32"/>
      <c r="B19" s="28">
        <v>4.3</v>
      </c>
      <c r="C19" s="33" t="s">
        <v>31</v>
      </c>
      <c r="D19" s="28" t="s">
        <v>2</v>
      </c>
      <c r="E19" s="31">
        <v>10837</v>
      </c>
      <c r="F19" s="7">
        <v>6700</v>
      </c>
      <c r="G19" s="4">
        <f>+E19*F19</f>
        <v>72607900</v>
      </c>
    </row>
    <row r="20" spans="1:10" customFormat="1" ht="35.5" customHeight="1" x14ac:dyDescent="0.2">
      <c r="A20" s="34">
        <v>5</v>
      </c>
      <c r="B20" s="56" t="s">
        <v>35</v>
      </c>
      <c r="C20" s="56"/>
      <c r="D20" s="56"/>
      <c r="E20" s="56"/>
      <c r="F20" s="57"/>
      <c r="G20" s="35">
        <f>SUM(G21:G21)</f>
        <v>300000</v>
      </c>
    </row>
    <row r="21" spans="1:10" ht="64.25" customHeight="1" x14ac:dyDescent="0.2">
      <c r="A21" s="15"/>
      <c r="B21" s="17">
        <v>5.0999999999999996</v>
      </c>
      <c r="C21" s="20" t="s">
        <v>21</v>
      </c>
      <c r="D21" s="19" t="s">
        <v>18</v>
      </c>
      <c r="E21" s="12">
        <v>1</v>
      </c>
      <c r="F21" s="5">
        <v>300000</v>
      </c>
      <c r="G21" s="47">
        <f>F21*E21</f>
        <v>300000</v>
      </c>
    </row>
    <row r="22" spans="1:10" ht="27.5" customHeight="1" x14ac:dyDescent="0.2">
      <c r="A22" s="8"/>
      <c r="B22" s="9"/>
      <c r="C22" s="9"/>
      <c r="E22" s="58" t="s">
        <v>38</v>
      </c>
      <c r="F22" s="59"/>
      <c r="G22" s="42">
        <f>G9+G14+G16+G20</f>
        <v>220557250</v>
      </c>
    </row>
    <row r="23" spans="1:10" ht="16" x14ac:dyDescent="0.2">
      <c r="A23" s="8"/>
      <c r="B23" s="9"/>
      <c r="C23" s="9"/>
      <c r="E23" s="27" t="s">
        <v>39</v>
      </c>
      <c r="F23" s="43">
        <v>0.08</v>
      </c>
      <c r="G23" s="44">
        <f>+$G$14*F23</f>
        <v>5131084.8</v>
      </c>
    </row>
    <row r="24" spans="1:10" ht="16" x14ac:dyDescent="0.2">
      <c r="A24" s="8"/>
      <c r="B24" s="9"/>
      <c r="C24" s="9"/>
      <c r="E24" s="27" t="s">
        <v>40</v>
      </c>
      <c r="F24" s="43">
        <v>0.05</v>
      </c>
      <c r="G24" s="44">
        <f t="shared" ref="G24:G25" si="0">+$G$14*F24</f>
        <v>3206928</v>
      </c>
    </row>
    <row r="25" spans="1:10" ht="21.75" customHeight="1" x14ac:dyDescent="0.2">
      <c r="A25" s="8"/>
      <c r="B25" s="9"/>
      <c r="C25" s="9"/>
      <c r="E25" s="27" t="s">
        <v>41</v>
      </c>
      <c r="F25" s="43">
        <v>0.05</v>
      </c>
      <c r="G25" s="44">
        <f t="shared" si="0"/>
        <v>3206928</v>
      </c>
    </row>
    <row r="26" spans="1:10" ht="21.75" customHeight="1" x14ac:dyDescent="0.2">
      <c r="A26" s="8"/>
      <c r="B26" s="9"/>
      <c r="C26" s="9"/>
      <c r="E26" s="27" t="s">
        <v>3</v>
      </c>
      <c r="F26" s="43">
        <v>0.19</v>
      </c>
      <c r="G26" s="44">
        <f>+G25*F26</f>
        <v>609316.32000000007</v>
      </c>
    </row>
    <row r="27" spans="1:10" ht="21.75" customHeight="1" x14ac:dyDescent="0.2">
      <c r="A27" s="8"/>
      <c r="B27" s="9"/>
      <c r="C27" s="9"/>
      <c r="E27" s="49" t="s">
        <v>42</v>
      </c>
      <c r="F27" s="50"/>
      <c r="G27" s="45">
        <f>+G23+G24+G25+G26</f>
        <v>12154257.120000001</v>
      </c>
    </row>
    <row r="28" spans="1:10" ht="16" x14ac:dyDescent="0.2">
      <c r="A28" s="8"/>
      <c r="B28" s="9"/>
      <c r="C28" s="9"/>
      <c r="E28" s="51" t="s">
        <v>43</v>
      </c>
      <c r="F28" s="52"/>
      <c r="G28" s="46">
        <f>+G22+G27</f>
        <v>232711507.12</v>
      </c>
    </row>
    <row r="30" spans="1:10" x14ac:dyDescent="0.2">
      <c r="G30" s="75">
        <f>G28*2.5</f>
        <v>581778767.79999995</v>
      </c>
    </row>
    <row r="31" spans="1:10" x14ac:dyDescent="0.2">
      <c r="G31" s="75">
        <f>G30+270000000</f>
        <v>851778767.79999995</v>
      </c>
    </row>
  </sheetData>
  <mergeCells count="14">
    <mergeCell ref="B9:F9"/>
    <mergeCell ref="B14:F14"/>
    <mergeCell ref="A1:G1"/>
    <mergeCell ref="A2:B2"/>
    <mergeCell ref="F2:G4"/>
    <mergeCell ref="A3:B3"/>
    <mergeCell ref="D3:E3"/>
    <mergeCell ref="A4:B4"/>
    <mergeCell ref="D4:E4"/>
    <mergeCell ref="E27:F27"/>
    <mergeCell ref="E28:F28"/>
    <mergeCell ref="B16:F16"/>
    <mergeCell ref="B20:F20"/>
    <mergeCell ref="E22:F22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COT. SANTA CLARA PINT. IMP</vt:lpstr>
      <vt:lpstr>'COT. SANTA CLARA PINT. IMP'!Área_de_impresión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2025-03-03T21:27:54Z</cp:lastPrinted>
  <dcterms:created xsi:type="dcterms:W3CDTF">2024-02-08T21:06:52Z</dcterms:created>
  <dcterms:modified xsi:type="dcterms:W3CDTF">2025-09-18T02:38:03Z</dcterms:modified>
  <cp:category/>
  <cp:contentStatus/>
</cp:coreProperties>
</file>