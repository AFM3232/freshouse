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MSSI\OneDrive\Desktop\"/>
    </mc:Choice>
  </mc:AlternateContent>
  <xr:revisionPtr revIDLastSave="0" documentId="13_ncr:1_{9D2B8898-5573-4017-A9F9-4F40495A6E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nexo 1-Propuesta 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6" i="1" l="1"/>
  <c r="F15" i="1"/>
  <c r="F8" i="1"/>
  <c r="F9" i="1"/>
  <c r="F10" i="1"/>
  <c r="F11" i="1"/>
  <c r="F12" i="1"/>
  <c r="F13" i="1"/>
  <c r="F14" i="1"/>
  <c r="F7" i="1"/>
  <c r="F17" i="1" l="1"/>
  <c r="F18" i="1" s="1"/>
  <c r="F19" i="1" l="1"/>
  <c r="F20" i="1"/>
  <c r="F21" i="1" s="1"/>
  <c r="F22" i="1" l="1"/>
</calcChain>
</file>

<file path=xl/sharedStrings.xml><?xml version="1.0" encoding="utf-8"?>
<sst xmlns="http://schemas.openxmlformats.org/spreadsheetml/2006/main" count="56" uniqueCount="48">
  <si>
    <t>EDIFICIO ATLANTIS-ARMENIA</t>
  </si>
  <si>
    <t>ANEXO-01 CUADRO GENERAL DE OFERTA</t>
  </si>
  <si>
    <t>Oferente:</t>
  </si>
  <si>
    <t>Impermeabilizaciones y Mantenimiento Integral en el area de Terrazas y Zonas Humedas</t>
  </si>
  <si>
    <t>Actividad</t>
  </si>
  <si>
    <t>Descripcion</t>
  </si>
  <si>
    <t>Unidad</t>
  </si>
  <si>
    <t>Cantidad</t>
  </si>
  <si>
    <t>Vr Unitario</t>
  </si>
  <si>
    <t>Vr Total</t>
  </si>
  <si>
    <t>I</t>
  </si>
  <si>
    <t>II</t>
  </si>
  <si>
    <t>III</t>
  </si>
  <si>
    <t>IV</t>
  </si>
  <si>
    <t>V</t>
  </si>
  <si>
    <t>VI</t>
  </si>
  <si>
    <t>VII</t>
  </si>
  <si>
    <t>VIII</t>
  </si>
  <si>
    <t>Impermeabilizacion en zonas de grama sintetica</t>
  </si>
  <si>
    <t>M2</t>
  </si>
  <si>
    <t>Impermeabilizacion de losas de concreto sobre areas comunes</t>
  </si>
  <si>
    <t>Revestimiento de Piso Tipo DECK  sobre cuartos de los equipos de piscina y jacussis</t>
  </si>
  <si>
    <t>Construccion de rejilla de drenaje en peatonal</t>
  </si>
  <si>
    <t>ML</t>
  </si>
  <si>
    <t>Bordillos de contencion de agua de escorrentia superficial</t>
  </si>
  <si>
    <t>Recorrido a canales perimetrales de las pergolas</t>
  </si>
  <si>
    <t>Suministro y Aplicacion de Pintura de Trafico en peatonales</t>
  </si>
  <si>
    <t>Costo Directo</t>
  </si>
  <si>
    <t>ADMINISTRACION</t>
  </si>
  <si>
    <t>IMPREVISTOS</t>
  </si>
  <si>
    <t>UTILIDAD</t>
  </si>
  <si>
    <t>IVA/U</t>
  </si>
  <si>
    <t>Total Propuesta</t>
  </si>
  <si>
    <t>Fecha:</t>
  </si>
  <si>
    <t>Convocante: Edificio Atlantis - Gloria Lucia Parra Martinez-Rep Legal</t>
  </si>
  <si>
    <t>A</t>
  </si>
  <si>
    <t>U</t>
  </si>
  <si>
    <t>IVA</t>
  </si>
  <si>
    <t>Retiro de recubrimiento e Impermeabilizacion en area adyacente a la Piscina Pequeña</t>
  </si>
  <si>
    <t>IX</t>
  </si>
  <si>
    <t>Acondicionamiento de Matera</t>
  </si>
  <si>
    <t>X</t>
  </si>
  <si>
    <t>Retiro de escombros y aseo de obra</t>
  </si>
  <si>
    <t>UND</t>
  </si>
  <si>
    <t xml:space="preserve">
Firma del Proponente:___________________________________</t>
  </si>
  <si>
    <t>m2 sikalastic</t>
  </si>
  <si>
    <t>m2 pintucofill</t>
  </si>
  <si>
    <t>de no encontrarse el color adecuado debera colocarlse koraza verde selva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</si>
</sst>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43" formatCode="_-* #,##0.00_-;\-* #,##0.0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entury Gothic"/>
      <family val="2"/>
    </font>
    <font>
      <sz val="11"/>
      <color theme="1"/>
      <name val="Century Gothic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7">
    <border>
      <left/>
      <right/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8" fillId="0" borderId="0"/>
  </cellStyleXfs>
  <cellXfs count="28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43" fontId="0" fillId="0" borderId="1" xfId="1" applyFont="1" applyBorder="1" applyAlignment="1">
      <alignment horizontal="center" vertical="center"/>
    </xf>
    <xf numFmtId="44" fontId="0" fillId="0" borderId="1" xfId="2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44" fontId="2" fillId="3" borderId="1" xfId="0" applyNumberFormat="1" applyFont="1" applyFill="1" applyBorder="1" applyAlignment="1">
      <alignment vertical="center"/>
    </xf>
    <xf numFmtId="9" fontId="2" fillId="2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44" fontId="7" fillId="0" borderId="2" xfId="2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4">
    <cellStyle name="Millares" xfId="1" builtinId="3"/>
    <cellStyle name="Moneda" xfId="2" builtinId="4"/>
    <cellStyle name="Normal" xfId="0" builtinId="0"/>
    <cellStyle name="Normal 2" xfId="3" xr:uid="{66E23B91-3FDE-49A2-94E1-E30DA70791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1619249</xdr:colOff>
      <xdr:row>22</xdr:row>
      <xdr:rowOff>133350</xdr:rowOff>
    </xdr:from>
    <xdr:to>
      <xdr:col>1</xdr:col>
      <xdr:colOff>3590924</xdr:colOff>
      <xdr:row>25</xdr:row>
      <xdr:rowOff>85726</xdr:rowOff>
    </xdr:to>
    <xdr:pic>
      <xdr:nvPicPr>
        <xdr:cNvPr id="2" name="Picture 555" descr="Un dibujo de un pizarrón blanco&#10;&#10;Descripción generada automáticamente con confianza baja">
          <a:extLst>
            <a:ext uri="{FF2B5EF4-FFF2-40B4-BE49-F238E27FC236}">
              <a16:creationId xmlns:a16="http://schemas.microsoft.com/office/drawing/2014/main" id="{C7492A59-B7AE-8F4E-5F86-3336CAF7F3F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6999" y="6867525"/>
          <a:ext cx="1971675" cy="4953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tabSelected="1" zoomScale="80" zoomScaleNormal="80" workbookViewId="0">
      <selection activeCell="H12" sqref="H12"/>
    </sheetView>
  </sheetViews>
  <sheetFormatPr baseColWidth="10" defaultColWidth="9.109375" defaultRowHeight="14.4" x14ac:dyDescent="0.3"/>
  <cols>
    <col min="1" max="1" width="15.33203125" style="1" customWidth="1"/>
    <col min="2" max="2" width="57.33203125" style="1" bestFit="1" customWidth="1"/>
    <col min="3" max="3" width="15.33203125" style="1" customWidth="1"/>
    <col min="4" max="4" width="17" style="1" bestFit="1" customWidth="1"/>
    <col min="5" max="5" width="15.33203125" style="1" customWidth="1"/>
    <col min="6" max="6" width="17.44140625" style="1" customWidth="1"/>
    <col min="7" max="7" width="9.109375" style="1"/>
    <col min="8" max="8" width="20.77734375" style="1" customWidth="1"/>
    <col min="9" max="9" width="22" style="1" customWidth="1"/>
    <col min="10" max="10" width="20.77734375" style="1" customWidth="1"/>
    <col min="11" max="16384" width="9.109375" style="1"/>
  </cols>
  <sheetData>
    <row r="1" spans="1:10" ht="23.4" x14ac:dyDescent="0.3">
      <c r="A1" s="12" t="s">
        <v>0</v>
      </c>
      <c r="B1" s="12"/>
      <c r="C1" s="12"/>
      <c r="D1" s="12"/>
      <c r="E1" s="12"/>
      <c r="F1" s="12"/>
    </row>
    <row r="2" spans="1:10" ht="18" x14ac:dyDescent="0.3">
      <c r="A2" s="14" t="s">
        <v>3</v>
      </c>
      <c r="B2" s="14"/>
      <c r="C2" s="14"/>
      <c r="D2" s="14"/>
      <c r="E2" s="14"/>
      <c r="F2" s="14"/>
    </row>
    <row r="3" spans="1:10" ht="15.6" x14ac:dyDescent="0.3">
      <c r="A3" s="13" t="s">
        <v>1</v>
      </c>
      <c r="B3" s="13"/>
      <c r="C3" s="13"/>
      <c r="D3" s="13"/>
      <c r="E3" s="13"/>
      <c r="F3" s="13"/>
    </row>
    <row r="4" spans="1:10" x14ac:dyDescent="0.3">
      <c r="A4" s="17" t="s">
        <v>2</v>
      </c>
      <c r="B4" s="17"/>
      <c r="C4" s="17" t="s">
        <v>34</v>
      </c>
      <c r="D4" s="17"/>
      <c r="E4" s="17"/>
      <c r="F4" s="17"/>
    </row>
    <row r="5" spans="1:10" x14ac:dyDescent="0.3">
      <c r="A5" s="17" t="s">
        <v>33</v>
      </c>
      <c r="B5" s="17"/>
      <c r="C5" s="18">
        <v>45751</v>
      </c>
      <c r="D5" s="19"/>
      <c r="E5" s="19"/>
      <c r="F5" s="19"/>
    </row>
    <row r="6" spans="1:10" x14ac:dyDescent="0.3">
      <c r="A6" s="9" t="s">
        <v>4</v>
      </c>
      <c r="B6" s="9" t="s">
        <v>5</v>
      </c>
      <c r="C6" s="9" t="s">
        <v>6</v>
      </c>
      <c r="D6" s="9" t="s">
        <v>7</v>
      </c>
      <c r="E6" s="9" t="s">
        <v>8</v>
      </c>
      <c r="F6" s="9" t="s">
        <v>9</v>
      </c>
      <c r="H6" s="25" t="s">
        <v>45</v>
      </c>
      <c r="I6" s="25" t="s">
        <v>46</v>
      </c>
    </row>
    <row r="7" spans="1:10" ht="34.5" customHeight="1" x14ac:dyDescent="0.3">
      <c r="A7" s="4" t="s">
        <v>10</v>
      </c>
      <c r="B7" s="5" t="s">
        <v>18</v>
      </c>
      <c r="C7" s="2" t="s">
        <v>19</v>
      </c>
      <c r="D7" s="6">
        <v>510</v>
      </c>
      <c r="E7" s="7">
        <v>186300</v>
      </c>
      <c r="F7" s="7">
        <f>+D7*E7</f>
        <v>95013000</v>
      </c>
      <c r="H7" s="26">
        <v>186300</v>
      </c>
      <c r="I7" s="26">
        <v>71060</v>
      </c>
      <c r="J7" s="24"/>
    </row>
    <row r="8" spans="1:10" ht="34.5" customHeight="1" x14ac:dyDescent="0.3">
      <c r="A8" s="4" t="s">
        <v>11</v>
      </c>
      <c r="B8" s="5" t="s">
        <v>20</v>
      </c>
      <c r="C8" s="2" t="s">
        <v>19</v>
      </c>
      <c r="D8" s="6">
        <v>45</v>
      </c>
      <c r="E8" s="7">
        <v>186300</v>
      </c>
      <c r="F8" s="7">
        <f t="shared" ref="F8:F15" si="0">+D8*E8</f>
        <v>8383500</v>
      </c>
    </row>
    <row r="9" spans="1:10" ht="34.5" customHeight="1" x14ac:dyDescent="0.3">
      <c r="A9" s="4" t="s">
        <v>12</v>
      </c>
      <c r="B9" s="8" t="s">
        <v>38</v>
      </c>
      <c r="C9" s="2" t="s">
        <v>19</v>
      </c>
      <c r="D9" s="6">
        <v>35.799999999999997</v>
      </c>
      <c r="E9" s="7">
        <v>176000</v>
      </c>
      <c r="F9" s="7">
        <f t="shared" si="0"/>
        <v>6300799.9999999991</v>
      </c>
      <c r="H9" s="27" t="s">
        <v>47</v>
      </c>
      <c r="I9" s="27"/>
    </row>
    <row r="10" spans="1:10" ht="34.5" customHeight="1" x14ac:dyDescent="0.3">
      <c r="A10" s="4" t="s">
        <v>13</v>
      </c>
      <c r="B10" s="8" t="s">
        <v>21</v>
      </c>
      <c r="C10" s="2" t="s">
        <v>19</v>
      </c>
      <c r="D10" s="6">
        <v>41</v>
      </c>
      <c r="E10" s="7">
        <v>190200</v>
      </c>
      <c r="F10" s="7">
        <f t="shared" si="0"/>
        <v>7798200</v>
      </c>
    </row>
    <row r="11" spans="1:10" ht="34.5" customHeight="1" x14ac:dyDescent="0.3">
      <c r="A11" s="4" t="s">
        <v>14</v>
      </c>
      <c r="B11" s="5" t="s">
        <v>22</v>
      </c>
      <c r="C11" s="2" t="s">
        <v>23</v>
      </c>
      <c r="D11" s="6">
        <v>1.4</v>
      </c>
      <c r="E11" s="7">
        <v>450800</v>
      </c>
      <c r="F11" s="7">
        <f t="shared" si="0"/>
        <v>631120</v>
      </c>
    </row>
    <row r="12" spans="1:10" ht="34.5" customHeight="1" x14ac:dyDescent="0.3">
      <c r="A12" s="4" t="s">
        <v>15</v>
      </c>
      <c r="B12" s="5" t="s">
        <v>24</v>
      </c>
      <c r="C12" s="2" t="s">
        <v>23</v>
      </c>
      <c r="D12" s="6">
        <v>9.5</v>
      </c>
      <c r="E12" s="7">
        <v>54050</v>
      </c>
      <c r="F12" s="7">
        <f t="shared" si="0"/>
        <v>513475</v>
      </c>
    </row>
    <row r="13" spans="1:10" ht="34.5" customHeight="1" x14ac:dyDescent="0.3">
      <c r="A13" s="4" t="s">
        <v>16</v>
      </c>
      <c r="B13" s="5" t="s">
        <v>26</v>
      </c>
      <c r="C13" s="2" t="s">
        <v>19</v>
      </c>
      <c r="D13" s="6">
        <v>110</v>
      </c>
      <c r="E13" s="7">
        <v>19000</v>
      </c>
      <c r="F13" s="7">
        <f t="shared" si="0"/>
        <v>2090000</v>
      </c>
    </row>
    <row r="14" spans="1:10" ht="34.5" customHeight="1" x14ac:dyDescent="0.3">
      <c r="A14" s="4" t="s">
        <v>17</v>
      </c>
      <c r="B14" s="5" t="s">
        <v>25</v>
      </c>
      <c r="C14" s="2" t="s">
        <v>23</v>
      </c>
      <c r="D14" s="6">
        <v>105</v>
      </c>
      <c r="E14" s="7">
        <v>25000</v>
      </c>
      <c r="F14" s="7">
        <f t="shared" si="0"/>
        <v>2625000</v>
      </c>
    </row>
    <row r="15" spans="1:10" ht="34.5" customHeight="1" x14ac:dyDescent="0.3">
      <c r="A15" s="4" t="s">
        <v>39</v>
      </c>
      <c r="B15" s="5" t="s">
        <v>40</v>
      </c>
      <c r="C15" s="2" t="s">
        <v>19</v>
      </c>
      <c r="D15" s="6">
        <v>2</v>
      </c>
      <c r="E15" s="7">
        <v>215000</v>
      </c>
      <c r="F15" s="7">
        <f t="shared" si="0"/>
        <v>430000</v>
      </c>
    </row>
    <row r="16" spans="1:10" ht="34.5" customHeight="1" x14ac:dyDescent="0.3">
      <c r="A16" s="4" t="s">
        <v>41</v>
      </c>
      <c r="B16" s="5" t="s">
        <v>42</v>
      </c>
      <c r="C16" s="2" t="s">
        <v>43</v>
      </c>
      <c r="D16" s="6">
        <v>1</v>
      </c>
      <c r="E16" s="7">
        <v>600000</v>
      </c>
      <c r="F16" s="7">
        <f t="shared" ref="F16" si="1">+D16*E16</f>
        <v>600000</v>
      </c>
    </row>
    <row r="17" spans="1:6" x14ac:dyDescent="0.3">
      <c r="A17" s="5"/>
      <c r="B17" s="5"/>
      <c r="C17" s="21" t="s">
        <v>27</v>
      </c>
      <c r="D17" s="22"/>
      <c r="E17" s="23"/>
      <c r="F17" s="10">
        <f>SUM(F7:F15)</f>
        <v>123785095</v>
      </c>
    </row>
    <row r="18" spans="1:6" x14ac:dyDescent="0.3">
      <c r="A18" s="19"/>
      <c r="B18" s="19"/>
      <c r="C18" s="3" t="s">
        <v>35</v>
      </c>
      <c r="D18" s="3" t="s">
        <v>28</v>
      </c>
      <c r="E18" s="11">
        <v>0.08</v>
      </c>
      <c r="F18" s="7">
        <f>+$F$17*E18</f>
        <v>9902807.5999999996</v>
      </c>
    </row>
    <row r="19" spans="1:6" x14ac:dyDescent="0.3">
      <c r="A19" s="19"/>
      <c r="B19" s="19"/>
      <c r="C19" s="3" t="s">
        <v>10</v>
      </c>
      <c r="D19" s="3" t="s">
        <v>29</v>
      </c>
      <c r="E19" s="11">
        <v>0.05</v>
      </c>
      <c r="F19" s="7">
        <f t="shared" ref="F19:F20" si="2">+$F$17*E19</f>
        <v>6189254.75</v>
      </c>
    </row>
    <row r="20" spans="1:6" x14ac:dyDescent="0.3">
      <c r="A20" s="19"/>
      <c r="B20" s="19"/>
      <c r="C20" s="3" t="s">
        <v>36</v>
      </c>
      <c r="D20" s="3" t="s">
        <v>30</v>
      </c>
      <c r="E20" s="11">
        <v>0.05</v>
      </c>
      <c r="F20" s="7">
        <f t="shared" si="2"/>
        <v>6189254.75</v>
      </c>
    </row>
    <row r="21" spans="1:6" x14ac:dyDescent="0.3">
      <c r="A21" s="19"/>
      <c r="B21" s="19"/>
      <c r="C21" s="3" t="s">
        <v>37</v>
      </c>
      <c r="D21" s="3" t="s">
        <v>31</v>
      </c>
      <c r="E21" s="11">
        <v>0.19</v>
      </c>
      <c r="F21" s="7">
        <f>+F20*E21</f>
        <v>1175958.4025000001</v>
      </c>
    </row>
    <row r="22" spans="1:6" x14ac:dyDescent="0.3">
      <c r="A22" s="19"/>
      <c r="B22" s="20"/>
      <c r="C22" s="21" t="s">
        <v>32</v>
      </c>
      <c r="D22" s="22"/>
      <c r="E22" s="23"/>
      <c r="F22" s="10">
        <f>SUM(F17:F21)</f>
        <v>147242370.5025</v>
      </c>
    </row>
    <row r="23" spans="1:6" x14ac:dyDescent="0.3">
      <c r="B23" s="15" t="s">
        <v>44</v>
      </c>
    </row>
    <row r="24" spans="1:6" x14ac:dyDescent="0.3">
      <c r="B24" s="16"/>
    </row>
    <row r="25" spans="1:6" x14ac:dyDescent="0.3">
      <c r="B25" s="16"/>
    </row>
    <row r="26" spans="1:6" x14ac:dyDescent="0.3">
      <c r="B26" s="16"/>
    </row>
    <row r="27" spans="1:6" x14ac:dyDescent="0.3">
      <c r="B27" s="16"/>
    </row>
  </sheetData>
  <mergeCells count="12">
    <mergeCell ref="H9:I9"/>
    <mergeCell ref="A1:F1"/>
    <mergeCell ref="A3:F3"/>
    <mergeCell ref="A2:F2"/>
    <mergeCell ref="B23:B27"/>
    <mergeCell ref="A5:B5"/>
    <mergeCell ref="A4:B4"/>
    <mergeCell ref="C4:F4"/>
    <mergeCell ref="C5:F5"/>
    <mergeCell ref="A18:B22"/>
    <mergeCell ref="C17:E17"/>
    <mergeCell ref="C22:E22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anexo 1-Propuesta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 Luis Fdo M J</dc:creator>
  <cp:lastModifiedBy>Andrés Felipe Montoya Osorio</cp:lastModifiedBy>
  <dcterms:created xsi:type="dcterms:W3CDTF">2015-06-05T18:19:34Z</dcterms:created>
  <dcterms:modified xsi:type="dcterms:W3CDTF">2025-04-15T19:32:42Z</dcterms:modified>
</cp:coreProperties>
</file>