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13_ncr:1_{B3B71C4D-3EA5-42E2-9EA3-DF34FF7F1325}" xr6:coauthVersionLast="47" xr6:coauthVersionMax="47" xr10:uidLastSave="{00000000-0000-0000-0000-000000000000}"/>
  <bookViews>
    <workbookView xWindow="-108" yWindow="-108" windowWidth="23256" windowHeight="12456" xr2:uid="{BCFB1664-7DBD-4EFF-A670-B77D79CD3276}"/>
  </bookViews>
  <sheets>
    <sheet name="COTIZACIÓN SOLARIS" sheetId="2" r:id="rId1"/>
  </sheets>
  <definedNames>
    <definedName name="_xlnm.Print_Area" localSheetId="0">'COTIZACIÓN SOLARIS'!$A$1:$G$16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" i="2" l="1"/>
  <c r="G34" i="2"/>
  <c r="G32" i="2"/>
  <c r="G31" i="2"/>
  <c r="G30" i="2"/>
  <c r="G29" i="2"/>
  <c r="G28" i="2" s="1"/>
  <c r="G27" i="2"/>
  <c r="G26" i="2" s="1"/>
  <c r="G25" i="2"/>
  <c r="G24" i="2"/>
  <c r="G23" i="2"/>
  <c r="G22" i="2" l="1"/>
  <c r="G20" i="2" l="1"/>
  <c r="G21" i="2"/>
  <c r="G15" i="2" l="1"/>
  <c r="G13" i="2" l="1"/>
  <c r="G37" i="2"/>
  <c r="G36" i="2" s="1"/>
  <c r="G33" i="2" s="1"/>
  <c r="G19" i="2" l="1"/>
  <c r="G18" i="2" s="1"/>
  <c r="G17" i="2" l="1"/>
  <c r="G16" i="2" s="1"/>
  <c r="G14" i="2" l="1"/>
  <c r="G10" i="2"/>
  <c r="G9" i="2" s="1"/>
  <c r="G12" i="2" l="1"/>
  <c r="G38" i="2" s="1"/>
  <c r="G39" i="2" l="1"/>
  <c r="G40" i="2"/>
  <c r="G41" i="2"/>
  <c r="G42" i="2" s="1"/>
  <c r="G43" i="2" l="1"/>
  <c r="G44" i="2" s="1"/>
  <c r="G50" i="2" l="1"/>
  <c r="G46" i="2"/>
  <c r="G51" i="2"/>
</calcChain>
</file>

<file path=xl/sharedStrings.xml><?xml version="1.0" encoding="utf-8"?>
<sst xmlns="http://schemas.openxmlformats.org/spreadsheetml/2006/main" count="118" uniqueCount="91">
  <si>
    <t>CAPT</t>
  </si>
  <si>
    <t>ITEMS</t>
  </si>
  <si>
    <t>ACTIVIDAD</t>
  </si>
  <si>
    <t>UNIDAD</t>
  </si>
  <si>
    <t>CANTIDAD</t>
  </si>
  <si>
    <t>VR UNITARIO</t>
  </si>
  <si>
    <t>VALOR DIRECTO ACTIVIDAD</t>
  </si>
  <si>
    <t>M2</t>
  </si>
  <si>
    <t>COSTO DIRECTO</t>
  </si>
  <si>
    <t>ADMON</t>
  </si>
  <si>
    <t>IMPREV</t>
  </si>
  <si>
    <t>UTILIDADES</t>
  </si>
  <si>
    <t>IVA/U</t>
  </si>
  <si>
    <t>COSTO INDIRECTO</t>
  </si>
  <si>
    <t>VALOR PROPUESTA</t>
  </si>
  <si>
    <t>DIRECCION:</t>
  </si>
  <si>
    <t>CORREO:</t>
  </si>
  <si>
    <t>TELEFONO:</t>
  </si>
  <si>
    <t>+57 310 461 7353</t>
  </si>
  <si>
    <t>CODIGO: FH-F-02</t>
  </si>
  <si>
    <t xml:space="preserve"> PRELIMINARES DE OBRA</t>
  </si>
  <si>
    <t xml:space="preserve"> VERSIÓN: 01</t>
  </si>
  <si>
    <t>1.1</t>
  </si>
  <si>
    <t>GB</t>
  </si>
  <si>
    <t>1.2</t>
  </si>
  <si>
    <t>2.1</t>
  </si>
  <si>
    <t>2.2</t>
  </si>
  <si>
    <t>3.1</t>
  </si>
  <si>
    <t>4.1</t>
  </si>
  <si>
    <t>5.1</t>
  </si>
  <si>
    <t>LIMPIEZA Y ASEO GENERAL</t>
  </si>
  <si>
    <t>CONJUNTO CERRADO ALTAMIRA</t>
  </si>
  <si>
    <t xml:space="preserve">CANTIDADES DE OBRA Y ESPECIFICACIONES TECNICAS PARA ACTIVIDADES DE CONTRUCCIÓN DE CONSULTORIO MEDICO </t>
  </si>
  <si>
    <t>PRESUPUESTO PARA CONSTRUCCIÓN DE CONSULTORIO MEDICO</t>
  </si>
  <si>
    <t>INCLUIDO</t>
  </si>
  <si>
    <t>DEMOLICIÓN</t>
  </si>
  <si>
    <t>Demolición de muro entrada</t>
  </si>
  <si>
    <t>Desmonte de ventaneria</t>
  </si>
  <si>
    <t>2.3</t>
  </si>
  <si>
    <t>Remoción de piso y mortero existente</t>
  </si>
  <si>
    <t>MUROS</t>
  </si>
  <si>
    <t>Suministro e instalación de muro en Superboard 8mm con separación en estructura de 60cm y refuerzos</t>
  </si>
  <si>
    <t>PISOS Y OTROS</t>
  </si>
  <si>
    <t>4.2</t>
  </si>
  <si>
    <t>Suministro e instalación de piso en Ceramica alto trafico y guardaescoba en PVC a media caña para asegurar entorno de alta higiene</t>
  </si>
  <si>
    <t>Retiro y reinstalación de rejilla para desalojo de aguas lluvias</t>
  </si>
  <si>
    <t>UND</t>
  </si>
  <si>
    <t>Suministro y aplicación de mortero de nivelación</t>
  </si>
  <si>
    <t>5.2</t>
  </si>
  <si>
    <t>5.3</t>
  </si>
  <si>
    <t>Suministro y aplicación de estuco para interiores</t>
  </si>
  <si>
    <t>Suministro y aplicación de Pintura Alta asepsia de Pintuco</t>
  </si>
  <si>
    <t>Suministro y aplicación de estuco y pintura tipo 3 de Pintuco para area de cielos</t>
  </si>
  <si>
    <t>OBRA BLANCA</t>
  </si>
  <si>
    <t>INSTALACIONES HIDRAULICAS</t>
  </si>
  <si>
    <t xml:space="preserve">Instalación de punto hidraulico </t>
  </si>
  <si>
    <t>6.1</t>
  </si>
  <si>
    <t>7.1</t>
  </si>
  <si>
    <t>7.2</t>
  </si>
  <si>
    <t>7.3</t>
  </si>
  <si>
    <t>8.1</t>
  </si>
  <si>
    <t>INSTALACIONES ELECTRICAS - CERTIFICACIÓN RETIE</t>
  </si>
  <si>
    <t>GLB</t>
  </si>
  <si>
    <t>Instalación de 10 puntos de tomacorrientes</t>
  </si>
  <si>
    <t>Instalación de 10 luminarias LED</t>
  </si>
  <si>
    <t>Instalación de 5m de acometida</t>
  </si>
  <si>
    <t>Suministro e instalación de caja 6 circuitos</t>
  </si>
  <si>
    <t>8.2</t>
  </si>
  <si>
    <t>9.1</t>
  </si>
  <si>
    <t>Suministro e instalación de ventaneria garantizando el flujo de aire y seguridad para el conjunto y consultorios</t>
  </si>
  <si>
    <t>Suministro e instalación de puertas en madera incluyendo marco</t>
  </si>
  <si>
    <t>CARPINTERIA</t>
  </si>
  <si>
    <t>ANTICIPO</t>
  </si>
  <si>
    <t xml:space="preserve">SALDO </t>
  </si>
  <si>
    <t>Cuota 1</t>
  </si>
  <si>
    <t>Cuota 2</t>
  </si>
  <si>
    <t>Cuota 3</t>
  </si>
  <si>
    <t>Cuota 4</t>
  </si>
  <si>
    <t>Cuota 5</t>
  </si>
  <si>
    <t>Cuota 6</t>
  </si>
  <si>
    <t>Total pagado en cuotas</t>
  </si>
  <si>
    <t>Intereses totales pagados</t>
  </si>
  <si>
    <t>TASA 12% ANUAL</t>
  </si>
  <si>
    <t>TASA 9,25% ANUAL</t>
  </si>
  <si>
    <t>En el transcurso de la ejecución y al final de la obra, limpieza general y desalojo de todo el material sobrante y desperdicios</t>
  </si>
  <si>
    <t>Cerramiento provisional y señalización de las obras a intervenir. En cerramiento con señalización respectiva visible del área a intervenir que impida paso de peatones o vehículos para evitar riesgos de accidentes.</t>
  </si>
  <si>
    <t>Construcción campamento provisional | espacio seguro y de fácil acceso para guardar equipo y materiales.</t>
  </si>
  <si>
    <t xml:space="preserve">  FECHA:                        14/07/2024</t>
  </si>
  <si>
    <t>Calle 19 Norte 18-64 Ed. Atlantis piso 3 local 7</t>
  </si>
  <si>
    <t>Gerencia@freshouse.com.co</t>
  </si>
  <si>
    <t xml:space="preserve">  VALIDO HASTA:           14/08/2024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</si>
</sst>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66" formatCode="_-* #,##0.0_-;\-* #,##0.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entury Gothic"/>
      <family val="2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8"/>
      <color rgb="FF000000"/>
      <name val="Century Gothic"/>
      <family val="2"/>
    </font>
    <font>
      <sz val="14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/>
      <bottom style="thin">
        <color rgb="FF505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/>
    </xf>
    <xf numFmtId="0" fontId="10" fillId="9" borderId="3" xfId="0" applyFont="1" applyFill="1" applyBorder="1" applyAlignment="1">
      <alignment horizontal="center" vertical="center"/>
    </xf>
    <xf numFmtId="9" fontId="3" fillId="0" borderId="1" xfId="3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vertical="center"/>
    </xf>
    <xf numFmtId="164" fontId="3" fillId="0" borderId="1" xfId="0" applyNumberFormat="1" applyFont="1" applyBorder="1" applyAlignment="1">
      <alignment horizontal="left" vertical="center" wrapText="1"/>
    </xf>
    <xf numFmtId="164" fontId="3" fillId="10" borderId="1" xfId="0" applyNumberFormat="1" applyFont="1" applyFill="1" applyBorder="1" applyAlignment="1">
      <alignment horizontal="left" vertical="center" wrapText="1"/>
    </xf>
    <xf numFmtId="164" fontId="10" fillId="9" borderId="3" xfId="0" applyNumberFormat="1" applyFont="1" applyFill="1" applyBorder="1" applyAlignment="1">
      <alignment horizontal="left" vertical="center" wrapText="1"/>
    </xf>
    <xf numFmtId="164" fontId="10" fillId="8" borderId="3" xfId="0" applyNumberFormat="1" applyFont="1" applyFill="1" applyBorder="1" applyAlignment="1">
      <alignment horizontal="left" vertical="center" wrapText="1"/>
    </xf>
    <xf numFmtId="164" fontId="10" fillId="10" borderId="4" xfId="0" applyNumberFormat="1" applyFont="1" applyFill="1" applyBorder="1" applyAlignment="1">
      <alignment horizontal="left" vertical="center" wrapText="1"/>
    </xf>
    <xf numFmtId="165" fontId="3" fillId="0" borderId="1" xfId="1" applyNumberFormat="1" applyFont="1" applyFill="1" applyBorder="1" applyAlignment="1">
      <alignment vertical="center"/>
    </xf>
    <xf numFmtId="165" fontId="10" fillId="9" borderId="3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0" borderId="1" xfId="2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3" fillId="11" borderId="1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/>
    </xf>
    <xf numFmtId="165" fontId="3" fillId="2" borderId="6" xfId="1" applyNumberFormat="1" applyFont="1" applyFill="1" applyBorder="1" applyAlignment="1">
      <alignment vertical="center"/>
    </xf>
    <xf numFmtId="164" fontId="3" fillId="2" borderId="6" xfId="0" applyNumberFormat="1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165" fontId="3" fillId="0" borderId="6" xfId="1" applyNumberFormat="1" applyFont="1" applyFill="1" applyBorder="1" applyAlignment="1">
      <alignment vertical="center"/>
    </xf>
    <xf numFmtId="164" fontId="3" fillId="0" borderId="6" xfId="0" applyNumberFormat="1" applyFont="1" applyBorder="1" applyAlignment="1">
      <alignment horizontal="left" vertical="center" wrapText="1"/>
    </xf>
    <xf numFmtId="164" fontId="10" fillId="10" borderId="6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3" fontId="11" fillId="2" borderId="20" xfId="1" applyFont="1" applyFill="1" applyBorder="1" applyAlignment="1">
      <alignment horizontal="center" vertical="center"/>
    </xf>
    <xf numFmtId="43" fontId="11" fillId="2" borderId="4" xfId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165" fontId="3" fillId="0" borderId="1" xfId="1" applyNumberFormat="1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 wrapText="1"/>
    </xf>
    <xf numFmtId="166" fontId="3" fillId="0" borderId="1" xfId="1" applyNumberFormat="1" applyFont="1" applyFill="1" applyBorder="1" applyAlignment="1">
      <alignment vertical="center"/>
    </xf>
    <xf numFmtId="166" fontId="10" fillId="9" borderId="3" xfId="0" applyNumberFormat="1" applyFont="1" applyFill="1" applyBorder="1" applyAlignment="1">
      <alignment vertical="center"/>
    </xf>
    <xf numFmtId="0" fontId="0" fillId="0" borderId="6" xfId="0" applyBorder="1" applyAlignment="1">
      <alignment vertical="center" wrapText="1"/>
    </xf>
    <xf numFmtId="6" fontId="0" fillId="0" borderId="6" xfId="0" applyNumberFormat="1" applyBorder="1" applyAlignment="1">
      <alignment vertical="center" wrapText="1"/>
    </xf>
    <xf numFmtId="0" fontId="0" fillId="0" borderId="6" xfId="0" applyBorder="1" applyAlignment="1">
      <alignment vertical="center"/>
    </xf>
    <xf numFmtId="0" fontId="13" fillId="0" borderId="6" xfId="0" applyFont="1" applyBorder="1" applyAlignment="1">
      <alignment vertical="center" wrapText="1"/>
    </xf>
    <xf numFmtId="6" fontId="13" fillId="0" borderId="6" xfId="0" applyNumberFormat="1" applyFont="1" applyBorder="1" applyAlignment="1">
      <alignment vertical="center" wrapText="1"/>
    </xf>
    <xf numFmtId="0" fontId="0" fillId="12" borderId="6" xfId="0" applyFill="1" applyBorder="1" applyAlignment="1">
      <alignment horizontal="center" vertical="center"/>
    </xf>
    <xf numFmtId="164" fontId="0" fillId="0" borderId="6" xfId="0" applyNumberFormat="1" applyBorder="1" applyAlignment="1">
      <alignment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FF66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D84D8C-64A2-4BE1-AEF7-AEB60F3D0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5429" y="999121"/>
          <a:ext cx="3058885" cy="110407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6AAF-44A3-490E-AA4C-1D5EA92813D8}">
  <sheetPr>
    <pageSetUpPr fitToPage="1"/>
  </sheetPr>
  <dimension ref="A1:J71"/>
  <sheetViews>
    <sheetView tabSelected="1" topLeftCell="A37" zoomScale="70" zoomScaleNormal="70" workbookViewId="0">
      <selection activeCell="G44" sqref="G44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10" ht="27.6" x14ac:dyDescent="0.3">
      <c r="A1" s="67" t="s">
        <v>31</v>
      </c>
      <c r="B1" s="68"/>
      <c r="C1" s="68"/>
      <c r="D1" s="68"/>
      <c r="E1" s="68"/>
      <c r="F1" s="68"/>
      <c r="G1" s="69"/>
    </row>
    <row r="2" spans="1:10" ht="33.6" customHeight="1" x14ac:dyDescent="0.3">
      <c r="A2" s="70" t="s">
        <v>32</v>
      </c>
      <c r="B2" s="71"/>
      <c r="C2" s="71"/>
      <c r="D2" s="71"/>
      <c r="E2" s="71"/>
      <c r="F2" s="71"/>
      <c r="G2" s="72"/>
    </row>
    <row r="3" spans="1:10" ht="39.6" customHeight="1" x14ac:dyDescent="0.3">
      <c r="A3" s="73" t="s">
        <v>15</v>
      </c>
      <c r="B3" s="74"/>
      <c r="C3" s="30" t="s">
        <v>88</v>
      </c>
      <c r="D3" s="34" t="s">
        <v>19</v>
      </c>
      <c r="E3" s="34" t="s">
        <v>21</v>
      </c>
      <c r="F3" s="75"/>
      <c r="G3" s="76"/>
    </row>
    <row r="4" spans="1:10" ht="52.2" customHeight="1" x14ac:dyDescent="0.3">
      <c r="A4" s="73" t="s">
        <v>16</v>
      </c>
      <c r="B4" s="74"/>
      <c r="C4" s="31" t="s">
        <v>89</v>
      </c>
      <c r="D4" s="81" t="s">
        <v>87</v>
      </c>
      <c r="E4" s="82"/>
      <c r="F4" s="77"/>
      <c r="G4" s="78"/>
    </row>
    <row r="5" spans="1:10" ht="36.6" customHeight="1" x14ac:dyDescent="0.3">
      <c r="A5" s="83" t="s">
        <v>17</v>
      </c>
      <c r="B5" s="84"/>
      <c r="C5" s="30" t="s">
        <v>18</v>
      </c>
      <c r="D5" s="85" t="s">
        <v>90</v>
      </c>
      <c r="E5" s="86"/>
      <c r="F5" s="79"/>
      <c r="G5" s="80"/>
    </row>
    <row r="6" spans="1:10" x14ac:dyDescent="0.3">
      <c r="A6" s="55"/>
      <c r="B6" s="56"/>
      <c r="C6" s="56"/>
      <c r="D6" s="56"/>
      <c r="E6" s="56"/>
      <c r="F6" s="56"/>
      <c r="G6" s="57"/>
    </row>
    <row r="7" spans="1:10" ht="34.799999999999997" x14ac:dyDescent="0.3">
      <c r="A7" s="32" t="s">
        <v>0</v>
      </c>
      <c r="B7" s="33" t="s">
        <v>1</v>
      </c>
      <c r="C7" s="33" t="s">
        <v>2</v>
      </c>
      <c r="D7" s="33" t="s">
        <v>3</v>
      </c>
      <c r="E7" s="32" t="s">
        <v>4</v>
      </c>
      <c r="F7" s="33" t="s">
        <v>5</v>
      </c>
      <c r="G7" s="32" t="s">
        <v>6</v>
      </c>
    </row>
    <row r="8" spans="1:10" ht="23.4" x14ac:dyDescent="0.3">
      <c r="A8" s="58" t="s">
        <v>33</v>
      </c>
      <c r="B8" s="59"/>
      <c r="C8" s="59"/>
      <c r="D8" s="59"/>
      <c r="E8" s="59"/>
      <c r="F8" s="59"/>
      <c r="G8" s="60"/>
    </row>
    <row r="9" spans="1:10" ht="23.4" x14ac:dyDescent="0.3">
      <c r="A9" s="3">
        <v>1</v>
      </c>
      <c r="B9" s="4"/>
      <c r="C9" s="5" t="s">
        <v>20</v>
      </c>
      <c r="D9" s="6"/>
      <c r="E9" s="6"/>
      <c r="F9" s="20"/>
      <c r="G9" s="21">
        <f>SUM(G10:G11)</f>
        <v>130000</v>
      </c>
    </row>
    <row r="10" spans="1:10" ht="78.599999999999994" customHeight="1" x14ac:dyDescent="0.3">
      <c r="A10" s="7"/>
      <c r="B10" s="7" t="s">
        <v>22</v>
      </c>
      <c r="C10" s="9" t="s">
        <v>85</v>
      </c>
      <c r="D10" s="2" t="s">
        <v>23</v>
      </c>
      <c r="E10" s="27">
        <v>1</v>
      </c>
      <c r="F10" s="22">
        <v>130000</v>
      </c>
      <c r="G10" s="23">
        <f>+E10*F10</f>
        <v>130000</v>
      </c>
    </row>
    <row r="11" spans="1:10" ht="43.2" customHeight="1" x14ac:dyDescent="0.3">
      <c r="A11" s="7"/>
      <c r="B11" s="7" t="s">
        <v>24</v>
      </c>
      <c r="C11" s="9" t="s">
        <v>86</v>
      </c>
      <c r="D11" s="2" t="s">
        <v>23</v>
      </c>
      <c r="E11" s="87" t="s">
        <v>34</v>
      </c>
      <c r="F11" s="22">
        <v>0</v>
      </c>
      <c r="G11" s="88" t="s">
        <v>34</v>
      </c>
    </row>
    <row r="12" spans="1:10" ht="23.4" x14ac:dyDescent="0.3">
      <c r="A12" s="15">
        <v>2</v>
      </c>
      <c r="B12" s="16"/>
      <c r="C12" s="17" t="s">
        <v>35</v>
      </c>
      <c r="D12" s="18"/>
      <c r="E12" s="28"/>
      <c r="F12" s="24"/>
      <c r="G12" s="25">
        <f>SUM(G13:G15)</f>
        <v>710522</v>
      </c>
    </row>
    <row r="13" spans="1:10" ht="33.6" customHeight="1" x14ac:dyDescent="0.3">
      <c r="A13" s="8"/>
      <c r="B13" s="29" t="s">
        <v>25</v>
      </c>
      <c r="C13" s="40" t="s">
        <v>37</v>
      </c>
      <c r="D13" s="2" t="s">
        <v>7</v>
      </c>
      <c r="E13" s="89">
        <v>2.5</v>
      </c>
      <c r="F13" s="22">
        <v>34700</v>
      </c>
      <c r="G13" s="23">
        <f>+E13*F13</f>
        <v>86750</v>
      </c>
      <c r="J13" s="39"/>
    </row>
    <row r="14" spans="1:10" ht="30" customHeight="1" x14ac:dyDescent="0.3">
      <c r="A14" s="10"/>
      <c r="B14" s="29" t="s">
        <v>26</v>
      </c>
      <c r="C14" s="40" t="s">
        <v>36</v>
      </c>
      <c r="D14" s="12" t="s">
        <v>7</v>
      </c>
      <c r="E14" s="89">
        <v>3</v>
      </c>
      <c r="F14" s="22">
        <v>45300</v>
      </c>
      <c r="G14" s="23">
        <f>+E14*F14</f>
        <v>135900</v>
      </c>
    </row>
    <row r="15" spans="1:10" ht="29.4" customHeight="1" x14ac:dyDescent="0.3">
      <c r="A15" s="10"/>
      <c r="B15" s="29" t="s">
        <v>38</v>
      </c>
      <c r="C15" s="40" t="s">
        <v>39</v>
      </c>
      <c r="D15" s="12" t="s">
        <v>7</v>
      </c>
      <c r="E15" s="89">
        <v>32</v>
      </c>
      <c r="F15" s="22">
        <v>15246</v>
      </c>
      <c r="G15" s="23">
        <f>+E15*F15</f>
        <v>487872</v>
      </c>
    </row>
    <row r="16" spans="1:10" ht="33" customHeight="1" x14ac:dyDescent="0.3">
      <c r="A16" s="15">
        <v>3</v>
      </c>
      <c r="B16" s="16"/>
      <c r="C16" s="17" t="s">
        <v>40</v>
      </c>
      <c r="D16" s="18"/>
      <c r="E16" s="90"/>
      <c r="F16" s="24"/>
      <c r="G16" s="25">
        <f>SUM(G17:G17)</f>
        <v>2970880</v>
      </c>
    </row>
    <row r="17" spans="1:7" ht="51.6" customHeight="1" x14ac:dyDescent="0.3">
      <c r="A17" s="8"/>
      <c r="B17" s="29" t="s">
        <v>27</v>
      </c>
      <c r="C17" s="40" t="s">
        <v>41</v>
      </c>
      <c r="D17" s="2" t="s">
        <v>7</v>
      </c>
      <c r="E17" s="89">
        <v>16</v>
      </c>
      <c r="F17" s="22">
        <v>185680</v>
      </c>
      <c r="G17" s="23">
        <f>+E17*F17</f>
        <v>2970880</v>
      </c>
    </row>
    <row r="18" spans="1:7" ht="23.4" x14ac:dyDescent="0.3">
      <c r="A18" s="15">
        <v>4</v>
      </c>
      <c r="B18" s="16"/>
      <c r="C18" s="17" t="s">
        <v>42</v>
      </c>
      <c r="D18" s="18"/>
      <c r="E18" s="90"/>
      <c r="F18" s="24"/>
      <c r="G18" s="25">
        <f>SUM(G19:G21)</f>
        <v>5103832</v>
      </c>
    </row>
    <row r="19" spans="1:7" ht="38.4" customHeight="1" x14ac:dyDescent="0.3">
      <c r="A19" s="10"/>
      <c r="B19" s="29" t="s">
        <v>28</v>
      </c>
      <c r="C19" s="11" t="s">
        <v>47</v>
      </c>
      <c r="D19" s="12" t="s">
        <v>7</v>
      </c>
      <c r="E19" s="89">
        <v>32</v>
      </c>
      <c r="F19" s="22">
        <v>23876</v>
      </c>
      <c r="G19" s="26">
        <f>F19*E19</f>
        <v>764032</v>
      </c>
    </row>
    <row r="20" spans="1:7" ht="42.6" customHeight="1" x14ac:dyDescent="0.3">
      <c r="A20" s="10"/>
      <c r="B20" s="29" t="s">
        <v>28</v>
      </c>
      <c r="C20" s="11" t="s">
        <v>44</v>
      </c>
      <c r="D20" s="12" t="s">
        <v>7</v>
      </c>
      <c r="E20" s="89">
        <v>32</v>
      </c>
      <c r="F20" s="22">
        <v>117700</v>
      </c>
      <c r="G20" s="26">
        <f>F20*E20</f>
        <v>3766400</v>
      </c>
    </row>
    <row r="21" spans="1:7" ht="38.4" customHeight="1" x14ac:dyDescent="0.3">
      <c r="A21" s="10"/>
      <c r="B21" s="29" t="s">
        <v>43</v>
      </c>
      <c r="C21" s="11" t="s">
        <v>45</v>
      </c>
      <c r="D21" s="12" t="s">
        <v>46</v>
      </c>
      <c r="E21" s="89">
        <v>1</v>
      </c>
      <c r="F21" s="22">
        <v>573400</v>
      </c>
      <c r="G21" s="26">
        <f>F21*E21</f>
        <v>573400</v>
      </c>
    </row>
    <row r="22" spans="1:7" ht="23.4" x14ac:dyDescent="0.3">
      <c r="A22" s="15">
        <v>5</v>
      </c>
      <c r="B22" s="16"/>
      <c r="C22" s="17" t="s">
        <v>53</v>
      </c>
      <c r="D22" s="18"/>
      <c r="E22" s="90"/>
      <c r="F22" s="24"/>
      <c r="G22" s="25">
        <f>SUM(G23:G25)</f>
        <v>6358412.5</v>
      </c>
    </row>
    <row r="23" spans="1:7" ht="38.4" customHeight="1" x14ac:dyDescent="0.3">
      <c r="A23" s="10"/>
      <c r="B23" s="29" t="s">
        <v>29</v>
      </c>
      <c r="C23" s="11" t="s">
        <v>50</v>
      </c>
      <c r="D23" s="12" t="s">
        <v>7</v>
      </c>
      <c r="E23" s="89">
        <v>91.5</v>
      </c>
      <c r="F23" s="22">
        <v>17400</v>
      </c>
      <c r="G23" s="26">
        <f>F23*E23</f>
        <v>1592100</v>
      </c>
    </row>
    <row r="24" spans="1:7" ht="39" customHeight="1" x14ac:dyDescent="0.3">
      <c r="A24" s="10"/>
      <c r="B24" s="29" t="s">
        <v>48</v>
      </c>
      <c r="C24" s="11" t="s">
        <v>51</v>
      </c>
      <c r="D24" s="12" t="s">
        <v>7</v>
      </c>
      <c r="E24" s="89">
        <v>91.5</v>
      </c>
      <c r="F24" s="22">
        <v>21175</v>
      </c>
      <c r="G24" s="26">
        <f>F24*E24</f>
        <v>1937512.5</v>
      </c>
    </row>
    <row r="25" spans="1:7" ht="47.4" customHeight="1" x14ac:dyDescent="0.3">
      <c r="A25" s="10"/>
      <c r="B25" s="29" t="s">
        <v>49</v>
      </c>
      <c r="C25" s="11" t="s">
        <v>52</v>
      </c>
      <c r="D25" s="12" t="s">
        <v>7</v>
      </c>
      <c r="E25" s="89">
        <v>32</v>
      </c>
      <c r="F25" s="22">
        <v>88400</v>
      </c>
      <c r="G25" s="26">
        <f>F25*E25</f>
        <v>2828800</v>
      </c>
    </row>
    <row r="26" spans="1:7" ht="23.4" x14ac:dyDescent="0.3">
      <c r="A26" s="15">
        <v>6</v>
      </c>
      <c r="B26" s="16"/>
      <c r="C26" s="17" t="s">
        <v>54</v>
      </c>
      <c r="D26" s="18"/>
      <c r="E26" s="90"/>
      <c r="F26" s="24"/>
      <c r="G26" s="25">
        <f>SUM(G27:G27)</f>
        <v>300000</v>
      </c>
    </row>
    <row r="27" spans="1:7" ht="34.799999999999997" customHeight="1" x14ac:dyDescent="0.3">
      <c r="A27" s="10"/>
      <c r="B27" s="29" t="s">
        <v>56</v>
      </c>
      <c r="C27" s="11" t="s">
        <v>55</v>
      </c>
      <c r="D27" s="12" t="s">
        <v>46</v>
      </c>
      <c r="E27" s="89">
        <v>1</v>
      </c>
      <c r="F27" s="22">
        <v>300000</v>
      </c>
      <c r="G27" s="26">
        <f>F27*E27</f>
        <v>300000</v>
      </c>
    </row>
    <row r="28" spans="1:7" ht="30" customHeight="1" x14ac:dyDescent="0.3">
      <c r="A28" s="15">
        <v>7</v>
      </c>
      <c r="B28" s="16"/>
      <c r="C28" s="17" t="s">
        <v>61</v>
      </c>
      <c r="D28" s="18"/>
      <c r="E28" s="90"/>
      <c r="F28" s="24"/>
      <c r="G28" s="25">
        <f>SUM(G29:G32)</f>
        <v>2273000</v>
      </c>
    </row>
    <row r="29" spans="1:7" ht="37.200000000000003" customHeight="1" x14ac:dyDescent="0.3">
      <c r="A29" s="10"/>
      <c r="B29" s="29" t="s">
        <v>57</v>
      </c>
      <c r="C29" s="11" t="s">
        <v>63</v>
      </c>
      <c r="D29" s="12" t="s">
        <v>62</v>
      </c>
      <c r="E29" s="89">
        <v>1</v>
      </c>
      <c r="F29" s="22">
        <v>347000</v>
      </c>
      <c r="G29" s="26">
        <f>F29*E29</f>
        <v>347000</v>
      </c>
    </row>
    <row r="30" spans="1:7" ht="34.200000000000003" customHeight="1" x14ac:dyDescent="0.3">
      <c r="A30" s="10"/>
      <c r="B30" s="29" t="s">
        <v>58</v>
      </c>
      <c r="C30" s="11" t="s">
        <v>64</v>
      </c>
      <c r="D30" s="12" t="s">
        <v>62</v>
      </c>
      <c r="E30" s="89">
        <v>1</v>
      </c>
      <c r="F30" s="22">
        <v>1309000</v>
      </c>
      <c r="G30" s="26">
        <f>F30*E30</f>
        <v>1309000</v>
      </c>
    </row>
    <row r="31" spans="1:7" ht="28.8" customHeight="1" x14ac:dyDescent="0.3">
      <c r="A31" s="10"/>
      <c r="B31" s="29" t="s">
        <v>59</v>
      </c>
      <c r="C31" s="11" t="s">
        <v>65</v>
      </c>
      <c r="D31" s="12" t="s">
        <v>62</v>
      </c>
      <c r="E31" s="89">
        <v>1</v>
      </c>
      <c r="F31" s="22">
        <v>532000</v>
      </c>
      <c r="G31" s="26">
        <f>F31*E31</f>
        <v>532000</v>
      </c>
    </row>
    <row r="32" spans="1:7" ht="35.4" customHeight="1" x14ac:dyDescent="0.3">
      <c r="A32" s="10"/>
      <c r="B32" s="29" t="s">
        <v>59</v>
      </c>
      <c r="C32" s="11" t="s">
        <v>66</v>
      </c>
      <c r="D32" s="12" t="s">
        <v>62</v>
      </c>
      <c r="E32" s="89">
        <v>1</v>
      </c>
      <c r="F32" s="22">
        <v>85000</v>
      </c>
      <c r="G32" s="26">
        <f>F32*E32</f>
        <v>85000</v>
      </c>
    </row>
    <row r="33" spans="1:7" ht="23.4" x14ac:dyDescent="0.3">
      <c r="A33" s="15">
        <v>8</v>
      </c>
      <c r="B33" s="16"/>
      <c r="C33" s="17" t="s">
        <v>71</v>
      </c>
      <c r="D33" s="18"/>
      <c r="E33" s="90"/>
      <c r="F33" s="24"/>
      <c r="G33" s="25">
        <f>SUM(G34:G36)</f>
        <v>3837750</v>
      </c>
    </row>
    <row r="34" spans="1:7" ht="50.4" customHeight="1" x14ac:dyDescent="0.3">
      <c r="A34" s="10"/>
      <c r="B34" s="29" t="s">
        <v>60</v>
      </c>
      <c r="C34" s="11" t="s">
        <v>69</v>
      </c>
      <c r="D34" s="12" t="s">
        <v>62</v>
      </c>
      <c r="E34" s="89">
        <v>1</v>
      </c>
      <c r="F34" s="89">
        <v>1546000</v>
      </c>
      <c r="G34" s="26">
        <f>F34*E34</f>
        <v>1546000</v>
      </c>
    </row>
    <row r="35" spans="1:7" ht="34.200000000000003" customHeight="1" x14ac:dyDescent="0.3">
      <c r="A35" s="10"/>
      <c r="B35" s="29" t="s">
        <v>67</v>
      </c>
      <c r="C35" s="11" t="s">
        <v>70</v>
      </c>
      <c r="D35" s="12" t="s">
        <v>7</v>
      </c>
      <c r="E35" s="89">
        <v>2</v>
      </c>
      <c r="F35" s="22">
        <v>765875</v>
      </c>
      <c r="G35" s="26">
        <f>F35*E35</f>
        <v>1531750</v>
      </c>
    </row>
    <row r="36" spans="1:7" ht="31.8" customHeight="1" x14ac:dyDescent="0.3">
      <c r="A36" s="41">
        <v>9</v>
      </c>
      <c r="B36" s="42"/>
      <c r="C36" s="43" t="s">
        <v>30</v>
      </c>
      <c r="D36" s="44"/>
      <c r="E36" s="45"/>
      <c r="F36" s="46"/>
      <c r="G36" s="54">
        <f>G37</f>
        <v>760000</v>
      </c>
    </row>
    <row r="37" spans="1:7" ht="45" customHeight="1" x14ac:dyDescent="0.3">
      <c r="A37" s="47"/>
      <c r="B37" s="48" t="s">
        <v>68</v>
      </c>
      <c r="C37" s="49" t="s">
        <v>84</v>
      </c>
      <c r="D37" s="50" t="s">
        <v>23</v>
      </c>
      <c r="E37" s="51">
        <v>1</v>
      </c>
      <c r="F37" s="52">
        <v>760000</v>
      </c>
      <c r="G37" s="53">
        <f>F37*E37</f>
        <v>760000</v>
      </c>
    </row>
    <row r="38" spans="1:7" ht="39.6" customHeight="1" x14ac:dyDescent="0.3">
      <c r="A38" s="13"/>
      <c r="B38" s="13"/>
      <c r="C38" s="13"/>
      <c r="D38" s="13"/>
      <c r="E38" s="61" t="s">
        <v>8</v>
      </c>
      <c r="F38" s="62"/>
      <c r="G38" s="35">
        <f>G18+G16+G12+G9+G36+G28+G26+G22+G33</f>
        <v>22444396.5</v>
      </c>
    </row>
    <row r="39" spans="1:7" ht="17.399999999999999" x14ac:dyDescent="0.3">
      <c r="A39" s="13"/>
      <c r="B39" s="13"/>
      <c r="C39" s="13"/>
      <c r="D39" s="13"/>
      <c r="E39" s="14" t="s">
        <v>9</v>
      </c>
      <c r="F39" s="19">
        <v>0.08</v>
      </c>
      <c r="G39" s="36">
        <f>+$G$38*F39</f>
        <v>1795551.72</v>
      </c>
    </row>
    <row r="40" spans="1:7" ht="17.399999999999999" x14ac:dyDescent="0.3">
      <c r="A40" s="13"/>
      <c r="B40" s="13"/>
      <c r="C40" s="13"/>
      <c r="D40" s="13"/>
      <c r="E40" s="14" t="s">
        <v>10</v>
      </c>
      <c r="F40" s="19">
        <v>0.05</v>
      </c>
      <c r="G40" s="36">
        <f t="shared" ref="G40:G41" si="0">+$G$38*F40</f>
        <v>1122219.825</v>
      </c>
    </row>
    <row r="41" spans="1:7" ht="19.95" customHeight="1" x14ac:dyDescent="0.3">
      <c r="A41" s="13"/>
      <c r="B41" s="13"/>
      <c r="C41" s="13"/>
      <c r="D41" s="13"/>
      <c r="E41" s="14" t="s">
        <v>11</v>
      </c>
      <c r="F41" s="19">
        <v>0.05</v>
      </c>
      <c r="G41" s="36">
        <f t="shared" si="0"/>
        <v>1122219.825</v>
      </c>
    </row>
    <row r="42" spans="1:7" ht="19.95" customHeight="1" x14ac:dyDescent="0.3">
      <c r="A42" s="13"/>
      <c r="B42" s="13"/>
      <c r="C42" s="13"/>
      <c r="D42" s="13"/>
      <c r="E42" s="14" t="s">
        <v>12</v>
      </c>
      <c r="F42" s="19">
        <v>0.19</v>
      </c>
      <c r="G42" s="36">
        <f>+G41*F42</f>
        <v>213221.76674999998</v>
      </c>
    </row>
    <row r="43" spans="1:7" ht="19.95" customHeight="1" x14ac:dyDescent="0.3">
      <c r="A43" s="13"/>
      <c r="B43" s="13"/>
      <c r="C43" s="13"/>
      <c r="D43" s="13"/>
      <c r="E43" s="63" t="s">
        <v>13</v>
      </c>
      <c r="F43" s="64"/>
      <c r="G43" s="37">
        <f>+G39+G40+G41+G42</f>
        <v>4253213.1367500005</v>
      </c>
    </row>
    <row r="44" spans="1:7" ht="19.95" customHeight="1" x14ac:dyDescent="0.3">
      <c r="A44" s="13"/>
      <c r="B44" s="13"/>
      <c r="C44" s="13"/>
      <c r="D44" s="13"/>
      <c r="E44" s="65" t="s">
        <v>14</v>
      </c>
      <c r="F44" s="66"/>
      <c r="G44" s="38">
        <f>+G38+G43</f>
        <v>26697609.636750001</v>
      </c>
    </row>
    <row r="45" spans="1:7" ht="19.95" customHeight="1" x14ac:dyDescent="0.3"/>
    <row r="46" spans="1:7" ht="19.95" customHeight="1" x14ac:dyDescent="0.3">
      <c r="G46" s="39">
        <f>G44-25715595</f>
        <v>982014.63675000146</v>
      </c>
    </row>
    <row r="47" spans="1:7" ht="19.95" customHeight="1" x14ac:dyDescent="0.3"/>
    <row r="48" spans="1:7" ht="15" customHeight="1" x14ac:dyDescent="0.3"/>
    <row r="50" spans="6:7" x14ac:dyDescent="0.3">
      <c r="F50" s="93" t="s">
        <v>72</v>
      </c>
      <c r="G50" s="97">
        <f>G44*0.3</f>
        <v>8009282.8910250003</v>
      </c>
    </row>
    <row r="51" spans="6:7" x14ac:dyDescent="0.3">
      <c r="F51" s="93" t="s">
        <v>73</v>
      </c>
      <c r="G51" s="97">
        <f>G44*0.7</f>
        <v>18688326.745724998</v>
      </c>
    </row>
    <row r="52" spans="6:7" x14ac:dyDescent="0.3">
      <c r="G52" s="39"/>
    </row>
    <row r="53" spans="6:7" x14ac:dyDescent="0.3">
      <c r="F53" s="96" t="s">
        <v>83</v>
      </c>
      <c r="G53" s="96"/>
    </row>
    <row r="54" spans="6:7" x14ac:dyDescent="0.3">
      <c r="F54" s="91" t="s">
        <v>74</v>
      </c>
      <c r="G54" s="92">
        <v>3264836</v>
      </c>
    </row>
    <row r="55" spans="6:7" x14ac:dyDescent="0.3">
      <c r="F55" s="91" t="s">
        <v>75</v>
      </c>
      <c r="G55" s="92">
        <v>3264836</v>
      </c>
    </row>
    <row r="56" spans="6:7" x14ac:dyDescent="0.3">
      <c r="F56" s="91" t="s">
        <v>76</v>
      </c>
      <c r="G56" s="92">
        <v>3264836</v>
      </c>
    </row>
    <row r="57" spans="6:7" x14ac:dyDescent="0.3">
      <c r="F57" s="91" t="s">
        <v>77</v>
      </c>
      <c r="G57" s="92">
        <v>3264836</v>
      </c>
    </row>
    <row r="58" spans="6:7" x14ac:dyDescent="0.3">
      <c r="F58" s="91" t="s">
        <v>78</v>
      </c>
      <c r="G58" s="92">
        <v>3264836</v>
      </c>
    </row>
    <row r="59" spans="6:7" x14ac:dyDescent="0.3">
      <c r="F59" s="91" t="s">
        <v>79</v>
      </c>
      <c r="G59" s="92">
        <v>3264836</v>
      </c>
    </row>
    <row r="60" spans="6:7" x14ac:dyDescent="0.3">
      <c r="F60" s="94" t="s">
        <v>80</v>
      </c>
      <c r="G60" s="95">
        <v>19589016</v>
      </c>
    </row>
    <row r="61" spans="6:7" ht="28.8" x14ac:dyDescent="0.3">
      <c r="F61" s="94" t="s">
        <v>81</v>
      </c>
      <c r="G61" s="95">
        <v>900689</v>
      </c>
    </row>
    <row r="63" spans="6:7" x14ac:dyDescent="0.3">
      <c r="F63" s="96" t="s">
        <v>82</v>
      </c>
      <c r="G63" s="96"/>
    </row>
    <row r="64" spans="6:7" x14ac:dyDescent="0.3">
      <c r="F64" s="91" t="s">
        <v>74</v>
      </c>
      <c r="G64" s="92">
        <v>3278294</v>
      </c>
    </row>
    <row r="65" spans="6:7" x14ac:dyDescent="0.3">
      <c r="F65" s="91" t="s">
        <v>75</v>
      </c>
      <c r="G65" s="92">
        <v>3278294</v>
      </c>
    </row>
    <row r="66" spans="6:7" x14ac:dyDescent="0.3">
      <c r="F66" s="91" t="s">
        <v>76</v>
      </c>
      <c r="G66" s="92">
        <v>3278294</v>
      </c>
    </row>
    <row r="67" spans="6:7" x14ac:dyDescent="0.3">
      <c r="F67" s="91" t="s">
        <v>77</v>
      </c>
      <c r="G67" s="92">
        <v>3278294</v>
      </c>
    </row>
    <row r="68" spans="6:7" x14ac:dyDescent="0.3">
      <c r="F68" s="91" t="s">
        <v>78</v>
      </c>
      <c r="G68" s="92">
        <v>3278294</v>
      </c>
    </row>
    <row r="69" spans="6:7" x14ac:dyDescent="0.3">
      <c r="F69" s="91" t="s">
        <v>79</v>
      </c>
      <c r="G69" s="92">
        <v>3278294</v>
      </c>
    </row>
    <row r="70" spans="6:7" x14ac:dyDescent="0.3">
      <c r="F70" s="94" t="s">
        <v>80</v>
      </c>
      <c r="G70" s="95">
        <v>19669764</v>
      </c>
    </row>
    <row r="71" spans="6:7" ht="28.8" x14ac:dyDescent="0.3">
      <c r="F71" s="94" t="s">
        <v>81</v>
      </c>
      <c r="G71" s="95">
        <v>981437</v>
      </c>
    </row>
  </sheetData>
  <mergeCells count="15">
    <mergeCell ref="F53:G53"/>
    <mergeCell ref="F63:G63"/>
    <mergeCell ref="A1:G1"/>
    <mergeCell ref="A2:G2"/>
    <mergeCell ref="A3:B3"/>
    <mergeCell ref="F3:G5"/>
    <mergeCell ref="A4:B4"/>
    <mergeCell ref="D4:E4"/>
    <mergeCell ref="A5:B5"/>
    <mergeCell ref="D5:E5"/>
    <mergeCell ref="A6:G6"/>
    <mergeCell ref="A8:G8"/>
    <mergeCell ref="E38:F38"/>
    <mergeCell ref="E43:F43"/>
    <mergeCell ref="E44:F44"/>
  </mergeCells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COTIZACIÓN SOLARIS</vt:lpstr>
      <vt:lpstr>'COTIZACIÓN SOLARIS'!Área_de_impresión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2024-07-04T22:53:17Z</cp:lastPrinted>
  <dcterms:created xsi:type="dcterms:W3CDTF">2024-02-08T21:06:52Z</dcterms:created>
  <dcterms:modified xsi:type="dcterms:W3CDTF">2025-07-15T16:47:49Z</dcterms:modified>
  <cp:category/>
  <cp:contentStatus/>
</cp:coreProperties>
</file>